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20b2d5b4e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d606e37a484e67"/>
    <x:sheet xmlns:r="http://schemas.openxmlformats.org/officeDocument/2006/relationships" name="README" sheetId="2" r:id="R7cf726f73b1f4c88"/>
    <x:sheet xmlns:r="http://schemas.openxmlformats.org/officeDocument/2006/relationships" name="REGULATION_QUEUE" sheetId="3" r:id="R517c7a1b159e4a3b"/>
    <x:sheet xmlns:r="http://schemas.openxmlformats.org/officeDocument/2006/relationships" name="RUNS" sheetId="4" r:id="Rfbd4db50f59346fa"/>
    <x:sheet xmlns:r="http://schemas.openxmlformats.org/officeDocument/2006/relationships" name="ITERATIONS" sheetId="5" r:id="Rd0986fbafc224942"/>
    <x:sheet xmlns:r="http://schemas.openxmlformats.org/officeDocument/2006/relationships" name="API_CALLS" sheetId="6" r:id="Rc7c39a1dcb0343ae"/>
    <x:sheet xmlns:r="http://schemas.openxmlformats.org/officeDocument/2006/relationships" name="TERM_RETRIEVAL" sheetId="7" r:id="Rb2dc84ab7b4d46a0"/>
    <x:sheet xmlns:r="http://schemas.openxmlformats.org/officeDocument/2006/relationships" name="FEW_SHOT_SELECTION" sheetId="8" r:id="R6fe6e54a62174afb"/>
    <x:sheet xmlns:r="http://schemas.openxmlformats.org/officeDocument/2006/relationships" name="VALIDATION" sheetId="9" r:id="R1dac8286c4d94e24"/>
    <x:sheet xmlns:r="http://schemas.openxmlformats.org/officeDocument/2006/relationships" name="VOCAB_MATCHES" sheetId="10" r:id="R6e81411fc06b4e19"/>
    <x:sheet xmlns:r="http://schemas.openxmlformats.org/officeDocument/2006/relationships" name="ARTIFACTS" sheetId="11" r:id="R199330900a5443a1"/>
    <x:sheet xmlns:r="http://schemas.openxmlformats.org/officeDocument/2006/relationships" name="UNRESOLVED" sheetId="12" r:id="R3503e2ad451f41aa"/>
    <x:sheet xmlns:r="http://schemas.openxmlformats.org/officeDocument/2006/relationships" name="RDF_TEST_QUEUE" sheetId="13" r:id="R496c12ad5f49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beda1bf7c4423" /><Relationship Type="http://schemas.openxmlformats.org/officeDocument/2006/relationships/theme" Target="/xl/theme/theme1.xml" Id="R08ca95bab668447a" /><Relationship Type="http://schemas.microsoft.com/office/2022/11/relationships/FeaturePropertyBag" Target="/xl/featurePropertyBag/featurePropertyBag.xml" Id="Rc14f9ad999ba4d57" /><Relationship Type="http://schemas.openxmlformats.org/officeDocument/2006/relationships/sharedStrings" Target="/xl/sharedStrings.xml" Id="Rade4ebdbd0b64739" /><Relationship Type="http://schemas.openxmlformats.org/officeDocument/2006/relationships/worksheet" Target="/xl/worksheets/sheet1.xml" Id="R75d606e37a484e67" /><Relationship Type="http://schemas.openxmlformats.org/officeDocument/2006/relationships/worksheet" Target="/xl/worksheets/sheet2.xml" Id="R7cf726f73b1f4c88" /><Relationship Type="http://schemas.openxmlformats.org/officeDocument/2006/relationships/worksheet" Target="/xl/worksheets/sheet3.xml" Id="R517c7a1b159e4a3b" /><Relationship Type="http://schemas.openxmlformats.org/officeDocument/2006/relationships/worksheet" Target="/xl/worksheets/sheet4.xml" Id="Rfbd4db50f59346fa" /><Relationship Type="http://schemas.openxmlformats.org/officeDocument/2006/relationships/worksheet" Target="/xl/worksheets/sheet5.xml" Id="Rd0986fbafc224942" /><Relationship Type="http://schemas.openxmlformats.org/officeDocument/2006/relationships/worksheet" Target="/xl/worksheets/sheet6.xml" Id="Rc7c39a1dcb0343ae" /><Relationship Type="http://schemas.openxmlformats.org/officeDocument/2006/relationships/worksheet" Target="/xl/worksheets/sheet7.xml" Id="Rb2dc84ab7b4d46a0" /><Relationship Type="http://schemas.openxmlformats.org/officeDocument/2006/relationships/worksheet" Target="/xl/worksheets/sheet8.xml" Id="R6fe6e54a62174afb" /><Relationship Type="http://schemas.openxmlformats.org/officeDocument/2006/relationships/worksheet" Target="/xl/worksheets/sheet9.xml" Id="R1dac8286c4d94e24" /><Relationship Type="http://schemas.openxmlformats.org/officeDocument/2006/relationships/worksheet" Target="/xl/worksheets/sheet10.xml" Id="R6e81411fc06b4e19" /><Relationship Type="http://schemas.openxmlformats.org/officeDocument/2006/relationships/worksheet" Target="/xl/worksheets/sheet11.xml" Id="R199330900a5443a1" /><Relationship Type="http://schemas.openxmlformats.org/officeDocument/2006/relationships/worksheet" Target="/xl/worksheets/sheet12.xml" Id="R3503e2ad451f41aa" /><Relationship Type="http://schemas.openxmlformats.org/officeDocument/2006/relationships/worksheet" Target="/xl/worksheets/sheet13.xml" Id="R496c12ad5f494e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18da8ba36145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b89e6d855a4e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ec3896e83a4a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bb56391dac49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589fb349664a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a28af697c34f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f5b5fa59154d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5ec89f00f344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01f2c65b454b8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1d89218710044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RUN-TRF-030-20260829T101907173548Z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18917.763812499998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RUN-TRF-030-20260829T101907173548Z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18da8ba36145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RUN-TRF-030-20260829T101907173548Z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MAX_ATTEMPTS_REACHED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b89e6d855a4e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RUN-TRF-030-20260829T101907173548Z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RUN-TRF-030-20260829T101907173548Z</x:v>
      </x:c>
      <x:c r="C5" s="69" t="str">
        <x:v>TRF-030</x:v>
      </x:c>
      <x:c r="D5" s="70" t="n">
        <x:v>46263.42994415509</x:v>
      </x:c>
      <x:c r="E5" s="70" t="n">
        <x:v>46263.43171135417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all prior repairs, including the conditional load-length branch and distinct horizontal coverage. The vertical coverage remains insufficient: the requirement calls for several vertical locations between the UIWL-centred and 0.5h0-below-LIWL cases, but the current SPARQL requires only one intermediateVerticalPosition case. Add a bounded SHACL constraint requiring at least two distinct directAnalysisCase nodes with verticalLoadPositionType nltl:intermediateVerticalPosition, while retaining the three mandated vertical alternatives and same-case ownership/evidence structures. Do not impose an exact total case count or invent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ec3896e83a4a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RUN-TRF-030-20260829T101907173548Z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RUN-TRF-030-20260829T101907173548Z</x:v>
      </x:c>
      <x:c r="B5" s="45" t="str">
        <x:v>TRF-030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graph does not faithfully encode the required direct-analysis position coverage. Each directAnalysisCase must identify the mandated vertical position alternatives (UIWL-centred, 0.5h0 below LIWL, and intermediate positions) and horizontal alternatives (including mid-span or spacing-centred positions), using the supplied controlled position terms and/or the declared UIWL/LIWL reference operands. Numeric verticalLoadPosition and horizontalLoadPosition alone are an unsupported presence-only approximation and do not establish those relationships. Preserve the existing ship-to-case ownership and conditional loadPatchLength/iceLoadAreaFactorCa pairing, but add the required position-type/value structures without inventing new terms.</x:v>
      </x:c>
      <x:c r="I5" s="84" t="n">
        <x:v>19938.554</x:v>
      </x:c>
      <x:c r="J5" s="84" t="n">
        <x:v>8094.07</x:v>
      </x:c>
    </x:row>
    <x:row r="6">
      <x:c r="A6" s="47" t="str">
        <x:v>RUN-TRF-030-20260829T101907173548Z</x:v>
      </x:c>
      <x:c r="B6" s="47" t="str">
        <x:v>TRF-030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position-coverage repair: the controlled vertical and horizontal position structures now address that instruction. However, correct the load-length applicability alternatives. When loadLengthDeterminedFromArrangement is true, do not require loadPatchLength on every directAnalysisCase; when it is false, require several distinct directAnalysisCase nodes, each containing both loadPatchLength and its corresponding iceLoadAreaFactorCa on the same case node. Keep the shared case-node pairing and the required combined bending/shear and capacity-minimizing evidence. The current unconditional sh:minCount 3 case requirement is also too rigid unless the verified requirement independently fixes exactly three cases; encode the required several-case coverage without inventing an exact count.</x:v>
      </x:c>
      <x:c r="I6" s="86" t="n">
        <x:v>26634.343</x:v>
      </x:c>
      <x:c r="J6" s="86" t="n">
        <x:v>8582.314</x:v>
      </x:c>
    </x:row>
    <x:row r="7">
      <x:c r="A7" s="47" t="str">
        <x:v>RUN-TRF-030-20260829T101907173548Z</x:v>
      </x:c>
      <x:c r="B7" s="47" t="str">
        <x:v>TRF-030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conditional load-length repair: the true branch must not require loadPatchLength or iceLoadAreaFactorCa, while the false branch must keep both properties on each case. The remaining graph does not faithfully encode several horizontal locations: it only requires one mid-span-or-spacing-centered case, and the global sh:minCount 2 does not ensure an additional distinct horizontal location because cases may share the same horizontal type. Add a non-conjunctive bounded coverage constraint requiring several distinct horizontal directAnalysisCase nodes, including the mandated mid-span-or-spacing-centered location, without inventing an exact count. Keep the existing controlled vertical coverage, case ownership, same-case length/ca pairing, and required evidence fields.</x:v>
      </x:c>
      <x:c r="I7" s="86" t="n">
        <x:v>28386.784</x:v>
      </x:c>
      <x:c r="J7" s="86" t="n">
        <x:v>12590.612</x:v>
      </x:c>
    </x:row>
    <x:row r="8">
      <x:c r="A8" s="49" t="str">
        <x:v>RUN-TRF-030-20260829T101907173548Z</x:v>
      </x:c>
      <x:c r="B8" s="49" t="str">
        <x:v>TRF-030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all prior repairs, including the conditional load-length branch and distinct horizontal coverage. The vertical coverage remains insufficient: the requirement calls for several vertical locations between the UIWL-centred and 0.5h0-below-LIWL cases, but the current SPARQL requires only one intermediateVerticalPosition case. Add a bounded SHACL constraint requiring at least two distinct directAnalysisCase nodes with verticalLoadPositionType nltl:intermediateVerticalPosition, while retaining the three mandated vertical alternatives and same-case ownership/evidence structures. Do not impose an exact total case count or invent terms.</x:v>
      </x:c>
      <x:c r="I8" s="88" t="n">
        <x:v>32310.859</x:v>
      </x:c>
      <x:c r="J8" s="88" t="n">
        <x:v>14809.81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b56391dac49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RUN-TRF-030-20260829T101907173548Z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RUN-TRF-030-20260829T101907173548Z</x:v>
      </x:c>
      <x:c r="C5" s="45" t="str">
        <x:v>TRF-030</x:v>
      </x:c>
      <x:c r="D5" s="92" t="n">
        <x:v>46263.43017493055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19936.991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RUN-TRF-030-20260829T101907173548Z</x:v>
      </x:c>
      <x:c r="C6" s="47" t="str">
        <x:v>TRF-030</x:v>
      </x:c>
      <x:c r="D6" s="93" t="n">
        <x:v>46263.430174953704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19938.554</x:v>
      </x:c>
      <x:c r="L6" s="85" t="b">
        <x:v>0</x:v>
      </x:c>
      <x:c r="M6" s="47" t="str">
        <x:v>resp_0c80647720d0992d006a92b21b51ac8190859a288346ddda27</x:v>
      </x:c>
      <x:c r="N6" s="59" t="n">
        <x:v>14539</x:v>
      </x:c>
      <x:c r="O6" s="59" t="n">
        <x:v>2725</x:v>
      </x:c>
      <x:c r="P6" s="59" t="n">
        <x:v>17264</x:v>
      </x:c>
    </x:row>
    <x:row r="7">
      <x:c r="A7" s="47" t="str">
        <x:v>EVT-000045</x:v>
      </x:c>
      <x:c r="B7" s="47" t="str">
        <x:v>RUN-TRF-030-20260829T101907173548Z</x:v>
      </x:c>
      <x:c r="C7" s="47" t="str">
        <x:v>TRF-030</x:v>
      </x:c>
      <x:c r="D7" s="93" t="n">
        <x:v>46263.43027199074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8093.623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RUN-TRF-030-20260829T101907173548Z</x:v>
      </x:c>
      <x:c r="C8" s="47" t="str">
        <x:v>TRF-030</x:v>
      </x:c>
      <x:c r="D8" s="93" t="n">
        <x:v>46263.43027200231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8094.07</x:v>
      </x:c>
      <x:c r="L8" s="85" t="b">
        <x:v>0</x:v>
      </x:c>
      <x:c r="M8" s="47" t="str">
        <x:v>resp_0f3c5c2a0281c244006a92b22f8a04819586e49b2ebe032aa9</x:v>
      </x:c>
      <x:c r="N8" s="59" t="n">
        <x:v>15355</x:v>
      </x:c>
      <x:c r="O8" s="59" t="n">
        <x:v>670</x:v>
      </x:c>
      <x:c r="P8" s="59" t="n">
        <x:v>16025</x:v>
      </x:c>
    </x:row>
    <x:row r="9">
      <x:c r="A9" s="47" t="str">
        <x:v>EVT-000051</x:v>
      </x:c>
      <x:c r="B9" s="47" t="str">
        <x:v>RUN-TRF-030-20260829T101907173548Z</x:v>
      </x:c>
      <x:c r="C9" s="47" t="str">
        <x:v>TRF-030</x:v>
      </x:c>
      <x:c r="D9" s="93" t="n">
        <x:v>46263.430580277774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26632.742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RUN-TRF-030-20260829T101907173548Z</x:v>
      </x:c>
      <x:c r="C10" s="47" t="str">
        <x:v>TRF-030</x:v>
      </x:c>
      <x:c r="D10" s="93" t="n">
        <x:v>46263.43058030093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26634.343</x:v>
      </x:c>
      <x:c r="L10" s="85" t="b">
        <x:v>0</x:v>
      </x:c>
      <x:c r="M10" s="47" t="str">
        <x:v>resp_00f55289bfefc64d006a92b237a2a88196a26cff19a317b944</x:v>
      </x:c>
      <x:c r="N10" s="59" t="n">
        <x:v>14672</x:v>
      </x:c>
      <x:c r="O10" s="59" t="n">
        <x:v>3564</x:v>
      </x:c>
      <x:c r="P10" s="59" t="n">
        <x:v>18236</x:v>
      </x:c>
    </x:row>
    <x:row r="11">
      <x:c r="A11" s="47" t="str">
        <x:v>EVT-000059</x:v>
      </x:c>
      <x:c r="B11" s="47" t="str">
        <x:v>RUN-TRF-030-20260829T101907173548Z</x:v>
      </x:c>
      <x:c r="C11" s="47" t="str">
        <x:v>TRF-030</x:v>
      </x:c>
      <x:c r="D11" s="93" t="n">
        <x:v>46263.430683391205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8580.911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RUN-TRF-030-20260829T101907173548Z</x:v>
      </x:c>
      <x:c r="C12" s="47" t="str">
        <x:v>TRF-030</x:v>
      </x:c>
      <x:c r="D12" s="93" t="n">
        <x:v>46263.43068340278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8582.314</x:v>
      </x:c>
      <x:c r="L12" s="85" t="b">
        <x:v>0</x:v>
      </x:c>
      <x:c r="M12" s="47" t="str">
        <x:v>resp_0c76f0811422db26006a92b2529e3081908aa684b3484036dc</x:v>
      </x:c>
      <x:c r="N12" s="59" t="n">
        <x:v>16718</x:v>
      </x:c>
      <x:c r="O12" s="59" t="n">
        <x:v>679</x:v>
      </x:c>
      <x:c r="P12" s="59" t="n">
        <x:v>17397</x:v>
      </x:c>
    </x:row>
    <x:row r="13">
      <x:c r="A13" s="47" t="str">
        <x:v>EVT-000066</x:v>
      </x:c>
      <x:c r="B13" s="47" t="str">
        <x:v>RUN-TRF-030-20260829T101907173548Z</x:v>
      </x:c>
      <x:c r="C13" s="47" t="str">
        <x:v>TRF-030</x:v>
      </x:c>
      <x:c r="D13" s="93" t="n">
        <x:v>46263.431012002315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28385.211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RUN-TRF-030-20260829T101907173548Z</x:v>
      </x:c>
      <x:c r="C14" s="47" t="str">
        <x:v>TRF-030</x:v>
      </x:c>
      <x:c r="D14" s="93" t="n">
        <x:v>46263.43101202546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28386.784</x:v>
      </x:c>
      <x:c r="L14" s="85" t="b">
        <x:v>0</x:v>
      </x:c>
      <x:c r="M14" s="47" t="str">
        <x:v>resp_025b68e2fc0aa17e006a92b25b320c81958e227239291dd5e9</x:v>
      </x:c>
      <x:c r="N14" s="59" t="n">
        <x:v>14817</x:v>
      </x:c>
      <x:c r="O14" s="59" t="n">
        <x:v>3490</x:v>
      </x:c>
      <x:c r="P14" s="59" t="n">
        <x:v>18307</x:v>
      </x:c>
    </x:row>
    <x:row r="15">
      <x:c r="A15" s="47" t="str">
        <x:v>EVT-000074</x:v>
      </x:c>
      <x:c r="B15" s="47" t="str">
        <x:v>RUN-TRF-030-20260829T101907173548Z</x:v>
      </x:c>
      <x:c r="C15" s="47" t="str">
        <x:v>TRF-030</x:v>
      </x:c>
      <x:c r="D15" s="93" t="n">
        <x:v>46263.43116125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12588.974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EVT-000075</x:v>
      </x:c>
      <x:c r="B16" s="47" t="str">
        <x:v>RUN-TRF-030-20260829T101907173548Z</x:v>
      </x:c>
      <x:c r="C16" s="47" t="str">
        <x:v>TRF-030</x:v>
      </x:c>
      <x:c r="D16" s="93" t="n">
        <x:v>46263.43116127315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12590.612</x:v>
      </x:c>
      <x:c r="L16" s="85" t="b">
        <x:v>0</x:v>
      </x:c>
      <x:c r="M16" s="47" t="str">
        <x:v>resp_099c55b8211b89e9006a92b277f15c8196957d3b7907ec948b</x:v>
      </x:c>
      <x:c r="N16" s="59" t="n">
        <x:v>17078</x:v>
      </x:c>
      <x:c r="O16" s="59" t="n">
        <x:v>1197</x:v>
      </x:c>
      <x:c r="P16" s="59" t="n">
        <x:v>18275</x:v>
      </x:c>
    </x:row>
    <x:row r="17">
      <x:c r="A17" s="47" t="str">
        <x:v>EVT-000081</x:v>
      </x:c>
      <x:c r="B17" s="47" t="str">
        <x:v>RUN-TRF-030-20260829T101907173548Z</x:v>
      </x:c>
      <x:c r="C17" s="47" t="str">
        <x:v>TRF-030</x:v>
      </x:c>
      <x:c r="D17" s="93" t="n">
        <x:v>46263.43153528935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32309.536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EVT-000082</x:v>
      </x:c>
      <x:c r="B18" s="47" t="str">
        <x:v>RUN-TRF-030-20260829T101907173548Z</x:v>
      </x:c>
      <x:c r="C18" s="47" t="str">
        <x:v>TRF-030</x:v>
      </x:c>
      <x:c r="D18" s="93" t="n">
        <x:v>46263.43153530092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32310.859</x:v>
      </x:c>
      <x:c r="L18" s="85" t="b">
        <x:v>0</x:v>
      </x:c>
      <x:c r="M18" s="47" t="str">
        <x:v>resp_024a8beea5785eb2006a92b284775081939858bbe21df207ad</x:v>
      </x:c>
      <x:c r="N18" s="59" t="n">
        <x:v>14962</x:v>
      </x:c>
      <x:c r="O18" s="59" t="n">
        <x:v>3974</x:v>
      </x:c>
      <x:c r="P18" s="59" t="n">
        <x:v>18936</x:v>
      </x:c>
    </x:row>
    <x:row r="19">
      <x:c r="A19" s="47" t="str">
        <x:v>EVT-000089</x:v>
      </x:c>
      <x:c r="B19" s="47" t="str">
        <x:v>RUN-TRF-030-20260829T101907173548Z</x:v>
      </x:c>
      <x:c r="C19" s="47" t="str">
        <x:v>TRF-030</x:v>
      </x:c>
      <x:c r="D19" s="93" t="n">
        <x:v>46263.43171131944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14808.887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EVT-000090</x:v>
      </x:c>
      <x:c r="B20" s="49" t="str">
        <x:v>RUN-TRF-030-20260829T101907173548Z</x:v>
      </x:c>
      <x:c r="C20" s="49" t="str">
        <x:v>TRF-030</x:v>
      </x:c>
      <x:c r="D20" s="94" t="n">
        <x:v>46263.43171133102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14809.81</x:v>
      </x:c>
      <x:c r="L20" s="87" t="b">
        <x:v>0</x:v>
      </x:c>
      <x:c r="M20" s="49" t="str">
        <x:v>resp_0f1ef87df9214522006a92b2a5321c8195aac759159010a9e0</x:v>
      </x:c>
      <x:c r="N20" s="60" t="n">
        <x:v>18219</x:v>
      </x:c>
      <x:c r="O20" s="60" t="n">
        <x:v>1381</x:v>
      </x:c>
      <x:c r="P20" s="60" t="n">
        <x:v>19600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589fb349664a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RUN-TRF-030-20260829T101907173548Z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RUN-TRF-030-20260829T101907173548Z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RUN-TRF-030-20260829T101907173548Z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RUN-TRF-030-20260829T101907173548Z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RUN-TRF-030-20260829T101907173548Z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RUN-TRF-030-20260829T101907173548Z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RUN-TRF-030-20260829T101907173548Z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RUN-TRF-030-20260829T101907173548Z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RUN-TRF-030-20260829T101907173548Z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RUN-TRF-030-20260829T101907173548Z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RUN-TRF-030-20260829T101907173548Z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RUN-TRF-030-20260829T101907173548Z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RUN-TRF-030-20260829T101907173548Z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RUN-TRF-030-20260829T101907173548Z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RUN-TRF-030-20260829T101907173548Z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RUN-TRF-030-20260829T101907173548Z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RUN-TRF-030-20260829T101907173548Z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RUN-TRF-030-20260829T101907173548Z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RUN-TRF-030-20260829T101907173548Z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RUN-TRF-030-20260829T101907173548Z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RUN-TRF-030-20260829T101907173548Z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RUN-TRF-030-20260829T101907173548Z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RUN-TRF-030-20260829T101907173548Z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RUN-TRF-030-20260829T101907173548Z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RUN-TRF-030-20260829T101907173548Z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RUN-TRF-030-20260829T101907173548Z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RUN-TRF-030-20260829T101907173548Z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RUN-TRF-030-20260829T101907173548Z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RUN-TRF-030-20260829T101907173548Z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RUN-TRF-030-20260829T101907173548Z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a28af697c34f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RUN-TRF-030-20260829T101907173548Z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RUN-TRF-030-20260829T101907173548Z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7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RUN-TRF-030-20260829T101907173548Z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98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f5b5fa59154d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RUN-TRF-030-20260829T101907173548Z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RUN-TRF-030-20260829T101907173548Z</x:v>
      </x:c>
      <x:c r="B5" s="45" t="str">
        <x:v>TRF-030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https://w3id.org/nltl/vocab#ship | https://w3id.org/nltl/vocab#verticalLoadPosition</x:v>
      </x:c>
      <x:c r="O5" s="46" t="str"/>
      <x:c r="P5" s="46" t="str"/>
      <x:c r="Q5" s="46" t="str"/>
    </x:row>
    <x:row r="6">
      <x:c r="A6" s="47" t="str">
        <x:v>RUN-TRF-030-20260829T101907173548Z</x:v>
      </x:c>
      <x:c r="B6" s="47" t="str">
        <x:v>TRF-030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https://w3id.org/nltl/vocab#halfLoadHeightBelowLowerIceWaterlinePosition | https://w3id.org/nltl/vocab#hasDirectAnalysisCase | https://w3id.org/nltl/vocab#horizontalLoadPosition | https://w3id.org/nltl/vocab#horizontalLoadPositionType | https://w3id.org/nltl/vocab#iceLoadAreaFactorCa | https://w3id.org/nltl/vocab#icePressure | https://w3id.org/nltl/vocab#intermediateVerticalPosition | https://w3id.org/nltl/vocab#loadLengthDeterminedFromArrangement | https://w3id.org/nltl/vocab#loadPatchHeight | https://w3id.org/nltl/vocab#loadPatchLength | https://w3id.org/nltl/vocab#midSpanOrSpacingCenteredPosition | https://w3id.org/nltl/vocab#otherHorizontalPosition | https://w3id.org/nltl/vocab#ship | https://w3id.org/nltl/vocab#upperIceWaterlineCenteredPosition | https://w3id.org/nltl/vocab#verticalLoadPosition | https://w3id.org/nltl/vocab#verticalLoadPositionType</x:v>
      </x:c>
      <x:c r="O6" s="48" t="str"/>
      <x:c r="P6" s="48" t="str"/>
      <x:c r="Q6" s="48" t="str"/>
    </x:row>
    <x:row r="7">
      <x:c r="A7" s="47" t="str">
        <x:v>RUN-TRF-030-20260829T101907173548Z</x:v>
      </x:c>
      <x:c r="B7" s="47" t="str">
        <x:v>TRF-030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https://w3id.org/nltl/vocab#halfLoadHeightBelowLowerIceWaterlinePosition | https://w3id.org/nltl/vocab#hasDirectAnalysisCase | https://w3id.org/nltl/vocab#horizontalLoadPosition | https://w3id.org/nltl/vocab#horizontalLoadPositionType | https://w3id.org/nltl/vocab#iceLoadAreaFactorCa | https://w3id.org/nltl/vocab#icePressure | https://w3id.org/nltl/vocab#intermediateVerticalPosition | https://w3id.org/nltl/vocab#loadLengthDeterminedFromArrangement | https://w3id.org/nltl/vocab#loadPatchHeight | https://w3id.org/nltl/vocab#loadPatchLength | https://w3id.org/nltl/vocab#midSpanOrSpacingCenteredPosition | https://w3id.org/nltl/vocab#otherHorizontalPosition | https://w3id.org/nltl/vocab#ship | https://w3id.org/nltl/vocab#upperIceWaterlineCenteredPosition | https://w3id.org/nltl/vocab#verticalLoadPosition | https://w3id.org/nltl/vocab#verticalLoadPositionType</x:v>
      </x:c>
      <x:c r="O7" s="48" t="str"/>
      <x:c r="P7" s="48" t="str"/>
      <x:c r="Q7" s="48" t="str"/>
    </x:row>
    <x:row r="8">
      <x:c r="A8" s="49" t="str">
        <x:v>RUN-TRF-030-20260829T101907173548Z</x:v>
      </x:c>
      <x:c r="B8" s="49" t="str">
        <x:v>TRF-030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https://w3id.org/nltl/vocab#halfLoadHeightBelowLowerIceWaterlinePosition | https://w3id.org/nltl/vocab#hasDirectAnalysisCase | https://w3id.org/nltl/vocab#horizontalLoadPosition | https://w3id.org/nltl/vocab#horizontalLoadPositionType | https://w3id.org/nltl/vocab#iceLoadAreaFactorCa | https://w3id.org/nltl/vocab#icePressure | https://w3id.org/nltl/vocab#intermediateVerticalPosition | https://w3id.org/nltl/vocab#loadLengthDeterminedFromArrangement | https://w3id.org/nltl/vocab#loadPatchHeight | https://w3id.org/nltl/vocab#loadPatchLength | https://w3id.org/nltl/vocab#lowerIceWaterlineReferencePosition | https://w3id.org/nltl/vocab#midSpanOrSpacingCenteredPosition | https://w3id.org/nltl/vocab#otherHorizontalPosition | https://w3id.org/nltl/vocab#ship | https://w3id.org/nltl/vocab#spacing | https://w3id.org/nltl/vocab#span | https://w3id.org/nltl/vocab#upperIceWaterlineCenteredPosition | https://w3id.org/nltl/vocab#upperIceWaterlineReferencePosition | https://w3id.org/nltl/vocab#verticalLoadPosition | https://w3id.org/nltl/vocab#verticalLoadPositionType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15ec89f00f344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RUN-TRF-030-20260829T101907173548Z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RUN-TRF-030-20260829T101907173548Z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RUN-TRF-030-20260829T101907173548Z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RUN-TRF-030-20260829T101907173548Z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RUN-TRF-030-20260829T101907173548Z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RUN-TRF-030-20260829T101907173548Z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54ee10183a9c79d83a9054710bb5ce0bff3cac8e3666a2f3e8e3786ecc13141f</x:v>
      </x:c>
      <x:c r="G8" s="59" t="n">
        <x:v>7102</x:v>
      </x:c>
    </x:row>
    <x:row r="9">
      <x:c r="A9" s="47" t="str">
        <x:v>RUN-TRF-030-20260829T101907173548Z</x:v>
      </x:c>
      <x:c r="B9" s="47" t="str">
        <x:v>TRF-030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01c78eec1110855d0b88071e5589081ec353c9163531762a94d7d2d54d8da06d</x:v>
      </x:c>
      <x:c r="G9" s="59" t="n">
        <x:v>7077</x:v>
      </x:c>
    </x:row>
    <x:row r="10">
      <x:c r="A10" s="47" t="str">
        <x:v>RUN-TRF-030-20260829T101907173548Z</x:v>
      </x:c>
      <x:c r="B10" s="47" t="str">
        <x:v>TRF-030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3ae509d11ab1dfd3c7d6aec2f9978111749b7e07b0c8c58b1951e5a4445ae079</x:v>
      </x:c>
      <x:c r="G10" s="59" t="n">
        <x:v>1126</x:v>
      </x:c>
    </x:row>
    <x:row r="11">
      <x:c r="A11" s="47" t="str">
        <x:v>RUN-TRF-030-20260829T101907173548Z</x:v>
      </x:c>
      <x:c r="B11" s="47" t="str">
        <x:v>TRF-030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77d69168558c22a1dda99d4ae5d1060a76f3e3a8ac9f240f0c8fa099ce71174c</x:v>
      </x:c>
      <x:c r="G11" s="59" t="n">
        <x:v>64160</x:v>
      </x:c>
    </x:row>
    <x:row r="12">
      <x:c r="A12" s="47" t="str">
        <x:v>RUN-TRF-030-20260829T101907173548Z</x:v>
      </x:c>
      <x:c r="B12" s="47" t="str">
        <x:v>TRF-030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4e71b70f124cf20bbec693728325aa1e2915e234b18621f4a67faa9f855f6822</x:v>
      </x:c>
      <x:c r="G12" s="59" t="n">
        <x:v>811</x:v>
      </x:c>
    </x:row>
    <x:row r="13">
      <x:c r="A13" s="47" t="str">
        <x:v>RUN-TRF-030-20260829T101907173548Z</x:v>
      </x:c>
      <x:c r="B13" s="47" t="str">
        <x:v>TRF-030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e498321d220d277e29fbb5934e8e6458272060d654111e70948351f21005de2c</x:v>
      </x:c>
      <x:c r="G13" s="59" t="n">
        <x:v>63438</x:v>
      </x:c>
    </x:row>
    <x:row r="14">
      <x:c r="A14" s="47" t="str">
        <x:v>RUN-TRF-030-20260829T101907173548Z</x:v>
      </x:c>
      <x:c r="B14" s="47" t="str">
        <x:v>TRF-030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532fed515c6cdf2758267ef7892dbfd6ff45dab75bad21fb5ad863dfc5c107ee</x:v>
      </x:c>
      <x:c r="G14" s="59" t="n">
        <x:v>9214</x:v>
      </x:c>
    </x:row>
    <x:row r="15">
      <x:c r="A15" s="47" t="str">
        <x:v>RUN-TRF-030-20260829T101907173548Z</x:v>
      </x:c>
      <x:c r="B15" s="47" t="str">
        <x:v>TRF-030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ddb127f0a92c36807d645c9eb7691c2ff68709315ddc921aa7ace3e3f2605360</x:v>
      </x:c>
      <x:c r="G15" s="59" t="n">
        <x:v>9189</x:v>
      </x:c>
    </x:row>
    <x:row r="16">
      <x:c r="A16" s="47" t="str">
        <x:v>RUN-TRF-030-20260829T101907173548Z</x:v>
      </x:c>
      <x:c r="B16" s="47" t="str">
        <x:v>TRF-030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5ffac17e4896d6fb25c14003baa89aaa8a493cbfa7f92cd6664db49943188ca9</x:v>
      </x:c>
      <x:c r="G16" s="59" t="n">
        <x:v>1588</x:v>
      </x:c>
    </x:row>
    <x:row r="17">
      <x:c r="A17" s="47" t="str">
        <x:v>RUN-TRF-030-20260829T101907173548Z</x:v>
      </x:c>
      <x:c r="B17" s="47" t="str">
        <x:v>TRF-030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4f0b33228b55c1d07daaf422911ae36ec0544d2e93a1bf7f349d3d23365761a4</x:v>
      </x:c>
      <x:c r="G17" s="59" t="n">
        <x:v>70129</x:v>
      </x:c>
    </x:row>
    <x:row r="18">
      <x:c r="A18" s="47" t="str">
        <x:v>RUN-TRF-030-20260829T101907173548Z</x:v>
      </x:c>
      <x:c r="B18" s="47" t="str">
        <x:v>TRF-030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21d3d08a74fcac72f56c4ff95ea087e9696b2f97878f7d03a8bbe85a36d11dc2</x:v>
      </x:c>
      <x:c r="G18" s="59" t="n">
        <x:v>871</x:v>
      </x:c>
    </x:row>
    <x:row r="19">
      <x:c r="A19" s="47" t="str">
        <x:v>RUN-TRF-030-20260829T101907173548Z</x:v>
      </x:c>
      <x:c r="B19" s="47" t="str">
        <x:v>TRF-030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e1315514e473b6b71fe507c70ac86d91a6b085c83fe5a16dbd1bad26d817397f</x:v>
      </x:c>
      <x:c r="G19" s="59" t="n">
        <x:v>64252</x:v>
      </x:c>
    </x:row>
    <x:row r="20">
      <x:c r="A20" s="47" t="str">
        <x:v>RUN-TRF-030-20260829T101907173548Z</x:v>
      </x:c>
      <x:c r="B20" s="47" t="str">
        <x:v>TRF-030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043b68be8ec7d609fe1b4c16e3a779da35c94293f809c9acc07c1ce546c54ee6</x:v>
      </x:c>
      <x:c r="G20" s="59" t="n">
        <x:v>9120</x:v>
      </x:c>
    </x:row>
    <x:row r="21">
      <x:c r="A21" s="47" t="str">
        <x:v>RUN-TRF-030-20260829T101907173548Z</x:v>
      </x:c>
      <x:c r="B21" s="47" t="str">
        <x:v>TRF-030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ac7b63a539ca62c36b41ea9543a6b70246fc2aaaaadc8a7f559671faa6509d00</x:v>
      </x:c>
      <x:c r="G21" s="59" t="n">
        <x:v>9095</x:v>
      </x:c>
    </x:row>
    <x:row r="22">
      <x:c r="A22" s="47" t="str">
        <x:v>RUN-TRF-030-20260829T101907173548Z</x:v>
      </x:c>
      <x:c r="B22" s="47" t="str">
        <x:v>TRF-030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5ffac17e4896d6fb25c14003baa89aaa8a493cbfa7f92cd6664db49943188ca9</x:v>
      </x:c>
      <x:c r="G22" s="59" t="n">
        <x:v>1588</x:v>
      </x:c>
    </x:row>
    <x:row r="23">
      <x:c r="A23" s="47" t="str">
        <x:v>RUN-TRF-030-20260829T101907173548Z</x:v>
      </x:c>
      <x:c r="B23" s="47" t="str">
        <x:v>TRF-030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fa93855f87dfc8274ae6773be32ab63010a37aa736f1a1edc88ba23f50d2a9f7</x:v>
      </x:c>
      <x:c r="G23" s="59" t="n">
        <x:v>70898</x:v>
      </x:c>
    </x:row>
    <x:row r="24">
      <x:c r="A24" s="47" t="str">
        <x:v>RUN-TRF-030-20260829T101907173548Z</x:v>
      </x:c>
      <x:c r="B24" s="47" t="str">
        <x:v>TRF-030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52c00c1b37364375f028f3f7362c5a39b0ea2d7bb6e6ce0b3e57e53d76c8dcae</x:v>
      </x:c>
      <x:c r="G24" s="59" t="n">
        <x:v>854</x:v>
      </x:c>
    </x:row>
    <x:row r="25">
      <x:c r="A25" s="47" t="str">
        <x:v>RUN-TRF-030-20260829T101907173548Z</x:v>
      </x:c>
      <x:c r="B25" s="47" t="str">
        <x:v>TRF-030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d7aaba54be9964a5f2e6dc69d163c51a9aef84b1022b56ee820d3f6b27347cd9</x:v>
      </x:c>
      <x:c r="G25" s="59" t="n">
        <x:v>65049</x:v>
      </x:c>
    </x:row>
    <x:row r="26">
      <x:c r="A26" s="47" t="str">
        <x:v>RUN-TRF-030-20260829T101907173548Z</x:v>
      </x:c>
      <x:c r="B26" s="47" t="str">
        <x:v>TRF-030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e90a8ca635065ce717261af02413ebed9138d0b84a4268ac76ff87c36c127c3f</x:v>
      </x:c>
      <x:c r="G26" s="59" t="n">
        <x:v>10933</x:v>
      </x:c>
    </x:row>
    <x:row r="27">
      <x:c r="A27" s="47" t="str">
        <x:v>RUN-TRF-030-20260829T101907173548Z</x:v>
      </x:c>
      <x:c r="B27" s="47" t="str">
        <x:v>TRF-030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db90fcbc222a8c97265db8b3210a91c392f97caa0701dd3e582fdbc8e9ee74c4</x:v>
      </x:c>
      <x:c r="G27" s="59" t="n">
        <x:v>10908</x:v>
      </x:c>
    </x:row>
    <x:row r="28">
      <x:c r="A28" s="47" t="str">
        <x:v>RUN-TRF-030-20260829T101907173548Z</x:v>
      </x:c>
      <x:c r="B28" s="47" t="str">
        <x:v>TRF-030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6cb06cd88645d8cb2ee31c37a7d521e81b7b348139eb8a48e5bd9953f9f81ce2</x:v>
      </x:c>
      <x:c r="G28" s="59" t="n">
        <x:v>1811</x:v>
      </x:c>
    </x:row>
    <x:row r="29">
      <x:c r="A29" s="47" t="str">
        <x:v>RUN-TRF-030-20260829T101907173548Z</x:v>
      </x:c>
      <x:c r="B29" s="47" t="str">
        <x:v>TRF-030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dcc9a6d38c441987ce1759cc1554f7e0baef8d2ffb6316b05f21b41ec2071a5c</x:v>
      </x:c>
      <x:c r="G29" s="59" t="n">
        <x:v>75265</x:v>
      </x:c>
    </x:row>
    <x:row r="30">
      <x:c r="A30" s="49" t="str">
        <x:v>RUN-TRF-030-20260829T101907173548Z</x:v>
      </x:c>
      <x:c r="B30" s="49" t="str">
        <x:v>TRF-030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355657f36095f172a3b1ba50dea761f8d297a5af89a5dea27689a52dd2658108</x:v>
      </x:c>
      <x:c r="G30" s="60" t="n">
        <x:v>708</x:v>
      </x:c>
    </x:row>
  </x:sheetData>
  <x:pageMargins left="0.7" right="0.7" top="0.75" bottom="0.75" header="0.3" footer="0.3"/>
  <x:tableParts count="1">
    <x:tablePart xmlns:r="http://schemas.openxmlformats.org/officeDocument/2006/relationships" r:id="R2201f2c65b454b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RUN-TRF-030-20260829T101907173548Z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RUN-TRF-030-20260829T101907173548Z</x:v>
      </x:c>
      <x:c r="B5" s="69" t="str">
        <x:v>TRF-030</x:v>
      </x:c>
      <x:c r="C5" s="71" t="n">
        <x:v>4</x:v>
      </x:c>
      <x:c r="D5" s="69" t="str">
        <x:v>MAX_ATTEMPTS_REACHED</x:v>
      </x:c>
      <x:c r="E5" s="73" t="str">
        <x:v>Preserve all prior repairs, including the conditional load-length branch and distinct horizontal coverage. The vertical coverage remains insufficient: the requirement calls for several vertical locations between the UIWL-centred and 0.5h0-below-LIWL cases, but the current SPARQL requires only one intermediateVerticalPosition case. Add a bounded SHACL constraint requiring at least two distinct directAnalysisCase nodes with verticalLoadPositionType nltl:intermediateVerticalPosition, while retaining the three mandated vertical alternatives and same-case ownership/evidence structures. Do not impose an exact total case count or invent terms.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d89218710044c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RUN-TRF-030-20260829T101907173548Z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