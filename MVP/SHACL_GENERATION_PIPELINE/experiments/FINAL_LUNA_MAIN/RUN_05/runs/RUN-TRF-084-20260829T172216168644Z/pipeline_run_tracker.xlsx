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e60e7fb35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65cc005c724625"/>
    <x:sheet xmlns:r="http://schemas.openxmlformats.org/officeDocument/2006/relationships" name="README" sheetId="2" r:id="Rc12a8692fa494467"/>
    <x:sheet xmlns:r="http://schemas.openxmlformats.org/officeDocument/2006/relationships" name="REGULATION_QUEUE" sheetId="3" r:id="R6afed4c70cb54668"/>
    <x:sheet xmlns:r="http://schemas.openxmlformats.org/officeDocument/2006/relationships" name="RUNS" sheetId="4" r:id="Rcd65f1075e054ed9"/>
    <x:sheet xmlns:r="http://schemas.openxmlformats.org/officeDocument/2006/relationships" name="ITERATIONS" sheetId="5" r:id="Radde312d64954d99"/>
    <x:sheet xmlns:r="http://schemas.openxmlformats.org/officeDocument/2006/relationships" name="API_CALLS" sheetId="6" r:id="R439d145290464879"/>
    <x:sheet xmlns:r="http://schemas.openxmlformats.org/officeDocument/2006/relationships" name="TERM_RETRIEVAL" sheetId="7" r:id="R5266209f6fcf4b94"/>
    <x:sheet xmlns:r="http://schemas.openxmlformats.org/officeDocument/2006/relationships" name="FEW_SHOT_SELECTION" sheetId="8" r:id="Ra02391377b4f47e4"/>
    <x:sheet xmlns:r="http://schemas.openxmlformats.org/officeDocument/2006/relationships" name="VALIDATION" sheetId="9" r:id="R615bbb06ef674fee"/>
    <x:sheet xmlns:r="http://schemas.openxmlformats.org/officeDocument/2006/relationships" name="VOCAB_MATCHES" sheetId="10" r:id="R717a386e604c4fe4"/>
    <x:sheet xmlns:r="http://schemas.openxmlformats.org/officeDocument/2006/relationships" name="ARTIFACTS" sheetId="11" r:id="R5e0d6e1e87bf452b"/>
    <x:sheet xmlns:r="http://schemas.openxmlformats.org/officeDocument/2006/relationships" name="UNRESOLVED" sheetId="12" r:id="R20a5a3f1f7bf4b1b"/>
    <x:sheet xmlns:r="http://schemas.openxmlformats.org/officeDocument/2006/relationships" name="RDF_TEST_QUEUE" sheetId="13" r:id="R11f9972a568f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5d36326e6413f" /><Relationship Type="http://schemas.openxmlformats.org/officeDocument/2006/relationships/theme" Target="/xl/theme/theme1.xml" Id="Ra4b62dddd9ef49b5" /><Relationship Type="http://schemas.microsoft.com/office/2022/11/relationships/FeaturePropertyBag" Target="/xl/featurePropertyBag/featurePropertyBag.xml" Id="R2b5512e311364840" /><Relationship Type="http://schemas.openxmlformats.org/officeDocument/2006/relationships/sharedStrings" Target="/xl/sharedStrings.xml" Id="R0726e1a916494f57" /><Relationship Type="http://schemas.openxmlformats.org/officeDocument/2006/relationships/worksheet" Target="/xl/worksheets/sheet1.xml" Id="R1265cc005c724625" /><Relationship Type="http://schemas.openxmlformats.org/officeDocument/2006/relationships/worksheet" Target="/xl/worksheets/sheet2.xml" Id="Rc12a8692fa494467" /><Relationship Type="http://schemas.openxmlformats.org/officeDocument/2006/relationships/worksheet" Target="/xl/worksheets/sheet3.xml" Id="R6afed4c70cb54668" /><Relationship Type="http://schemas.openxmlformats.org/officeDocument/2006/relationships/worksheet" Target="/xl/worksheets/sheet4.xml" Id="Rcd65f1075e054ed9" /><Relationship Type="http://schemas.openxmlformats.org/officeDocument/2006/relationships/worksheet" Target="/xl/worksheets/sheet5.xml" Id="Radde312d64954d99" /><Relationship Type="http://schemas.openxmlformats.org/officeDocument/2006/relationships/worksheet" Target="/xl/worksheets/sheet6.xml" Id="R439d145290464879" /><Relationship Type="http://schemas.openxmlformats.org/officeDocument/2006/relationships/worksheet" Target="/xl/worksheets/sheet7.xml" Id="R5266209f6fcf4b94" /><Relationship Type="http://schemas.openxmlformats.org/officeDocument/2006/relationships/worksheet" Target="/xl/worksheets/sheet8.xml" Id="Ra02391377b4f47e4" /><Relationship Type="http://schemas.openxmlformats.org/officeDocument/2006/relationships/worksheet" Target="/xl/worksheets/sheet9.xml" Id="R615bbb06ef674fee" /><Relationship Type="http://schemas.openxmlformats.org/officeDocument/2006/relationships/worksheet" Target="/xl/worksheets/sheet10.xml" Id="R717a386e604c4fe4" /><Relationship Type="http://schemas.openxmlformats.org/officeDocument/2006/relationships/worksheet" Target="/xl/worksheets/sheet11.xml" Id="R5e0d6e1e87bf452b" /><Relationship Type="http://schemas.openxmlformats.org/officeDocument/2006/relationships/worksheet" Target="/xl/worksheets/sheet12.xml" Id="R20a5a3f1f7bf4b1b" /><Relationship Type="http://schemas.openxmlformats.org/officeDocument/2006/relationships/worksheet" Target="/xl/worksheets/sheet13.xml" Id="R11f9972a568f41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ec328a06dc4f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c696efc0974e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77617d3e0240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d7408982f14d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7e44b5a54f42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7cf0e8e3214d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09a4f4583a4b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1ee2be02be44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a27659aaaa4b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2ef0e5948949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RUN-TRF-084-20260829T172216168644Z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17629.466916666668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RUN-TRF-084-20260829T172216168644Z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ec328a06dc4f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RUN-TRF-084-20260829T172216168644Z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696efc0974e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RUN-TRF-084-20260829T172216168644Z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RUN-TRF-084-20260829T172216168644Z</x:v>
      </x:c>
      <x:c r="C5" s="69" t="str">
        <x:v>TRF-084</x:v>
      </x:c>
      <x:c r="D5" s="70" t="n">
        <x:v>46263.723798252315</x:v>
      </x:c>
      <x:c r="E5" s="70" t="n">
        <x:v>46263.725029409725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CP applicability, scopes pitchValueKnown to the CP branches, requires the declared bollard and free-running pitch operands on the ship owner, uses the canonical vocabulary and units, and applies the permitted DIRECT_CALCULATION formula with tolerance scaled from the expected 0.7*free-running result. The non-CP alternative is portable and does not impose CP-only inputs.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7617d3e0240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RUN-TRF-084-20260829T172216168644Z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RUN-TRF-084-20260829T172216168644Z</x:v>
      </x:c>
      <x:c r="B5" s="45" t="str">
        <x:v>TRF-084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ship-level sh:minCount 1 requirement for nltl:pitchValueKnown. That applicability/input selector is required only for CP branches; as written, the non-CP alternative incorrectly requires a pitch-known boolean even though the requirement is inapplicable. Keep pitchValueKnown scoped to the CP=true and CP=false alternatives, while retaining propellerType as the applicability discriminator.</x:v>
      </x:c>
      <x:c r="I5" s="84" t="n">
        <x:v>25382.889</x:v>
      </x:c>
      <x:c r="J5" s="84" t="n">
        <x:v>10135.621</x:v>
      </x:c>
    </x:row>
    <x:row r="6">
      <x:c r="A6" s="47" t="str">
        <x:v>RUN-TRF-084-20260829T172216168644Z</x:v>
      </x:c>
      <x:c r="B6" s="47" t="str">
        <x:v>TRF-084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keep pitchValueKnown scoped only to the CP=true and CP=false branches, with propellerType remaining the applicability discriminator. Replace both ABS(...) calls in the DIRECT_CALCULATION query, because ABS is not an allowed calculation operation; express absolute values using permitted IF piecewise branches with direct subtraction and comparisons, retaining tolerance scaled from the expected 0.7*free-running result. Also replace the negative-lookahead sh:pattern with a portable SHACL Core negation/value constraint if the deterministic evaluator does not support XPath lookahead.</x:v>
      </x:c>
      <x:c r="I6" s="86" t="n">
        <x:v>27952.767</x:v>
      </x:c>
      <x:c r="J6" s="86" t="n">
        <x:v>12509.355</x:v>
      </x:c>
    </x:row>
    <x:row r="7">
      <x:c r="A7" s="49" t="str">
        <x:v>RUN-TRF-084-20260829T172216168644Z</x:v>
      </x:c>
      <x:c r="B7" s="49" t="str">
        <x:v>TRF-084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CP applicability, scopes pitchValueKnown to the CP branches, requires the declared bollard and free-running pitch operands on the ship owner, uses the canonical vocabulary and units, and applies the permitted DIRECT_CALCULATION formula with tolerance scaled from the expected 0.7*free-running result. The non-CP alternative is portable and does not impose CP-only inputs. No repair is required.</x:v>
      </x:c>
      <x:c r="I7" s="88" t="n">
        <x:v>22509.53</x:v>
      </x:c>
      <x:c r="J7" s="88" t="n">
        <x:v>7290.731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7408982f14d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RUN-TRF-084-20260829T172216168644Z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RUN-TRF-084-20260829T172216168644Z</x:v>
      </x:c>
      <x:c r="C5" s="45" t="str">
        <x:v>TRF-084</x:v>
      </x:c>
      <x:c r="D5" s="92" t="n">
        <x:v>46263.72409203704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25381.234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RUN-TRF-084-20260829T172216168644Z</x:v>
      </x:c>
      <x:c r="C6" s="47" t="str">
        <x:v>TRF-084</x:v>
      </x:c>
      <x:c r="D6" s="93" t="n">
        <x:v>46263.724092048615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25382.889</x:v>
      </x:c>
      <x:c r="L6" s="85" t="b">
        <x:v>0</x:v>
      </x:c>
      <x:c r="M6" s="47" t="str">
        <x:v>resp_04f62a72de8c0e7e006a9315484118819385234cfe9e23d11a</x:v>
      </x:c>
      <x:c r="N6" s="59" t="n">
        <x:v>7346</x:v>
      </x:c>
      <x:c r="O6" s="59" t="n">
        <x:v>3247</x:v>
      </x:c>
      <x:c r="P6" s="59" t="n">
        <x:v>10593</x:v>
      </x:c>
    </x:row>
    <x:row r="7">
      <x:c r="A7" s="47" t="str">
        <x:v>EVT-000024</x:v>
      </x:c>
      <x:c r="B7" s="47" t="str">
        <x:v>RUN-TRF-084-20260829T172216168644Z</x:v>
      </x:c>
      <x:c r="C7" s="47" t="str">
        <x:v>TRF-084</x:v>
      </x:c>
      <x:c r="D7" s="93" t="n">
        <x:v>46263.7242115625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10134.826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RUN-TRF-084-20260829T172216168644Z</x:v>
      </x:c>
      <x:c r="C8" s="47" t="str">
        <x:v>TRF-084</x:v>
      </x:c>
      <x:c r="D8" s="93" t="n">
        <x:v>46263.724211574074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10135.621</x:v>
      </x:c>
      <x:c r="L8" s="85" t="b">
        <x:v>0</x:v>
      </x:c>
      <x:c r="M8" s="47" t="str">
        <x:v>resp_0abee7d0a38f2c2e006a931561d36c8197baecb7804c896944</x:v>
      </x:c>
      <x:c r="N8" s="59" t="n">
        <x:v>6735</x:v>
      </x:c>
      <x:c r="O8" s="59" t="n">
        <x:v>886</x:v>
      </x:c>
      <x:c r="P8" s="59" t="n">
        <x:v>7621</x:v>
      </x:c>
    </x:row>
    <x:row r="9">
      <x:c r="A9" s="47" t="str">
        <x:v>EVT-000030</x:v>
      </x:c>
      <x:c r="B9" s="47" t="str">
        <x:v>RUN-TRF-084-20260829T172216168644Z</x:v>
      </x:c>
      <x:c r="C9" s="47" t="str">
        <x:v>TRF-084</x:v>
      </x:c>
      <x:c r="D9" s="93" t="n">
        <x:v>46263.72453511574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27951.24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RUN-TRF-084-20260829T172216168644Z</x:v>
      </x:c>
      <x:c r="C10" s="47" t="str">
        <x:v>TRF-084</x:v>
      </x:c>
      <x:c r="D10" s="93" t="n">
        <x:v>46263.72453513889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27952.767</x:v>
      </x:c>
      <x:c r="L10" s="85" t="b">
        <x:v>0</x:v>
      </x:c>
      <x:c r="M10" s="47" t="str">
        <x:v>resp_0931e5e047145a72006a93156c03e881908fccf8eef94c1359</x:v>
      </x:c>
      <x:c r="N10" s="59" t="n">
        <x:v>7424</x:v>
      </x:c>
      <x:c r="O10" s="59" t="n">
        <x:v>3116</x:v>
      </x:c>
      <x:c r="P10" s="59" t="n">
        <x:v>10540</x:v>
      </x:c>
    </x:row>
    <x:row r="11">
      <x:c r="A11" s="47" t="str">
        <x:v>EVT-000038</x:v>
      </x:c>
      <x:c r="B11" s="47" t="str">
        <x:v>RUN-TRF-084-20260829T172216168644Z</x:v>
      </x:c>
      <x:c r="C11" s="47" t="str">
        <x:v>TRF-084</x:v>
      </x:c>
      <x:c r="D11" s="93" t="n">
        <x:v>46263.72468208333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12507.947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RUN-TRF-084-20260829T172216168644Z</x:v>
      </x:c>
      <x:c r="C12" s="47" t="str">
        <x:v>TRF-084</x:v>
      </x:c>
      <x:c r="D12" s="93" t="n">
        <x:v>46263.72468209491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12509.355</x:v>
      </x:c>
      <x:c r="L12" s="85" t="b">
        <x:v>0</x:v>
      </x:c>
      <x:c r="M12" s="47" t="str">
        <x:v>resp_08fb076aba8daa0a006a9315881ed481959118c5aa1b618922</x:v>
      </x:c>
      <x:c r="N12" s="59" t="n">
        <x:v>6892</x:v>
      </x:c>
      <x:c r="O12" s="59" t="n">
        <x:v>1054</x:v>
      </x:c>
      <x:c r="P12" s="59" t="n">
        <x:v>7946</x:v>
      </x:c>
    </x:row>
    <x:row r="13">
      <x:c r="A13" s="47" t="str">
        <x:v>EVT-000045</x:v>
      </x:c>
      <x:c r="B13" s="47" t="str">
        <x:v>RUN-TRF-084-20260829T172216168644Z</x:v>
      </x:c>
      <x:c r="C13" s="47" t="str">
        <x:v>TRF-084</x:v>
      </x:c>
      <x:c r="D13" s="93" t="n">
        <x:v>46263.72494267361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22508.185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RUN-TRF-084-20260829T172216168644Z</x:v>
      </x:c>
      <x:c r="C14" s="47" t="str">
        <x:v>TRF-084</x:v>
      </x:c>
      <x:c r="D14" s="93" t="n">
        <x:v>46263.72494269676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22509.53</x:v>
      </x:c>
      <x:c r="L14" s="85" t="b">
        <x:v>0</x:v>
      </x:c>
      <x:c r="M14" s="47" t="str">
        <x:v>resp_03ae5bf6651c67ff006a931594a4ec8195af191bf56ca6e8f3</x:v>
      </x:c>
      <x:c r="N14" s="59" t="n">
        <x:v>7539</x:v>
      </x:c>
      <x:c r="O14" s="59" t="n">
        <x:v>2667</x:v>
      </x:c>
      <x:c r="P14" s="59" t="n">
        <x:v>10206</x:v>
      </x:c>
    </x:row>
    <x:row r="15">
      <x:c r="A15" s="47" t="str">
        <x:v>EVT-000053</x:v>
      </x:c>
      <x:c r="B15" s="47" t="str">
        <x:v>RUN-TRF-084-20260829T172216168644Z</x:v>
      </x:c>
      <x:c r="C15" s="47" t="str">
        <x:v>TRF-084</x:v>
      </x:c>
      <x:c r="D15" s="93" t="n">
        <x:v>46263.725029340276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7289.278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RUN-TRF-084-20260829T172216168644Z</x:v>
      </x:c>
      <x:c r="C16" s="49" t="str">
        <x:v>TRF-084</x:v>
      </x:c>
      <x:c r="D16" s="94" t="n">
        <x:v>46263.72502935185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7290.731</x:v>
      </x:c>
      <x:c r="L16" s="87" t="b">
        <x:v>0</x:v>
      </x:c>
      <x:c r="M16" s="49" t="str">
        <x:v>resp_08c6c4afacbef23e006a9315ab549c8197a32c0c71443b9d74</x:v>
      </x:c>
      <x:c r="N16" s="60" t="n">
        <x:v>6747</x:v>
      </x:c>
      <x:c r="O16" s="60" t="n">
        <x:v>621</x:v>
      </x:c>
      <x:c r="P16" s="60" t="n">
        <x:v>7368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7e44b5a54f42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RUN-TRF-084-20260829T172216168644Z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RUN-TRF-084-20260829T172216168644Z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RUN-TRF-084-20260829T172216168644Z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RUN-TRF-084-20260829T172216168644Z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RUN-TRF-084-20260829T172216168644Z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RUN-TRF-084-20260829T172216168644Z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RUN-TRF-084-20260829T172216168644Z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RUN-TRF-084-20260829T172216168644Z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RUN-TRF-084-20260829T172216168644Z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7cf0e8e3214d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RUN-TRF-084-20260829T172216168644Z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RUN-TRF-084-20260829T172216168644Z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RUN-TRF-084-20260829T172216168644Z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9a4f4583a4b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RUN-TRF-084-20260829T172216168644Z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RUN-TRF-084-20260829T172216168644Z</x:v>
      </x:c>
      <x:c r="B5" s="45" t="str">
        <x:v>TRF-084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RUN-TRF-084-20260829T172216168644Z</x:v>
      </x:c>
      <x:c r="B6" s="47" t="str">
        <x:v>TRF-084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48" t="str"/>
      <x:c r="P6" s="48" t="str"/>
      <x:c r="Q6" s="48" t="str"/>
    </x:row>
    <x:row r="7">
      <x:c r="A7" s="49" t="str">
        <x:v>RUN-TRF-084-20260829T172216168644Z</x:v>
      </x:c>
      <x:c r="B7" s="49" t="str">
        <x:v>TRF-084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31ee2be02be44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RUN-TRF-084-20260829T172216168644Z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RUN-TRF-084-20260829T172216168644Z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RUN-TRF-084-20260829T172216168644Z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RUN-TRF-084-20260829T172216168644Z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RUN-TRF-084-20260829T172216168644Z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RUN-TRF-084-20260829T172216168644Z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3dd0961251c2f7153004642527960b41c48db32fc5407ac7fed298fea5855ea8</x:v>
      </x:c>
      <x:c r="G8" s="59" t="n">
        <x:v>6057</x:v>
      </x:c>
    </x:row>
    <x:row r="9">
      <x:c r="A9" s="47" t="str">
        <x:v>RUN-TRF-084-20260829T172216168644Z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fea786b7e9ee3e61b12534390b4f556075da2ad34c9fe6266a5dab1d6a899fb4</x:v>
      </x:c>
      <x:c r="G9" s="59" t="n">
        <x:v>6032</x:v>
      </x:c>
    </x:row>
    <x:row r="10">
      <x:c r="A10" s="47" t="str">
        <x:v>RUN-TRF-084-20260829T172216168644Z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RUN-TRF-084-20260829T172216168644Z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2337413ce30e26f0f4686f56cada5d38e8fe54c84e2eba912afdfa17b5df3256</x:v>
      </x:c>
      <x:c r="G11" s="59" t="n">
        <x:v>27639</x:v>
      </x:c>
    </x:row>
    <x:row r="12">
      <x:c r="A12" s="47" t="str">
        <x:v>RUN-TRF-084-20260829T172216168644Z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6366f2a1cb603f02ec8ed92a909c5b580a89fa66d88db9503174813268f20ad6</x:v>
      </x:c>
      <x:c r="G12" s="59" t="n">
        <x:v>478</x:v>
      </x:c>
    </x:row>
    <x:row r="13">
      <x:c r="A13" s="47" t="str">
        <x:v>RUN-TRF-084-20260829T172216168644Z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ab7a52cb0f152f2a9759f59e17b27481714eda0cfea85c7942b1dfad4ed080f2</x:v>
      </x:c>
      <x:c r="G13" s="59" t="n">
        <x:v>30553</x:v>
      </x:c>
    </x:row>
    <x:row r="14">
      <x:c r="A14" s="47" t="str">
        <x:v>RUN-TRF-084-20260829T172216168644Z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3e3df4f68aac689369e5d40cf8965964098e1244fe11180b577b4527dddb3582</x:v>
      </x:c>
      <x:c r="G14" s="59" t="n">
        <x:v>6383</x:v>
      </x:c>
    </x:row>
    <x:row r="15">
      <x:c r="A15" s="47" t="str">
        <x:v>RUN-TRF-084-20260829T172216168644Z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632dc7f8831e1d55e0b47908eefbb7cd84091a86c2002cb39f4a958f476bc462</x:v>
      </x:c>
      <x:c r="G15" s="59" t="n">
        <x:v>6358</x:v>
      </x:c>
    </x:row>
    <x:row r="16">
      <x:c r="A16" s="47" t="str">
        <x:v>RUN-TRF-084-20260829T172216168644Z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RUN-TRF-084-20260829T172216168644Z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a03e92aac09de1627db374e5ee93de03744bd3a1f7f28356372d359881a8341a</x:v>
      </x:c>
      <x:c r="G17" s="59" t="n">
        <x:v>28392</x:v>
      </x:c>
    </x:row>
    <x:row r="18">
      <x:c r="A18" s="47" t="str">
        <x:v>RUN-TRF-084-20260829T172216168644Z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3c4656ee8ff3a865832c2e8c3ffe4389fdd61fbbf0a69e154fdbeb80b65c72ef</x:v>
      </x:c>
      <x:c r="G18" s="59" t="n">
        <x:v>675</x:v>
      </x:c>
    </x:row>
    <x:row r="19">
      <x:c r="A19" s="47" t="str">
        <x:v>RUN-TRF-084-20260829T172216168644Z</x:v>
      </x:c>
      <x:c r="B19" s="47" t="str">
        <x:v>TRF-084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bf9e2ef7c0b27162da105e7db94a605441cd34e28f618839bbb950a28e3e1908</x:v>
      </x:c>
      <x:c r="G19" s="59" t="n">
        <x:v>31171</x:v>
      </x:c>
    </x:row>
    <x:row r="20">
      <x:c r="A20" s="47" t="str">
        <x:v>RUN-TRF-084-20260829T172216168644Z</x:v>
      </x:c>
      <x:c r="B20" s="47" t="str">
        <x:v>TRF-084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27d7c3d0b8be2042697f0a6b900904b37d89f3e93c52357244e49be804c81b98</x:v>
      </x:c>
      <x:c r="G20" s="59" t="n">
        <x:v>5893</x:v>
      </x:c>
    </x:row>
    <x:row r="21">
      <x:c r="A21" s="47" t="str">
        <x:v>RUN-TRF-084-20260829T172216168644Z</x:v>
      </x:c>
      <x:c r="B21" s="47" t="str">
        <x:v>TRF-084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263f3fe19b5f4c9b0c09252ca41562fc86d4187acb39b1e879003f12e9a03f7e</x:v>
      </x:c>
      <x:c r="G21" s="59" t="n">
        <x:v>5868</x:v>
      </x:c>
    </x:row>
    <x:row r="22">
      <x:c r="A22" s="47" t="str">
        <x:v>RUN-TRF-084-20260829T172216168644Z</x:v>
      </x:c>
      <x:c r="B22" s="47" t="str">
        <x:v>TRF-084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40a061e6760c2c056f54eaa73580102faeabe284c290b5b818447321779449da</x:v>
      </x:c>
      <x:c r="G22" s="59" t="n">
        <x:v>657</x:v>
      </x:c>
    </x:row>
    <x:row r="23">
      <x:c r="A23" s="47" t="str">
        <x:v>RUN-TRF-084-20260829T172216168644Z</x:v>
      </x:c>
      <x:c r="B23" s="47" t="str">
        <x:v>TRF-084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bc6f4a5f7053178e5f6059b57ff8738bbff4a7b6d8c13f4615ae85bf4c8ee264</x:v>
      </x:c>
      <x:c r="G23" s="59" t="n">
        <x:v>28491</x:v>
      </x:c>
    </x:row>
    <x:row r="24">
      <x:c r="A24" s="47" t="str">
        <x:v>RUN-TRF-084-20260829T172216168644Z</x:v>
      </x:c>
      <x:c r="B24" s="47" t="str">
        <x:v>TRF-084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052e9ec9ca92676e93f88dd9e1375ec767e0f6030c3f45852466d57a8d8f46c7</x:v>
      </x:c>
      <x:c r="G24" s="59" t="n">
        <x:v>494</x:v>
      </x:c>
    </x:row>
    <x:row r="25">
      <x:c r="A25" s="49" t="str">
        <x:v>RUN-TRF-084-20260829T172216168644Z</x:v>
      </x:c>
      <x:c r="B25" s="49" t="str">
        <x:v>TRF-084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263f3fe19b5f4c9b0c09252ca41562fc86d4187acb39b1e879003f12e9a03f7e</x:v>
      </x:c>
      <x:c r="G25" s="60" t="n">
        <x:v>5868</x:v>
      </x:c>
    </x:row>
  </x:sheetData>
  <x:pageMargins left="0.7" right="0.7" top="0.75" bottom="0.75" header="0.3" footer="0.3"/>
  <x:tableParts count="1">
    <x:tablePart xmlns:r="http://schemas.openxmlformats.org/officeDocument/2006/relationships" r:id="R6ca27659aaaa4b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RUN-TRF-084-20260829T172216168644Z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RUN-TRF-084-20260829T172216168644Z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RUN-TRF-084-20260829T172216168644Z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ef0e594894973"/>
  </x:tableParts>
</x:worksheet>
</file>