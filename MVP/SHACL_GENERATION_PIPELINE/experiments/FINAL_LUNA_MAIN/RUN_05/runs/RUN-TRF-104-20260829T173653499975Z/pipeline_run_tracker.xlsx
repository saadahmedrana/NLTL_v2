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d444111bb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7ca0d0547946cd"/>
    <x:sheet xmlns:r="http://schemas.openxmlformats.org/officeDocument/2006/relationships" name="README" sheetId="2" r:id="Reb918925e968453d"/>
    <x:sheet xmlns:r="http://schemas.openxmlformats.org/officeDocument/2006/relationships" name="REGULATION_QUEUE" sheetId="3" r:id="R3f78cb7dff254584"/>
    <x:sheet xmlns:r="http://schemas.openxmlformats.org/officeDocument/2006/relationships" name="RUNS" sheetId="4" r:id="R188616d6b351488e"/>
    <x:sheet xmlns:r="http://schemas.openxmlformats.org/officeDocument/2006/relationships" name="ITERATIONS" sheetId="5" r:id="R327ee60389fe4ecf"/>
    <x:sheet xmlns:r="http://schemas.openxmlformats.org/officeDocument/2006/relationships" name="API_CALLS" sheetId="6" r:id="Ra0eca0490dd44e67"/>
    <x:sheet xmlns:r="http://schemas.openxmlformats.org/officeDocument/2006/relationships" name="TERM_RETRIEVAL" sheetId="7" r:id="Re2388a736c684b93"/>
    <x:sheet xmlns:r="http://schemas.openxmlformats.org/officeDocument/2006/relationships" name="FEW_SHOT_SELECTION" sheetId="8" r:id="Rb24582e057b24b18"/>
    <x:sheet xmlns:r="http://schemas.openxmlformats.org/officeDocument/2006/relationships" name="VALIDATION" sheetId="9" r:id="R44a8fac80b3d4e7f"/>
    <x:sheet xmlns:r="http://schemas.openxmlformats.org/officeDocument/2006/relationships" name="VOCAB_MATCHES" sheetId="10" r:id="R17e468eae3e24fd6"/>
    <x:sheet xmlns:r="http://schemas.openxmlformats.org/officeDocument/2006/relationships" name="ARTIFACTS" sheetId="11" r:id="Rff3a25d2a7bc42d8"/>
    <x:sheet xmlns:r="http://schemas.openxmlformats.org/officeDocument/2006/relationships" name="UNRESOLVED" sheetId="12" r:id="Rd0b318d7ccc64a4b"/>
    <x:sheet xmlns:r="http://schemas.openxmlformats.org/officeDocument/2006/relationships" name="RDF_TEST_QUEUE" sheetId="13" r:id="R681aa4e2d885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e9a6d2a784dea" /><Relationship Type="http://schemas.openxmlformats.org/officeDocument/2006/relationships/theme" Target="/xl/theme/theme1.xml" Id="Rb11057cb84c54a72" /><Relationship Type="http://schemas.microsoft.com/office/2022/11/relationships/FeaturePropertyBag" Target="/xl/featurePropertyBag/featurePropertyBag.xml" Id="Rb4d8c1153d4f4fb7" /><Relationship Type="http://schemas.openxmlformats.org/officeDocument/2006/relationships/sharedStrings" Target="/xl/sharedStrings.xml" Id="Rb76de042fdc44c2d" /><Relationship Type="http://schemas.openxmlformats.org/officeDocument/2006/relationships/worksheet" Target="/xl/worksheets/sheet1.xml" Id="R477ca0d0547946cd" /><Relationship Type="http://schemas.openxmlformats.org/officeDocument/2006/relationships/worksheet" Target="/xl/worksheets/sheet2.xml" Id="Reb918925e968453d" /><Relationship Type="http://schemas.openxmlformats.org/officeDocument/2006/relationships/worksheet" Target="/xl/worksheets/sheet3.xml" Id="R3f78cb7dff254584" /><Relationship Type="http://schemas.openxmlformats.org/officeDocument/2006/relationships/worksheet" Target="/xl/worksheets/sheet4.xml" Id="R188616d6b351488e" /><Relationship Type="http://schemas.openxmlformats.org/officeDocument/2006/relationships/worksheet" Target="/xl/worksheets/sheet5.xml" Id="R327ee60389fe4ecf" /><Relationship Type="http://schemas.openxmlformats.org/officeDocument/2006/relationships/worksheet" Target="/xl/worksheets/sheet6.xml" Id="Ra0eca0490dd44e67" /><Relationship Type="http://schemas.openxmlformats.org/officeDocument/2006/relationships/worksheet" Target="/xl/worksheets/sheet7.xml" Id="Re2388a736c684b93" /><Relationship Type="http://schemas.openxmlformats.org/officeDocument/2006/relationships/worksheet" Target="/xl/worksheets/sheet8.xml" Id="Rb24582e057b24b18" /><Relationship Type="http://schemas.openxmlformats.org/officeDocument/2006/relationships/worksheet" Target="/xl/worksheets/sheet9.xml" Id="R44a8fac80b3d4e7f" /><Relationship Type="http://schemas.openxmlformats.org/officeDocument/2006/relationships/worksheet" Target="/xl/worksheets/sheet10.xml" Id="R17e468eae3e24fd6" /><Relationship Type="http://schemas.openxmlformats.org/officeDocument/2006/relationships/worksheet" Target="/xl/worksheets/sheet11.xml" Id="Rff3a25d2a7bc42d8" /><Relationship Type="http://schemas.openxmlformats.org/officeDocument/2006/relationships/worksheet" Target="/xl/worksheets/sheet12.xml" Id="Rd0b318d7ccc64a4b" /><Relationship Type="http://schemas.openxmlformats.org/officeDocument/2006/relationships/worksheet" Target="/xl/worksheets/sheet13.xml" Id="R681aa4e2d88545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c76d367356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b0dbe67cd9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a7152dd9864e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fa6e864bf4c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dcc546a7f34f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0299d026c54e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30e8adcad446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a2efd21d0244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0bf5ac987643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0143a150ed44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RUN-TRF-104-20260829T173653499975Z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13220.131250000002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RUN-TRF-104-20260829T173653499975Z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c76d3673564f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RUN-TRF-104-20260829T173653499975Z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b0dbe67cd948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RUN-TRF-104-20260829T173653499975Z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RUN-TRF-104-20260829T173653499975Z</x:v>
      </x:c>
      <x:c r="C5" s="69" t="str">
        <x:v>TRF-104</x:v>
      </x:c>
      <x:c r="D5" s="70" t="n">
        <x:v>46263.733952546296</x:v>
      </x:c>
      <x:c r="E5" s="70" t="n">
        <x:v>46263.73456646991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validation. It targets ship, preserves the ship-owned pyramidStrengthPrinciple, requires the ship-to-propellerShaftLineComponent relationship, and constrains each linked component's significantDamageFromBladeLoss to xsd:boolean false.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7152dd9864e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RUN-TRF-104-20260829T173653499975Z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RUN-TRF-104-20260829T173653499975Z</x:v>
      </x:c>
      <x:c r="B5" s="45" t="str">
        <x:v>TRF-104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 the conditional propellerBladeLoss alternative: the verified requirement does not declare blade loss as an applicability selector, and the false branch creates an accidental pass without checking shaft-line damage. Remove that boolean gate and directly constrain the required ship-to-propellerShaftLineComponent relationship, with the relationship existence/cardinality required by the obligation, so each linked component has significantDamageFromBladeLoss xsd:boolean false. Retain the ship-owned pyramidStrengthPrinciple datatype and target; no vocabulary matcher is needed because all required canonical terms are supplied.</x:v>
      </x:c>
      <x:c r="I5" s="81" t="n">
        <x:v>30916.647</x:v>
      </x:c>
      <x:c r="J5" s="81" t="n">
        <x:v>8581.611</x:v>
      </x:c>
    </x:row>
    <x:row r="6">
      <x:c r="A6" s="49" t="str">
        <x:v>RUN-TRF-104-20260829T173653499975Z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passes deterministic validation. It targets ship, preserves the ship-owned pyramidStrengthPrinciple, requires the ship-to-propellerShaftLineComponent relationship, and constrains each linked component's significantDamageFromBladeLoss to xsd:boolean false. No vocabulary matcher is needed.</x:v>
      </x:c>
      <x:c r="I6" s="83" t="n">
        <x:v>9019.182</x:v>
      </x:c>
      <x:c r="J6" s="83" t="n">
        <x:v>4366.066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fa6e864bf4c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RUN-TRF-104-20260829T173653499975Z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RUN-TRF-104-20260829T173653499975Z</x:v>
      </x:c>
      <x:c r="C5" s="45" t="str">
        <x:v>TRF-104</x:v>
      </x:c>
      <x:c r="D5" s="90" t="n">
        <x:v>46263.734310381944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30914.84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RUN-TRF-104-20260829T173653499975Z</x:v>
      </x:c>
      <x:c r="C6" s="47" t="str">
        <x:v>TRF-104</x:v>
      </x:c>
      <x:c r="D6" s="91" t="n">
        <x:v>46263.734310405096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30916.647</x:v>
      </x:c>
      <x:c r="L6" s="93" t="b">
        <x:v>0</x:v>
      </x:c>
      <x:c r="M6" s="47" t="str">
        <x:v>resp_0c878e23060b8a2f006a9318b68a008194aa55a721042268e5</x:v>
      </x:c>
      <x:c r="N6" s="59" t="n">
        <x:v>6961</x:v>
      </x:c>
      <x:c r="O6" s="59" t="n">
        <x:v>2198</x:v>
      </x:c>
      <x:c r="P6" s="59" t="n">
        <x:v>9159</x:v>
      </x:c>
    </x:row>
    <x:row r="7">
      <x:c r="A7" s="47" t="str">
        <x:v>EVT-000027</x:v>
      </x:c>
      <x:c r="B7" s="47" t="str">
        <x:v>RUN-TRF-104-20260829T173653499975Z</x:v>
      </x:c>
      <x:c r="C7" s="47" t="str">
        <x:v>TRF-104</x:v>
      </x:c>
      <x:c r="D7" s="91" t="n">
        <x:v>46263.734410729165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8580.49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RUN-TRF-104-20260829T173653499975Z</x:v>
      </x:c>
      <x:c r="C8" s="47" t="str">
        <x:v>TRF-104</x:v>
      </x:c>
      <x:c r="D8" s="91" t="n">
        <x:v>46263.73441075232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8581.611</x:v>
      </x:c>
      <x:c r="L8" s="93" t="b">
        <x:v>0</x:v>
      </x:c>
      <x:c r="M8" s="47" t="str">
        <x:v>resp_0a4168b63783527f006a9318d49dd081909cd4e33fab720ed9</x:v>
      </x:c>
      <x:c r="N8" s="59" t="n">
        <x:v>6192</x:v>
      </x:c>
      <x:c r="O8" s="59" t="n">
        <x:v>645</x:v>
      </x:c>
      <x:c r="P8" s="59" t="n">
        <x:v>6837</x:v>
      </x:c>
    </x:row>
    <x:row r="9">
      <x:c r="A9" s="47" t="str">
        <x:v>EVT-000033</x:v>
      </x:c>
      <x:c r="B9" s="47" t="str">
        <x:v>RUN-TRF-104-20260829T173653499975Z</x:v>
      </x:c>
      <x:c r="C9" s="47" t="str">
        <x:v>TRF-104</x:v>
      </x:c>
      <x:c r="D9" s="91" t="n">
        <x:v>46263.734515185184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9017.656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RUN-TRF-104-20260829T173653499975Z</x:v>
      </x:c>
      <x:c r="C10" s="47" t="str">
        <x:v>TRF-104</x:v>
      </x:c>
      <x:c r="D10" s="91" t="n">
        <x:v>46263.734515208336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9019.182</x:v>
      </x:c>
      <x:c r="L10" s="93" t="b">
        <x:v>0</x:v>
      </x:c>
      <x:c r="M10" s="47" t="str">
        <x:v>resp_0ab9e468bd41eca0006a9318dd31e08190b104047cee387783</x:v>
      </x:c>
      <x:c r="N10" s="59" t="n">
        <x:v>7069</x:v>
      </x:c>
      <x:c r="O10" s="59" t="n">
        <x:v>863</x:v>
      </x:c>
      <x:c r="P10" s="59" t="n">
        <x:v>7932</x:v>
      </x:c>
    </x:row>
    <x:row r="11">
      <x:c r="A11" s="47" t="str">
        <x:v>EVT-000041</x:v>
      </x:c>
      <x:c r="B11" s="47" t="str">
        <x:v>RUN-TRF-104-20260829T173653499975Z</x:v>
      </x:c>
      <x:c r="C11" s="47" t="str">
        <x:v>TRF-104</x:v>
      </x:c>
      <x:c r="D11" s="91" t="n">
        <x:v>46263.73456638889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4364.558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RUN-TRF-104-20260829T173653499975Z</x:v>
      </x:c>
      <x:c r="C12" s="49" t="str">
        <x:v>TRF-104</x:v>
      </x:c>
      <x:c r="D12" s="94" t="n">
        <x:v>46263.73456641204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4366.066</x:v>
      </x:c>
      <x:c r="L12" s="82" t="b">
        <x:v>0</x:v>
      </x:c>
      <x:c r="M12" s="49" t="str">
        <x:v>resp_0615a7bbeaf0db6f006a9318e647d081959f06effb06999e63</x:v>
      </x:c>
      <x:c r="N12" s="60" t="n">
        <x:v>6056</x:v>
      </x:c>
      <x:c r="O12" s="60" t="n">
        <x:v>320</x:v>
      </x:c>
      <x:c r="P12" s="60" t="n">
        <x:v>6376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cc546a7f34f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RUN-TRF-104-20260829T173653499975Z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RUN-TRF-104-20260829T173653499975Z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RUN-TRF-104-20260829T173653499975Z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RUN-TRF-104-20260829T173653499975Z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RUN-TRF-104-20260829T173653499975Z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RUN-TRF-104-20260829T173653499975Z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RUN-TRF-104-20260829T173653499975Z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RUN-TRF-104-20260829T173653499975Z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RUN-TRF-104-20260829T173653499975Z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RUN-TRF-104-20260829T173653499975Z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RUN-TRF-104-20260829T173653499975Z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RUN-TRF-104-20260829T173653499975Z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0299d026c54e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RUN-TRF-104-20260829T173653499975Z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RUN-TRF-104-20260829T173653499975Z</x:v>
      </x:c>
      <x:c r="B5" s="45" t="str">
        <x:v>TRF-104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RUN-TRF-104-20260829T173653499975Z</x:v>
      </x:c>
      <x:c r="B6" s="49" t="str">
        <x:v>TRF-104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0e8adcad446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RUN-TRF-104-20260829T173653499975Z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RUN-TRF-104-20260829T173653499975Z</x:v>
      </x:c>
      <x:c r="B5" s="45" t="str">
        <x:v>TRF-104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https://w3id.org/nltl/vocab#hasPropellerShaftLineComponent | https://w3id.org/nltl/vocab#propellerBladeLoss | https://w3id.org/nltl/vocab#pyramidStrengthPrinciple | https://w3id.org/nltl/vocab#ship | https://w3id.org/nltl/vocab#significantDamageFromBladeLoss</x:v>
      </x:c>
      <x:c r="O5" s="46" t="str"/>
      <x:c r="P5" s="46" t="str"/>
      <x:c r="Q5" s="46" t="str"/>
    </x:row>
    <x:row r="6">
      <x:c r="A6" s="49" t="str">
        <x:v>RUN-TRF-104-20260829T173653499975Z</x:v>
      </x:c>
      <x:c r="B6" s="49" t="str">
        <x:v>TRF-104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https://w3id.org/nltl/vocab#hasPropellerShaftLineComponent | https://w3id.org/nltl/vocab#pyramidStrengthPrinciple | https://w3id.org/nltl/vocab#ship | https://w3id.org/nltl/vocab#significantDamageFromBladeLoss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a2efd21d0244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RUN-TRF-104-20260829T173653499975Z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RUN-TRF-104-20260829T173653499975Z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RUN-TRF-104-20260829T173653499975Z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RUN-TRF-104-20260829T173653499975Z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RUN-TRF-104-20260829T173653499975Z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RUN-TRF-104-20260829T173653499975Z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250db5feaa01da4f36490d660159a4a21ab50880aa38a151805a7d1b7e5e6e90</x:v>
      </x:c>
      <x:c r="G8" s="59" t="n">
        <x:v>1745</x:v>
      </x:c>
    </x:row>
    <x:row r="9">
      <x:c r="A9" s="47" t="str">
        <x:v>RUN-TRF-104-20260829T173653499975Z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05a78224ceacdeeed74e8be2e7f6eebe11acb5f449986ae7a331c6ce199733b8</x:v>
      </x:c>
      <x:c r="G9" s="59" t="n">
        <x:v>1720</x:v>
      </x:c>
    </x:row>
    <x:row r="10">
      <x:c r="A10" s="47" t="str">
        <x:v>RUN-TRF-104-20260829T173653499975Z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bdbe1f6820caa4b4212dbf3936c4cabe148b7e091165f71eded51128a7a51537</x:v>
      </x:c>
      <x:c r="G10" s="59" t="n">
        <x:v>675</x:v>
      </x:c>
    </x:row>
    <x:row r="11">
      <x:c r="A11" s="47" t="str">
        <x:v>RUN-TRF-104-20260829T173653499975Z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9350056767a2d562b183eda19919a440f060a3653f28396452a75605918a1678</x:v>
      </x:c>
      <x:c r="G11" s="59" t="n">
        <x:v>26100</x:v>
      </x:c>
    </x:row>
    <x:row r="12">
      <x:c r="A12" s="47" t="str">
        <x:v>RUN-TRF-104-20260829T173653499975Z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caa1ae011eb8d4413ffbd6ad33b3448478c7956d41edd7e73c239b3079c1dabe</x:v>
      </x:c>
      <x:c r="G12" s="59" t="n">
        <x:v>698</x:v>
      </x:c>
    </x:row>
    <x:row r="13">
      <x:c r="A13" s="47" t="str">
        <x:v>RUN-TRF-104-20260829T173653499975Z</x:v>
      </x:c>
      <x:c r="B13" s="47" t="str">
        <x:v>TRF-104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08bff79408ac797d504365bd7692963bf60bfa69f786c2ed17fd759e42ecc578</x:v>
      </x:c>
      <x:c r="G13" s="59" t="n">
        <x:v>30439</x:v>
      </x:c>
    </x:row>
    <x:row r="14">
      <x:c r="A14" s="47" t="str">
        <x:v>RUN-TRF-104-20260829T173653499975Z</x:v>
      </x:c>
      <x:c r="B14" s="47" t="str">
        <x:v>TRF-104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7ba81f0c8ddb4f075087ac19332412f7d0c9c3257d285cdd8735198050d14a54</x:v>
      </x:c>
      <x:c r="G14" s="59" t="n">
        <x:v>1196</x:v>
      </x:c>
    </x:row>
    <x:row r="15">
      <x:c r="A15" s="47" t="str">
        <x:v>RUN-TRF-104-20260829T173653499975Z</x:v>
      </x:c>
      <x:c r="B15" s="47" t="str">
        <x:v>TRF-104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2c457fdf0e2ab7714d857e49ca7a6d12f334d32dd904c7e9b5e5dd9da969153a</x:v>
      </x:c>
      <x:c r="G15" s="59" t="n">
        <x:v>1171</x:v>
      </x:c>
    </x:row>
    <x:row r="16">
      <x:c r="A16" s="47" t="str">
        <x:v>RUN-TRF-104-20260829T173653499975Z</x:v>
      </x:c>
      <x:c r="B16" s="47" t="str">
        <x:v>TRF-104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d7d0eb243982c1179ae910ec5f7af0693846f78bff2653aeb36b617ed62a499d</x:v>
      </x:c>
      <x:c r="G16" s="59" t="n">
        <x:v>621</x:v>
      </x:c>
    </x:row>
    <x:row r="17">
      <x:c r="A17" s="47" t="str">
        <x:v>RUN-TRF-104-20260829T173653499975Z</x:v>
      </x:c>
      <x:c r="B17" s="47" t="str">
        <x:v>TRF-104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0db319d02661105722d6f8c147b7d3869b4830ad12f3a312b0ad51982635d9d7</x:v>
      </x:c>
      <x:c r="G17" s="59" t="n">
        <x:v>25754</x:v>
      </x:c>
    </x:row>
    <x:row r="18">
      <x:c r="A18" s="47" t="str">
        <x:v>RUN-TRF-104-20260829T173653499975Z</x:v>
      </x:c>
      <x:c r="B18" s="47" t="str">
        <x:v>TRF-104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c50c348758d3fcd295177e32874f643211cb977dcc923c41a8ba7e9938d87832</x:v>
      </x:c>
      <x:c r="G18" s="59" t="n">
        <x:v>394</x:v>
      </x:c>
    </x:row>
    <x:row r="19">
      <x:c r="A19" s="49" t="str">
        <x:v>RUN-TRF-104-20260829T173653499975Z</x:v>
      </x:c>
      <x:c r="B19" s="49" t="str">
        <x:v>TRF-104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2c457fdf0e2ab7714d857e49ca7a6d12f334d32dd904c7e9b5e5dd9da969153a</x:v>
      </x:c>
      <x:c r="G19" s="60" t="n">
        <x:v>1171</x:v>
      </x:c>
    </x:row>
  </x:sheetData>
  <x:pageMargins left="0.7" right="0.7" top="0.75" bottom="0.75" header="0.3" footer="0.3"/>
  <x:tableParts count="1">
    <x:tablePart xmlns:r="http://schemas.openxmlformats.org/officeDocument/2006/relationships" r:id="Rd40bf5ac987643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RUN-TRF-104-20260829T173653499975Z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RUN-TRF-104-20260829T173653499975Z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RUN-TRF-104-20260829T173653499975Z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143a150ed4481"/>
  </x:tableParts>
</x:worksheet>
</file>