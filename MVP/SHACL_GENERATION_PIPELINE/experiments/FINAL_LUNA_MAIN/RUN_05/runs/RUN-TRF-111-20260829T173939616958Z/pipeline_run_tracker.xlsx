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c4931b536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aa2885ec404653"/>
    <x:sheet xmlns:r="http://schemas.openxmlformats.org/officeDocument/2006/relationships" name="README" sheetId="2" r:id="R44cd0d11e9a64239"/>
    <x:sheet xmlns:r="http://schemas.openxmlformats.org/officeDocument/2006/relationships" name="REGULATION_QUEUE" sheetId="3" r:id="R622498e30e6a4045"/>
    <x:sheet xmlns:r="http://schemas.openxmlformats.org/officeDocument/2006/relationships" name="RUNS" sheetId="4" r:id="R6feac020c4dd404d"/>
    <x:sheet xmlns:r="http://schemas.openxmlformats.org/officeDocument/2006/relationships" name="ITERATIONS" sheetId="5" r:id="R986bfc2e423c4645"/>
    <x:sheet xmlns:r="http://schemas.openxmlformats.org/officeDocument/2006/relationships" name="API_CALLS" sheetId="6" r:id="Rbbd761aefde74af4"/>
    <x:sheet xmlns:r="http://schemas.openxmlformats.org/officeDocument/2006/relationships" name="TERM_RETRIEVAL" sheetId="7" r:id="R59f4686360d149f7"/>
    <x:sheet xmlns:r="http://schemas.openxmlformats.org/officeDocument/2006/relationships" name="FEW_SHOT_SELECTION" sheetId="8" r:id="Rc0d99f0893dc4273"/>
    <x:sheet xmlns:r="http://schemas.openxmlformats.org/officeDocument/2006/relationships" name="VALIDATION" sheetId="9" r:id="R40ebdc17768c4990"/>
    <x:sheet xmlns:r="http://schemas.openxmlformats.org/officeDocument/2006/relationships" name="VOCAB_MATCHES" sheetId="10" r:id="Rc931f0de890e4bd4"/>
    <x:sheet xmlns:r="http://schemas.openxmlformats.org/officeDocument/2006/relationships" name="ARTIFACTS" sheetId="11" r:id="R72b876b77fd24ea6"/>
    <x:sheet xmlns:r="http://schemas.openxmlformats.org/officeDocument/2006/relationships" name="UNRESOLVED" sheetId="12" r:id="R465030885a754568"/>
    <x:sheet xmlns:r="http://schemas.openxmlformats.org/officeDocument/2006/relationships" name="RDF_TEST_QUEUE" sheetId="13" r:id="R270a432e9c07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5468a4f80454f" /><Relationship Type="http://schemas.openxmlformats.org/officeDocument/2006/relationships/theme" Target="/xl/theme/theme1.xml" Id="R76e1b805d1d74b1c" /><Relationship Type="http://schemas.microsoft.com/office/2022/11/relationships/FeaturePropertyBag" Target="/xl/featurePropertyBag/featurePropertyBag.xml" Id="R47519c63852245f5" /><Relationship Type="http://schemas.openxmlformats.org/officeDocument/2006/relationships/sharedStrings" Target="/xl/sharedStrings.xml" Id="R44e6003d4d024d99" /><Relationship Type="http://schemas.openxmlformats.org/officeDocument/2006/relationships/worksheet" Target="/xl/worksheets/sheet1.xml" Id="Rd8aa2885ec404653" /><Relationship Type="http://schemas.openxmlformats.org/officeDocument/2006/relationships/worksheet" Target="/xl/worksheets/sheet2.xml" Id="R44cd0d11e9a64239" /><Relationship Type="http://schemas.openxmlformats.org/officeDocument/2006/relationships/worksheet" Target="/xl/worksheets/sheet3.xml" Id="R622498e30e6a4045" /><Relationship Type="http://schemas.openxmlformats.org/officeDocument/2006/relationships/worksheet" Target="/xl/worksheets/sheet4.xml" Id="R6feac020c4dd404d" /><Relationship Type="http://schemas.openxmlformats.org/officeDocument/2006/relationships/worksheet" Target="/xl/worksheets/sheet5.xml" Id="R986bfc2e423c4645" /><Relationship Type="http://schemas.openxmlformats.org/officeDocument/2006/relationships/worksheet" Target="/xl/worksheets/sheet6.xml" Id="Rbbd761aefde74af4" /><Relationship Type="http://schemas.openxmlformats.org/officeDocument/2006/relationships/worksheet" Target="/xl/worksheets/sheet7.xml" Id="R59f4686360d149f7" /><Relationship Type="http://schemas.openxmlformats.org/officeDocument/2006/relationships/worksheet" Target="/xl/worksheets/sheet8.xml" Id="Rc0d99f0893dc4273" /><Relationship Type="http://schemas.openxmlformats.org/officeDocument/2006/relationships/worksheet" Target="/xl/worksheets/sheet9.xml" Id="R40ebdc17768c4990" /><Relationship Type="http://schemas.openxmlformats.org/officeDocument/2006/relationships/worksheet" Target="/xl/worksheets/sheet10.xml" Id="Rc931f0de890e4bd4" /><Relationship Type="http://schemas.openxmlformats.org/officeDocument/2006/relationships/worksheet" Target="/xl/worksheets/sheet11.xml" Id="R72b876b77fd24ea6" /><Relationship Type="http://schemas.openxmlformats.org/officeDocument/2006/relationships/worksheet" Target="/xl/worksheets/sheet12.xml" Id="R465030885a754568" /><Relationship Type="http://schemas.openxmlformats.org/officeDocument/2006/relationships/worksheet" Target="/xl/worksheets/sheet13.xml" Id="R270a432e9c0744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ee6848fbfb42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fe3886ab1b49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69e52a9ccd43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de3125231a48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74eeede6344e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66767355e944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017b79869f41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6a453237154d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22bee0e44246d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50c5639d40a41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RUN-TRF-111-20260829T173939616958Z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26976.052750000003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RUN-TRF-111-20260829T173939616958Z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ee6848fbfb42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RUN-TRF-111-20260829T173939616958Z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GENERATION_ACCEPTED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fe3886ab1b49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RUN-TRF-111-20260829T173939616958Z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RUN-TRF-111-20260829T173939616958Z</x:v>
      </x:c>
      <x:c r="C5" s="69" t="str">
        <x:v>TRF-111</x:v>
      </x:c>
      <x:c r="D5" s="70" t="n">
        <x:v>46263.73587520833</x:v>
      </x:c>
      <x:c r="E5" s="70" t="n">
        <x:v>46263.73712912037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COMPLEX_READINESS requirement: applicability is represented by typed mutually exclusive load-case branches; extreme operational, fatigue, and blade-failure thresholds use the correct inclusive minima and units; extremeIceForce is owned by the ship; componentYieldSafetyFactor is owned by each loadCase; fatigueSafetyFactor is conditionally checked on a shipComponent reached through hasComponent; and the required ship/component relationships and operand/result terms are present. Deterministic validation is valid and no canonical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69e52a9ccd43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RUN-TRF-111-20260829T173939616958Z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RUN-TRF-111-20260829T173939616958Z</x:v>
      </x:c>
      <x:c r="B5" s="45" t="str">
        <x:v>TRF-111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COMPLEX_READINESS applicability evidence(s) absent from candidate: shaftLineLoadCaseTypeValue
Semantic validator feedback: Repair the COMPLEX_READINESS applicability evidence by constraining each nltl:shaftLineLoadCaseType value with sh:class nltl:shaftLineLoadCaseTypeValue. Remove the three unconditional shaftLineLoadCaseType sh:hasValue constraints: they make mutually exclusive alternatives conjunctively mandatory. Retain mutually exclusive case branches and associate the 1.3 extreme-operational, 1.5 fatigue, and 1.0 blade-failure checks with the corresponding selected case; the current fatigue branch omits its required 1.5 check. Place nltl:fatigueSafetyFactor on its authoritative shipComponent owner reached through the supplied nltl:hasComponent path, not directly on nltl:propellerShaftLineComponent, while preserving the required propeller-shaft-line relationship. Ensure the fatigue factor remains conditionally tied to fatigue applicability rather than becoming an unconditional component-only check. Keep the supplied extremeIceForce operand on ship and the componentYieldSafetyFactor on loadCase.</x:v>
      </x:c>
      <x:c r="I5" s="81" t="n">
        <x:v>25182.416</x:v>
      </x:c>
      <x:c r="J5" s="81" t="n">
        <x:v>31220.254</x:v>
      </x:c>
    </x:row>
    <x:row r="6">
      <x:c r="A6" s="49" t="str">
        <x:v>RUN-TRF-111-20260829T173939616958Z</x:v>
      </x:c>
      <x:c r="B6" s="49" t="str">
        <x:v>TRF-111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COMPLEX_READINESS requirement: applicability is represented by typed mutually exclusive load-case branches; extreme operational, fatigue, and blade-failure thresholds use the correct inclusive minima and units; extremeIceForce is owned by the ship; componentYieldSafetyFactor is owned by each loadCase; fatigueSafetyFactor is conditionally checked on a shipComponent reached through hasComponent; and the required ship/component relationships and operand/result terms are present. Deterministic validation is valid and no canonical vocabulary repair is needed.</x:v>
      </x:c>
      <x:c r="I6" s="83" t="n">
        <x:v>27861.863</x:v>
      </x:c>
      <x:c r="J6" s="83" t="n">
        <x:v>23642.208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de3125231a48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RUN-TRF-111-20260829T173939616958Z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RUN-TRF-111-20260829T173939616958Z</x:v>
      </x:c>
      <x:c r="C5" s="45" t="str">
        <x:v>TRF-111</x:v>
      </x:c>
      <x:c r="D5" s="90" t="n">
        <x:v>46263.736166689814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25181.536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RUN-TRF-111-20260829T173939616958Z</x:v>
      </x:c>
      <x:c r="C6" s="47" t="str">
        <x:v>TRF-111</x:v>
      </x:c>
      <x:c r="D6" s="91" t="n">
        <x:v>46263.73616670139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25182.416</x:v>
      </x:c>
      <x:c r="L6" s="93" t="b">
        <x:v>0</x:v>
      </x:c>
      <x:c r="M6" s="47" t="str">
        <x:v>resp_0b2da5c520667b2c006a93195c924c8195871e1a6a9af3277e</x:v>
      </x:c>
      <x:c r="N6" s="59" t="n">
        <x:v>10642</x:v>
      </x:c>
      <x:c r="O6" s="59" t="n">
        <x:v>2427</x:v>
      </x:c>
      <x:c r="P6" s="59" t="n">
        <x:v>13069</x:v>
      </x:c>
    </x:row>
    <x:row r="7">
      <x:c r="A7" s="47" t="str">
        <x:v>EVT-000034</x:v>
      </x:c>
      <x:c r="B7" s="47" t="str">
        <x:v>RUN-TRF-111-20260829T173939616958Z</x:v>
      </x:c>
      <x:c r="C7" s="47" t="str">
        <x:v>TRF-111</x:v>
      </x:c>
      <x:c r="D7" s="91" t="n">
        <x:v>46263.736530856484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31218.71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RUN-TRF-111-20260829T173939616958Z</x:v>
      </x:c>
      <x:c r="C8" s="47" t="str">
        <x:v>TRF-111</x:v>
      </x:c>
      <x:c r="D8" s="91" t="n">
        <x:v>46263.73653087963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31220.254</x:v>
      </x:c>
      <x:c r="L8" s="93" t="b">
        <x:v>0</x:v>
      </x:c>
      <x:c r="M8" s="47" t="str">
        <x:v>resp_0ed62678d6efd4a3006a93197551388197b350681875db46bc</x:v>
      </x:c>
      <x:c r="N8" s="59" t="n">
        <x:v>10691</x:v>
      </x:c>
      <x:c r="O8" s="59" t="n">
        <x:v>2176</x:v>
      </x:c>
      <x:c r="P8" s="59" t="n">
        <x:v>12867</x:v>
      </x:c>
    </x:row>
    <x:row r="9">
      <x:c r="A9" s="47" t="str">
        <x:v>EVT-000040</x:v>
      </x:c>
      <x:c r="B9" s="47" t="str">
        <x:v>RUN-TRF-111-20260829T173939616958Z</x:v>
      </x:c>
      <x:c r="C9" s="47" t="str">
        <x:v>TRF-111</x:v>
      </x:c>
      <x:c r="D9" s="91" t="n">
        <x:v>46263.7368533912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27860.321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RUN-TRF-111-20260829T173939616958Z</x:v>
      </x:c>
      <x:c r="C10" s="47" t="str">
        <x:v>TRF-111</x:v>
      </x:c>
      <x:c r="D10" s="91" t="n">
        <x:v>46263.73685341435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27861.863</x:v>
      </x:c>
      <x:c r="L10" s="93" t="b">
        <x:v>0</x:v>
      </x:c>
      <x:c r="M10" s="47" t="str">
        <x:v>resp_068d394c669d00c9006a93199461908195a05c6d8e407e6c6f</x:v>
      </x:c>
      <x:c r="N10" s="59" t="n">
        <x:v>10878</x:v>
      </x:c>
      <x:c r="O10" s="59" t="n">
        <x:v>2722</x:v>
      </x:c>
      <x:c r="P10" s="59" t="n">
        <x:v>13600</x:v>
      </x:c>
    </x:row>
    <x:row r="11">
      <x:c r="A11" s="47" t="str">
        <x:v>EVT-000048</x:v>
      </x:c>
      <x:c r="B11" s="47" t="str">
        <x:v>RUN-TRF-111-20260829T173939616958Z</x:v>
      </x:c>
      <x:c r="C11" s="47" t="str">
        <x:v>TRF-111</x:v>
      </x:c>
      <x:c r="D11" s="91" t="n">
        <x:v>46263.737129050925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23641.114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RUN-TRF-111-20260829T173939616958Z</x:v>
      </x:c>
      <x:c r="C12" s="49" t="str">
        <x:v>TRF-111</x:v>
      </x:c>
      <x:c r="D12" s="94" t="n">
        <x:v>46263.7371290625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23642.208</x:v>
      </x:c>
      <x:c r="L12" s="82" t="b">
        <x:v>0</x:v>
      </x:c>
      <x:c r="M12" s="49" t="str">
        <x:v>resp_06185fa8826d756b006a9319b32e1c8197b1e37c9f6b17c265</x:v>
      </x:c>
      <x:c r="N12" s="60" t="n">
        <x:v>11163</x:v>
      </x:c>
      <x:c r="O12" s="60" t="n">
        <x:v>1678</x:v>
      </x:c>
      <x:c r="P12" s="60" t="n">
        <x:v>12841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74eeede6344e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RUN-TRF-111-20260829T173939616958Z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RUN-TRF-111-20260829T173939616958Z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RUN-TRF-111-20260829T173939616958Z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RUN-TRF-111-20260829T173939616958Z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RUN-TRF-111-20260829T173939616958Z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RUN-TRF-111-20260829T173939616958Z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RUN-TRF-111-20260829T173939616958Z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RUN-TRF-111-20260829T173939616958Z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RUN-TRF-111-20260829T173939616958Z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RUN-TRF-111-20260829T173939616958Z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RUN-TRF-111-20260829T173939616958Z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RUN-TRF-111-20260829T173939616958Z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RUN-TRF-111-20260829T173939616958Z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RUN-TRF-111-20260829T173939616958Z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RUN-TRF-111-20260829T173939616958Z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RUN-TRF-111-20260829T173939616958Z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RUN-TRF-111-20260829T173939616958Z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RUN-TRF-111-20260829T173939616958Z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RUN-TRF-111-20260829T173939616958Z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66767355e944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RUN-TRF-111-20260829T173939616958Z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RUN-TRF-111-20260829T173939616958Z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7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RUN-TRF-111-20260829T173939616958Z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8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017b79869f41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RUN-TRF-111-20260829T173939616958Z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RUN-TRF-111-20260829T173939616958Z</x:v>
      </x:c>
      <x:c r="B5" s="45" t="str">
        <x:v>TRF-111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COMPLEX_READINESS applicability evidence(s) absent from candidate: shaftLineLoadCaseTypeValue</x:v>
      </x:c>
      <x:c r="M5" s="46" t="str"/>
      <x:c r="N5" s="46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</x:v>
      </x:c>
      <x:c r="O5" s="46" t="str"/>
      <x:c r="P5" s="46" t="str"/>
      <x:c r="Q5" s="46" t="str"/>
    </x:row>
    <x:row r="6">
      <x:c r="A6" s="49" t="str">
        <x:v>RUN-TRF-111-20260829T173939616958Z</x:v>
      </x:c>
      <x:c r="B6" s="49" t="str">
        <x:v>TRF-111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56a453237154d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RUN-TRF-111-20260829T173939616958Z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RUN-TRF-111-20260829T173939616958Z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RUN-TRF-111-20260829T173939616958Z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RUN-TRF-111-20260829T173939616958Z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RUN-TRF-111-20260829T173939616958Z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RUN-TRF-111-20260829T173939616958Z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4822faf44f9ce68018130e0a828d7d979129760c591b437fff47fd8cb126fb37</x:v>
      </x:c>
      <x:c r="G8" s="59" t="n">
        <x:v>5522</x:v>
      </x:c>
    </x:row>
    <x:row r="9">
      <x:c r="A9" s="47" t="str">
        <x:v>RUN-TRF-111-20260829T173939616958Z</x:v>
      </x:c>
      <x:c r="B9" s="47" t="str">
        <x:v>TRF-111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bf55e1e12d460f91a2f096c212ecab6193cc7e11584e073ca49660755ac3a798</x:v>
      </x:c>
      <x:c r="G9" s="59" t="n">
        <x:v>5497</x:v>
      </x:c>
    </x:row>
    <x:row r="10">
      <x:c r="A10" s="47" t="str">
        <x:v>RUN-TRF-111-20260829T173939616958Z</x:v>
      </x:c>
      <x:c r="B10" s="47" t="str">
        <x:v>TRF-111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9d8511020a5f6da5c67a04f3c306e166ff885d08166bbe01f1db5ee6078b2889</x:v>
      </x:c>
      <x:c r="G10" s="59" t="n">
        <x:v>1157</x:v>
      </x:c>
    </x:row>
    <x:row r="11">
      <x:c r="A11" s="47" t="str">
        <x:v>RUN-TRF-111-20260829T173939616958Z</x:v>
      </x:c>
      <x:c r="B11" s="47" t="str">
        <x:v>TRF-111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da22122c074e8f229ed3a74e7827de6a92afa13c2b8d521afe216849c7e12413</x:v>
      </x:c>
      <x:c r="G11" s="59" t="n">
        <x:v>44161</x:v>
      </x:c>
    </x:row>
    <x:row r="12">
      <x:c r="A12" s="47" t="str">
        <x:v>RUN-TRF-111-20260829T173939616958Z</x:v>
      </x:c>
      <x:c r="B12" s="47" t="str">
        <x:v>TRF-111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80880351c12953fd662f9cd725068ccc40cfa968bbb36f850c22acd33e0df0ac</x:v>
      </x:c>
      <x:c r="G12" s="59" t="n">
        <x:v>1057</x:v>
      </x:c>
    </x:row>
    <x:row r="13">
      <x:c r="A13" s="47" t="str">
        <x:v>RUN-TRF-111-20260829T173939616958Z</x:v>
      </x:c>
      <x:c r="B13" s="47" t="str">
        <x:v>TRF-111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e3eef4d6c330c81d8f18459d779f33d9d5810ff1c2ed8528069a6b22e769150b</x:v>
      </x:c>
      <x:c r="G13" s="59" t="n">
        <x:v>45980</x:v>
      </x:c>
    </x:row>
    <x:row r="14">
      <x:c r="A14" s="47" t="str">
        <x:v>RUN-TRF-111-20260829T173939616958Z</x:v>
      </x:c>
      <x:c r="B14" s="47" t="str">
        <x:v>TRF-111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2d79b1b428ace95760117abc39b665379bdf883b477892da3d9b8844f97f990d</x:v>
      </x:c>
      <x:c r="G14" s="59" t="n">
        <x:v>6000</x:v>
      </x:c>
    </x:row>
    <x:row r="15">
      <x:c r="A15" s="47" t="str">
        <x:v>RUN-TRF-111-20260829T173939616958Z</x:v>
      </x:c>
      <x:c r="B15" s="47" t="str">
        <x:v>TRF-111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b9dce5d77fbdd3dd3b0784fa27f6dcae2ecc4f8fdff75a008470346be489bf4a</x:v>
      </x:c>
      <x:c r="G15" s="59" t="n">
        <x:v>5975</x:v>
      </x:c>
    </x:row>
    <x:row r="16">
      <x:c r="A16" s="47" t="str">
        <x:v>RUN-TRF-111-20260829T173939616958Z</x:v>
      </x:c>
      <x:c r="B16" s="47" t="str">
        <x:v>TRF-111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10cb200c30ffa0d9216f5e1b2a26a610690b24086d3590c2c909b2d3b0f01ae5</x:v>
      </x:c>
      <x:c r="G16" s="59" t="n">
        <x:v>1163</x:v>
      </x:c>
    </x:row>
    <x:row r="17">
      <x:c r="A17" s="47" t="str">
        <x:v>RUN-TRF-111-20260829T173939616958Z</x:v>
      </x:c>
      <x:c r="B17" s="47" t="str">
        <x:v>TRF-111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bb84a897aa75d7631c392a377d9657feb56568b2b1e2a3cb68b1d5d268ecf608</x:v>
      </x:c>
      <x:c r="G17" s="59" t="n">
        <x:v>46474</x:v>
      </x:c>
    </x:row>
    <x:row r="18">
      <x:c r="A18" s="47" t="str">
        <x:v>RUN-TRF-111-20260829T173939616958Z</x:v>
      </x:c>
      <x:c r="B18" s="47" t="str">
        <x:v>TRF-111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7e9c95631bb971bc3dbf0b8204bedf38cc9e357c424018521373ddb4ea6d34fc</x:v>
      </x:c>
      <x:c r="G18" s="59" t="n">
        <x:v>669</x:v>
      </x:c>
    </x:row>
    <x:row r="19">
      <x:c r="A19" s="49" t="str">
        <x:v>RUN-TRF-111-20260829T173939616958Z</x:v>
      </x:c>
      <x:c r="B19" s="49" t="str">
        <x:v>TRF-111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b9dce5d77fbdd3dd3b0784fa27f6dcae2ecc4f8fdff75a008470346be489bf4a</x:v>
      </x:c>
      <x:c r="G19" s="60" t="n">
        <x:v>5975</x:v>
      </x:c>
    </x:row>
  </x:sheetData>
  <x:pageMargins left="0.7" right="0.7" top="0.75" bottom="0.75" header="0.3" footer="0.3"/>
  <x:tableParts count="1">
    <x:tablePart xmlns:r="http://schemas.openxmlformats.org/officeDocument/2006/relationships" r:id="R8d22bee0e44246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RUN-TRF-111-20260829T173939616958Z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RUN-TRF-111-20260829T173939616958Z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RUN-TRF-111-20260829T173939616958Z</x:v>
      </x:c>
      <x:c r="B5" s="69" t="str">
        <x:v>TRF-111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0c5639d40a41b0"/>
  </x:tableParts>
</x:worksheet>
</file>