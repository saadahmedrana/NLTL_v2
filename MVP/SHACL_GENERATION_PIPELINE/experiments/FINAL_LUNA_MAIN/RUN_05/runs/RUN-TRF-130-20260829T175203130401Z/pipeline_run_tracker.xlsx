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fe08170be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20cd1d8ee44bbc"/>
    <x:sheet xmlns:r="http://schemas.openxmlformats.org/officeDocument/2006/relationships" name="README" sheetId="2" r:id="Re0508292f718460d"/>
    <x:sheet xmlns:r="http://schemas.openxmlformats.org/officeDocument/2006/relationships" name="REGULATION_QUEUE" sheetId="3" r:id="R0c67962d551b4d55"/>
    <x:sheet xmlns:r="http://schemas.openxmlformats.org/officeDocument/2006/relationships" name="RUNS" sheetId="4" r:id="R05ccf0fb0c964648"/>
    <x:sheet xmlns:r="http://schemas.openxmlformats.org/officeDocument/2006/relationships" name="ITERATIONS" sheetId="5" r:id="Rf9b7e3bb41ff4cbd"/>
    <x:sheet xmlns:r="http://schemas.openxmlformats.org/officeDocument/2006/relationships" name="API_CALLS" sheetId="6" r:id="R579a3bfcd8a74105"/>
    <x:sheet xmlns:r="http://schemas.openxmlformats.org/officeDocument/2006/relationships" name="TERM_RETRIEVAL" sheetId="7" r:id="R64f46226742742c9"/>
    <x:sheet xmlns:r="http://schemas.openxmlformats.org/officeDocument/2006/relationships" name="FEW_SHOT_SELECTION" sheetId="8" r:id="R7970b9e09b6a4449"/>
    <x:sheet xmlns:r="http://schemas.openxmlformats.org/officeDocument/2006/relationships" name="VALIDATION" sheetId="9" r:id="R26c92e412689484a"/>
    <x:sheet xmlns:r="http://schemas.openxmlformats.org/officeDocument/2006/relationships" name="VOCAB_MATCHES" sheetId="10" r:id="R08a129a8fa1a440e"/>
    <x:sheet xmlns:r="http://schemas.openxmlformats.org/officeDocument/2006/relationships" name="ARTIFACTS" sheetId="11" r:id="Rb028a6937a3d4ed5"/>
    <x:sheet xmlns:r="http://schemas.openxmlformats.org/officeDocument/2006/relationships" name="UNRESOLVED" sheetId="12" r:id="Rd8a1011d48924af3"/>
    <x:sheet xmlns:r="http://schemas.openxmlformats.org/officeDocument/2006/relationships" name="RDF_TEST_QUEUE" sheetId="13" r:id="R090a9550cf4e4d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be4d410334d70" /><Relationship Type="http://schemas.openxmlformats.org/officeDocument/2006/relationships/theme" Target="/xl/theme/theme1.xml" Id="Rb9d9cd9931754201" /><Relationship Type="http://schemas.microsoft.com/office/2022/11/relationships/FeaturePropertyBag" Target="/xl/featurePropertyBag/featurePropertyBag.xml" Id="R8efe170204a34745" /><Relationship Type="http://schemas.openxmlformats.org/officeDocument/2006/relationships/sharedStrings" Target="/xl/sharedStrings.xml" Id="R92a2d912e2214537" /><Relationship Type="http://schemas.openxmlformats.org/officeDocument/2006/relationships/worksheet" Target="/xl/worksheets/sheet1.xml" Id="Rbb20cd1d8ee44bbc" /><Relationship Type="http://schemas.openxmlformats.org/officeDocument/2006/relationships/worksheet" Target="/xl/worksheets/sheet2.xml" Id="Re0508292f718460d" /><Relationship Type="http://schemas.openxmlformats.org/officeDocument/2006/relationships/worksheet" Target="/xl/worksheets/sheet3.xml" Id="R0c67962d551b4d55" /><Relationship Type="http://schemas.openxmlformats.org/officeDocument/2006/relationships/worksheet" Target="/xl/worksheets/sheet4.xml" Id="R05ccf0fb0c964648" /><Relationship Type="http://schemas.openxmlformats.org/officeDocument/2006/relationships/worksheet" Target="/xl/worksheets/sheet5.xml" Id="Rf9b7e3bb41ff4cbd" /><Relationship Type="http://schemas.openxmlformats.org/officeDocument/2006/relationships/worksheet" Target="/xl/worksheets/sheet6.xml" Id="R579a3bfcd8a74105" /><Relationship Type="http://schemas.openxmlformats.org/officeDocument/2006/relationships/worksheet" Target="/xl/worksheets/sheet7.xml" Id="R64f46226742742c9" /><Relationship Type="http://schemas.openxmlformats.org/officeDocument/2006/relationships/worksheet" Target="/xl/worksheets/sheet8.xml" Id="R7970b9e09b6a4449" /><Relationship Type="http://schemas.openxmlformats.org/officeDocument/2006/relationships/worksheet" Target="/xl/worksheets/sheet9.xml" Id="R26c92e412689484a" /><Relationship Type="http://schemas.openxmlformats.org/officeDocument/2006/relationships/worksheet" Target="/xl/worksheets/sheet10.xml" Id="R08a129a8fa1a440e" /><Relationship Type="http://schemas.openxmlformats.org/officeDocument/2006/relationships/worksheet" Target="/xl/worksheets/sheet11.xml" Id="Rb028a6937a3d4ed5" /><Relationship Type="http://schemas.openxmlformats.org/officeDocument/2006/relationships/worksheet" Target="/xl/worksheets/sheet12.xml" Id="Rd8a1011d48924af3" /><Relationship Type="http://schemas.openxmlformats.org/officeDocument/2006/relationships/worksheet" Target="/xl/worksheets/sheet13.xml" Id="R090a9550cf4e4d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113f6425f147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f026eef13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13775550d2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cf9297ddef41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210c98ba8342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3fc96c5b6a43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356afa92a4f6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add77789174b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f9591ab8d34e3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2e29900d71141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RUN-TRF-130-20260829T175203130401Z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27085.0763125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RUN-TRF-130-20260829T175203130401Z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3113f6425f147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MAX_ATTEMPTS_REACHED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f026eef1347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RUN-TRF-130-20260829T175203130401Z</x:v>
      </x:c>
      <x:c r="C5" s="69" t="str">
        <x:v>TRF-130</x:v>
      </x:c>
      <x:c r="D5" s="70" t="n">
        <x:v>46263.74448068287</x:v>
      </x:c>
      <x:c r="E5" s="70" t="n">
        <x:v>46263.74700377315</x:v>
      </x:c>
      <x:c r="F5" s="69" t="str">
        <x:v>final-luna-main-run05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Repair the branch exclusivity: the normal branch constrains coolingWaterChestVolumeAndHeightRequirementsCannotBeMet=false but leaves coolingWaterChestAlternativeArrangementUsed unconstrained, so a ship can pass the normal branch while asserting alternative arrangement used=true. Constrain coolingWaterChestAlternativeArrangementUsed=false within the normal branch (not as a global mandatory property), retain it=true only in the selector=true branch, and keep the existing alternative two-chest and normal direct-calculation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13775550d248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RUN-TRF-130-20260829T175203130401Z</x:v>
      </x:c>
      <x:c r="B5" s="45" t="str">
        <x:v>TRF-130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Branch-specific evidence is used outside its selector branch: coolingWaterChestVolumeAndHeightRequirementsCannotBeMet
Semantic validator feedback: Repair the branch applicability encoding: coolingWaterChestVolumeAndHeightRequirementsCannotBeMet is used as branch-specific evidence outside its selector branch, and coolingWaterChestAlternativeArrangementUsed is incorrectly mandatory at the ship level even for the normal branch. Keep the selector on the ship, require the alternative-arrangement evidence only in the true branch, and make the normal/alternative branches mutually conditional without conjunctively requiring both. Replace the invented exact seaInletLocation string comparison with the supplied canonical nltl:nearCentrelineAndWellAftIfPossible boolean on each applicable inletChest. Enforce every declared operand and result: bind recommendedChestVolume as the derived volume result, use totalRelevantEnginePower/750 with tolerance, and constrain the declared strainerOpenAreaRatio result (or explicitly derive it from strainerOpenArea and inletPipeArea) rather than merely requiring its presence; retain the required seaChestVolume and maximumContinuousRatingPower structures. The deterministic validation is currently invalid.</x:v>
      </x:c>
      <x:c r="I5" s="84" t="n">
        <x:v>37890.974</x:v>
      </x:c>
      <x:c r="J5" s="84" t="n">
        <x:v>21113.369</x:v>
      </x:c>
    </x:row>
    <x:row r="6">
      <x:c r="A6" s="47" t="str">
        <x:v>RUN-TRF-130-20260829T175203130401Z</x:v>
      </x:c>
      <x:c r="B6" s="47" t="str">
        <x:v>TRF-130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SPARQL constraint's violation logic. In SHACL, sh:select must return focus nodes that violate the requirement, but this query selects a ship when all required chest values exist and all calculations pass, thereby rejecting compliant data and allowing missing operands/results to pass. Negate the complete per-chest condition (or use portable FILTER NOT EXISTS patterns) so missing values, invalid recommendedChestVolume, invalid strainerOpenAreaRatio, or strainerOpenArea &lt; 4*inletPipeArea produce violations. Preserve the prior branch-specific selector encoding, ship-owned selectors, inletChest-owned evidence and quantities, required seaChestVolume and power structures, and the declared tolerance-based derived-result checks.</x:v>
      </x:c>
      <x:c r="I6" s="86" t="n">
        <x:v>26668.335</x:v>
      </x:c>
      <x:c r="J6" s="86" t="n">
        <x:v>14739.126</x:v>
      </x:c>
    </x:row>
    <x:row r="7">
      <x:c r="A7" s="47" t="str">
        <x:v>RUN-TRF-130-20260829T175203130401Z</x:v>
      </x:c>
      <x:c r="B7" s="47" t="str">
        <x:v>TRF-130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Reject. The alternative branch is overconstrained: when coolingWaterChestVolumeAndHeightRequirementsCannotBeMet=true, the regulation permits two smaller alternating chests specifically instead of meeting paragraphs 2 and 3, but gen:TRF130AlternativeChestShape still requires iceAccumulationSpaceAboveInlet=true and recommendedChestVolume with a mandatory quantity structure. Remove those paragraph-2/3 requirements from the alternative branch while retaining the applicable location, full-capacity discharge, alternating arrangement, and strainer-area constraints. Keep the normal-branch derived-volume and ratio checks with tolerance, the required ship-owned operands/selector structures, and the prior mutually conditional selector encoding.</x:v>
      </x:c>
      <x:c r="I7" s="86" t="n">
        <x:v>34866.874</x:v>
      </x:c>
      <x:c r="J7" s="86" t="n">
        <x:v>22299.945</x:v>
      </x:c>
    </x:row>
    <x:row r="8">
      <x:c r="A8" s="49" t="str">
        <x:v>RUN-TRF-130-20260829T175203130401Z</x:v>
      </x:c>
      <x:c r="B8" s="49" t="str">
        <x:v>TRF-130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Repair the branch exclusivity: the normal branch constrains coolingWaterChestVolumeAndHeightRequirementsCannotBeMet=false but leaves coolingWaterChestAlternativeArrangementUsed unconstrained, so a ship can pass the normal branch while asserting alternative arrangement used=true. Constrain coolingWaterChestAlternativeArrangementUsed=false within the normal branch (not as a global mandatory property), retain it=true only in the selector=true branch, and keep the existing alternative two-chest and normal direct-calculation checks.</x:v>
      </x:c>
      <x:c r="I8" s="88" t="n">
        <x:v>36334.831</x:v>
      </x:c>
      <x:c r="J8" s="88" t="n">
        <x:v>22773.407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f9297ddef41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RUN-TRF-130-20260829T175203130401Z</x:v>
      </x:c>
      <x:c r="C5" s="45" t="str">
        <x:v>TRF-130</x:v>
      </x:c>
      <x:c r="D5" s="92" t="n">
        <x:v>46263.74491923611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37889.007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RUN-TRF-130-20260829T175203130401Z</x:v>
      </x:c>
      <x:c r="C6" s="47" t="str">
        <x:v>TRF-130</x:v>
      </x:c>
      <x:c r="D6" s="93" t="n">
        <x:v>46263.74491925926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37890.974</x:v>
      </x:c>
      <x:c r="L6" s="85" t="b">
        <x:v>0</x:v>
      </x:c>
      <x:c r="M6" s="47" t="str">
        <x:v>resp_02ecb198e5d567fa006a931c433eb08190a38f2831f87daaee</x:v>
      </x:c>
      <x:c r="N6" s="59" t="n">
        <x:v>11673</x:v>
      </x:c>
      <x:c r="O6" s="59" t="n">
        <x:v>4150</x:v>
      </x:c>
      <x:c r="P6" s="59" t="n">
        <x:v>15823</x:v>
      </x:c>
    </x:row>
    <x:row r="7">
      <x:c r="A7" s="47" t="str">
        <x:v>EVT-000036</x:v>
      </x:c>
      <x:c r="B7" s="47" t="str">
        <x:v>RUN-TRF-130-20260829T175203130401Z</x:v>
      </x:c>
      <x:c r="C7" s="47" t="str">
        <x:v>TRF-130</x:v>
      </x:c>
      <x:c r="D7" s="93" t="n">
        <x:v>46263.74516667824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21111.656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RUN-TRF-130-20260829T175203130401Z</x:v>
      </x:c>
      <x:c r="C8" s="47" t="str">
        <x:v>TRF-130</x:v>
      </x:c>
      <x:c r="D8" s="93" t="n">
        <x:v>46263.74516670139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21113.369</x:v>
      </x:c>
      <x:c r="L8" s="85" t="b">
        <x:v>0</x:v>
      </x:c>
      <x:c r="M8" s="47" t="str">
        <x:v>resp_0fdb9cdaf2d64881006a931c6964fc8194ae2fce632f843974</x:v>
      </x:c>
      <x:c r="N8" s="59" t="n">
        <x:v>13440</x:v>
      </x:c>
      <x:c r="O8" s="59" t="n">
        <x:v>1422</x:v>
      </x:c>
      <x:c r="P8" s="59" t="n">
        <x:v>14862</x:v>
      </x:c>
    </x:row>
    <x:row r="9">
      <x:c r="A9" s="47" t="str">
        <x:v>EVT-000042</x:v>
      </x:c>
      <x:c r="B9" s="47" t="str">
        <x:v>RUN-TRF-130-20260829T175203130401Z</x:v>
      </x:c>
      <x:c r="C9" s="47" t="str">
        <x:v>TRF-130</x:v>
      </x:c>
      <x:c r="D9" s="93" t="n">
        <x:v>46263.745475393516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26667.224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RUN-TRF-130-20260829T175203130401Z</x:v>
      </x:c>
      <x:c r="C10" s="47" t="str">
        <x:v>TRF-130</x:v>
      </x:c>
      <x:c r="D10" s="93" t="n">
        <x:v>46263.74547540509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26668.335</x:v>
      </x:c>
      <x:c r="L10" s="85" t="b">
        <x:v>0</x:v>
      </x:c>
      <x:c r="M10" s="47" t="str">
        <x:v>resp_042bd1312ab01cca006a931c7e8428819585d626564b0f6fde</x:v>
      </x:c>
      <x:c r="N10" s="59" t="n">
        <x:v>11902</x:v>
      </x:c>
      <x:c r="O10" s="59" t="n">
        <x:v>3106</x:v>
      </x:c>
      <x:c r="P10" s="59" t="n">
        <x:v>15008</x:v>
      </x:c>
    </x:row>
    <x:row r="11">
      <x:c r="A11" s="47" t="str">
        <x:v>EVT-000050</x:v>
      </x:c>
      <x:c r="B11" s="47" t="str">
        <x:v>RUN-TRF-130-20260829T175203130401Z</x:v>
      </x:c>
      <x:c r="C11" s="47" t="str">
        <x:v>TRF-130</x:v>
      </x:c>
      <x:c r="D11" s="93" t="n">
        <x:v>46263.74564903935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14737.405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RUN-TRF-130-20260829T175203130401Z</x:v>
      </x:c>
      <x:c r="C12" s="47" t="str">
        <x:v>TRF-130</x:v>
      </x:c>
      <x:c r="D12" s="93" t="n">
        <x:v>46263.7456490625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14739.126</x:v>
      </x:c>
      <x:c r="L12" s="85" t="b">
        <x:v>0</x:v>
      </x:c>
      <x:c r="M12" s="47" t="str">
        <x:v>resp_0f92d893502d8841006a931c99754c81978d33c9c6f071d701</x:v>
      </x:c>
      <x:c r="N12" s="59" t="n">
        <x:v>13383</x:v>
      </x:c>
      <x:c r="O12" s="59" t="n">
        <x:v>1101</x:v>
      </x:c>
      <x:c r="P12" s="59" t="n">
        <x:v>14484</x:v>
      </x:c>
    </x:row>
    <x:row r="13">
      <x:c r="A13" s="47" t="str">
        <x:v>EVT-000056</x:v>
      </x:c>
      <x:c r="B13" s="47" t="str">
        <x:v>RUN-TRF-130-20260829T175203130401Z</x:v>
      </x:c>
      <x:c r="C13" s="47" t="str">
        <x:v>TRF-130</x:v>
      </x:c>
      <x:c r="D13" s="93" t="n">
        <x:v>46263.746052662034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34865.795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RUN-TRF-130-20260829T175203130401Z</x:v>
      </x:c>
      <x:c r="C14" s="47" t="str">
        <x:v>TRF-130</x:v>
      </x:c>
      <x:c r="D14" s="93" t="n">
        <x:v>46263.74605268519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34866.874</x:v>
      </x:c>
      <x:c r="L14" s="85" t="b">
        <x:v>0</x:v>
      </x:c>
      <x:c r="M14" s="47" t="str">
        <x:v>resp_02c4225b06756e01006a931ca8360c8195a3982fc89865d5b0</x:v>
      </x:c>
      <x:c r="N14" s="59" t="n">
        <x:v>12046</x:v>
      </x:c>
      <x:c r="O14" s="59" t="n">
        <x:v>4119</x:v>
      </x:c>
      <x:c r="P14" s="59" t="n">
        <x:v>16165</x:v>
      </x:c>
    </x:row>
    <x:row r="15">
      <x:c r="A15" s="47" t="str">
        <x:v>EVT-000064</x:v>
      </x:c>
      <x:c r="B15" s="47" t="str">
        <x:v>RUN-TRF-130-20260829T175203130401Z</x:v>
      </x:c>
      <x:c r="C15" s="47" t="str">
        <x:v>TRF-130</x:v>
      </x:c>
      <x:c r="D15" s="93" t="n">
        <x:v>46263.746314421296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22298.297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EVT-000065</x:v>
      </x:c>
      <x:c r="B16" s="47" t="str">
        <x:v>RUN-TRF-130-20260829T175203130401Z</x:v>
      </x:c>
      <x:c r="C16" s="47" t="str">
        <x:v>TRF-130</x:v>
      </x:c>
      <x:c r="D16" s="93" t="n">
        <x:v>46263.74631444444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22299.945</x:v>
      </x:c>
      <x:c r="L16" s="85" t="b">
        <x:v>0</x:v>
      </x:c>
      <x:c r="M16" s="47" t="str">
        <x:v>resp_09c1b98342345452006a931ccb840481979468618dedc74177</x:v>
      </x:c>
      <x:c r="N16" s="59" t="n">
        <x:v>14244</x:v>
      </x:c>
      <x:c r="O16" s="59" t="n">
        <x:v>1706</x:v>
      </x:c>
      <x:c r="P16" s="59" t="n">
        <x:v>15950</x:v>
      </x:c>
    </x:row>
    <x:row r="17">
      <x:c r="A17" s="47" t="str">
        <x:v>EVT-000070</x:v>
      </x:c>
      <x:c r="B17" s="47" t="str">
        <x:v>RUN-TRF-130-20260829T175203130401Z</x:v>
      </x:c>
      <x:c r="C17" s="47" t="str">
        <x:v>TRF-130</x:v>
      </x:c>
      <x:c r="D17" s="93" t="n">
        <x:v>46263.74673503472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36333.163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RUN-TRF-130-20260829T175203130401Z</x:v>
      </x:c>
      <x:c r="C18" s="47" t="str">
        <x:v>TRF-130</x:v>
      </x:c>
      <x:c r="D18" s="93" t="n">
        <x:v>46263.7467350463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36334.831</x:v>
      </x:c>
      <x:c r="L18" s="85" t="b">
        <x:v>0</x:v>
      </x:c>
      <x:c r="M18" s="47" t="str">
        <x:v>resp_079dc4cf92f2518e006a931ce1ba3c8193880ac03e9b11bdf3</x:v>
      </x:c>
      <x:c r="N18" s="59" t="n">
        <x:v>12183</x:v>
      </x:c>
      <x:c r="O18" s="59" t="n">
        <x:v>4458</x:v>
      </x:c>
      <x:c r="P18" s="59" t="n">
        <x:v>16641</x:v>
      </x:c>
    </x:row>
    <x:row r="19">
      <x:c r="A19" s="47" t="str">
        <x:v>EVT-000078</x:v>
      </x:c>
      <x:c r="B19" s="47" t="str">
        <x:v>RUN-TRF-130-20260829T175203130401Z</x:v>
      </x:c>
      <x:c r="C19" s="47" t="str">
        <x:v>TRF-130</x:v>
      </x:c>
      <x:c r="D19" s="93" t="n">
        <x:v>46263.747003715274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22771.813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EVT-000079</x:v>
      </x:c>
      <x:c r="B20" s="49" t="str">
        <x:v>RUN-TRF-130-20260829T175203130401Z</x:v>
      </x:c>
      <x:c r="C20" s="49" t="str">
        <x:v>TRF-130</x:v>
      </x:c>
      <x:c r="D20" s="94" t="n">
        <x:v>46263.74700372685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22773.407</x:v>
      </x:c>
      <x:c r="L20" s="87" t="b">
        <x:v>0</x:v>
      </x:c>
      <x:c r="M20" s="49" t="str">
        <x:v>resp_07259d8536bd28fa006a931d067db081938ebf6225d7eb1c0f</x:v>
      </x:c>
      <x:c r="N20" s="60" t="n">
        <x:v>14705</x:v>
      </x:c>
      <x:c r="O20" s="60" t="n">
        <x:v>1925</x:v>
      </x:c>
      <x:c r="P20" s="60" t="n">
        <x:v>16630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10c98ba8342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RUN-TRF-130-20260829T175203130401Z</x:v>
      </x:c>
      <x:c r="B5" s="45" t="str">
        <x:v>TRF-130</x:v>
      </x:c>
      <x:c r="C5" s="45" t="str">
        <x:v>alternatingCoolingWaterIntakeAndDischarge</x:v>
      </x:c>
      <x:c r="D5" s="46" t="str">
        <x:v>https://w3id.org/nltl/vocab#alternatingCoolingWaterIntakeAndDischarge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RUN-TRF-130-20260829T175203130401Z</x:v>
      </x:c>
      <x:c r="B6" s="47" t="str">
        <x:v>TRF-130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maximumContinuousRatingPower; domain dependency of totalRelevantEnginePower</x:v>
      </x:c>
      <x:c r="J6" s="47" t="n">
        <x:v>0</x:v>
      </x:c>
    </x:row>
    <x:row r="7">
      <x:c r="A7" s="47" t="str">
        <x:v>RUN-TRF-130-20260829T175203130401Z</x:v>
      </x:c>
      <x:c r="B7" s="47" t="str">
        <x:v>TRF-130</x:v>
      </x:c>
      <x:c r="C7" s="47" t="str">
        <x:v>coolingWaterChestAlternativeArrangementUsed</x:v>
      </x:c>
      <x:c r="D7" s="48" t="str">
        <x:v>https://w3id.org/nltl/vocab#coolingWaterChestAlternativeArrangementUsed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RUN-TRF-130-20260829T175203130401Z</x:v>
      </x:c>
      <x:c r="B8" s="47" t="str">
        <x:v>TRF-130</x:v>
      </x:c>
      <x:c r="C8" s="47" t="str">
        <x:v>coolingWaterChestVolumeAndHeightRequirementsCannotBeMet</x:v>
      </x:c>
      <x:c r="D8" s="48" t="str">
        <x:v>https://w3id.org/nltl/vocab#coolingWaterChestVolumeAndHeightRequirementsCannotBeMet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RUN-TRF-130-20260829T175203130401Z</x:v>
      </x:c>
      <x:c r="B9" s="47" t="str">
        <x:v>TRF-130</x:v>
      </x:c>
      <x:c r="C9" s="47" t="str">
        <x:v>fullCapacityDischargePipeConnected</x:v>
      </x:c>
      <x:c r="D9" s="48" t="str">
        <x:v>https://w3id.org/nltl/vocab#fullCapacityDischargePipeConnected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RUN-TRF-130-20260829T175203130401Z</x:v>
      </x:c>
      <x:c r="B10" s="47" t="str">
        <x:v>TRF-130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module; linked by the locked 313-requirement index</x:v>
      </x:c>
      <x:c r="J10" s="47" t="n">
        <x:v>0</x:v>
      </x:c>
    </x:row>
    <x:row r="11">
      <x:c r="A11" s="47" t="str">
        <x:v>RUN-TRF-130-20260829T175203130401Z</x:v>
      </x:c>
      <x:c r="B11" s="47" t="str">
        <x:v>TRF-130</x:v>
      </x:c>
      <x:c r="C11" s="47" t="str">
        <x:v>iceAccumulationSpaceAboveInlet</x:v>
      </x:c>
      <x:c r="D11" s="48" t="str">
        <x:v>https://w3id.org/nltl/vocab#iceAccumulationSpaceAboveInlet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RUN-TRF-130-20260829T175203130401Z</x:v>
      </x:c>
      <x:c r="B12" s="47" t="str">
        <x:v>TRF-130</x:v>
      </x:c>
      <x:c r="C12" s="47" t="str">
        <x:v>inletChest</x:v>
      </x:c>
      <x:c r="D12" s="48" t="str">
        <x:v>https://w3id.org/nltl/vocab#inletChest</x:v>
      </x:c>
      <x:c r="E12" s="47" t="str">
        <x:v>Class</x:v>
      </x:c>
      <x:c r="F12" s="47" t="str"/>
      <x:c r="G12" s="47" t="str">
        <x:v>https://w3id.org/nltl/vocab#machineryComponent</x:v>
      </x:c>
      <x:c r="H12" s="47" t="str"/>
      <x:c r="I12" s="48" t="str">
        <x:v>authoritative required owner class; domain dependency of alternatingCoolingWaterIntakeAndDischarge; domain dependency of fullCapacityDischargePipeConnected; domain dependency of iceAccumulationSpaceAboveInlet; domain dependency of inletPipeArea; domain dependency of nearCentrelineAndWellAftIfPossible; domain dependency of recommendedChestVolume; domain dependency of seaChestVolume; domain dependency of seaInletLocation; domain dependency of strainerOpenArea; domain dependency of strainerOpenAreaRatio; linked by the locked 313-requirement index</x:v>
      </x:c>
      <x:c r="J12" s="47" t="n">
        <x:v>0</x:v>
      </x:c>
    </x:row>
    <x:row r="13">
      <x:c r="A13" s="47" t="str">
        <x:v>RUN-TRF-130-20260829T175203130401Z</x:v>
      </x:c>
      <x:c r="B13" s="47" t="str">
        <x:v>TRF-130</x:v>
      </x:c>
      <x:c r="C13" s="47" t="str">
        <x:v>inletPipeArea</x:v>
      </x:c>
      <x:c r="D13" s="48" t="str">
        <x:v>https://w3id.org/nltl/vocab#inletPipeArea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RUN-TRF-130-20260829T175203130401Z</x:v>
      </x:c>
      <x:c r="B14" s="47" t="str">
        <x:v>TRF-130</x:v>
      </x:c>
      <x:c r="C14" s="47" t="str">
        <x:v>machineryComponent</x:v>
      </x:c>
      <x:c r="D14" s="48" t="str">
        <x:v>https://w3id.org/nltl/vocab#machineryComponent</x:v>
      </x:c>
      <x:c r="E14" s="47" t="str">
        <x:v>Class</x:v>
      </x:c>
      <x:c r="F14" s="47" t="str"/>
      <x:c r="G14" s="47" t="str"/>
      <x:c r="H14" s="47" t="str"/>
      <x:c r="I14" s="48" t="str">
        <x:v>range dependency of inletChest</x:v>
      </x:c>
      <x:c r="J14" s="47" t="n">
        <x:v>0</x:v>
      </x:c>
    </x:row>
    <x:row r="15">
      <x:c r="A15" s="47" t="str">
        <x:v>RUN-TRF-130-20260829T175203130401Z</x:v>
      </x:c>
      <x:c r="B15" s="47" t="str">
        <x:v>TRF-130</x:v>
      </x:c>
      <x:c r="C15" s="47" t="str">
        <x:v>maximumContinuousRatingPower</x:v>
      </x:c>
      <x:c r="D15" s="48" t="str">
        <x:v>https://w3id.org/nltl/vocab#maximumContinuousRatingPower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http://qudt.org/vocab/unit/KiloW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RUN-TRF-130-20260829T175203130401Z</x:v>
      </x:c>
      <x:c r="B16" s="47" t="str">
        <x:v>TRF-130</x:v>
      </x:c>
      <x:c r="C16" s="47" t="str">
        <x:v>nearCentrelineAndWellAftIfPossible</x:v>
      </x:c>
      <x:c r="D16" s="48" t="str">
        <x:v>https://w3id.org/nltl/vocab#nearCentrelineAndWellAftIfPossible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RUN-TRF-130-20260829T175203130401Z</x:v>
      </x:c>
      <x:c r="B17" s="47" t="str">
        <x:v>TRF-130</x:v>
      </x:c>
      <x:c r="C17" s="47" t="str">
        <x:v>recommendedChestVolume</x:v>
      </x:c>
      <x:c r="D17" s="48" t="str">
        <x:v>https://w3id.org/nltl/vocab#recommendedChestVolume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http://qudt.org/vocab/unit/M3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RUN-TRF-130-20260829T175203130401Z</x:v>
      </x:c>
      <x:c r="B18" s="47" t="str">
        <x:v>TRF-130</x:v>
      </x:c>
      <x:c r="C18" s="47" t="str">
        <x:v>seaChestVolume</x:v>
      </x:c>
      <x:c r="D18" s="48" t="str">
        <x:v>https://w3id.org/nltl/vocab#seaChestVolume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RUN-TRF-130-20260829T175203130401Z</x:v>
      </x:c>
      <x:c r="B19" s="47" t="str">
        <x:v>TRF-130</x:v>
      </x:c>
      <x:c r="C19" s="47" t="str">
        <x:v>seaInletLocation</x:v>
      </x:c>
      <x:c r="D19" s="48" t="str">
        <x:v>https://w3id.org/nltl/vocab#seaInletLocation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RUN-TRF-130-20260829T175203130401Z</x:v>
      </x:c>
      <x:c r="B20" s="47" t="str">
        <x:v>TRF-130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coolingWaterChestAlternativeArrangementUsed; domain dependency of coolingWaterChestVolumeAndHeightRequirementsCannotBeMet; domain dependency of hasComponent</x:v>
      </x:c>
      <x:c r="J20" s="47" t="n">
        <x:v>0</x:v>
      </x:c>
    </x:row>
    <x:row r="21">
      <x:c r="A21" s="47" t="str">
        <x:v>RUN-TRF-130-20260829T175203130401Z</x:v>
      </x:c>
      <x:c r="B21" s="47" t="str">
        <x:v>TRF-130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hasComponent</x:v>
      </x:c>
      <x:c r="J21" s="47" t="n">
        <x:v>0</x:v>
      </x:c>
    </x:row>
    <x:row r="22">
      <x:c r="A22" s="47" t="str">
        <x:v>RUN-TRF-130-20260829T175203130401Z</x:v>
      </x:c>
      <x:c r="B22" s="47" t="str">
        <x:v>TRF-130</x:v>
      </x:c>
      <x:c r="C22" s="47" t="str">
        <x:v>strainerOpenArea</x:v>
      </x:c>
      <x:c r="D22" s="48" t="str">
        <x:v>https://w3id.org/nltl/vocab#strainerOpenArea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http://qudt.org/vocab/unit/M2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RUN-TRF-130-20260829T175203130401Z</x:v>
      </x:c>
      <x:c r="B23" s="47" t="str">
        <x:v>TRF-130</x:v>
      </x:c>
      <x:c r="C23" s="47" t="str">
        <x:v>strainerOpenAreaRatio</x:v>
      </x:c>
      <x:c r="D23" s="48" t="str">
        <x:v>https://w3id.org/nltl/vocab#strainerOpenAreaRatio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RUN-TRF-130-20260829T175203130401Z</x:v>
      </x:c>
      <x:c r="B24" s="49" t="str">
        <x:v>TRF-130</x:v>
      </x:c>
      <x:c r="C24" s="49" t="str">
        <x:v>totalRelevantEnginePower</x:v>
      </x:c>
      <x:c r="D24" s="50" t="str">
        <x:v>https://w3id.org/nltl/vocab#totalRelevantEnginePower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http://qudt.org/vocab/unit/KiloW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3fc96c5b6a43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RUN-TRF-130-20260829T175203130401Z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RUN-TRF-130-20260829T175203130401Z</x:v>
      </x:c>
      <x:c r="B5" s="45" t="str">
        <x:v>TRF-130</x:v>
      </x:c>
      <x:c r="C5" s="45" t="str">
        <x:v>FS-INT-02</x:v>
      </x:c>
      <x:c r="D5" s="45" t="str">
        <x:v>conditional_integrated</x:v>
      </x:c>
      <x:c r="E5" s="97" t="n">
        <x:v>0.030769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RUN-TRF-130-20260829T175203130401Z</x:v>
      </x:c>
      <x:c r="B6" s="49" t="str">
        <x:v>TRF-130</x:v>
      </x:c>
      <x:c r="C6" s="49" t="str">
        <x:v>FS-BOOL-01</x:v>
      </x:c>
      <x:c r="D6" s="49" t="str">
        <x:v>boolean_state</x:v>
      </x:c>
      <x:c r="E6" s="98" t="n">
        <x:v>0.023256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356afa92a4f6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RUN-TRF-130-20260829T175203130401Z</x:v>
      </x:c>
      <x:c r="B5" s="45" t="str">
        <x:v>TRF-130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>
        <x:v>Branch-specific evidence is used outside its selector branch: coolingWaterChestVolumeAndHeightRequirementsCannotBeMet</x:v>
      </x:c>
      <x:c r="M5" s="46" t="str"/>
      <x:c r="N5" s="46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https://w3id.org/nltl/vocab#recommendedChestVolume | https://w3id.org/nltl/vocab#seaChestVolume | https://w3id.org/nltl/vocab#seaInletLocation | https://w3id.org/nltl/vocab#ship | https://w3id.org/nltl/vocab#strainerOpenArea | https://w3id.org/nltl/vocab#strainerOpenAreaRatio | https://w3id.org/nltl/vocab#totalRelevantEnginePower</x:v>
      </x:c>
      <x:c r="O5" s="46" t="str"/>
      <x:c r="P5" s="46" t="str"/>
      <x:c r="Q5" s="46" t="str"/>
    </x:row>
    <x:row r="6">
      <x:c r="A6" s="47" t="str">
        <x:v>RUN-TRF-130-20260829T175203130401Z</x:v>
      </x:c>
      <x:c r="B6" s="47" t="str">
        <x:v>TRF-130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6" s="48" t="str"/>
      <x:c r="P6" s="48" t="str"/>
      <x:c r="Q6" s="48" t="str"/>
    </x:row>
    <x:row r="7">
      <x:c r="A7" s="47" t="str">
        <x:v>RUN-TRF-130-20260829T175203130401Z</x:v>
      </x:c>
      <x:c r="B7" s="47" t="str">
        <x:v>TRF-130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7" s="48" t="str"/>
      <x:c r="P7" s="48" t="str"/>
      <x:c r="Q7" s="48" t="str"/>
    </x:row>
    <x:row r="8">
      <x:c r="A8" s="49" t="str">
        <x:v>RUN-TRF-130-20260829T175203130401Z</x:v>
      </x:c>
      <x:c r="B8" s="49" t="str">
        <x:v>TRF-130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https://w3id.org/nltl/vocab#alternatingCoolingWaterIntakeAndDischarge | https://w3id.org/nltl/vocab#coolingWaterChestAlternativeArrangementUsed | https://w3id.org/nltl/vocab#coolingWaterChestVolumeAndHeightRequirementsCannotBeMet | https://w3id.org/nltl/vocab#fullCapacityDischargePipeConnected | https://w3id.org/nltl/vocab#hasComponent | https://w3id.org/nltl/vocab#iceAccumulationSpaceAboveInlet | https://w3id.org/nltl/vocab#inletChest | https://w3id.org/nltl/vocab#inletPipeArea | https://w3id.org/nltl/vocab#maximumContinuousRatingPower | https://w3id.org/nltl/vocab#nearCentrelineAndWellAftIfPossible | https://w3id.org/nltl/vocab#recommendedChestVolume | https://w3id.org/nltl/vocab#seaChestVolume | https://w3id.org/nltl/vocab#ship | https://w3id.org/nltl/vocab#strainerOpenArea | https://w3id.org/nltl/vocab#strainerOpenAreaRatio | https://w3id.org/nltl/vocab#totalRelevantEnginePower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58add77789174b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RUN-TRF-130-20260829T175203130401Z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RUN-TRF-130-20260829T175203130401Z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RUN-TRF-130-20260829T175203130401Z</x:v>
      </x:c>
      <x:c r="B5" s="45" t="str">
        <x:v>TRF-130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d033a8fe6e8768edd59cde4595da68d87459e0d2e83141b58f39324d007cb6a9</x:v>
      </x:c>
      <x:c r="G5" s="58" t="n">
        <x:v>30571</x:v>
      </x:c>
    </x:row>
    <x:row r="6">
      <x:c r="A6" s="47" t="str">
        <x:v>RUN-TRF-130-20260829T175203130401Z</x:v>
      </x:c>
      <x:c r="B6" s="47" t="str">
        <x:v>TRF-130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36c064209e8c19ed0248450a1778a2221ffea95be22895770f316bcfbc08223d</x:v>
      </x:c>
      <x:c r="G6" s="59" t="n">
        <x:v>6149</x:v>
      </x:c>
    </x:row>
    <x:row r="7">
      <x:c r="A7" s="47" t="str">
        <x:v>RUN-TRF-130-20260829T175203130401Z</x:v>
      </x:c>
      <x:c r="B7" s="47" t="str">
        <x:v>TRF-130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779f164bdbb08b4d50e69cb09b9f52b0af48c134c5f4cc884a7dd102d6c7fde3</x:v>
      </x:c>
      <x:c r="G7" s="59" t="n">
        <x:v>48334</x:v>
      </x:c>
    </x:row>
    <x:row r="8">
      <x:c r="A8" s="47" t="str">
        <x:v>RUN-TRF-130-20260829T175203130401Z</x:v>
      </x:c>
      <x:c r="B8" s="47" t="str">
        <x:v>TRF-130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3abb7939cae38753ad7d182df9c8bafb3b9fb1cabe83f9454139b4fd20b6fae5</x:v>
      </x:c>
      <x:c r="G8" s="59" t="n">
        <x:v>7817</x:v>
      </x:c>
    </x:row>
    <x:row r="9">
      <x:c r="A9" s="47" t="str">
        <x:v>RUN-TRF-130-20260829T175203130401Z</x:v>
      </x:c>
      <x:c r="B9" s="47" t="str">
        <x:v>TRF-130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0e5093e16e33a0069dce9b69f318c11b7802b28a0c82021ba2f164cb2a38f1e3</x:v>
      </x:c>
      <x:c r="G9" s="59" t="n">
        <x:v>7792</x:v>
      </x:c>
    </x:row>
    <x:row r="10">
      <x:c r="A10" s="47" t="str">
        <x:v>RUN-TRF-130-20260829T175203130401Z</x:v>
      </x:c>
      <x:c r="B10" s="47" t="str">
        <x:v>TRF-130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b7fc8005d4183727ba821eee14144ae06f2f7580d677de55324bdc8bdfc40d09</x:v>
      </x:c>
      <x:c r="G10" s="59" t="n">
        <x:v>1476</x:v>
      </x:c>
    </x:row>
    <x:row r="11">
      <x:c r="A11" s="47" t="str">
        <x:v>RUN-TRF-130-20260829T175203130401Z</x:v>
      </x:c>
      <x:c r="B11" s="47" t="str">
        <x:v>TRF-130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c6114e1923a0f266d16bd95d202f4c7bdaddffb9cd45248d2d6166d029c3a8d1</x:v>
      </x:c>
      <x:c r="G11" s="59" t="n">
        <x:v>52819</x:v>
      </x:c>
    </x:row>
    <x:row r="12">
      <x:c r="A12" s="47" t="str">
        <x:v>RUN-TRF-130-20260829T175203130401Z</x:v>
      </x:c>
      <x:c r="B12" s="47" t="str">
        <x:v>TRF-130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177976145b196f1bc302579b92ad988a1791da9a31347dd62325f95c736925a1</x:v>
      </x:c>
      <x:c r="G12" s="59" t="n">
        <x:v>1161</x:v>
      </x:c>
    </x:row>
    <x:row r="13">
      <x:c r="A13" s="47" t="str">
        <x:v>RUN-TRF-130-20260829T175203130401Z</x:v>
      </x:c>
      <x:c r="B13" s="47" t="str">
        <x:v>TRF-130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05dc43311e3e5d1a3566638ab8cdb3980ad94a0e2e167a942e794de64413d9d0</x:v>
      </x:c>
      <x:c r="G13" s="59" t="n">
        <x:v>49629</x:v>
      </x:c>
    </x:row>
    <x:row r="14">
      <x:c r="A14" s="47" t="str">
        <x:v>RUN-TRF-130-20260829T175203130401Z</x:v>
      </x:c>
      <x:c r="B14" s="47" t="str">
        <x:v>TRF-130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356fd00c2c59bf353e095784515ba2b0be5f98f9d5ec33ef82927f9da83b114e</x:v>
      </x:c>
      <x:c r="G14" s="59" t="n">
        <x:v>6921</x:v>
      </x:c>
    </x:row>
    <x:row r="15">
      <x:c r="A15" s="47" t="str">
        <x:v>RUN-TRF-130-20260829T175203130401Z</x:v>
      </x:c>
      <x:c r="B15" s="47" t="str">
        <x:v>TRF-130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532526b30a322d94325f0a5d2e53a95423488c86fd057dc130b969c7cf8a5b2b</x:v>
      </x:c>
      <x:c r="G15" s="59" t="n">
        <x:v>6896</x:v>
      </x:c>
    </x:row>
    <x:row r="16">
      <x:c r="A16" s="47" t="str">
        <x:v>RUN-TRF-130-20260829T175203130401Z</x:v>
      </x:c>
      <x:c r="B16" s="47" t="str">
        <x:v>TRF-130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f2ec67cb9723b0dadf10837750c31ee93cf1186e6a81031abb15115571a0b19d</x:v>
      </x:c>
      <x:c r="G16" s="59" t="n">
        <x:v>1366</x:v>
      </x:c>
    </x:row>
    <x:row r="17">
      <x:c r="A17" s="47" t="str">
        <x:v>RUN-TRF-130-20260829T175203130401Z</x:v>
      </x:c>
      <x:c r="B17" s="47" t="str">
        <x:v>TRF-130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35a68e42930a23b7e31bc7227c809febf0a1f1bb07d950fcf473ea61ed52ef76</x:v>
      </x:c>
      <x:c r="G17" s="59" t="n">
        <x:v>53170</x:v>
      </x:c>
    </x:row>
    <x:row r="18">
      <x:c r="A18" s="47" t="str">
        <x:v>RUN-TRF-130-20260829T175203130401Z</x:v>
      </x:c>
      <x:c r="B18" s="47" t="str">
        <x:v>TRF-130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53984f181d89f7ed5262525c854d1a08e046ba15fc09fb974295a2389f04ae2e</x:v>
      </x:c>
      <x:c r="G18" s="59" t="n">
        <x:v>804</x:v>
      </x:c>
    </x:row>
    <x:row r="19">
      <x:c r="A19" s="47" t="str">
        <x:v>RUN-TRF-130-20260829T175203130401Z</x:v>
      </x:c>
      <x:c r="B19" s="47" t="str">
        <x:v>TRF-130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5bc25e18ea34bab428109e50668051a1baaf9bd13ca17fbb1d7498eaca349a51</x:v>
      </x:c>
      <x:c r="G19" s="59" t="n">
        <x:v>50376</x:v>
      </x:c>
    </x:row>
    <x:row r="20">
      <x:c r="A20" s="47" t="str">
        <x:v>RUN-TRF-130-20260829T175203130401Z</x:v>
      </x:c>
      <x:c r="B20" s="47" t="str">
        <x:v>TRF-130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389b7d203c2549cfedfd0bdc08b48a1d852bf1a35537a7a07c573c5900b4b417</x:v>
      </x:c>
      <x:c r="G20" s="59" t="n">
        <x:v>9069</x:v>
      </x:c>
    </x:row>
    <x:row r="21">
      <x:c r="A21" s="47" t="str">
        <x:v>RUN-TRF-130-20260829T175203130401Z</x:v>
      </x:c>
      <x:c r="B21" s="47" t="str">
        <x:v>TRF-130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3cd2966373948cb0da986a67072971a044d3c3abb9a9baf8fe32fe9b4a7cfa6b</x:v>
      </x:c>
      <x:c r="G21" s="59" t="n">
        <x:v>9044</x:v>
      </x:c>
    </x:row>
    <x:row r="22">
      <x:c r="A22" s="47" t="str">
        <x:v>RUN-TRF-130-20260829T175203130401Z</x:v>
      </x:c>
      <x:c r="B22" s="47" t="str">
        <x:v>TRF-130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f2ec67cb9723b0dadf10837750c31ee93cf1186e6a81031abb15115571a0b19d</x:v>
      </x:c>
      <x:c r="G22" s="59" t="n">
        <x:v>1366</x:v>
      </x:c>
    </x:row>
    <x:row r="23">
      <x:c r="A23" s="47" t="str">
        <x:v>RUN-TRF-130-20260829T175203130401Z</x:v>
      </x:c>
      <x:c r="B23" s="47" t="str">
        <x:v>TRF-130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e81fc59506392df57634ce03420a8e1c01aae1087405ee66287fef1d3bf78cee</x:v>
      </x:c>
      <x:c r="G23" s="59" t="n">
        <x:v>56152</x:v>
      </x:c>
    </x:row>
    <x:row r="24">
      <x:c r="A24" s="47" t="str">
        <x:v>RUN-TRF-130-20260829T175203130401Z</x:v>
      </x:c>
      <x:c r="B24" s="47" t="str">
        <x:v>TRF-130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4bbcfa1a9ff57eee02b37affefbb0361fc30efe67e573c448064e3b8c5e5b84d</x:v>
      </x:c>
      <x:c r="G24" s="59" t="n">
        <x:v>807</x:v>
      </x:c>
    </x:row>
    <x:row r="25">
      <x:c r="A25" s="47" t="str">
        <x:v>RUN-TRF-130-20260829T175203130401Z</x:v>
      </x:c>
      <x:c r="B25" s="47" t="str">
        <x:v>TRF-130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98ace7d91c4feb5be79098dde1ee31c67152aa2fb952c51f156a89c1c47da316</x:v>
      </x:c>
      <x:c r="G25" s="59" t="n">
        <x:v>51126</x:v>
      </x:c>
    </x:row>
    <x:row r="26">
      <x:c r="A26" s="47" t="str">
        <x:v>RUN-TRF-130-20260829T175203130401Z</x:v>
      </x:c>
      <x:c r="B26" s="47" t="str">
        <x:v>TRF-130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ab3ac4d633662b4ec0ccb79b243fca3b7a96341e3d877ed1847a7c39527b9089</x:v>
      </x:c>
      <x:c r="G26" s="59" t="n">
        <x:v>11090</x:v>
      </x:c>
    </x:row>
    <x:row r="27">
      <x:c r="A27" s="47" t="str">
        <x:v>RUN-TRF-130-20260829T175203130401Z</x:v>
      </x:c>
      <x:c r="B27" s="47" t="str">
        <x:v>TRF-130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97368ee388a92b55eb5ddcb1c4b720f4bac86bea029b4ca5f702c00033fcda00</x:v>
      </x:c>
      <x:c r="G27" s="59" t="n">
        <x:v>11065</x:v>
      </x:c>
    </x:row>
    <x:row r="28">
      <x:c r="A28" s="47" t="str">
        <x:v>RUN-TRF-130-20260829T175203130401Z</x:v>
      </x:c>
      <x:c r="B28" s="47" t="str">
        <x:v>TRF-130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f2ec67cb9723b0dadf10837750c31ee93cf1186e6a81031abb15115571a0b19d</x:v>
      </x:c>
      <x:c r="G28" s="59" t="n">
        <x:v>1366</x:v>
      </x:c>
    </x:row>
    <x:row r="29">
      <x:c r="A29" s="47" t="str">
        <x:v>RUN-TRF-130-20260829T175203130401Z</x:v>
      </x:c>
      <x:c r="B29" s="47" t="str">
        <x:v>TRF-130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59ee442740ee94d2a57db80fd1288e0a5adc37cc5266c23a1d4223b6a1016061</x:v>
      </x:c>
      <x:c r="G29" s="59" t="n">
        <x:v>58968</x:v>
      </x:c>
    </x:row>
    <x:row r="30">
      <x:c r="A30" s="49" t="str">
        <x:v>RUN-TRF-130-20260829T175203130401Z</x:v>
      </x:c>
      <x:c r="B30" s="49" t="str">
        <x:v>TRF-130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00766232e0ee440e163d74a28da6e4a0a86edf8851b4e0b95580c00ea62bee5f</x:v>
      </x:c>
      <x:c r="G30" s="60" t="n">
        <x:v>597</x:v>
      </x:c>
    </x:row>
  </x:sheetData>
  <x:pageMargins left="0.7" right="0.7" top="0.75" bottom="0.75" header="0.3" footer="0.3"/>
  <x:tableParts count="1">
    <x:tablePart xmlns:r="http://schemas.openxmlformats.org/officeDocument/2006/relationships" r:id="Redf9591ab8d34e3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RUN-TRF-130-20260829T175203130401Z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RUN-TRF-130-20260829T175203130401Z</x:v>
      </x:c>
      <x:c r="B5" s="69" t="str">
        <x:v>TRF-130</x:v>
      </x:c>
      <x:c r="C5" s="71" t="n">
        <x:v>4</x:v>
      </x:c>
      <x:c r="D5" s="69" t="str">
        <x:v>MAX_ATTEMPTS_REACHED</x:v>
      </x:c>
      <x:c r="E5" s="73" t="str">
        <x:v>Repair the branch exclusivity: the normal branch constrains coolingWaterChestVolumeAndHeightRequirementsCannotBeMet=false but leaves coolingWaterChestAlternativeArrangementUsed unconstrained, so a ship can pass the normal branch while asserting alternative arrangement used=true. Constrain coolingWaterChestAlternativeArrangementUsed=false within the normal branch (not as a global mandatory property), retain it=true only in the selector=true branch, and keep the existing alternative two-chest and normal direct-calculation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29900d71141d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RUN-TRF-130-20260829T175203130401Z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