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43f069f7546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6c2ada47bd4042"/>
    <x:sheet xmlns:r="http://schemas.openxmlformats.org/officeDocument/2006/relationships" name="README" sheetId="2" r:id="R4fa433d16f524eb1"/>
    <x:sheet xmlns:r="http://schemas.openxmlformats.org/officeDocument/2006/relationships" name="REGULATION_QUEUE" sheetId="3" r:id="Re08fd87dcaec46d8"/>
    <x:sheet xmlns:r="http://schemas.openxmlformats.org/officeDocument/2006/relationships" name="RUNS" sheetId="4" r:id="Rc6698d868fba426f"/>
    <x:sheet xmlns:r="http://schemas.openxmlformats.org/officeDocument/2006/relationships" name="ITERATIONS" sheetId="5" r:id="Re4d9e12720564c93"/>
    <x:sheet xmlns:r="http://schemas.openxmlformats.org/officeDocument/2006/relationships" name="API_CALLS" sheetId="6" r:id="Rf3b93499b7dc45c9"/>
    <x:sheet xmlns:r="http://schemas.openxmlformats.org/officeDocument/2006/relationships" name="TERM_RETRIEVAL" sheetId="7" r:id="Rf0bfda2d5d934fca"/>
    <x:sheet xmlns:r="http://schemas.openxmlformats.org/officeDocument/2006/relationships" name="FEW_SHOT_SELECTION" sheetId="8" r:id="R010d723921024d37"/>
    <x:sheet xmlns:r="http://schemas.openxmlformats.org/officeDocument/2006/relationships" name="VALIDATION" sheetId="9" r:id="Rc30e3e08b50746a4"/>
    <x:sheet xmlns:r="http://schemas.openxmlformats.org/officeDocument/2006/relationships" name="VOCAB_MATCHES" sheetId="10" r:id="R9dd114df1d364e2d"/>
    <x:sheet xmlns:r="http://schemas.openxmlformats.org/officeDocument/2006/relationships" name="ARTIFACTS" sheetId="11" r:id="R1fa63e16c9d14b52"/>
    <x:sheet xmlns:r="http://schemas.openxmlformats.org/officeDocument/2006/relationships" name="UNRESOLVED" sheetId="12" r:id="R2206e6ffa9434a55"/>
    <x:sheet xmlns:r="http://schemas.openxmlformats.org/officeDocument/2006/relationships" name="RDF_TEST_QUEUE" sheetId="13" r:id="Re8fc5cc5ad42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819fa041c49ba" /><Relationship Type="http://schemas.openxmlformats.org/officeDocument/2006/relationships/theme" Target="/xl/theme/theme1.xml" Id="Rab2814d4dd4e458a" /><Relationship Type="http://schemas.microsoft.com/office/2022/11/relationships/FeaturePropertyBag" Target="/xl/featurePropertyBag/featurePropertyBag.xml" Id="Rf600aa87e32141dd" /><Relationship Type="http://schemas.openxmlformats.org/officeDocument/2006/relationships/sharedStrings" Target="/xl/sharedStrings.xml" Id="R5309c84bad1945db" /><Relationship Type="http://schemas.openxmlformats.org/officeDocument/2006/relationships/worksheet" Target="/xl/worksheets/sheet1.xml" Id="R7e6c2ada47bd4042" /><Relationship Type="http://schemas.openxmlformats.org/officeDocument/2006/relationships/worksheet" Target="/xl/worksheets/sheet2.xml" Id="R4fa433d16f524eb1" /><Relationship Type="http://schemas.openxmlformats.org/officeDocument/2006/relationships/worksheet" Target="/xl/worksheets/sheet3.xml" Id="Re08fd87dcaec46d8" /><Relationship Type="http://schemas.openxmlformats.org/officeDocument/2006/relationships/worksheet" Target="/xl/worksheets/sheet4.xml" Id="Rc6698d868fba426f" /><Relationship Type="http://schemas.openxmlformats.org/officeDocument/2006/relationships/worksheet" Target="/xl/worksheets/sheet5.xml" Id="Re4d9e12720564c93" /><Relationship Type="http://schemas.openxmlformats.org/officeDocument/2006/relationships/worksheet" Target="/xl/worksheets/sheet6.xml" Id="Rf3b93499b7dc45c9" /><Relationship Type="http://schemas.openxmlformats.org/officeDocument/2006/relationships/worksheet" Target="/xl/worksheets/sheet7.xml" Id="Rf0bfda2d5d934fca" /><Relationship Type="http://schemas.openxmlformats.org/officeDocument/2006/relationships/worksheet" Target="/xl/worksheets/sheet8.xml" Id="R010d723921024d37" /><Relationship Type="http://schemas.openxmlformats.org/officeDocument/2006/relationships/worksheet" Target="/xl/worksheets/sheet9.xml" Id="Rc30e3e08b50746a4" /><Relationship Type="http://schemas.openxmlformats.org/officeDocument/2006/relationships/worksheet" Target="/xl/worksheets/sheet10.xml" Id="R9dd114df1d364e2d" /><Relationship Type="http://schemas.openxmlformats.org/officeDocument/2006/relationships/worksheet" Target="/xl/worksheets/sheet11.xml" Id="R1fa63e16c9d14b52" /><Relationship Type="http://schemas.openxmlformats.org/officeDocument/2006/relationships/worksheet" Target="/xl/worksheets/sheet12.xml" Id="R2206e6ffa9434a55" /><Relationship Type="http://schemas.openxmlformats.org/officeDocument/2006/relationships/worksheet" Target="/xl/worksheets/sheet13.xml" Id="Re8fc5cc5ad4243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95cf3e225649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8250c4ab084e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a2e2a899e342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260d8d815143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0489be045442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6ebafed4c940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28a5599af074d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5e90aaa6bc47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cf23e7abf04f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1d5a37dc0744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RUN-I2-021-20260829T202720523192Z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10427.292875000001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RUN-I2-021-20260829T202720523192Z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95cf3e225649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RUN-I2-021-20260829T202720523192Z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8250c4ab084e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RUN-I2-021-20260829T202720523192Z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RUN-I2-021-20260829T202720523192Z</x:v>
      </x:c>
      <x:c r="C5" s="69" t="str">
        <x:v>I2-021</x:v>
      </x:c>
      <x:c r="D5" s="70" t="n">
        <x:v>46263.85232087963</x:v>
      </x:c>
      <x:c r="E5" s="70" t="n">
        <x:v>46263.85281258102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ship-to-plating ownership and pairing, uses the canonical terms and units, implements thickness = net thickness + allowance with millimetre-to-metre conversion, and applies a tolerance scaled from the expected derived result. The prior instructions concerning non-vocabulary shape identifiers, unit:M for thickness, and avoiding unsupported ABS have been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2e2a899e342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RUN-I2-021-20260829T202720523192Z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RUN-I2-021-20260829T202720523192Z</x:v>
      </x:c>
      <x:c r="B5" s="45" t="str">
        <x:v>I2-021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https://w3id.org/nltl/vocab#GeneratedShape_I2_021, https://w3id.org/nltl/vocab#GeneratedShape_I2_021_Calculation, https://w3id.org/nltl/vocab#GeneratedShape_I2_021_Plating
Semantic validator feedback: Repair the graph before freezing: replace the invented nltl:GeneratedShape_I2_021, nltl:GeneratedShape_I2_021_Plating, and nltl:GeneratedShape_I2_021_Calculation IRIs with blank nodes or non-vocabulary shape identifiers so they are not treated as canonical vocabulary terms. Use the canonical unit for nltl:thickness (unit:M, as declared), not unit:MilliM. Rewrite the DIRECT_CALCULATION query without unsupported ABS; express the absolute residual and scaled tolerance with supported arithmetic, comparisons, and bounded piecewise branches (or equivalent supported min/max logic), while retaining the pairing of all three quantities on each plating node and the thickness = net thickness + allowance formula.</x:v>
      </x:c>
      <x:c r="I5" s="81" t="n">
        <x:v>9846.038</x:v>
      </x:c>
      <x:c r="J5" s="81" t="n">
        <x:v>8589.997</x:v>
      </x:c>
    </x:row>
    <x:row r="6">
      <x:c r="A6" s="49" t="str">
        <x:v>RUN-I2-021-20260829T202720523192Z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preserves the ship-to-plating ownership and pairing, uses the canonical terms and units, implements thickness = net thickness + allowance with millimetre-to-metre conversion, and applies a tolerance scaled from the expected derived result. The prior instructions concerning non-vocabulary shape identifiers, unit:M for thickness, and avoiding unsupported ABS have been satisfied.</x:v>
      </x:c>
      <x:c r="I6" s="83" t="n">
        <x:v>16012.604</x:v>
      </x:c>
      <x:c r="J6" s="83" t="n">
        <x:v>7263.283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60d8d815143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RUN-I2-021-20260829T202720523192Z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RUN-I2-021-20260829T202720523192Z</x:v>
      </x:c>
      <x:c r="C5" s="45" t="str">
        <x:v>I2-021</x:v>
      </x:c>
      <x:c r="D5" s="90" t="n">
        <x:v>46263.852434849534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9844.988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RUN-I2-021-20260829T202720523192Z</x:v>
      </x:c>
      <x:c r="C6" s="47" t="str">
        <x:v>I2-021</x:v>
      </x:c>
      <x:c r="D6" s="91" t="n">
        <x:v>46263.85243486111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9846.038</x:v>
      </x:c>
      <x:c r="L6" s="93" t="b">
        <x:v>0</x:v>
      </x:c>
      <x:c r="M6" s="47" t="str">
        <x:v>resp_0856a7383df3960a006a9340a8a8fc8193adb7c9cab05faf98</x:v>
      </x:c>
      <x:c r="N6" s="59" t="n">
        <x:v>7650</x:v>
      </x:c>
      <x:c r="O6" s="59" t="n">
        <x:v>1423</x:v>
      </x:c>
      <x:c r="P6" s="59" t="n">
        <x:v>9073</x:v>
      </x:c>
    </x:row>
    <x:row r="7">
      <x:c r="A7" s="47" t="str">
        <x:v>EVT-000026</x:v>
      </x:c>
      <x:c r="B7" s="47" t="str">
        <x:v>RUN-I2-021-20260829T202720523192Z</x:v>
      </x:c>
      <x:c r="C7" s="47" t="str">
        <x:v>I2-021</x:v>
      </x:c>
      <x:c r="D7" s="91" t="n">
        <x:v>46263.85254158565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8588.667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RUN-I2-021-20260829T202720523192Z</x:v>
      </x:c>
      <x:c r="C8" s="47" t="str">
        <x:v>I2-021</x:v>
      </x:c>
      <x:c r="D8" s="91" t="n">
        <x:v>46263.852541608794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8589.997</x:v>
      </x:c>
      <x:c r="L8" s="93" t="b">
        <x:v>0</x:v>
      </x:c>
      <x:c r="M8" s="47" t="str">
        <x:v>resp_01ab8108b5a6f700006a9340b3267c81938014a30753cf0a13</x:v>
      </x:c>
      <x:c r="N8" s="59" t="n">
        <x:v>7473</x:v>
      </x:c>
      <x:c r="O8" s="59" t="n">
        <x:v>688</x:v>
      </x:c>
      <x:c r="P8" s="59" t="n">
        <x:v>8161</x:v>
      </x:c>
    </x:row>
    <x:row r="9">
      <x:c r="A9" s="47" t="str">
        <x:v>EVT-000032</x:v>
      </x:c>
      <x:c r="B9" s="47" t="str">
        <x:v>RUN-I2-021-20260829T202720523192Z</x:v>
      </x:c>
      <x:c r="C9" s="47" t="str">
        <x:v>I2-021</x:v>
      </x:c>
      <x:c r="D9" s="91" t="n">
        <x:v>46263.85272697917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16011.015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RUN-I2-021-20260829T202720523192Z</x:v>
      </x:c>
      <x:c r="C10" s="47" t="str">
        <x:v>I2-021</x:v>
      </x:c>
      <x:c r="D10" s="91" t="n">
        <x:v>46263.85272700231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16012.604</x:v>
      </x:c>
      <x:c r="L10" s="93" t="b">
        <x:v>0</x:v>
      </x:c>
      <x:c r="M10" s="47" t="str">
        <x:v>resp_016324ba79bf575c006a9340bbbe008195a0e2190647a5ec8c</x:v>
      </x:c>
      <x:c r="N10" s="59" t="n">
        <x:v>7883</x:v>
      </x:c>
      <x:c r="O10" s="59" t="n">
        <x:v>1924</x:v>
      </x:c>
      <x:c r="P10" s="59" t="n">
        <x:v>9807</x:v>
      </x:c>
    </x:row>
    <x:row r="11">
      <x:c r="A11" s="47" t="str">
        <x:v>EVT-000040</x:v>
      </x:c>
      <x:c r="B11" s="47" t="str">
        <x:v>RUN-I2-021-20260829T202720523192Z</x:v>
      </x:c>
      <x:c r="C11" s="47" t="str">
        <x:v>I2-021</x:v>
      </x:c>
      <x:c r="D11" s="91" t="n">
        <x:v>46263.85281253472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7261.751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RUN-I2-021-20260829T202720523192Z</x:v>
      </x:c>
      <x:c r="C12" s="49" t="str">
        <x:v>I2-021</x:v>
      </x:c>
      <x:c r="D12" s="94" t="n">
        <x:v>46263.8528125463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7263.283</x:v>
      </x:c>
      <x:c r="L12" s="82" t="b">
        <x:v>0</x:v>
      </x:c>
      <x:c r="M12" s="49" t="str">
        <x:v>resp_0ca111ccb31d99cb006a9340cbe4fc8194b4d59e7191d84058</x:v>
      </x:c>
      <x:c r="N12" s="60" t="n">
        <x:v>7223</x:v>
      </x:c>
      <x:c r="O12" s="60" t="n">
        <x:v>617</x:v>
      </x:c>
      <x:c r="P12" s="60" t="n">
        <x:v>7840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489be045442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RUN-I2-021-20260829T202720523192Z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RUN-I2-021-20260829T202720523192Z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RUN-I2-021-20260829T202720523192Z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RUN-I2-021-20260829T202720523192Z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RUN-I2-021-20260829T202720523192Z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RUN-I2-021-20260829T202720523192Z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RUN-I2-021-20260829T202720523192Z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RUN-I2-021-20260829T202720523192Z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RUN-I2-021-20260829T202720523192Z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RUN-I2-021-20260829T202720523192Z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RUN-I2-021-20260829T202720523192Z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6ebafed4c940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RUN-I2-021-20260829T202720523192Z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RUN-I2-021-20260829T202720523192Z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RUN-I2-021-20260829T202720523192Z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a5599af074d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RUN-I2-021-20260829T202720523192Z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RUN-I2-021-20260829T202720523192Z</x:v>
      </x:c>
      <x:c r="B5" s="45" t="str">
        <x:v>I2-021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https://w3id.org/nltl/vocab#GeneratedShape_I2_021, https://w3id.org/nltl/vocab#GeneratedShape_I2_021_Calculation, https://w3id.org/nltl/vocab#GeneratedShape_I2_021_Plating</x:v>
      </x:c>
      <x:c r="M5" s="46" t="str"/>
      <x:c r="N5" s="46" t="str">
        <x:v>https://w3id.org/nltl/vocab#GeneratedShape_I2_021 | https://w3id.org/nltl/vocab#GeneratedShape_I2_021_Calculation | https://w3id.org/nltl/vocab#GeneratedShape_I2_021_Plating | 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46" t="str">
        <x:v>https://w3id.org/nltl/vocab#GeneratedShape_I2_021 | https://w3id.org/nltl/vocab#GeneratedShape_I2_021_Calculation | https://w3id.org/nltl/vocab#GeneratedShape_I2_021_Plating</x:v>
      </x:c>
      <x:c r="P5" s="46" t="str"/>
      <x:c r="Q5" s="46" t="str"/>
    </x:row>
    <x:row r="6">
      <x:c r="A6" s="49" t="str">
        <x:v>RUN-I2-021-20260829T202720523192Z</x:v>
      </x:c>
      <x:c r="B6" s="49" t="str">
        <x:v>I2-021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5e90aaa6bc47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RUN-I2-021-20260829T202720523192Z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RUN-I2-021-20260829T202720523192Z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RUN-I2-021-20260829T202720523192Z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RUN-I2-021-20260829T202720523192Z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RUN-I2-021-20260829T202720523192Z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RUN-I2-021-20260829T202720523192Z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0ea91c1e3ed0e4cb9999e5ff9da56c9e414c953413ba6d94638ac792ab436313</x:v>
      </x:c>
      <x:c r="G8" s="59" t="n">
        <x:v>3515</x:v>
      </x:c>
    </x:row>
    <x:row r="9">
      <x:c r="A9" s="47" t="str">
        <x:v>RUN-I2-021-20260829T202720523192Z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f12cbfc8b07309f6a44d1e5774e8b1d5a557934d09c679d8218b301a9fcbe9c8</x:v>
      </x:c>
      <x:c r="G9" s="59" t="n">
        <x:v>3490</x:v>
      </x:c>
    </x:row>
    <x:row r="10">
      <x:c r="A10" s="47" t="str">
        <x:v>RUN-I2-021-20260829T202720523192Z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1788b2b33513656147a54b1891c01542d60873005f4c68c78299e4e58a7714dd</x:v>
      </x:c>
      <x:c r="G10" s="59" t="n">
        <x:v>1296</x:v>
      </x:c>
    </x:row>
    <x:row r="11">
      <x:c r="A11" s="47" t="str">
        <x:v>RUN-I2-021-20260829T202720523192Z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91ac3c0438903aa5f19c304fe55c0ee780ec39d99d5ee8dbea70f5b371846f18</x:v>
      </x:c>
      <x:c r="G11" s="59" t="n">
        <x:v>29621</x:v>
      </x:c>
    </x:row>
    <x:row r="12">
      <x:c r="A12" s="47" t="str">
        <x:v>RUN-I2-021-20260829T202720523192Z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07fade2075f87dfe7b6706ee2d221ee56f5a0c04d3e2e2274486f169a86ef71b</x:v>
      </x:c>
      <x:c r="G12" s="59" t="n">
        <x:v>773</x:v>
      </x:c>
    </x:row>
    <x:row r="13">
      <x:c r="A13" s="47" t="str">
        <x:v>RUN-I2-021-20260829T202720523192Z</x:v>
      </x:c>
      <x:c r="B13" s="47" t="str">
        <x:v>I2-021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a8c7deb2ebbabd3f5639283e6314ab29e00a2be07bb462ec9823e872accedc33</x:v>
      </x:c>
      <x:c r="G13" s="59" t="n">
        <x:v>32670</x:v>
      </x:c>
    </x:row>
    <x:row r="14">
      <x:c r="A14" s="47" t="str">
        <x:v>RUN-I2-021-20260829T202720523192Z</x:v>
      </x:c>
      <x:c r="B14" s="47" t="str">
        <x:v>I2-021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c9ffc402dcdaee0ef450ce134d81b8f75defd5e848e880f1bd3200de7da56129</x:v>
      </x:c>
      <x:c r="G14" s="59" t="n">
        <x:v>3692</x:v>
      </x:c>
    </x:row>
    <x:row r="15">
      <x:c r="A15" s="47" t="str">
        <x:v>RUN-I2-021-20260829T202720523192Z</x:v>
      </x:c>
      <x:c r="B15" s="47" t="str">
        <x:v>I2-021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bf235594ef2a79a381f71368040928844185c75eadf0630700376947acde0207</x:v>
      </x:c>
      <x:c r="G15" s="59" t="n">
        <x:v>3667</x:v>
      </x:c>
    </x:row>
    <x:row r="16">
      <x:c r="A16" s="47" t="str">
        <x:v>RUN-I2-021-20260829T202720523192Z</x:v>
      </x:c>
      <x:c r="B16" s="47" t="str">
        <x:v>I2-021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b1ce5179d67f8a5db8bffc6fe5957dfdb05e8bbcd29a0cef8812ec133780edff</x:v>
      </x:c>
      <x:c r="G16" s="59" t="n">
        <x:v>693</x:v>
      </x:c>
    </x:row>
    <x:row r="17">
      <x:c r="A17" s="47" t="str">
        <x:v>RUN-I2-021-20260829T202720523192Z</x:v>
      </x:c>
      <x:c r="B17" s="47" t="str">
        <x:v>I2-021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be4109baed728c763ce709dfd4660eaf87b7245ebe91d1f3c5c5c3f121b1e28a</x:v>
      </x:c>
      <x:c r="G17" s="59" t="n">
        <x:v>29034</x:v>
      </x:c>
    </x:row>
    <x:row r="18">
      <x:c r="A18" s="47" t="str">
        <x:v>RUN-I2-021-20260829T202720523192Z</x:v>
      </x:c>
      <x:c r="B18" s="47" t="str">
        <x:v>I2-021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e315f9606d26694e1eaefb0c4dfbc4740377790597e6855a6c1bd367923ac367</x:v>
      </x:c>
      <x:c r="G18" s="59" t="n">
        <x:v>523</x:v>
      </x:c>
    </x:row>
    <x:row r="19">
      <x:c r="A19" s="49" t="str">
        <x:v>RUN-I2-021-20260829T202720523192Z</x:v>
      </x:c>
      <x:c r="B19" s="49" t="str">
        <x:v>I2-021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bf235594ef2a79a381f71368040928844185c75eadf0630700376947acde0207</x:v>
      </x:c>
      <x:c r="G19" s="60" t="n">
        <x:v>3667</x:v>
      </x:c>
    </x:row>
  </x:sheetData>
  <x:pageMargins left="0.7" right="0.7" top="0.75" bottom="0.75" header="0.3" footer="0.3"/>
  <x:tableParts count="1">
    <x:tablePart xmlns:r="http://schemas.openxmlformats.org/officeDocument/2006/relationships" r:id="Rc1cf23e7abf04f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RUN-I2-021-20260829T202720523192Z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RUN-I2-021-20260829T202720523192Z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RUN-I2-021-20260829T202720523192Z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d5a37dc0744e7"/>
  </x:tableParts>
</x:worksheet>
</file>