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aebfaf802a4e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5c9fa935d44494"/>
    <x:sheet xmlns:r="http://schemas.openxmlformats.org/officeDocument/2006/relationships" name="README" sheetId="2" r:id="Rc9bb333adedc46a6"/>
    <x:sheet xmlns:r="http://schemas.openxmlformats.org/officeDocument/2006/relationships" name="REGULATION_QUEUE" sheetId="3" r:id="R8a7b418d86fe4b9f"/>
    <x:sheet xmlns:r="http://schemas.openxmlformats.org/officeDocument/2006/relationships" name="RUNS" sheetId="4" r:id="R5b5181afaa2e4e0a"/>
    <x:sheet xmlns:r="http://schemas.openxmlformats.org/officeDocument/2006/relationships" name="ITERATIONS" sheetId="5" r:id="R9f67e6575b934a53"/>
    <x:sheet xmlns:r="http://schemas.openxmlformats.org/officeDocument/2006/relationships" name="API_CALLS" sheetId="6" r:id="Re5454d5ef00b491e"/>
    <x:sheet xmlns:r="http://schemas.openxmlformats.org/officeDocument/2006/relationships" name="TERM_RETRIEVAL" sheetId="7" r:id="Rbec048e3ed104c65"/>
    <x:sheet xmlns:r="http://schemas.openxmlformats.org/officeDocument/2006/relationships" name="FEW_SHOT_SELECTION" sheetId="8" r:id="Rbc93bd4f53914f66"/>
    <x:sheet xmlns:r="http://schemas.openxmlformats.org/officeDocument/2006/relationships" name="VALIDATION" sheetId="9" r:id="R445c1ba7defd412f"/>
    <x:sheet xmlns:r="http://schemas.openxmlformats.org/officeDocument/2006/relationships" name="VOCAB_MATCHES" sheetId="10" r:id="R092119f7360d4571"/>
    <x:sheet xmlns:r="http://schemas.openxmlformats.org/officeDocument/2006/relationships" name="ARTIFACTS" sheetId="11" r:id="R91c090b2bd7149e6"/>
    <x:sheet xmlns:r="http://schemas.openxmlformats.org/officeDocument/2006/relationships" name="UNRESOLVED" sheetId="12" r:id="R394a6ce04baa47a8"/>
    <x:sheet xmlns:r="http://schemas.openxmlformats.org/officeDocument/2006/relationships" name="RDF_TEST_QUEUE" sheetId="13" r:id="R8a8ba2723d4e45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83783e1e1e40de" /><Relationship Type="http://schemas.openxmlformats.org/officeDocument/2006/relationships/theme" Target="/xl/theme/theme1.xml" Id="R91cd915f83b14470" /><Relationship Type="http://schemas.microsoft.com/office/2022/11/relationships/FeaturePropertyBag" Target="/xl/featurePropertyBag/featurePropertyBag.xml" Id="R0c8f28a1e10c4e7a" /><Relationship Type="http://schemas.openxmlformats.org/officeDocument/2006/relationships/sharedStrings" Target="/xl/sharedStrings.xml" Id="R6c1dc51556d44e1e" /><Relationship Type="http://schemas.openxmlformats.org/officeDocument/2006/relationships/worksheet" Target="/xl/worksheets/sheet1.xml" Id="Rab5c9fa935d44494" /><Relationship Type="http://schemas.openxmlformats.org/officeDocument/2006/relationships/worksheet" Target="/xl/worksheets/sheet2.xml" Id="Rc9bb333adedc46a6" /><Relationship Type="http://schemas.openxmlformats.org/officeDocument/2006/relationships/worksheet" Target="/xl/worksheets/sheet3.xml" Id="R8a7b418d86fe4b9f" /><Relationship Type="http://schemas.openxmlformats.org/officeDocument/2006/relationships/worksheet" Target="/xl/worksheets/sheet4.xml" Id="R5b5181afaa2e4e0a" /><Relationship Type="http://schemas.openxmlformats.org/officeDocument/2006/relationships/worksheet" Target="/xl/worksheets/sheet5.xml" Id="R9f67e6575b934a53" /><Relationship Type="http://schemas.openxmlformats.org/officeDocument/2006/relationships/worksheet" Target="/xl/worksheets/sheet6.xml" Id="Re5454d5ef00b491e" /><Relationship Type="http://schemas.openxmlformats.org/officeDocument/2006/relationships/worksheet" Target="/xl/worksheets/sheet7.xml" Id="Rbec048e3ed104c65" /><Relationship Type="http://schemas.openxmlformats.org/officeDocument/2006/relationships/worksheet" Target="/xl/worksheets/sheet8.xml" Id="Rbc93bd4f53914f66" /><Relationship Type="http://schemas.openxmlformats.org/officeDocument/2006/relationships/worksheet" Target="/xl/worksheets/sheet9.xml" Id="R445c1ba7defd412f" /><Relationship Type="http://schemas.openxmlformats.org/officeDocument/2006/relationships/worksheet" Target="/xl/worksheets/sheet10.xml" Id="R092119f7360d4571" /><Relationship Type="http://schemas.openxmlformats.org/officeDocument/2006/relationships/worksheet" Target="/xl/worksheets/sheet11.xml" Id="R91c090b2bd7149e6" /><Relationship Type="http://schemas.openxmlformats.org/officeDocument/2006/relationships/worksheet" Target="/xl/worksheets/sheet12.xml" Id="R394a6ce04baa47a8" /><Relationship Type="http://schemas.openxmlformats.org/officeDocument/2006/relationships/worksheet" Target="/xl/worksheets/sheet13.xml" Id="R8a8ba2723d4e45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a12727a0734f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b06fecea7547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5d0dbf12c949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ca59fe598142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fb515bab884d5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52c06a7064b48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5c5fe4e9390486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b352ad5d0784c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05bacdc680a471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b1f436c5db243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RUN-I2-024-20260829T203124621844Z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16896.402249999996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RUN-I2-024-20260829T203124621844Z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ba12727a0734f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RUN-I2-024-20260829T203124621844Z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GENERATION_ACCEPTED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b06fecea7547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RUN-I2-024-20260829T203124621844Z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RUN-I2-024-20260829T203124621844Z</x:v>
      </x:c>
      <x:c r="C5" s="69" t="str">
        <x:v>I2-024</x:v>
      </x:c>
      <x:c r="D5" s="70" t="n">
        <x:v>46263.85514609954</x:v>
      </x:c>
      <x:c r="E5" s="70" t="n">
        <x:v>46263.85632685185</x:v>
      </x:c>
      <x:c r="F5" s="69" t="str">
        <x:v>final-luna-main-run06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Accepted: the candidate preserves the required ship-to-case and endpoint owner paths, includes all declared operands, result, relationships, and readiness structures, enforces 20 deg &lt; framingAngle &lt; 70 deg, uses the required units and datatypes, and does not invent formula execution, evidence, or an interpolationPointResult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5d0dbf12c949f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RUN-I2-024-20260829T203124621844Z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RUN-I2-024-20260829T203124621844Z</x:v>
      </x:c>
      <x:c r="B5" s="45" t="str">
        <x:v>I2-024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the readiness graph omits the declared applicability boundary from the comparison/formula context. Constrain framingAngle to the strict interval 20 deg &lt; framingAngle &lt; 70 deg so the oblique interpolation case cannot pass outside its applicability. Preserve the existing owner paths, operands, result, and endpoint structures; full interpolation formula execution is not required in COMPLEX_READINESS.</x:v>
      </x:c>
      <x:c r="I5" s="84" t="n">
        <x:v>19560.038</x:v>
      </x:c>
      <x:c r="J5" s="84" t="n">
        <x:v>13201.109</x:v>
      </x:c>
    </x:row>
    <x:row r="6">
      <x:c r="A6" s="47" t="str">
        <x:v>RUN-I2-024-20260829T203124621844Z</x:v>
      </x:c>
      <x:c r="B6" s="47" t="str">
        <x:v>I2-024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strict 20 deg &lt; framingAngle &lt; 70 deg applicability constraint and the existing owner paths. Add the canonical qudt:unit MilliM requirement to interpolatedNetPlateThickness, whose verified canonical metadata declares MilliM as its recommended unit; do not invent a unit for interpolationPointResult because its metadata declares none.</x:v>
      </x:c>
      <x:c r="I6" s="86" t="n">
        <x:v>17650.901</x:v>
      </x:c>
      <x:c r="J6" s="86" t="n">
        <x:v>18098.136</x:v>
      </x:c>
    </x:row>
    <x:row r="7">
      <x:c r="A7" s="49" t="str">
        <x:v>RUN-I2-024-20260829T203124621844Z</x:v>
      </x:c>
      <x:c r="B7" s="49" t="str">
        <x:v>I2-024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Accepted: the candidate preserves the required ship-to-case and endpoint owner paths, includes all declared operands, result, relationships, and readiness structures, enforces 20 deg &lt; framingAngle &lt; 70 deg, uses the required units and datatypes, and does not invent formula execution, evidence, or an interpolationPointResult unit.</x:v>
      </x:c>
      <x:c r="I7" s="88" t="n">
        <x:v>20688.863</x:v>
      </x:c>
      <x:c r="J7" s="88" t="n">
        <x:v>12184.063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ca59fe598142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RUN-I2-024-20260829T203124621844Z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RUN-I2-024-20260829T203124621844Z</x:v>
      </x:c>
      <x:c r="C5" s="45" t="str">
        <x:v>I2-024</x:v>
      </x:c>
      <x:c r="D5" s="92" t="n">
        <x:v>46263.855372488426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19558.234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RUN-I2-024-20260829T203124621844Z</x:v>
      </x:c>
      <x:c r="C6" s="47" t="str">
        <x:v>I2-024</x:v>
      </x:c>
      <x:c r="D6" s="93" t="n">
        <x:v>46263.85537251157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19560.038</x:v>
      </x:c>
      <x:c r="L6" s="85" t="b">
        <x:v>0</x:v>
      </x:c>
      <x:c r="M6" s="47" t="str">
        <x:v>resp_005edeffdbaa20d1006a93419cc2b4819391c93dd58bdecf5f</x:v>
      </x:c>
      <x:c r="N6" s="59" t="n">
        <x:v>10556</x:v>
      </x:c>
      <x:c r="O6" s="59" t="n">
        <x:v>2418</x:v>
      </x:c>
      <x:c r="P6" s="59" t="n">
        <x:v>12974</x:v>
      </x:c>
    </x:row>
    <x:row r="7">
      <x:c r="A7" s="47" t="str">
        <x:v>EVT-000034</x:v>
      </x:c>
      <x:c r="B7" s="47" t="str">
        <x:v>RUN-I2-024-20260829T203124621844Z</x:v>
      </x:c>
      <x:c r="C7" s="47" t="str">
        <x:v>I2-024</x:v>
      </x:c>
      <x:c r="D7" s="93" t="n">
        <x:v>46263.855527291664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13199.361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RUN-I2-024-20260829T203124621844Z</x:v>
      </x:c>
      <x:c r="C8" s="47" t="str">
        <x:v>I2-024</x:v>
      </x:c>
      <x:c r="D8" s="93" t="n">
        <x:v>46263.855527314816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13201.109</x:v>
      </x:c>
      <x:c r="L8" s="85" t="b">
        <x:v>0</x:v>
      </x:c>
      <x:c r="M8" s="47" t="str">
        <x:v>resp_00d88f0e92e8275a006a9341b080448196affba9b91bf66f8e</x:v>
      </x:c>
      <x:c r="N8" s="59" t="n">
        <x:v>11031</x:v>
      </x:c>
      <x:c r="O8" s="59" t="n">
        <x:v>1130</x:v>
      </x:c>
      <x:c r="P8" s="59" t="n">
        <x:v>12161</x:v>
      </x:c>
    </x:row>
    <x:row r="9">
      <x:c r="A9" s="47" t="str">
        <x:v>EVT-000040</x:v>
      </x:c>
      <x:c r="B9" s="47" t="str">
        <x:v>RUN-I2-024-20260829T203124621844Z</x:v>
      </x:c>
      <x:c r="C9" s="47" t="str">
        <x:v>I2-024</x:v>
      </x:c>
      <x:c r="D9" s="93" t="n">
        <x:v>46263.85573164352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17649.185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RUN-I2-024-20260829T203124621844Z</x:v>
      </x:c>
      <x:c r="C10" s="47" t="str">
        <x:v>I2-024</x:v>
      </x:c>
      <x:c r="D10" s="93" t="n">
        <x:v>46263.85573166667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17650.901</x:v>
      </x:c>
      <x:c r="L10" s="85" t="b">
        <x:v>0</x:v>
      </x:c>
      <x:c r="M10" s="47" t="str">
        <x:v>resp_00a1065bb92a8511006a9341bdba248197973e3aaf4591aaf6</x:v>
      </x:c>
      <x:c r="N10" s="59" t="n">
        <x:v>10631</x:v>
      </x:c>
      <x:c r="O10" s="59" t="n">
        <x:v>2418</x:v>
      </x:c>
      <x:c r="P10" s="59" t="n">
        <x:v>13049</x:v>
      </x:c>
    </x:row>
    <x:row r="11">
      <x:c r="A11" s="47" t="str">
        <x:v>EVT-000048</x:v>
      </x:c>
      <x:c r="B11" s="47" t="str">
        <x:v>RUN-I2-024-20260829T203124621844Z</x:v>
      </x:c>
      <x:c r="C11" s="47" t="str">
        <x:v>I2-024</x:v>
      </x:c>
      <x:c r="D11" s="93" t="n">
        <x:v>46263.85594392361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18097.484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EVT-000049</x:v>
      </x:c>
      <x:c r="B12" s="47" t="str">
        <x:v>RUN-I2-024-20260829T203124621844Z</x:v>
      </x:c>
      <x:c r="C12" s="47" t="str">
        <x:v>I2-024</x:v>
      </x:c>
      <x:c r="D12" s="93" t="n">
        <x:v>46263.85594393519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18098.136</x:v>
      </x:c>
      <x:c r="L12" s="85" t="b">
        <x:v>0</x:v>
      </x:c>
      <x:c r="M12" s="47" t="str">
        <x:v>resp_0773a50f7abf8135006a9341cf9c808197b05cfbc06f086ab3</x:v>
      </x:c>
      <x:c r="N12" s="59" t="n">
        <x:v>11200</x:v>
      </x:c>
      <x:c r="O12" s="59" t="n">
        <x:v>1639</x:v>
      </x:c>
      <x:c r="P12" s="59" t="n">
        <x:v>12839</x:v>
      </x:c>
    </x:row>
    <x:row r="13">
      <x:c r="A13" s="47" t="str">
        <x:v>EVT-000054</x:v>
      </x:c>
      <x:c r="B13" s="47" t="str">
        <x:v>RUN-I2-024-20260829T203124621844Z</x:v>
      </x:c>
      <x:c r="C13" s="47" t="str">
        <x:v>I2-024</x:v>
      </x:c>
      <x:c r="D13" s="93" t="n">
        <x:v>46263.85618337963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20687.085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RUN-I2-024-20260829T203124621844Z</x:v>
      </x:c>
      <x:c r="C14" s="47" t="str">
        <x:v>I2-024</x:v>
      </x:c>
      <x:c r="D14" s="93" t="n">
        <x:v>46263.85618340278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20688.863</x:v>
      </x:c>
      <x:c r="L14" s="85" t="b">
        <x:v>0</x:v>
      </x:c>
      <x:c r="M14" s="47" t="str">
        <x:v>resp_0f9052e00c4275d6006a9341e1b2c481938cb9f1aacec27483</x:v>
      </x:c>
      <x:c r="N14" s="59" t="n">
        <x:v>10700</x:v>
      </x:c>
      <x:c r="O14" s="59" t="n">
        <x:v>2571</x:v>
      </x:c>
      <x:c r="P14" s="59" t="n">
        <x:v>13271</x:v>
      </x:c>
    </x:row>
    <x:row r="15">
      <x:c r="A15" s="47" t="str">
        <x:v>EVT-000062</x:v>
      </x:c>
      <x:c r="B15" s="47" t="str">
        <x:v>RUN-I2-024-20260829T203124621844Z</x:v>
      </x:c>
      <x:c r="C15" s="47" t="str">
        <x:v>I2-024</x:v>
      </x:c>
      <x:c r="D15" s="93" t="n">
        <x:v>46263.85632677083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12182.368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EVT-000063</x:v>
      </x:c>
      <x:c r="B16" s="49" t="str">
        <x:v>RUN-I2-024-20260829T203124621844Z</x:v>
      </x:c>
      <x:c r="C16" s="49" t="str">
        <x:v>I2-024</x:v>
      </x:c>
      <x:c r="D16" s="94" t="n">
        <x:v>46263.85632679398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12184.063</x:v>
      </x:c>
      <x:c r="L16" s="87" t="b">
        <x:v>0</x:v>
      </x:c>
      <x:c r="M16" s="49" t="str">
        <x:v>resp_0cf244812594a5a8006a9341f6a5b881968223c6f32d2e2ea5</x:v>
      </x:c>
      <x:c r="N16" s="60" t="n">
        <x:v>11014</x:v>
      </x:c>
      <x:c r="O16" s="60" t="n">
        <x:v>1051</x:v>
      </x:c>
      <x:c r="P16" s="60" t="n">
        <x:v>12065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fb515bab884d5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RUN-I2-024-20260829T203124621844Z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RUN-I2-024-20260829T203124621844Z</x:v>
      </x:c>
      <x:c r="B5" s="45" t="str">
        <x:v>I2-024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framingAngle; domain dependency of interpolatedShellPlateRequirement</x:v>
      </x:c>
      <x:c r="J5" s="45" t="n">
        <x:v>0</x:v>
      </x:c>
    </x:row>
    <x:row r="6">
      <x:c r="A6" s="47" t="str">
        <x:v>RUN-I2-024-20260829T203124621844Z</x:v>
      </x:c>
      <x:c r="B6" s="47" t="str">
        <x:v>I2-024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longitudinalFramingNetPlateThickness; domain dependency of transverseFramingNetPlateThickness; range dependency of hasCalculationCase; range dependency of interpolationPoint; range dependency of obliquePlatingInterpolationCase</x:v>
      </x:c>
      <x:c r="J6" s="47" t="n">
        <x:v>0</x:v>
      </x:c>
    </x:row>
    <x:row r="7">
      <x:c r="A7" s="47" t="str">
        <x:v>RUN-I2-024-20260829T203124621844Z</x:v>
      </x:c>
      <x:c r="B7" s="47" t="str">
        <x:v>I2-024</x:v>
      </x:c>
      <x:c r="C7" s="47" t="str">
        <x:v>framingAngle</x:v>
      </x:c>
      <x:c r="D7" s="48" t="str">
        <x:v>https://w3id.org/nltl/vocab#framingAngle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RUN-I2-024-20260829T203124621844Z</x:v>
      </x:c>
      <x:c r="B8" s="47" t="str">
        <x:v>I2-024</x:v>
      </x:c>
      <x:c r="C8" s="47" t="str">
        <x:v>hasCalculationCase</x:v>
      </x:c>
      <x:c r="D8" s="48" t="str">
        <x:v>https://w3id.org/nltl/vocab#hasCalculationCase</x:v>
      </x:c>
      <x:c r="E8" s="47" t="str">
        <x:v>ObjectProperty</x:v>
      </x:c>
      <x:c r="F8" s="47" t="str"/>
      <x:c r="G8" s="47" t="str">
        <x:v>https://w3id.org/nltl/vocab#calculationCase</x:v>
      </x:c>
      <x:c r="H8" s="47" t="str"/>
      <x:c r="I8" s="48" t="str">
        <x:v>canonical path from target owner ship to required owner calculationCase; linked by the locked 313-requirement index</x:v>
      </x:c>
      <x:c r="J8" s="47" t="n">
        <x:v>0</x:v>
      </x:c>
    </x:row>
    <x:row r="9">
      <x:c r="A9" s="47" t="str">
        <x:v>RUN-I2-024-20260829T203124621844Z</x:v>
      </x:c>
      <x:c r="B9" s="47" t="str">
        <x:v>I2-024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RUN-I2-024-20260829T203124621844Z</x:v>
      </x:c>
      <x:c r="B10" s="47" t="str">
        <x:v>I2-024</x:v>
      </x:c>
      <x:c r="C10" s="47" t="str">
        <x:v>hasObliquePlatingInterpolationCase</x:v>
      </x:c>
      <x:c r="D10" s="48" t="str">
        <x:v>https://w3id.org/nltl/vocab#hasObliquePlatingInterpolationCase</x:v>
      </x:c>
      <x:c r="E10" s="47" t="str">
        <x:v>ObjectProperty</x:v>
      </x:c>
      <x:c r="F10" s="47" t="str"/>
      <x:c r="G10" s="47" t="str">
        <x:v>https://w3id.org/nltl/vocab#obliquePlatingInterpolationCase</x:v>
      </x:c>
      <x:c r="H10" s="47" t="str"/>
      <x:c r="I10" s="48" t="str">
        <x:v>canonical path from target owner ship to required owner obliquePlatingInterpolationCase; linked by the locked 313-requirement index</x:v>
      </x:c>
      <x:c r="J10" s="47" t="n">
        <x:v>0</x:v>
      </x:c>
    </x:row>
    <x:row r="11">
      <x:c r="A11" s="47" t="str">
        <x:v>RUN-I2-024-20260829T203124621844Z</x:v>
      </x:c>
      <x:c r="B11" s="47" t="str">
        <x:v>I2-024</x:v>
      </x:c>
      <x:c r="C11" s="47" t="str">
        <x:v>interpolatedNetPlateThickness</x:v>
      </x:c>
      <x:c r="D11" s="48" t="str">
        <x:v>https://w3id.org/nltl/vocab#interpolatedNetPlateThickness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http://qudt.org/vocab/unit/MilliM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RUN-I2-024-20260829T203124621844Z</x:v>
      </x:c>
      <x:c r="B12" s="47" t="str">
        <x:v>I2-024</x:v>
      </x:c>
      <x:c r="C12" s="47" t="str">
        <x:v>interpolatedShellPlateRequirement</x:v>
      </x:c>
      <x:c r="D12" s="48" t="str">
        <x:v>https://w3id.org/nltl/vocab#interpolatedShellPlateRequirement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RUN-I2-024-20260829T203124621844Z</x:v>
      </x:c>
      <x:c r="B13" s="47" t="str">
        <x:v>I2-024</x:v>
      </x:c>
      <x:c r="C13" s="47" t="str">
        <x:v>interpolationLowerEndpoint</x:v>
      </x:c>
      <x:c r="D13" s="48" t="str">
        <x:v>https://w3id.org/nltl/vocab#interpolationLowerEndpoint</x:v>
      </x:c>
      <x:c r="E13" s="47" t="str">
        <x:v>ObjectProperty</x:v>
      </x:c>
      <x:c r="F13" s="47" t="str"/>
      <x:c r="G13" s="47" t="str">
        <x:v>https://w3id.org/nltl/vocab#interpolationPoint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RUN-I2-024-20260829T203124621844Z</x:v>
      </x:c>
      <x:c r="B14" s="47" t="str">
        <x:v>I2-024</x:v>
      </x:c>
      <x:c r="C14" s="47" t="str">
        <x:v>interpolationPoint</x:v>
      </x:c>
      <x:c r="D14" s="48" t="str">
        <x:v>https://w3id.org/nltl/vocab#interpolationPoint</x:v>
      </x:c>
      <x:c r="E14" s="47" t="str">
        <x:v>Class</x:v>
      </x:c>
      <x:c r="F14" s="47" t="str"/>
      <x:c r="G14" s="47" t="str">
        <x:v>https://w3id.org/nltl/vocab#calculationCase</x:v>
      </x:c>
      <x:c r="H14" s="47" t="str"/>
      <x:c r="I14" s="48" t="str">
        <x:v>authoritative required owner class; domain dependency of interpolationPointCoordinate; domain dependency of interpolationPointResult; linked by the locked 313-requirement index; range dependency of interpolationLowerEndpoint; range dependency of interpolationUpperEndpoint</x:v>
      </x:c>
      <x:c r="J14" s="47" t="n">
        <x:v>0</x:v>
      </x:c>
    </x:row>
    <x:row r="15">
      <x:c r="A15" s="47" t="str">
        <x:v>RUN-I2-024-20260829T203124621844Z</x:v>
      </x:c>
      <x:c r="B15" s="47" t="str">
        <x:v>I2-024</x:v>
      </x:c>
      <x:c r="C15" s="47" t="str">
        <x:v>interpolationPointCoordinate</x:v>
      </x:c>
      <x:c r="D15" s="48" t="str">
        <x:v>https://w3id.org/nltl/vocab#interpolationPointCoordinate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RUN-I2-024-20260829T203124621844Z</x:v>
      </x:c>
      <x:c r="B16" s="47" t="str">
        <x:v>I2-024</x:v>
      </x:c>
      <x:c r="C16" s="47" t="str">
        <x:v>interpolationPointResult</x:v>
      </x:c>
      <x:c r="D16" s="48" t="str">
        <x:v>https://w3id.org/nltl/vocab#interpolationPointResult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RUN-I2-024-20260829T203124621844Z</x:v>
      </x:c>
      <x:c r="B17" s="47" t="str">
        <x:v>I2-024</x:v>
      </x:c>
      <x:c r="C17" s="47" t="str">
        <x:v>interpolationUpperEndpoint</x:v>
      </x:c>
      <x:c r="D17" s="48" t="str">
        <x:v>https://w3id.org/nltl/vocab#interpolationUpperEndpoint</x:v>
      </x:c>
      <x:c r="E17" s="47" t="str">
        <x:v>ObjectProperty</x:v>
      </x:c>
      <x:c r="F17" s="47" t="str"/>
      <x:c r="G17" s="47" t="str">
        <x:v>https://w3id.org/nltl/vocab#interpolationPoint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RUN-I2-024-20260829T203124621844Z</x:v>
      </x:c>
      <x:c r="B18" s="47" t="str">
        <x:v>I2-024</x:v>
      </x:c>
      <x:c r="C18" s="47" t="str">
        <x:v>longitudinalFramingNetPlateThickness</x:v>
      </x:c>
      <x:c r="D18" s="48" t="str">
        <x:v>https://w3id.org/nltl/vocab#longitudinalFramingNetPlateThickness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http://qudt.org/vocab/unit/MilliM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RUN-I2-024-20260829T203124621844Z</x:v>
      </x:c>
      <x:c r="B19" s="47" t="str">
        <x:v>I2-024</x:v>
      </x:c>
      <x:c r="C19" s="47" t="str">
        <x:v>obliquePlatingInterpolationCase</x:v>
      </x:c>
      <x:c r="D19" s="48" t="str">
        <x:v>https://w3id.org/nltl/vocab#obliquePlatingInterpolationCase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interpolatedNetPlateThickness; linked by the locked 313-requirement index; range dependency of hasObliquePlatingInterpolationCase</x:v>
      </x:c>
      <x:c r="J19" s="47" t="n">
        <x:v>0</x:v>
      </x:c>
    </x:row>
    <x:row r="20">
      <x:c r="A20" s="47" t="str">
        <x:v>RUN-I2-024-20260829T203124621844Z</x:v>
      </x:c>
      <x:c r="B20" s="47" t="str">
        <x:v>I2-024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hasCalculationCase; domain dependency of hasObliquePlatingInterpolationCase</x:v>
      </x:c>
      <x:c r="J20" s="47" t="n">
        <x:v>0</x:v>
      </x:c>
    </x:row>
    <x:row r="21">
      <x:c r="A21" s="47" t="str">
        <x:v>RUN-I2-024-20260829T203124621844Z</x:v>
      </x:c>
      <x:c r="B21" s="47" t="str">
        <x:v>I2-024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9" t="str">
        <x:v>RUN-I2-024-20260829T203124621844Z</x:v>
      </x:c>
      <x:c r="B22" s="49" t="str">
        <x:v>I2-024</x:v>
      </x:c>
      <x:c r="C22" s="49" t="str">
        <x:v>transverseFramingNetPlateThickness</x:v>
      </x:c>
      <x:c r="D22" s="50" t="str">
        <x:v>https://w3id.org/nltl/vocab#transverseFramingNetPlateThickness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http://qudt.org/vocab/unit/MilliM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52c06a7064b48e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RUN-I2-024-20260829T203124621844Z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RUN-I2-024-20260829T203124621844Z</x:v>
      </x:c>
      <x:c r="B5" s="45" t="str">
        <x:v>I2-024</x:v>
      </x:c>
      <x:c r="C5" s="45" t="str">
        <x:v>FS-COMPLEX-READINESS-01</x:v>
      </x:c>
      <x:c r="D5" s="45" t="str">
        <x:v>complex_readiness_external_calculation</x:v>
      </x:c>
      <x:c r="E5" s="97" t="n">
        <x:v>2.222222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RUN-I2-024-20260829T203124621844Z</x:v>
      </x:c>
      <x:c r="B6" s="49" t="str">
        <x:v>I2-024</x:v>
      </x:c>
      <x:c r="C6" s="49" t="str">
        <x:v>FS-COMPLEX-READINESS-02</x:v>
      </x:c>
      <x:c r="D6" s="49" t="str">
        <x:v>complex_readiness_with_direct_residual_check</x:v>
      </x:c>
      <x:c r="E6" s="98" t="n">
        <x:v>2.095238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c5fe4e9390486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RUN-I2-024-20260829T203124621844Z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RUN-I2-024-20260829T203124621844Z</x:v>
      </x:c>
      <x:c r="B5" s="45" t="str">
        <x:v>I2-024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https://w3id.org/nltl/vocab#calculationCase | https://w3id.org/nltl/vocab#framingAngle | https://w3id.org/nltl/vocab#hasCalculationCase | https://w3id.org/nltl/vocab#hasObliquePlatingInterpolationCase | https://w3id.org/nltl/vocab#interpolatedNetPlateThickness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https://w3id.org/nltl/vocab#longitudinalFramingNetPlateThickness | https://w3id.org/nltl/vocab#obliquePlatingInterpolationCase | https://w3id.org/nltl/vocab#ship | https://w3id.org/nltl/vocab#transverseFramingNetPlateThickness</x:v>
      </x:c>
      <x:c r="O5" s="46" t="str"/>
      <x:c r="P5" s="46" t="str"/>
      <x:c r="Q5" s="46" t="str"/>
    </x:row>
    <x:row r="6">
      <x:c r="A6" s="47" t="str">
        <x:v>RUN-I2-024-20260829T203124621844Z</x:v>
      </x:c>
      <x:c r="B6" s="47" t="str">
        <x:v>I2-024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https://w3id.org/nltl/vocab#calculationCase | https://w3id.org/nltl/vocab#framingAngle | https://w3id.org/nltl/vocab#hasCalculationCase | https://w3id.org/nltl/vocab#hasObliquePlatingInterpolationCase | https://w3id.org/nltl/vocab#interpolatedNetPlateThickness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https://w3id.org/nltl/vocab#longitudinalFramingNetPlateThickness | https://w3id.org/nltl/vocab#obliquePlatingInterpolationCase | https://w3id.org/nltl/vocab#ship | https://w3id.org/nltl/vocab#transverseFramingNetPlateThickness</x:v>
      </x:c>
      <x:c r="O6" s="48" t="str"/>
      <x:c r="P6" s="48" t="str"/>
      <x:c r="Q6" s="48" t="str"/>
    </x:row>
    <x:row r="7">
      <x:c r="A7" s="49" t="str">
        <x:v>RUN-I2-024-20260829T203124621844Z</x:v>
      </x:c>
      <x:c r="B7" s="49" t="str">
        <x:v>I2-024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https://w3id.org/nltl/vocab#calculationCase | https://w3id.org/nltl/vocab#framingAngle | https://w3id.org/nltl/vocab#hasCalculationCase | https://w3id.org/nltl/vocab#hasObliquePlatingInterpolationCase | https://w3id.org/nltl/vocab#interpolatedNetPlateThickness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https://w3id.org/nltl/vocab#longitudinalFramingNetPlateThickness | https://w3id.org/nltl/vocab#obliquePlatingInterpolationCase | https://w3id.org/nltl/vocab#ship | https://w3id.org/nltl/vocab#transverseFramingNetPlateThickness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5b352ad5d0784cb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RUN-I2-024-20260829T203124621844Z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RUN-I2-024-20260829T203124621844Z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RUN-I2-024-20260829T203124621844Z</x:v>
      </x:c>
      <x:c r="B5" s="45" t="str">
        <x:v>I2-024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f53bb6673827fde3dc0f5148933fd7748dccd243bebc3eeebd66907b95de4a5e</x:v>
      </x:c>
      <x:c r="G5" s="58" t="n">
        <x:v>26286</x:v>
      </x:c>
    </x:row>
    <x:row r="6">
      <x:c r="A6" s="47" t="str">
        <x:v>RUN-I2-024-20260829T203124621844Z</x:v>
      </x:c>
      <x:c r="B6" s="47" t="str">
        <x:v>I2-024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5e463a89d839d5efbed8f16c9ff28dbdca783e489344270940052d3c6ff6e435</x:v>
      </x:c>
      <x:c r="G6" s="59" t="n">
        <x:v>6555</x:v>
      </x:c>
    </x:row>
    <x:row r="7">
      <x:c r="A7" s="47" t="str">
        <x:v>RUN-I2-024-20260829T203124621844Z</x:v>
      </x:c>
      <x:c r="B7" s="47" t="str">
        <x:v>I2-024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f88dee93d5becc817d4fb2bcd4b6031e61ef149fa11772d6007433fb8a9bdd13</x:v>
      </x:c>
      <x:c r="G7" s="59" t="n">
        <x:v>44485</x:v>
      </x:c>
    </x:row>
    <x:row r="8">
      <x:c r="A8" s="47" t="str">
        <x:v>RUN-I2-024-20260829T203124621844Z</x:v>
      </x:c>
      <x:c r="B8" s="47" t="str">
        <x:v>I2-024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c3c9034586e2e95bfc7fed1d28b757f0e994fc18ad1e4f51d4c6b6b2fc77c5d6</x:v>
      </x:c>
      <x:c r="G8" s="59" t="n">
        <x:v>4961</x:v>
      </x:c>
    </x:row>
    <x:row r="9">
      <x:c r="A9" s="47" t="str">
        <x:v>RUN-I2-024-20260829T203124621844Z</x:v>
      </x:c>
      <x:c r="B9" s="47" t="str">
        <x:v>I2-024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0b6e731803c264c906825b02bd4e319e23f4181c99392cdacd6a4033219f6bcf</x:v>
      </x:c>
      <x:c r="G9" s="59" t="n">
        <x:v>4936</x:v>
      </x:c>
    </x:row>
    <x:row r="10">
      <x:c r="A10" s="47" t="str">
        <x:v>RUN-I2-024-20260829T203124621844Z</x:v>
      </x:c>
      <x:c r="B10" s="47" t="str">
        <x:v>I2-024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9842818e4c6b85226829458e42210970d6a0a4f055ba85de7a9c8239c5b1b559</x:v>
      </x:c>
      <x:c r="G10" s="59" t="n">
        <x:v>1228</x:v>
      </x:c>
    </x:row>
    <x:row r="11">
      <x:c r="A11" s="47" t="str">
        <x:v>RUN-I2-024-20260829T203124621844Z</x:v>
      </x:c>
      <x:c r="B11" s="47" t="str">
        <x:v>I2-024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b25c452b89aa100440f9b411f303fe4b76f8bd31b48985de2c6b1a86d4f137f0</x:v>
      </x:c>
      <x:c r="G11" s="59" t="n">
        <x:v>44120</x:v>
      </x:c>
    </x:row>
    <x:row r="12">
      <x:c r="A12" s="47" t="str">
        <x:v>RUN-I2-024-20260829T203124621844Z</x:v>
      </x:c>
      <x:c r="B12" s="47" t="str">
        <x:v>I2-024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319fa59235cf8ec00b75d51efbd122498fd0c10383476ebab1ca7806a1f6a130</x:v>
      </x:c>
      <x:c r="G12" s="59" t="n">
        <x:v>473</x:v>
      </x:c>
    </x:row>
    <x:row r="13">
      <x:c r="A13" s="47" t="str">
        <x:v>RUN-I2-024-20260829T203124621844Z</x:v>
      </x:c>
      <x:c r="B13" s="47" t="str">
        <x:v>I2-024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00e4b0af51fff2ee28d3ea591efa668b5927e8756dfaf46650eb59b4bf3e704c</x:v>
      </x:c>
      <x:c r="G13" s="59" t="n">
        <x:v>44893</x:v>
      </x:c>
    </x:row>
    <x:row r="14">
      <x:c r="A14" s="47" t="str">
        <x:v>RUN-I2-024-20260829T203124621844Z</x:v>
      </x:c>
      <x:c r="B14" s="47" t="str">
        <x:v>I2-024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58001fd4d428f1ec666d6038802cb0926603b20a55fd35765186b74caa80126d</x:v>
      </x:c>
      <x:c r="G14" s="59" t="n">
        <x:v>7397</x:v>
      </x:c>
    </x:row>
    <x:row r="15">
      <x:c r="A15" s="47" t="str">
        <x:v>RUN-I2-024-20260829T203124621844Z</x:v>
      </x:c>
      <x:c r="B15" s="47" t="str">
        <x:v>I2-024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26782b796cf3f4664ce4c49b84de7e00a73314795267927241a28bc15123da07</x:v>
      </x:c>
      <x:c r="G15" s="59" t="n">
        <x:v>7372</x:v>
      </x:c>
    </x:row>
    <x:row r="16">
      <x:c r="A16" s="47" t="str">
        <x:v>RUN-I2-024-20260829T203124621844Z</x:v>
      </x:c>
      <x:c r="B16" s="47" t="str">
        <x:v>I2-024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9842818e4c6b85226829458e42210970d6a0a4f055ba85de7a9c8239c5b1b559</x:v>
      </x:c>
      <x:c r="G16" s="59" t="n">
        <x:v>1228</x:v>
      </x:c>
    </x:row>
    <x:row r="17">
      <x:c r="A17" s="47" t="str">
        <x:v>RUN-I2-024-20260829T203124621844Z</x:v>
      </x:c>
      <x:c r="B17" s="47" t="str">
        <x:v>I2-024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e45db482e0b26cbed0e1bbb713763ef99520274bc22e2cb8dd842c0642a49d57</x:v>
      </x:c>
      <x:c r="G17" s="59" t="n">
        <x:v>47005</x:v>
      </x:c>
    </x:row>
    <x:row r="18">
      <x:c r="A18" s="47" t="str">
        <x:v>RUN-I2-024-20260829T203124621844Z</x:v>
      </x:c>
      <x:c r="B18" s="47" t="str">
        <x:v>I2-024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a0f06b847c85c79ab8f0c89ae7a970f09be5840db55b8b69612c02bea34a43ab</x:v>
      </x:c>
      <x:c r="G18" s="59" t="n">
        <x:v>411</x:v>
      </x:c>
    </x:row>
    <x:row r="19">
      <x:c r="A19" s="47" t="str">
        <x:v>RUN-I2-024-20260829T203124621844Z</x:v>
      </x:c>
      <x:c r="B19" s="47" t="str">
        <x:v>I2-024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7f79478b036a94117134031287f9eaa86abf9e64a43c3cd638ab77c466a0b401</x:v>
      </x:c>
      <x:c r="G19" s="59" t="n">
        <x:v>45247</x:v>
      </x:c>
    </x:row>
    <x:row r="20">
      <x:c r="A20" s="47" t="str">
        <x:v>RUN-I2-024-20260829T203124621844Z</x:v>
      </x:c>
      <x:c r="B20" s="47" t="str">
        <x:v>I2-024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7edc466478145fb879209187776ead9573833ac5090e1514781ee15283c80ae6</x:v>
      </x:c>
      <x:c r="G20" s="59" t="n">
        <x:v>4556</x:v>
      </x:c>
    </x:row>
    <x:row r="21">
      <x:c r="A21" s="47" t="str">
        <x:v>RUN-I2-024-20260829T203124621844Z</x:v>
      </x:c>
      <x:c r="B21" s="47" t="str">
        <x:v>I2-024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955bdc82bb4e59123c00d2d899108122daf67f75a9b0313b4803a03b1fc5268c</x:v>
      </x:c>
      <x:c r="G21" s="59" t="n">
        <x:v>4531</x:v>
      </x:c>
    </x:row>
    <x:row r="22">
      <x:c r="A22" s="47" t="str">
        <x:v>RUN-I2-024-20260829T203124621844Z</x:v>
      </x:c>
      <x:c r="B22" s="47" t="str">
        <x:v>I2-024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9842818e4c6b85226829458e42210970d6a0a4f055ba85de7a9c8239c5b1b559</x:v>
      </x:c>
      <x:c r="G22" s="59" t="n">
        <x:v>1228</x:v>
      </x:c>
    </x:row>
    <x:row r="23">
      <x:c r="A23" s="47" t="str">
        <x:v>RUN-I2-024-20260829T203124621844Z</x:v>
      </x:c>
      <x:c r="B23" s="47" t="str">
        <x:v>I2-024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1a96935e06612db5f3e8a942c0eebbade073a5e6005f2c9f8be881dfebec8182</x:v>
      </x:c>
      <x:c r="G23" s="59" t="n">
        <x:v>44479</x:v>
      </x:c>
    </x:row>
    <x:row r="24">
      <x:c r="A24" s="47" t="str">
        <x:v>RUN-I2-024-20260829T203124621844Z</x:v>
      </x:c>
      <x:c r="B24" s="47" t="str">
        <x:v>I2-024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d39c999ab70051b9b215e0ef8561f0e91c05882dd796aede78160e95b1ec4db7</x:v>
      </x:c>
      <x:c r="G24" s="59" t="n">
        <x:v>395</x:v>
      </x:c>
    </x:row>
    <x:row r="25">
      <x:c r="A25" s="49" t="str">
        <x:v>RUN-I2-024-20260829T203124621844Z</x:v>
      </x:c>
      <x:c r="B25" s="49" t="str">
        <x:v>I2-024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955bdc82bb4e59123c00d2d899108122daf67f75a9b0313b4803a03b1fc5268c</x:v>
      </x:c>
      <x:c r="G25" s="60" t="n">
        <x:v>4531</x:v>
      </x:c>
    </x:row>
  </x:sheetData>
  <x:pageMargins left="0.7" right="0.7" top="0.75" bottom="0.75" header="0.3" footer="0.3"/>
  <x:tableParts count="1">
    <x:tablePart xmlns:r="http://schemas.openxmlformats.org/officeDocument/2006/relationships" r:id="R505bacdc680a471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RUN-I2-024-20260829T203124621844Z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RUN-I2-024-20260829T203124621844Z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RUN-I2-024-20260829T203124621844Z</x:v>
      </x:c>
      <x:c r="B5" s="69" t="str">
        <x:v>I2-024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1f436c5db24335"/>
  </x:tableParts>
</x:worksheet>
</file>