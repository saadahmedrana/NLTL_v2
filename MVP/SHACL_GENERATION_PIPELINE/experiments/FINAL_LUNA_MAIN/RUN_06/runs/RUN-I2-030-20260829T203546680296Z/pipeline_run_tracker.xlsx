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c43a54a1b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9e8b8902cd4be9"/>
    <x:sheet xmlns:r="http://schemas.openxmlformats.org/officeDocument/2006/relationships" name="README" sheetId="2" r:id="Rba3a35ff17474948"/>
    <x:sheet xmlns:r="http://schemas.openxmlformats.org/officeDocument/2006/relationships" name="REGULATION_QUEUE" sheetId="3" r:id="R4284d8df2ef3482d"/>
    <x:sheet xmlns:r="http://schemas.openxmlformats.org/officeDocument/2006/relationships" name="RUNS" sheetId="4" r:id="R10362d0a3ce24bc0"/>
    <x:sheet xmlns:r="http://schemas.openxmlformats.org/officeDocument/2006/relationships" name="ITERATIONS" sheetId="5" r:id="R01eca281c9dd4657"/>
    <x:sheet xmlns:r="http://schemas.openxmlformats.org/officeDocument/2006/relationships" name="API_CALLS" sheetId="6" r:id="Rcf811f5694c1447e"/>
    <x:sheet xmlns:r="http://schemas.openxmlformats.org/officeDocument/2006/relationships" name="TERM_RETRIEVAL" sheetId="7" r:id="R5823cf35015f4a85"/>
    <x:sheet xmlns:r="http://schemas.openxmlformats.org/officeDocument/2006/relationships" name="FEW_SHOT_SELECTION" sheetId="8" r:id="Rdf00cb6ea4e14703"/>
    <x:sheet xmlns:r="http://schemas.openxmlformats.org/officeDocument/2006/relationships" name="VALIDATION" sheetId="9" r:id="R0ea2cbb8114147ae"/>
    <x:sheet xmlns:r="http://schemas.openxmlformats.org/officeDocument/2006/relationships" name="VOCAB_MATCHES" sheetId="10" r:id="R73ae70cbaf0b4ce9"/>
    <x:sheet xmlns:r="http://schemas.openxmlformats.org/officeDocument/2006/relationships" name="ARTIFACTS" sheetId="11" r:id="R67cabfed410a4d87"/>
    <x:sheet xmlns:r="http://schemas.openxmlformats.org/officeDocument/2006/relationships" name="UNRESOLVED" sheetId="12" r:id="Rf65d5cf961ca49dd"/>
    <x:sheet xmlns:r="http://schemas.openxmlformats.org/officeDocument/2006/relationships" name="RDF_TEST_QUEUE" sheetId="13" r:id="R77971479086f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5a335470c44dc" /><Relationship Type="http://schemas.openxmlformats.org/officeDocument/2006/relationships/theme" Target="/xl/theme/theme1.xml" Id="R929d2336c76644b9" /><Relationship Type="http://schemas.microsoft.com/office/2022/11/relationships/FeaturePropertyBag" Target="/xl/featurePropertyBag/featurePropertyBag.xml" Id="Rad07e7eff0c140a0" /><Relationship Type="http://schemas.openxmlformats.org/officeDocument/2006/relationships/sharedStrings" Target="/xl/sharedStrings.xml" Id="R2094f9629e9b4f47" /><Relationship Type="http://schemas.openxmlformats.org/officeDocument/2006/relationships/worksheet" Target="/xl/worksheets/sheet1.xml" Id="Ra29e8b8902cd4be9" /><Relationship Type="http://schemas.openxmlformats.org/officeDocument/2006/relationships/worksheet" Target="/xl/worksheets/sheet2.xml" Id="Rba3a35ff17474948" /><Relationship Type="http://schemas.openxmlformats.org/officeDocument/2006/relationships/worksheet" Target="/xl/worksheets/sheet3.xml" Id="R4284d8df2ef3482d" /><Relationship Type="http://schemas.openxmlformats.org/officeDocument/2006/relationships/worksheet" Target="/xl/worksheets/sheet4.xml" Id="R10362d0a3ce24bc0" /><Relationship Type="http://schemas.openxmlformats.org/officeDocument/2006/relationships/worksheet" Target="/xl/worksheets/sheet5.xml" Id="R01eca281c9dd4657" /><Relationship Type="http://schemas.openxmlformats.org/officeDocument/2006/relationships/worksheet" Target="/xl/worksheets/sheet6.xml" Id="Rcf811f5694c1447e" /><Relationship Type="http://schemas.openxmlformats.org/officeDocument/2006/relationships/worksheet" Target="/xl/worksheets/sheet7.xml" Id="R5823cf35015f4a85" /><Relationship Type="http://schemas.openxmlformats.org/officeDocument/2006/relationships/worksheet" Target="/xl/worksheets/sheet8.xml" Id="Rdf00cb6ea4e14703" /><Relationship Type="http://schemas.openxmlformats.org/officeDocument/2006/relationships/worksheet" Target="/xl/worksheets/sheet9.xml" Id="R0ea2cbb8114147ae" /><Relationship Type="http://schemas.openxmlformats.org/officeDocument/2006/relationships/worksheet" Target="/xl/worksheets/sheet10.xml" Id="R73ae70cbaf0b4ce9" /><Relationship Type="http://schemas.openxmlformats.org/officeDocument/2006/relationships/worksheet" Target="/xl/worksheets/sheet11.xml" Id="R67cabfed410a4d87" /><Relationship Type="http://schemas.openxmlformats.org/officeDocument/2006/relationships/worksheet" Target="/xl/worksheets/sheet12.xml" Id="Rf65d5cf961ca49dd" /><Relationship Type="http://schemas.openxmlformats.org/officeDocument/2006/relationships/worksheet" Target="/xl/worksheets/sheet13.xml" Id="R77971479086f47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6ab2d0974b43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e89c9a9b0d47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2b759bc3cf4d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0244ecfcfb46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bfcc30b6f74c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667983c22a4c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d2f302ac6944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a3109d28284c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4721ef74d24ac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520c61c919344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RUN-I2-030-20260829T203546680296Z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28092.89475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RUN-I2-030-20260829T203546680296Z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6ab2d0974b43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RUN-I2-030-20260829T203546680296Z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MAX_ATTEMPTS_REACHED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89c9a9b0d47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RUN-I2-030-20260829T203546680296Z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RUN-I2-030-20260829T203546680296Z</x:v>
      </x:c>
      <x:c r="C5" s="69" t="str">
        <x:v>I2-030</x:v>
      </x:c>
      <x:c r="D5" s="70" t="n">
        <x:v>46263.85817917824</x:v>
      </x:c>
      <x:c r="E5" s="70" t="n">
        <x:v>46263.86079636574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Reject. Preserve the prior applicability and ownership instructions. The first SPARQL constraint independently joins any ship calculation case with any structural member, so z_na can be required or omitted for the wrong case; the oblique-angle query likewise does not pair the tested calculation case with its relevant local-frame section calculation case, linked structural member, and plating. Repair both queries to use the declared case/member/plating relationships and prevent cross-case joins. The netEffectivePlasticSectionModulus and all other structural-member operands are currently required on every ship hasStructuralMember node, rather than only on the linked member for the applicable calculation case; scope these constraints to the declared linked path. The separate InterpolationPointShape is neither targeted nor referenced by sh:node, so its coordinate/result datatype and unit constraints are never applied; reference or inline it. Ensure the conditional 20&lt;Omega&lt;70 branch requires paired lower and upper endpoints with their coordinate and result evidence, while endpoints remain non-mandatory outside that envelope, and retain the declared unit conversions and all operand/result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b759bc3cf4d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RUN-I2-030-20260829T203546680296Z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RUN-I2-030-20260829T203546680296Z</x:v>
      </x:c>
      <x:c r="B5" s="45" t="str">
        <x:v>I2-030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readiness shape omits the declared applicability conditions. Encode evidence for the branch 100*A_fn &gt; 1000*t_pn*s (with the declared unit conversions) and the oblique-angle envelope 20° &lt; framingAngleOmega &lt; 70°; merely requiring operand presence is not a faithful applicability check. Also place sectionCalculationCaseStructuralMember on the localFrameSectionCalculationCase node, as required by its declared owner and model path, rather than on the enclosing calculationCase, and retain the required structural-member relationship there.</x:v>
      </x:c>
      <x:c r="I5" s="84" t="n">
        <x:v>33364.953</x:v>
      </x:c>
      <x:c r="J5" s="84" t="n">
        <x:v>13783.35</x:v>
      </x:c>
    </x:row>
    <x:row r="6">
      <x:c r="A6" s="47" t="str">
        <x:v>RUN-I2-030-20260829T203546680296Z</x:v>
      </x:c>
      <x:c r="B6" s="47" t="str">
        <x:v>I2-030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separately targeted structuralMember shape: requiredTargetOwner is ship, and its sh:minCount 1 would incorrectly require netEffectivePlasticSectionModulus on every structural member rather than only the linked member. Keep the result constraint on the required ship-to-structuralMember path. Also repair the oblique-angle applicability query so framingAngleOmega is paired with the relevant local-frame section calculation case/member and its linked plating, rather than independently joining any ship-level hasPlating and hasCalculationCase values, which permits cross-case accidental passes.</x:v>
      </x:c>
      <x:c r="I6" s="86" t="n">
        <x:v>33579.483</x:v>
      </x:c>
      <x:c r="J6" s="86" t="n">
        <x:v>23980.084</x:v>
      </x:c>
    </x:row>
    <x:row r="7">
      <x:c r="A7" s="47" t="str">
        <x:v>RUN-I2-030-20260829T203546680296Z</x:v>
      </x:c>
      <x:c r="B7" s="47" t="str">
        <x:v>I2-030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Prior instructions remain valid. Reject: the graph still omits the required applicability comparison 100*A_fn &gt; 1000*t_pn*s with the declared unit conversions, so it does not establish when the z_na/Z_p branch applies. Its SPARQL FILTER is an accidental pass: outside the angle envelope it passes via &lt;=20/&gt;=70, and inside it passes merely when any interpolation endpoints exist; it never faithfully enforces 20° &lt; framingAngleOmega &lt; 70° or conditionally requires paired interpolation evidence. Do not make interpolation endpoints universally mandatory. Tie each calculation case to the relevant local-frame section calculation case, structural member, and linked plating/member; retain sectionCalculationCaseStructuralMember on the localFrameSectionCalculationCase owner. Constrain all declared operand and result paths, including netEffectivePlasticSectionModulus and plasticNeutralAxisHeight, with their canonical owners, datatypes, and units. Preserve the required structural-member relationship and avoid cross-case joins or presence-only approximations.</x:v>
      </x:c>
      <x:c r="I7" s="86" t="n">
        <x:v>44115.158</x:v>
      </x:c>
      <x:c r="J7" s="86" t="n">
        <x:v>15422.339</x:v>
      </x:c>
    </x:row>
    <x:row r="8">
      <x:c r="A8" s="49" t="str">
        <x:v>RUN-I2-030-20260829T203546680296Z</x:v>
      </x:c>
      <x:c r="B8" s="49" t="str">
        <x:v>I2-030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Reject. Preserve the prior applicability and ownership instructions. The first SPARQL constraint independently joins any ship calculation case with any structural member, so z_na can be required or omitted for the wrong case; the oblique-angle query likewise does not pair the tested calculation case with its relevant local-frame section calculation case, linked structural member, and plating. Repair both queries to use the declared case/member/plating relationships and prevent cross-case joins. The netEffectivePlasticSectionModulus and all other structural-member operands are currently required on every ship hasStructuralMember node, rather than only on the linked member for the applicable calculation case; scope these constraints to the declared linked path. The separate InterpolationPointShape is neither targeted nor referenced by sh:node, so its coordinate/result datatype and unit constraints are never applied; reference or inline it. Ensure the conditional 20&lt;Omega&lt;70 branch requires paired lower and upper endpoints with their coordinate and result evidence, while endpoints remain non-mandatory outside that envelope, and retain the declared unit conversions and all operand/result paths.</x:v>
      </x:c>
      <x:c r="I8" s="88" t="n">
        <x:v>41932.664</x:v>
      </x:c>
      <x:c r="J8" s="88" t="n">
        <x:v>18571.47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244ecfcfb46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RUN-I2-030-20260829T203546680296Z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RUN-I2-030-20260829T203546680296Z</x:v>
      </x:c>
      <x:c r="C5" s="45" t="str">
        <x:v>I2-030</x:v>
      </x:c>
      <x:c r="D5" s="92" t="n">
        <x:v>46263.85856533565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33363.003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RUN-I2-030-20260829T203546680296Z</x:v>
      </x:c>
      <x:c r="C6" s="47" t="str">
        <x:v>I2-030</x:v>
      </x:c>
      <x:c r="D6" s="93" t="n">
        <x:v>46263.85856537037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33364.953</x:v>
      </x:c>
      <x:c r="L6" s="85" t="b">
        <x:v>0</x:v>
      </x:c>
      <x:c r="M6" s="47" t="str">
        <x:v>resp_0be44fb06f7a37f5006a9342a2e7b48194bff70a3c69c5f472</x:v>
      </x:c>
      <x:c r="N6" s="59" t="n">
        <x:v>15728</x:v>
      </x:c>
      <x:c r="O6" s="59" t="n">
        <x:v>3062</x:v>
      </x:c>
      <x:c r="P6" s="59" t="n">
        <x:v>18790</x:v>
      </x:c>
    </x:row>
    <x:row r="7">
      <x:c r="A7" s="47" t="str">
        <x:v>EVT-000047</x:v>
      </x:c>
      <x:c r="B7" s="47" t="str">
        <x:v>RUN-I2-030-20260829T203546680296Z</x:v>
      </x:c>
      <x:c r="C7" s="47" t="str">
        <x:v>I2-030</x:v>
      </x:c>
      <x:c r="D7" s="93" t="n">
        <x:v>46263.858727708335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13781.724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RUN-I2-030-20260829T203546680296Z</x:v>
      </x:c>
      <x:c r="C8" s="47" t="str">
        <x:v>I2-030</x:v>
      </x:c>
      <x:c r="D8" s="93" t="n">
        <x:v>46263.85872773148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13783.35</x:v>
      </x:c>
      <x:c r="L8" s="85" t="b">
        <x:v>0</x:v>
      </x:c>
      <x:c r="M8" s="47" t="str">
        <x:v>resp_065226cb26b8b419006a9342c47ee481968d9cad68e266ff26</x:v>
      </x:c>
      <x:c r="N8" s="59" t="n">
        <x:v>18220</x:v>
      </x:c>
      <x:c r="O8" s="59" t="n">
        <x:v>1163</x:v>
      </x:c>
      <x:c r="P8" s="59" t="n">
        <x:v>19383</x:v>
      </x:c>
    </x:row>
    <x:row r="9">
      <x:c r="A9" s="47" t="str">
        <x:v>EVT-000053</x:v>
      </x:c>
      <x:c r="B9" s="47" t="str">
        <x:v>RUN-I2-030-20260829T203546680296Z</x:v>
      </x:c>
      <x:c r="C9" s="47" t="str">
        <x:v>I2-030</x:v>
      </x:c>
      <x:c r="D9" s="93" t="n">
        <x:v>46263.85911643518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33578.144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RUN-I2-030-20260829T203546680296Z</x:v>
      </x:c>
      <x:c r="C10" s="47" t="str">
        <x:v>I2-030</x:v>
      </x:c>
      <x:c r="D10" s="93" t="n">
        <x:v>46263.85911644676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33579.483</x:v>
      </x:c>
      <x:c r="L10" s="85" t="b">
        <x:v>0</x:v>
      </x:c>
      <x:c r="M10" s="47" t="str">
        <x:v>resp_0afebb0cd257966f006a9342d24ce88197ab4bde3bcaffff80</x:v>
      </x:c>
      <x:c r="N10" s="59" t="n">
        <x:v>15842</x:v>
      </x:c>
      <x:c r="O10" s="59" t="n">
        <x:v>4811</x:v>
      </x:c>
      <x:c r="P10" s="59" t="n">
        <x:v>20653</x:v>
      </x:c>
    </x:row>
    <x:row r="11">
      <x:c r="A11" s="47" t="str">
        <x:v>EVT-000061</x:v>
      </x:c>
      <x:c r="B11" s="47" t="str">
        <x:v>RUN-I2-030-20260829T203546680296Z</x:v>
      </x:c>
      <x:c r="C11" s="47" t="str">
        <x:v>I2-030</x:v>
      </x:c>
      <x:c r="D11" s="93" t="n">
        <x:v>46263.8593996875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23978.353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RUN-I2-030-20260829T203546680296Z</x:v>
      </x:c>
      <x:c r="C12" s="47" t="str">
        <x:v>I2-030</x:v>
      </x:c>
      <x:c r="D12" s="93" t="n">
        <x:v>46263.85939971065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23980.084</x:v>
      </x:c>
      <x:c r="L12" s="85" t="b">
        <x:v>0</x:v>
      </x:c>
      <x:c r="M12" s="47" t="str">
        <x:v>resp_01c58bf6cccbfa55006a9342f458748194a839af5e2556e7b7</x:v>
      </x:c>
      <x:c r="N12" s="59" t="n">
        <x:v>19824</x:v>
      </x:c>
      <x:c r="O12" s="59" t="n">
        <x:v>1950</x:v>
      </x:c>
      <x:c r="P12" s="59" t="n">
        <x:v>21774</x:v>
      </x:c>
    </x:row>
    <x:row r="13">
      <x:c r="A13" s="47" t="str">
        <x:v>EVT-000067</x:v>
      </x:c>
      <x:c r="B13" s="47" t="str">
        <x:v>RUN-I2-030-20260829T203546680296Z</x:v>
      </x:c>
      <x:c r="C13" s="47" t="str">
        <x:v>I2-030</x:v>
      </x:c>
      <x:c r="D13" s="93" t="n">
        <x:v>46263.85991034722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44113.344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RUN-I2-030-20260829T203546680296Z</x:v>
      </x:c>
      <x:c r="C14" s="47" t="str">
        <x:v>I2-030</x:v>
      </x:c>
      <x:c r="D14" s="93" t="n">
        <x:v>46263.85991037037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44115.158</x:v>
      </x:c>
      <x:c r="L14" s="85" t="b">
        <x:v>0</x:v>
      </x:c>
      <x:c r="M14" s="47" t="str">
        <x:v>resp_06ed1304b39e0330006a93430c59e8819488dd3881cacb0eec</x:v>
      </x:c>
      <x:c r="N14" s="59" t="n">
        <x:v>15953</x:v>
      </x:c>
      <x:c r="O14" s="59" t="n">
        <x:v>4824</x:v>
      </x:c>
      <x:c r="P14" s="59" t="n">
        <x:v>20777</x:v>
      </x:c>
    </x:row>
    <x:row r="15">
      <x:c r="A15" s="47" t="str">
        <x:v>EVT-000075</x:v>
      </x:c>
      <x:c r="B15" s="47" t="str">
        <x:v>RUN-I2-030-20260829T203546680296Z</x:v>
      </x:c>
      <x:c r="C15" s="47" t="str">
        <x:v>I2-030</x:v>
      </x:c>
      <x:c r="D15" s="93" t="n">
        <x:v>46263.86009122685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15420.966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EVT-000076</x:v>
      </x:c>
      <x:c r="B16" s="47" t="str">
        <x:v>RUN-I2-030-20260829T203546680296Z</x:v>
      </x:c>
      <x:c r="C16" s="47" t="str">
        <x:v>I2-030</x:v>
      </x:c>
      <x:c r="D16" s="93" t="n">
        <x:v>46263.86009125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15422.339</x:v>
      </x:c>
      <x:c r="L16" s="85" t="b">
        <x:v>0</x:v>
      </x:c>
      <x:c r="M16" s="47" t="str">
        <x:v>resp_01b7b9019d301fbe006a9343389f848190813b1df5d8ad4728</x:v>
      </x:c>
      <x:c r="N16" s="59" t="n">
        <x:v>18159</x:v>
      </x:c>
      <x:c r="O16" s="59" t="n">
        <x:v>1255</x:v>
      </x:c>
      <x:c r="P16" s="59" t="n">
        <x:v>19414</x:v>
      </x:c>
    </x:row>
    <x:row r="17">
      <x:c r="A17" s="47" t="str">
        <x:v>EVT-000081</x:v>
      </x:c>
      <x:c r="B17" s="47" t="str">
        <x:v>RUN-I2-030-20260829T203546680296Z</x:v>
      </x:c>
      <x:c r="C17" s="47" t="str">
        <x:v>I2-030</x:v>
      </x:c>
      <x:c r="D17" s="93" t="n">
        <x:v>46263.860576597224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41930.763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RUN-I2-030-20260829T203546680296Z</x:v>
      </x:c>
      <x:c r="C18" s="47" t="str">
        <x:v>I2-030</x:v>
      </x:c>
      <x:c r="D18" s="93" t="n">
        <x:v>46263.86057662037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41932.664</x:v>
      </x:c>
      <x:c r="L18" s="85" t="b">
        <x:v>0</x:v>
      </x:c>
      <x:c r="M18" s="47" t="str">
        <x:v>resp_0f3cf47f7dccffad006a934348b0948195b0ab64da128a5099</x:v>
      </x:c>
      <x:c r="N18" s="59" t="n">
        <x:v>16163</x:v>
      </x:c>
      <x:c r="O18" s="59" t="n">
        <x:v>4888</x:v>
      </x:c>
      <x:c r="P18" s="59" t="n">
        <x:v>21051</x:v>
      </x:c>
    </x:row>
    <x:row r="19">
      <x:c r="A19" s="47" t="str">
        <x:v>EVT-000089</x:v>
      </x:c>
      <x:c r="B19" s="47" t="str">
        <x:v>RUN-I2-030-20260829T203546680296Z</x:v>
      </x:c>
      <x:c r="C19" s="47" t="str">
        <x:v>I2-030</x:v>
      </x:c>
      <x:c r="D19" s="93" t="n">
        <x:v>46263.86079633102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18570.518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EVT-000090</x:v>
      </x:c>
      <x:c r="B20" s="49" t="str">
        <x:v>RUN-I2-030-20260829T203546680296Z</x:v>
      </x:c>
      <x:c r="C20" s="49" t="str">
        <x:v>I2-030</x:v>
      </x:c>
      <x:c r="D20" s="94" t="n">
        <x:v>46263.86079634259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18571.47</x:v>
      </x:c>
      <x:c r="L20" s="87" t="b">
        <x:v>0</x:v>
      </x:c>
      <x:c r="M20" s="49" t="str">
        <x:v>resp_0ab1deaff5509b27006a934372dd688196b949436ba3c84a88</x:v>
      </x:c>
      <x:c r="N20" s="60" t="n">
        <x:v>19451</x:v>
      </x:c>
      <x:c r="O20" s="60" t="n">
        <x:v>1267</x:v>
      </x:c>
      <x:c r="P20" s="60" t="n">
        <x:v>20718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fcc30b6f74c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RUN-I2-030-20260829T203546680296Z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RUN-I2-030-20260829T203546680296Z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RUN-I2-030-20260829T203546680296Z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RUN-I2-030-20260829T203546680296Z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RUN-I2-030-20260829T203546680296Z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RUN-I2-030-20260829T203546680296Z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RUN-I2-030-20260829T203546680296Z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RUN-I2-030-20260829T203546680296Z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RUN-I2-030-20260829T203546680296Z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RUN-I2-030-20260829T203546680296Z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RUN-I2-030-20260829T203546680296Z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RUN-I2-030-20260829T203546680296Z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RUN-I2-030-20260829T203546680296Z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RUN-I2-030-20260829T203546680296Z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RUN-I2-030-20260829T203546680296Z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RUN-I2-030-20260829T203546680296Z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RUN-I2-030-20260829T203546680296Z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RUN-I2-030-20260829T203546680296Z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RUN-I2-030-20260829T203546680296Z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RUN-I2-030-20260829T203546680296Z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RUN-I2-030-20260829T203546680296Z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RUN-I2-030-20260829T203546680296Z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RUN-I2-030-20260829T203546680296Z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RUN-I2-030-20260829T203546680296Z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RUN-I2-030-20260829T203546680296Z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RUN-I2-030-20260829T203546680296Z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RUN-I2-030-20260829T203546680296Z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RUN-I2-030-20260829T203546680296Z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RUN-I2-030-20260829T203546680296Z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RUN-I2-030-20260829T203546680296Z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RUN-I2-030-20260829T203546680296Z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RUN-I2-030-20260829T203546680296Z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667983c22a4c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RUN-I2-030-20260829T203546680296Z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RUN-I2-030-20260829T203546680296Z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RUN-I2-030-20260829T203546680296Z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8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d2f302ac6944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RUN-I2-030-20260829T203546680296Z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RUN-I2-030-20260829T203546680296Z</x:v>
      </x:c>
      <x:c r="B5" s="45" t="str">
        <x:v>I2-030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46" t="str"/>
      <x:c r="P5" s="46" t="str"/>
      <x:c r="Q5" s="46" t="str"/>
    </x:row>
    <x:row r="6">
      <x:c r="A6" s="47" t="str">
        <x:v>RUN-I2-030-20260829T203546680296Z</x:v>
      </x:c>
      <x:c r="B6" s="47" t="str">
        <x:v>I2-030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https://w3id.org/nltl/vocab#hasPlating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6" s="48" t="str"/>
      <x:c r="P6" s="48" t="str"/>
      <x:c r="Q6" s="48" t="str"/>
    </x:row>
    <x:row r="7">
      <x:c r="A7" s="47" t="str">
        <x:v>RUN-I2-030-20260829T203546680296Z</x:v>
      </x:c>
      <x:c r="B7" s="47" t="str">
        <x:v>I2-030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https://w3id.org/nltl/vocab#sectionCalculationCasePlating | https://w3id.org/nltl/vocab#sectionCalculationCaseStructuralMember | https://w3id.org/nltl/vocab#ship | https://w3id.org/nltl/vocab#webAngleToShellPlate | https://w3id.org/nltl/vocab#webHeight | https://w3id.org/nltl/vocab#webToFlangeCentreDistance</x:v>
      </x:c>
      <x:c r="O7" s="48" t="str"/>
      <x:c r="P7" s="48" t="str"/>
      <x:c r="Q7" s="48" t="str"/>
    </x:row>
    <x:row r="8">
      <x:c r="A8" s="49" t="str">
        <x:v>RUN-I2-030-20260829T203546680296Z</x:v>
      </x:c>
      <x:c r="B8" s="49" t="str">
        <x:v>I2-030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0a3109d28284c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RUN-I2-030-20260829T203546680296Z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RUN-I2-030-20260829T203546680296Z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RUN-I2-030-20260829T203546680296Z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RUN-I2-030-20260829T203546680296Z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RUN-I2-030-20260829T203546680296Z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RUN-I2-030-20260829T203546680296Z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95ce6908e7383394ab5cd968c4ac182a68458e96ab3eee9b19fa9db9517e2dc3</x:v>
      </x:c>
      <x:c r="G8" s="59" t="n">
        <x:v>7356</x:v>
      </x:c>
    </x:row>
    <x:row r="9">
      <x:c r="A9" s="47" t="str">
        <x:v>RUN-I2-030-20260829T203546680296Z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d5f62e22f53e704a84d2018d02372d3c5e1e342b88ae877c7f0017333cd6529f</x:v>
      </x:c>
      <x:c r="G9" s="59" t="n">
        <x:v>7331</x:v>
      </x:c>
    </x:row>
    <x:row r="10">
      <x:c r="A10" s="47" t="str">
        <x:v>RUN-I2-030-20260829T203546680296Z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ebf66be81cd6a7f060522b62123c53f47d540206dc7d3553733c47615923c939</x:v>
      </x:c>
      <x:c r="G10" s="59" t="n">
        <x:v>1841</x:v>
      </x:c>
    </x:row>
    <x:row r="11">
      <x:c r="A11" s="47" t="str">
        <x:v>RUN-I2-030-20260829T203546680296Z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f34042ba207cb8bab4133c979973fec6d34f9d3ca74a176409fbc55d0bce6567</x:v>
      </x:c>
      <x:c r="G11" s="59" t="n">
        <x:v>69779</x:v>
      </x:c>
    </x:row>
    <x:row r="12">
      <x:c r="A12" s="47" t="str">
        <x:v>RUN-I2-030-20260829T203546680296Z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e3fd6dc3aa3f49e4e11f7baea9c5ca97025c8037d713554830970247e32e488e</x:v>
      </x:c>
      <x:c r="G12" s="59" t="n">
        <x:v>618</x:v>
      </x:c>
    </x:row>
    <x:row r="13">
      <x:c r="A13" s="47" t="str">
        <x:v>RUN-I2-030-20260829T203546680296Z</x:v>
      </x:c>
      <x:c r="B13" s="47" t="str">
        <x:v>I2-030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e6eeb474b720ddc35597687add7331119bd46b0d20a0a7f3b191f783fcfb02a2</x:v>
      </x:c>
      <x:c r="G13" s="59" t="n">
        <x:v>63371</x:v>
      </x:c>
    </x:row>
    <x:row r="14">
      <x:c r="A14" s="47" t="str">
        <x:v>RUN-I2-030-20260829T203546680296Z</x:v>
      </x:c>
      <x:c r="B14" s="47" t="str">
        <x:v>I2-030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f35df7b59b75f55b00902f648b89401322a85ae25457f038ef314664b7a777f6</x:v>
      </x:c>
      <x:c r="G14" s="59" t="n">
        <x:v>14510</x:v>
      </x:c>
    </x:row>
    <x:row r="15">
      <x:c r="A15" s="47" t="str">
        <x:v>RUN-I2-030-20260829T203546680296Z</x:v>
      </x:c>
      <x:c r="B15" s="47" t="str">
        <x:v>I2-030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f02b14d27e7c1fdaf1163abb6976a78fd09c22e9d1080701dde68df25542744b</x:v>
      </x:c>
      <x:c r="G15" s="59" t="n">
        <x:v>14485</x:v>
      </x:c>
    </x:row>
    <x:row r="16">
      <x:c r="A16" s="47" t="str">
        <x:v>RUN-I2-030-20260829T203546680296Z</x:v>
      </x:c>
      <x:c r="B16" s="47" t="str">
        <x:v>I2-030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e933f13c824011fab58f68ea0e7dd3b20e74b35c94412c07b46a5cc8df27fad7</x:v>
      </x:c>
      <x:c r="G16" s="59" t="n">
        <x:v>1942</x:v>
      </x:c>
    </x:row>
    <x:row r="17">
      <x:c r="A17" s="47" t="str">
        <x:v>RUN-I2-030-20260829T203546680296Z</x:v>
      </x:c>
      <x:c r="B17" s="47" t="str">
        <x:v>I2-030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39db54eec5af0dce8784d143fb2df1b52c95cf2f54050b361fbca01fa7486fc9</x:v>
      </x:c>
      <x:c r="G17" s="59" t="n">
        <x:v>78364</x:v>
      </x:c>
    </x:row>
    <x:row r="18">
      <x:c r="A18" s="47" t="str">
        <x:v>RUN-I2-030-20260829T203546680296Z</x:v>
      </x:c>
      <x:c r="B18" s="47" t="str">
        <x:v>I2-030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330d184140ba8b869dd0a403f4877988b478b2b60cff18a5396f8cd7727ba24e</x:v>
      </x:c>
      <x:c r="G18" s="59" t="n">
        <x:v>668</x:v>
      </x:c>
    </x:row>
    <x:row r="19">
      <x:c r="A19" s="47" t="str">
        <x:v>RUN-I2-030-20260829T203546680296Z</x:v>
      </x:c>
      <x:c r="B19" s="47" t="str">
        <x:v>I2-030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529f6c6e40283cd4b91b3d6aa19b3d2e1f87792a497b77b5e85f410044a340fb</x:v>
      </x:c>
      <x:c r="G19" s="59" t="n">
        <x:v>63982</x:v>
      </x:c>
    </x:row>
    <x:row r="20">
      <x:c r="A20" s="47" t="str">
        <x:v>RUN-I2-030-20260829T203546680296Z</x:v>
      </x:c>
      <x:c r="B20" s="47" t="str">
        <x:v>I2-030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03a160e610d49feaf50ec6c4add3be7c45dd575fe0f8130d30ff89f1ec7781c3</x:v>
      </x:c>
      <x:c r="G20" s="59" t="n">
        <x:v>9552</x:v>
      </x:c>
    </x:row>
    <x:row r="21">
      <x:c r="A21" s="47" t="str">
        <x:v>RUN-I2-030-20260829T203546680296Z</x:v>
      </x:c>
      <x:c r="B21" s="47" t="str">
        <x:v>I2-030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4ba72fb4ca4c5fb4af9e18e1a522a45159cf92e422c90fc2a94c82602c0ec374</x:v>
      </x:c>
      <x:c r="G21" s="59" t="n">
        <x:v>9527</x:v>
      </x:c>
    </x:row>
    <x:row r="22">
      <x:c r="A22" s="47" t="str">
        <x:v>RUN-I2-030-20260829T203546680296Z</x:v>
      </x:c>
      <x:c r="B22" s="47" t="str">
        <x:v>I2-030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31cd6b730b8b06d91853cf8ae82ea5109ef409b72b053e87e887e5376fcffbe4</x:v>
      </x:c>
      <x:c r="G22" s="59" t="n">
        <x:v>1733</x:v>
      </x:c>
    </x:row>
    <x:row r="23">
      <x:c r="A23" s="47" t="str">
        <x:v>RUN-I2-030-20260829T203546680296Z</x:v>
      </x:c>
      <x:c r="B23" s="47" t="str">
        <x:v>I2-030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da6a899ca7a54c9ae9e7c03343eee34db513a91e082bb72f6bec3a38275e0afb</x:v>
      </x:c>
      <x:c r="G23" s="59" t="n">
        <x:v>72317</x:v>
      </x:c>
    </x:row>
    <x:row r="24">
      <x:c r="A24" s="47" t="str">
        <x:v>RUN-I2-030-20260829T203546680296Z</x:v>
      </x:c>
      <x:c r="B24" s="47" t="str">
        <x:v>I2-030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b79124ddd0ad5e3ea596dc06404e2e8719319c0a28fe7f4fa7a7aacf2d998ba7</x:v>
      </x:c>
      <x:c r="G24" s="59" t="n">
        <x:v>1126</x:v>
      </x:c>
    </x:row>
    <x:row r="25">
      <x:c r="A25" s="47" t="str">
        <x:v>RUN-I2-030-20260829T203546680296Z</x:v>
      </x:c>
      <x:c r="B25" s="47" t="str">
        <x:v>I2-030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7ae1b8b6f3788a6308dc6ba0768f28a833ade385d56144be58ec4e4f9f3bd9ea</x:v>
      </x:c>
      <x:c r="G25" s="59" t="n">
        <x:v>65059</x:v>
      </x:c>
    </x:row>
    <x:row r="26">
      <x:c r="A26" s="47" t="str">
        <x:v>RUN-I2-030-20260829T203546680296Z</x:v>
      </x:c>
      <x:c r="B26" s="47" t="str">
        <x:v>I2-030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59698fe4887696c95f220385f6a7e35b5db0a048e4d63c6acce1606034dd970f</x:v>
      </x:c>
      <x:c r="G26" s="59" t="n">
        <x:v>11962</x:v>
      </x:c>
    </x:row>
    <x:row r="27">
      <x:c r="A27" s="47" t="str">
        <x:v>RUN-I2-030-20260829T203546680296Z</x:v>
      </x:c>
      <x:c r="B27" s="47" t="str">
        <x:v>I2-030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125de9054d5ef8dadda87331774f6e12aeba9407228ac8872b17ef9197f7913d</x:v>
      </x:c>
      <x:c r="G27" s="59" t="n">
        <x:v>11937</x:v>
      </x:c>
    </x:row>
    <x:row r="28">
      <x:c r="A28" s="47" t="str">
        <x:v>RUN-I2-030-20260829T203546680296Z</x:v>
      </x:c>
      <x:c r="B28" s="47" t="str">
        <x:v>I2-030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e5c2bf67e8a2a8844b8cb06fe3d495640ca3d522f303672fae43deecc1fc864b</x:v>
      </x:c>
      <x:c r="G28" s="59" t="n">
        <x:v>1896</x:v>
      </x:c>
    </x:row>
    <x:row r="29">
      <x:c r="A29" s="47" t="str">
        <x:v>RUN-I2-030-20260829T203546680296Z</x:v>
      </x:c>
      <x:c r="B29" s="47" t="str">
        <x:v>I2-030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d94d8d1233e790b107e6dde7eac4610bf04af5559a6cff5b86f86584a232cc14</x:v>
      </x:c>
      <x:c r="G29" s="59" t="n">
        <x:v>77115</x:v>
      </x:c>
    </x:row>
    <x:row r="30">
      <x:c r="A30" s="49" t="str">
        <x:v>RUN-I2-030-20260829T203546680296Z</x:v>
      </x:c>
      <x:c r="B30" s="49" t="str">
        <x:v>I2-030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5b5b506a4eddb68548dd9b1e62eca68f435a246fd0db27e1244c1931d46b03de</x:v>
      </x:c>
      <x:c r="G30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b54721ef74d24a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RUN-I2-030-20260829T203546680296Z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RUN-I2-030-20260829T203546680296Z</x:v>
      </x:c>
      <x:c r="B5" s="69" t="str">
        <x:v>I2-030</x:v>
      </x:c>
      <x:c r="C5" s="71" t="n">
        <x:v>4</x:v>
      </x:c>
      <x:c r="D5" s="69" t="str">
        <x:v>MAX_ATTEMPTS_REACHED</x:v>
      </x:c>
      <x:c r="E5" s="73" t="str">
        <x:v>Reject. Preserve the prior applicability and ownership instructions. The first SPARQL constraint independently joins any ship calculation case with any structural member, so z_na can be required or omitted for the wrong case; the oblique-angle query likewise does not pair the tested calculation case with its relevant local-frame section calculation case, linked structural member, and plating. Repair both queries to use the declared case/member/plating relationships and prevent cross-case joins. The netEffectivePlasticSectionModulus and all other structural-member operands are currently required on every ship hasStructuralMember node, rather than only on the linked member for the applicable calculation case; scope these constraints to the declared linked path. The separate InterpolationPointShape is neither targeted nor referenced by sh:node, so its coordinate/result datatype and unit constraints are never applied; reference or inline it. Ensure the conditional 20&lt;Omega&lt;70 branch requires paired lower and upper endpoints with their coordinate and result evidence, while endpoints remain non-mandatory outside that envelope, and retain the declared unit conversions and all operand/result paths.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0c61c9193443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RUN-I2-030-20260829T203546680296Z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