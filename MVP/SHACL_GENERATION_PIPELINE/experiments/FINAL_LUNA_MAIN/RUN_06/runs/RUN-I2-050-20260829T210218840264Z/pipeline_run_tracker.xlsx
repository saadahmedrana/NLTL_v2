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d60329a48044fe" /></Relationships>
</file>

<file path=xl/workbook.xml><?xml version="1.0" encoding="utf-8"?>
<x:workbook xmlns:x="http://schemas.openxmlformats.org/spreadsheetml/2006/main">
  <x:sheets>
    <x:sheet xmlns:r="http://schemas.openxmlformats.org/officeDocument/2006/relationships" name="SUMMARY" sheetId="1" r:id="Rdf004e45e787438b"/>
    <x:sheet xmlns:r="http://schemas.openxmlformats.org/officeDocument/2006/relationships" name="README" sheetId="2" r:id="R66ad4a2439674d3f"/>
    <x:sheet xmlns:r="http://schemas.openxmlformats.org/officeDocument/2006/relationships" name="REGULATION_QUEUE" sheetId="3" r:id="R1257fc400295415c"/>
    <x:sheet xmlns:r="http://schemas.openxmlformats.org/officeDocument/2006/relationships" name="RUNS" sheetId="4" r:id="Rc854f30bdb2d4505"/>
    <x:sheet xmlns:r="http://schemas.openxmlformats.org/officeDocument/2006/relationships" name="ITERATIONS" sheetId="5" r:id="R816d7bf6209e4526"/>
    <x:sheet xmlns:r="http://schemas.openxmlformats.org/officeDocument/2006/relationships" name="API_CALLS" sheetId="6" r:id="R82e8c1fa9ff242df"/>
    <x:sheet xmlns:r="http://schemas.openxmlformats.org/officeDocument/2006/relationships" name="TERM_RETRIEVAL" sheetId="7" r:id="R5b2e2cfc8ad04a2b"/>
    <x:sheet xmlns:r="http://schemas.openxmlformats.org/officeDocument/2006/relationships" name="FEW_SHOT_SELECTION" sheetId="8" r:id="R99ddc1fa9a1d4622"/>
    <x:sheet xmlns:r="http://schemas.openxmlformats.org/officeDocument/2006/relationships" name="VALIDATION" sheetId="9" r:id="R6bb89fbceb3a4544"/>
    <x:sheet xmlns:r="http://schemas.openxmlformats.org/officeDocument/2006/relationships" name="VOCAB_MATCHES" sheetId="10" r:id="Rabfc4f409772442f"/>
    <x:sheet xmlns:r="http://schemas.openxmlformats.org/officeDocument/2006/relationships" name="ARTIFACTS" sheetId="11" r:id="R23f5aa55dd564d4b"/>
    <x:sheet xmlns:r="http://schemas.openxmlformats.org/officeDocument/2006/relationships" name="UNRESOLVED" sheetId="12" r:id="R559362f025944123"/>
    <x:sheet xmlns:r="http://schemas.openxmlformats.org/officeDocument/2006/relationships" name="RDF_TEST_QUEUE" sheetId="13" r:id="Rb8e7e343fee7488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323bd883f2d4507" /><Relationship Type="http://schemas.openxmlformats.org/officeDocument/2006/relationships/theme" Target="/xl/theme/theme1.xml" Id="R2bd964faf3be470c" /><Relationship Type="http://schemas.microsoft.com/office/2022/11/relationships/FeaturePropertyBag" Target="/xl/featurePropertyBag/featurePropertyBag.xml" Id="R02e4041da2bd4cbe" /><Relationship Type="http://schemas.openxmlformats.org/officeDocument/2006/relationships/sharedStrings" Target="/xl/sharedStrings.xml" Id="R0cf381552e8844aa" /><Relationship Type="http://schemas.openxmlformats.org/officeDocument/2006/relationships/worksheet" Target="/xl/worksheets/sheet1.xml" Id="Rdf004e45e787438b" /><Relationship Type="http://schemas.openxmlformats.org/officeDocument/2006/relationships/worksheet" Target="/xl/worksheets/sheet2.xml" Id="R66ad4a2439674d3f" /><Relationship Type="http://schemas.openxmlformats.org/officeDocument/2006/relationships/worksheet" Target="/xl/worksheets/sheet3.xml" Id="R1257fc400295415c" /><Relationship Type="http://schemas.openxmlformats.org/officeDocument/2006/relationships/worksheet" Target="/xl/worksheets/sheet4.xml" Id="Rc854f30bdb2d4505" /><Relationship Type="http://schemas.openxmlformats.org/officeDocument/2006/relationships/worksheet" Target="/xl/worksheets/sheet5.xml" Id="R816d7bf6209e4526" /><Relationship Type="http://schemas.openxmlformats.org/officeDocument/2006/relationships/worksheet" Target="/xl/worksheets/sheet6.xml" Id="R82e8c1fa9ff242df" /><Relationship Type="http://schemas.openxmlformats.org/officeDocument/2006/relationships/worksheet" Target="/xl/worksheets/sheet7.xml" Id="R5b2e2cfc8ad04a2b" /><Relationship Type="http://schemas.openxmlformats.org/officeDocument/2006/relationships/worksheet" Target="/xl/worksheets/sheet8.xml" Id="R99ddc1fa9a1d4622" /><Relationship Type="http://schemas.openxmlformats.org/officeDocument/2006/relationships/worksheet" Target="/xl/worksheets/sheet9.xml" Id="R6bb89fbceb3a4544" /><Relationship Type="http://schemas.openxmlformats.org/officeDocument/2006/relationships/worksheet" Target="/xl/worksheets/sheet10.xml" Id="Rabfc4f409772442f" /><Relationship Type="http://schemas.openxmlformats.org/officeDocument/2006/relationships/worksheet" Target="/xl/worksheets/sheet11.xml" Id="R23f5aa55dd564d4b" /><Relationship Type="http://schemas.openxmlformats.org/officeDocument/2006/relationships/worksheet" Target="/xl/worksheets/sheet12.xml" Id="R559362f025944123" /><Relationship Type="http://schemas.openxmlformats.org/officeDocument/2006/relationships/worksheet" Target="/xl/worksheets/sheet13.xml" Id="Rb8e7e343fee7488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cf34b1112f14814" /></Relationships>
</file>

<file path=xl/worksheets/_rels/sheet3.xml.rels>&#65279;<?xml version="1.0" encoding="utf-8"?><Relationships xmlns="http://schemas.openxmlformats.org/package/2006/relationships"><Relationship Type="http://schemas.openxmlformats.org/officeDocument/2006/relationships/table" Target="/xl/tables/table2.xml" Id="R2f6af2c85e2f4ff6" /></Relationships>
</file>

<file path=xl/worksheets/_rels/sheet4.xml.rels>&#65279;<?xml version="1.0" encoding="utf-8"?><Relationships xmlns="http://schemas.openxmlformats.org/package/2006/relationships"><Relationship Type="http://schemas.openxmlformats.org/officeDocument/2006/relationships/table" Target="/xl/tables/table3.xml" Id="R269be61663b042e8" /></Relationships>
</file>

<file path=xl/worksheets/_rels/sheet5.xml.rels>&#65279;<?xml version="1.0" encoding="utf-8"?><Relationships xmlns="http://schemas.openxmlformats.org/package/2006/relationships"><Relationship Type="http://schemas.openxmlformats.org/officeDocument/2006/relationships/table" Target="/xl/tables/table4.xml" Id="R693be678d7c64dad" /></Relationships>
</file>

<file path=xl/worksheets/_rels/sheet6.xml.rels>&#65279;<?xml version="1.0" encoding="utf-8"?><Relationships xmlns="http://schemas.openxmlformats.org/package/2006/relationships"><Relationship Type="http://schemas.openxmlformats.org/officeDocument/2006/relationships/table" Target="/xl/tables/table5.xml" Id="R6257cc59237b4884" /></Relationships>
</file>

<file path=xl/worksheets/_rels/sheet7.xml.rels>&#65279;<?xml version="1.0" encoding="utf-8"?><Relationships xmlns="http://schemas.openxmlformats.org/package/2006/relationships"><Relationship Type="http://schemas.openxmlformats.org/officeDocument/2006/relationships/table" Target="/xl/tables/table6.xml" Id="R67db46753c4f492f" /></Relationships>
</file>

<file path=xl/worksheets/_rels/sheet8.xml.rels>&#65279;<?xml version="1.0" encoding="utf-8"?><Relationships xmlns="http://schemas.openxmlformats.org/package/2006/relationships"><Relationship Type="http://schemas.openxmlformats.org/officeDocument/2006/relationships/table" Target="/xl/tables/table7.xml" Id="Rddcde9975bb744c6" /></Relationships>
</file>

<file path=xl/worksheets/_rels/sheet9.xml.rels>&#65279;<?xml version="1.0" encoding="utf-8"?><Relationships xmlns="http://schemas.openxmlformats.org/package/2006/relationships"><Relationship Type="http://schemas.openxmlformats.org/officeDocument/2006/relationships/table" Target="/xl/tables/table8.xml" Id="R59e77e80fbf1454f" /></Relationships>
</file>

<file path=xl/worksheets/_rels/sheet11.xml.rels>&#65279;<?xml version="1.0" encoding="utf-8"?><Relationships xmlns="http://schemas.openxmlformats.org/package/2006/relationships"><Relationship Type="http://schemas.openxmlformats.org/officeDocument/2006/relationships/table" Target="/xl/tables/table9.xml" Id="R797c06a71e494edd" /></Relationships>
</file>

<file path=xl/worksheets/_rels/sheet13.xml.rels>&#65279;<?xml version="1.0" encoding="utf-8"?><Relationships xmlns="http://schemas.openxmlformats.org/package/2006/relationships"><Relationship Type="http://schemas.openxmlformats.org/officeDocument/2006/relationships/table" Target="/xl/tables/table10.xml" Id="Rea2fcd9f74bd42a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RUN-I2-050-20260829T210218840264Z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COUNTA('API_CALLS'!$A$5:$A$10)</x:f>
        <x:v>6</x:v>
      </x:c>
      <x:c r="C9" s="21"/>
      <x:c r="D9" s="21"/>
    </x:row>
    <x:row r="10">
      <x:c r="A10" s="27" t="str">
        <x:v>Mean API/LLM elapsed ms</x:v>
      </x:c>
      <x:c r="B10" s="28" t="n">
        <x:f>IFERROR(AVERAGE('API_CALLS'!$K$5:$K$10),0)</x:f>
        <x:v>9175.307833333332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RUN-I2-050-20260829T210218840264Z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cf34b1112f1481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RUN-I2-050-20260829T210218840264Z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GENERATION_ACCEPTED</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f6af2c85e2f4ff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RUN-I2-050-20260829T210218840264Z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RUN-I2-050-20260829T210218840264Z</x:v>
      </x:c>
      <x:c r="C5" s="69" t="str">
        <x:v>I2-050</x:v>
      </x:c>
      <x:c r="D5" s="70" t="n">
        <x:v>46263.876606956015</x:v>
      </x:c>
      <x:c r="E5" s="70" t="n">
        <x:v>46263.876928969905</x:v>
      </x:c>
      <x:c r="F5" s="69" t="str">
        <x:v>final-luna-main-run06</x:v>
      </x:c>
      <x:c r="G5" s="69" t="str">
        <x:v>VOCAB-LOCK-2026-08-22-R13</x:v>
      </x:c>
      <x:c r="H5" s="71" t="n">
        <x:v>1</x:v>
      </x:c>
      <x:c r="I5" s="69" t="str">
        <x:v>GENERATION_ACCEPTED</x:v>
      </x:c>
      <x:c r="J5" s="72" t="b">
        <x:v>1</x:v>
      </x:c>
      <x:c r="K5" s="69" t="str">
        <x:v>final/final_shape.ttl</x:v>
      </x:c>
      <x:c r="L5" s="73" t="str">
        <x:v>Candidate is semantically faithful for COMPLEX_READINESS: it targets ship, preserves the tableLookupCase path for table-owned operands, includes all declared operand and result terms, and uses the verified quantity ranges and recommended units. The source formula and min comparison remain informational as permitted, with no unsupported execution or invented evidence requirements.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69be61663b042e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RUN-I2-050-20260829T210218840264Z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RUN-I2-050-20260829T210218840264Z</x:v>
      </x:c>
      <x:c r="B5" s="69" t="str">
        <x:v>I2-050</x:v>
      </x:c>
      <x:c r="C5" s="71" t="n">
        <x:v>1</x:v>
      </x:c>
      <x:c r="D5" s="72" t="b">
        <x:v>1</x:v>
      </x:c>
      <x:c r="E5" s="72" t="b">
        <x:v>1</x:v>
      </x:c>
      <x:c r="F5" s="72" t="b">
        <x:v>0</x:v>
      </x:c>
      <x:c r="G5" s="69" t="str">
        <x:v>ACCEPT</x:v>
      </x:c>
      <x:c r="H5" s="73" t="str">
        <x:v>Candidate is semantically faithful for COMPLEX_READINESS: it targets ship, preserves the tableLookupCase path for table-owned operands, includes all declared operand and result terms, and uses the verified quantity ranges and recommended units. The source formula and min comparison remain informational as permitted, with no unsupported execution or invented evidence requirements.</x:v>
      </x:c>
      <x:c r="I5" s="75" t="n">
        <x:v>13421.08</x:v>
      </x:c>
      <x:c r="J5" s="75" t="n">
        <x:v>5018.776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93be678d7c64da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RUN-I2-050-20260829T210218840264Z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RUN-I2-050-20260829T210218840264Z</x:v>
      </x:c>
      <x:c r="C5" s="45" t="str">
        <x:v>I2-050</x:v>
      </x:c>
      <x:c r="D5" s="88" t="n">
        <x:v>46263.876762291664</x:v>
      </x:c>
      <x:c r="E5" s="45" t="str">
        <x:v>generator</x:v>
      </x:c>
      <x:c r="F5" s="45" t="str">
        <x:v>gpt-5.6-luna-2026-07-09</x:v>
      </x:c>
      <x:c r="G5" s="45" t="n">
        <x:v>1</x:v>
      </x:c>
      <x:c r="H5" s="45" t="n">
        <x:v>200</x:v>
      </x:c>
      <x:c r="I5" s="45" t="str">
        <x:v>Ocp-Apim-Subscription-Key</x:v>
      </x:c>
      <x:c r="J5" s="89" t="n">
        <x:v>0</x:v>
      </x:c>
      <x:c r="K5" s="89" t="n">
        <x:v>13419.514</x:v>
      </x:c>
      <x:c r="L5" s="90" t="b">
        <x:v>0</x:v>
      </x:c>
      <x:c r="M5" s="45" t="str"/>
      <x:c r="N5" s="58" t="str"/>
      <x:c r="O5" s="58" t="str"/>
      <x:c r="P5" s="58" t="str"/>
    </x:row>
    <x:row r="6">
      <x:c r="A6" s="47" t="str">
        <x:v>EVT-000025</x:v>
      </x:c>
      <x:c r="B6" s="47" t="str">
        <x:v>RUN-I2-050-20260829T210218840264Z</x:v>
      </x:c>
      <x:c r="C6" s="47" t="str">
        <x:v>I2-050</x:v>
      </x:c>
      <x:c r="D6" s="91" t="n">
        <x:v>46263.876762314816</x:v>
      </x:c>
      <x:c r="E6" s="47" t="str">
        <x:v>generator</x:v>
      </x:c>
      <x:c r="F6" s="47" t="str">
        <x:v>gpt-5.6-luna-2026-07-09</x:v>
      </x:c>
      <x:c r="G6" s="47" t="n">
        <x:v>1</x:v>
      </x:c>
      <x:c r="H6" s="47" t="str">
        <x:v>COMPLETED</x:v>
      </x:c>
      <x:c r="I6" s="47" t="str"/>
      <x:c r="J6" s="92" t="n">
        <x:v>0</x:v>
      </x:c>
      <x:c r="K6" s="92" t="n">
        <x:v>13421.08</x:v>
      </x:c>
      <x:c r="L6" s="93" t="b">
        <x:v>0</x:v>
      </x:c>
      <x:c r="M6" s="47" t="str">
        <x:v>resp_0df2b06d3f8615e0006a9348daf80c8190bbc1b300b63df726</x:v>
      </x:c>
      <x:c r="N6" s="59" t="n">
        <x:v>10113</x:v>
      </x:c>
      <x:c r="O6" s="59" t="n">
        <x:v>1984</x:v>
      </x:c>
      <x:c r="P6" s="59" t="n">
        <x:v>12097</x:v>
      </x:c>
    </x:row>
    <x:row r="7">
      <x:c r="A7" s="47" t="str">
        <x:v>EVT-000030</x:v>
      </x:c>
      <x:c r="B7" s="47" t="str">
        <x:v>RUN-I2-050-20260829T210218840264Z</x:v>
      </x:c>
      <x:c r="C7" s="47" t="str">
        <x:v>I2-050</x:v>
      </x:c>
      <x:c r="D7" s="91" t="n">
        <x:v>46263.87686751157</x:v>
      </x:c>
      <x:c r="E7" s="47" t="str">
        <x:v>syntax_repair</x:v>
      </x:c>
      <x:c r="F7" s="47" t="str">
        <x:v>gpt-5.6-luna-2026-07-09</x:v>
      </x:c>
      <x:c r="G7" s="47" t="n">
        <x:v>1</x:v>
      </x:c>
      <x:c r="H7" s="47" t="n">
        <x:v>200</x:v>
      </x:c>
      <x:c r="I7" s="47" t="str">
        <x:v>Ocp-Apim-Subscription-Key</x:v>
      </x:c>
      <x:c r="J7" s="92" t="n">
        <x:v>0</x:v>
      </x:c>
      <x:c r="K7" s="92" t="n">
        <x:v>9086.601</x:v>
      </x:c>
      <x:c r="L7" s="93" t="b">
        <x:v>0</x:v>
      </x:c>
      <x:c r="M7" s="47" t="str"/>
      <x:c r="N7" s="59" t="str"/>
      <x:c r="O7" s="59" t="str"/>
      <x:c r="P7" s="59" t="str"/>
    </x:row>
    <x:row r="8">
      <x:c r="A8" s="47" t="str">
        <x:v>EVT-000031</x:v>
      </x:c>
      <x:c r="B8" s="47" t="str">
        <x:v>RUN-I2-050-20260829T210218840264Z</x:v>
      </x:c>
      <x:c r="C8" s="47" t="str">
        <x:v>I2-050</x:v>
      </x:c>
      <x:c r="D8" s="91" t="n">
        <x:v>46263.87686752315</x:v>
      </x:c>
      <x:c r="E8" s="47" t="str">
        <x:v>syntax_repair</x:v>
      </x:c>
      <x:c r="F8" s="47" t="str">
        <x:v>gpt-5.6-luna-2026-07-09</x:v>
      </x:c>
      <x:c r="G8" s="47" t="n">
        <x:v>1</x:v>
      </x:c>
      <x:c r="H8" s="47" t="str">
        <x:v>COMPLETED</x:v>
      </x:c>
      <x:c r="I8" s="47" t="str"/>
      <x:c r="J8" s="92" t="n">
        <x:v>0</x:v>
      </x:c>
      <x:c r="K8" s="92" t="n">
        <x:v>9088.068</x:v>
      </x:c>
      <x:c r="L8" s="93" t="b">
        <x:v>0</x:v>
      </x:c>
      <x:c r="M8" s="47" t="str">
        <x:v>resp_093243191c4a5f13006a9348e88ab881969d3bbff20a802029</x:v>
      </x:c>
      <x:c r="N8" s="59" t="n">
        <x:v>2098</x:v>
      </x:c>
      <x:c r="O8" s="59" t="n">
        <x:v>1554</x:v>
      </x:c>
      <x:c r="P8" s="59" t="n">
        <x:v>3652</x:v>
      </x:c>
    </x:row>
    <x:row r="9">
      <x:c r="A9" s="47" t="str">
        <x:v>EVT-000039</x:v>
      </x:c>
      <x:c r="B9" s="47" t="str">
        <x:v>RUN-I2-050-20260829T210218840264Z</x:v>
      </x:c>
      <x:c r="C9" s="47" t="str">
        <x:v>I2-050</x:v>
      </x:c>
      <x:c r="D9" s="91" t="n">
        <x:v>46263.87692891204</x:v>
      </x:c>
      <x:c r="E9" s="47" t="str">
        <x:v>validator</x:v>
      </x:c>
      <x:c r="F9" s="47" t="str">
        <x:v>gpt-5.6-luna-2026-07-09</x:v>
      </x:c>
      <x:c r="G9" s="47" t="n">
        <x:v>1</x:v>
      </x:c>
      <x:c r="H9" s="47" t="n">
        <x:v>200</x:v>
      </x:c>
      <x:c r="I9" s="47" t="str">
        <x:v>Ocp-Apim-Subscription-Key</x:v>
      </x:c>
      <x:c r="J9" s="92" t="n">
        <x:v>0</x:v>
      </x:c>
      <x:c r="K9" s="92" t="n">
        <x:v>5017.808</x:v>
      </x:c>
      <x:c r="L9" s="93" t="b">
        <x:v>0</x:v>
      </x:c>
      <x:c r="M9" s="47" t="str"/>
      <x:c r="N9" s="59" t="str"/>
      <x:c r="O9" s="59" t="str"/>
      <x:c r="P9" s="59" t="str"/>
    </x:row>
    <x:row r="10">
      <x:c r="A10" s="49" t="str">
        <x:v>EVT-000040</x:v>
      </x:c>
      <x:c r="B10" s="49" t="str">
        <x:v>RUN-I2-050-20260829T210218840264Z</x:v>
      </x:c>
      <x:c r="C10" s="49" t="str">
        <x:v>I2-050</x:v>
      </x:c>
      <x:c r="D10" s="94" t="n">
        <x:v>46263.87692892361</x:v>
      </x:c>
      <x:c r="E10" s="49" t="str">
        <x:v>validator</x:v>
      </x:c>
      <x:c r="F10" s="49" t="str">
        <x:v>gpt-5.6-luna-2026-07-09</x:v>
      </x:c>
      <x:c r="G10" s="49" t="n">
        <x:v>1</x:v>
      </x:c>
      <x:c r="H10" s="49" t="str">
        <x:v>COMPLETED</x:v>
      </x:c>
      <x:c r="I10" s="49" t="str"/>
      <x:c r="J10" s="95" t="n">
        <x:v>0</x:v>
      </x:c>
      <x:c r="K10" s="95" t="n">
        <x:v>5018.776</x:v>
      </x:c>
      <x:c r="L10" s="96" t="b">
        <x:v>0</x:v>
      </x:c>
      <x:c r="M10" s="49" t="str">
        <x:v>resp_0556074a6e446d14006a9348f1c12c8190bbb9b97937a9a656</x:v>
      </x:c>
      <x:c r="N10" s="60" t="n">
        <x:v>10856</x:v>
      </x:c>
      <x:c r="O10" s="60" t="n">
        <x:v>445</x:v>
      </x:c>
      <x:c r="P10" s="60" t="n">
        <x:v>11301</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257cc59237b488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RUN-I2-050-20260829T210218840264Z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RUN-I2-050-20260829T210218840264Z</x:v>
      </x:c>
      <x:c r="B5" s="45" t="str">
        <x:v>I2-050</x:v>
      </x:c>
      <x:c r="C5" s="45" t="str">
        <x:v>benchmarkEntity</x:v>
      </x:c>
      <x:c r="D5" s="46" t="str">
        <x:v>https://w3id.org/nltl/vocab#benchmarkEntity</x:v>
      </x:c>
      <x:c r="E5" s="45" t="str">
        <x:v>Class</x:v>
      </x:c>
      <x:c r="F5" s="45" t="str"/>
      <x:c r="G5" s="45" t="str"/>
      <x:c r="H5" s="45" t="str"/>
      <x:c r="I5" s="46" t="str">
        <x:v>baseline target infrastructure; domain dependency of stemAngle</x:v>
      </x:c>
      <x:c r="J5" s="45" t="n">
        <x:v>0</x:v>
      </x:c>
    </x:row>
    <x:row r="6">
      <x:c r="A6" s="47" t="str">
        <x:v>RUN-I2-050-20260829T210218840264Z</x:v>
      </x:c>
      <x:c r="B6" s="47" t="str">
        <x:v>I2-050</x:v>
      </x:c>
      <x:c r="C6" s="47" t="str">
        <x:v>crushingFailureClassFactor</x:v>
      </x:c>
      <x:c r="D6" s="48" t="str">
        <x:v>https://w3id.org/nltl/vocab#crushingFailureClassFactor</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RUN-I2-050-20260829T210218840264Z</x:v>
      </x:c>
      <x:c r="B7" s="47" t="str">
        <x:v>I2-050</x:v>
      </x:c>
      <x:c r="C7" s="47" t="str">
        <x:v>designVerticalIceForceAtBow</x:v>
      </x:c>
      <x:c r="D7" s="48" t="str">
        <x:v>https://w3id.org/nltl/vocab#designVerticalIceForceAtBow</x:v>
      </x:c>
      <x:c r="E7" s="47" t="str">
        <x:v>QuantityProperty</x:v>
      </x:c>
      <x:c r="F7" s="47" t="str"/>
      <x:c r="G7" s="47" t="str">
        <x:v>http://qudt.org/schema/qudt/QuantityValue</x:v>
      </x:c>
      <x:c r="H7" s="47" t="str">
        <x:v>http://qudt.org/vocab/unit/MegaN</x:v>
      </x:c>
      <x:c r="I7" s="48" t="str">
        <x:v>linked by the locked 313-requirement index</x:v>
      </x:c>
      <x:c r="J7" s="47" t="n">
        <x:v>0</x:v>
      </x:c>
    </x:row>
    <x:row r="8">
      <x:c r="A8" s="47" t="str">
        <x:v>RUN-I2-050-20260829T210218840264Z</x:v>
      </x:c>
      <x:c r="B8" s="47" t="str">
        <x:v>I2-050</x:v>
      </x:c>
      <x:c r="C8" s="47" t="str">
        <x:v>designVerticalIceForceAtBowCandidateOne</x:v>
      </x:c>
      <x:c r="D8" s="48" t="str">
        <x:v>https://w3id.org/nltl/vocab#designVerticalIceForceAtBowCandidateOne</x:v>
      </x:c>
      <x:c r="E8" s="47" t="str">
        <x:v>QuantityProperty</x:v>
      </x:c>
      <x:c r="F8" s="47" t="str"/>
      <x:c r="G8" s="47" t="str">
        <x:v>http://qudt.org/schema/qudt/QuantityValue</x:v>
      </x:c>
      <x:c r="H8" s="47" t="str">
        <x:v>http://qudt.org/vocab/unit/MegaN</x:v>
      </x:c>
      <x:c r="I8" s="48" t="str">
        <x:v>linked by the locked 313-requirement index</x:v>
      </x:c>
      <x:c r="J8" s="47" t="n">
        <x:v>0</x:v>
      </x:c>
    </x:row>
    <x:row r="9">
      <x:c r="A9" s="47" t="str">
        <x:v>RUN-I2-050-20260829T210218840264Z</x:v>
      </x:c>
      <x:c r="B9" s="47" t="str">
        <x:v>I2-050</x:v>
      </x:c>
      <x:c r="C9" s="47" t="str">
        <x:v>designVerticalIceForceAtBowCandidateTwo</x:v>
      </x:c>
      <x:c r="D9" s="48" t="str">
        <x:v>https://w3id.org/nltl/vocab#designVerticalIceForceAtBowCandidateTwo</x:v>
      </x:c>
      <x:c r="E9" s="47" t="str">
        <x:v>QuantityProperty</x:v>
      </x:c>
      <x:c r="F9" s="47" t="str"/>
      <x:c r="G9" s="47" t="str">
        <x:v>http://qudt.org/schema/qudt/QuantityValue</x:v>
      </x:c>
      <x:c r="H9" s="47" t="str">
        <x:v>http://qudt.org/vocab/unit/MegaN</x:v>
      </x:c>
      <x:c r="I9" s="48" t="str">
        <x:v>linked by the locked 313-requirement index</x:v>
      </x:c>
      <x:c r="J9" s="47" t="n">
        <x:v>0</x:v>
      </x:c>
    </x:row>
    <x:row r="10">
      <x:c r="A10" s="47" t="str">
        <x:v>RUN-I2-050-20260829T210218840264Z</x:v>
      </x:c>
      <x:c r="B10" s="47" t="str">
        <x:v>I2-050</x:v>
      </x:c>
      <x:c r="C10" s="47" t="str">
        <x:v>flexuralFailureClassFactor</x:v>
      </x:c>
      <x:c r="D10" s="48" t="str">
        <x:v>https://w3id.org/nltl/vocab#flexuralFailureClassFactor</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RUN-I2-050-20260829T210218840264Z</x:v>
      </x:c>
      <x:c r="B11" s="47" t="str">
        <x:v>I2-050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RUN-I2-050-20260829T210218840264Z</x:v>
      </x:c>
      <x:c r="B12" s="47" t="str">
        <x:v>I2-050</x:v>
      </x:c>
      <x:c r="C12" s="47" t="str">
        <x:v>hasTableLookupCase</x:v>
      </x:c>
      <x:c r="D12" s="48" t="str">
        <x:v>https://w3id.org/nltl/vocab#hasTableLookupCase</x:v>
      </x:c>
      <x:c r="E12" s="47" t="str">
        <x:v>ObjectProperty</x:v>
      </x:c>
      <x:c r="F12" s="47" t="str"/>
      <x:c r="G12" s="47" t="str">
        <x:v>https://w3id.org/nltl/vocab#tableLookupCase</x:v>
      </x:c>
      <x:c r="H12" s="47" t="str"/>
      <x:c r="I12" s="48" t="str">
        <x:v>canonical path from target owner ship to required owner tableLookupCase</x:v>
      </x:c>
      <x:c r="J12" s="47" t="n">
        <x:v>0</x:v>
      </x:c>
    </x:row>
    <x:row r="13">
      <x:c r="A13" s="47" t="str">
        <x:v>RUN-I2-050-20260829T210218840264Z</x:v>
      </x:c>
      <x:c r="B13" s="47" t="str">
        <x:v>I2-050</x:v>
      </x:c>
      <x:c r="C13" s="47" t="str">
        <x:v>hullFormCoefficientKh</x:v>
      </x:c>
      <x:c r="D13" s="48" t="str">
        <x:v>https://w3id.org/nltl/vocab#hullFormCoefficientKh</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RUN-I2-050-20260829T210218840264Z</x:v>
      </x:c>
      <x:c r="B14" s="47" t="str">
        <x:v>I2-050</x:v>
      </x:c>
      <x:c r="C14" s="47" t="str">
        <x:v>iceStrengthCoefficientKI</x:v>
      </x:c>
      <x:c r="D14" s="48" t="str">
        <x:v>https://w3id.org/nltl/vocab#iceStrengthCoefficientKI</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RUN-I2-050-20260829T210218840264Z</x:v>
      </x:c>
      <x:c r="B15" s="47" t="str">
        <x:v>I2-050</x:v>
      </x:c>
      <x:c r="C15" s="47" t="str">
        <x:v>longitudinalStrengthClassFactor</x:v>
      </x:c>
      <x:c r="D15" s="48" t="str">
        <x:v>https://w3id.org/nltl/vocab#longitudinalStrengthClassFactor</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RUN-I2-050-20260829T210218840264Z</x:v>
      </x:c>
      <x:c r="B16" s="47" t="str">
        <x:v>I2-050</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 domain dependency of designVerticalIceForceAtBow; domain dependency of designVerticalIceForceAtBowCandidateOne; domain dependency of designVerticalIceForceAtBowCandidateTwo; domain dependency of hullFormCoefficientKh; domain dependency of iceStrengthCoefficientKI; domain dependency of upperIceWaterlineDraughtDUI</x:v>
      </x:c>
      <x:c r="J16" s="47" t="n">
        <x:v>0</x:v>
      </x:c>
    </x:row>
    <x:row r="17">
      <x:c r="A17" s="47" t="str">
        <x:v>RUN-I2-050-20260829T210218840264Z</x:v>
      </x:c>
      <x:c r="B17" s="47" t="str">
        <x:v>I2-050</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7" t="str">
        <x:v>RUN-I2-050-20260829T210218840264Z</x:v>
      </x:c>
      <x:c r="B18" s="47" t="str">
        <x:v>I2-050</x:v>
      </x:c>
      <x:c r="C18" s="47" t="str">
        <x:v>stemAngle</x:v>
      </x:c>
      <x:c r="D18" s="48" t="str">
        <x:v>https://w3id.org/nltl/vocab#stemAngle</x:v>
      </x:c>
      <x:c r="E18" s="47" t="str">
        <x:v>QuantityProperty</x:v>
      </x:c>
      <x:c r="F18" s="47" t="str"/>
      <x:c r="G18" s="47" t="str">
        <x:v>http://qudt.org/schema/qudt/QuantityValue</x:v>
      </x:c>
      <x:c r="H18" s="47" t="str">
        <x:v>http://qudt.org/vocab/unit/DEG</x:v>
      </x:c>
      <x:c r="I18" s="48" t="str">
        <x:v>linked by the locked 313-requirement index</x:v>
      </x:c>
      <x:c r="J18" s="47" t="n">
        <x:v>0</x:v>
      </x:c>
    </x:row>
    <x:row r="19">
      <x:c r="A19" s="47" t="str">
        <x:v>RUN-I2-050-20260829T210218840264Z</x:v>
      </x:c>
      <x:c r="B19" s="47" t="str">
        <x:v>I2-050</x:v>
      </x:c>
      <x:c r="C19" s="47" t="str">
        <x:v>tableLookupCase</x:v>
      </x:c>
      <x:c r="D19" s="48" t="str">
        <x:v>https://w3id.org/nltl/vocab#tableLookupCase</x:v>
      </x:c>
      <x:c r="E19" s="47" t="str">
        <x:v>Class</x:v>
      </x:c>
      <x:c r="F19" s="47" t="str"/>
      <x:c r="G19" s="47" t="str">
        <x:v>https://w3id.org/nltl/vocab#calculationCase</x:v>
      </x:c>
      <x:c r="H19" s="47" t="str"/>
      <x:c r="I19" s="48" t="str">
        <x:v>authoritative required owner class; domain dependency of crushingFailureClassFactor; domain dependency of flexuralFailureClassFactor; domain dependency of longitudinalStrengthClassFactor</x:v>
      </x:c>
      <x:c r="J19" s="47" t="n">
        <x:v>0</x:v>
      </x:c>
    </x:row>
    <x:row r="20">
      <x:c r="A20" s="49" t="str">
        <x:v>RUN-I2-050-20260829T210218840264Z</x:v>
      </x:c>
      <x:c r="B20" s="49" t="str">
        <x:v>I2-050</x:v>
      </x:c>
      <x:c r="C20" s="49" t="str">
        <x:v>upperIceWaterlineDraughtDUI</x:v>
      </x:c>
      <x:c r="D20" s="50" t="str">
        <x:v>https://w3id.org/nltl/vocab#upperIceWaterlineDraughtDUI</x:v>
      </x:c>
      <x:c r="E20" s="49" t="str">
        <x:v>QuantityProperty</x:v>
      </x:c>
      <x:c r="F20" s="49" t="str"/>
      <x:c r="G20" s="49" t="str">
        <x:v>http://qudt.org/schema/qudt/QuantityValue</x:v>
      </x:c>
      <x:c r="H20" s="49" t="str">
        <x:v>http://qudt.org/vocab/unit/M</x:v>
      </x:c>
      <x:c r="I20" s="50" t="str">
        <x:v>linked by the locked 313-requirement index</x:v>
      </x:c>
      <x:c r="J20" s="49" t="n">
        <x:v>0</x:v>
      </x:c>
    </x:row>
  </x:sheetData>
  <x:pageMargins left="0.7" right="0.7" top="0.75" bottom="0.75" header="0.3" footer="0.3"/>
  <x:tableParts count="1">
    <x:tablePart xmlns:r="http://schemas.openxmlformats.org/officeDocument/2006/relationships" r:id="R67db46753c4f492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RUN-I2-050-20260829T210218840264Z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RUN-I2-050-20260829T210218840264Z</x:v>
      </x:c>
      <x:c r="B5" s="45" t="str">
        <x:v>I2-050</x:v>
      </x:c>
      <x:c r="C5" s="45" t="str">
        <x:v>FS-COMPLEX-READINESS-01</x:v>
      </x:c>
      <x:c r="D5" s="45" t="str">
        <x:v>complex_readiness_external_calculation</x:v>
      </x:c>
      <x:c r="E5" s="99" t="n">
        <x:v>2.142857</x:v>
      </x:c>
      <x:c r="F5" s="45" t="str">
        <x:v>calculation | complex | engineering | evidence | external | inputs | readiness | results</x:v>
      </x:c>
      <x:c r="G5" s="45" t="str">
        <x:v>synthetic-few-shot-not-benchmark-ground-truth</x:v>
      </x:c>
    </x:row>
    <x:row r="6">
      <x:c r="A6" s="49" t="str">
        <x:v>RUN-I2-050-20260829T210218840264Z</x:v>
      </x:c>
      <x:c r="B6" s="49" t="str">
        <x:v>I2-050</x:v>
      </x:c>
      <x:c r="C6" s="49" t="str">
        <x:v>FS-COMPLEX-READINESS-02</x:v>
      </x:c>
      <x:c r="D6" s="49" t="str">
        <x:v>complex_readiness_with_direct_residual_check</x:v>
      </x:c>
      <x:c r="E6" s="100" t="n">
        <x:v>2.064516</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dcde9975bb744c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RUN-I2-050-20260829T210218840264Z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RUN-I2-050-20260829T210218840264Z</x:v>
      </x:c>
      <x:c r="B5" s="69" t="str">
        <x:v>I2-050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https://w3id.org/nltl/vocab#crushingFailureClassFactor | https://w3id.org/nltl/vocab#designVerticalIceForceAtBow | https://w3id.org/nltl/vocab#designVerticalIceForceAtBowCandidateOne | https://w3id.org/nltl/vocab#designVerticalIceForceAtBowCandidateTwo | https://w3id.org/nltl/vocab#flexuralFailureClassFactor | https://w3id.org/nltl/vocab#hasTableLookupCase | https://w3id.org/nltl/vocab#hullFormCoefficientKh | https://w3id.org/nltl/vocab#iceStrengthCoefficientKI | https://w3id.org/nltl/vocab#longitudinalStrengthClassFactor | https://w3id.org/nltl/vocab#ship | https://w3id.org/nltl/vocab#stemAngle | https://w3id.org/nltl/vocab#tableLookupCase | https://w3id.org/nltl/vocab#upperIceWaterlineDraughtDUI</x:v>
      </x:c>
      <x:c r="O5" s="73" t="str"/>
      <x:c r="P5" s="73" t="str"/>
      <x:c r="Q5" s="73" t="str"/>
    </x:row>
  </x:sheetData>
  <x:pageMargins left="0.7" right="0.7" top="0.75" bottom="0.75" header="0.3" footer="0.3"/>
  <x:tableParts count="1">
    <x:tablePart xmlns:r="http://schemas.openxmlformats.org/officeDocument/2006/relationships" r:id="R59e77e80fbf1454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RUN-I2-050-20260829T210218840264Z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RUN-I2-050-20260829T210218840264Z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RUN-I2-050-20260829T210218840264Z</x:v>
      </x:c>
      <x:c r="B5" s="45" t="str">
        <x:v>I2-050</x:v>
      </x:c>
      <x:c r="C5" s="58"/>
      <x:c r="D5" s="45" t="str">
        <x:v>initial_context_pack</x:v>
      </x:c>
      <x:c r="E5" s="46" t="str">
        <x:v>artifacts/context_pack_initial.json</x:v>
      </x:c>
      <x:c r="F5" s="45" t="str">
        <x:v>eb9f5743868fdc7f4e179770a025984777b6a2f085833dcdf0831e6184e1a8cf</x:v>
      </x:c>
      <x:c r="G5" s="58" t="n">
        <x:v>23373</x:v>
      </x:c>
    </x:row>
    <x:row r="6">
      <x:c r="A6" s="47" t="str">
        <x:v>RUN-I2-050-20260829T210218840264Z</x:v>
      </x:c>
      <x:c r="B6" s="47" t="str">
        <x:v>I2-050</x:v>
      </x:c>
      <x:c r="C6" s="59"/>
      <x:c r="D6" s="47" t="str">
        <x:v>few_shot_selection</x:v>
      </x:c>
      <x:c r="E6" s="48" t="str">
        <x:v>artifacts/few_shots_selected.json</x:v>
      </x:c>
      <x:c r="F6" s="47" t="str">
        <x:v>b4eab162cfb8f1d1ca2258169afba70c8d3a7cebb97d46187375cc74c30202f7</x:v>
      </x:c>
      <x:c r="G6" s="59" t="n">
        <x:v>6555</x:v>
      </x:c>
    </x:row>
    <x:row r="7">
      <x:c r="A7" s="47" t="str">
        <x:v>RUN-I2-050-20260829T210218840264Z</x:v>
      </x:c>
      <x:c r="B7" s="47" t="str">
        <x:v>I2-050</x:v>
      </x:c>
      <x:c r="C7" s="59" t="n">
        <x:v>1</x:v>
      </x:c>
      <x:c r="D7" s="47" t="str">
        <x:v>generator_prompt</x:v>
      </x:c>
      <x:c r="E7" s="48" t="str">
        <x:v>artifacts/attempt_01/generator_prompt.txt</x:v>
      </x:c>
      <x:c r="F7" s="47" t="str">
        <x:v>36fe2044ed02be6c3e08cfda28ef923242e874cd56dda6447875551c4b43cb64</x:v>
      </x:c>
      <x:c r="G7" s="59" t="n">
        <x:v>41572</x:v>
      </x:c>
    </x:row>
    <x:row r="8">
      <x:c r="A8" s="47" t="str">
        <x:v>RUN-I2-050-20260829T210218840264Z</x:v>
      </x:c>
      <x:c r="B8" s="47" t="str">
        <x:v>I2-050</x:v>
      </x:c>
      <x:c r="C8" s="59" t="n">
        <x:v>1</x:v>
      </x:c>
      <x:c r="D8" s="47" t="str">
        <x:v>generator_raw_response</x:v>
      </x:c>
      <x:c r="E8" s="48" t="str">
        <x:v>artifacts/attempt_01/generator_raw.txt</x:v>
      </x:c>
      <x:c r="F8" s="47" t="str">
        <x:v>203299d3ac8a994b12f8f941eef6f6bf947b25b24460872b2f022e8952303329</x:v>
      </x:c>
      <x:c r="G8" s="59" t="n">
        <x:v>6399</x:v>
      </x:c>
    </x:row>
    <x:row r="9">
      <x:c r="A9" s="47" t="str">
        <x:v>RUN-I2-050-20260829T210218840264Z</x:v>
      </x:c>
      <x:c r="B9" s="47" t="str">
        <x:v>I2-050</x:v>
      </x:c>
      <x:c r="C9" s="59" t="n">
        <x:v>1</x:v>
      </x:c>
      <x:c r="D9" s="47" t="str">
        <x:v>syntax_repair_prompt</x:v>
      </x:c>
      <x:c r="E9" s="48" t="str">
        <x:v>artifacts/attempt_01/syntax_repair_prompt_01.txt</x:v>
      </x:c>
      <x:c r="F9" s="47" t="str">
        <x:v>ef18c78d95b1ed7b2dc355af1795aabe2637677051d42be68af4d17c902727e4</x:v>
      </x:c>
      <x:c r="G9" s="59" t="n">
        <x:v>7649</x:v>
      </x:c>
    </x:row>
    <x:row r="10">
      <x:c r="A10" s="47" t="str">
        <x:v>RUN-I2-050-20260829T210218840264Z</x:v>
      </x:c>
      <x:c r="B10" s="47" t="str">
        <x:v>I2-050</x:v>
      </x:c>
      <x:c r="C10" s="59" t="n">
        <x:v>1</x:v>
      </x:c>
      <x:c r="D10" s="47" t="str">
        <x:v>syntax_repair_raw_response</x:v>
      </x:c>
      <x:c r="E10" s="48" t="str">
        <x:v>artifacts/attempt_01/syntax_repair_raw_01.txt</x:v>
      </x:c>
      <x:c r="F10" s="47" t="str">
        <x:v>e1b76809d94e81862628ac05660c61a991e50b02a321b33159740ae2e690ee4d</x:v>
      </x:c>
      <x:c r="G10" s="59" t="n">
        <x:v>6397</x:v>
      </x:c>
    </x:row>
    <x:row r="11">
      <x:c r="A11" s="47" t="str">
        <x:v>RUN-I2-050-20260829T210218840264Z</x:v>
      </x:c>
      <x:c r="B11" s="47" t="str">
        <x:v>I2-050</x:v>
      </x:c>
      <x:c r="C11" s="59" t="n">
        <x:v>1</x:v>
      </x:c>
      <x:c r="D11" s="47" t="str">
        <x:v>candidate_shape</x:v>
      </x:c>
      <x:c r="E11" s="48" t="str">
        <x:v>artifacts/attempt_01/candidate_shape.ttl</x:v>
      </x:c>
      <x:c r="F11" s="47" t="str">
        <x:v>a3d20c38d0206220888bdf1805c559db3ee012886f92015a57bdfd2d9eb6a8b3</x:v>
      </x:c>
      <x:c r="G11" s="59" t="n">
        <x:v>6372</x:v>
      </x:c>
    </x:row>
    <x:row r="12">
      <x:c r="A12" s="47" t="str">
        <x:v>RUN-I2-050-20260829T210218840264Z</x:v>
      </x:c>
      <x:c r="B12" s="47" t="str">
        <x:v>I2-050</x:v>
      </x:c>
      <x:c r="C12" s="59" t="n">
        <x:v>1</x:v>
      </x:c>
      <x:c r="D12" s="47" t="str">
        <x:v>deterministic_validation</x:v>
      </x:c>
      <x:c r="E12" s="48" t="str">
        <x:v>artifacts/attempt_01/deterministic_validation.json</x:v>
      </x:c>
      <x:c r="F12" s="47" t="str">
        <x:v>27606847da0155840680905199684e8299ce48b6d22773119c70d39f6d80fb27</x:v>
      </x:c>
      <x:c r="G12" s="59" t="n">
        <x:v>1163</x:v>
      </x:c>
    </x:row>
    <x:row r="13">
      <x:c r="A13" s="47" t="str">
        <x:v>RUN-I2-050-20260829T210218840264Z</x:v>
      </x:c>
      <x:c r="B13" s="47" t="str">
        <x:v>I2-050</x:v>
      </x:c>
      <x:c r="C13" s="59" t="n">
        <x:v>1</x:v>
      </x:c>
      <x:c r="D13" s="47" t="str">
        <x:v>validator_prompt</x:v>
      </x:c>
      <x:c r="E13" s="48" t="str">
        <x:v>artifacts/attempt_01/validator_prompt_01.txt</x:v>
      </x:c>
      <x:c r="F13" s="47" t="str">
        <x:v>fb544c926367fd6e803ffd6720ed7705cd133ab0e73f89f547f94c6de62b39d7</x:v>
      </x:c>
      <x:c r="G13" s="59" t="n">
        <x:v>42738</x:v>
      </x:c>
    </x:row>
    <x:row r="14">
      <x:c r="A14" s="47" t="str">
        <x:v>RUN-I2-050-20260829T210218840264Z</x:v>
      </x:c>
      <x:c r="B14" s="47" t="str">
        <x:v>I2-050</x:v>
      </x:c>
      <x:c r="C14" s="59" t="n">
        <x:v>1</x:v>
      </x:c>
      <x:c r="D14" s="47" t="str">
        <x:v>validator_raw_response</x:v>
      </x:c>
      <x:c r="E14" s="48" t="str">
        <x:v>artifacts/attempt_01/validator_raw_01.txt</x:v>
      </x:c>
      <x:c r="F14" s="47" t="str">
        <x:v>a1c844e8a42252b11ba5a46cbb3a4f9daa5dbeda915a73fc8152781788c373b7</x:v>
      </x:c>
      <x:c r="G14" s="59" t="n">
        <x:v>445</x:v>
      </x:c>
    </x:row>
    <x:row r="15">
      <x:c r="A15" s="49" t="str">
        <x:v>RUN-I2-050-20260829T210218840264Z</x:v>
      </x:c>
      <x:c r="B15" s="49" t="str">
        <x:v>I2-050</x:v>
      </x:c>
      <x:c r="C15" s="60" t="n">
        <x:v>1</x:v>
      </x:c>
      <x:c r="D15" s="49" t="str">
        <x:v>final_accepted_shape</x:v>
      </x:c>
      <x:c r="E15" s="50" t="str">
        <x:v>final/final_shape.ttl</x:v>
      </x:c>
      <x:c r="F15" s="49" t="str">
        <x:v>a3d20c38d0206220888bdf1805c559db3ee012886f92015a57bdfd2d9eb6a8b3</x:v>
      </x:c>
      <x:c r="G15" s="60" t="n">
        <x:v>6372</x:v>
      </x:c>
    </x:row>
  </x:sheetData>
  <x:pageMargins left="0.7" right="0.7" top="0.75" bottom="0.75" header="0.3" footer="0.3"/>
  <x:tableParts count="1">
    <x:tablePart xmlns:r="http://schemas.openxmlformats.org/officeDocument/2006/relationships" r:id="R797c06a71e494ed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RUN-I2-050-20260829T210218840264Z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RUN-I2-050-20260829T210218840264Z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RUN-I2-050-20260829T210218840264Z</x:v>
      </x:c>
      <x:c r="B5" s="69" t="str">
        <x:v>I2-050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a2fcd9f74bd42af"/>
  </x:tableParts>
</x:worksheet>
</file>