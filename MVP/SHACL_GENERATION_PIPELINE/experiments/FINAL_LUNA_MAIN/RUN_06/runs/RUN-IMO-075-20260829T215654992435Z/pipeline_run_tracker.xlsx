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25772c689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0d1b164f504368"/>
    <x:sheet xmlns:r="http://schemas.openxmlformats.org/officeDocument/2006/relationships" name="README" sheetId="2" r:id="R8c63ec9d03a74b8e"/>
    <x:sheet xmlns:r="http://schemas.openxmlformats.org/officeDocument/2006/relationships" name="REGULATION_QUEUE" sheetId="3" r:id="Ra351d3c612cf4b34"/>
    <x:sheet xmlns:r="http://schemas.openxmlformats.org/officeDocument/2006/relationships" name="RUNS" sheetId="4" r:id="Rc42c0ebaa0fe474f"/>
    <x:sheet xmlns:r="http://schemas.openxmlformats.org/officeDocument/2006/relationships" name="ITERATIONS" sheetId="5" r:id="R97427f5d91604880"/>
    <x:sheet xmlns:r="http://schemas.openxmlformats.org/officeDocument/2006/relationships" name="API_CALLS" sheetId="6" r:id="R61ed487f946143bc"/>
    <x:sheet xmlns:r="http://schemas.openxmlformats.org/officeDocument/2006/relationships" name="TERM_RETRIEVAL" sheetId="7" r:id="R90fc396bd1ae4cf6"/>
    <x:sheet xmlns:r="http://schemas.openxmlformats.org/officeDocument/2006/relationships" name="FEW_SHOT_SELECTION" sheetId="8" r:id="Rde61e9a4c4c54fe9"/>
    <x:sheet xmlns:r="http://schemas.openxmlformats.org/officeDocument/2006/relationships" name="VALIDATION" sheetId="9" r:id="R36116d858c9c4aa1"/>
    <x:sheet xmlns:r="http://schemas.openxmlformats.org/officeDocument/2006/relationships" name="VOCAB_MATCHES" sheetId="10" r:id="Rff20e07820604842"/>
    <x:sheet xmlns:r="http://schemas.openxmlformats.org/officeDocument/2006/relationships" name="ARTIFACTS" sheetId="11" r:id="R9683341afcde40cb"/>
    <x:sheet xmlns:r="http://schemas.openxmlformats.org/officeDocument/2006/relationships" name="UNRESOLVED" sheetId="12" r:id="Re8ea800550804d97"/>
    <x:sheet xmlns:r="http://schemas.openxmlformats.org/officeDocument/2006/relationships" name="RDF_TEST_QUEUE" sheetId="13" r:id="Rcf4684575165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fa48e2c9b4a14" /><Relationship Type="http://schemas.openxmlformats.org/officeDocument/2006/relationships/theme" Target="/xl/theme/theme1.xml" Id="Rb0e7cb7e78a34e5f" /><Relationship Type="http://schemas.microsoft.com/office/2022/11/relationships/FeaturePropertyBag" Target="/xl/featurePropertyBag/featurePropertyBag.xml" Id="R66ac87e88b704813" /><Relationship Type="http://schemas.openxmlformats.org/officeDocument/2006/relationships/sharedStrings" Target="/xl/sharedStrings.xml" Id="Rce9d0c3cac0f4a1a" /><Relationship Type="http://schemas.openxmlformats.org/officeDocument/2006/relationships/worksheet" Target="/xl/worksheets/sheet1.xml" Id="R010d1b164f504368" /><Relationship Type="http://schemas.openxmlformats.org/officeDocument/2006/relationships/worksheet" Target="/xl/worksheets/sheet2.xml" Id="R8c63ec9d03a74b8e" /><Relationship Type="http://schemas.openxmlformats.org/officeDocument/2006/relationships/worksheet" Target="/xl/worksheets/sheet3.xml" Id="Ra351d3c612cf4b34" /><Relationship Type="http://schemas.openxmlformats.org/officeDocument/2006/relationships/worksheet" Target="/xl/worksheets/sheet4.xml" Id="Rc42c0ebaa0fe474f" /><Relationship Type="http://schemas.openxmlformats.org/officeDocument/2006/relationships/worksheet" Target="/xl/worksheets/sheet5.xml" Id="R97427f5d91604880" /><Relationship Type="http://schemas.openxmlformats.org/officeDocument/2006/relationships/worksheet" Target="/xl/worksheets/sheet6.xml" Id="R61ed487f946143bc" /><Relationship Type="http://schemas.openxmlformats.org/officeDocument/2006/relationships/worksheet" Target="/xl/worksheets/sheet7.xml" Id="R90fc396bd1ae4cf6" /><Relationship Type="http://schemas.openxmlformats.org/officeDocument/2006/relationships/worksheet" Target="/xl/worksheets/sheet8.xml" Id="Rde61e9a4c4c54fe9" /><Relationship Type="http://schemas.openxmlformats.org/officeDocument/2006/relationships/worksheet" Target="/xl/worksheets/sheet9.xml" Id="R36116d858c9c4aa1" /><Relationship Type="http://schemas.openxmlformats.org/officeDocument/2006/relationships/worksheet" Target="/xl/worksheets/sheet10.xml" Id="Rff20e07820604842" /><Relationship Type="http://schemas.openxmlformats.org/officeDocument/2006/relationships/worksheet" Target="/xl/worksheets/sheet11.xml" Id="R9683341afcde40cb" /><Relationship Type="http://schemas.openxmlformats.org/officeDocument/2006/relationships/worksheet" Target="/xl/worksheets/sheet12.xml" Id="Re8ea800550804d97" /><Relationship Type="http://schemas.openxmlformats.org/officeDocument/2006/relationships/worksheet" Target="/xl/worksheets/sheet13.xml" Id="Rcf46845751654a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790e0fc16e42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21a949ca464e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97e80ec7eb4c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6e2ae2c38a40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31ec63d85142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b7d0b86aba4c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4ac2f0260645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86b9de9a1d47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7e97a9a6a4243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2c7b54476ef49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d634c05f8cf43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RUN-IMO-075-20260829T215654992435Z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10483.197900000003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RUN-IMO-075-20260829T215654992435Z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790e0fc16e42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RUN-IMO-075-20260829T215654992435Z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TERM_RESOLUTION_UNRESOLVED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1a949ca464e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RUN-IMO-075-20260829T215654992435Z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RUN-IMO-075-20260829T215654992435Z</x:v>
      </x:c>
      <x:c r="C5" s="69" t="str">
        <x:v>IMO-075</x:v>
      </x:c>
      <x:c r="D5" s="70" t="n">
        <x:v>46263.91452537037</x:v>
      </x:c>
      <x:c r="E5" s="70" t="n">
        <x:v>46263.91514861111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calculation repair: the capacity check correctly uses the permitted integer equivalent capacity * 10 &gt;= personsOnBoard * 11. The candidate still encodes the proximity requirement as presence of a metre-valued distance only, which is a presence-only approximation and does not establish the required storage-location assessment/evidence for being as close as practical. Add a canonical, non-invented evidence or assessment term and constrain its required relationship to the ship-owned storage-distance/location finding; do not invent a numeric distance threshold. That canonical evidence/assessment concept is absent from the scoped terms, so locate it with the variable matcher.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7e80ec7eb4c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RUN-IMO-075-20260829T215654992435Z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RUN-IMO-075-20260829T215654992435Z</x:v>
      </x:c>
      <x:c r="B5" s="45" t="str">
        <x:v>IMO-075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Rewrite the calculation using only permitted DIRECT_CALCULATION operations: CEIL and xsd:decimal casting are unsupported; because both operands are integers, enforce the equivalent condition capacity * 10 &gt;= personsOnBoard * 11 (for example, report a violation when ?capacity * 10 &lt; ?persons * 11). Also encode the verified proximity requirement represented by storageDistanceToMusterOrEmbarkation: require that ship-owned QuantityValue input with its canonical metre unit and an appropriate non-invented evidence/assessment constraint. Do not invent a numeric distance threshold, since none is supplied.</x:v>
      </x:c>
      <x:c r="I5" s="81" t="n">
        <x:v>20360.595</x:v>
      </x:c>
      <x:c r="J5" s="81" t="n">
        <x:v>13370.574</x:v>
      </x:c>
    </x:row>
    <x:row r="6">
      <x:c r="A6" s="49" t="str">
        <x:v>RUN-IMO-075-20260829T215654992435Z</x:v>
      </x:c>
      <x:c r="B6" s="49" t="str">
        <x:v>IMO-075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calculation repair: the capacity check correctly uses the permitted integer equivalent capacity * 10 &gt;= personsOnBoard * 11. The candidate still encodes the proximity requirement as presence of a metre-valued distance only, which is a presence-only approximation and does not establish the required storage-location assessment/evidence for being as close as practical. Add a canonical, non-invented evidence or assessment term and constrain its required relationship to the ship-owned storage-distance/location finding; do not invent a numeric distance threshold. That canonical evidence/assessment concept is absent from the scoped terms, so locate it with the variable matcher.</x:v>
      </x:c>
      <x:c r="I6" s="83" t="n">
        <x:v>10372.82</x:v>
      </x:c>
      <x:c r="J6" s="83" t="n">
        <x:v>7235.943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e2ae2c38a40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RUN-IMO-075-20260829T215654992435Z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RUN-IMO-075-20260829T215654992435Z</x:v>
      </x:c>
      <x:c r="C5" s="45" t="str">
        <x:v>IMO-075</x:v>
      </x:c>
      <x:c r="D5" s="90" t="n">
        <x:v>46263.91476103009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20359.044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RUN-IMO-075-20260829T215654992435Z</x:v>
      </x:c>
      <x:c r="C6" s="47" t="str">
        <x:v>IMO-075</x:v>
      </x:c>
      <x:c r="D6" s="91" t="n">
        <x:v>46263.91476105324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20360.595</x:v>
      </x:c>
      <x:c r="L6" s="93" t="b">
        <x:v>0</x:v>
      </x:c>
      <x:c r="M6" s="47" t="str">
        <x:v>resp_0a475e5efb2bec67006a9355a7e63c8196a6edfe525f88a8c7</x:v>
      </x:c>
      <x:c r="N6" s="59" t="n">
        <x:v>6603</x:v>
      </x:c>
      <x:c r="O6" s="59" t="n">
        <x:v>1988</x:v>
      </x:c>
      <x:c r="P6" s="59" t="n">
        <x:v>8591</x:v>
      </x:c>
    </x:row>
    <x:row r="7">
      <x:c r="A7" s="47" t="str">
        <x:v>EVT-000023</x:v>
      </x:c>
      <x:c r="B7" s="47" t="str">
        <x:v>RUN-IMO-075-20260829T215654992435Z</x:v>
      </x:c>
      <x:c r="C7" s="47" t="str">
        <x:v>IMO-075</x:v>
      </x:c>
      <x:c r="D7" s="91" t="n">
        <x:v>46263.91491694444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13368.802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RUN-IMO-075-20260829T215654992435Z</x:v>
      </x:c>
      <x:c r="C8" s="47" t="str">
        <x:v>IMO-075</x:v>
      </x:c>
      <x:c r="D8" s="91" t="n">
        <x:v>46263.914916967595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13370.574</x:v>
      </x:c>
      <x:c r="L8" s="93" t="b">
        <x:v>0</x:v>
      </x:c>
      <x:c r="M8" s="47" t="str">
        <x:v>resp_02bb262d3422925f006a9355bb883481949fd8053f53870a8e</x:v>
      </x:c>
      <x:c r="N8" s="59" t="n">
        <x:v>5564</x:v>
      </x:c>
      <x:c r="O8" s="59" t="n">
        <x:v>1083</x:v>
      </x:c>
      <x:c r="P8" s="59" t="n">
        <x:v>6647</x:v>
      </x:c>
    </x:row>
    <x:row r="9">
      <x:c r="A9" s="47" t="str">
        <x:v>EVT-000029</x:v>
      </x:c>
      <x:c r="B9" s="47" t="str">
        <x:v>RUN-IMO-075-20260829T215654992435Z</x:v>
      </x:c>
      <x:c r="C9" s="47" t="str">
        <x:v>IMO-075</x:v>
      </x:c>
      <x:c r="D9" s="91" t="n">
        <x:v>46263.915037060186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10371.561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RUN-IMO-075-20260829T215654992435Z</x:v>
      </x:c>
      <x:c r="C10" s="47" t="str">
        <x:v>IMO-075</x:v>
      </x:c>
      <x:c r="D10" s="91" t="n">
        <x:v>46263.91503707176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10372.82</x:v>
      </x:c>
      <x:c r="L10" s="93" t="b">
        <x:v>0</x:v>
      </x:c>
      <x:c r="M10" s="47" t="str">
        <x:v>resp_0f5b96bf273356a5006a9355c8e69881978fcfedaf2a986142</x:v>
      </x:c>
      <x:c r="N10" s="59" t="n">
        <x:v>6722</x:v>
      </x:c>
      <x:c r="O10" s="59" t="n">
        <x:v>1316</x:v>
      </x:c>
      <x:c r="P10" s="59" t="n">
        <x:v>8038</x:v>
      </x:c>
    </x:row>
    <x:row r="11">
      <x:c r="A11" s="47" t="str">
        <x:v>EVT-000037</x:v>
      </x:c>
      <x:c r="B11" s="47" t="str">
        <x:v>RUN-IMO-075-20260829T215654992435Z</x:v>
      </x:c>
      <x:c r="C11" s="47" t="str">
        <x:v>IMO-075</x:v>
      </x:c>
      <x:c r="D11" s="91" t="n">
        <x:v>46263.9151225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7234.486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RUN-IMO-075-20260829T215654992435Z</x:v>
      </x:c>
      <x:c r="C12" s="47" t="str">
        <x:v>IMO-075</x:v>
      </x:c>
      <x:c r="D12" s="91" t="n">
        <x:v>46263.91512252315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7235.943</x:v>
      </x:c>
      <x:c r="L12" s="93" t="b">
        <x:v>0</x:v>
      </x:c>
      <x:c r="M12" s="47" t="str">
        <x:v>resp_017e75aaf6d88a1e006a9355d3742c819388f94bfcbb426cd3</x:v>
      </x:c>
      <x:c r="N12" s="59" t="n">
        <x:v>6104</x:v>
      </x:c>
      <x:c r="O12" s="59" t="n">
        <x:v>662</x:v>
      </x:c>
      <x:c r="P12" s="59" t="n">
        <x:v>6766</x:v>
      </x:c>
    </x:row>
    <x:row r="13">
      <x:c r="A13" s="47" t="str">
        <x:v>EVT-000044</x:v>
      </x:c>
      <x:c r="B13" s="47" t="str">
        <x:v>RUN-IMO-075-20260829T215654992435Z</x:v>
      </x:c>
      <x:c r="C13" s="47" t="str">
        <x:v>IMO-075</x:v>
      </x:c>
      <x:c r="D13" s="91" t="n">
        <x:v>46263.91514857639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1078.74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RUN-IMO-075-20260829T215654992435Z</x:v>
      </x:c>
      <x:c r="C14" s="49" t="str">
        <x:v>IMO-075</x:v>
      </x:c>
      <x:c r="D14" s="94" t="n">
        <x:v>46263.91514858796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1079.414</x:v>
      </x:c>
      <x:c r="L14" s="82" t="b">
        <x:v>0</x:v>
      </x:c>
      <x:c r="M14" s="49" t="str">
        <x:v>resp_07cdb0b432f3052a006a9355dbd4d0819093e7928220e9d12f</x:v>
      </x:c>
      <x:c r="N14" s="60" t="n">
        <x:v>1663</x:v>
      </x:c>
      <x:c r="O14" s="60" t="n">
        <x:v>65</x:v>
      </x:c>
      <x:c r="P14" s="60" t="n">
        <x:v>1728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31ec63d85142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RUN-IMO-075-20260829T215654992435Z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RUN-IMO-075-20260829T215654992435Z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RUN-IMO-075-20260829T215654992435Z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RUN-IMO-075-20260829T215654992435Z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RUN-IMO-075-20260829T215654992435Z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RUN-IMO-075-20260829T215654992435Z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RUN-IMO-075-20260829T215654992435Z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RUN-IMO-075-20260829T215654992435Z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b7d0b86aba4c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RUN-IMO-075-20260829T215654992435Z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RUN-IMO-075-20260829T215654992435Z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RUN-IMO-075-20260829T215654992435Z</x:v>
      </x:c>
      <x:c r="B6" s="49" t="str">
        <x:v>IMO-075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4ac2f0260645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RUN-IMO-075-20260829T215654992435Z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RUN-IMO-075-20260829T215654992435Z</x:v>
      </x:c>
      <x:c r="B5" s="45" t="str">
        <x:v>IMO-075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46" t="str"/>
      <x:c r="P5" s="46" t="str"/>
      <x:c r="Q5" s="46" t="str"/>
    </x:row>
    <x:row r="6">
      <x:c r="A6" s="49" t="str">
        <x:v>RUN-IMO-075-20260829T215654992435Z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 | https://w3id.org/nltl/vocab#storageDistanceToMusterOrEmbarkation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086b9de9a1d47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RUN-IMO-075-20260829T215654992435Z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RUN-IMO-075-20260829T215654992435Z</x:v>
      </x:c>
      <x:c r="B5" s="45" t="str">
        <x:v>IMO-075</x:v>
      </x:c>
      <x:c r="C5" s="58" t="n">
        <x:v>2</x:v>
      </x:c>
      <x:c r="D5" s="45" t="str">
        <x:v>matcher_search</x:v>
      </x:c>
      <x:c r="E5" s="46" t="str">
        <x:v>Preserve the prior calculation repair: the capacity check correctly uses the permitted integer equivalent capacity * 10 &gt;= personsOnBoard * 11. The candidate still encodes the proximity requirement as presence of a metre-valued distance only, which is a presence-only approximation and does not establish the required storage-location assessment/evidence for being as close as practical. Add a canonical, non-invented evidence or assessment term and constrain its required relationship to the ship-owned storage-distance/location finding; do not invent a numeric distance threshold. That canonical evidence/assessment concept is absent from the scoped terms, so locate it with the variable matcher.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RUN-IMO-075-20260829T215654992435Z</x:v>
      </x:c>
      <x:c r="B6" s="49" t="str">
        <x:v>IMO-075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57e97a9a6a42435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RUN-IMO-075-20260829T215654992435Z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RUN-IMO-075-20260829T215654992435Z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RUN-IMO-075-20260829T215654992435Z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RUN-IMO-075-20260829T215654992435Z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RUN-IMO-075-20260829T215654992435Z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52a276c316b1b31e9ee0cf856e1c1ca42e88e09c88afe0742cb0d700507a9e64</x:v>
      </x:c>
      <x:c r="G8" s="59" t="n">
        <x:v>2255</x:v>
      </x:c>
    </x:row>
    <x:row r="9">
      <x:c r="A9" s="47" t="str">
        <x:v>RUN-IMO-075-20260829T215654992435Z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8bbf51c5004c3bdb9cba311a9c7ac101168e73bee094b76c0b2cd9f902fdee3a</x:v>
      </x:c>
      <x:c r="G9" s="59" t="n">
        <x:v>2230</x:v>
      </x:c>
    </x:row>
    <x:row r="10">
      <x:c r="A10" s="47" t="str">
        <x:v>RUN-IMO-075-20260829T215654992435Z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e68f9e23f0d12a60f07b1da908dfd825b2ea86b7edeb324fcbd653486527f58b</x:v>
      </x:c>
      <x:c r="G10" s="59" t="n">
        <x:v>687</x:v>
      </x:c>
    </x:row>
    <x:row r="11">
      <x:c r="A11" s="47" t="str">
        <x:v>RUN-IMO-075-20260829T215654992435Z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f0285087f0988e88d7ac2ba49176294d507e5ccded086c50cdd75915efbd4326</x:v>
      </x:c>
      <x:c r="G11" s="59" t="n">
        <x:v>23619</x:v>
      </x:c>
    </x:row>
    <x:row r="12">
      <x:c r="A12" s="47" t="str">
        <x:v>RUN-IMO-075-20260829T215654992435Z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80331c7b6ff46a5dfbc168d74d2cba9aa62659097600884334adc1a1495fe759</x:v>
      </x:c>
      <x:c r="G12" s="59" t="n">
        <x:v>668</x:v>
      </x:c>
    </x:row>
    <x:row r="13">
      <x:c r="A13" s="47" t="str">
        <x:v>RUN-IMO-075-20260829T215654992435Z</x:v>
      </x:c>
      <x:c r="B13" s="47" t="str">
        <x:v>IMO-075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9202f81d83f5f2964cf88d4bc63e4ba8300008d24b95f0aebb54bd5855ea0044</x:v>
      </x:c>
      <x:c r="G13" s="59" t="n">
        <x:v>28985</x:v>
      </x:c>
    </x:row>
    <x:row r="14">
      <x:c r="A14" s="47" t="str">
        <x:v>RUN-IMO-075-20260829T215654992435Z</x:v>
      </x:c>
      <x:c r="B14" s="47" t="str">
        <x:v>IMO-075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86c32c94b020dad17049006f3f7ed1da03460f72b5ada1f0f3c2c7a6d06aae6a</x:v>
      </x:c>
      <x:c r="G14" s="59" t="n">
        <x:v>3683</x:v>
      </x:c>
    </x:row>
    <x:row r="15">
      <x:c r="A15" s="47" t="str">
        <x:v>RUN-IMO-075-20260829T215654992435Z</x:v>
      </x:c>
      <x:c r="B15" s="47" t="str">
        <x:v>IMO-075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eaa858feb42d706559efc94a1bce6945454479dfc6a5cf97317e779fd4730199</x:v>
      </x:c>
      <x:c r="G15" s="59" t="n">
        <x:v>3658</x:v>
      </x:c>
    </x:row>
    <x:row r="16">
      <x:c r="A16" s="47" t="str">
        <x:v>RUN-IMO-075-20260829T215654992435Z</x:v>
      </x:c>
      <x:c r="B16" s="47" t="str">
        <x:v>IMO-075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66c761898b17a3347a60d21ede941b2081005311168c5dbe98581d53ba8ac645</x:v>
      </x:c>
      <x:c r="G16" s="59" t="n">
        <x:v>759</x:v>
      </x:c>
    </x:row>
    <x:row r="17">
      <x:c r="A17" s="47" t="str">
        <x:v>RUN-IMO-075-20260829T215654992435Z</x:v>
      </x:c>
      <x:c r="B17" s="47" t="str">
        <x:v>IMO-075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5b939835b32e0981508882879305ca38c66338c028ec397837bb8e2c312340c9</x:v>
      </x:c>
      <x:c r="G17" s="59" t="n">
        <x:v>26231</x:v>
      </x:c>
    </x:row>
    <x:row r="18">
      <x:c r="A18" s="47" t="str">
        <x:v>RUN-IMO-075-20260829T215654992435Z</x:v>
      </x:c>
      <x:c r="B18" s="47" t="str">
        <x:v>IMO-075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5d83b7f892dad391736522f7c4e9bc8fd5ea5b4537a3f41acf501d6ee2371fa3</x:v>
      </x:c>
      <x:c r="G18" s="59" t="n">
        <x:v>761</x:v>
      </x:c>
    </x:row>
    <x:row r="19">
      <x:c r="A19" s="47" t="str">
        <x:v>RUN-IMO-075-20260829T215654992435Z</x:v>
      </x:c>
      <x:c r="B19" s="47" t="str">
        <x:v>IMO-075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8c995d8170014c18155349c9c9951b924bc715ea2b88aea94d797217446b6d39</x:v>
      </x:c>
      <x:c r="G19" s="59" t="n">
        <x:v>1457</x:v>
      </x:c>
    </x:row>
    <x:row r="20">
      <x:c r="A20" s="47" t="str">
        <x:v>RUN-IMO-075-20260829T215654992435Z</x:v>
      </x:c>
      <x:c r="B20" s="47" t="str">
        <x:v>IMO-075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25d881eaac1b42738adce8a289600d2d5812b2182bd332fe88485281de27fd86</x:v>
      </x:c>
      <x:c r="G20" s="59" t="n">
        <x:v>6873</x:v>
      </x:c>
    </x:row>
    <x:row r="21">
      <x:c r="A21" s="49" t="str">
        <x:v>RUN-IMO-075-20260829T215654992435Z</x:v>
      </x:c>
      <x:c r="B21" s="49" t="str">
        <x:v>IMO-075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52c7b54476ef49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RUN-IMO-075-20260829T215654992435Z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RUN-IMO-075-20260829T215654992435Z</x:v>
      </x:c>
      <x:c r="B5" s="69" t="str">
        <x:v>IMO-075</x:v>
      </x:c>
      <x:c r="C5" s="71" t="n">
        <x:v>2</x:v>
      </x:c>
      <x:c r="D5" s="69" t="str">
        <x:v>TERM_RESOLUTION_UNRESOLVED</x:v>
      </x:c>
      <x:c r="E5" s="73" t="str">
        <x:v>Preserve the prior calculation repair: the capacity check correctly uses the permitted integer equivalent capacity * 10 &gt;= personsOnBoard * 11. The candidate still encodes the proximity requirement as presence of a metre-valued distance only, which is a presence-only approximation and does not establish the required storage-location assessment/evidence for being as close as practical. Add a canonical, non-invented evidence or assessment term and constrain its required relationship to the ship-owned storage-distance/location finding; do not invent a numeric distance threshold. That canonical evidence/assessment concept is absent from the scoped terms, so locate it with the variable matcher.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34c05f8cf435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RUN-IMO-075-20260829T215654992435Z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