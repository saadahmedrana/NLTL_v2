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7274a8141ea44a8a" /></Relationships>
</file>

<file path=xl/workbook.xml><?xml version="1.0" encoding="utf-8"?>
<x:workbook xmlns:x="http://schemas.openxmlformats.org/spreadsheetml/2006/main">
  <x:sheets>
    <x:sheet xmlns:r="http://schemas.openxmlformats.org/officeDocument/2006/relationships" name="SUMMARY" sheetId="1" r:id="Rb3231c874f9e45b0"/>
    <x:sheet xmlns:r="http://schemas.openxmlformats.org/officeDocument/2006/relationships" name="README" sheetId="2" r:id="Raf39c6e0eeed4cc6"/>
    <x:sheet xmlns:r="http://schemas.openxmlformats.org/officeDocument/2006/relationships" name="REGULATION_QUEUE" sheetId="3" r:id="Rfce05487878443db"/>
    <x:sheet xmlns:r="http://schemas.openxmlformats.org/officeDocument/2006/relationships" name="RUNS" sheetId="4" r:id="R207a56a017194260"/>
    <x:sheet xmlns:r="http://schemas.openxmlformats.org/officeDocument/2006/relationships" name="ITERATIONS" sheetId="5" r:id="R6aece2e5f81e4c70"/>
    <x:sheet xmlns:r="http://schemas.openxmlformats.org/officeDocument/2006/relationships" name="API_CALLS" sheetId="6" r:id="R0247a651610b49bc"/>
    <x:sheet xmlns:r="http://schemas.openxmlformats.org/officeDocument/2006/relationships" name="TERM_RETRIEVAL" sheetId="7" r:id="Ra1ccfe1a65fc4b52"/>
    <x:sheet xmlns:r="http://schemas.openxmlformats.org/officeDocument/2006/relationships" name="FEW_SHOT_SELECTION" sheetId="8" r:id="R4f97c8a30a1842a6"/>
    <x:sheet xmlns:r="http://schemas.openxmlformats.org/officeDocument/2006/relationships" name="VALIDATION" sheetId="9" r:id="R7ab9d700d538404b"/>
    <x:sheet xmlns:r="http://schemas.openxmlformats.org/officeDocument/2006/relationships" name="VOCAB_MATCHES" sheetId="10" r:id="R410c600da3684d37"/>
    <x:sheet xmlns:r="http://schemas.openxmlformats.org/officeDocument/2006/relationships" name="ARTIFACTS" sheetId="11" r:id="Rcf50e813bf9d437f"/>
    <x:sheet xmlns:r="http://schemas.openxmlformats.org/officeDocument/2006/relationships" name="UNRESOLVED" sheetId="12" r:id="Rd8174595da9242bc"/>
    <x:sheet xmlns:r="http://schemas.openxmlformats.org/officeDocument/2006/relationships" name="RDF_TEST_QUEUE" sheetId="13" r:id="R8f951dc805b74d01"/>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2"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5394a2c5992347e2" /><Relationship Type="http://schemas.openxmlformats.org/officeDocument/2006/relationships/theme" Target="/xl/theme/theme1.xml" Id="R302425e4d88e46d3" /><Relationship Type="http://schemas.microsoft.com/office/2022/11/relationships/FeaturePropertyBag" Target="/xl/featurePropertyBag/featurePropertyBag.xml" Id="R0f51d933757043bb" /><Relationship Type="http://schemas.openxmlformats.org/officeDocument/2006/relationships/sharedStrings" Target="/xl/sharedStrings.xml" Id="Re8e4c46c7cbc4494" /><Relationship Type="http://schemas.openxmlformats.org/officeDocument/2006/relationships/worksheet" Target="/xl/worksheets/sheet1.xml" Id="Rb3231c874f9e45b0" /><Relationship Type="http://schemas.openxmlformats.org/officeDocument/2006/relationships/worksheet" Target="/xl/worksheets/sheet2.xml" Id="Raf39c6e0eeed4cc6" /><Relationship Type="http://schemas.openxmlformats.org/officeDocument/2006/relationships/worksheet" Target="/xl/worksheets/sheet3.xml" Id="Rfce05487878443db" /><Relationship Type="http://schemas.openxmlformats.org/officeDocument/2006/relationships/worksheet" Target="/xl/worksheets/sheet4.xml" Id="R207a56a017194260" /><Relationship Type="http://schemas.openxmlformats.org/officeDocument/2006/relationships/worksheet" Target="/xl/worksheets/sheet5.xml" Id="R6aece2e5f81e4c70" /><Relationship Type="http://schemas.openxmlformats.org/officeDocument/2006/relationships/worksheet" Target="/xl/worksheets/sheet6.xml" Id="R0247a651610b49bc" /><Relationship Type="http://schemas.openxmlformats.org/officeDocument/2006/relationships/worksheet" Target="/xl/worksheets/sheet7.xml" Id="Ra1ccfe1a65fc4b52" /><Relationship Type="http://schemas.openxmlformats.org/officeDocument/2006/relationships/worksheet" Target="/xl/worksheets/sheet8.xml" Id="R4f97c8a30a1842a6" /><Relationship Type="http://schemas.openxmlformats.org/officeDocument/2006/relationships/worksheet" Target="/xl/worksheets/sheet9.xml" Id="R7ab9d700d538404b" /><Relationship Type="http://schemas.openxmlformats.org/officeDocument/2006/relationships/worksheet" Target="/xl/worksheets/sheet10.xml" Id="R410c600da3684d37" /><Relationship Type="http://schemas.openxmlformats.org/officeDocument/2006/relationships/worksheet" Target="/xl/worksheets/sheet11.xml" Id="Rcf50e813bf9d437f" /><Relationship Type="http://schemas.openxmlformats.org/officeDocument/2006/relationships/worksheet" Target="/xl/worksheets/sheet12.xml" Id="Rd8174595da9242bc" /><Relationship Type="http://schemas.openxmlformats.org/officeDocument/2006/relationships/worksheet" Target="/xl/worksheets/sheet13.xml" Id="R8f951dc805b74d01"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6"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4"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53"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6"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9_VOCABMATCHES" displayName="T9_VOCABMATCHES" ref="A4:J6" headerRowCount="1" totalsRowCount="0" totalsRowShown="0">
  <x:tableColumns count="10">
    <x:tableColumn id="1" name="RUN_ID"/>
    <x:tableColumn id="2" name="REQUIREMENT_ID"/>
    <x:tableColumn id="3" name="ITERATION"/>
    <x:tableColumn id="4" name="EVENT"/>
    <x:tableColumn id="5" name="QUERY_FEEDBACK"/>
    <x:tableColumn id="6" name="CANDIDATE_COUNT"/>
    <x:tableColumn id="7" name="MATCH_FOUND"/>
    <x:tableColumn id="8" name="CANONICAL_LOCAL_NAME"/>
    <x:tableColumn id="9" name="CANONICAL_IRI"/>
    <x:tableColumn id="10" name="FEEDBACK_APPENDIX"/>
  </x:tableColumns>
  <x:tableStyleInfo name="TableStyleMedium2" showFirstColumn="0" showLastColumn="0" showRowStripes="1" showColumnStripes="0"/>
</x:table>
</file>

<file path=xl/tables/table10.xml><?xml version="1.0" encoding="utf-8"?>
<x:table xmlns:x="http://schemas.openxmlformats.org/spreadsheetml/2006/main" id="10" name="T10_ARTIFACTS" displayName="T10_ARTIFACTS" ref="A4:G23"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1.xml><?xml version="1.0" encoding="utf-8"?>
<x:table xmlns:x="http://schemas.openxmlformats.org/spreadsheetml/2006/main" id="11"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d9616f1545db47ba" /></Relationships>
</file>

<file path=xl/worksheets/_rels/sheet3.xml.rels>&#65279;<?xml version="1.0" encoding="utf-8"?><Relationships xmlns="http://schemas.openxmlformats.org/package/2006/relationships"><Relationship Type="http://schemas.openxmlformats.org/officeDocument/2006/relationships/table" Target="/xl/tables/table2.xml" Id="R6e4255ee3452476a" /></Relationships>
</file>

<file path=xl/worksheets/_rels/sheet4.xml.rels>&#65279;<?xml version="1.0" encoding="utf-8"?><Relationships xmlns="http://schemas.openxmlformats.org/package/2006/relationships"><Relationship Type="http://schemas.openxmlformats.org/officeDocument/2006/relationships/table" Target="/xl/tables/table3.xml" Id="Rc7d96905d70744b9" /></Relationships>
</file>

<file path=xl/worksheets/_rels/sheet5.xml.rels>&#65279;<?xml version="1.0" encoding="utf-8"?><Relationships xmlns="http://schemas.openxmlformats.org/package/2006/relationships"><Relationship Type="http://schemas.openxmlformats.org/officeDocument/2006/relationships/table" Target="/xl/tables/table4.xml" Id="Rfe5d60a2888c455e" /></Relationships>
</file>

<file path=xl/worksheets/_rels/sheet6.xml.rels>&#65279;<?xml version="1.0" encoding="utf-8"?><Relationships xmlns="http://schemas.openxmlformats.org/package/2006/relationships"><Relationship Type="http://schemas.openxmlformats.org/officeDocument/2006/relationships/table" Target="/xl/tables/table5.xml" Id="R0dcf70c9ccfe4f4c" /></Relationships>
</file>

<file path=xl/worksheets/_rels/sheet7.xml.rels>&#65279;<?xml version="1.0" encoding="utf-8"?><Relationships xmlns="http://schemas.openxmlformats.org/package/2006/relationships"><Relationship Type="http://schemas.openxmlformats.org/officeDocument/2006/relationships/table" Target="/xl/tables/table6.xml" Id="R193e5c33f6224bd6" /></Relationships>
</file>

<file path=xl/worksheets/_rels/sheet8.xml.rels>&#65279;<?xml version="1.0" encoding="utf-8"?><Relationships xmlns="http://schemas.openxmlformats.org/package/2006/relationships"><Relationship Type="http://schemas.openxmlformats.org/officeDocument/2006/relationships/table" Target="/xl/tables/table7.xml" Id="Rfd27fc0a7a1d472b" /></Relationships>
</file>

<file path=xl/worksheets/_rels/sheet9.xml.rels>&#65279;<?xml version="1.0" encoding="utf-8"?><Relationships xmlns="http://schemas.openxmlformats.org/package/2006/relationships"><Relationship Type="http://schemas.openxmlformats.org/officeDocument/2006/relationships/table" Target="/xl/tables/table8.xml" Id="Rd0470006d8db472c" /></Relationships>
</file>

<file path=xl/worksheets/_rels/sheet10.xml.rels>&#65279;<?xml version="1.0" encoding="utf-8"?><Relationships xmlns="http://schemas.openxmlformats.org/package/2006/relationships"><Relationship Type="http://schemas.openxmlformats.org/officeDocument/2006/relationships/table" Target="/xl/tables/table9.xml" Id="R83ccec2066234acb" /></Relationships>
</file>

<file path=xl/worksheets/_rels/sheet11.xml.rels>&#65279;<?xml version="1.0" encoding="utf-8"?><Relationships xmlns="http://schemas.openxmlformats.org/package/2006/relationships"><Relationship Type="http://schemas.openxmlformats.org/officeDocument/2006/relationships/table" Target="/xl/tables/table10.xml" Id="R572c2c8aef7f4bdd" /></Relationships>
</file>

<file path=xl/worksheets/_rels/sheet13.xml.rels>&#65279;<?xml version="1.0" encoding="utf-8"?><Relationships xmlns="http://schemas.openxmlformats.org/package/2006/relationships"><Relationship Type="http://schemas.openxmlformats.org/officeDocument/2006/relationships/table" Target="/xl/tables/table11.xml" Id="R245a4a5b21a0431a"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RUN-IMO-119-20260829T224043639559Z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COUNTA('API_CALLS'!$A$5:$A$14)</x:f>
        <x:v>10</x:v>
      </x:c>
      <x:c r="C9" s="21"/>
      <x:c r="D9" s="21"/>
    </x:row>
    <x:row r="10">
      <x:c r="A10" s="27" t="str">
        <x:v>Mean API/LLM elapsed ms</x:v>
      </x:c>
      <x:c r="B10" s="28" t="n">
        <x:f>IFERROR(AVERAGE('API_CALLS'!$K$5:$K$14),0)</x:f>
        <x:v>13632.1688</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RUN-IMO-119-20260829T224043639559Z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d9616f1545db47ba"/>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RUN-IMO-119-20260829T224043639559Z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GENERATION_ACCEPTED</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6e4255ee3452476a"/>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RUN-IMO-119-20260829T224043639559Z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SESSION-BATCH-20260829T200425712334Z</x:v>
      </x:c>
      <x:c r="B5" s="69" t="str">
        <x:v>RUN-IMO-119-20260829T224043639559Z</x:v>
      </x:c>
      <x:c r="C5" s="69" t="str">
        <x:v>IMO-119</x:v>
      </x:c>
      <x:c r="D5" s="70" t="n">
        <x:v>46263.944949537035</x:v>
      </x:c>
      <x:c r="E5" s="70" t="n">
        <x:v>46263.9457550463</x:v>
      </x:c>
      <x:c r="F5" s="69" t="str">
        <x:v>final-luna-main-run06</x:v>
      </x:c>
      <x:c r="G5" s="69" t="str">
        <x:v>VOCAB-LOCK-2026-08-22-R13</x:v>
      </x:c>
      <x:c r="H5" s="71" t="n">
        <x:v>2</x:v>
      </x:c>
      <x:c r="I5" s="69" t="str">
        <x:v>GENERATION_ACCEPTED</x:v>
      </x:c>
      <x:c r="J5" s="72" t="b">
        <x:v>1</x:v>
      </x:c>
      <x:c r="K5" s="69" t="str">
        <x:v>final/final_shape.ttl</x:v>
      </x:c>
      <x:c r="L5" s="73" t="str">
        <x:v>The candidate faithfully encodes the COMPLETE DIRECT_STATIC requirement: applicability uses the required category, &gt;1 unitless decimal ice concentration, extended operation, and discharge conditions; all declared direct constraint terms are enforced on the ship; compliant and approved controlled values are checked exactly; and the conditional failure logic does not permit missing or nonconforming evidence to pass.</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c7d96905d70744b9"/>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9"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RUN-IMO-119-20260829T224043639559Z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RUN-IMO-119-20260829T224043639559Z</x:v>
      </x:c>
      <x:c r="B5" s="45" t="str">
        <x:v>IMO-119</x:v>
      </x:c>
      <x:c r="C5" s="58" t="n">
        <x:v>1</x:v>
      </x:c>
      <x:c r="D5" s="80" t="b">
        <x:v>1</x:v>
      </x:c>
      <x:c r="E5" s="80" t="b">
        <x:v>0</x:v>
      </x:c>
      <x:c r="F5" s="80" t="b">
        <x:v>1</x:v>
      </x:c>
      <x:c r="G5" s="45" t="str">
        <x:v>REVISE_WITH_MATCH</x:v>
      </x:c>
      <x:c r="H5" s="46" t="str">
        <x:v>The conditional check is not semantically faithful: it treats any nltl:evidenceState as satisfying the MARPOL Annex IV certification requirement, whereas the requirement requires the certification status to be compliant. Use the canonical controlled value for compliant (the supplied scoped vocabulary does not provide one, so locate it with the matcher) and require exact equality. Also enforce every declared directConstraintTerm in the COMPLETE contract, including marpolCertificationStatus, or remove it only if the contract is corrected; currently that property is merely shaped and never checked. Preserve the existing applicability conjunction and the &gt; 1 unitless decimal threshold.</x:v>
      </x:c>
      <x:c r="I5" s="81" t="n">
        <x:v>20846.325</x:v>
      </x:c>
      <x:c r="J5" s="81" t="n">
        <x:v>10024.272</x:v>
      </x:c>
    </x:row>
    <x:row r="6">
      <x:c r="A6" s="49" t="str">
        <x:v>RUN-IMO-119-20260829T224043639559Z</x:v>
      </x:c>
      <x:c r="B6" s="49" t="str">
        <x:v>IMO-119</x:v>
      </x:c>
      <x:c r="C6" s="60" t="n">
        <x:v>2</x:v>
      </x:c>
      <x:c r="D6" s="82" t="b">
        <x:v>1</x:v>
      </x:c>
      <x:c r="E6" s="82" t="b">
        <x:v>1</x:v>
      </x:c>
      <x:c r="F6" s="82" t="b">
        <x:v>0</x:v>
      </x:c>
      <x:c r="G6" s="49" t="str">
        <x:v>ACCEPT</x:v>
      </x:c>
      <x:c r="H6" s="50" t="str">
        <x:v>The candidate faithfully encodes the COMPLETE DIRECT_STATIC requirement: applicability uses the required category, &gt;1 unitless decimal ice concentration, extended operation, and discharge conditions; all declared direct constraint terms are enforced on the ship; compliant and approved controlled values are checked exactly; and the conditional failure logic does not permit missing or nonconforming evidence to pass.</x:v>
      </x:c>
      <x:c r="I6" s="83" t="n">
        <x:v>25693.568</x:v>
      </x:c>
      <x:c r="J6" s="83" t="n">
        <x:v>9937.636</x:v>
      </x:c>
    </x:row>
  </x:sheetData>
  <x:conditionalFormatting sqref="G5:G6">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fe5d60a2888c455e"/>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20"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RUN-IMO-119-20260829T224043639559Z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EVT-000032</x:v>
      </x:c>
      <x:c r="B5" s="45" t="str">
        <x:v>RUN-IMO-119-20260829T224043639559Z</x:v>
      </x:c>
      <x:c r="C5" s="45" t="str">
        <x:v>IMO-119</x:v>
      </x:c>
      <x:c r="D5" s="90" t="n">
        <x:v>46263.945190833336</x:v>
      </x:c>
      <x:c r="E5" s="45" t="str">
        <x:v>generator</x:v>
      </x:c>
      <x:c r="F5" s="45" t="str">
        <x:v>gpt-5.6-luna-2026-07-09</x:v>
      </x:c>
      <x:c r="G5" s="45" t="n">
        <x:v>1</x:v>
      </x:c>
      <x:c r="H5" s="45" t="n">
        <x:v>200</x:v>
      </x:c>
      <x:c r="I5" s="45" t="str">
        <x:v>Ocp-Apim-Subscription-Key</x:v>
      </x:c>
      <x:c r="J5" s="81" t="n">
        <x:v>0</x:v>
      </x:c>
      <x:c r="K5" s="81" t="n">
        <x:v>20844.726</x:v>
      </x:c>
      <x:c r="L5" s="80" t="b">
        <x:v>0</x:v>
      </x:c>
      <x:c r="M5" s="45" t="str"/>
      <x:c r="N5" s="58" t="str"/>
      <x:c r="O5" s="58" t="str"/>
      <x:c r="P5" s="58" t="str"/>
    </x:row>
    <x:row r="6">
      <x:c r="A6" s="47" t="str">
        <x:v>EVT-000033</x:v>
      </x:c>
      <x:c r="B6" s="47" t="str">
        <x:v>RUN-IMO-119-20260829T224043639559Z</x:v>
      </x:c>
      <x:c r="C6" s="47" t="str">
        <x:v>IMO-119</x:v>
      </x:c>
      <x:c r="D6" s="91" t="n">
        <x:v>46263.94519085648</x:v>
      </x:c>
      <x:c r="E6" s="47" t="str">
        <x:v>generator</x:v>
      </x:c>
      <x:c r="F6" s="47" t="str">
        <x:v>gpt-5.6-luna-2026-07-09</x:v>
      </x:c>
      <x:c r="G6" s="47" t="n">
        <x:v>1</x:v>
      </x:c>
      <x:c r="H6" s="47" t="str">
        <x:v>COMPLETED</x:v>
      </x:c>
      <x:c r="I6" s="47" t="str"/>
      <x:c r="J6" s="92" t="n">
        <x:v>0</x:v>
      </x:c>
      <x:c r="K6" s="92" t="n">
        <x:v>20846.325</x:v>
      </x:c>
      <x:c r="L6" s="93" t="b">
        <x:v>0</x:v>
      </x:c>
      <x:c r="M6" s="47" t="str">
        <x:v>resp_0771bfd19bfc3d6a006a935febb6208190b4b637a949d14354</x:v>
      </x:c>
      <x:c r="N6" s="59" t="n">
        <x:v>11690</x:v>
      </x:c>
      <x:c r="O6" s="59" t="n">
        <x:v>2344</x:v>
      </x:c>
      <x:c r="P6" s="59" t="n">
        <x:v>14034</x:v>
      </x:c>
    </x:row>
    <x:row r="7">
      <x:c r="A7" s="47" t="str">
        <x:v>EVT-000040</x:v>
      </x:c>
      <x:c r="B7" s="47" t="str">
        <x:v>RUN-IMO-119-20260829T224043639559Z</x:v>
      </x:c>
      <x:c r="C7" s="47" t="str">
        <x:v>IMO-119</x:v>
      </x:c>
      <x:c r="D7" s="91" t="n">
        <x:v>46263.94530835648</x:v>
      </x:c>
      <x:c r="E7" s="47" t="str">
        <x:v>validator</x:v>
      </x:c>
      <x:c r="F7" s="47" t="str">
        <x:v>gpt-5.6-luna-2026-07-09</x:v>
      </x:c>
      <x:c r="G7" s="47" t="n">
        <x:v>1</x:v>
      </x:c>
      <x:c r="H7" s="47" t="n">
        <x:v>200</x:v>
      </x:c>
      <x:c r="I7" s="47" t="str">
        <x:v>Ocp-Apim-Subscription-Key</x:v>
      </x:c>
      <x:c r="J7" s="92" t="n">
        <x:v>0</x:v>
      </x:c>
      <x:c r="K7" s="92" t="n">
        <x:v>10022.576</x:v>
      </x:c>
      <x:c r="L7" s="93" t="b">
        <x:v>0</x:v>
      </x:c>
      <x:c r="M7" s="47" t="str"/>
      <x:c r="N7" s="59" t="str"/>
      <x:c r="O7" s="59" t="str"/>
      <x:c r="P7" s="59" t="str"/>
    </x:row>
    <x:row r="8">
      <x:c r="A8" s="47" t="str">
        <x:v>EVT-000041</x:v>
      </x:c>
      <x:c r="B8" s="47" t="str">
        <x:v>RUN-IMO-119-20260829T224043639559Z</x:v>
      </x:c>
      <x:c r="C8" s="47" t="str">
        <x:v>IMO-119</x:v>
      </x:c>
      <x:c r="D8" s="91" t="n">
        <x:v>46263.94530837963</x:v>
      </x:c>
      <x:c r="E8" s="47" t="str">
        <x:v>validator</x:v>
      </x:c>
      <x:c r="F8" s="47" t="str">
        <x:v>gpt-5.6-luna-2026-07-09</x:v>
      </x:c>
      <x:c r="G8" s="47" t="n">
        <x:v>1</x:v>
      </x:c>
      <x:c r="H8" s="47" t="str">
        <x:v>COMPLETED</x:v>
      </x:c>
      <x:c r="I8" s="47" t="str"/>
      <x:c r="J8" s="92" t="n">
        <x:v>0</x:v>
      </x:c>
      <x:c r="K8" s="92" t="n">
        <x:v>10024.272</x:v>
      </x:c>
      <x:c r="L8" s="93" t="b">
        <x:v>0</x:v>
      </x:c>
      <x:c r="M8" s="47" t="str">
        <x:v>resp_016dfa16d736f10b006a936000bf008194bcdad0992b0ad400</x:v>
      </x:c>
      <x:c r="N8" s="59" t="n">
        <x:v>11479</x:v>
      </x:c>
      <x:c r="O8" s="59" t="n">
        <x:v>912</x:v>
      </x:c>
      <x:c r="P8" s="59" t="n">
        <x:v>12391</x:v>
      </x:c>
    </x:row>
    <x:row r="9">
      <x:c r="A9" s="47" t="str">
        <x:v>EVT-000047</x:v>
      </x:c>
      <x:c r="B9" s="47" t="str">
        <x:v>RUN-IMO-119-20260829T224043639559Z</x:v>
      </x:c>
      <x:c r="C9" s="47" t="str">
        <x:v>IMO-119</x:v>
      </x:c>
      <x:c r="D9" s="91" t="n">
        <x:v>46263.94534119213</x:v>
      </x:c>
      <x:c r="E9" s="47" t="str">
        <x:v>vocabulary_matcher</x:v>
      </x:c>
      <x:c r="F9" s="47" t="str">
        <x:v>gpt-5.6-luna-2026-07-09</x:v>
      </x:c>
      <x:c r="G9" s="47" t="n">
        <x:v>1</x:v>
      </x:c>
      <x:c r="H9" s="47" t="n">
        <x:v>200</x:v>
      </x:c>
      <x:c r="I9" s="47" t="str">
        <x:v>Ocp-Apim-Subscription-Key</x:v>
      </x:c>
      <x:c r="J9" s="92" t="n">
        <x:v>0</x:v>
      </x:c>
      <x:c r="K9" s="92" t="n">
        <x:v>1661.556</x:v>
      </x:c>
      <x:c r="L9" s="93" t="b">
        <x:v>0</x:v>
      </x:c>
      <x:c r="M9" s="47" t="str"/>
      <x:c r="N9" s="59" t="str"/>
      <x:c r="O9" s="59" t="str"/>
      <x:c r="P9" s="59" t="str"/>
    </x:row>
    <x:row r="10">
      <x:c r="A10" s="47" t="str">
        <x:v>EVT-000048</x:v>
      </x:c>
      <x:c r="B10" s="47" t="str">
        <x:v>RUN-IMO-119-20260829T224043639559Z</x:v>
      </x:c>
      <x:c r="C10" s="47" t="str">
        <x:v>IMO-119</x:v>
      </x:c>
      <x:c r="D10" s="91" t="n">
        <x:v>46263.945341203704</x:v>
      </x:c>
      <x:c r="E10" s="47" t="str">
        <x:v>vocabulary_matcher</x:v>
      </x:c>
      <x:c r="F10" s="47" t="str">
        <x:v>gpt-5.6-luna-2026-07-09</x:v>
      </x:c>
      <x:c r="G10" s="47" t="n">
        <x:v>1</x:v>
      </x:c>
      <x:c r="H10" s="47" t="str">
        <x:v>COMPLETED</x:v>
      </x:c>
      <x:c r="I10" s="47" t="str"/>
      <x:c r="J10" s="92" t="n">
        <x:v>0</x:v>
      </x:c>
      <x:c r="K10" s="92" t="n">
        <x:v>1662.295</x:v>
      </x:c>
      <x:c r="L10" s="93" t="b">
        <x:v>0</x:v>
      </x:c>
      <x:c r="M10" s="47" t="str">
        <x:v>resp_0e4a4a48e16e5089006a93600be5188196a2379f97e3581e78</x:v>
      </x:c>
      <x:c r="N10" s="59" t="n">
        <x:v>2083</x:v>
      </x:c>
      <x:c r="O10" s="59" t="n">
        <x:v>134</x:v>
      </x:c>
      <x:c r="P10" s="59" t="n">
        <x:v>2217</x:v>
      </x:c>
    </x:row>
    <x:row r="11">
      <x:c r="A11" s="47" t="str">
        <x:v>EVT-000080</x:v>
      </x:c>
      <x:c r="B11" s="47" t="str">
        <x:v>RUN-IMO-119-20260829T224043639559Z</x:v>
      </x:c>
      <x:c r="C11" s="47" t="str">
        <x:v>IMO-119</x:v>
      </x:c>
      <x:c r="D11" s="91" t="n">
        <x:v>46263.94563865741</x:v>
      </x:c>
      <x:c r="E11" s="47" t="str">
        <x:v>generator</x:v>
      </x:c>
      <x:c r="F11" s="47" t="str">
        <x:v>gpt-5.6-luna-2026-07-09</x:v>
      </x:c>
      <x:c r="G11" s="47" t="n">
        <x:v>1</x:v>
      </x:c>
      <x:c r="H11" s="47" t="n">
        <x:v>200</x:v>
      </x:c>
      <x:c r="I11" s="47" t="str">
        <x:v>Ocp-Apim-Subscription-Key</x:v>
      </x:c>
      <x:c r="J11" s="92" t="n">
        <x:v>0</x:v>
      </x:c>
      <x:c r="K11" s="92" t="n">
        <x:v>25692.495</x:v>
      </x:c>
      <x:c r="L11" s="93" t="b">
        <x:v>0</x:v>
      </x:c>
      <x:c r="M11" s="47" t="str"/>
      <x:c r="N11" s="59" t="str"/>
      <x:c r="O11" s="59" t="str"/>
      <x:c r="P11" s="59" t="str"/>
    </x:row>
    <x:row r="12">
      <x:c r="A12" s="47" t="str">
        <x:v>EVT-000081</x:v>
      </x:c>
      <x:c r="B12" s="47" t="str">
        <x:v>RUN-IMO-119-20260829T224043639559Z</x:v>
      </x:c>
      <x:c r="C12" s="47" t="str">
        <x:v>IMO-119</x:v>
      </x:c>
      <x:c r="D12" s="91" t="n">
        <x:v>46263.94563866898</x:v>
      </x:c>
      <x:c r="E12" s="47" t="str">
        <x:v>generator</x:v>
      </x:c>
      <x:c r="F12" s="47" t="str">
        <x:v>gpt-5.6-luna-2026-07-09</x:v>
      </x:c>
      <x:c r="G12" s="47" t="n">
        <x:v>1</x:v>
      </x:c>
      <x:c r="H12" s="47" t="str">
        <x:v>COMPLETED</x:v>
      </x:c>
      <x:c r="I12" s="47" t="str"/>
      <x:c r="J12" s="92" t="n">
        <x:v>0</x:v>
      </x:c>
      <x:c r="K12" s="92" t="n">
        <x:v>25693.568</x:v>
      </x:c>
      <x:c r="L12" s="93" t="b">
        <x:v>0</x:v>
      </x:c>
      <x:c r="M12" s="47" t="str">
        <x:v>resp_08a2ebd9f67e99f5006a93600d91dc8193bbc942bd09361442</x:v>
      </x:c>
      <x:c r="N12" s="59" t="n">
        <x:v>12070</x:v>
      </x:c>
      <x:c r="O12" s="59" t="n">
        <x:v>2383</x:v>
      </x:c>
      <x:c r="P12" s="59" t="n">
        <x:v>14453</x:v>
      </x:c>
    </x:row>
    <x:row r="13">
      <x:c r="A13" s="47" t="str">
        <x:v>EVT-000088</x:v>
      </x:c>
      <x:c r="B13" s="47" t="str">
        <x:v>RUN-IMO-119-20260829T224043639559Z</x:v>
      </x:c>
      <x:c r="C13" s="47" t="str">
        <x:v>IMO-119</x:v>
      </x:c>
      <x:c r="D13" s="91" t="n">
        <x:v>46263.94575497685</x:v>
      </x:c>
      <x:c r="E13" s="47" t="str">
        <x:v>validator</x:v>
      </x:c>
      <x:c r="F13" s="47" t="str">
        <x:v>gpt-5.6-luna-2026-07-09</x:v>
      </x:c>
      <x:c r="G13" s="47" t="n">
        <x:v>1</x:v>
      </x:c>
      <x:c r="H13" s="47" t="n">
        <x:v>200</x:v>
      </x:c>
      <x:c r="I13" s="47" t="str">
        <x:v>Ocp-Apim-Subscription-Key</x:v>
      </x:c>
      <x:c r="J13" s="92" t="n">
        <x:v>0</x:v>
      </x:c>
      <x:c r="K13" s="92" t="n">
        <x:v>9936.239</x:v>
      </x:c>
      <x:c r="L13" s="93" t="b">
        <x:v>0</x:v>
      </x:c>
      <x:c r="M13" s="47" t="str"/>
      <x:c r="N13" s="59" t="str"/>
      <x:c r="O13" s="59" t="str"/>
      <x:c r="P13" s="59" t="str"/>
    </x:row>
    <x:row r="14">
      <x:c r="A14" s="49" t="str">
        <x:v>EVT-000089</x:v>
      </x:c>
      <x:c r="B14" s="49" t="str">
        <x:v>RUN-IMO-119-20260829T224043639559Z</x:v>
      </x:c>
      <x:c r="C14" s="49" t="str">
        <x:v>IMO-119</x:v>
      </x:c>
      <x:c r="D14" s="94" t="n">
        <x:v>46263.945755</x:v>
      </x:c>
      <x:c r="E14" s="49" t="str">
        <x:v>validator</x:v>
      </x:c>
      <x:c r="F14" s="49" t="str">
        <x:v>gpt-5.6-luna-2026-07-09</x:v>
      </x:c>
      <x:c r="G14" s="49" t="n">
        <x:v>1</x:v>
      </x:c>
      <x:c r="H14" s="49" t="str">
        <x:v>COMPLETED</x:v>
      </x:c>
      <x:c r="I14" s="49" t="str"/>
      <x:c r="J14" s="83" t="n">
        <x:v>0</x:v>
      </x:c>
      <x:c r="K14" s="83" t="n">
        <x:v>9937.636</x:v>
      </x:c>
      <x:c r="L14" s="82" t="b">
        <x:v>0</x:v>
      </x:c>
      <x:c r="M14" s="49" t="str">
        <x:v>resp_0196da8e8941ac00006a9360275b008194baee7c686de4819c</x:v>
      </x:c>
      <x:c r="N14" s="60" t="n">
        <x:v>12057</x:v>
      </x:c>
      <x:c r="O14" s="60" t="n">
        <x:v>850</x:v>
      </x:c>
      <x:c r="P14" s="60" t="n">
        <x:v>12907</x:v>
      </x:c>
    </x:row>
  </x:sheetData>
  <x:conditionalFormatting sqref="H5:H14">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0dcf70c9ccfe4f4c"/>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RUN-IMO-119-20260829T224043639559Z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RUN-IMO-119-20260829T224043639559Z</x:v>
      </x:c>
      <x:c r="B5" s="45" t="str">
        <x:v>IMO-119</x:v>
      </x:c>
      <x:c r="C5" s="45" t="str">
        <x:v>administrationDischargeApprovalStatus</x:v>
      </x:c>
      <x:c r="D5" s="46" t="str">
        <x:v>https://w3id.org/nltl/vocab#administrationDischargeApprovalStatus</x:v>
      </x:c>
      <x:c r="E5" s="45" t="str">
        <x:v>ObjectProperty</x:v>
      </x:c>
      <x:c r="F5" s="45" t="str"/>
      <x:c r="G5" s="45" t="str">
        <x:v>https://w3id.org/nltl/vocab#evidenceState</x:v>
      </x:c>
      <x:c r="H5" s="45" t="str"/>
      <x:c r="I5" s="46" t="str">
        <x:v>linked by the locked 313-requirement index</x:v>
      </x:c>
      <x:c r="J5" s="45" t="n">
        <x:v>0</x:v>
      </x:c>
    </x:row>
    <x:row r="6">
      <x:c r="A6" s="47" t="str">
        <x:v>RUN-IMO-119-20260829T224043639559Z</x:v>
      </x:c>
      <x:c r="B6" s="47" t="str">
        <x:v>IMO-119</x:v>
      </x:c>
      <x:c r="C6" s="47" t="str">
        <x:v>approvedSewageTreatmentPlantUsed</x:v>
      </x:c>
      <x:c r="D6" s="48" t="str">
        <x:v>https://w3id.org/nltl/vocab#approvedSewageTreatmentPlantUsed</x:v>
      </x:c>
      <x:c r="E6" s="47" t="str">
        <x:v>DatatypeProperty</x:v>
      </x:c>
      <x:c r="F6" s="47" t="str">
        <x:v>xsd:boolean</x:v>
      </x:c>
      <x:c r="G6" s="47" t="str">
        <x:v>http://www.w3.org/2001/XMLSchema#boolean</x:v>
      </x:c>
      <x:c r="H6" s="47" t="str"/>
      <x:c r="I6" s="48" t="str">
        <x:v>linked by the locked 313-requirement index</x:v>
      </x:c>
      <x:c r="J6" s="47" t="n">
        <x:v>0</x:v>
      </x:c>
    </x:row>
    <x:row r="7">
      <x:c r="A7" s="47" t="str">
        <x:v>RUN-IMO-119-20260829T224043639559Z</x:v>
      </x:c>
      <x:c r="B7" s="47" t="str">
        <x:v>IMO-119</x:v>
      </x:c>
      <x:c r="C7" s="47" t="str">
        <x:v>benchmarkEntity</x:v>
      </x:c>
      <x:c r="D7" s="48" t="str">
        <x:v>https://w3id.org/nltl/vocab#benchmarkEntity</x:v>
      </x:c>
      <x:c r="E7" s="47" t="str">
        <x:v>Class</x:v>
      </x:c>
      <x:c r="F7" s="47" t="str"/>
      <x:c r="G7" s="47" t="str"/>
      <x:c r="H7" s="47" t="str"/>
      <x:c r="I7" s="48" t="str">
        <x:v>baseline target infrastructure; domain dependency of administrationDischargeApprovalStatus; domain dependency of approvedSewageTreatmentPlantUsed; domain dependency of extendedPeriodOperation; domain dependency of iceConcentration; domain dependency of marpolAnnexIvRegulation9Point1Point1Or9Point2Point1CertificationStatus; domain dependency of marpolCertificationStatus; domain dependency of sewageDischargeOccurs; domain dependency of shipCategory</x:v>
      </x:c>
      <x:c r="J7" s="47" t="n">
        <x:v>0</x:v>
      </x:c>
    </x:row>
    <x:row r="8">
      <x:c r="A8" s="47" t="str">
        <x:v>RUN-IMO-119-20260829T224043639559Z</x:v>
      </x:c>
      <x:c r="B8" s="47" t="str">
        <x:v>IMO-119</x:v>
      </x:c>
      <x:c r="C8" s="47" t="str">
        <x:v>evidenceState</x:v>
      </x:c>
      <x:c r="D8" s="48" t="str">
        <x:v>https://w3id.org/nltl/vocab#evidenceState</x:v>
      </x:c>
      <x:c r="E8" s="47" t="str">
        <x:v>Class</x:v>
      </x:c>
      <x:c r="F8" s="47" t="str"/>
      <x:c r="G8" s="47" t="str"/>
      <x:c r="H8" s="47" t="str"/>
      <x:c r="I8" s="48" t="str">
        <x:v>range dependency of administrationDischargeApprovalStatus; range dependency of marpolAnnexIvRegulation9Point1Point1Or9Point2Point1CertificationStatus; range dependency of marpolCertificationStatus</x:v>
      </x:c>
      <x:c r="J8" s="47" t="n">
        <x:v>0</x:v>
      </x:c>
    </x:row>
    <x:row r="9">
      <x:c r="A9" s="47" t="str">
        <x:v>RUN-IMO-119-20260829T224043639559Z</x:v>
      </x:c>
      <x:c r="B9" s="47" t="str">
        <x:v>IMO-119</x:v>
      </x:c>
      <x:c r="C9" s="47" t="str">
        <x:v>evidenceStateApproved</x:v>
      </x:c>
      <x:c r="D9" s="48" t="str">
        <x:v>https://w3id.org/nltl/vocab#evidenceStateApproved</x:v>
      </x:c>
      <x:c r="E9" s="47" t="str">
        <x:v>NamedIndividual</x:v>
      </x:c>
      <x:c r="F9" s="47" t="str"/>
      <x:c r="G9" s="47" t="str">
        <x:v>https://w3id.org/nltl/vocab#evidenceState</x:v>
      </x:c>
      <x:c r="H9" s="47" t="str"/>
      <x:c r="I9" s="48" t="str">
        <x:v>controlled value permitted by the range of administrationDischargeApprovalStatus; controlled value permitted by the range of marpolAnnexIvRegulation9Point1Point1Or9Point2Point1CertificationStatus; controlled value permitted by the range of marpolCertificationStatus</x:v>
      </x:c>
      <x:c r="J9" s="47" t="n">
        <x:v>0</x:v>
      </x:c>
    </x:row>
    <x:row r="10">
      <x:c r="A10" s="47" t="str">
        <x:v>RUN-IMO-119-20260829T224043639559Z</x:v>
      </x:c>
      <x:c r="B10" s="47" t="str">
        <x:v>IMO-119</x:v>
      </x:c>
      <x:c r="C10" s="47" t="str">
        <x:v>evidenceStateDraft</x:v>
      </x:c>
      <x:c r="D10" s="48" t="str">
        <x:v>https://w3id.org/nltl/vocab#evidenceStateDraft</x:v>
      </x:c>
      <x:c r="E10" s="47" t="str">
        <x:v>NamedIndividual</x:v>
      </x:c>
      <x:c r="F10" s="47" t="str"/>
      <x:c r="G10" s="47" t="str">
        <x:v>https://w3id.org/nltl/vocab#evidenceState</x:v>
      </x:c>
      <x:c r="H10" s="47" t="str"/>
      <x:c r="I10" s="48" t="str">
        <x:v>controlled value permitted by the range of administrationDischargeApprovalStatus; controlled value permitted by the range of marpolAnnexIvRegulation9Point1Point1Or9Point2Point1CertificationStatus; controlled value permitted by the range of marpolCertificationStatus</x:v>
      </x:c>
      <x:c r="J10" s="47" t="n">
        <x:v>0</x:v>
      </x:c>
    </x:row>
    <x:row r="11">
      <x:c r="A11" s="47" t="str">
        <x:v>RUN-IMO-119-20260829T224043639559Z</x:v>
      </x:c>
      <x:c r="B11" s="47" t="str">
        <x:v>IMO-119</x:v>
      </x:c>
      <x:c r="C11" s="47" t="str">
        <x:v>evidenceStateExpired</x:v>
      </x:c>
      <x:c r="D11" s="48" t="str">
        <x:v>https://w3id.org/nltl/vocab#evidenceStateExpired</x:v>
      </x:c>
      <x:c r="E11" s="47" t="str">
        <x:v>NamedIndividual</x:v>
      </x:c>
      <x:c r="F11" s="47" t="str"/>
      <x:c r="G11" s="47" t="str">
        <x:v>https://w3id.org/nltl/vocab#evidenceState</x:v>
      </x:c>
      <x:c r="H11" s="47" t="str"/>
      <x:c r="I11" s="48" t="str">
        <x:v>controlled value permitted by the range of administrationDischargeApprovalStatus; controlled value permitted by the range of marpolAnnexIvRegulation9Point1Point1Or9Point2Point1CertificationStatus; controlled value permitted by the range of marpolCertificationStatus</x:v>
      </x:c>
      <x:c r="J11" s="47" t="n">
        <x:v>0</x:v>
      </x:c>
    </x:row>
    <x:row r="12">
      <x:c r="A12" s="47" t="str">
        <x:v>RUN-IMO-119-20260829T224043639559Z</x:v>
      </x:c>
      <x:c r="B12" s="47" t="str">
        <x:v>IMO-119</x:v>
      </x:c>
      <x:c r="C12" s="47" t="str">
        <x:v>evidenceStateRejected</x:v>
      </x:c>
      <x:c r="D12" s="48" t="str">
        <x:v>https://w3id.org/nltl/vocab#evidenceStateRejected</x:v>
      </x:c>
      <x:c r="E12" s="47" t="str">
        <x:v>NamedIndividual</x:v>
      </x:c>
      <x:c r="F12" s="47" t="str"/>
      <x:c r="G12" s="47" t="str">
        <x:v>https://w3id.org/nltl/vocab#evidenceState</x:v>
      </x:c>
      <x:c r="H12" s="47" t="str"/>
      <x:c r="I12" s="48" t="str">
        <x:v>controlled value permitted by the range of administrationDischargeApprovalStatus; controlled value permitted by the range of marpolAnnexIvRegulation9Point1Point1Or9Point2Point1CertificationStatus; controlled value permitted by the range of marpolCertificationStatus</x:v>
      </x:c>
      <x:c r="J12" s="47" t="n">
        <x:v>0</x:v>
      </x:c>
    </x:row>
    <x:row r="13">
      <x:c r="A13" s="47" t="str">
        <x:v>RUN-IMO-119-20260829T224043639559Z</x:v>
      </x:c>
      <x:c r="B13" s="47" t="str">
        <x:v>IMO-119</x:v>
      </x:c>
      <x:c r="C13" s="47" t="str">
        <x:v>evidenceStateRevoked</x:v>
      </x:c>
      <x:c r="D13" s="48" t="str">
        <x:v>https://w3id.org/nltl/vocab#evidenceStateRevoked</x:v>
      </x:c>
      <x:c r="E13" s="47" t="str">
        <x:v>NamedIndividual</x:v>
      </x:c>
      <x:c r="F13" s="47" t="str"/>
      <x:c r="G13" s="47" t="str">
        <x:v>https://w3id.org/nltl/vocab#evidenceState</x:v>
      </x:c>
      <x:c r="H13" s="47" t="str"/>
      <x:c r="I13" s="48" t="str">
        <x:v>controlled value permitted by the range of administrationDischargeApprovalStatus; controlled value permitted by the range of marpolAnnexIvRegulation9Point1Point1Or9Point2Point1CertificationStatus; controlled value permitted by the range of marpolCertificationStatus</x:v>
      </x:c>
      <x:c r="J13" s="47" t="n">
        <x:v>0</x:v>
      </x:c>
    </x:row>
    <x:row r="14">
      <x:c r="A14" s="47" t="str">
        <x:v>RUN-IMO-119-20260829T224043639559Z</x:v>
      </x:c>
      <x:c r="B14" s="47" t="str">
        <x:v>IMO-119</x:v>
      </x:c>
      <x:c r="C14" s="47" t="str">
        <x:v>evidenceStateSubmitted</x:v>
      </x:c>
      <x:c r="D14" s="48" t="str">
        <x:v>https://w3id.org/nltl/vocab#evidenceStateSubmitted</x:v>
      </x:c>
      <x:c r="E14" s="47" t="str">
        <x:v>NamedIndividual</x:v>
      </x:c>
      <x:c r="F14" s="47" t="str"/>
      <x:c r="G14" s="47" t="str">
        <x:v>https://w3id.org/nltl/vocab#evidenceState</x:v>
      </x:c>
      <x:c r="H14" s="47" t="str"/>
      <x:c r="I14" s="48" t="str">
        <x:v>controlled value permitted by the range of administrationDischargeApprovalStatus; controlled value permitted by the range of marpolAnnexIvRegulation9Point1Point1Or9Point2Point1CertificationStatus; controlled value permitted by the range of marpolCertificationStatus</x:v>
      </x:c>
      <x:c r="J14" s="47" t="n">
        <x:v>0</x:v>
      </x:c>
    </x:row>
    <x:row r="15">
      <x:c r="A15" s="47" t="str">
        <x:v>RUN-IMO-119-20260829T224043639559Z</x:v>
      </x:c>
      <x:c r="B15" s="47" t="str">
        <x:v>IMO-119</x:v>
      </x:c>
      <x:c r="C15" s="47" t="str">
        <x:v>evidenceStateUnderReview</x:v>
      </x:c>
      <x:c r="D15" s="48" t="str">
        <x:v>https://w3id.org/nltl/vocab#evidenceStateUnderReview</x:v>
      </x:c>
      <x:c r="E15" s="47" t="str">
        <x:v>NamedIndividual</x:v>
      </x:c>
      <x:c r="F15" s="47" t="str"/>
      <x:c r="G15" s="47" t="str">
        <x:v>https://w3id.org/nltl/vocab#evidenceState</x:v>
      </x:c>
      <x:c r="H15" s="47" t="str"/>
      <x:c r="I15" s="48" t="str">
        <x:v>controlled value permitted by the range of administrationDischargeApprovalStatus; controlled value permitted by the range of marpolAnnexIvRegulation9Point1Point1Or9Point2Point1CertificationStatus; controlled value permitted by the range of marpolCertificationStatus</x:v>
      </x:c>
      <x:c r="J15" s="47" t="n">
        <x:v>0</x:v>
      </x:c>
    </x:row>
    <x:row r="16">
      <x:c r="A16" s="47" t="str">
        <x:v>RUN-IMO-119-20260829T224043639559Z</x:v>
      </x:c>
      <x:c r="B16" s="47" t="str">
        <x:v>IMO-119</x:v>
      </x:c>
      <x:c r="C16" s="47" t="str">
        <x:v>extendedPeriodOperation</x:v>
      </x:c>
      <x:c r="D16" s="48" t="str">
        <x:v>https://w3id.org/nltl/vocab#extendedPeriodOperation</x:v>
      </x:c>
      <x:c r="E16" s="47" t="str">
        <x:v>DatatypeProperty</x:v>
      </x:c>
      <x:c r="F16" s="47" t="str">
        <x:v>xsd:boolean</x:v>
      </x:c>
      <x:c r="G16" s="47" t="str">
        <x:v>http://www.w3.org/2001/XMLSchema#boolean</x:v>
      </x:c>
      <x:c r="H16" s="47" t="str"/>
      <x:c r="I16" s="48" t="str">
        <x:v>linked by the locked 313-requirement index</x:v>
      </x:c>
      <x:c r="J16" s="47" t="n">
        <x:v>0</x:v>
      </x:c>
    </x:row>
    <x:row r="17">
      <x:c r="A17" s="47" t="str">
        <x:v>RUN-IMO-119-20260829T224043639559Z</x:v>
      </x:c>
      <x:c r="B17" s="47" t="str">
        <x:v>IMO-119</x:v>
      </x:c>
      <x:c r="C17" s="47" t="str">
        <x:v>hasComponent</x:v>
      </x:c>
      <x:c r="D17" s="48" t="str">
        <x:v>https://w3id.org/nltl/vocab#hasComponent</x:v>
      </x:c>
      <x:c r="E17" s="47" t="str">
        <x:v>ObjectProperty</x:v>
      </x:c>
      <x:c r="F17" s="47" t="str"/>
      <x:c r="G17" s="47" t="str">
        <x:v>https://w3id.org/nltl/vocab#shipComponent</x:v>
      </x:c>
      <x:c r="H17" s="47" t="str"/>
      <x:c r="I17" s="48" t="str">
        <x:v>component-path dependency inferred from the linked term module</x:v>
      </x:c>
      <x:c r="J17" s="47" t="n">
        <x:v>0</x:v>
      </x:c>
    </x:row>
    <x:row r="18">
      <x:c r="A18" s="47" t="str">
        <x:v>RUN-IMO-119-20260829T224043639559Z</x:v>
      </x:c>
      <x:c r="B18" s="47" t="str">
        <x:v>IMO-119</x:v>
      </x:c>
      <x:c r="C18" s="47" t="str">
        <x:v>iceConcentration</x:v>
      </x:c>
      <x:c r="D18" s="48" t="str">
        <x:v>https://w3id.org/nltl/vocab#iceConcentration</x:v>
      </x:c>
      <x:c r="E18" s="47" t="str">
        <x:v>QuantityProperty</x:v>
      </x:c>
      <x:c r="F18" s="47" t="str"/>
      <x:c r="G18" s="47" t="str">
        <x:v>http://qudt.org/schema/qudt/QuantityValue</x:v>
      </x:c>
      <x:c r="H18" s="47" t="str">
        <x:v>http://qudt.org/vocab/unit/UNITLESS</x:v>
      </x:c>
      <x:c r="I18" s="48" t="str">
        <x:v>linked by the locked 313-requirement index</x:v>
      </x:c>
      <x:c r="J18" s="47" t="n">
        <x:v>0</x:v>
      </x:c>
    </x:row>
    <x:row r="19">
      <x:c r="A19" s="47" t="str">
        <x:v>RUN-IMO-119-20260829T224043639559Z</x:v>
      </x:c>
      <x:c r="B19" s="47" t="str">
        <x:v>IMO-119</x:v>
      </x:c>
      <x:c r="C19" s="47" t="str">
        <x:v>marpolAnnexIvRegulation9Point1Point1Or9Point2Point1CertificationStatus</x:v>
      </x:c>
      <x:c r="D19" s="48" t="str">
        <x:v>https://w3id.org/nltl/vocab#marpolAnnexIvRegulation9Point1Point1Or9Point2Point1CertificationStatus</x:v>
      </x:c>
      <x:c r="E19" s="47" t="str">
        <x:v>ObjectProperty</x:v>
      </x:c>
      <x:c r="F19" s="47" t="str"/>
      <x:c r="G19" s="47" t="str">
        <x:v>https://w3id.org/nltl/vocab#evidenceState</x:v>
      </x:c>
      <x:c r="H19" s="47" t="str"/>
      <x:c r="I19" s="48" t="str">
        <x:v>linked by the locked 313-requirement index</x:v>
      </x:c>
      <x:c r="J19" s="47" t="n">
        <x:v>0</x:v>
      </x:c>
    </x:row>
    <x:row r="20">
      <x:c r="A20" s="47" t="str">
        <x:v>RUN-IMO-119-20260829T224043639559Z</x:v>
      </x:c>
      <x:c r="B20" s="47" t="str">
        <x:v>IMO-119</x:v>
      </x:c>
      <x:c r="C20" s="47" t="str">
        <x:v>marpolCertificationStatus</x:v>
      </x:c>
      <x:c r="D20" s="48" t="str">
        <x:v>https://w3id.org/nltl/vocab#marpolCertificationStatus</x:v>
      </x:c>
      <x:c r="E20" s="47" t="str">
        <x:v>ObjectProperty</x:v>
      </x:c>
      <x:c r="F20" s="47" t="str"/>
      <x:c r="G20" s="47" t="str">
        <x:v>https://w3id.org/nltl/vocab#evidenceState</x:v>
      </x:c>
      <x:c r="H20" s="47" t="str"/>
      <x:c r="I20" s="48" t="str">
        <x:v>linked by the locked 313-requirement index</x:v>
      </x:c>
      <x:c r="J20" s="47" t="n">
        <x:v>0</x:v>
      </x:c>
    </x:row>
    <x:row r="21">
      <x:c r="A21" s="47" t="str">
        <x:v>RUN-IMO-119-20260829T224043639559Z</x:v>
      </x:c>
      <x:c r="B21" s="47" t="str">
        <x:v>IMO-119</x:v>
      </x:c>
      <x:c r="C21" s="47" t="str">
        <x:v>polarShipCategoryA</x:v>
      </x:c>
      <x:c r="D21" s="48" t="str">
        <x:v>https://w3id.org/nltl/vocab#polarShipCategoryA</x:v>
      </x:c>
      <x:c r="E21" s="47" t="str">
        <x:v>NamedIndividual</x:v>
      </x:c>
      <x:c r="F21" s="47" t="str"/>
      <x:c r="G21" s="47" t="str">
        <x:v>https://w3id.org/nltl/vocab#polarShipCategoryValue</x:v>
      </x:c>
      <x:c r="H21" s="47" t="str"/>
      <x:c r="I21" s="48" t="str">
        <x:v>controlled value permitted by the range of shipCategory</x:v>
      </x:c>
      <x:c r="J21" s="47" t="n">
        <x:v>0</x:v>
      </x:c>
    </x:row>
    <x:row r="22">
      <x:c r="A22" s="47" t="str">
        <x:v>RUN-IMO-119-20260829T224043639559Z</x:v>
      </x:c>
      <x:c r="B22" s="47" t="str">
        <x:v>IMO-119</x:v>
      </x:c>
      <x:c r="C22" s="47" t="str">
        <x:v>polarShipCategoryB</x:v>
      </x:c>
      <x:c r="D22" s="48" t="str">
        <x:v>https://w3id.org/nltl/vocab#polarShipCategoryB</x:v>
      </x:c>
      <x:c r="E22" s="47" t="str">
        <x:v>NamedIndividual</x:v>
      </x:c>
      <x:c r="F22" s="47" t="str"/>
      <x:c r="G22" s="47" t="str">
        <x:v>https://w3id.org/nltl/vocab#polarShipCategoryValue</x:v>
      </x:c>
      <x:c r="H22" s="47" t="str"/>
      <x:c r="I22" s="48" t="str">
        <x:v>controlled value permitted by the range of shipCategory</x:v>
      </x:c>
      <x:c r="J22" s="47" t="n">
        <x:v>0</x:v>
      </x:c>
    </x:row>
    <x:row r="23">
      <x:c r="A23" s="47" t="str">
        <x:v>RUN-IMO-119-20260829T224043639559Z</x:v>
      </x:c>
      <x:c r="B23" s="47" t="str">
        <x:v>IMO-119</x:v>
      </x:c>
      <x:c r="C23" s="47" t="str">
        <x:v>polarShipCategoryC</x:v>
      </x:c>
      <x:c r="D23" s="48" t="str">
        <x:v>https://w3id.org/nltl/vocab#polarShipCategoryC</x:v>
      </x:c>
      <x:c r="E23" s="47" t="str">
        <x:v>NamedIndividual</x:v>
      </x:c>
      <x:c r="F23" s="47" t="str"/>
      <x:c r="G23" s="47" t="str">
        <x:v>https://w3id.org/nltl/vocab#polarShipCategoryValue</x:v>
      </x:c>
      <x:c r="H23" s="47" t="str"/>
      <x:c r="I23" s="48" t="str">
        <x:v>controlled value permitted by the range of shipCategory</x:v>
      </x:c>
      <x:c r="J23" s="47" t="n">
        <x:v>0</x:v>
      </x:c>
    </x:row>
    <x:row r="24">
      <x:c r="A24" s="47" t="str">
        <x:v>RUN-IMO-119-20260829T224043639559Z</x:v>
      </x:c>
      <x:c r="B24" s="47" t="str">
        <x:v>IMO-119</x:v>
      </x:c>
      <x:c r="C24" s="47" t="str">
        <x:v>polarShipCategoryValue</x:v>
      </x:c>
      <x:c r="D24" s="48" t="str">
        <x:v>https://w3id.org/nltl/vocab#polarShipCategoryValue</x:v>
      </x:c>
      <x:c r="E24" s="47" t="str">
        <x:v>Class</x:v>
      </x:c>
      <x:c r="F24" s="47" t="str"/>
      <x:c r="G24" s="47" t="str"/>
      <x:c r="H24" s="47" t="str"/>
      <x:c r="I24" s="48" t="str">
        <x:v>range dependency of shipCategory</x:v>
      </x:c>
      <x:c r="J24" s="47" t="n">
        <x:v>0</x:v>
      </x:c>
    </x:row>
    <x:row r="25">
      <x:c r="A25" s="47" t="str">
        <x:v>RUN-IMO-119-20260829T224043639559Z</x:v>
      </x:c>
      <x:c r="B25" s="47" t="str">
        <x:v>IMO-119</x:v>
      </x:c>
      <x:c r="C25" s="47" t="str">
        <x:v>sewageDischargeOccurs</x:v>
      </x:c>
      <x:c r="D25" s="48" t="str">
        <x:v>https://w3id.org/nltl/vocab#sewageDischargeOccurs</x:v>
      </x:c>
      <x:c r="E25" s="47" t="str">
        <x:v>DatatypeProperty</x:v>
      </x:c>
      <x:c r="F25" s="47" t="str">
        <x:v>xsd:boolean</x:v>
      </x:c>
      <x:c r="G25" s="47" t="str">
        <x:v>http://www.w3.org/2001/XMLSchema#boolean</x:v>
      </x:c>
      <x:c r="H25" s="47" t="str"/>
      <x:c r="I25" s="48" t="str">
        <x:v>linked by the locked 313-requirement index</x:v>
      </x:c>
      <x:c r="J25" s="47" t="n">
        <x:v>0</x:v>
      </x:c>
    </x:row>
    <x:row r="26">
      <x:c r="A26" s="47" t="str">
        <x:v>RUN-IMO-119-20260829T224043639559Z</x:v>
      </x:c>
      <x:c r="B26" s="47" t="str">
        <x:v>IMO-119</x:v>
      </x:c>
      <x:c r="C26" s="47" t="str">
        <x:v>ship</x:v>
      </x:c>
      <x:c r="D26" s="48" t="str">
        <x:v>https://w3id.org/nltl/vocab#ship</x:v>
      </x:c>
      <x:c r="E26" s="47" t="str">
        <x:v>Class</x:v>
      </x:c>
      <x:c r="F26" s="47" t="str"/>
      <x:c r="G26" s="47" t="str"/>
      <x:c r="H26" s="47" t="str"/>
      <x:c r="I26" s="48" t="str">
        <x:v>authoritative required owner class; authoritative requirement target owner; baseline target infrastructure</x:v>
      </x:c>
      <x:c r="J26" s="47" t="n">
        <x:v>0</x:v>
      </x:c>
    </x:row>
    <x:row r="27">
      <x:c r="A27" s="47" t="str">
        <x:v>RUN-IMO-119-20260829T224043639559Z</x:v>
      </x:c>
      <x:c r="B27" s="47" t="str">
        <x:v>IMO-119</x:v>
      </x:c>
      <x:c r="C27" s="47" t="str">
        <x:v>shipCategory</x:v>
      </x:c>
      <x:c r="D27" s="48" t="str">
        <x:v>https://w3id.org/nltl/vocab#shipCategory</x:v>
      </x:c>
      <x:c r="E27" s="47" t="str">
        <x:v>ObjectProperty</x:v>
      </x:c>
      <x:c r="F27" s="47" t="str"/>
      <x:c r="G27" s="47" t="str">
        <x:v>https://w3id.org/nltl/vocab#polarShipCategoryValue</x:v>
      </x:c>
      <x:c r="H27" s="47" t="str"/>
      <x:c r="I27" s="48" t="str">
        <x:v>linked by the locked 313-requirement index</x:v>
      </x:c>
      <x:c r="J27" s="47" t="n">
        <x:v>0</x:v>
      </x:c>
    </x:row>
    <x:row r="28">
      <x:c r="A28" s="47" t="str">
        <x:v>RUN-IMO-119-20260829T224043639559Z</x:v>
      </x:c>
      <x:c r="B28" s="47" t="str">
        <x:v>IMO-119</x:v>
      </x:c>
      <x:c r="C28" s="47" t="str">
        <x:v>shipComponent</x:v>
      </x:c>
      <x:c r="D28" s="48" t="str">
        <x:v>https://w3id.org/nltl/vocab#shipComponent</x:v>
      </x:c>
      <x:c r="E28" s="47" t="str">
        <x:v>Class</x:v>
      </x:c>
      <x:c r="F28" s="47" t="str"/>
      <x:c r="G28" s="47" t="str"/>
      <x:c r="H28" s="47" t="str"/>
      <x:c r="I28" s="48" t="str">
        <x:v>component-path dependency inferred from the linked term module</x:v>
      </x:c>
      <x:c r="J28" s="47" t="n">
        <x:v>0</x:v>
      </x:c>
    </x:row>
    <x:row r="29">
      <x:c r="A29" s="47" t="str">
        <x:v>RUN-IMO-119-20260829T224043639559Z</x:v>
      </x:c>
      <x:c r="B29" s="47" t="str">
        <x:v>IMO-119</x:v>
      </x:c>
      <x:c r="C29" s="47" t="str">
        <x:v>administrationDischargeApprovalStatus</x:v>
      </x:c>
      <x:c r="D29" s="48" t="str">
        <x:v>https://w3id.org/nltl/vocab#administrationDischargeApprovalStatus</x:v>
      </x:c>
      <x:c r="E29" s="47" t="str">
        <x:v>ObjectProperty</x:v>
      </x:c>
      <x:c r="F29" s="47" t="str"/>
      <x:c r="G29" s="47" t="str">
        <x:v>https://w3id.org/nltl/vocab#evidenceState</x:v>
      </x:c>
      <x:c r="H29" s="47" t="str"/>
      <x:c r="I29" s="48" t="str">
        <x:v>linked by the locked 313-requirement index</x:v>
      </x:c>
      <x:c r="J29" s="47" t="n">
        <x:v>2</x:v>
      </x:c>
    </x:row>
    <x:row r="30">
      <x:c r="A30" s="47" t="str">
        <x:v>RUN-IMO-119-20260829T224043639559Z</x:v>
      </x:c>
      <x:c r="B30" s="47" t="str">
        <x:v>IMO-119</x:v>
      </x:c>
      <x:c r="C30" s="47" t="str">
        <x:v>approvedSewageTreatmentPlantUsed</x:v>
      </x:c>
      <x:c r="D30" s="48" t="str">
        <x:v>https://w3id.org/nltl/vocab#approvedSewageTreatmentPlantUsed</x:v>
      </x:c>
      <x:c r="E30" s="47" t="str">
        <x:v>DatatypeProperty</x:v>
      </x:c>
      <x:c r="F30" s="47" t="str">
        <x:v>xsd:boolean</x:v>
      </x:c>
      <x:c r="G30" s="47" t="str">
        <x:v>http://www.w3.org/2001/XMLSchema#boolean</x:v>
      </x:c>
      <x:c r="H30" s="47" t="str"/>
      <x:c r="I30" s="48" t="str">
        <x:v>linked by the locked 313-requirement index</x:v>
      </x:c>
      <x:c r="J30" s="47" t="n">
        <x:v>2</x:v>
      </x:c>
    </x:row>
    <x:row r="31">
      <x:c r="A31" s="47" t="str">
        <x:v>RUN-IMO-119-20260829T224043639559Z</x:v>
      </x:c>
      <x:c r="B31" s="47" t="str">
        <x:v>IMO-119</x:v>
      </x:c>
      <x:c r="C31" s="47" t="str">
        <x:v>benchmarkEntity</x:v>
      </x:c>
      <x:c r="D31" s="48" t="str">
        <x:v>https://w3id.org/nltl/vocab#benchmarkEntity</x:v>
      </x:c>
      <x:c r="E31" s="47" t="str">
        <x:v>Class</x:v>
      </x:c>
      <x:c r="F31" s="47" t="str"/>
      <x:c r="G31" s="47" t="str"/>
      <x:c r="H31" s="47" t="str"/>
      <x:c r="I31" s="48" t="str">
        <x:v>baseline target infrastructure; domain dependency of administrationDischargeApprovalStatus; domain dependency of approvedSewageTreatmentPlantUsed; domain dependency of extendedPeriodOperation; domain dependency of iceConcentration; domain dependency of marpolAnnexIvRegulation9Point1Point1Or9Point2Point1CertificationStatus; domain dependency of marpolCertificationStatus; domain dependency of sewageDischargeOccurs; domain dependency of shipCategory</x:v>
      </x:c>
      <x:c r="J31" s="47" t="n">
        <x:v>2</x:v>
      </x:c>
    </x:row>
    <x:row r="32">
      <x:c r="A32" s="47" t="str">
        <x:v>RUN-IMO-119-20260829T224043639559Z</x:v>
      </x:c>
      <x:c r="B32" s="47" t="str">
        <x:v>IMO-119</x:v>
      </x:c>
      <x:c r="C32" s="47" t="str">
        <x:v>complianceStateCompliant</x:v>
      </x:c>
      <x:c r="D32" s="48" t="str">
        <x:v>https://w3id.org/nltl/vocab#complianceStateCompliant</x:v>
      </x:c>
      <x:c r="E32" s="47" t="str">
        <x:v>NamedIndividual</x:v>
      </x:c>
      <x:c r="F32" s="47" t="str"/>
      <x:c r="G32" s="47" t="str">
        <x:v>https://w3id.org/nltl/vocab#complianceState</x:v>
      </x:c>
      <x:c r="H32" s="47" t="str"/>
      <x:c r="I32" s="48" t="str">
        <x:v>verified vocabulary-matcher addition</x:v>
      </x:c>
      <x:c r="J32" s="47" t="n">
        <x:v>2</x:v>
      </x:c>
    </x:row>
    <x:row r="33">
      <x:c r="A33" s="47" t="str">
        <x:v>RUN-IMO-119-20260829T224043639559Z</x:v>
      </x:c>
      <x:c r="B33" s="47" t="str">
        <x:v>IMO-119</x:v>
      </x:c>
      <x:c r="C33" s="47" t="str">
        <x:v>evidenceState</x:v>
      </x:c>
      <x:c r="D33" s="48" t="str">
        <x:v>https://w3id.org/nltl/vocab#evidenceState</x:v>
      </x:c>
      <x:c r="E33" s="47" t="str">
        <x:v>Class</x:v>
      </x:c>
      <x:c r="F33" s="47" t="str"/>
      <x:c r="G33" s="47" t="str"/>
      <x:c r="H33" s="47" t="str"/>
      <x:c r="I33" s="48" t="str">
        <x:v>range dependency of administrationDischargeApprovalStatus; range dependency of marpolAnnexIvRegulation9Point1Point1Or9Point2Point1CertificationStatus; range dependency of marpolCertificationStatus</x:v>
      </x:c>
      <x:c r="J33" s="47" t="n">
        <x:v>2</x:v>
      </x:c>
    </x:row>
    <x:row r="34">
      <x:c r="A34" s="47" t="str">
        <x:v>RUN-IMO-119-20260829T224043639559Z</x:v>
      </x:c>
      <x:c r="B34" s="47" t="str">
        <x:v>IMO-119</x:v>
      </x:c>
      <x:c r="C34" s="47" t="str">
        <x:v>evidenceStateApproved</x:v>
      </x:c>
      <x:c r="D34" s="48" t="str">
        <x:v>https://w3id.org/nltl/vocab#evidenceStateApproved</x:v>
      </x:c>
      <x:c r="E34" s="47" t="str">
        <x:v>NamedIndividual</x:v>
      </x:c>
      <x:c r="F34" s="47" t="str"/>
      <x:c r="G34" s="47" t="str">
        <x:v>https://w3id.org/nltl/vocab#evidenceState</x:v>
      </x:c>
      <x:c r="H34" s="47" t="str"/>
      <x:c r="I34" s="48" t="str">
        <x:v>controlled value permitted by the range of administrationDischargeApprovalStatus; controlled value permitted by the range of marpolAnnexIvRegulation9Point1Point1Or9Point2Point1CertificationStatus; controlled value permitted by the range of marpolCertificationStatus</x:v>
      </x:c>
      <x:c r="J34" s="47" t="n">
        <x:v>2</x:v>
      </x:c>
    </x:row>
    <x:row r="35">
      <x:c r="A35" s="47" t="str">
        <x:v>RUN-IMO-119-20260829T224043639559Z</x:v>
      </x:c>
      <x:c r="B35" s="47" t="str">
        <x:v>IMO-119</x:v>
      </x:c>
      <x:c r="C35" s="47" t="str">
        <x:v>evidenceStateDraft</x:v>
      </x:c>
      <x:c r="D35" s="48" t="str">
        <x:v>https://w3id.org/nltl/vocab#evidenceStateDraft</x:v>
      </x:c>
      <x:c r="E35" s="47" t="str">
        <x:v>NamedIndividual</x:v>
      </x:c>
      <x:c r="F35" s="47" t="str"/>
      <x:c r="G35" s="47" t="str">
        <x:v>https://w3id.org/nltl/vocab#evidenceState</x:v>
      </x:c>
      <x:c r="H35" s="47" t="str"/>
      <x:c r="I35" s="48" t="str">
        <x:v>controlled value permitted by the range of administrationDischargeApprovalStatus; controlled value permitted by the range of marpolAnnexIvRegulation9Point1Point1Or9Point2Point1CertificationStatus; controlled value permitted by the range of marpolCertificationStatus</x:v>
      </x:c>
      <x:c r="J35" s="47" t="n">
        <x:v>2</x:v>
      </x:c>
    </x:row>
    <x:row r="36">
      <x:c r="A36" s="47" t="str">
        <x:v>RUN-IMO-119-20260829T224043639559Z</x:v>
      </x:c>
      <x:c r="B36" s="47" t="str">
        <x:v>IMO-119</x:v>
      </x:c>
      <x:c r="C36" s="47" t="str">
        <x:v>evidenceStateExpired</x:v>
      </x:c>
      <x:c r="D36" s="48" t="str">
        <x:v>https://w3id.org/nltl/vocab#evidenceStateExpired</x:v>
      </x:c>
      <x:c r="E36" s="47" t="str">
        <x:v>NamedIndividual</x:v>
      </x:c>
      <x:c r="F36" s="47" t="str"/>
      <x:c r="G36" s="47" t="str">
        <x:v>https://w3id.org/nltl/vocab#evidenceState</x:v>
      </x:c>
      <x:c r="H36" s="47" t="str"/>
      <x:c r="I36" s="48" t="str">
        <x:v>controlled value permitted by the range of administrationDischargeApprovalStatus; controlled value permitted by the range of marpolAnnexIvRegulation9Point1Point1Or9Point2Point1CertificationStatus; controlled value permitted by the range of marpolCertificationStatus</x:v>
      </x:c>
      <x:c r="J36" s="47" t="n">
        <x:v>2</x:v>
      </x:c>
    </x:row>
    <x:row r="37">
      <x:c r="A37" s="47" t="str">
        <x:v>RUN-IMO-119-20260829T224043639559Z</x:v>
      </x:c>
      <x:c r="B37" s="47" t="str">
        <x:v>IMO-119</x:v>
      </x:c>
      <x:c r="C37" s="47" t="str">
        <x:v>evidenceStateRejected</x:v>
      </x:c>
      <x:c r="D37" s="48" t="str">
        <x:v>https://w3id.org/nltl/vocab#evidenceStateRejected</x:v>
      </x:c>
      <x:c r="E37" s="47" t="str">
        <x:v>NamedIndividual</x:v>
      </x:c>
      <x:c r="F37" s="47" t="str"/>
      <x:c r="G37" s="47" t="str">
        <x:v>https://w3id.org/nltl/vocab#evidenceState</x:v>
      </x:c>
      <x:c r="H37" s="47" t="str"/>
      <x:c r="I37" s="48" t="str">
        <x:v>controlled value permitted by the range of administrationDischargeApprovalStatus; controlled value permitted by the range of marpolAnnexIvRegulation9Point1Point1Or9Point2Point1CertificationStatus; controlled value permitted by the range of marpolCertificationStatus</x:v>
      </x:c>
      <x:c r="J37" s="47" t="n">
        <x:v>2</x:v>
      </x:c>
    </x:row>
    <x:row r="38">
      <x:c r="A38" s="47" t="str">
        <x:v>RUN-IMO-119-20260829T224043639559Z</x:v>
      </x:c>
      <x:c r="B38" s="47" t="str">
        <x:v>IMO-119</x:v>
      </x:c>
      <x:c r="C38" s="47" t="str">
        <x:v>evidenceStateRevoked</x:v>
      </x:c>
      <x:c r="D38" s="48" t="str">
        <x:v>https://w3id.org/nltl/vocab#evidenceStateRevoked</x:v>
      </x:c>
      <x:c r="E38" s="47" t="str">
        <x:v>NamedIndividual</x:v>
      </x:c>
      <x:c r="F38" s="47" t="str"/>
      <x:c r="G38" s="47" t="str">
        <x:v>https://w3id.org/nltl/vocab#evidenceState</x:v>
      </x:c>
      <x:c r="H38" s="47" t="str"/>
      <x:c r="I38" s="48" t="str">
        <x:v>controlled value permitted by the range of administrationDischargeApprovalStatus; controlled value permitted by the range of marpolAnnexIvRegulation9Point1Point1Or9Point2Point1CertificationStatus; controlled value permitted by the range of marpolCertificationStatus</x:v>
      </x:c>
      <x:c r="J38" s="47" t="n">
        <x:v>2</x:v>
      </x:c>
    </x:row>
    <x:row r="39">
      <x:c r="A39" s="47" t="str">
        <x:v>RUN-IMO-119-20260829T224043639559Z</x:v>
      </x:c>
      <x:c r="B39" s="47" t="str">
        <x:v>IMO-119</x:v>
      </x:c>
      <x:c r="C39" s="47" t="str">
        <x:v>evidenceStateSubmitted</x:v>
      </x:c>
      <x:c r="D39" s="48" t="str">
        <x:v>https://w3id.org/nltl/vocab#evidenceStateSubmitted</x:v>
      </x:c>
      <x:c r="E39" s="47" t="str">
        <x:v>NamedIndividual</x:v>
      </x:c>
      <x:c r="F39" s="47" t="str"/>
      <x:c r="G39" s="47" t="str">
        <x:v>https://w3id.org/nltl/vocab#evidenceState</x:v>
      </x:c>
      <x:c r="H39" s="47" t="str"/>
      <x:c r="I39" s="48" t="str">
        <x:v>controlled value permitted by the range of administrationDischargeApprovalStatus; controlled value permitted by the range of marpolAnnexIvRegulation9Point1Point1Or9Point2Point1CertificationStatus; controlled value permitted by the range of marpolCertificationStatus</x:v>
      </x:c>
      <x:c r="J39" s="47" t="n">
        <x:v>2</x:v>
      </x:c>
    </x:row>
    <x:row r="40">
      <x:c r="A40" s="47" t="str">
        <x:v>RUN-IMO-119-20260829T224043639559Z</x:v>
      </x:c>
      <x:c r="B40" s="47" t="str">
        <x:v>IMO-119</x:v>
      </x:c>
      <x:c r="C40" s="47" t="str">
        <x:v>evidenceStateUnderReview</x:v>
      </x:c>
      <x:c r="D40" s="48" t="str">
        <x:v>https://w3id.org/nltl/vocab#evidenceStateUnderReview</x:v>
      </x:c>
      <x:c r="E40" s="47" t="str">
        <x:v>NamedIndividual</x:v>
      </x:c>
      <x:c r="F40" s="47" t="str"/>
      <x:c r="G40" s="47" t="str">
        <x:v>https://w3id.org/nltl/vocab#evidenceState</x:v>
      </x:c>
      <x:c r="H40" s="47" t="str"/>
      <x:c r="I40" s="48" t="str">
        <x:v>controlled value permitted by the range of administrationDischargeApprovalStatus; controlled value permitted by the range of marpolAnnexIvRegulation9Point1Point1Or9Point2Point1CertificationStatus; controlled value permitted by the range of marpolCertificationStatus</x:v>
      </x:c>
      <x:c r="J40" s="47" t="n">
        <x:v>2</x:v>
      </x:c>
    </x:row>
    <x:row r="41">
      <x:c r="A41" s="47" t="str">
        <x:v>RUN-IMO-119-20260829T224043639559Z</x:v>
      </x:c>
      <x:c r="B41" s="47" t="str">
        <x:v>IMO-119</x:v>
      </x:c>
      <x:c r="C41" s="47" t="str">
        <x:v>extendedPeriodOperation</x:v>
      </x:c>
      <x:c r="D41" s="48" t="str">
        <x:v>https://w3id.org/nltl/vocab#extendedPeriodOperation</x:v>
      </x:c>
      <x:c r="E41" s="47" t="str">
        <x:v>DatatypeProperty</x:v>
      </x:c>
      <x:c r="F41" s="47" t="str">
        <x:v>xsd:boolean</x:v>
      </x:c>
      <x:c r="G41" s="47" t="str">
        <x:v>http://www.w3.org/2001/XMLSchema#boolean</x:v>
      </x:c>
      <x:c r="H41" s="47" t="str"/>
      <x:c r="I41" s="48" t="str">
        <x:v>linked by the locked 313-requirement index</x:v>
      </x:c>
      <x:c r="J41" s="47" t="n">
        <x:v>2</x:v>
      </x:c>
    </x:row>
    <x:row r="42">
      <x:c r="A42" s="47" t="str">
        <x:v>RUN-IMO-119-20260829T224043639559Z</x:v>
      </x:c>
      <x:c r="B42" s="47" t="str">
        <x:v>IMO-119</x:v>
      </x:c>
      <x:c r="C42" s="47" t="str">
        <x:v>hasComponent</x:v>
      </x:c>
      <x:c r="D42" s="48" t="str">
        <x:v>https://w3id.org/nltl/vocab#hasComponent</x:v>
      </x:c>
      <x:c r="E42" s="47" t="str">
        <x:v>ObjectProperty</x:v>
      </x:c>
      <x:c r="F42" s="47" t="str"/>
      <x:c r="G42" s="47" t="str">
        <x:v>https://w3id.org/nltl/vocab#shipComponent</x:v>
      </x:c>
      <x:c r="H42" s="47" t="str"/>
      <x:c r="I42" s="48" t="str">
        <x:v>component-path dependency inferred from the linked term module</x:v>
      </x:c>
      <x:c r="J42" s="47" t="n">
        <x:v>2</x:v>
      </x:c>
    </x:row>
    <x:row r="43">
      <x:c r="A43" s="47" t="str">
        <x:v>RUN-IMO-119-20260829T224043639559Z</x:v>
      </x:c>
      <x:c r="B43" s="47" t="str">
        <x:v>IMO-119</x:v>
      </x:c>
      <x:c r="C43" s="47" t="str">
        <x:v>iceConcentration</x:v>
      </x:c>
      <x:c r="D43" s="48" t="str">
        <x:v>https://w3id.org/nltl/vocab#iceConcentration</x:v>
      </x:c>
      <x:c r="E43" s="47" t="str">
        <x:v>QuantityProperty</x:v>
      </x:c>
      <x:c r="F43" s="47" t="str"/>
      <x:c r="G43" s="47" t="str">
        <x:v>http://qudt.org/schema/qudt/QuantityValue</x:v>
      </x:c>
      <x:c r="H43" s="47" t="str">
        <x:v>http://qudt.org/vocab/unit/UNITLESS</x:v>
      </x:c>
      <x:c r="I43" s="48" t="str">
        <x:v>linked by the locked 313-requirement index</x:v>
      </x:c>
      <x:c r="J43" s="47" t="n">
        <x:v>2</x:v>
      </x:c>
    </x:row>
    <x:row r="44">
      <x:c r="A44" s="47" t="str">
        <x:v>RUN-IMO-119-20260829T224043639559Z</x:v>
      </x:c>
      <x:c r="B44" s="47" t="str">
        <x:v>IMO-119</x:v>
      </x:c>
      <x:c r="C44" s="47" t="str">
        <x:v>marpolAnnexIvRegulation9Point1Point1Or9Point2Point1CertificationStatus</x:v>
      </x:c>
      <x:c r="D44" s="48" t="str">
        <x:v>https://w3id.org/nltl/vocab#marpolAnnexIvRegulation9Point1Point1Or9Point2Point1CertificationStatus</x:v>
      </x:c>
      <x:c r="E44" s="47" t="str">
        <x:v>ObjectProperty</x:v>
      </x:c>
      <x:c r="F44" s="47" t="str"/>
      <x:c r="G44" s="47" t="str">
        <x:v>https://w3id.org/nltl/vocab#evidenceState</x:v>
      </x:c>
      <x:c r="H44" s="47" t="str"/>
      <x:c r="I44" s="48" t="str">
        <x:v>linked by the locked 313-requirement index</x:v>
      </x:c>
      <x:c r="J44" s="47" t="n">
        <x:v>2</x:v>
      </x:c>
    </x:row>
    <x:row r="45">
      <x:c r="A45" s="47" t="str">
        <x:v>RUN-IMO-119-20260829T224043639559Z</x:v>
      </x:c>
      <x:c r="B45" s="47" t="str">
        <x:v>IMO-119</x:v>
      </x:c>
      <x:c r="C45" s="47" t="str">
        <x:v>marpolCertificationStatus</x:v>
      </x:c>
      <x:c r="D45" s="48" t="str">
        <x:v>https://w3id.org/nltl/vocab#marpolCertificationStatus</x:v>
      </x:c>
      <x:c r="E45" s="47" t="str">
        <x:v>ObjectProperty</x:v>
      </x:c>
      <x:c r="F45" s="47" t="str"/>
      <x:c r="G45" s="47" t="str">
        <x:v>https://w3id.org/nltl/vocab#evidenceState</x:v>
      </x:c>
      <x:c r="H45" s="47" t="str"/>
      <x:c r="I45" s="48" t="str">
        <x:v>linked by the locked 313-requirement index</x:v>
      </x:c>
      <x:c r="J45" s="47" t="n">
        <x:v>2</x:v>
      </x:c>
    </x:row>
    <x:row r="46">
      <x:c r="A46" s="47" t="str">
        <x:v>RUN-IMO-119-20260829T224043639559Z</x:v>
      </x:c>
      <x:c r="B46" s="47" t="str">
        <x:v>IMO-119</x:v>
      </x:c>
      <x:c r="C46" s="47" t="str">
        <x:v>polarShipCategoryA</x:v>
      </x:c>
      <x:c r="D46" s="48" t="str">
        <x:v>https://w3id.org/nltl/vocab#polarShipCategoryA</x:v>
      </x:c>
      <x:c r="E46" s="47" t="str">
        <x:v>NamedIndividual</x:v>
      </x:c>
      <x:c r="F46" s="47" t="str"/>
      <x:c r="G46" s="47" t="str">
        <x:v>https://w3id.org/nltl/vocab#polarShipCategoryValue</x:v>
      </x:c>
      <x:c r="H46" s="47" t="str"/>
      <x:c r="I46" s="48" t="str">
        <x:v>controlled value permitted by the range of shipCategory</x:v>
      </x:c>
      <x:c r="J46" s="47" t="n">
        <x:v>2</x:v>
      </x:c>
    </x:row>
    <x:row r="47">
      <x:c r="A47" s="47" t="str">
        <x:v>RUN-IMO-119-20260829T224043639559Z</x:v>
      </x:c>
      <x:c r="B47" s="47" t="str">
        <x:v>IMO-119</x:v>
      </x:c>
      <x:c r="C47" s="47" t="str">
        <x:v>polarShipCategoryB</x:v>
      </x:c>
      <x:c r="D47" s="48" t="str">
        <x:v>https://w3id.org/nltl/vocab#polarShipCategoryB</x:v>
      </x:c>
      <x:c r="E47" s="47" t="str">
        <x:v>NamedIndividual</x:v>
      </x:c>
      <x:c r="F47" s="47" t="str"/>
      <x:c r="G47" s="47" t="str">
        <x:v>https://w3id.org/nltl/vocab#polarShipCategoryValue</x:v>
      </x:c>
      <x:c r="H47" s="47" t="str"/>
      <x:c r="I47" s="48" t="str">
        <x:v>controlled value permitted by the range of shipCategory</x:v>
      </x:c>
      <x:c r="J47" s="47" t="n">
        <x:v>2</x:v>
      </x:c>
    </x:row>
    <x:row r="48">
      <x:c r="A48" s="47" t="str">
        <x:v>RUN-IMO-119-20260829T224043639559Z</x:v>
      </x:c>
      <x:c r="B48" s="47" t="str">
        <x:v>IMO-119</x:v>
      </x:c>
      <x:c r="C48" s="47" t="str">
        <x:v>polarShipCategoryC</x:v>
      </x:c>
      <x:c r="D48" s="48" t="str">
        <x:v>https://w3id.org/nltl/vocab#polarShipCategoryC</x:v>
      </x:c>
      <x:c r="E48" s="47" t="str">
        <x:v>NamedIndividual</x:v>
      </x:c>
      <x:c r="F48" s="47" t="str"/>
      <x:c r="G48" s="47" t="str">
        <x:v>https://w3id.org/nltl/vocab#polarShipCategoryValue</x:v>
      </x:c>
      <x:c r="H48" s="47" t="str"/>
      <x:c r="I48" s="48" t="str">
        <x:v>controlled value permitted by the range of shipCategory</x:v>
      </x:c>
      <x:c r="J48" s="47" t="n">
        <x:v>2</x:v>
      </x:c>
    </x:row>
    <x:row r="49">
      <x:c r="A49" s="47" t="str">
        <x:v>RUN-IMO-119-20260829T224043639559Z</x:v>
      </x:c>
      <x:c r="B49" s="47" t="str">
        <x:v>IMO-119</x:v>
      </x:c>
      <x:c r="C49" s="47" t="str">
        <x:v>polarShipCategoryValue</x:v>
      </x:c>
      <x:c r="D49" s="48" t="str">
        <x:v>https://w3id.org/nltl/vocab#polarShipCategoryValue</x:v>
      </x:c>
      <x:c r="E49" s="47" t="str">
        <x:v>Class</x:v>
      </x:c>
      <x:c r="F49" s="47" t="str"/>
      <x:c r="G49" s="47" t="str"/>
      <x:c r="H49" s="47" t="str"/>
      <x:c r="I49" s="48" t="str">
        <x:v>range dependency of shipCategory</x:v>
      </x:c>
      <x:c r="J49" s="47" t="n">
        <x:v>2</x:v>
      </x:c>
    </x:row>
    <x:row r="50">
      <x:c r="A50" s="47" t="str">
        <x:v>RUN-IMO-119-20260829T224043639559Z</x:v>
      </x:c>
      <x:c r="B50" s="47" t="str">
        <x:v>IMO-119</x:v>
      </x:c>
      <x:c r="C50" s="47" t="str">
        <x:v>sewageDischargeOccurs</x:v>
      </x:c>
      <x:c r="D50" s="48" t="str">
        <x:v>https://w3id.org/nltl/vocab#sewageDischargeOccurs</x:v>
      </x:c>
      <x:c r="E50" s="47" t="str">
        <x:v>DatatypeProperty</x:v>
      </x:c>
      <x:c r="F50" s="47" t="str">
        <x:v>xsd:boolean</x:v>
      </x:c>
      <x:c r="G50" s="47" t="str">
        <x:v>http://www.w3.org/2001/XMLSchema#boolean</x:v>
      </x:c>
      <x:c r="H50" s="47" t="str"/>
      <x:c r="I50" s="48" t="str">
        <x:v>linked by the locked 313-requirement index</x:v>
      </x:c>
      <x:c r="J50" s="47" t="n">
        <x:v>2</x:v>
      </x:c>
    </x:row>
    <x:row r="51">
      <x:c r="A51" s="47" t="str">
        <x:v>RUN-IMO-119-20260829T224043639559Z</x:v>
      </x:c>
      <x:c r="B51" s="47" t="str">
        <x:v>IMO-119</x:v>
      </x:c>
      <x:c r="C51" s="47" t="str">
        <x:v>ship</x:v>
      </x:c>
      <x:c r="D51" s="48" t="str">
        <x:v>https://w3id.org/nltl/vocab#ship</x:v>
      </x:c>
      <x:c r="E51" s="47" t="str">
        <x:v>Class</x:v>
      </x:c>
      <x:c r="F51" s="47" t="str"/>
      <x:c r="G51" s="47" t="str"/>
      <x:c r="H51" s="47" t="str"/>
      <x:c r="I51" s="48" t="str">
        <x:v>authoritative required owner class; authoritative requirement target owner; baseline target infrastructure</x:v>
      </x:c>
      <x:c r="J51" s="47" t="n">
        <x:v>2</x:v>
      </x:c>
    </x:row>
    <x:row r="52">
      <x:c r="A52" s="47" t="str">
        <x:v>RUN-IMO-119-20260829T224043639559Z</x:v>
      </x:c>
      <x:c r="B52" s="47" t="str">
        <x:v>IMO-119</x:v>
      </x:c>
      <x:c r="C52" s="47" t="str">
        <x:v>shipCategory</x:v>
      </x:c>
      <x:c r="D52" s="48" t="str">
        <x:v>https://w3id.org/nltl/vocab#shipCategory</x:v>
      </x:c>
      <x:c r="E52" s="47" t="str">
        <x:v>ObjectProperty</x:v>
      </x:c>
      <x:c r="F52" s="47" t="str"/>
      <x:c r="G52" s="47" t="str">
        <x:v>https://w3id.org/nltl/vocab#polarShipCategoryValue</x:v>
      </x:c>
      <x:c r="H52" s="47" t="str"/>
      <x:c r="I52" s="48" t="str">
        <x:v>linked by the locked 313-requirement index</x:v>
      </x:c>
      <x:c r="J52" s="47" t="n">
        <x:v>2</x:v>
      </x:c>
    </x:row>
    <x:row r="53">
      <x:c r="A53" s="49" t="str">
        <x:v>RUN-IMO-119-20260829T224043639559Z</x:v>
      </x:c>
      <x:c r="B53" s="49" t="str">
        <x:v>IMO-119</x:v>
      </x:c>
      <x:c r="C53" s="49" t="str">
        <x:v>shipComponent</x:v>
      </x:c>
      <x:c r="D53" s="50" t="str">
        <x:v>https://w3id.org/nltl/vocab#shipComponent</x:v>
      </x:c>
      <x:c r="E53" s="49" t="str">
        <x:v>Class</x:v>
      </x:c>
      <x:c r="F53" s="49" t="str"/>
      <x:c r="G53" s="49" t="str"/>
      <x:c r="H53" s="49" t="str"/>
      <x:c r="I53" s="50" t="str">
        <x:v>component-path dependency inferred from the linked term module</x:v>
      </x:c>
      <x:c r="J53" s="49" t="n">
        <x:v>2</x:v>
      </x:c>
    </x:row>
  </x:sheetData>
  <x:pageMargins left="0.7" right="0.7" top="0.75" bottom="0.75" header="0.3" footer="0.3"/>
  <x:tableParts count="1">
    <x:tablePart xmlns:r="http://schemas.openxmlformats.org/officeDocument/2006/relationships" r:id="R193e5c33f6224bd6"/>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RUN-IMO-119-20260829T224043639559Z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RUN-IMO-119-20260829T224043639559Z</x:v>
      </x:c>
      <x:c r="B5" s="45" t="str">
        <x:v>IMO-119</x:v>
      </x:c>
      <x:c r="C5" s="45" t="str">
        <x:v>FS-INT-02</x:v>
      </x:c>
      <x:c r="D5" s="45" t="str">
        <x:v>conditional_integrated</x:v>
      </x:c>
      <x:c r="E5" s="97" t="n">
        <x:v>0.051282</x:v>
      </x:c>
      <x:c r="F5" s="45" t="str">
        <x:v>boolean | conditional | quantity | value</x:v>
      </x:c>
      <x:c r="G5" s="45" t="str">
        <x:v>synthetic-few-shot-not-benchmark-ground-truth</x:v>
      </x:c>
    </x:row>
    <x:row r="6">
      <x:c r="A6" s="49" t="str">
        <x:v>RUN-IMO-119-20260829T224043639559Z</x:v>
      </x:c>
      <x:c r="B6" s="49" t="str">
        <x:v>IMO-119</x:v>
      </x:c>
      <x:c r="C6" s="49" t="str">
        <x:v>FS-BOOL-01</x:v>
      </x:c>
      <x:c r="D6" s="49" t="str">
        <x:v>boolean_state</x:v>
      </x:c>
      <x:c r="E6" s="98" t="n">
        <x:v>0.038961</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fd27fc0a7a1d472b"/>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RUN-IMO-119-20260829T224043639559Z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RUN-IMO-119-20260829T224043639559Z</x:v>
      </x:c>
      <x:c r="B5" s="45" t="str">
        <x:v>IMO-119</x:v>
      </x:c>
      <x:c r="C5" s="58" t="n">
        <x:v>1</x:v>
      </x:c>
      <x:c r="D5" s="80" t="b">
        <x:v>1</x:v>
      </x:c>
      <x:c r="E5" s="80" t="b">
        <x:v>1</x:v>
      </x:c>
      <x:c r="F5" s="80" t="b">
        <x:v>1</x:v>
      </x:c>
      <x:c r="G5" s="80" t="b">
        <x:v>1</x:v>
      </x:c>
      <x:c r="H5" s="80" t="b">
        <x:v>1</x:v>
      </x:c>
      <x:c r="I5" s="80" t="b">
        <x:v>1</x:v>
      </x:c>
      <x:c r="J5" s="80" t="b">
        <x:v>1</x:v>
      </x:c>
      <x:c r="K5" s="101" t="b">
        <x:v>1</x:v>
      </x:c>
      <x:c r="L5" s="46" t="str"/>
      <x:c r="M5" s="46" t="str"/>
      <x:c r="N5" s="46" t="str">
        <x:v>https://w3id.org/nltl/vocab#administrationDischargeApprovalStatus | https://w3id.org/nltl/vocab#approvedSewageTreatmentPlantUsed | https://w3id.org/nltl/vocab#evidenceState | https://w3id.org/nltl/vocab#evidenceStateApproved | https://w3id.org/nltl/vocab#extendedPeriodOperation | https://w3id.org/nltl/vocab#iceConcentration | https://w3id.org/nltl/vocab#marpolAnnexIvRegulation9Point1Point1Or9Point2Point1CertificationStatus | https://w3id.org/nltl/vocab#marpolCertificationStatus | https://w3id.org/nltl/vocab#polarShipCategoryA | https://w3id.org/nltl/vocab#polarShipCategoryB | https://w3id.org/nltl/vocab#sewageDischargeOccurs | https://w3id.org/nltl/vocab#ship | https://w3id.org/nltl/vocab#shipCategory</x:v>
      </x:c>
      <x:c r="O5" s="46" t="str"/>
      <x:c r="P5" s="46" t="str"/>
      <x:c r="Q5" s="46" t="str"/>
    </x:row>
    <x:row r="6">
      <x:c r="A6" s="49" t="str">
        <x:v>RUN-IMO-119-20260829T224043639559Z</x:v>
      </x:c>
      <x:c r="B6" s="49" t="str">
        <x:v>IMO-119</x:v>
      </x:c>
      <x:c r="C6" s="60" t="n">
        <x:v>2</x:v>
      </x:c>
      <x:c r="D6" s="82" t="b">
        <x:v>1</x:v>
      </x:c>
      <x:c r="E6" s="82" t="b">
        <x:v>1</x:v>
      </x:c>
      <x:c r="F6" s="82" t="b">
        <x:v>1</x:v>
      </x:c>
      <x:c r="G6" s="82" t="b">
        <x:v>1</x:v>
      </x:c>
      <x:c r="H6" s="82" t="b">
        <x:v>1</x:v>
      </x:c>
      <x:c r="I6" s="82" t="b">
        <x:v>1</x:v>
      </x:c>
      <x:c r="J6" s="82" t="b">
        <x:v>1</x:v>
      </x:c>
      <x:c r="K6" s="102" t="b">
        <x:v>1</x:v>
      </x:c>
      <x:c r="L6" s="50" t="str"/>
      <x:c r="M6" s="50" t="str"/>
      <x:c r="N6" s="50" t="str">
        <x:v>https://w3id.org/nltl/vocab#administrationDischargeApprovalStatus | https://w3id.org/nltl/vocab#approvedSewageTreatmentPlantUsed | https://w3id.org/nltl/vocab#complianceStateCompliant | https://w3id.org/nltl/vocab#evidenceStateApproved | https://w3id.org/nltl/vocab#extendedPeriodOperation | https://w3id.org/nltl/vocab#iceConcentration | https://w3id.org/nltl/vocab#marpolAnnexIvRegulation9Point1Point1Or9Point2Point1CertificationStatus | https://w3id.org/nltl/vocab#marpolCertificationStatus | https://w3id.org/nltl/vocab#polarShipCategoryA | https://w3id.org/nltl/vocab#polarShipCategoryB | https://w3id.org/nltl/vocab#sewageDischargeOccurs | https://w3id.org/nltl/vocab#ship | https://w3id.org/nltl/vocab#shipCategory</x:v>
      </x:c>
      <x:c r="O6" s="50" t="str"/>
      <x:c r="P6" s="50" t="str"/>
      <x:c r="Q6" s="50" t="str"/>
    </x:row>
  </x:sheetData>
  <x:pageMargins left="0.7" right="0.7" top="0.75" bottom="0.75" header="0.3" footer="0.3"/>
  <x:tableParts count="1">
    <x:tablePart xmlns:r="http://schemas.openxmlformats.org/officeDocument/2006/relationships" r:id="Rd0470006d8db472c"/>
  </x:tableParts>
</x:worksheet>
</file>

<file path=xl/worksheets/sheet10.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8" hidden="0" customWidth="1"/>
    <x:col min="5" max="5" width="52" hidden="0" customWidth="1"/>
    <x:col min="6" max="6" width="17" hidden="0" customWidth="1"/>
    <x:col min="7" max="7" width="13" hidden="0" customWidth="1"/>
    <x:col min="8" max="8" width="40" hidden="0" customWidth="1"/>
    <x:col min="9" max="9" width="52" hidden="0" customWidth="1"/>
    <x:col min="10" max="10" width="52" hidden="0" customWidth="1"/>
  </x:cols>
  <x:sheetData>
    <x:row r="1">
      <x:c r="A1" s="18" t="str">
        <x:v>NLTL SHACL Pipeline Run Tracker</x:v>
      </x:c>
      <x:c r="B1" s="19"/>
      <x:c r="C1" s="19"/>
      <x:c r="D1" s="19"/>
      <x:c r="E1" s="19"/>
      <x:c r="F1" s="19"/>
      <x:c r="G1" s="19"/>
      <x:c r="H1" s="19"/>
      <x:c r="I1" s="19"/>
      <x:c r="J1" s="19"/>
    </x:row>
    <x:row r="2">
      <x:c r="A2" s="20" t="str">
        <x:v>VOCAB_MATCHES | Run folder: RUN-IMO-119-20260829T224043639559Z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45" t="str">
        <x:v>RUN-IMO-119-20260829T224043639559Z</x:v>
      </x:c>
      <x:c r="B5" s="45" t="str">
        <x:v>IMO-119</x:v>
      </x:c>
      <x:c r="C5" s="58" t="n">
        <x:v>1</x:v>
      </x:c>
      <x:c r="D5" s="45" t="str">
        <x:v>matcher_search</x:v>
      </x:c>
      <x:c r="E5" s="46" t="str">
        <x:v>The conditional check is not semantically faithful: it treats any nltl:evidenceState as satisfying the MARPOL Annex IV certification requirement, whereas the requirement requires the certification status to be compliant. Use the canonical controlled value for compliant (the supplied scoped vocabulary does not provide one, so locate it with the matcher) and require exact equality. Also enforce every declared directConstraintTerm in the COMPLETE contract, including marpolCertificationStatus, or remove it only if the contract is corrected; currently that property is merely shaped and never checked. Preserve the existing applicability conjunction and the &gt; 1 unitless decimal threshold.</x:v>
      </x:c>
      <x:c r="F5" s="58" t="n">
        <x:v>3</x:v>
      </x:c>
      <x:c r="G5" s="45" t="str"/>
      <x:c r="H5" s="45" t="str"/>
      <x:c r="I5" s="46" t="str"/>
      <x:c r="J5" s="46" t="str"/>
    </x:row>
    <x:row r="6">
      <x:c r="A6" s="49" t="str">
        <x:v>RUN-IMO-119-20260829T224043639559Z</x:v>
      </x:c>
      <x:c r="B6" s="49" t="str">
        <x:v>IMO-119</x:v>
      </x:c>
      <x:c r="C6" s="60" t="n">
        <x:v>1</x:v>
      </x:c>
      <x:c r="D6" s="49" t="str">
        <x:v>matcher_decision</x:v>
      </x:c>
      <x:c r="E6" s="50" t="str"/>
      <x:c r="F6" s="60" t="str"/>
      <x:c r="G6" s="82" t="b">
        <x:v>1</x:v>
      </x:c>
      <x:c r="H6" s="49" t="str">
        <x:v>complianceStateCompliant</x:v>
      </x:c>
      <x:c r="I6" s="50" t="str">
        <x:v>https://w3id.org/nltl/vocab#complianceStateCompliant</x:v>
      </x:c>
      <x:c r="J6" s="50" t="str">
        <x:v>Use this exact term because the requirement requires MARPOL certification status to equal the controlled compliant value, not merely any evidenceState; enforce exact equality while preserving the existing applicability conjunction and &gt; 1 unitless decimal threshold.</x:v>
      </x:c>
    </x:row>
  </x:sheetData>
  <x:pageMargins left="0.7" right="0.7" top="0.75" bottom="0.75" header="0.3" footer="0.3"/>
  <x:tableParts count="1">
    <x:tablePart xmlns:r="http://schemas.openxmlformats.org/officeDocument/2006/relationships" r:id="R83ccec2066234acb"/>
  </x:tableParts>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RUN-IMO-119-20260829T224043639559Z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RUN-IMO-119-20260829T224043639559Z</x:v>
      </x:c>
      <x:c r="B5" s="45" t="str">
        <x:v>IMO-119</x:v>
      </x:c>
      <x:c r="C5" s="58"/>
      <x:c r="D5" s="45" t="str">
        <x:v>initial_context_pack</x:v>
      </x:c>
      <x:c r="E5" s="46" t="str">
        <x:v>artifacts/context_pack_initial.json</x:v>
      </x:c>
      <x:c r="F5" s="45" t="str">
        <x:v>022f04773f296ef2da5133426893dd6130c3a8f3a0c395553bde86334727bc2f</x:v>
      </x:c>
      <x:c r="G5" s="58" t="n">
        <x:v>30175</x:v>
      </x:c>
    </x:row>
    <x:row r="6">
      <x:c r="A6" s="47" t="str">
        <x:v>RUN-IMO-119-20260829T224043639559Z</x:v>
      </x:c>
      <x:c r="B6" s="47" t="str">
        <x:v>IMO-119</x:v>
      </x:c>
      <x:c r="C6" s="59"/>
      <x:c r="D6" s="47" t="str">
        <x:v>few_shot_selection</x:v>
      </x:c>
      <x:c r="E6" s="48" t="str">
        <x:v>artifacts/few_shots_selected.json</x:v>
      </x:c>
      <x:c r="F6" s="47" t="str">
        <x:v>5a76b9b3be46c03f2b52bef79d7fcca30a7fa64c092a846f362a7f9251852a39</x:v>
      </x:c>
      <x:c r="G6" s="59" t="n">
        <x:v>6149</x:v>
      </x:c>
    </x:row>
    <x:row r="7">
      <x:c r="A7" s="47" t="str">
        <x:v>RUN-IMO-119-20260829T224043639559Z</x:v>
      </x:c>
      <x:c r="B7" s="47" t="str">
        <x:v>IMO-119</x:v>
      </x:c>
      <x:c r="C7" s="59" t="n">
        <x:v>1</x:v>
      </x:c>
      <x:c r="D7" s="47" t="str">
        <x:v>generator_prompt</x:v>
      </x:c>
      <x:c r="E7" s="48" t="str">
        <x:v>artifacts/attempt_01/generator_prompt.txt</x:v>
      </x:c>
      <x:c r="F7" s="47" t="str">
        <x:v>86883f16ce2e74a34b99c573b84397bc74dbb617481f8693426148d4d8958d33</x:v>
      </x:c>
      <x:c r="G7" s="59" t="n">
        <x:v>47938</x:v>
      </x:c>
    </x:row>
    <x:row r="8">
      <x:c r="A8" s="47" t="str">
        <x:v>RUN-IMO-119-20260829T224043639559Z</x:v>
      </x:c>
      <x:c r="B8" s="47" t="str">
        <x:v>IMO-119</x:v>
      </x:c>
      <x:c r="C8" s="59" t="n">
        <x:v>1</x:v>
      </x:c>
      <x:c r="D8" s="47" t="str">
        <x:v>generator_raw_response</x:v>
      </x:c>
      <x:c r="E8" s="48" t="str">
        <x:v>artifacts/attempt_01/generator_raw.txt</x:v>
      </x:c>
      <x:c r="F8" s="47" t="str">
        <x:v>607e7892e4de4e5672037fc0cd963db28f723b39699d1feb78ed5a37d6648d3e</x:v>
      </x:c>
      <x:c r="G8" s="59" t="n">
        <x:v>3360</x:v>
      </x:c>
    </x:row>
    <x:row r="9">
      <x:c r="A9" s="47" t="str">
        <x:v>RUN-IMO-119-20260829T224043639559Z</x:v>
      </x:c>
      <x:c r="B9" s="47" t="str">
        <x:v>IMO-119</x:v>
      </x:c>
      <x:c r="C9" s="59" t="n">
        <x:v>1</x:v>
      </x:c>
      <x:c r="D9" s="47" t="str">
        <x:v>candidate_shape</x:v>
      </x:c>
      <x:c r="E9" s="48" t="str">
        <x:v>artifacts/attempt_01/candidate_shape.ttl</x:v>
      </x:c>
      <x:c r="F9" s="47" t="str">
        <x:v>aaf8c0cbba6fa522397918d53047b63fbb8b78671ee779b4fd544593af9c53a9</x:v>
      </x:c>
      <x:c r="G9" s="59" t="n">
        <x:v>3335</x:v>
      </x:c>
    </x:row>
    <x:row r="10">
      <x:c r="A10" s="47" t="str">
        <x:v>RUN-IMO-119-20260829T224043639559Z</x:v>
      </x:c>
      <x:c r="B10" s="47" t="str">
        <x:v>IMO-119</x:v>
      </x:c>
      <x:c r="C10" s="59" t="n">
        <x:v>1</x:v>
      </x:c>
      <x:c r="D10" s="47" t="str">
        <x:v>deterministic_validation</x:v>
      </x:c>
      <x:c r="E10" s="48" t="str">
        <x:v>artifacts/attempt_01/deterministic_validation.json</x:v>
      </x:c>
      <x:c r="F10" s="47" t="str">
        <x:v>e6fc9e0142dcfe5d4fb9a2e21dd887bee6002e108ac49f26093cbbad91cccc1e</x:v>
      </x:c>
      <x:c r="G10" s="59" t="n">
        <x:v>1167</x:v>
      </x:c>
    </x:row>
    <x:row r="11">
      <x:c r="A11" s="47" t="str">
        <x:v>RUN-IMO-119-20260829T224043639559Z</x:v>
      </x:c>
      <x:c r="B11" s="47" t="str">
        <x:v>IMO-119</x:v>
      </x:c>
      <x:c r="C11" s="59" t="n">
        <x:v>1</x:v>
      </x:c>
      <x:c r="D11" s="47" t="str">
        <x:v>validator_prompt</x:v>
      </x:c>
      <x:c r="E11" s="48" t="str">
        <x:v>artifacts/attempt_01/validator_prompt_01.txt</x:v>
      </x:c>
      <x:c r="F11" s="47" t="str">
        <x:v>9a66f2286be424a055c2644e1ed512ee5d12984856cb9f51b681935ebc6afeeb</x:v>
      </x:c>
      <x:c r="G11" s="59" t="n">
        <x:v>46117</x:v>
      </x:c>
    </x:row>
    <x:row r="12">
      <x:c r="A12" s="47" t="str">
        <x:v>RUN-IMO-119-20260829T224043639559Z</x:v>
      </x:c>
      <x:c r="B12" s="47" t="str">
        <x:v>IMO-119</x:v>
      </x:c>
      <x:c r="C12" s="59" t="n">
        <x:v>1</x:v>
      </x:c>
      <x:c r="D12" s="47" t="str">
        <x:v>validator_raw_response</x:v>
      </x:c>
      <x:c r="E12" s="48" t="str">
        <x:v>artifacts/attempt_01/validator_raw_01.txt</x:v>
      </x:c>
      <x:c r="F12" s="47" t="str">
        <x:v>9d3ccd96c9e32aabc1b6cb1395b22b4296332112b5dac40f5888e8e11ca6bd00</x:v>
      </x:c>
      <x:c r="G12" s="59" t="n">
        <x:v>753</x:v>
      </x:c>
    </x:row>
    <x:row r="13">
      <x:c r="A13" s="47" t="str">
        <x:v>RUN-IMO-119-20260829T224043639559Z</x:v>
      </x:c>
      <x:c r="B13" s="47" t="str">
        <x:v>IMO-119</x:v>
      </x:c>
      <x:c r="C13" s="59" t="n">
        <x:v>1</x:v>
      </x:c>
      <x:c r="D13" s="47" t="str">
        <x:v>matcher_candidates</x:v>
      </x:c>
      <x:c r="E13" s="48" t="str">
        <x:v>artifacts/attempt_01/matcher_candidates.json</x:v>
      </x:c>
      <x:c r="F13" s="47" t="str">
        <x:v>c7cd77ab1494c52d84221aa6d174207b761223606216035b05f9b1a4aaeeca6e</x:v>
      </x:c>
      <x:c r="G13" s="59" t="n">
        <x:v>1739</x:v>
      </x:c>
    </x:row>
    <x:row r="14">
      <x:c r="A14" s="47" t="str">
        <x:v>RUN-IMO-119-20260829T224043639559Z</x:v>
      </x:c>
      <x:c r="B14" s="47" t="str">
        <x:v>IMO-119</x:v>
      </x:c>
      <x:c r="C14" s="59" t="n">
        <x:v>1</x:v>
      </x:c>
      <x:c r="D14" s="47" t="str">
        <x:v>vocabulary_matcher_prompt</x:v>
      </x:c>
      <x:c r="E14" s="48" t="str">
        <x:v>artifacts/attempt_01/vocabulary_matcher_prompt_01.txt</x:v>
      </x:c>
      <x:c r="F14" s="47" t="str">
        <x:v>123eb8bc6b716b5b86f1e460cc62bc371460e0d82c2bf56799879f44e5aea97d</x:v>
      </x:c>
      <x:c r="G14" s="59" t="n">
        <x:v>8602</x:v>
      </x:c>
    </x:row>
    <x:row r="15">
      <x:c r="A15" s="47" t="str">
        <x:v>RUN-IMO-119-20260829T224043639559Z</x:v>
      </x:c>
      <x:c r="B15" s="47" t="str">
        <x:v>IMO-119</x:v>
      </x:c>
      <x:c r="C15" s="59" t="n">
        <x:v>1</x:v>
      </x:c>
      <x:c r="D15" s="47" t="str">
        <x:v>vocabulary_matcher_raw_response</x:v>
      </x:c>
      <x:c r="E15" s="48" t="str">
        <x:v>artifacts/attempt_01/vocabulary_matcher_raw_01.txt</x:v>
      </x:c>
      <x:c r="F15" s="47" t="str">
        <x:v>273cf0260d3764317f523b731ead1c192299cb2e04463d2f33ada81e4719bbcc</x:v>
      </x:c>
      <x:c r="G15" s="59" t="n">
        <x:v>430</x:v>
      </x:c>
    </x:row>
    <x:row r="16">
      <x:c r="A16" s="47" t="str">
        <x:v>RUN-IMO-119-20260829T224043639559Z</x:v>
      </x:c>
      <x:c r="B16" s="47" t="str">
        <x:v>IMO-119</x:v>
      </x:c>
      <x:c r="C16" s="59" t="n">
        <x:v>2</x:v>
      </x:c>
      <x:c r="D16" s="47" t="str">
        <x:v>expanded_context_pack</x:v>
      </x:c>
      <x:c r="E16" s="48" t="str">
        <x:v>artifacts/attempt_02/context_pack_expanded.json</x:v>
      </x:c>
      <x:c r="F16" s="47" t="str">
        <x:v>72302a8c4c81c6e1444219350d7df3ffe2128c8d9b10b740e201fe313e794f3c</x:v>
      </x:c>
      <x:c r="G16" s="59" t="n">
        <x:v>30949</x:v>
      </x:c>
    </x:row>
    <x:row r="17">
      <x:c r="A17" s="47" t="str">
        <x:v>RUN-IMO-119-20260829T224043639559Z</x:v>
      </x:c>
      <x:c r="B17" s="47" t="str">
        <x:v>IMO-119</x:v>
      </x:c>
      <x:c r="C17" s="59" t="n">
        <x:v>2</x:v>
      </x:c>
      <x:c r="D17" s="47" t="str">
        <x:v>generator_prompt</x:v>
      </x:c>
      <x:c r="E17" s="48" t="str">
        <x:v>artifacts/attempt_02/generator_prompt.txt</x:v>
      </x:c>
      <x:c r="F17" s="47" t="str">
        <x:v>7afa2e823c082adb7ce447ebc1db521a8a3f08883616ed98aa8262b2b8ec6f46</x:v>
      </x:c>
      <x:c r="G17" s="59" t="n">
        <x:v>49768</x:v>
      </x:c>
    </x:row>
    <x:row r="18">
      <x:c r="A18" s="47" t="str">
        <x:v>RUN-IMO-119-20260829T224043639559Z</x:v>
      </x:c>
      <x:c r="B18" s="47" t="str">
        <x:v>IMO-119</x:v>
      </x:c>
      <x:c r="C18" s="59" t="n">
        <x:v>2</x:v>
      </x:c>
      <x:c r="D18" s="47" t="str">
        <x:v>generator_raw_response</x:v>
      </x:c>
      <x:c r="E18" s="48" t="str">
        <x:v>artifacts/attempt_02/generator_raw.txt</x:v>
      </x:c>
      <x:c r="F18" s="47" t="str">
        <x:v>caff3c8831f869c829f6e72c042d756f883b6c17f3fef09a0887e2162cb8381d</x:v>
      </x:c>
      <x:c r="G18" s="59" t="n">
        <x:v>4336</x:v>
      </x:c>
    </x:row>
    <x:row r="19">
      <x:c r="A19" s="47" t="str">
        <x:v>RUN-IMO-119-20260829T224043639559Z</x:v>
      </x:c>
      <x:c r="B19" s="47" t="str">
        <x:v>IMO-119</x:v>
      </x:c>
      <x:c r="C19" s="59" t="n">
        <x:v>2</x:v>
      </x:c>
      <x:c r="D19" s="47" t="str">
        <x:v>candidate_shape</x:v>
      </x:c>
      <x:c r="E19" s="48" t="str">
        <x:v>artifacts/attempt_02/candidate_shape.ttl</x:v>
      </x:c>
      <x:c r="F19" s="47" t="str">
        <x:v>4678b0658828c97a3c86ee3e6406fb81f6788bf69351aeebd8a1712269a55799</x:v>
      </x:c>
      <x:c r="G19" s="59" t="n">
        <x:v>4311</x:v>
      </x:c>
    </x:row>
    <x:row r="20">
      <x:c r="A20" s="47" t="str">
        <x:v>RUN-IMO-119-20260829T224043639559Z</x:v>
      </x:c>
      <x:c r="B20" s="47" t="str">
        <x:v>IMO-119</x:v>
      </x:c>
      <x:c r="C20" s="59" t="n">
        <x:v>2</x:v>
      </x:c>
      <x:c r="D20" s="47" t="str">
        <x:v>deterministic_validation</x:v>
      </x:c>
      <x:c r="E20" s="48" t="str">
        <x:v>artifacts/attempt_02/deterministic_validation.json</x:v>
      </x:c>
      <x:c r="F20" s="47" t="str">
        <x:v>d344e3ad73573808f73498d365062162b520d6e930d5f184c02dfaded2cc1219</x:v>
      </x:c>
      <x:c r="G20" s="59" t="n">
        <x:v>1178</x:v>
      </x:c>
    </x:row>
    <x:row r="21">
      <x:c r="A21" s="47" t="str">
        <x:v>RUN-IMO-119-20260829T224043639559Z</x:v>
      </x:c>
      <x:c r="B21" s="47" t="str">
        <x:v>IMO-119</x:v>
      </x:c>
      <x:c r="C21" s="59" t="n">
        <x:v>2</x:v>
      </x:c>
      <x:c r="D21" s="47" t="str">
        <x:v>validator_prompt</x:v>
      </x:c>
      <x:c r="E21" s="48" t="str">
        <x:v>artifacts/attempt_02/validator_prompt_01.txt</x:v>
      </x:c>
      <x:c r="F21" s="47" t="str">
        <x:v>a9419a7cd9ad764468097a4de0bf4dabfc1490b7e2d4ce6f8c3534aa549204ac</x:v>
      </x:c>
      <x:c r="G21" s="59" t="n">
        <x:v>49028</x:v>
      </x:c>
    </x:row>
    <x:row r="22">
      <x:c r="A22" s="47" t="str">
        <x:v>RUN-IMO-119-20260829T224043639559Z</x:v>
      </x:c>
      <x:c r="B22" s="47" t="str">
        <x:v>IMO-119</x:v>
      </x:c>
      <x:c r="C22" s="59" t="n">
        <x:v>2</x:v>
      </x:c>
      <x:c r="D22" s="47" t="str">
        <x:v>validator_raw_response</x:v>
      </x:c>
      <x:c r="E22" s="48" t="str">
        <x:v>artifacts/attempt_02/validator_raw_01.txt</x:v>
      </x:c>
      <x:c r="F22" s="47" t="str">
        <x:v>debe0f3fdb5081ecb0d60676c1d3601c585e55e6950efb4360583b6e386368b0</x:v>
      </x:c>
      <x:c r="G22" s="59" t="n">
        <x:v>480</x:v>
      </x:c>
    </x:row>
    <x:row r="23">
      <x:c r="A23" s="49" t="str">
        <x:v>RUN-IMO-119-20260829T224043639559Z</x:v>
      </x:c>
      <x:c r="B23" s="49" t="str">
        <x:v>IMO-119</x:v>
      </x:c>
      <x:c r="C23" s="60" t="n">
        <x:v>2</x:v>
      </x:c>
      <x:c r="D23" s="49" t="str">
        <x:v>final_accepted_shape</x:v>
      </x:c>
      <x:c r="E23" s="50" t="str">
        <x:v>final/final_shape.ttl</x:v>
      </x:c>
      <x:c r="F23" s="49" t="str">
        <x:v>4678b0658828c97a3c86ee3e6406fb81f6788bf69351aeebd8a1712269a55799</x:v>
      </x:c>
      <x:c r="G23" s="60" t="n">
        <x:v>4311</x:v>
      </x:c>
    </x:row>
  </x:sheetData>
  <x:pageMargins left="0.7" right="0.7" top="0.75" bottom="0.75" header="0.3" footer="0.3"/>
  <x:tableParts count="1">
    <x:tablePart xmlns:r="http://schemas.openxmlformats.org/officeDocument/2006/relationships" r:id="R572c2c8aef7f4bdd"/>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RUN-IMO-119-20260829T224043639559Z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4"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RUN-IMO-119-20260829T224043639559Z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RUN-IMO-119-20260829T224043639559Z</x:v>
      </x:c>
      <x:c r="B5" s="69" t="str">
        <x:v>IMO-119</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245a4a5b21a0431a"/>
  </x:tableParts>
</x:worksheet>
</file>