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e2704a412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d980374ead4103"/>
    <x:sheet xmlns:r="http://schemas.openxmlformats.org/officeDocument/2006/relationships" name="README" sheetId="2" r:id="Rb4e8022d43834fcb"/>
    <x:sheet xmlns:r="http://schemas.openxmlformats.org/officeDocument/2006/relationships" name="REGULATION_QUEUE" sheetId="3" r:id="R0c123dcbf3b34fec"/>
    <x:sheet xmlns:r="http://schemas.openxmlformats.org/officeDocument/2006/relationships" name="RUNS" sheetId="4" r:id="R78397916c97a440e"/>
    <x:sheet xmlns:r="http://schemas.openxmlformats.org/officeDocument/2006/relationships" name="ITERATIONS" sheetId="5" r:id="R6f6d7918bc1944ed"/>
    <x:sheet xmlns:r="http://schemas.openxmlformats.org/officeDocument/2006/relationships" name="API_CALLS" sheetId="6" r:id="Re5f97304c9f24243"/>
    <x:sheet xmlns:r="http://schemas.openxmlformats.org/officeDocument/2006/relationships" name="TERM_RETRIEVAL" sheetId="7" r:id="R8af4f0ce9d35492c"/>
    <x:sheet xmlns:r="http://schemas.openxmlformats.org/officeDocument/2006/relationships" name="FEW_SHOT_SELECTION" sheetId="8" r:id="Re9ad5eb20d2c4ce6"/>
    <x:sheet xmlns:r="http://schemas.openxmlformats.org/officeDocument/2006/relationships" name="VALIDATION" sheetId="9" r:id="R96683514f54043b8"/>
    <x:sheet xmlns:r="http://schemas.openxmlformats.org/officeDocument/2006/relationships" name="VOCAB_MATCHES" sheetId="10" r:id="Race33af21b1d4329"/>
    <x:sheet xmlns:r="http://schemas.openxmlformats.org/officeDocument/2006/relationships" name="ARTIFACTS" sheetId="11" r:id="R9d78e5aca56e4713"/>
    <x:sheet xmlns:r="http://schemas.openxmlformats.org/officeDocument/2006/relationships" name="UNRESOLVED" sheetId="12" r:id="R665bc587dd8f4ee3"/>
    <x:sheet xmlns:r="http://schemas.openxmlformats.org/officeDocument/2006/relationships" name="RDF_TEST_QUEUE" sheetId="13" r:id="R9e3ffbeeb20640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dec7ee72824c3f" /><Relationship Type="http://schemas.openxmlformats.org/officeDocument/2006/relationships/theme" Target="/xl/theme/theme1.xml" Id="R8a37d34eef2e4eb7" /><Relationship Type="http://schemas.microsoft.com/office/2022/11/relationships/FeaturePropertyBag" Target="/xl/featurePropertyBag/featurePropertyBag.xml" Id="Rf2d857a231d74012" /><Relationship Type="http://schemas.openxmlformats.org/officeDocument/2006/relationships/sharedStrings" Target="/xl/sharedStrings.xml" Id="R3517596f65b541e8" /><Relationship Type="http://schemas.openxmlformats.org/officeDocument/2006/relationships/worksheet" Target="/xl/worksheets/sheet1.xml" Id="R74d980374ead4103" /><Relationship Type="http://schemas.openxmlformats.org/officeDocument/2006/relationships/worksheet" Target="/xl/worksheets/sheet2.xml" Id="Rb4e8022d43834fcb" /><Relationship Type="http://schemas.openxmlformats.org/officeDocument/2006/relationships/worksheet" Target="/xl/worksheets/sheet3.xml" Id="R0c123dcbf3b34fec" /><Relationship Type="http://schemas.openxmlformats.org/officeDocument/2006/relationships/worksheet" Target="/xl/worksheets/sheet4.xml" Id="R78397916c97a440e" /><Relationship Type="http://schemas.openxmlformats.org/officeDocument/2006/relationships/worksheet" Target="/xl/worksheets/sheet5.xml" Id="R6f6d7918bc1944ed" /><Relationship Type="http://schemas.openxmlformats.org/officeDocument/2006/relationships/worksheet" Target="/xl/worksheets/sheet6.xml" Id="Re5f97304c9f24243" /><Relationship Type="http://schemas.openxmlformats.org/officeDocument/2006/relationships/worksheet" Target="/xl/worksheets/sheet7.xml" Id="R8af4f0ce9d35492c" /><Relationship Type="http://schemas.openxmlformats.org/officeDocument/2006/relationships/worksheet" Target="/xl/worksheets/sheet8.xml" Id="Re9ad5eb20d2c4ce6" /><Relationship Type="http://schemas.openxmlformats.org/officeDocument/2006/relationships/worksheet" Target="/xl/worksheets/sheet9.xml" Id="R96683514f54043b8" /><Relationship Type="http://schemas.openxmlformats.org/officeDocument/2006/relationships/worksheet" Target="/xl/worksheets/sheet10.xml" Id="Race33af21b1d4329" /><Relationship Type="http://schemas.openxmlformats.org/officeDocument/2006/relationships/worksheet" Target="/xl/worksheets/sheet11.xml" Id="R9d78e5aca56e4713" /><Relationship Type="http://schemas.openxmlformats.org/officeDocument/2006/relationships/worksheet" Target="/xl/worksheets/sheet12.xml" Id="R665bc587dd8f4ee3" /><Relationship Type="http://schemas.openxmlformats.org/officeDocument/2006/relationships/worksheet" Target="/xl/worksheets/sheet13.xml" Id="R9e3ffbeeb20640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d16ca3d44e4a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33b0c7253041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072b961ff744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d74b6d324e46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ee8396f4c04d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9aa24a811c41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0002b1ea7948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5367a9d7a14a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e9d1fef27443d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3c6c9f77a924d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RUN-IMO-121-20260829T224518921772Z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7175.3245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RUN-IMO-121-20260829T224518921772Z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d16ca3d44e4a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RUN-IMO-121-20260829T224518921772Z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GENERATION_ACCEPTED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33b0c7253041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RUN-IMO-121-20260829T224518921772Z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RUN-IMO-121-20260829T224518921772Z</x:v>
      </x:c>
      <x:c r="C5" s="69" t="str">
        <x:v>IMO-121</x:v>
      </x:c>
      <x:c r="D5" s="70" t="n">
        <x:v>46263.94813567129</x:v>
      </x:c>
      <x:c r="E5" s="70" t="n">
        <x:v>46263.94847033565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Accepted. The candidate faithfully encodes the conditional requirement: discharge=true requires comminuted/ground=true, screen opening &lt;=25 mm in MilliM, and contamination=false; the non-applicable branch only excludes discharge=true without forcing presence or false. Target, canonical terms, datatypes, unit, comparison direction,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072b961ff744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RUN-IMO-121-20260829T224518921772Z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RUN-IMO-121-20260829T224518921772Z</x:v>
      </x:c>
      <x:c r="B5" s="45" t="str">
        <x:v>IMO-121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false branch's mandatory foodWasteDischargeToSea=false constraint. The requirement is an implication: when foodWasteDischargeToSea is true, require comminuted/ground=true, requiredScreenOpening &lt;=25 mm, and contaminatedByOtherGarbage=false; it does not require the discharge property to exist or force it to false when the condition is not applicable. Encode the non-applicable branch as not having discharge=true, without minCount/hasValue false, while retaining the true branch constraints and ship targeting.</x:v>
      </x:c>
      <x:c r="I5" s="81" t="n">
        <x:v>8531.748</x:v>
      </x:c>
      <x:c r="J5" s="81" t="n">
        <x:v>7269.497</x:v>
      </x:c>
    </x:row>
    <x:row r="6">
      <x:c r="A6" s="49" t="str">
        <x:v>RUN-IMO-121-20260829T224518921772Z</x:v>
      </x:c>
      <x:c r="B6" s="49" t="str">
        <x:v>IMO-121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Accepted. The candidate faithfully encodes the conditional requirement: discharge=true requires comminuted/ground=true, screen opening &lt;=25 mm in MilliM, and contamination=false; the non-applicable branch only excludes discharge=true without forcing presence or false. Target, canonical terms, datatypes, unit, comparison direction, and SHACL structure are valid.</x:v>
      </x:c>
      <x:c r="I6" s="83" t="n">
        <x:v>7468.395</x:v>
      </x:c>
      <x:c r="J6" s="83" t="n">
        <x:v>5434.472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d74b6d324e46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RUN-IMO-121-20260829T224518921772Z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RUN-IMO-121-20260829T224518921772Z</x:v>
      </x:c>
      <x:c r="C5" s="45" t="str">
        <x:v>IMO-121</x:v>
      </x:c>
      <x:c r="D5" s="90" t="n">
        <x:v>46263.948234421296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8530.586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RUN-IMO-121-20260829T224518921772Z</x:v>
      </x:c>
      <x:c r="C6" s="47" t="str">
        <x:v>IMO-121</x:v>
      </x:c>
      <x:c r="D6" s="91" t="n">
        <x:v>46263.94823443287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8531.748</x:v>
      </x:c>
      <x:c r="L6" s="93" t="b">
        <x:v>0</x:v>
      </x:c>
      <x:c r="M6" s="47" t="str">
        <x:v>resp_0c653534465ab0f0006a9360fefb5c8196b203de202fa7ab5a</x:v>
      </x:c>
      <x:c r="N6" s="59" t="n">
        <x:v>6721</x:v>
      </x:c>
      <x:c r="O6" s="59" t="n">
        <x:v>1138</x:v>
      </x:c>
      <x:c r="P6" s="59" t="n">
        <x:v>7859</x:v>
      </x:c>
    </x:row>
    <x:row r="7">
      <x:c r="A7" s="47" t="str">
        <x:v>EVT-000022</x:v>
      </x:c>
      <x:c r="B7" s="47" t="str">
        <x:v>RUN-IMO-121-20260829T224518921772Z</x:v>
      </x:c>
      <x:c r="C7" s="47" t="str">
        <x:v>IMO-121</x:v>
      </x:c>
      <x:c r="D7" s="91" t="n">
        <x:v>46263.94831975694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7268.033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RUN-IMO-121-20260829T224518921772Z</x:v>
      </x:c>
      <x:c r="C8" s="47" t="str">
        <x:v>IMO-121</x:v>
      </x:c>
      <x:c r="D8" s="91" t="n">
        <x:v>46263.948319780095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7269.497</x:v>
      </x:c>
      <x:c r="L8" s="93" t="b">
        <x:v>0</x:v>
      </x:c>
      <x:c r="M8" s="47" t="str">
        <x:v>resp_0375fac100b3a7e1006a936107a0fc81908833304574c2712a</x:v>
      </x:c>
      <x:c r="N8" s="59" t="n">
        <x:v>5314</x:v>
      </x:c>
      <x:c r="O8" s="59" t="n">
        <x:v>642</x:v>
      </x:c>
      <x:c r="P8" s="59" t="n">
        <x:v>5956</x:v>
      </x:c>
    </x:row>
    <x:row r="9">
      <x:c r="A9" s="47" t="str">
        <x:v>EVT-000028</x:v>
      </x:c>
      <x:c r="B9" s="47" t="str">
        <x:v>RUN-IMO-121-20260829T224518921772Z</x:v>
      </x:c>
      <x:c r="C9" s="47" t="str">
        <x:v>IMO-121</x:v>
      </x:c>
      <x:c r="D9" s="91" t="n">
        <x:v>46263.948406261574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7466.823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RUN-IMO-121-20260829T224518921772Z</x:v>
      </x:c>
      <x:c r="C10" s="47" t="str">
        <x:v>IMO-121</x:v>
      </x:c>
      <x:c r="D10" s="91" t="n">
        <x:v>46263.94840628472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7468.395</x:v>
      </x:c>
      <x:c r="L10" s="93" t="b">
        <x:v>0</x:v>
      </x:c>
      <x:c r="M10" s="47" t="str">
        <x:v>resp_0cb678baaa4a05f0006a93610ee5248197b9a16713188602de</x:v>
      </x:c>
      <x:c r="N10" s="59" t="n">
        <x:v>6826</x:v>
      </x:c>
      <x:c r="O10" s="59" t="n">
        <x:v>1074</x:v>
      </x:c>
      <x:c r="P10" s="59" t="n">
        <x:v>7900</x:v>
      </x:c>
    </x:row>
    <x:row r="11">
      <x:c r="A11" s="47" t="str">
        <x:v>EVT-000036</x:v>
      </x:c>
      <x:c r="B11" s="47" t="str">
        <x:v>RUN-IMO-121-20260829T224518921772Z</x:v>
      </x:c>
      <x:c r="C11" s="47" t="str">
        <x:v>IMO-121</x:v>
      </x:c>
      <x:c r="D11" s="91" t="n">
        <x:v>46263.9484702662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5433.042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RUN-IMO-121-20260829T224518921772Z</x:v>
      </x:c>
      <x:c r="C12" s="49" t="str">
        <x:v>IMO-121</x:v>
      </x:c>
      <x:c r="D12" s="94" t="n">
        <x:v>46263.94847027778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5434.472</x:v>
      </x:c>
      <x:c r="L12" s="82" t="b">
        <x:v>0</x:v>
      </x:c>
      <x:c r="M12" s="49" t="str">
        <x:v>resp_0884a55f417f10e6006a93611674d88193afc985de34be650e</x:v>
      </x:c>
      <x:c r="N12" s="60" t="n">
        <x:v>5347</x:v>
      </x:c>
      <x:c r="O12" s="60" t="n">
        <x:v>433</x:v>
      </x:c>
      <x:c r="P12" s="60" t="n">
        <x:v>5780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ee8396f4c04d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RUN-IMO-121-20260829T224518921772Z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RUN-IMO-121-20260829T224518921772Z</x:v>
      </x:c>
      <x:c r="B5" s="45" t="str">
        <x:v>IMO-121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RUN-IMO-121-20260829T224518921772Z</x:v>
      </x:c>
      <x:c r="B6" s="47" t="str">
        <x:v>IMO-121</x:v>
      </x:c>
      <x:c r="C6" s="47" t="str">
        <x:v>contaminatedByOtherGarbage</x:v>
      </x:c>
      <x:c r="D6" s="48" t="str">
        <x:v>https://w3id.org/nltl/vocab#contaminatedByOtherGarbage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RUN-IMO-121-20260829T224518921772Z</x:v>
      </x:c>
      <x:c r="B7" s="47" t="str">
        <x:v>IMO-121</x:v>
      </x:c>
      <x:c r="C7" s="47" t="str">
        <x:v>foodWasteComminutedOrGround</x:v>
      </x:c>
      <x:c r="D7" s="48" t="str">
        <x:v>https://w3id.org/nltl/vocab#foodWasteComminutedOrGround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RUN-IMO-121-20260829T224518921772Z</x:v>
      </x:c>
      <x:c r="B8" s="47" t="str">
        <x:v>IMO-121</x:v>
      </x:c>
      <x:c r="C8" s="47" t="str">
        <x:v>foodWasteDischargeToSea</x:v>
      </x:c>
      <x:c r="D8" s="48" t="str">
        <x:v>https://w3id.org/nltl/vocab#foodWasteDischargeToSea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RUN-IMO-121-20260829T224518921772Z</x:v>
      </x:c>
      <x:c r="B9" s="47" t="str">
        <x:v>IMO-121</x:v>
      </x:c>
      <x:c r="C9" s="47" t="str">
        <x:v>requiredScreenOpening</x:v>
      </x:c>
      <x:c r="D9" s="48" t="str">
        <x:v>https://w3id.org/nltl/vocab#requiredScreenOpening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RUN-IMO-121-20260829T224518921772Z</x:v>
      </x:c>
      <x:c r="B10" s="49" t="str">
        <x:v>IMO-121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9aa24a811c41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RUN-IMO-121-20260829T224518921772Z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RUN-IMO-121-20260829T224518921772Z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7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RUN-IMO-121-20260829T224518921772Z</x:v>
      </x:c>
      <x:c r="B6" s="49" t="str">
        <x:v>IMO-121</x:v>
      </x:c>
      <x:c r="C6" s="49" t="str">
        <x:v>FS-BOOL-01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0002b1ea7948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RUN-IMO-121-20260829T224518921772Z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RUN-IMO-121-20260829T224518921772Z</x:v>
      </x:c>
      <x:c r="B5" s="45" t="str">
        <x:v>IMO-121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5" s="46" t="str"/>
      <x:c r="P5" s="46" t="str"/>
      <x:c r="Q5" s="46" t="str"/>
    </x:row>
    <x:row r="6">
      <x:c r="A6" s="49" t="str">
        <x:v>RUN-IMO-121-20260829T224518921772Z</x:v>
      </x:c>
      <x:c r="B6" s="49" t="str">
        <x:v>IMO-121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95367a9d7a14a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RUN-IMO-121-20260829T224518921772Z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RUN-IMO-121-20260829T224518921772Z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RUN-IMO-121-20260829T224518921772Z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c420a5647badde863af3a622c32ef7aaa0d62f04982e6035b88f5ecdb8201f76</x:v>
      </x:c>
      <x:c r="G5" s="58" t="n">
        <x:v>10412</x:v>
      </x:c>
    </x:row>
    <x:row r="6">
      <x:c r="A6" s="47" t="str">
        <x:v>RUN-IMO-121-20260829T224518921772Z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RUN-IMO-121-20260829T224518921772Z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5072ffafc5634db5ea8d88640e69e93a5d1b7a77128192ea4a2269ba3856b15c</x:v>
      </x:c>
      <x:c r="G7" s="59" t="n">
        <x:v>28171</x:v>
      </x:c>
    </x:row>
    <x:row r="8">
      <x:c r="A8" s="47" t="str">
        <x:v>RUN-IMO-121-20260829T224518921772Z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ffd199a44405f2dca337bff9c82e38e13697ed43d00e70ff8e3f9b2a22c42bf2</x:v>
      </x:c>
      <x:c r="G8" s="59" t="n">
        <x:v>2285</x:v>
      </x:c>
    </x:row>
    <x:row r="9">
      <x:c r="A9" s="47" t="str">
        <x:v>RUN-IMO-121-20260829T224518921772Z</x:v>
      </x:c>
      <x:c r="B9" s="47" t="str">
        <x:v>IMO-121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b15062bf3eec71e612d1239aef5c12cd57371de295d19655e248e8c9a6f2dde6</x:v>
      </x:c>
      <x:c r="G9" s="59" t="n">
        <x:v>2260</x:v>
      </x:c>
    </x:row>
    <x:row r="10">
      <x:c r="A10" s="47" t="str">
        <x:v>RUN-IMO-121-20260829T224518921772Z</x:v>
      </x:c>
      <x:c r="B10" s="47" t="str">
        <x:v>IMO-121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31e084792189900959494ec41a20d95eb8b40c38152f937c1b0f2c4cd09c4c62</x:v>
      </x:c>
      <x:c r="G10" s="59" t="n">
        <x:v>670</x:v>
      </x:c>
    </x:row>
    <x:row r="11">
      <x:c r="A11" s="47" t="str">
        <x:v>RUN-IMO-121-20260829T224518921772Z</x:v>
      </x:c>
      <x:c r="B11" s="47" t="str">
        <x:v>IMO-121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047baf8eb642aa0e8a98e32c73e60cf71f6987f2e7d854bc9003852e2a48b731</x:v>
      </x:c>
      <x:c r="G11" s="59" t="n">
        <x:v>21925</x:v>
      </x:c>
    </x:row>
    <x:row r="12">
      <x:c r="A12" s="47" t="str">
        <x:v>RUN-IMO-121-20260829T224518921772Z</x:v>
      </x:c>
      <x:c r="B12" s="47" t="str">
        <x:v>IMO-121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9d830fe87a3ab51fce8c65a63e52836c88c594e23bb86adca8a7907904b6129e</x:v>
      </x:c>
      <x:c r="G12" s="59" t="n">
        <x:v>586</x:v>
      </x:c>
    </x:row>
    <x:row r="13">
      <x:c r="A13" s="47" t="str">
        <x:v>RUN-IMO-121-20260829T224518921772Z</x:v>
      </x:c>
      <x:c r="B13" s="47" t="str">
        <x:v>IMO-121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77747e38e3443e7a24d74f0098562bbe3280bb3e315360a6efc24a092e4d54ad</x:v>
      </x:c>
      <x:c r="G13" s="59" t="n">
        <x:v>28692</x:v>
      </x:c>
    </x:row>
    <x:row r="14">
      <x:c r="A14" s="47" t="str">
        <x:v>RUN-IMO-121-20260829T224518921772Z</x:v>
      </x:c>
      <x:c r="B14" s="47" t="str">
        <x:v>IMO-121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9b59ba7069d59a6258f413e87e9f6e1ad9d4ca13cba5a1d441be17b3a18f9ce7</x:v>
      </x:c>
      <x:c r="G14" s="59" t="n">
        <x:v>2431</x:v>
      </x:c>
    </x:row>
    <x:row r="15">
      <x:c r="A15" s="47" t="str">
        <x:v>RUN-IMO-121-20260829T224518921772Z</x:v>
      </x:c>
      <x:c r="B15" s="47" t="str">
        <x:v>IMO-121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a4013e4dbbf4d3c07fd4f0438e28d6f8eb498b6ec9bdcda76462a39e6f2e623d</x:v>
      </x:c>
      <x:c r="G15" s="59" t="n">
        <x:v>2405</x:v>
      </x:c>
    </x:row>
    <x:row r="16">
      <x:c r="A16" s="47" t="str">
        <x:v>RUN-IMO-121-20260829T224518921772Z</x:v>
      </x:c>
      <x:c r="B16" s="47" t="str">
        <x:v>IMO-121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31e084792189900959494ec41a20d95eb8b40c38152f937c1b0f2c4cd09c4c62</x:v>
      </x:c>
      <x:c r="G16" s="59" t="n">
        <x:v>670</x:v>
      </x:c>
    </x:row>
    <x:row r="17">
      <x:c r="A17" s="47" t="str">
        <x:v>RUN-IMO-121-20260829T224518921772Z</x:v>
      </x:c>
      <x:c r="B17" s="47" t="str">
        <x:v>IMO-121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acd8d6f9e98335b84e6a9cfd196fac0abd7b38fd6b67d7219676bb99b32929ac</x:v>
      </x:c>
      <x:c r="G17" s="59" t="n">
        <x:v>22597</x:v>
      </x:c>
    </x:row>
    <x:row r="18">
      <x:c r="A18" s="47" t="str">
        <x:v>RUN-IMO-121-20260829T224518921772Z</x:v>
      </x:c>
      <x:c r="B18" s="47" t="str">
        <x:v>IMO-121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8150eefcfc6b77005f0b9411fc0ee68edabe79b815bbf16116967e905942ce88</x:v>
      </x:c>
      <x:c r="G18" s="59" t="n">
        <x:v>426</x:v>
      </x:c>
    </x:row>
    <x:row r="19">
      <x:c r="A19" s="49" t="str">
        <x:v>RUN-IMO-121-20260829T224518921772Z</x:v>
      </x:c>
      <x:c r="B19" s="49" t="str">
        <x:v>IMO-121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a4013e4dbbf4d3c07fd4f0438e28d6f8eb498b6ec9bdcda76462a39e6f2e623d</x:v>
      </x:c>
      <x:c r="G19" s="60" t="n">
        <x:v>2405</x:v>
      </x:c>
    </x:row>
  </x:sheetData>
  <x:pageMargins left="0.7" right="0.7" top="0.75" bottom="0.75" header="0.3" footer="0.3"/>
  <x:tableParts count="1">
    <x:tablePart xmlns:r="http://schemas.openxmlformats.org/officeDocument/2006/relationships" r:id="R48e9d1fef27443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RUN-IMO-121-20260829T224518921772Z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RUN-IMO-121-20260829T224518921772Z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RUN-IMO-121-20260829T224518921772Z</x:v>
      </x:c>
      <x:c r="B5" s="69" t="str">
        <x:v>IMO-121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c6c9f77a924d9e"/>
  </x:tableParts>
</x:worksheet>
</file>