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tables/table9.xml" ContentType="application/vnd.openxmlformats-officedocument.spreadsheetml.table+xml"/>
  <Override PartName="/xl/worksheets/sheet11.xml" ContentType="application/vnd.openxmlformats-officedocument.spreadsheetml.worksheet+xml"/>
  <Override PartName="/xl/tables/table10.xml" ContentType="application/vnd.openxmlformats-officedocument.spreadsheetml.table+xml"/>
  <Override PartName="/xl/worksheets/sheet12.xml" ContentType="application/vnd.openxmlformats-officedocument.spreadsheetml.worksheet+xml"/>
  <Override PartName="/xl/tables/table11.xml" ContentType="application/vnd.openxmlformats-officedocument.spreadsheetml.table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7488150556647c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07f1ba91253149f0"/>
    <x:sheet xmlns:r="http://schemas.openxmlformats.org/officeDocument/2006/relationships" name="README" sheetId="2" r:id="R70e6c70f24bc467f"/>
    <x:sheet xmlns:r="http://schemas.openxmlformats.org/officeDocument/2006/relationships" name="REGULATION_QUEUE" sheetId="3" r:id="R7a6624ff86c74cef"/>
    <x:sheet xmlns:r="http://schemas.openxmlformats.org/officeDocument/2006/relationships" name="RUNS" sheetId="4" r:id="R3f47f46409c249ea"/>
    <x:sheet xmlns:r="http://schemas.openxmlformats.org/officeDocument/2006/relationships" name="ITERATIONS" sheetId="5" r:id="R3fc4ac299d4346cb"/>
    <x:sheet xmlns:r="http://schemas.openxmlformats.org/officeDocument/2006/relationships" name="API_CALLS" sheetId="6" r:id="Rfb8cf369204d4bf5"/>
    <x:sheet xmlns:r="http://schemas.openxmlformats.org/officeDocument/2006/relationships" name="TERM_RETRIEVAL" sheetId="7" r:id="R1bbd6292ffdb4518"/>
    <x:sheet xmlns:r="http://schemas.openxmlformats.org/officeDocument/2006/relationships" name="FEW_SHOT_SELECTION" sheetId="8" r:id="Rb549062c876b420a"/>
    <x:sheet xmlns:r="http://schemas.openxmlformats.org/officeDocument/2006/relationships" name="VALIDATION" sheetId="9" r:id="R0fe21290a3834cf5"/>
    <x:sheet xmlns:r="http://schemas.openxmlformats.org/officeDocument/2006/relationships" name="VOCAB_MATCHES" sheetId="10" r:id="R36be0946e182454a"/>
    <x:sheet xmlns:r="http://schemas.openxmlformats.org/officeDocument/2006/relationships" name="ARTIFACTS" sheetId="11" r:id="R2531f91c0d194ac8"/>
    <x:sheet xmlns:r="http://schemas.openxmlformats.org/officeDocument/2006/relationships" name="UNRESOLVED" sheetId="12" r:id="R3bff95f048ae4b78"/>
    <x:sheet xmlns:r="http://schemas.openxmlformats.org/officeDocument/2006/relationships" name="RDF_TEST_QUEUE" sheetId="13" r:id="R7342582a14554786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0" fillId="0" borderId="1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6" fillId="0" borderId="1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6" fillId="0" borderId="3" xfId="0" applyNumberFormat="1" applyFont="1" applyFill="1" applyBorder="1" applyAlignment="1">
      <x:alignment vertical="top"/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2" fontId="6" fillId="0" borderId="2" xfId="0" applyNumberFormat="1" applyFont="1" applyFill="1" applyBorder="1" applyAlignment="1">
      <x:alignment vertical="top"/>
    </x:xf>
    <x:xf numFmtId="201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1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3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48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da7825dcafb4348" /><Relationship Type="http://schemas.openxmlformats.org/officeDocument/2006/relationships/theme" Target="/xl/theme/theme1.xml" Id="R732eab3112174426" /><Relationship Type="http://schemas.microsoft.com/office/2022/11/relationships/FeaturePropertyBag" Target="/xl/featurePropertyBag/featurePropertyBag.xml" Id="R919d734a704a40e6" /><Relationship Type="http://schemas.openxmlformats.org/officeDocument/2006/relationships/sharedStrings" Target="/xl/sharedStrings.xml" Id="Rd7f7a8f9124b4b8b" /><Relationship Type="http://schemas.openxmlformats.org/officeDocument/2006/relationships/worksheet" Target="/xl/worksheets/sheet1.xml" Id="R07f1ba91253149f0" /><Relationship Type="http://schemas.openxmlformats.org/officeDocument/2006/relationships/worksheet" Target="/xl/worksheets/sheet2.xml" Id="R70e6c70f24bc467f" /><Relationship Type="http://schemas.openxmlformats.org/officeDocument/2006/relationships/worksheet" Target="/xl/worksheets/sheet3.xml" Id="R7a6624ff86c74cef" /><Relationship Type="http://schemas.openxmlformats.org/officeDocument/2006/relationships/worksheet" Target="/xl/worksheets/sheet4.xml" Id="R3f47f46409c249ea" /><Relationship Type="http://schemas.openxmlformats.org/officeDocument/2006/relationships/worksheet" Target="/xl/worksheets/sheet5.xml" Id="R3fc4ac299d4346cb" /><Relationship Type="http://schemas.openxmlformats.org/officeDocument/2006/relationships/worksheet" Target="/xl/worksheets/sheet6.xml" Id="Rfb8cf369204d4bf5" /><Relationship Type="http://schemas.openxmlformats.org/officeDocument/2006/relationships/worksheet" Target="/xl/worksheets/sheet7.xml" Id="R1bbd6292ffdb4518" /><Relationship Type="http://schemas.openxmlformats.org/officeDocument/2006/relationships/worksheet" Target="/xl/worksheets/sheet8.xml" Id="Rb549062c876b420a" /><Relationship Type="http://schemas.openxmlformats.org/officeDocument/2006/relationships/worksheet" Target="/xl/worksheets/sheet9.xml" Id="R0fe21290a3834cf5" /><Relationship Type="http://schemas.openxmlformats.org/officeDocument/2006/relationships/worksheet" Target="/xl/worksheets/sheet10.xml" Id="R36be0946e182454a" /><Relationship Type="http://schemas.openxmlformats.org/officeDocument/2006/relationships/worksheet" Target="/xl/worksheets/sheet11.xml" Id="R2531f91c0d194ac8" /><Relationship Type="http://schemas.openxmlformats.org/officeDocument/2006/relationships/worksheet" Target="/xl/worksheets/sheet12.xml" Id="R3bff95f048ae4b78" /><Relationship Type="http://schemas.openxmlformats.org/officeDocument/2006/relationships/worksheet" Target="/xl/worksheets/sheet13.xml" Id="R7342582a14554786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6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16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25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6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9_VOCABMATCHES" displayName="T9_VOCABMATCHES" ref="A4:J8" headerRowCount="1" totalsRowCount="0" totalsRowShown="0">
  <x:tableColumns count="10">
    <x:tableColumn id="1" name="RUN_ID"/>
    <x:tableColumn id="2" name="REQUIREMENT_ID"/>
    <x:tableColumn id="3" name="ITERATION"/>
    <x:tableColumn id="4" name="EVENT"/>
    <x:tableColumn id="5" name="QUERY_FEEDBACK"/>
    <x:tableColumn id="6" name="CANDIDATE_COUNT"/>
    <x:tableColumn id="7" name="MATCH_FOUND"/>
    <x:tableColumn id="8" name="CANONICAL_LOCAL_NAME"/>
    <x:tableColumn id="9" name="CANONICAL_IRI"/>
    <x:tableColumn id="10" name="FEEDBACK_APPENDIX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T10_ARTIFACTS" displayName="T10_ARTIFACTS" ref="A4:G25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ables/table11.xml><?xml version="1.0" encoding="utf-8"?>
<x:table xmlns:x="http://schemas.openxmlformats.org/spreadsheetml/2006/main" id="11" name="T11_UNRESOLVED" displayName="T11_UNRESOLVED" ref="A4:F5" headerRowCount="1" totalsRowCount="0" totalsRowShown="0">
  <x:tableColumns count="6">
    <x:tableColumn id="1" name="RUN_ID"/>
    <x:tableColumn id="2" name="REQUIREMENT_ID"/>
    <x:tableColumn id="3" name="ITERATION"/>
    <x:tableColumn id="4" name="ISSUE_TYPE"/>
    <x:tableColumn id="5" name="DETAIL"/>
    <x:tableColumn id="6" name="STATU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f05a11a933b446ed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67fddc71de43435a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d24d5659b6624082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8c4b63ae3e814c54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dec337bb75bf4efa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806fc1fe9c624a5a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2f1abbad54ad4a2f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174522b26b6e46a6" /></Relationships>
</file>

<file path=xl/worksheets/_rels/sheet10.xml.rels>&#65279;<?xml version="1.0" encoding="utf-8"?><Relationships xmlns="http://schemas.openxmlformats.org/package/2006/relationships"><Relationship Type="http://schemas.openxmlformats.org/officeDocument/2006/relationships/table" Target="/xl/tables/table9.xml" Id="R8df8ebd80d444110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10.xml" Id="Ra539ce22ba264faa" /></Relationships>
</file>

<file path=xl/worksheets/_rels/sheet12.xml.rels>&#65279;<?xml version="1.0" encoding="utf-8"?><Relationships xmlns="http://schemas.openxmlformats.org/package/2006/relationships"><Relationship Type="http://schemas.openxmlformats.org/officeDocument/2006/relationships/table" Target="/xl/tables/table11.xml" Id="R99e347129c9349e6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RUN-IMO26-012-20260829T225452342027Z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0</x:v>
      </x:c>
      <x:c r="C8" s="21"/>
      <x:c r="D8" s="21"/>
    </x:row>
    <x:row r="9">
      <x:c r="A9" s="25" t="str">
        <x:v>API/LLM records</x:v>
      </x:c>
      <x:c r="B9" s="26" t="n">
        <x:f>COUNTA('API_CALLS'!$A$5:$A$16)</x:f>
        <x:v>12</x:v>
      </x:c>
      <x:c r="C9" s="21"/>
      <x:c r="D9" s="21"/>
    </x:row>
    <x:row r="10">
      <x:c r="A10" s="27" t="str">
        <x:v>Mean API/LLM elapsed ms</x:v>
      </x:c>
      <x:c r="B10" s="28" t="n">
        <x:f>IFERROR(AVERAGE('API_CALLS'!$K$5:$K$16),0)</x:f>
        <x:v>9645.613083333332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RUN-IMO26-012-20260829T225452342027Z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f05a11a933b446ed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RUN-IMO26-012-20260829T225452342027Z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TERM_RESOLUTION_UNRESOLVED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67fddc71de43435a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3" hidden="0" customWidth="1"/>
    <x:col min="7" max="7" width="24" hidden="0" customWidth="1"/>
    <x:col min="8" max="8" width="11" hidden="0" customWidth="1"/>
    <x:col min="9" max="9" width="24" hidden="0" customWidth="1"/>
    <x:col min="10" max="10" width="11" hidden="0" customWidth="1"/>
    <x:col min="11" max="11" width="1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RUN-IMO26-012-20260829T225452342027Z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SESSION-BATCH-20260829T200425712334Z</x:v>
      </x:c>
      <x:c r="B5" s="69" t="str">
        <x:v>RUN-IMO26-012-20260829T225452342027Z</x:v>
      </x:c>
      <x:c r="C5" s="69" t="str">
        <x:v>IMO26-012</x:v>
      </x:c>
      <x:c r="D5" s="70" t="n">
        <x:v>46263.954772488425</x:v>
      </x:c>
      <x:c r="E5" s="70" t="n">
        <x:v>46263.9554705787</x:v>
      </x:c>
      <x:c r="F5" s="69" t="str">
        <x:v>final-luna-main-run06</x:v>
      </x:c>
      <x:c r="G5" s="69" t="str">
        <x:v>VOCAB-LOCK-2026-08-22-R13</x:v>
      </x:c>
      <x:c r="H5" s="71" t="n">
        <x:v>2</x:v>
      </x:c>
      <x:c r="I5" s="69" t="str">
        <x:v>TERM_RESOLUTION_UNRESOLVED</x:v>
      </x:c>
      <x:c r="J5" s="72" t="b">
        <x:v>0</x:v>
      </x:c>
      <x:c r="K5" s="69" t="str"/>
      <x:c r="L5" s="73" t="str">
        <x:v>No supplied candidate is semantically verified: the connection properties retain an incompatible benchmarkEntity range, while the power quantity properties do not represent a connection relationship or provide a validated owner/path for each nonMagneticHeadingMeans.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d24d5659b6624082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22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RUN-IMO26-012-20260829T225452342027Z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45" t="str">
        <x:v>RUN-IMO26-012-20260829T225452342027Z</x:v>
      </x:c>
      <x:c r="B5" s="45" t="str">
        <x:v>IMO26-012</x:v>
      </x:c>
      <x:c r="C5" s="58" t="n">
        <x:v>1</x:v>
      </x:c>
      <x:c r="D5" s="80" t="b">
        <x:v>1</x:v>
      </x:c>
      <x:c r="E5" s="80" t="b">
        <x:v>0</x:v>
      </x:c>
      <x:c r="F5" s="80" t="b">
        <x:v>1</x:v>
      </x:c>
      <x:c r="G5" s="45" t="str">
        <x:v>REVISE_WITH_MATCH</x:v>
      </x:c>
      <x:c r="H5" s="46" t="str">
        <x:v>Add the missing applicability condition: locate and use the canonical gross-tonnage term, require gross tonnage &gt;= 500, and apply the heading-means constraints only under that condition. The scoped vocabulary supplies no canonical gross-tonnage term, so matcher activation is required. Also resolve the supplied domain/owner inconsistency for connectedToMainPower and connectedToEmergencyPower: their authoritative required owner is nonMagneticHeadingMeans, but their canonical domain is benchmarkEntity; obtain the correct canonical owner/path rather than freezing a property placement that is incompatible with the supplied domain.</x:v>
      </x:c>
      <x:c r="I5" s="81" t="n">
        <x:v>21138.058</x:v>
      </x:c>
      <x:c r="J5" s="81" t="n">
        <x:v>7153.31</x:v>
      </x:c>
    </x:row>
    <x:row r="6">
      <x:c r="A6" s="49" t="str">
        <x:v>RUN-IMO26-012-20260829T225452342027Z</x:v>
      </x:c>
      <x:c r="B6" s="49" t="str">
        <x:v>IMO26-012</x:v>
      </x:c>
      <x:c r="C6" s="60" t="n">
        <x:v>2</x:v>
      </x:c>
      <x:c r="D6" s="82" t="b">
        <x:v>1</x:v>
      </x:c>
      <x:c r="E6" s="82" t="b">
        <x:v>0</x:v>
      </x:c>
      <x:c r="F6" s="82" t="b">
        <x:v>1</x:v>
      </x:c>
      <x:c r="G6" s="49" t="str">
        <x:v>STOP_TERM_RESOLUTION</x:v>
      </x:c>
      <x:c r="H6" s="50" t="str">
        <x:v>Preserve the prior applicability and grossTonnage instruction. Resolve the authoritative owner/domain conflict before freezing: connectedToMainPower and connectedToEmergencyPower are required on each nonMagneticHeadingMeans, but the supplied canonical metadata declares benchmarkEntity as their domain and range. Locate the canonical power-connection terms or a validated owner/path that faithfully represents each means connected to the ship's main and emergency power; do not target benchmarkEntity as the checked entity or retain an incompatible property placement. Also use the canonical unit IRI for gross tonnage (http://qudt.org/vocab/unit/UNITLESS), not qudt:UNITLESS from the schema namespace.</x:v>
      </x:c>
      <x:c r="I6" s="83" t="n">
        <x:v>16167.393</x:v>
      </x:c>
      <x:c r="J6" s="83" t="n">
        <x:v>8519.744</x:v>
      </x:c>
    </x:row>
  </x:sheetData>
  <x:conditionalFormatting sqref="G5:G6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8c4b63ae3e814c54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20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RUN-IMO26-012-20260829T225452342027Z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EVT-000018</x:v>
      </x:c>
      <x:c r="B5" s="45" t="str">
        <x:v>RUN-IMO26-012-20260829T225452342027Z</x:v>
      </x:c>
      <x:c r="C5" s="45" t="str">
        <x:v>IMO26-012</x:v>
      </x:c>
      <x:c r="D5" s="90" t="n">
        <x:v>46263.955017141205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1" t="n">
        <x:v>0</x:v>
      </x:c>
      <x:c r="K5" s="81" t="n">
        <x:v>21137.115</x:v>
      </x:c>
      <x:c r="L5" s="80" t="b">
        <x:v>0</x:v>
      </x:c>
      <x:c r="M5" s="45" t="str"/>
      <x:c r="N5" s="58" t="str"/>
      <x:c r="O5" s="58" t="str"/>
      <x:c r="P5" s="58" t="str"/>
    </x:row>
    <x:row r="6">
      <x:c r="A6" s="47" t="str">
        <x:v>EVT-000019</x:v>
      </x:c>
      <x:c r="B6" s="47" t="str">
        <x:v>RUN-IMO26-012-20260829T225452342027Z</x:v>
      </x:c>
      <x:c r="C6" s="47" t="str">
        <x:v>IMO26-012</x:v>
      </x:c>
      <x:c r="D6" s="91" t="n">
        <x:v>46263.95501715278</x:v>
      </x:c>
      <x:c r="E6" s="47" t="str">
        <x:v>generator</x:v>
      </x:c>
      <x:c r="F6" s="47" t="str">
        <x:v>gpt-5.6-luna-2026-07-09</x:v>
      </x:c>
      <x:c r="G6" s="47" t="n">
        <x:v>1</x:v>
      </x:c>
      <x:c r="H6" s="47" t="str">
        <x:v>COMPLETED</x:v>
      </x:c>
      <x:c r="I6" s="47" t="str"/>
      <x:c r="J6" s="92" t="n">
        <x:v>0</x:v>
      </x:c>
      <x:c r="K6" s="92" t="n">
        <x:v>21138.058</x:v>
      </x:c>
      <x:c r="L6" s="93" t="b">
        <x:v>0</x:v>
      </x:c>
      <x:c r="M6" s="47" t="str">
        <x:v>resp_09fed600c868c756006a93633c77448196b507db15cb8ad18a</x:v>
      </x:c>
      <x:c r="N6" s="59" t="n">
        <x:v>7217</x:v>
      </x:c>
      <x:c r="O6" s="59" t="n">
        <x:v>2337</x:v>
      </x:c>
      <x:c r="P6" s="59" t="n">
        <x:v>9554</x:v>
      </x:c>
    </x:row>
    <x:row r="7">
      <x:c r="A7" s="47" t="str">
        <x:v>EVT-000026</x:v>
      </x:c>
      <x:c r="B7" s="47" t="str">
        <x:v>RUN-IMO26-012-20260829T225452342027Z</x:v>
      </x:c>
      <x:c r="C7" s="47" t="str">
        <x:v>IMO26-012</x:v>
      </x:c>
      <x:c r="D7" s="91" t="n">
        <x:v>46263.95510075231</x:v>
      </x:c>
      <x:c r="E7" s="47" t="str">
        <x:v>validator</x:v>
      </x:c>
      <x:c r="F7" s="47" t="str">
        <x:v>gpt-5.6-luna-2026-07-09</x:v>
      </x:c>
      <x:c r="G7" s="47" t="n">
        <x:v>1</x:v>
      </x:c>
      <x:c r="H7" s="47" t="n">
        <x:v>200</x:v>
      </x:c>
      <x:c r="I7" s="47" t="str">
        <x:v>Ocp-Apim-Subscription-Key</x:v>
      </x:c>
      <x:c r="J7" s="92" t="n">
        <x:v>0</x:v>
      </x:c>
      <x:c r="K7" s="92" t="n">
        <x:v>7152.594</x:v>
      </x:c>
      <x:c r="L7" s="93" t="b">
        <x:v>0</x:v>
      </x:c>
      <x:c r="M7" s="47" t="str"/>
      <x:c r="N7" s="59" t="str"/>
      <x:c r="O7" s="59" t="str"/>
      <x:c r="P7" s="59" t="str"/>
    </x:row>
    <x:row r="8">
      <x:c r="A8" s="47" t="str">
        <x:v>EVT-000027</x:v>
      </x:c>
      <x:c r="B8" s="47" t="str">
        <x:v>RUN-IMO26-012-20260829T225452342027Z</x:v>
      </x:c>
      <x:c r="C8" s="47" t="str">
        <x:v>IMO26-012</x:v>
      </x:c>
      <x:c r="D8" s="91" t="n">
        <x:v>46263.95510075231</x:v>
      </x:c>
      <x:c r="E8" s="47" t="str">
        <x:v>validator</x:v>
      </x:c>
      <x:c r="F8" s="47" t="str">
        <x:v>gpt-5.6-luna-2026-07-09</x:v>
      </x:c>
      <x:c r="G8" s="47" t="n">
        <x:v>1</x:v>
      </x:c>
      <x:c r="H8" s="47" t="str">
        <x:v>COMPLETED</x:v>
      </x:c>
      <x:c r="I8" s="47" t="str"/>
      <x:c r="J8" s="92" t="n">
        <x:v>0</x:v>
      </x:c>
      <x:c r="K8" s="92" t="n">
        <x:v>7153.31</x:v>
      </x:c>
      <x:c r="L8" s="93" t="b">
        <x:v>0</x:v>
      </x:c>
      <x:c r="M8" s="47" t="str">
        <x:v>resp_02a500c3224e1cdc006a936351aa8481979e52c16d6e2e8116</x:v>
      </x:c>
      <x:c r="N8" s="59" t="n">
        <x:v>6736</x:v>
      </x:c>
      <x:c r="O8" s="59" t="n">
        <x:v>649</x:v>
      </x:c>
      <x:c r="P8" s="59" t="n">
        <x:v>7385</x:v>
      </x:c>
    </x:row>
    <x:row r="9">
      <x:c r="A9" s="47" t="str">
        <x:v>EVT-000033</x:v>
      </x:c>
      <x:c r="B9" s="47" t="str">
        <x:v>RUN-IMO26-012-20260829T225452342027Z</x:v>
      </x:c>
      <x:c r="C9" s="47" t="str">
        <x:v>IMO26-012</x:v>
      </x:c>
      <x:c r="D9" s="91" t="n">
        <x:v>46263.95514224537</x:v>
      </x:c>
      <x:c r="E9" s="47" t="str">
        <x:v>vocabulary_matcher</x:v>
      </x:c>
      <x:c r="F9" s="47" t="str">
        <x:v>gpt-5.6-luna-2026-07-09</x:v>
      </x:c>
      <x:c r="G9" s="47" t="n">
        <x:v>1</x:v>
      </x:c>
      <x:c r="H9" s="47" t="n">
        <x:v>200</x:v>
      </x:c>
      <x:c r="I9" s="47" t="str">
        <x:v>Ocp-Apim-Subscription-Key</x:v>
      </x:c>
      <x:c r="J9" s="92" t="n">
        <x:v>0</x:v>
      </x:c>
      <x:c r="K9" s="92" t="n">
        <x:v>2505.18</x:v>
      </x:c>
      <x:c r="L9" s="93" t="b">
        <x:v>0</x:v>
      </x:c>
      <x:c r="M9" s="47" t="str"/>
      <x:c r="N9" s="59" t="str"/>
      <x:c r="O9" s="59" t="str"/>
      <x:c r="P9" s="59" t="str"/>
    </x:row>
    <x:row r="10">
      <x:c r="A10" s="47" t="str">
        <x:v>EVT-000034</x:v>
      </x:c>
      <x:c r="B10" s="47" t="str">
        <x:v>RUN-IMO26-012-20260829T225452342027Z</x:v>
      </x:c>
      <x:c r="C10" s="47" t="str">
        <x:v>IMO26-012</x:v>
      </x:c>
      <x:c r="D10" s="91" t="n">
        <x:v>46263.95514226852</x:v>
      </x:c>
      <x:c r="E10" s="47" t="str">
        <x:v>vocabulary_matcher</x:v>
      </x:c>
      <x:c r="F10" s="47" t="str">
        <x:v>gpt-5.6-luna-2026-07-09</x:v>
      </x:c>
      <x:c r="G10" s="47" t="n">
        <x:v>1</x:v>
      </x:c>
      <x:c r="H10" s="47" t="str">
        <x:v>COMPLETED</x:v>
      </x:c>
      <x:c r="I10" s="47" t="str"/>
      <x:c r="J10" s="92" t="n">
        <x:v>0</x:v>
      </x:c>
      <x:c r="K10" s="92" t="n">
        <x:v>2506.678</x:v>
      </x:c>
      <x:c r="L10" s="93" t="b">
        <x:v>0</x:v>
      </x:c>
      <x:c r="M10" s="47" t="str">
        <x:v>resp_04df362d24ee3f72006a936359eae88196a0211071e52feb8c</x:v>
      </x:c>
      <x:c r="N10" s="59" t="n">
        <x:v>2818</x:v>
      </x:c>
      <x:c r="O10" s="59" t="n">
        <x:v>222</x:v>
      </x:c>
      <x:c r="P10" s="59" t="n">
        <x:v>3040</x:v>
      </x:c>
    </x:row>
    <x:row r="11">
      <x:c r="A11" s="47" t="str">
        <x:v>EVT-000052</x:v>
      </x:c>
      <x:c r="B11" s="47" t="str">
        <x:v>RUN-IMO26-012-20260829T225452342027Z</x:v>
      </x:c>
      <x:c r="C11" s="47" t="str">
        <x:v>IMO26-012</x:v>
      </x:c>
      <x:c r="D11" s="91" t="n">
        <x:v>46263.95532947917</x:v>
      </x:c>
      <x:c r="E11" s="47" t="str">
        <x:v>generator</x:v>
      </x:c>
      <x:c r="F11" s="47" t="str">
        <x:v>gpt-5.6-luna-2026-07-09</x:v>
      </x:c>
      <x:c r="G11" s="47" t="n">
        <x:v>1</x:v>
      </x:c>
      <x:c r="H11" s="47" t="n">
        <x:v>200</x:v>
      </x:c>
      <x:c r="I11" s="47" t="str">
        <x:v>Ocp-Apim-Subscription-Key</x:v>
      </x:c>
      <x:c r="J11" s="92" t="n">
        <x:v>0</x:v>
      </x:c>
      <x:c r="K11" s="92" t="n">
        <x:v>16166.131</x:v>
      </x:c>
      <x:c r="L11" s="93" t="b">
        <x:v>0</x:v>
      </x:c>
      <x:c r="M11" s="47" t="str"/>
      <x:c r="N11" s="59" t="str"/>
      <x:c r="O11" s="59" t="str"/>
      <x:c r="P11" s="59" t="str"/>
    </x:row>
    <x:row r="12">
      <x:c r="A12" s="47" t="str">
        <x:v>EVT-000053</x:v>
      </x:c>
      <x:c r="B12" s="47" t="str">
        <x:v>RUN-IMO26-012-20260829T225452342027Z</x:v>
      </x:c>
      <x:c r="C12" s="47" t="str">
        <x:v>IMO26-012</x:v>
      </x:c>
      <x:c r="D12" s="91" t="n">
        <x:v>46263.95532949074</x:v>
      </x:c>
      <x:c r="E12" s="47" t="str">
        <x:v>generator</x:v>
      </x:c>
      <x:c r="F12" s="47" t="str">
        <x:v>gpt-5.6-luna-2026-07-09</x:v>
      </x:c>
      <x:c r="G12" s="47" t="n">
        <x:v>1</x:v>
      </x:c>
      <x:c r="H12" s="47" t="str">
        <x:v>COMPLETED</x:v>
      </x:c>
      <x:c r="I12" s="47" t="str"/>
      <x:c r="J12" s="92" t="n">
        <x:v>0</x:v>
      </x:c>
      <x:c r="K12" s="92" t="n">
        <x:v>16167.393</x:v>
      </x:c>
      <x:c r="L12" s="93" t="b">
        <x:v>0</x:v>
      </x:c>
      <x:c r="M12" s="47" t="str">
        <x:v>resp_06dc17a318536203006a93635c6b38819792ba450411420dcf</x:v>
      </x:c>
      <x:c r="N12" s="59" t="n">
        <x:v>7754</x:v>
      </x:c>
      <x:c r="O12" s="59" t="n">
        <x:v>2233</x:v>
      </x:c>
      <x:c r="P12" s="59" t="n">
        <x:v>9987</x:v>
      </x:c>
    </x:row>
    <x:row r="13">
      <x:c r="A13" s="47" t="str">
        <x:v>EVT-000060</x:v>
      </x:c>
      <x:c r="B13" s="47" t="str">
        <x:v>RUN-IMO26-012-20260829T225452342027Z</x:v>
      </x:c>
      <x:c r="C13" s="47" t="str">
        <x:v>IMO26-012</x:v>
      </x:c>
      <x:c r="D13" s="91" t="n">
        <x:v>46263.955429050926</x:v>
      </x:c>
      <x:c r="E13" s="47" t="str">
        <x:v>validator</x:v>
      </x:c>
      <x:c r="F13" s="47" t="str">
        <x:v>gpt-5.6-luna-2026-07-09</x:v>
      </x:c>
      <x:c r="G13" s="47" t="n">
        <x:v>1</x:v>
      </x:c>
      <x:c r="H13" s="47" t="n">
        <x:v>200</x:v>
      </x:c>
      <x:c r="I13" s="47" t="str">
        <x:v>Ocp-Apim-Subscription-Key</x:v>
      </x:c>
      <x:c r="J13" s="92" t="n">
        <x:v>0</x:v>
      </x:c>
      <x:c r="K13" s="92" t="n">
        <x:v>8518.273</x:v>
      </x:c>
      <x:c r="L13" s="93" t="b">
        <x:v>0</x:v>
      </x:c>
      <x:c r="M13" s="47" t="str"/>
      <x:c r="N13" s="59" t="str"/>
      <x:c r="O13" s="59" t="str"/>
      <x:c r="P13" s="59" t="str"/>
    </x:row>
    <x:row r="14">
      <x:c r="A14" s="47" t="str">
        <x:v>EVT-000061</x:v>
      </x:c>
      <x:c r="B14" s="47" t="str">
        <x:v>RUN-IMO26-012-20260829T225452342027Z</x:v>
      </x:c>
      <x:c r="C14" s="47" t="str">
        <x:v>IMO26-012</x:v>
      </x:c>
      <x:c r="D14" s="91" t="n">
        <x:v>46263.95542907407</x:v>
      </x:c>
      <x:c r="E14" s="47" t="str">
        <x:v>validator</x:v>
      </x:c>
      <x:c r="F14" s="47" t="str">
        <x:v>gpt-5.6-luna-2026-07-09</x:v>
      </x:c>
      <x:c r="G14" s="47" t="n">
        <x:v>1</x:v>
      </x:c>
      <x:c r="H14" s="47" t="str">
        <x:v>COMPLETED</x:v>
      </x:c>
      <x:c r="I14" s="47" t="str"/>
      <x:c r="J14" s="92" t="n">
        <x:v>0</x:v>
      </x:c>
      <x:c r="K14" s="92" t="n">
        <x:v>8519.744</x:v>
      </x:c>
      <x:c r="L14" s="93" t="b">
        <x:v>0</x:v>
      </x:c>
      <x:c r="M14" s="47" t="str">
        <x:v>resp_0c3a73686761a173006a93636cafdc8194a8d1a5c908060d72</x:v>
      </x:c>
      <x:c r="N14" s="59" t="n">
        <x:v>7575</x:v>
      </x:c>
      <x:c r="O14" s="59" t="n">
        <x:v>671</x:v>
      </x:c>
      <x:c r="P14" s="59" t="n">
        <x:v>8246</x:v>
      </x:c>
    </x:row>
    <x:row r="15">
      <x:c r="A15" s="47" t="str">
        <x:v>EVT-000067</x:v>
      </x:c>
      <x:c r="B15" s="47" t="str">
        <x:v>RUN-IMO26-012-20260829T225452342027Z</x:v>
      </x:c>
      <x:c r="C15" s="47" t="str">
        <x:v>IMO26-012</x:v>
      </x:c>
      <x:c r="D15" s="91" t="n">
        <x:v>46263.955470520836</x:v>
      </x:c>
      <x:c r="E15" s="47" t="str">
        <x:v>vocabulary_matcher</x:v>
      </x:c>
      <x:c r="F15" s="47" t="str">
        <x:v>gpt-5.6-luna-2026-07-09</x:v>
      </x:c>
      <x:c r="G15" s="47" t="n">
        <x:v>1</x:v>
      </x:c>
      <x:c r="H15" s="47" t="n">
        <x:v>200</x:v>
      </x:c>
      <x:c r="I15" s="47" t="str">
        <x:v>Ocp-Apim-Subscription-Key</x:v>
      </x:c>
      <x:c r="J15" s="92" t="n">
        <x:v>0</x:v>
      </x:c>
      <x:c r="K15" s="92" t="n">
        <x:v>2390.742</x:v>
      </x:c>
      <x:c r="L15" s="93" t="b">
        <x:v>0</x:v>
      </x:c>
      <x:c r="M15" s="47" t="str"/>
      <x:c r="N15" s="59" t="str"/>
      <x:c r="O15" s="59" t="str"/>
      <x:c r="P15" s="59" t="str"/>
    </x:row>
    <x:row r="16">
      <x:c r="A16" s="49" t="str">
        <x:v>EVT-000068</x:v>
      </x:c>
      <x:c r="B16" s="49" t="str">
        <x:v>RUN-IMO26-012-20260829T225452342027Z</x:v>
      </x:c>
      <x:c r="C16" s="49" t="str">
        <x:v>IMO26-012</x:v>
      </x:c>
      <x:c r="D16" s="94" t="n">
        <x:v>46263.955470532404</x:v>
      </x:c>
      <x:c r="E16" s="49" t="str">
        <x:v>vocabulary_matcher</x:v>
      </x:c>
      <x:c r="F16" s="49" t="str">
        <x:v>gpt-5.6-luna-2026-07-09</x:v>
      </x:c>
      <x:c r="G16" s="49" t="n">
        <x:v>1</x:v>
      </x:c>
      <x:c r="H16" s="49" t="str">
        <x:v>COMPLETED</x:v>
      </x:c>
      <x:c r="I16" s="49" t="str"/>
      <x:c r="J16" s="83" t="n">
        <x:v>0</x:v>
      </x:c>
      <x:c r="K16" s="83" t="n">
        <x:v>2392.139</x:v>
      </x:c>
      <x:c r="L16" s="82" t="b">
        <x:v>0</x:v>
      </x:c>
      <x:c r="M16" s="49" t="str">
        <x:v>resp_04e6b847a151f47a006a936376617881969634bda70203bf10</x:v>
      </x:c>
      <x:c r="N16" s="60" t="n">
        <x:v>3018</x:v>
      </x:c>
      <x:c r="O16" s="60" t="n">
        <x:v>161</x:v>
      </x:c>
      <x:c r="P16" s="60" t="n">
        <x:v>3179</x:v>
      </x:c>
    </x:row>
  </x:sheetData>
  <x:conditionalFormatting sqref="H5:H16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dec337bb75bf4efa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1" hidden="0" customWidth="1"/>
    <x:col min="7" max="7" width="46" hidden="0" customWidth="1"/>
    <x:col min="8" max="8" width="24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RUN-IMO26-012-20260829T225452342027Z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RUN-IMO26-012-20260829T225452342027Z</x:v>
      </x:c>
      <x:c r="B5" s="45" t="str">
        <x:v>IMO26-012</x:v>
      </x:c>
      <x:c r="C5" s="45" t="str">
        <x:v>benchmarkEntity</x:v>
      </x:c>
      <x:c r="D5" s="46" t="str">
        <x:v>https://w3id.org/nltl/vocab#benchmarkEntity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connectedToEmergencyPower; domain dependency of connectedToMainPower; range dependency of connectedToEmergencyPower; range dependency of connectedToMainPower</x:v>
      </x:c>
      <x:c r="J5" s="45" t="n">
        <x:v>0</x:v>
      </x:c>
    </x:row>
    <x:row r="6">
      <x:c r="A6" s="47" t="str">
        <x:v>RUN-IMO26-012-20260829T225452342027Z</x:v>
      </x:c>
      <x:c r="B6" s="47" t="str">
        <x:v>IMO26-012</x:v>
      </x:c>
      <x:c r="C6" s="47" t="str">
        <x:v>connectedToEmergencyPower</x:v>
      </x:c>
      <x:c r="D6" s="48" t="str">
        <x:v>https://w3id.org/nltl/vocab#connectedToEmergencyPower</x:v>
      </x:c>
      <x:c r="E6" s="47" t="str">
        <x:v>ObjectProperty</x:v>
      </x:c>
      <x:c r="F6" s="47" t="str"/>
      <x:c r="G6" s="47" t="str">
        <x:v>https://w3id.org/nltl/vocab#benchmarkEntity</x:v>
      </x:c>
      <x:c r="H6" s="47" t="str"/>
      <x:c r="I6" s="48" t="str">
        <x:v>linked by the locked 313-requirement index</x:v>
      </x:c>
      <x:c r="J6" s="47" t="n">
        <x:v>0</x:v>
      </x:c>
    </x:row>
    <x:row r="7">
      <x:c r="A7" s="47" t="str">
        <x:v>RUN-IMO26-012-20260829T225452342027Z</x:v>
      </x:c>
      <x:c r="B7" s="47" t="str">
        <x:v>IMO26-012</x:v>
      </x:c>
      <x:c r="C7" s="47" t="str">
        <x:v>connectedToMainPower</x:v>
      </x:c>
      <x:c r="D7" s="48" t="str">
        <x:v>https://w3id.org/nltl/vocab#connectedToMainPower</x:v>
      </x:c>
      <x:c r="E7" s="47" t="str">
        <x:v>ObjectProperty</x:v>
      </x:c>
      <x:c r="F7" s="47" t="str"/>
      <x:c r="G7" s="47" t="str">
        <x:v>https://w3id.org/nltl/vocab#benchmarkEntity</x:v>
      </x:c>
      <x:c r="H7" s="47" t="str"/>
      <x:c r="I7" s="48" t="str">
        <x:v>linked by the locked 313-requirement index</x:v>
      </x:c>
      <x:c r="J7" s="47" t="n">
        <x:v>0</x:v>
      </x:c>
    </x:row>
    <x:row r="8">
      <x:c r="A8" s="47" t="str">
        <x:v>RUN-IMO26-012-20260829T225452342027Z</x:v>
      </x:c>
      <x:c r="B8" s="47" t="str">
        <x:v>IMO26-012</x:v>
      </x:c>
      <x:c r="C8" s="47" t="str">
        <x:v>hasComponent</x:v>
      </x:c>
      <x:c r="D8" s="48" t="str">
        <x:v>https://w3id.org/nltl/vocab#hasComponent</x:v>
      </x:c>
      <x:c r="E8" s="47" t="str">
        <x:v>ObjectProperty</x:v>
      </x:c>
      <x:c r="F8" s="47" t="str"/>
      <x:c r="G8" s="47" t="str">
        <x:v>https://w3id.org/nltl/vocab#shipComponent</x:v>
      </x:c>
      <x:c r="H8" s="47" t="str"/>
      <x:c r="I8" s="48" t="str">
        <x:v>component-path dependency inferred from the linked term module</x:v>
      </x:c>
      <x:c r="J8" s="47" t="n">
        <x:v>0</x:v>
      </x:c>
    </x:row>
    <x:row r="9">
      <x:c r="A9" s="47" t="str">
        <x:v>RUN-IMO26-012-20260829T225452342027Z</x:v>
      </x:c>
      <x:c r="B9" s="47" t="str">
        <x:v>IMO26-012</x:v>
      </x:c>
      <x:c r="C9" s="47" t="str">
        <x:v>hasNonMagneticHeadingMeans</x:v>
      </x:c>
      <x:c r="D9" s="48" t="str">
        <x:v>https://w3id.org/nltl/vocab#hasNonMagneticHeadingMeans</x:v>
      </x:c>
      <x:c r="E9" s="47" t="str">
        <x:v>ObjectProperty</x:v>
      </x:c>
      <x:c r="F9" s="47" t="str"/>
      <x:c r="G9" s="47" t="str">
        <x:v>https://w3id.org/nltl/vocab#nonMagneticHeadingMeans</x:v>
      </x:c>
      <x:c r="H9" s="47" t="str"/>
      <x:c r="I9" s="48" t="str">
        <x:v>canonical path from target owner ship to required owner nonMagneticHeadingMeans; linked by the locked 313-requirement index</x:v>
      </x:c>
      <x:c r="J9" s="47" t="n">
        <x:v>0</x:v>
      </x:c>
    </x:row>
    <x:row r="10">
      <x:c r="A10" s="47" t="str">
        <x:v>RUN-IMO26-012-20260829T225452342027Z</x:v>
      </x:c>
      <x:c r="B10" s="47" t="str">
        <x:v>IMO26-012</x:v>
      </x:c>
      <x:c r="C10" s="47" t="str">
        <x:v>independentFromHeadingMeans</x:v>
      </x:c>
      <x:c r="D10" s="48" t="str">
        <x:v>https://w3id.org/nltl/vocab#independentFromHeadingMeans</x:v>
      </x:c>
      <x:c r="E10" s="47" t="str">
        <x:v>ObjectProperty</x:v>
      </x:c>
      <x:c r="F10" s="47" t="str"/>
      <x:c r="G10" s="47" t="str">
        <x:v>https://w3id.org/nltl/vocab#nonMagneticHeadingMeans</x:v>
      </x:c>
      <x:c r="H10" s="47" t="str"/>
      <x:c r="I10" s="48" t="str">
        <x:v>linked by the locked 313-requirement index</x:v>
      </x:c>
      <x:c r="J10" s="47" t="n">
        <x:v>0</x:v>
      </x:c>
    </x:row>
    <x:row r="11">
      <x:c r="A11" s="47" t="str">
        <x:v>RUN-IMO26-012-20260829T225452342027Z</x:v>
      </x:c>
      <x:c r="B11" s="47" t="str">
        <x:v>IMO26-012</x:v>
      </x:c>
      <x:c r="C11" s="47" t="str">
        <x:v>navigationEquipmentItem</x:v>
      </x:c>
      <x:c r="D11" s="48" t="str">
        <x:v>https://w3id.org/nltl/vocab#navigationEquipmentItem</x:v>
      </x:c>
      <x:c r="E11" s="47" t="str">
        <x:v>Class</x:v>
      </x:c>
      <x:c r="F11" s="47" t="str"/>
      <x:c r="G11" s="47" t="str">
        <x:v>https://w3id.org/nltl/vocab#benchmarkEntity</x:v>
      </x:c>
      <x:c r="H11" s="47" t="str"/>
      <x:c r="I11" s="48" t="str">
        <x:v>range dependency of nonMagneticHeadingMeans</x:v>
      </x:c>
      <x:c r="J11" s="47" t="n">
        <x:v>0</x:v>
      </x:c>
    </x:row>
    <x:row r="12">
      <x:c r="A12" s="47" t="str">
        <x:v>RUN-IMO26-012-20260829T225452342027Z</x:v>
      </x:c>
      <x:c r="B12" s="47" t="str">
        <x:v>IMO26-012</x:v>
      </x:c>
      <x:c r="C12" s="47" t="str">
        <x:v>nonMagneticHeadingMeans</x:v>
      </x:c>
      <x:c r="D12" s="48" t="str">
        <x:v>https://w3id.org/nltl/vocab#nonMagneticHeadingMeans</x:v>
      </x:c>
      <x:c r="E12" s="47" t="str">
        <x:v>Class</x:v>
      </x:c>
      <x:c r="F12" s="47" t="str"/>
      <x:c r="G12" s="47" t="str">
        <x:v>https://w3id.org/nltl/vocab#navigationEquipmentItem</x:v>
      </x:c>
      <x:c r="H12" s="47" t="str"/>
      <x:c r="I12" s="48" t="str">
        <x:v>authoritative required owner class; domain dependency of independentFromHeadingMeans; linked by the locked 313-requirement index; range dependency of hasNonMagneticHeadingMeans; range dependency of independentFromHeadingMeans</x:v>
      </x:c>
      <x:c r="J12" s="47" t="n">
        <x:v>0</x:v>
      </x:c>
    </x:row>
    <x:row r="13">
      <x:c r="A13" s="47" t="str">
        <x:v>RUN-IMO26-012-20260829T225452342027Z</x:v>
      </x:c>
      <x:c r="B13" s="47" t="str">
        <x:v>IMO26-012</x:v>
      </x:c>
      <x:c r="C13" s="47" t="str">
        <x:v>ship</x:v>
      </x:c>
      <x:c r="D13" s="48" t="str">
        <x:v>https://w3id.org/nltl/vocab#ship</x:v>
      </x:c>
      <x:c r="E13" s="47" t="str">
        <x:v>Class</x:v>
      </x:c>
      <x:c r="F13" s="47" t="str"/>
      <x:c r="G13" s="47" t="str"/>
      <x:c r="H13" s="47" t="str"/>
      <x:c r="I13" s="48" t="str">
        <x:v>authoritative required owner class; authoritative requirement target owner; baseline target infrastructure; domain dependency of hasNonMagneticHeadingMeans; linked by the locked 313-requirement index</x:v>
      </x:c>
      <x:c r="J13" s="47" t="n">
        <x:v>0</x:v>
      </x:c>
    </x:row>
    <x:row r="14">
      <x:c r="A14" s="47" t="str">
        <x:v>RUN-IMO26-012-20260829T225452342027Z</x:v>
      </x:c>
      <x:c r="B14" s="47" t="str">
        <x:v>IMO26-012</x:v>
      </x:c>
      <x:c r="C14" s="47" t="str">
        <x:v>shipComponent</x:v>
      </x:c>
      <x:c r="D14" s="48" t="str">
        <x:v>https://w3id.org/nltl/vocab#shipComponent</x:v>
      </x:c>
      <x:c r="E14" s="47" t="str">
        <x:v>Class</x:v>
      </x:c>
      <x:c r="F14" s="47" t="str"/>
      <x:c r="G14" s="47" t="str"/>
      <x:c r="H14" s="47" t="str"/>
      <x:c r="I14" s="48" t="str">
        <x:v>component-path dependency inferred from the linked term module</x:v>
      </x:c>
      <x:c r="J14" s="47" t="n">
        <x:v>0</x:v>
      </x:c>
    </x:row>
    <x:row r="15">
      <x:c r="A15" s="47" t="str">
        <x:v>RUN-IMO26-012-20260829T225452342027Z</x:v>
      </x:c>
      <x:c r="B15" s="47" t="str">
        <x:v>IMO26-012</x:v>
      </x:c>
      <x:c r="C15" s="47" t="str">
        <x:v>benchmarkEntity</x:v>
      </x:c>
      <x:c r="D15" s="48" t="str">
        <x:v>https://w3id.org/nltl/vocab#benchmarkEntity</x:v>
      </x:c>
      <x:c r="E15" s="47" t="str">
        <x:v>Class</x:v>
      </x:c>
      <x:c r="F15" s="47" t="str"/>
      <x:c r="G15" s="47" t="str"/>
      <x:c r="H15" s="47" t="str"/>
      <x:c r="I15" s="48" t="str">
        <x:v>baseline target infrastructure; domain dependency of connectedToEmergencyPower; domain dependency of connectedToMainPower; range dependency of connectedToEmergencyPower; range dependency of connectedToMainPower</x:v>
      </x:c>
      <x:c r="J15" s="47" t="n">
        <x:v>2</x:v>
      </x:c>
    </x:row>
    <x:row r="16">
      <x:c r="A16" s="47" t="str">
        <x:v>RUN-IMO26-012-20260829T225452342027Z</x:v>
      </x:c>
      <x:c r="B16" s="47" t="str">
        <x:v>IMO26-012</x:v>
      </x:c>
      <x:c r="C16" s="47" t="str">
        <x:v>connectedToEmergencyPower</x:v>
      </x:c>
      <x:c r="D16" s="48" t="str">
        <x:v>https://w3id.org/nltl/vocab#connectedToEmergencyPower</x:v>
      </x:c>
      <x:c r="E16" s="47" t="str">
        <x:v>ObjectProperty</x:v>
      </x:c>
      <x:c r="F16" s="47" t="str"/>
      <x:c r="G16" s="47" t="str">
        <x:v>https://w3id.org/nltl/vocab#benchmarkEntity</x:v>
      </x:c>
      <x:c r="H16" s="47" t="str"/>
      <x:c r="I16" s="48" t="str">
        <x:v>linked by the locked 313-requirement index</x:v>
      </x:c>
      <x:c r="J16" s="47" t="n">
        <x:v>2</x:v>
      </x:c>
    </x:row>
    <x:row r="17">
      <x:c r="A17" s="47" t="str">
        <x:v>RUN-IMO26-012-20260829T225452342027Z</x:v>
      </x:c>
      <x:c r="B17" s="47" t="str">
        <x:v>IMO26-012</x:v>
      </x:c>
      <x:c r="C17" s="47" t="str">
        <x:v>connectedToMainPower</x:v>
      </x:c>
      <x:c r="D17" s="48" t="str">
        <x:v>https://w3id.org/nltl/vocab#connectedToMainPower</x:v>
      </x:c>
      <x:c r="E17" s="47" t="str">
        <x:v>ObjectProperty</x:v>
      </x:c>
      <x:c r="F17" s="47" t="str"/>
      <x:c r="G17" s="47" t="str">
        <x:v>https://w3id.org/nltl/vocab#benchmarkEntity</x:v>
      </x:c>
      <x:c r="H17" s="47" t="str"/>
      <x:c r="I17" s="48" t="str">
        <x:v>linked by the locked 313-requirement index</x:v>
      </x:c>
      <x:c r="J17" s="47" t="n">
        <x:v>2</x:v>
      </x:c>
    </x:row>
    <x:row r="18">
      <x:c r="A18" s="47" t="str">
        <x:v>RUN-IMO26-012-20260829T225452342027Z</x:v>
      </x:c>
      <x:c r="B18" s="47" t="str">
        <x:v>IMO26-012</x:v>
      </x:c>
      <x:c r="C18" s="47" t="str">
        <x:v>grossTonnage</x:v>
      </x:c>
      <x:c r="D18" s="48" t="str">
        <x:v>https://w3id.org/nltl/vocab#grossTonnage</x:v>
      </x:c>
      <x:c r="E18" s="47" t="str">
        <x:v>QuantityProperty</x:v>
      </x:c>
      <x:c r="F18" s="47" t="str"/>
      <x:c r="G18" s="47" t="str">
        <x:v>http://qudt.org/schema/qudt/QuantityValue</x:v>
      </x:c>
      <x:c r="H18" s="47" t="str">
        <x:v>http://qudt.org/vocab/unit/UNITLESS</x:v>
      </x:c>
      <x:c r="I18" s="48" t="str">
        <x:v>verified vocabulary-matcher addition</x:v>
      </x:c>
      <x:c r="J18" s="47" t="n">
        <x:v>2</x:v>
      </x:c>
    </x:row>
    <x:row r="19">
      <x:c r="A19" s="47" t="str">
        <x:v>RUN-IMO26-012-20260829T225452342027Z</x:v>
      </x:c>
      <x:c r="B19" s="47" t="str">
        <x:v>IMO26-012</x:v>
      </x:c>
      <x:c r="C19" s="47" t="str">
        <x:v>hasComponent</x:v>
      </x:c>
      <x:c r="D19" s="48" t="str">
        <x:v>https://w3id.org/nltl/vocab#hasComponent</x:v>
      </x:c>
      <x:c r="E19" s="47" t="str">
        <x:v>ObjectProperty</x:v>
      </x:c>
      <x:c r="F19" s="47" t="str"/>
      <x:c r="G19" s="47" t="str">
        <x:v>https://w3id.org/nltl/vocab#shipComponent</x:v>
      </x:c>
      <x:c r="H19" s="47" t="str"/>
      <x:c r="I19" s="48" t="str">
        <x:v>component-path dependency inferred from the linked term module</x:v>
      </x:c>
      <x:c r="J19" s="47" t="n">
        <x:v>2</x:v>
      </x:c>
    </x:row>
    <x:row r="20">
      <x:c r="A20" s="47" t="str">
        <x:v>RUN-IMO26-012-20260829T225452342027Z</x:v>
      </x:c>
      <x:c r="B20" s="47" t="str">
        <x:v>IMO26-012</x:v>
      </x:c>
      <x:c r="C20" s="47" t="str">
        <x:v>hasNonMagneticHeadingMeans</x:v>
      </x:c>
      <x:c r="D20" s="48" t="str">
        <x:v>https://w3id.org/nltl/vocab#hasNonMagneticHeadingMeans</x:v>
      </x:c>
      <x:c r="E20" s="47" t="str">
        <x:v>ObjectProperty</x:v>
      </x:c>
      <x:c r="F20" s="47" t="str"/>
      <x:c r="G20" s="47" t="str">
        <x:v>https://w3id.org/nltl/vocab#nonMagneticHeadingMeans</x:v>
      </x:c>
      <x:c r="H20" s="47" t="str"/>
      <x:c r="I20" s="48" t="str">
        <x:v>canonical path from target owner ship to required owner nonMagneticHeadingMeans; linked by the locked 313-requirement index</x:v>
      </x:c>
      <x:c r="J20" s="47" t="n">
        <x:v>2</x:v>
      </x:c>
    </x:row>
    <x:row r="21">
      <x:c r="A21" s="47" t="str">
        <x:v>RUN-IMO26-012-20260829T225452342027Z</x:v>
      </x:c>
      <x:c r="B21" s="47" t="str">
        <x:v>IMO26-012</x:v>
      </x:c>
      <x:c r="C21" s="47" t="str">
        <x:v>independentFromHeadingMeans</x:v>
      </x:c>
      <x:c r="D21" s="48" t="str">
        <x:v>https://w3id.org/nltl/vocab#independentFromHeadingMeans</x:v>
      </x:c>
      <x:c r="E21" s="47" t="str">
        <x:v>ObjectProperty</x:v>
      </x:c>
      <x:c r="F21" s="47" t="str"/>
      <x:c r="G21" s="47" t="str">
        <x:v>https://w3id.org/nltl/vocab#nonMagneticHeadingMeans</x:v>
      </x:c>
      <x:c r="H21" s="47" t="str"/>
      <x:c r="I21" s="48" t="str">
        <x:v>linked by the locked 313-requirement index</x:v>
      </x:c>
      <x:c r="J21" s="47" t="n">
        <x:v>2</x:v>
      </x:c>
    </x:row>
    <x:row r="22">
      <x:c r="A22" s="47" t="str">
        <x:v>RUN-IMO26-012-20260829T225452342027Z</x:v>
      </x:c>
      <x:c r="B22" s="47" t="str">
        <x:v>IMO26-012</x:v>
      </x:c>
      <x:c r="C22" s="47" t="str">
        <x:v>navigationEquipmentItem</x:v>
      </x:c>
      <x:c r="D22" s="48" t="str">
        <x:v>https://w3id.org/nltl/vocab#navigationEquipmentItem</x:v>
      </x:c>
      <x:c r="E22" s="47" t="str">
        <x:v>Class</x:v>
      </x:c>
      <x:c r="F22" s="47" t="str"/>
      <x:c r="G22" s="47" t="str">
        <x:v>https://w3id.org/nltl/vocab#benchmarkEntity</x:v>
      </x:c>
      <x:c r="H22" s="47" t="str"/>
      <x:c r="I22" s="48" t="str">
        <x:v>range dependency of nonMagneticHeadingMeans</x:v>
      </x:c>
      <x:c r="J22" s="47" t="n">
        <x:v>2</x:v>
      </x:c>
    </x:row>
    <x:row r="23">
      <x:c r="A23" s="47" t="str">
        <x:v>RUN-IMO26-012-20260829T225452342027Z</x:v>
      </x:c>
      <x:c r="B23" s="47" t="str">
        <x:v>IMO26-012</x:v>
      </x:c>
      <x:c r="C23" s="47" t="str">
        <x:v>nonMagneticHeadingMeans</x:v>
      </x:c>
      <x:c r="D23" s="48" t="str">
        <x:v>https://w3id.org/nltl/vocab#nonMagneticHeadingMeans</x:v>
      </x:c>
      <x:c r="E23" s="47" t="str">
        <x:v>Class</x:v>
      </x:c>
      <x:c r="F23" s="47" t="str"/>
      <x:c r="G23" s="47" t="str">
        <x:v>https://w3id.org/nltl/vocab#navigationEquipmentItem</x:v>
      </x:c>
      <x:c r="H23" s="47" t="str"/>
      <x:c r="I23" s="48" t="str">
        <x:v>authoritative required owner class; domain dependency of independentFromHeadingMeans; linked by the locked 313-requirement index; range dependency of hasNonMagneticHeadingMeans; range dependency of independentFromHeadingMeans</x:v>
      </x:c>
      <x:c r="J23" s="47" t="n">
        <x:v>2</x:v>
      </x:c>
    </x:row>
    <x:row r="24">
      <x:c r="A24" s="47" t="str">
        <x:v>RUN-IMO26-012-20260829T225452342027Z</x:v>
      </x:c>
      <x:c r="B24" s="47" t="str">
        <x:v>IMO26-012</x:v>
      </x:c>
      <x:c r="C24" s="47" t="str">
        <x:v>ship</x:v>
      </x:c>
      <x:c r="D24" s="48" t="str">
        <x:v>https://w3id.org/nltl/vocab#ship</x:v>
      </x:c>
      <x:c r="E24" s="47" t="str">
        <x:v>Class</x:v>
      </x:c>
      <x:c r="F24" s="47" t="str"/>
      <x:c r="G24" s="47" t="str"/>
      <x:c r="H24" s="47" t="str"/>
      <x:c r="I24" s="48" t="str">
        <x:v>authoritative required owner class; authoritative requirement target owner; baseline target infrastructure; domain dependency of hasNonMagneticHeadingMeans; linked by the locked 313-requirement index</x:v>
      </x:c>
      <x:c r="J24" s="47" t="n">
        <x:v>2</x:v>
      </x:c>
    </x:row>
    <x:row r="25">
      <x:c r="A25" s="49" t="str">
        <x:v>RUN-IMO26-012-20260829T225452342027Z</x:v>
      </x:c>
      <x:c r="B25" s="49" t="str">
        <x:v>IMO26-012</x:v>
      </x:c>
      <x:c r="C25" s="49" t="str">
        <x:v>shipComponent</x:v>
      </x:c>
      <x:c r="D25" s="50" t="str">
        <x:v>https://w3id.org/nltl/vocab#shipComponent</x:v>
      </x:c>
      <x:c r="E25" s="49" t="str">
        <x:v>Class</x:v>
      </x:c>
      <x:c r="F25" s="49" t="str"/>
      <x:c r="G25" s="49" t="str"/>
      <x:c r="H25" s="49" t="str"/>
      <x:c r="I25" s="50" t="str">
        <x:v>component-path dependency inferred from the linked term module</x:v>
      </x:c>
      <x:c r="J25" s="49" t="n">
        <x:v>2</x:v>
      </x:c>
    </x:row>
  </x:sheetData>
  <x:pageMargins left="0.7" right="0.7" top="0.75" bottom="0.75" header="0.3" footer="0.3"/>
  <x:tableParts count="1">
    <x:tablePart xmlns:r="http://schemas.openxmlformats.org/officeDocument/2006/relationships" r:id="R806fc1fe9c624a5a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17" hidden="0" customWidth="1"/>
    <x:col min="5" max="5" width="11" hidden="0" customWidth="1"/>
    <x:col min="6" max="6" width="19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RUN-IMO26-012-20260829T225452342027Z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RUN-IMO26-012-20260829T225452342027Z</x:v>
      </x:c>
      <x:c r="B5" s="45" t="str">
        <x:v>IMO26-012</x:v>
      </x:c>
      <x:c r="C5" s="45" t="str">
        <x:v>FS-REL-01</x:v>
      </x:c>
      <x:c r="D5" s="45" t="str">
        <x:v>entity_relation</x:v>
      </x:c>
      <x:c r="E5" s="97" t="n">
        <x:v>0.043478</x:v>
      </x:c>
      <x:c r="F5" s="45" t="str">
        <x:v>entity | relation</x:v>
      </x:c>
      <x:c r="G5" s="45" t="str">
        <x:v>synthetic-few-shot-not-benchmark-ground-truth</x:v>
      </x:c>
    </x:row>
    <x:row r="6">
      <x:c r="A6" s="49" t="str">
        <x:v>RUN-IMO26-012-20260829T225452342027Z</x:v>
      </x:c>
      <x:c r="B6" s="49" t="str">
        <x:v>IMO26-012</x:v>
      </x:c>
      <x:c r="C6" s="49" t="str">
        <x:v>FS-REL-02</x:v>
      </x:c>
      <x:c r="D6" s="49" t="str">
        <x:v>entity_relation</x:v>
      </x:c>
      <x:c r="E6" s="98" t="n">
        <x:v>0.043478</x:v>
      </x:c>
      <x:c r="F6" s="49" t="str">
        <x:v>entity | relation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2f1abbad54ad4a2f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RUN-IMO26-012-20260829T225452342027Z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45" t="str">
        <x:v>RUN-IMO26-012-20260829T225452342027Z</x:v>
      </x:c>
      <x:c r="B5" s="45" t="str">
        <x:v>IMO26-012</x:v>
      </x:c>
      <x:c r="C5" s="58" t="n">
        <x:v>1</x:v>
      </x:c>
      <x:c r="D5" s="80" t="b">
        <x:v>1</x:v>
      </x:c>
      <x:c r="E5" s="80" t="b">
        <x:v>1</x:v>
      </x:c>
      <x:c r="F5" s="80" t="b">
        <x:v>1</x:v>
      </x:c>
      <x:c r="G5" s="80" t="b">
        <x:v>1</x:v>
      </x:c>
      <x:c r="H5" s="80" t="b">
        <x:v>1</x:v>
      </x:c>
      <x:c r="I5" s="80" t="b">
        <x:v>1</x:v>
      </x:c>
      <x:c r="J5" s="80" t="b">
        <x:v>1</x:v>
      </x:c>
      <x:c r="K5" s="101" t="b">
        <x:v>1</x:v>
      </x:c>
      <x:c r="L5" s="46" t="str"/>
      <x:c r="M5" s="46" t="str"/>
      <x:c r="N5" s="46" t="str">
        <x:v>https://w3id.org/nltl/vocab#benchmarkEntity | https://w3id.org/nltl/vocab#connectedToEmergencyPower | https://w3id.org/nltl/vocab#connectedToMainPower | https://w3id.org/nltl/vocab#hasNonMagneticHeadingMeans | https://w3id.org/nltl/vocab#independentFromHeadingMeans | https://w3id.org/nltl/vocab#nonMagneticHeadingMeans | https://w3id.org/nltl/vocab#ship</x:v>
      </x:c>
      <x:c r="O5" s="46" t="str"/>
      <x:c r="P5" s="46" t="str"/>
      <x:c r="Q5" s="46" t="str"/>
    </x:row>
    <x:row r="6">
      <x:c r="A6" s="49" t="str">
        <x:v>RUN-IMO26-012-20260829T225452342027Z</x:v>
      </x:c>
      <x:c r="B6" s="49" t="str">
        <x:v>IMO26-012</x:v>
      </x:c>
      <x:c r="C6" s="60" t="n">
        <x:v>2</x:v>
      </x:c>
      <x:c r="D6" s="82" t="b">
        <x:v>1</x:v>
      </x:c>
      <x:c r="E6" s="82" t="b">
        <x:v>1</x:v>
      </x:c>
      <x:c r="F6" s="82" t="b">
        <x:v>1</x:v>
      </x:c>
      <x:c r="G6" s="82" t="b">
        <x:v>1</x:v>
      </x:c>
      <x:c r="H6" s="82" t="b">
        <x:v>1</x:v>
      </x:c>
      <x:c r="I6" s="82" t="b">
        <x:v>1</x:v>
      </x:c>
      <x:c r="J6" s="82" t="b">
        <x:v>1</x:v>
      </x:c>
      <x:c r="K6" s="102" t="b">
        <x:v>1</x:v>
      </x:c>
      <x:c r="L6" s="50" t="str"/>
      <x:c r="M6" s="50" t="str"/>
      <x:c r="N6" s="50" t="str">
        <x:v>https://w3id.org/nltl/vocab#benchmarkEntity | https://w3id.org/nltl/vocab#connectedToEmergencyPower | https://w3id.org/nltl/vocab#connectedToMainPower | https://w3id.org/nltl/vocab#grossTonnage | https://w3id.org/nltl/vocab#hasNonMagneticHeadingMeans | https://w3id.org/nltl/vocab#independentFromHeadingMeans | https://w3id.org/nltl/vocab#nonMagneticHeadingMeans | https://w3id.org/nltl/vocab#ship</x:v>
      </x:c>
      <x:c r="O6" s="50" t="str"/>
      <x:c r="P6" s="50" t="str"/>
      <x:c r="Q6" s="50" t="str"/>
    </x:row>
  </x:sheetData>
  <x:pageMargins left="0.7" right="0.7" top="0.75" bottom="0.75" header="0.3" footer="0.3"/>
  <x:tableParts count="1">
    <x:tablePart xmlns:r="http://schemas.openxmlformats.org/officeDocument/2006/relationships" r:id="R174522b26b6e46a6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8" hidden="0" customWidth="1"/>
    <x:col min="5" max="5" width="52" hidden="0" customWidth="1"/>
    <x:col min="6" max="6" width="17" hidden="0" customWidth="1"/>
    <x:col min="7" max="7" width="13" hidden="0" customWidth="1"/>
    <x:col min="8" max="8" width="40" hidden="0" customWidth="1"/>
    <x:col min="9" max="9" width="52" hidden="0" customWidth="1"/>
    <x:col min="10" max="10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RUN-IMO26-012-20260829T225452342027Z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45" t="str">
        <x:v>RUN-IMO26-012-20260829T225452342027Z</x:v>
      </x:c>
      <x:c r="B5" s="45" t="str">
        <x:v>IMO26-012</x:v>
      </x:c>
      <x:c r="C5" s="58" t="n">
        <x:v>1</x:v>
      </x:c>
      <x:c r="D5" s="45" t="str">
        <x:v>matcher_search</x:v>
      </x:c>
      <x:c r="E5" s="46" t="str">
        <x:v>Add the missing applicability condition: locate and use the canonical gross-tonnage term, require gross tonnage &gt;= 500, and apply the heading-means constraints only under that condition. The scoped vocabulary supplies no canonical gross-tonnage term, so matcher activation is required. Also resolve the supplied domain/owner inconsistency for connectedToMainPower and connectedToEmergencyPower: their authoritative required owner is nonMagneticHeadingMeans, but their canonical domain is benchmarkEntity; obtain the correct canonical owner/path rather than freezing a property placement that is incompatible with the supplied domain.</x:v>
      </x:c>
      <x:c r="F5" s="58" t="n">
        <x:v>7</x:v>
      </x:c>
      <x:c r="G5" s="45" t="str"/>
      <x:c r="H5" s="45" t="str"/>
      <x:c r="I5" s="46" t="str"/>
      <x:c r="J5" s="46" t="str"/>
    </x:row>
    <x:row r="6">
      <x:c r="A6" s="47" t="str">
        <x:v>RUN-IMO26-012-20260829T225452342027Z</x:v>
      </x:c>
      <x:c r="B6" s="47" t="str">
        <x:v>IMO26-012</x:v>
      </x:c>
      <x:c r="C6" s="59" t="n">
        <x:v>1</x:v>
      </x:c>
      <x:c r="D6" s="47" t="str">
        <x:v>matcher_decision</x:v>
      </x:c>
      <x:c r="E6" s="48" t="str"/>
      <x:c r="F6" s="59" t="str"/>
      <x:c r="G6" s="93" t="b">
        <x:v>1</x:v>
      </x:c>
      <x:c r="H6" s="47" t="str">
        <x:v>grossTonnage</x:v>
      </x:c>
      <x:c r="I6" s="48" t="str">
        <x:v>https://w3id.org/nltl/vocab#grossTonnage</x:v>
      </x:c>
      <x:c r="J6" s="48" t="str">
        <x:v>Use this exact term because it is the supplied canonical QuantityProperty for gross tonnage, with a QuantityValue range and applicability to the requirement condition gross tonnage &gt;= 500.</x:v>
      </x:c>
    </x:row>
    <x:row r="7">
      <x:c r="A7" s="47" t="str">
        <x:v>RUN-IMO26-012-20260829T225452342027Z</x:v>
      </x:c>
      <x:c r="B7" s="47" t="str">
        <x:v>IMO26-012</x:v>
      </x:c>
      <x:c r="C7" s="59" t="n">
        <x:v>2</x:v>
      </x:c>
      <x:c r="D7" s="47" t="str">
        <x:v>matcher_search</x:v>
      </x:c>
      <x:c r="E7" s="48" t="str">
        <x:v>Preserve the prior applicability and grossTonnage instruction. Resolve the authoritative owner/domain conflict before freezing: connectedToMainPower and connectedToEmergencyPower are required on each nonMagneticHeadingMeans, but the supplied canonical metadata declares benchmarkEntity as their domain and range. Locate the canonical power-connection terms or a validated owner/path that faithfully represents each means connected to the ship's main and emergency power; do not target benchmarkEntity as the checked entity or retain an incompatible property placement. Also use the canonical unit IRI for gross tonnage (http://qudt.org/vocab/unit/UNITLESS), not qudt:UNITLESS from the schema namespace.</x:v>
      </x:c>
      <x:c r="F7" s="59" t="n">
        <x:v>8</x:v>
      </x:c>
      <x:c r="G7" s="47" t="str"/>
      <x:c r="H7" s="47" t="str"/>
      <x:c r="I7" s="48" t="str"/>
      <x:c r="J7" s="48" t="str"/>
    </x:row>
    <x:row r="8">
      <x:c r="A8" s="49" t="str">
        <x:v>RUN-IMO26-012-20260829T225452342027Z</x:v>
      </x:c>
      <x:c r="B8" s="49" t="str">
        <x:v>IMO26-012</x:v>
      </x:c>
      <x:c r="C8" s="60" t="n">
        <x:v>2</x:v>
      </x:c>
      <x:c r="D8" s="49" t="str">
        <x:v>matcher_decision</x:v>
      </x:c>
      <x:c r="E8" s="50" t="str"/>
      <x:c r="F8" s="60" t="str"/>
      <x:c r="G8" s="82" t="b">
        <x:v>0</x:v>
      </x:c>
      <x:c r="H8" s="49" t="str"/>
      <x:c r="I8" s="50" t="str"/>
      <x:c r="J8" s="50" t="str">
        <x:v>No supplied candidate is semantically verified: the connection properties retain an incompatible benchmarkEntity range, while the power quantity properties do not represent a connection relationship or provide a validated owner/path for each nonMagneticHeadingMeans.</x:v>
      </x:c>
    </x:row>
  </x:sheetData>
  <x:pageMargins left="0.7" right="0.7" top="0.75" bottom="0.75" header="0.3" footer="0.3"/>
  <x:tableParts count="1">
    <x:tablePart xmlns:r="http://schemas.openxmlformats.org/officeDocument/2006/relationships" r:id="R8df8ebd80d444110"/>
  </x:tableParts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RUN-IMO26-012-20260829T225452342027Z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RUN-IMO26-012-20260829T225452342027Z</x:v>
      </x:c>
      <x:c r="B5" s="45" t="str">
        <x:v>IMO26-012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0a29c52b280adabc403777f6b2c7da4e82022e3d598ae2debc353e9d33448d07</x:v>
      </x:c>
      <x:c r="G5" s="58" t="n">
        <x:v>15255</x:v>
      </x:c>
    </x:row>
    <x:row r="6">
      <x:c r="A6" s="47" t="str">
        <x:v>RUN-IMO26-012-20260829T225452342027Z</x:v>
      </x:c>
      <x:c r="B6" s="47" t="str">
        <x:v>IMO26-012</x:v>
      </x:c>
      <x:c r="C6" s="59"/>
      <x:c r="D6" s="47" t="str">
        <x:v>few_shot_selection</x:v>
      </x:c>
      <x:c r="E6" s="48" t="str">
        <x:v>artifacts/few_shots_selected.json</x:v>
      </x:c>
      <x:c r="F6" s="47" t="str">
        <x:v>16baf97eab7142ca271e2a0756874f197522a60f4c76a89e6f1f14b8704e6927</x:v>
      </x:c>
      <x:c r="G6" s="59" t="n">
        <x:v>3790</x:v>
      </x:c>
    </x:row>
    <x:row r="7">
      <x:c r="A7" s="47" t="str">
        <x:v>RUN-IMO26-012-20260829T225452342027Z</x:v>
      </x:c>
      <x:c r="B7" s="47" t="str">
        <x:v>IMO26-012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abfcef89a323ff8427617c0288c2af269d1e8e305a1434b9164c169a2448b0dd</x:v>
      </x:c>
      <x:c r="G7" s="59" t="n">
        <x:v>30595</x:v>
      </x:c>
    </x:row>
    <x:row r="8">
      <x:c r="A8" s="47" t="str">
        <x:v>RUN-IMO26-012-20260829T225452342027Z</x:v>
      </x:c>
      <x:c r="B8" s="47" t="str">
        <x:v>IMO26-012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0109e8b88f8b31400ea12426429867778f4326b26724433cd0d60c3ace6a4fe5</x:v>
      </x:c>
      <x:c r="G8" s="59" t="n">
        <x:v>2377</x:v>
      </x:c>
    </x:row>
    <x:row r="9">
      <x:c r="A9" s="47" t="str">
        <x:v>RUN-IMO26-012-20260829T225452342027Z</x:v>
      </x:c>
      <x:c r="B9" s="47" t="str">
        <x:v>IMO26-012</x:v>
      </x:c>
      <x:c r="C9" s="59" t="n">
        <x:v>1</x:v>
      </x:c>
      <x:c r="D9" s="47" t="str">
        <x:v>candidate_shape</x:v>
      </x:c>
      <x:c r="E9" s="48" t="str">
        <x:v>artifacts/attempt_01/candidate_shape.ttl</x:v>
      </x:c>
      <x:c r="F9" s="47" t="str">
        <x:v>62ba43a07e381dbfdc620efb2d479e1b8039972d05faf07efcc5e5f661093548</x:v>
      </x:c>
      <x:c r="G9" s="59" t="n">
        <x:v>2352</x:v>
      </x:c>
    </x:row>
    <x:row r="10">
      <x:c r="A10" s="47" t="str">
        <x:v>RUN-IMO26-012-20260829T225452342027Z</x:v>
      </x:c>
      <x:c r="B10" s="47" t="str">
        <x:v>IMO26-012</x:v>
      </x:c>
      <x:c r="C10" s="59" t="n">
        <x:v>1</x:v>
      </x:c>
      <x:c r="D10" s="47" t="str">
        <x:v>deterministic_validation</x:v>
      </x:c>
      <x:c r="E10" s="48" t="str">
        <x:v>artifacts/attempt_01/deterministic_validation.json</x:v>
      </x:c>
      <x:c r="F10" s="47" t="str">
        <x:v>b5158e0ce10f02762b358c1426dda8249871a98c85d6b9ad214792ff47bb684f</x:v>
      </x:c>
      <x:c r="G10" s="59" t="n">
        <x:v>781</x:v>
      </x:c>
    </x:row>
    <x:row r="11">
      <x:c r="A11" s="47" t="str">
        <x:v>RUN-IMO26-012-20260829T225452342027Z</x:v>
      </x:c>
      <x:c r="B11" s="47" t="str">
        <x:v>IMO26-012</x:v>
      </x:c>
      <x:c r="C11" s="59" t="n">
        <x:v>1</x:v>
      </x:c>
      <x:c r="D11" s="47" t="str">
        <x:v>validator_prompt</x:v>
      </x:c>
      <x:c r="E11" s="48" t="str">
        <x:v>artifacts/attempt_01/validator_prompt_01.txt</x:v>
      </x:c>
      <x:c r="F11" s="47" t="str">
        <x:v>dbc30b0d91fc9a964729bd7717c3bcf1be7e6debe87c29469e7f0a09dca42110</x:v>
      </x:c>
      <x:c r="G11" s="59" t="n">
        <x:v>27798</x:v>
      </x:c>
    </x:row>
    <x:row r="12">
      <x:c r="A12" s="47" t="str">
        <x:v>RUN-IMO26-012-20260829T225452342027Z</x:v>
      </x:c>
      <x:c r="B12" s="47" t="str">
        <x:v>IMO26-012</x:v>
      </x:c>
      <x:c r="C12" s="59" t="n">
        <x:v>1</x:v>
      </x:c>
      <x:c r="D12" s="47" t="str">
        <x:v>validator_raw_response</x:v>
      </x:c>
      <x:c r="E12" s="48" t="str">
        <x:v>artifacts/attempt_01/validator_raw_01.txt</x:v>
      </x:c>
      <x:c r="F12" s="47" t="str">
        <x:v>7acc99d12e870f138127bd80892575913a643c79f1b1f9675e0c1ed4835a97bd</x:v>
      </x:c>
      <x:c r="G12" s="59" t="n">
        <x:v>696</x:v>
      </x:c>
    </x:row>
    <x:row r="13">
      <x:c r="A13" s="47" t="str">
        <x:v>RUN-IMO26-012-20260829T225452342027Z</x:v>
      </x:c>
      <x:c r="B13" s="47" t="str">
        <x:v>IMO26-012</x:v>
      </x:c>
      <x:c r="C13" s="59" t="n">
        <x:v>1</x:v>
      </x:c>
      <x:c r="D13" s="47" t="str">
        <x:v>matcher_candidates</x:v>
      </x:c>
      <x:c r="E13" s="48" t="str">
        <x:v>artifacts/attempt_01/matcher_candidates.json</x:v>
      </x:c>
      <x:c r="F13" s="47" t="str">
        <x:v>7051793d56d952897347fed8bc0944dc5ae35d13e390c272772b5be560a6c614</x:v>
      </x:c>
      <x:c r="G13" s="59" t="n">
        <x:v>5114</x:v>
      </x:c>
    </x:row>
    <x:row r="14">
      <x:c r="A14" s="47" t="str">
        <x:v>RUN-IMO26-012-20260829T225452342027Z</x:v>
      </x:c>
      <x:c r="B14" s="47" t="str">
        <x:v>IMO26-012</x:v>
      </x:c>
      <x:c r="C14" s="59" t="n">
        <x:v>1</x:v>
      </x:c>
      <x:c r="D14" s="47" t="str">
        <x:v>vocabulary_matcher_prompt</x:v>
      </x:c>
      <x:c r="E14" s="48" t="str">
        <x:v>artifacts/attempt_01/vocabulary_matcher_prompt_01.txt</x:v>
      </x:c>
      <x:c r="F14" s="47" t="str">
        <x:v>76383b4e7b251c44910699903ed81a2945ecb95c2066122b911bc456c1eab419</x:v>
      </x:c>
      <x:c r="G14" s="59" t="n">
        <x:v>10643</x:v>
      </x:c>
    </x:row>
    <x:row r="15">
      <x:c r="A15" s="47" t="str">
        <x:v>RUN-IMO26-012-20260829T225452342027Z</x:v>
      </x:c>
      <x:c r="B15" s="47" t="str">
        <x:v>IMO26-012</x:v>
      </x:c>
      <x:c r="C15" s="59" t="n">
        <x:v>1</x:v>
      </x:c>
      <x:c r="D15" s="47" t="str">
        <x:v>vocabulary_matcher_raw_response</x:v>
      </x:c>
      <x:c r="E15" s="48" t="str">
        <x:v>artifacts/attempt_01/vocabulary_matcher_raw_01.txt</x:v>
      </x:c>
      <x:c r="F15" s="47" t="str">
        <x:v>25aaaa205ce9d5684747ad8264c3b3cfb69da5840fb026b05de4891d072ec52f</x:v>
      </x:c>
      <x:c r="G15" s="59" t="n">
        <x:v>328</x:v>
      </x:c>
    </x:row>
    <x:row r="16">
      <x:c r="A16" s="47" t="str">
        <x:v>RUN-IMO26-012-20260829T225452342027Z</x:v>
      </x:c>
      <x:c r="B16" s="47" t="str">
        <x:v>IMO26-012</x:v>
      </x:c>
      <x:c r="C16" s="59" t="n">
        <x:v>2</x:v>
      </x:c>
      <x:c r="D16" s="47" t="str">
        <x:v>expanded_context_pack</x:v>
      </x:c>
      <x:c r="E16" s="48" t="str">
        <x:v>artifacts/attempt_02/context_pack_expanded.json</x:v>
      </x:c>
      <x:c r="F16" s="47" t="str">
        <x:v>a6e72b28e2ee47b665db4d474a9c2e7e33b20b1a9c3b6f472e9d46ee3cb608d7</x:v>
      </x:c>
      <x:c r="G16" s="59" t="n">
        <x:v>16585</x:v>
      </x:c>
    </x:row>
    <x:row r="17">
      <x:c r="A17" s="47" t="str">
        <x:v>RUN-IMO26-012-20260829T225452342027Z</x:v>
      </x:c>
      <x:c r="B17" s="47" t="str">
        <x:v>IMO26-012</x:v>
      </x:c>
      <x:c r="C17" s="59" t="n">
        <x:v>2</x:v>
      </x:c>
      <x:c r="D17" s="47" t="str">
        <x:v>generator_prompt</x:v>
      </x:c>
      <x:c r="E17" s="48" t="str">
        <x:v>artifacts/attempt_02/generator_prompt.txt</x:v>
      </x:c>
      <x:c r="F17" s="47" t="str">
        <x:v>38ac0c7c63f61959b60443085a95cf02d020e4aeb7d6749372fe56951b14ce1f</x:v>
      </x:c>
      <x:c r="G17" s="59" t="n">
        <x:v>32834</x:v>
      </x:c>
    </x:row>
    <x:row r="18">
      <x:c r="A18" s="47" t="str">
        <x:v>RUN-IMO26-012-20260829T225452342027Z</x:v>
      </x:c>
      <x:c r="B18" s="47" t="str">
        <x:v>IMO26-012</x:v>
      </x:c>
      <x:c r="C18" s="59" t="n">
        <x:v>2</x:v>
      </x:c>
      <x:c r="D18" s="47" t="str">
        <x:v>generator_raw_response</x:v>
      </x:c>
      <x:c r="E18" s="48" t="str">
        <x:v>artifacts/attempt_02/generator_raw.txt</x:v>
      </x:c>
      <x:c r="F18" s="47" t="str">
        <x:v>59ddb533117906845e56b38bcceddc4238e158ea5de7d363b19e14e5a651fe7b</x:v>
      </x:c>
      <x:c r="G18" s="59" t="n">
        <x:v>2755</x:v>
      </x:c>
    </x:row>
    <x:row r="19">
      <x:c r="A19" s="47" t="str">
        <x:v>RUN-IMO26-012-20260829T225452342027Z</x:v>
      </x:c>
      <x:c r="B19" s="47" t="str">
        <x:v>IMO26-012</x:v>
      </x:c>
      <x:c r="C19" s="59" t="n">
        <x:v>2</x:v>
      </x:c>
      <x:c r="D19" s="47" t="str">
        <x:v>candidate_shape</x:v>
      </x:c>
      <x:c r="E19" s="48" t="str">
        <x:v>artifacts/attempt_02/candidate_shape.ttl</x:v>
      </x:c>
      <x:c r="F19" s="47" t="str">
        <x:v>e12e92fd34b45a3e3fb82639da72696896b32ac2196f6588185c09886ce42b9d</x:v>
      </x:c>
      <x:c r="G19" s="59" t="n">
        <x:v>2730</x:v>
      </x:c>
    </x:row>
    <x:row r="20">
      <x:c r="A20" s="47" t="str">
        <x:v>RUN-IMO26-012-20260829T225452342027Z</x:v>
      </x:c>
      <x:c r="B20" s="47" t="str">
        <x:v>IMO26-012</x:v>
      </x:c>
      <x:c r="C20" s="59" t="n">
        <x:v>2</x:v>
      </x:c>
      <x:c r="D20" s="47" t="str">
        <x:v>deterministic_validation</x:v>
      </x:c>
      <x:c r="E20" s="48" t="str">
        <x:v>artifacts/attempt_02/deterministic_validation.json</x:v>
      </x:c>
      <x:c r="F20" s="47" t="str">
        <x:v>f50af3257d60d42739a6c87a29cf9591584f4a2c87bc41b1e4b6aaead922cc82</x:v>
      </x:c>
      <x:c r="G20" s="59" t="n">
        <x:v>829</x:v>
      </x:c>
    </x:row>
    <x:row r="21">
      <x:c r="A21" s="47" t="str">
        <x:v>RUN-IMO26-012-20260829T225452342027Z</x:v>
      </x:c>
      <x:c r="B21" s="47" t="str">
        <x:v>IMO26-012</x:v>
      </x:c>
      <x:c r="C21" s="59" t="n">
        <x:v>2</x:v>
      </x:c>
      <x:c r="D21" s="47" t="str">
        <x:v>validator_prompt</x:v>
      </x:c>
      <x:c r="E21" s="48" t="str">
        <x:v>artifacts/attempt_02/validator_prompt_01.txt</x:v>
      </x:c>
      <x:c r="F21" s="47" t="str">
        <x:v>98f50f86552c73582e0da6ddd1342cbf713dd5312f2344f0903878061972f1cf</x:v>
      </x:c>
      <x:c r="G21" s="59" t="n">
        <x:v>30684</x:v>
      </x:c>
    </x:row>
    <x:row r="22">
      <x:c r="A22" s="47" t="str">
        <x:v>RUN-IMO26-012-20260829T225452342027Z</x:v>
      </x:c>
      <x:c r="B22" s="47" t="str">
        <x:v>IMO26-012</x:v>
      </x:c>
      <x:c r="C22" s="59" t="n">
        <x:v>2</x:v>
      </x:c>
      <x:c r="D22" s="47" t="str">
        <x:v>validator_raw_response</x:v>
      </x:c>
      <x:c r="E22" s="48" t="str">
        <x:v>artifacts/attempt_02/validator_raw_01.txt</x:v>
      </x:c>
      <x:c r="F22" s="47" t="str">
        <x:v>82c8cf6ccae1e288bc8bcad62612baa3ce4ab75d2397031b788551a6e3a410a7</x:v>
      </x:c>
      <x:c r="G22" s="59" t="n">
        <x:v>765</x:v>
      </x:c>
    </x:row>
    <x:row r="23">
      <x:c r="A23" s="47" t="str">
        <x:v>RUN-IMO26-012-20260829T225452342027Z</x:v>
      </x:c>
      <x:c r="B23" s="47" t="str">
        <x:v>IMO26-012</x:v>
      </x:c>
      <x:c r="C23" s="59" t="n">
        <x:v>2</x:v>
      </x:c>
      <x:c r="D23" s="47" t="str">
        <x:v>matcher_candidates</x:v>
      </x:c>
      <x:c r="E23" s="48" t="str">
        <x:v>artifacts/attempt_02/matcher_candidates.json</x:v>
      </x:c>
      <x:c r="F23" s="47" t="str">
        <x:v>c58df42f915c69f96e12bdad7dfc46946a37b515145014113de2a102d4ec4a81</x:v>
      </x:c>
      <x:c r="G23" s="59" t="n">
        <x:v>5727</x:v>
      </x:c>
    </x:row>
    <x:row r="24">
      <x:c r="A24" s="47" t="str">
        <x:v>RUN-IMO26-012-20260829T225452342027Z</x:v>
      </x:c>
      <x:c r="B24" s="47" t="str">
        <x:v>IMO26-012</x:v>
      </x:c>
      <x:c r="C24" s="59" t="n">
        <x:v>2</x:v>
      </x:c>
      <x:c r="D24" s="47" t="str">
        <x:v>vocabulary_matcher_prompt</x:v>
      </x:c>
      <x:c r="E24" s="48" t="str">
        <x:v>artifacts/attempt_02/vocabulary_matcher_prompt_01.txt</x:v>
      </x:c>
      <x:c r="F24" s="47" t="str">
        <x:v>fa95633c218e64b526a639d36c083474258892ea30ec56e530fc4cd29124d062</x:v>
      </x:c>
      <x:c r="G24" s="59" t="n">
        <x:v>11389</x:v>
      </x:c>
    </x:row>
    <x:row r="25">
      <x:c r="A25" s="49" t="str">
        <x:v>RUN-IMO26-012-20260829T225452342027Z</x:v>
      </x:c>
      <x:c r="B25" s="49" t="str">
        <x:v>IMO26-012</x:v>
      </x:c>
      <x:c r="C25" s="60" t="n">
        <x:v>2</x:v>
      </x:c>
      <x:c r="D25" s="49" t="str">
        <x:v>vocabulary_matcher_raw_response</x:v>
      </x:c>
      <x:c r="E25" s="50" t="str">
        <x:v>artifacts/attempt_02/vocabulary_matcher_raw_01.txt</x:v>
      </x:c>
      <x:c r="F25" s="49" t="str">
        <x:v>9823c37c7319821ef6e726338f305418df7b5b4267120eade1f8ef782dda1b4d</x:v>
      </x:c>
      <x:c r="G25" s="60" t="n">
        <x:v>355</x:v>
      </x:c>
    </x:row>
  </x:sheetData>
  <x:pageMargins left="0.7" right="0.7" top="0.75" bottom="0.75" header="0.3" footer="0.3"/>
  <x:tableParts count="1">
    <x:tablePart xmlns:r="http://schemas.openxmlformats.org/officeDocument/2006/relationships" r:id="Ra539ce22ba264faa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4" hidden="0" customWidth="1"/>
    <x:col min="5" max="5" width="52" hidden="0" customWidth="1"/>
    <x:col min="6" max="6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RUN-IMO26-012-20260829T225452342027Z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69" t="str">
        <x:v>RUN-IMO26-012-20260829T225452342027Z</x:v>
      </x:c>
      <x:c r="B5" s="69" t="str">
        <x:v>IMO26-012</x:v>
      </x:c>
      <x:c r="C5" s="71" t="n">
        <x:v>2</x:v>
      </x:c>
      <x:c r="D5" s="69" t="str">
        <x:v>TERM_RESOLUTION_UNRESOLVED</x:v>
      </x:c>
      <x:c r="E5" s="73" t="str">
        <x:v>No supplied candidate is semantically verified: the connection properties retain an incompatible benchmarkEntity range, while the power quantity properties do not represent a connection relationship or provide a validated owner/path for each nonMagneticHeadingMeans.</x:v>
      </x:c>
      <x:c r="F5" s="69" t="str">
        <x:v>OPEN</x:v>
      </x:c>
    </x:row>
  </x:sheetData>
  <x:conditionalFormatting sqref="F5:F5">
    <x:cfRule type="containsText" dxfId="42" priority="1" operator="containsText" text="ACCEPT"/>
    <x:cfRule type="containsText" dxfId="43" priority="2" operator="containsText" text="ELIGIBLE"/>
    <x:cfRule type="containsText" dxfId="44" priority="3" operator="containsText" text="PASS"/>
    <x:cfRule type="containsText" dxfId="45" priority="4" operator="containsText" text="GAP"/>
    <x:cfRule type="containsText" dxfId="46" priority="5" operator="containsText" text="FAIL"/>
    <x:cfRule type="containsText" dxfId="47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99e347129c9349e6"/>
  </x:tableParts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RUN-IMO26-012-20260829T225452342027Z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