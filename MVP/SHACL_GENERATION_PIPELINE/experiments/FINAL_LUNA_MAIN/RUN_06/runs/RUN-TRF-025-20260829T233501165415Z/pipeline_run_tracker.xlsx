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af8e22ff9dd42bc" /></Relationships>
</file>

<file path=xl/workbook.xml><?xml version="1.0" encoding="utf-8"?>
<x:workbook xmlns:x="http://schemas.openxmlformats.org/spreadsheetml/2006/main">
  <x:sheets>
    <x:sheet xmlns:r="http://schemas.openxmlformats.org/officeDocument/2006/relationships" name="SUMMARY" sheetId="1" r:id="R63a21628bd564366"/>
    <x:sheet xmlns:r="http://schemas.openxmlformats.org/officeDocument/2006/relationships" name="README" sheetId="2" r:id="Re66eed3443844a3e"/>
    <x:sheet xmlns:r="http://schemas.openxmlformats.org/officeDocument/2006/relationships" name="REGULATION_QUEUE" sheetId="3" r:id="R13709e86c3a04736"/>
    <x:sheet xmlns:r="http://schemas.openxmlformats.org/officeDocument/2006/relationships" name="RUNS" sheetId="4" r:id="R21fddec91b664bdc"/>
    <x:sheet xmlns:r="http://schemas.openxmlformats.org/officeDocument/2006/relationships" name="ITERATIONS" sheetId="5" r:id="Re6ca7d29d6664762"/>
    <x:sheet xmlns:r="http://schemas.openxmlformats.org/officeDocument/2006/relationships" name="API_CALLS" sheetId="6" r:id="R1acfb808a6d8486d"/>
    <x:sheet xmlns:r="http://schemas.openxmlformats.org/officeDocument/2006/relationships" name="TERM_RETRIEVAL" sheetId="7" r:id="Rcb53031790b7486d"/>
    <x:sheet xmlns:r="http://schemas.openxmlformats.org/officeDocument/2006/relationships" name="FEW_SHOT_SELECTION" sheetId="8" r:id="R4a8987412660426d"/>
    <x:sheet xmlns:r="http://schemas.openxmlformats.org/officeDocument/2006/relationships" name="VALIDATION" sheetId="9" r:id="R81161b43e4ca4631"/>
    <x:sheet xmlns:r="http://schemas.openxmlformats.org/officeDocument/2006/relationships" name="VOCAB_MATCHES" sheetId="10" r:id="R9e876a54b3da4266"/>
    <x:sheet xmlns:r="http://schemas.openxmlformats.org/officeDocument/2006/relationships" name="ARTIFACTS" sheetId="11" r:id="Rceda36b3348f4394"/>
    <x:sheet xmlns:r="http://schemas.openxmlformats.org/officeDocument/2006/relationships" name="UNRESOLVED" sheetId="12" r:id="Re0c3585e27b64571"/>
    <x:sheet xmlns:r="http://schemas.openxmlformats.org/officeDocument/2006/relationships" name="RDF_TEST_QUEUE" sheetId="13" r:id="Ra49df9a0d0314d4e"/>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c336648d8c949ea" /><Relationship Type="http://schemas.openxmlformats.org/officeDocument/2006/relationships/theme" Target="/xl/theme/theme1.xml" Id="Rabddd4e83e224955" /><Relationship Type="http://schemas.microsoft.com/office/2022/11/relationships/FeaturePropertyBag" Target="/xl/featurePropertyBag/featurePropertyBag.xml" Id="R1662311c11a04b3e" /><Relationship Type="http://schemas.openxmlformats.org/officeDocument/2006/relationships/sharedStrings" Target="/xl/sharedStrings.xml" Id="R22fe9afc0c8446a1" /><Relationship Type="http://schemas.openxmlformats.org/officeDocument/2006/relationships/worksheet" Target="/xl/worksheets/sheet1.xml" Id="R63a21628bd564366" /><Relationship Type="http://schemas.openxmlformats.org/officeDocument/2006/relationships/worksheet" Target="/xl/worksheets/sheet2.xml" Id="Re66eed3443844a3e" /><Relationship Type="http://schemas.openxmlformats.org/officeDocument/2006/relationships/worksheet" Target="/xl/worksheets/sheet3.xml" Id="R13709e86c3a04736" /><Relationship Type="http://schemas.openxmlformats.org/officeDocument/2006/relationships/worksheet" Target="/xl/worksheets/sheet4.xml" Id="R21fddec91b664bdc" /><Relationship Type="http://schemas.openxmlformats.org/officeDocument/2006/relationships/worksheet" Target="/xl/worksheets/sheet5.xml" Id="Re6ca7d29d6664762" /><Relationship Type="http://schemas.openxmlformats.org/officeDocument/2006/relationships/worksheet" Target="/xl/worksheets/sheet6.xml" Id="R1acfb808a6d8486d" /><Relationship Type="http://schemas.openxmlformats.org/officeDocument/2006/relationships/worksheet" Target="/xl/worksheets/sheet7.xml" Id="Rcb53031790b7486d" /><Relationship Type="http://schemas.openxmlformats.org/officeDocument/2006/relationships/worksheet" Target="/xl/worksheets/sheet8.xml" Id="R4a8987412660426d" /><Relationship Type="http://schemas.openxmlformats.org/officeDocument/2006/relationships/worksheet" Target="/xl/worksheets/sheet9.xml" Id="R81161b43e4ca4631" /><Relationship Type="http://schemas.openxmlformats.org/officeDocument/2006/relationships/worksheet" Target="/xl/worksheets/sheet10.xml" Id="R9e876a54b3da4266" /><Relationship Type="http://schemas.openxmlformats.org/officeDocument/2006/relationships/worksheet" Target="/xl/worksheets/sheet11.xml" Id="Rceda36b3348f4394" /><Relationship Type="http://schemas.openxmlformats.org/officeDocument/2006/relationships/worksheet" Target="/xl/worksheets/sheet12.xml" Id="Re0c3585e27b64571" /><Relationship Type="http://schemas.openxmlformats.org/officeDocument/2006/relationships/worksheet" Target="/xl/worksheets/sheet13.xml" Id="Ra49df9a0d0314d4e"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30"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2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7db3b4b3cb784a58" /></Relationships>
</file>

<file path=xl/worksheets/_rels/sheet3.xml.rels>&#65279;<?xml version="1.0" encoding="utf-8"?><Relationships xmlns="http://schemas.openxmlformats.org/package/2006/relationships"><Relationship Type="http://schemas.openxmlformats.org/officeDocument/2006/relationships/table" Target="/xl/tables/table2.xml" Id="R51c2d899c52142b2" /></Relationships>
</file>

<file path=xl/worksheets/_rels/sheet4.xml.rels>&#65279;<?xml version="1.0" encoding="utf-8"?><Relationships xmlns="http://schemas.openxmlformats.org/package/2006/relationships"><Relationship Type="http://schemas.openxmlformats.org/officeDocument/2006/relationships/table" Target="/xl/tables/table3.xml" Id="R3e37066c1129400b" /></Relationships>
</file>

<file path=xl/worksheets/_rels/sheet5.xml.rels>&#65279;<?xml version="1.0" encoding="utf-8"?><Relationships xmlns="http://schemas.openxmlformats.org/package/2006/relationships"><Relationship Type="http://schemas.openxmlformats.org/officeDocument/2006/relationships/table" Target="/xl/tables/table4.xml" Id="Ra630f97ac31c480d" /></Relationships>
</file>

<file path=xl/worksheets/_rels/sheet6.xml.rels>&#65279;<?xml version="1.0" encoding="utf-8"?><Relationships xmlns="http://schemas.openxmlformats.org/package/2006/relationships"><Relationship Type="http://schemas.openxmlformats.org/officeDocument/2006/relationships/table" Target="/xl/tables/table5.xml" Id="Redc6c6d410cd48cc" /></Relationships>
</file>

<file path=xl/worksheets/_rels/sheet7.xml.rels>&#65279;<?xml version="1.0" encoding="utf-8"?><Relationships xmlns="http://schemas.openxmlformats.org/package/2006/relationships"><Relationship Type="http://schemas.openxmlformats.org/officeDocument/2006/relationships/table" Target="/xl/tables/table6.xml" Id="R74db903a03e94402" /></Relationships>
</file>

<file path=xl/worksheets/_rels/sheet8.xml.rels>&#65279;<?xml version="1.0" encoding="utf-8"?><Relationships xmlns="http://schemas.openxmlformats.org/package/2006/relationships"><Relationship Type="http://schemas.openxmlformats.org/officeDocument/2006/relationships/table" Target="/xl/tables/table7.xml" Id="R8063b8f1ec5c4758" /></Relationships>
</file>

<file path=xl/worksheets/_rels/sheet9.xml.rels>&#65279;<?xml version="1.0" encoding="utf-8"?><Relationships xmlns="http://schemas.openxmlformats.org/package/2006/relationships"><Relationship Type="http://schemas.openxmlformats.org/officeDocument/2006/relationships/table" Target="/xl/tables/table8.xml" Id="R313ecddaf6864072" /></Relationships>
</file>

<file path=xl/worksheets/_rels/sheet10.xml.rels>&#65279;<?xml version="1.0" encoding="utf-8"?><Relationships xmlns="http://schemas.openxmlformats.org/package/2006/relationships"><Relationship Type="http://schemas.openxmlformats.org/officeDocument/2006/relationships/table" Target="/xl/tables/table9.xml" Id="R2e31329064594383" /></Relationships>
</file>

<file path=xl/worksheets/_rels/sheet11.xml.rels>&#65279;<?xml version="1.0" encoding="utf-8"?><Relationships xmlns="http://schemas.openxmlformats.org/package/2006/relationships"><Relationship Type="http://schemas.openxmlformats.org/officeDocument/2006/relationships/table" Target="/xl/tables/table10.xml" Id="R7ed5536a65374340" /></Relationships>
</file>

<file path=xl/worksheets/_rels/sheet12.xml.rels>&#65279;<?xml version="1.0" encoding="utf-8"?><Relationships xmlns="http://schemas.openxmlformats.org/package/2006/relationships"><Relationship Type="http://schemas.openxmlformats.org/officeDocument/2006/relationships/table" Target="/xl/tables/table11.xml" Id="R7d17c28847514251"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RUN-TRF-025-20260829T233501165415Z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COUNTA('API_CALLS'!$A$5:$A$20)</x:f>
        <x:v>16</x:v>
      </x:c>
      <x:c r="C9" s="21"/>
      <x:c r="D9" s="21"/>
    </x:row>
    <x:row r="10">
      <x:c r="A10" s="27" t="str">
        <x:v>Mean API/LLM elapsed ms</x:v>
      </x:c>
      <x:c r="B10" s="28" t="n">
        <x:f>IFERROR(AVERAGE('API_CALLS'!$K$5:$K$20),0)</x:f>
        <x:v>14554.374125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RUN-TRF-025-20260829T233501165415Z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7db3b4b3cb784a58"/>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RUN-TRF-025-20260829T233501165415Z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TERM_RESOLUTION_UNRESOLVED</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51c2d899c52142b2"/>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RUN-TRF-025-20260829T233501165415Z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SESSION-BATCH-20260829T200425712334Z</x:v>
      </x:c>
      <x:c r="B5" s="69" t="str">
        <x:v>RUN-TRF-025-20260829T233501165415Z</x:v>
      </x:c>
      <x:c r="C5" s="69" t="str">
        <x:v>TRF-025</x:v>
      </x:c>
      <x:c r="D5" s="70" t="n">
        <x:v>46263.98265238426</x:v>
      </x:c>
      <x:c r="E5" s="70" t="n">
        <x:v>46263.9840266088</x:v>
      </x:c>
      <x:c r="F5" s="69" t="str">
        <x:v>final-luna-main-run06</x:v>
      </x:c>
      <x:c r="G5" s="69" t="str">
        <x:v>VOCAB-LOCK-2026-08-22-R13</x:v>
      </x:c>
      <x:c r="H5" s="71" t="n">
        <x:v>3</x:v>
      </x:c>
      <x:c r="I5" s="69" t="str">
        <x:v>TERM_RESOLUTION_UNRESOLVED</x:v>
      </x:c>
      <x:c r="J5" s="72" t="b">
        <x:v>0</x:v>
      </x:c>
      <x:c r="K5" s="69" t="str"/>
      <x:c r="L5" s="73" t="str">
        <x:v>Preserve the single ship-level applicability gate requiring exactly one iceClass equal to nltl:iceClassIaSuper and exactly one bulbousBowPresent value false, plus the ship-owned positive B/L/T operands and declared quantity units. Add actual COMPLEX_READINESS validation for both brashIceResistanceCoefficientC1 and brashIceResistanceCoefficientC2: retain their force quantity domains and require readiness-level numerical-tolerance evidence tied to the expected formula results, with tolerance scaled from each expected result rather than the reported value. Do not invent a formula, threshold, or generic evidence obligation; locate canonical calculation/analysis/result-tolerance terms or paths if required, and do not relocate any property.</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3e37066c1129400b"/>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RUN-TRF-025-20260829T233501165415Z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RUN-TRF-025-20260829T233501165415Z</x:v>
      </x:c>
      <x:c r="B5" s="45" t="str">
        <x:v>TRF-025</x:v>
      </x:c>
      <x:c r="C5" s="58" t="n">
        <x:v>1</x:v>
      </x:c>
      <x:c r="D5" s="83" t="b">
        <x:v>1</x:v>
      </x:c>
      <x:c r="E5" s="83" t="b">
        <x:v>0</x:v>
      </x:c>
      <x:c r="F5" s="83" t="b">
        <x:v>0</x:v>
      </x:c>
      <x:c r="G5" s="45" t="str">
        <x:v>REVISE</x:v>
      </x:c>
      <x:c r="H5" s="46" t="str">
        <x:v>Replace the top-level sh:or alternatives with a single applicability gate requiring exactly one iceClass equal to nltl:iceClassIaSuper and exactly one bulbousBowPresent value false. The current second and third branches make non-IA-Super ships or ships with a bulb pass, contradicting the obligation that this requirement applies only to IA Super ships without a bulb. Preserve the existing ship-owned operands, positive B/L/T checks, and C1/C2 result-domain/unit structures, and add the required readiness-level numerical-tolerance validation for both result terms without inventing a formula or extra evidence requirement.</x:v>
      </x:c>
      <x:c r="I5" s="84" t="n">
        <x:v>20338.378</x:v>
      </x:c>
      <x:c r="J5" s="84" t="n">
        <x:v>9219.361</x:v>
      </x:c>
    </x:row>
    <x:row r="6">
      <x:c r="A6" s="47" t="str">
        <x:v>RUN-TRF-025-20260829T233501165415Z</x:v>
      </x:c>
      <x:c r="B6" s="47" t="str">
        <x:v>TRF-025</x:v>
      </x:c>
      <x:c r="C6" s="59" t="n">
        <x:v>2</x:v>
      </x:c>
      <x:c r="D6" s="85" t="b">
        <x:v>1</x:v>
      </x:c>
      <x:c r="E6" s="85" t="b">
        <x:v>0</x:v>
      </x:c>
      <x:c r="F6" s="85" t="b">
        <x:v>0</x:v>
      </x:c>
      <x:c r="G6" s="47" t="str">
        <x:v>REVISE</x:v>
      </x:c>
      <x:c r="H6" s="48" t="str">
        <x:v>Preserve the corrected single applicability gate, ship-owned operand structures, positive B/L/T checks, and C1/C2 force-unit domains. Add an actual readiness-level numerical-tolerance validation for both brashIceResistanceCoefficientC1 and brashIceResistanceCoefficientC2; the current messages merely mention an external tolerance and impose no constraint. The tolerance must be scaled from each expected formula result rather than the reported result, while remaining within the COMPLEX_READINESS boundary and without inventing a formula, threshold, or extra evidence requirement.</x:v>
      </x:c>
      <x:c r="I6" s="86" t="n">
        <x:v>28881.092</x:v>
      </x:c>
      <x:c r="J6" s="86" t="n">
        <x:v>6834.897</x:v>
      </x:c>
    </x:row>
    <x:row r="7">
      <x:c r="A7" s="49" t="str">
        <x:v>RUN-TRF-025-20260829T233501165415Z</x:v>
      </x:c>
      <x:c r="B7" s="49" t="str">
        <x:v>TRF-025</x:v>
      </x:c>
      <x:c r="C7" s="60" t="n">
        <x:v>3</x:v>
      </x:c>
      <x:c r="D7" s="87" t="b">
        <x:v>1</x:v>
      </x:c>
      <x:c r="E7" s="87" t="b">
        <x:v>0</x:v>
      </x:c>
      <x:c r="F7" s="87" t="b">
        <x:v>1</x:v>
      </x:c>
      <x:c r="G7" s="49" t="str">
        <x:v>STOP_TERM_RESOLUTION</x:v>
      </x:c>
      <x:c r="H7" s="50" t="str">
        <x:v>Preserve the single ship-level applicability gate requiring exactly one iceClass equal to nltl:iceClassIaSuper and exactly one bulbousBowPresent value false, plus the ship-owned positive B/L/T operands and declared quantity units. Add actual COMPLEX_READINESS validation for both brashIceResistanceCoefficientC1 and brashIceResistanceCoefficientC2: retain their force quantity domains and require readiness-level numerical-tolerance evidence tied to the expected formula results, with tolerance scaled from each expected result rather than the reported value. Do not invent a formula, threshold, or generic evidence obligation; locate canonical calculation/analysis/result-tolerance terms or paths if required, and do not relocate any property.</x:v>
      </x:c>
      <x:c r="I7" s="88" t="n">
        <x:v>24467.972</x:v>
      </x:c>
      <x:c r="J7" s="88" t="n">
        <x:v>6653.35</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a630f97ac31c480d"/>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RUN-TRF-025-20260829T233501165415Z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EVT-000034</x:v>
      </x:c>
      <x:c r="B5" s="45" t="str">
        <x:v>RUN-TRF-025-20260829T233501165415Z</x:v>
      </x:c>
      <x:c r="C5" s="45" t="str">
        <x:v>TRF-025</x:v>
      </x:c>
      <x:c r="D5" s="92" t="n">
        <x:v>46263.98288778935</x:v>
      </x:c>
      <x:c r="E5" s="45" t="str">
        <x:v>generator</x:v>
      </x:c>
      <x:c r="F5" s="45" t="str">
        <x:v>gpt-5.6-luna-2026-07-09</x:v>
      </x:c>
      <x:c r="G5" s="45" t="n">
        <x:v>1</x:v>
      </x:c>
      <x:c r="H5" s="45" t="n">
        <x:v>200</x:v>
      </x:c>
      <x:c r="I5" s="45" t="str">
        <x:v>Ocp-Apim-Subscription-Key</x:v>
      </x:c>
      <x:c r="J5" s="84" t="n">
        <x:v>0</x:v>
      </x:c>
      <x:c r="K5" s="84" t="n">
        <x:v>20336.868</x:v>
      </x:c>
      <x:c r="L5" s="83" t="b">
        <x:v>0</x:v>
      </x:c>
      <x:c r="M5" s="45" t="str"/>
      <x:c r="N5" s="58" t="str"/>
      <x:c r="O5" s="58" t="str"/>
      <x:c r="P5" s="58" t="str"/>
    </x:row>
    <x:row r="6">
      <x:c r="A6" s="47" t="str">
        <x:v>EVT-000035</x:v>
      </x:c>
      <x:c r="B6" s="47" t="str">
        <x:v>RUN-TRF-025-20260829T233501165415Z</x:v>
      </x:c>
      <x:c r="C6" s="47" t="str">
        <x:v>TRF-025</x:v>
      </x:c>
      <x:c r="D6" s="93" t="n">
        <x:v>46263.9828878125</x:v>
      </x:c>
      <x:c r="E6" s="47" t="str">
        <x:v>generator</x:v>
      </x:c>
      <x:c r="F6" s="47" t="str">
        <x:v>gpt-5.6-luna-2026-07-09</x:v>
      </x:c>
      <x:c r="G6" s="47" t="n">
        <x:v>1</x:v>
      </x:c>
      <x:c r="H6" s="47" t="str">
        <x:v>COMPLETED</x:v>
      </x:c>
      <x:c r="I6" s="47" t="str"/>
      <x:c r="J6" s="86" t="n">
        <x:v>0</x:v>
      </x:c>
      <x:c r="K6" s="86" t="n">
        <x:v>20338.378</x:v>
      </x:c>
      <x:c r="L6" s="85" t="b">
        <x:v>0</x:v>
      </x:c>
      <x:c r="M6" s="47" t="str">
        <x:v>resp_0fd426fb1991f895006a936ca544e0819494eaa4a45300fd74</x:v>
      </x:c>
      <x:c r="N6" s="59" t="n">
        <x:v>12560</x:v>
      </x:c>
      <x:c r="O6" s="59" t="n">
        <x:v>2908</x:v>
      </x:c>
      <x:c r="P6" s="59" t="n">
        <x:v>15468</x:v>
      </x:c>
    </x:row>
    <x:row r="7">
      <x:c r="A7" s="47" t="str">
        <x:v>EVT-000040</x:v>
      </x:c>
      <x:c r="B7" s="47" t="str">
        <x:v>RUN-TRF-025-20260829T233501165415Z</x:v>
      </x:c>
      <x:c r="C7" s="47" t="str">
        <x:v>TRF-025</x:v>
      </x:c>
      <x:c r="D7" s="93" t="n">
        <x:v>46263.98301934028</x:v>
      </x:c>
      <x:c r="E7" s="47" t="str">
        <x:v>syntax_repair</x:v>
      </x:c>
      <x:c r="F7" s="47" t="str">
        <x:v>gpt-5.6-luna-2026-07-09</x:v>
      </x:c>
      <x:c r="G7" s="47" t="n">
        <x:v>1</x:v>
      </x:c>
      <x:c r="H7" s="47" t="n">
        <x:v>200</x:v>
      </x:c>
      <x:c r="I7" s="47" t="str">
        <x:v>Ocp-Apim-Subscription-Key</x:v>
      </x:c>
      <x:c r="J7" s="86" t="n">
        <x:v>0</x:v>
      </x:c>
      <x:c r="K7" s="86" t="n">
        <x:v>11352.078</x:v>
      </x:c>
      <x:c r="L7" s="85" t="b">
        <x:v>0</x:v>
      </x:c>
      <x:c r="M7" s="47" t="str"/>
      <x:c r="N7" s="59" t="str"/>
      <x:c r="O7" s="59" t="str"/>
      <x:c r="P7" s="59" t="str"/>
    </x:row>
    <x:row r="8">
      <x:c r="A8" s="47" t="str">
        <x:v>EVT-000041</x:v>
      </x:c>
      <x:c r="B8" s="47" t="str">
        <x:v>RUN-TRF-025-20260829T233501165415Z</x:v>
      </x:c>
      <x:c r="C8" s="47" t="str">
        <x:v>TRF-025</x:v>
      </x:c>
      <x:c r="D8" s="93" t="n">
        <x:v>46263.98301935185</x:v>
      </x:c>
      <x:c r="E8" s="47" t="str">
        <x:v>syntax_repair</x:v>
      </x:c>
      <x:c r="F8" s="47" t="str">
        <x:v>gpt-5.6-luna-2026-07-09</x:v>
      </x:c>
      <x:c r="G8" s="47" t="n">
        <x:v>1</x:v>
      </x:c>
      <x:c r="H8" s="47" t="str">
        <x:v>COMPLETED</x:v>
      </x:c>
      <x:c r="I8" s="47" t="str"/>
      <x:c r="J8" s="86" t="n">
        <x:v>0</x:v>
      </x:c>
      <x:c r="K8" s="86" t="n">
        <x:v>11353.666</x:v>
      </x:c>
      <x:c r="L8" s="85" t="b">
        <x:v>0</x:v>
      </x:c>
      <x:c r="M8" s="47" t="str">
        <x:v>resp_0e677420f18048b9006a936cba34488197ba7f5d7c00fc1e6a</x:v>
      </x:c>
      <x:c r="N8" s="59" t="n">
        <x:v>2624</x:v>
      </x:c>
      <x:c r="O8" s="59" t="n">
        <x:v>2150</x:v>
      </x:c>
      <x:c r="P8" s="59" t="n">
        <x:v>4774</x:v>
      </x:c>
    </x:row>
    <x:row r="9">
      <x:c r="A9" s="47" t="str">
        <x:v>EVT-000049</x:v>
      </x:c>
      <x:c r="B9" s="47" t="str">
        <x:v>RUN-TRF-025-20260829T233501165415Z</x:v>
      </x:c>
      <x:c r="C9" s="47" t="str">
        <x:v>TRF-025</x:v>
      </x:c>
      <x:c r="D9" s="93" t="n">
        <x:v>46263.983130740744</x:v>
      </x:c>
      <x:c r="E9" s="47" t="str">
        <x:v>validator</x:v>
      </x:c>
      <x:c r="F9" s="47" t="str">
        <x:v>gpt-5.6-luna-2026-07-09</x:v>
      </x:c>
      <x:c r="G9" s="47" t="n">
        <x:v>1</x:v>
      </x:c>
      <x:c r="H9" s="47" t="n">
        <x:v>200</x:v>
      </x:c>
      <x:c r="I9" s="47" t="str">
        <x:v>Ocp-Apim-Subscription-Key</x:v>
      </x:c>
      <x:c r="J9" s="86" t="n">
        <x:v>0</x:v>
      </x:c>
      <x:c r="K9" s="86" t="n">
        <x:v>9218.805</x:v>
      </x:c>
      <x:c r="L9" s="85" t="b">
        <x:v>0</x:v>
      </x:c>
      <x:c r="M9" s="47" t="str"/>
      <x:c r="N9" s="59" t="str"/>
      <x:c r="O9" s="59" t="str"/>
      <x:c r="P9" s="59" t="str"/>
    </x:row>
    <x:row r="10">
      <x:c r="A10" s="47" t="str">
        <x:v>EVT-000050</x:v>
      </x:c>
      <x:c r="B10" s="47" t="str">
        <x:v>RUN-TRF-025-20260829T233501165415Z</x:v>
      </x:c>
      <x:c r="C10" s="47" t="str">
        <x:v>TRF-025</x:v>
      </x:c>
      <x:c r="D10" s="93" t="n">
        <x:v>46263.983130740744</x:v>
      </x:c>
      <x:c r="E10" s="47" t="str">
        <x:v>validator</x:v>
      </x:c>
      <x:c r="F10" s="47" t="str">
        <x:v>gpt-5.6-luna-2026-07-09</x:v>
      </x:c>
      <x:c r="G10" s="47" t="n">
        <x:v>1</x:v>
      </x:c>
      <x:c r="H10" s="47" t="str">
        <x:v>COMPLETED</x:v>
      </x:c>
      <x:c r="I10" s="47" t="str"/>
      <x:c r="J10" s="86" t="n">
        <x:v>0</x:v>
      </x:c>
      <x:c r="K10" s="86" t="n">
        <x:v>9219.361</x:v>
      </x:c>
      <x:c r="L10" s="85" t="b">
        <x:v>0</x:v>
      </x:c>
      <x:c r="M10" s="47" t="str">
        <x:v>resp_02656d23ffb0ac26006a936cc571488193bde47dca3a3e18c2</x:v>
      </x:c>
      <x:c r="N10" s="59" t="n">
        <x:v>14740</x:v>
      </x:c>
      <x:c r="O10" s="59" t="n">
        <x:v>659</x:v>
      </x:c>
      <x:c r="P10" s="59" t="n">
        <x:v>15399</x:v>
      </x:c>
    </x:row>
    <x:row r="11">
      <x:c r="A11" s="47" t="str">
        <x:v>EVT-000055</x:v>
      </x:c>
      <x:c r="B11" s="47" t="str">
        <x:v>RUN-TRF-025-20260829T233501165415Z</x:v>
      </x:c>
      <x:c r="C11" s="47" t="str">
        <x:v>TRF-025</x:v>
      </x:c>
      <x:c r="D11" s="93" t="n">
        <x:v>46263.98346502315</x:v>
      </x:c>
      <x:c r="E11" s="47" t="str">
        <x:v>generator</x:v>
      </x:c>
      <x:c r="F11" s="47" t="str">
        <x:v>gpt-5.6-luna-2026-07-09</x:v>
      </x:c>
      <x:c r="G11" s="47" t="n">
        <x:v>1</x:v>
      </x:c>
      <x:c r="H11" s="47" t="n">
        <x:v>200</x:v>
      </x:c>
      <x:c r="I11" s="47" t="str">
        <x:v>Ocp-Apim-Subscription-Key</x:v>
      </x:c>
      <x:c r="J11" s="86" t="n">
        <x:v>0</x:v>
      </x:c>
      <x:c r="K11" s="86" t="n">
        <x:v>28879.593</x:v>
      </x:c>
      <x:c r="L11" s="85" t="b">
        <x:v>0</x:v>
      </x:c>
      <x:c r="M11" s="47" t="str"/>
      <x:c r="N11" s="59" t="str"/>
      <x:c r="O11" s="59" t="str"/>
      <x:c r="P11" s="59" t="str"/>
    </x:row>
    <x:row r="12">
      <x:c r="A12" s="47" t="str">
        <x:v>EVT-000056</x:v>
      </x:c>
      <x:c r="B12" s="47" t="str">
        <x:v>RUN-TRF-025-20260829T233501165415Z</x:v>
      </x:c>
      <x:c r="C12" s="47" t="str">
        <x:v>TRF-025</x:v>
      </x:c>
      <x:c r="D12" s="93" t="n">
        <x:v>46263.983465046294</x:v>
      </x:c>
      <x:c r="E12" s="47" t="str">
        <x:v>generator</x:v>
      </x:c>
      <x:c r="F12" s="47" t="str">
        <x:v>gpt-5.6-luna-2026-07-09</x:v>
      </x:c>
      <x:c r="G12" s="47" t="n">
        <x:v>1</x:v>
      </x:c>
      <x:c r="H12" s="47" t="str">
        <x:v>COMPLETED</x:v>
      </x:c>
      <x:c r="I12" s="47" t="str"/>
      <x:c r="J12" s="86" t="n">
        <x:v>0</x:v>
      </x:c>
      <x:c r="K12" s="86" t="n">
        <x:v>28881.092</x:v>
      </x:c>
      <x:c r="L12" s="85" t="b">
        <x:v>0</x:v>
      </x:c>
      <x:c r="M12" s="47" t="str">
        <x:v>resp_05826255d64c2659006a936cce99a08197971ae84949b6efa3</x:v>
      </x:c>
      <x:c r="N12" s="59" t="n">
        <x:v>12682</x:v>
      </x:c>
      <x:c r="O12" s="59" t="n">
        <x:v>3506</x:v>
      </x:c>
      <x:c r="P12" s="59" t="n">
        <x:v>16188</x:v>
      </x:c>
    </x:row>
    <x:row r="13">
      <x:c r="A13" s="47" t="str">
        <x:v>EVT-000063</x:v>
      </x:c>
      <x:c r="B13" s="47" t="str">
        <x:v>RUN-TRF-025-20260829T233501165415Z</x:v>
      </x:c>
      <x:c r="C13" s="47" t="str">
        <x:v>TRF-025</x:v>
      </x:c>
      <x:c r="D13" s="93" t="n">
        <x:v>46263.98354792824</x:v>
      </x:c>
      <x:c r="E13" s="47" t="str">
        <x:v>validator</x:v>
      </x:c>
      <x:c r="F13" s="47" t="str">
        <x:v>gpt-5.6-luna-2026-07-09</x:v>
      </x:c>
      <x:c r="G13" s="47" t="n">
        <x:v>1</x:v>
      </x:c>
      <x:c r="H13" s="47" t="n">
        <x:v>200</x:v>
      </x:c>
      <x:c r="I13" s="47" t="str">
        <x:v>Ocp-Apim-Subscription-Key</x:v>
      </x:c>
      <x:c r="J13" s="86" t="n">
        <x:v>0</x:v>
      </x:c>
      <x:c r="K13" s="86" t="n">
        <x:v>6833.463</x:v>
      </x:c>
      <x:c r="L13" s="85" t="b">
        <x:v>0</x:v>
      </x:c>
      <x:c r="M13" s="47" t="str"/>
      <x:c r="N13" s="59" t="str"/>
      <x:c r="O13" s="59" t="str"/>
      <x:c r="P13" s="59" t="str"/>
    </x:row>
    <x:row r="14">
      <x:c r="A14" s="47" t="str">
        <x:v>EVT-000064</x:v>
      </x:c>
      <x:c r="B14" s="47" t="str">
        <x:v>RUN-TRF-025-20260829T233501165415Z</x:v>
      </x:c>
      <x:c r="C14" s="47" t="str">
        <x:v>TRF-025</x:v>
      </x:c>
      <x:c r="D14" s="93" t="n">
        <x:v>46263.983547951386</x:v>
      </x:c>
      <x:c r="E14" s="47" t="str">
        <x:v>validator</x:v>
      </x:c>
      <x:c r="F14" s="47" t="str">
        <x:v>gpt-5.6-luna-2026-07-09</x:v>
      </x:c>
      <x:c r="G14" s="47" t="n">
        <x:v>1</x:v>
      </x:c>
      <x:c r="H14" s="47" t="str">
        <x:v>COMPLETED</x:v>
      </x:c>
      <x:c r="I14" s="47" t="str"/>
      <x:c r="J14" s="86" t="n">
        <x:v>0</x:v>
      </x:c>
      <x:c r="K14" s="86" t="n">
        <x:v>6834.897</x:v>
      </x:c>
      <x:c r="L14" s="85" t="b">
        <x:v>0</x:v>
      </x:c>
      <x:c r="M14" s="47" t="str">
        <x:v>resp_08c405689bd3ec1d006a936cebd0608194a1012de317586241</x:v>
      </x:c>
      <x:c r="N14" s="59" t="n">
        <x:v>14447</x:v>
      </x:c>
      <x:c r="O14" s="59" t="n">
        <x:v>608</x:v>
      </x:c>
      <x:c r="P14" s="59" t="n">
        <x:v>15055</x:v>
      </x:c>
    </x:row>
    <x:row r="15">
      <x:c r="A15" s="47" t="str">
        <x:v>EVT-000070</x:v>
      </x:c>
      <x:c r="B15" s="47" t="str">
        <x:v>RUN-TRF-025-20260829T233501165415Z</x:v>
      </x:c>
      <x:c r="C15" s="47" t="str">
        <x:v>TRF-025</x:v>
      </x:c>
      <x:c r="D15" s="93" t="n">
        <x:v>46263.98383119213</x:v>
      </x:c>
      <x:c r="E15" s="47" t="str">
        <x:v>generator</x:v>
      </x:c>
      <x:c r="F15" s="47" t="str">
        <x:v>gpt-5.6-luna-2026-07-09</x:v>
      </x:c>
      <x:c r="G15" s="47" t="n">
        <x:v>1</x:v>
      </x:c>
      <x:c r="H15" s="47" t="n">
        <x:v>200</x:v>
      </x:c>
      <x:c r="I15" s="47" t="str">
        <x:v>Ocp-Apim-Subscription-Key</x:v>
      </x:c>
      <x:c r="J15" s="86" t="n">
        <x:v>0</x:v>
      </x:c>
      <x:c r="K15" s="86" t="n">
        <x:v>24466.497</x:v>
      </x:c>
      <x:c r="L15" s="85" t="b">
        <x:v>0</x:v>
      </x:c>
      <x:c r="M15" s="47" t="str"/>
      <x:c r="N15" s="59" t="str"/>
      <x:c r="O15" s="59" t="str"/>
      <x:c r="P15" s="59" t="str"/>
    </x:row>
    <x:row r="16">
      <x:c r="A16" s="47" t="str">
        <x:v>EVT-000071</x:v>
      </x:c>
      <x:c r="B16" s="47" t="str">
        <x:v>RUN-TRF-025-20260829T233501165415Z</x:v>
      </x:c>
      <x:c r="C16" s="47" t="str">
        <x:v>TRF-025</x:v>
      </x:c>
      <x:c r="D16" s="93" t="n">
        <x:v>46263.98383121528</x:v>
      </x:c>
      <x:c r="E16" s="47" t="str">
        <x:v>generator</x:v>
      </x:c>
      <x:c r="F16" s="47" t="str">
        <x:v>gpt-5.6-luna-2026-07-09</x:v>
      </x:c>
      <x:c r="G16" s="47" t="n">
        <x:v>1</x:v>
      </x:c>
      <x:c r="H16" s="47" t="str">
        <x:v>COMPLETED</x:v>
      </x:c>
      <x:c r="I16" s="47" t="str"/>
      <x:c r="J16" s="86" t="n">
        <x:v>0</x:v>
      </x:c>
      <x:c r="K16" s="86" t="n">
        <x:v>24467.972</x:v>
      </x:c>
      <x:c r="L16" s="85" t="b">
        <x:v>0</x:v>
      </x:c>
      <x:c r="M16" s="47" t="str">
        <x:v>resp_0965ac3bbdb09fe5006a936cf2aa948193a955b097bd3f2e58</x:v>
      </x:c>
      <x:c r="N16" s="59" t="n">
        <x:v>12792</x:v>
      </x:c>
      <x:c r="O16" s="59" t="n">
        <x:v>2981</x:v>
      </x:c>
      <x:c r="P16" s="59" t="n">
        <x:v>15773</x:v>
      </x:c>
    </x:row>
    <x:row r="17">
      <x:c r="A17" s="47" t="str">
        <x:v>EVT-000078</x:v>
      </x:c>
      <x:c r="B17" s="47" t="str">
        <x:v>RUN-TRF-025-20260829T233501165415Z</x:v>
      </x:c>
      <x:c r="C17" s="47" t="str">
        <x:v>TRF-025</x:v>
      </x:c>
      <x:c r="D17" s="93" t="n">
        <x:v>46263.983912048614</x:v>
      </x:c>
      <x:c r="E17" s="47" t="str">
        <x:v>validator</x:v>
      </x:c>
      <x:c r="F17" s="47" t="str">
        <x:v>gpt-5.6-luna-2026-07-09</x:v>
      </x:c>
      <x:c r="G17" s="47" t="n">
        <x:v>1</x:v>
      </x:c>
      <x:c r="H17" s="47" t="n">
        <x:v>200</x:v>
      </x:c>
      <x:c r="I17" s="47" t="str">
        <x:v>Ocp-Apim-Subscription-Key</x:v>
      </x:c>
      <x:c r="J17" s="86" t="n">
        <x:v>0</x:v>
      </x:c>
      <x:c r="K17" s="86" t="n">
        <x:v>6651.872</x:v>
      </x:c>
      <x:c r="L17" s="85" t="b">
        <x:v>0</x:v>
      </x:c>
      <x:c r="M17" s="47" t="str"/>
      <x:c r="N17" s="59" t="str"/>
      <x:c r="O17" s="59" t="str"/>
      <x:c r="P17" s="59" t="str"/>
    </x:row>
    <x:row r="18">
      <x:c r="A18" s="47" t="str">
        <x:v>EVT-000079</x:v>
      </x:c>
      <x:c r="B18" s="47" t="str">
        <x:v>RUN-TRF-025-20260829T233501165415Z</x:v>
      </x:c>
      <x:c r="C18" s="47" t="str">
        <x:v>TRF-025</x:v>
      </x:c>
      <x:c r="D18" s="93" t="n">
        <x:v>46263.98391206018</x:v>
      </x:c>
      <x:c r="E18" s="47" t="str">
        <x:v>validator</x:v>
      </x:c>
      <x:c r="F18" s="47" t="str">
        <x:v>gpt-5.6-luna-2026-07-09</x:v>
      </x:c>
      <x:c r="G18" s="47" t="n">
        <x:v>1</x:v>
      </x:c>
      <x:c r="H18" s="47" t="str">
        <x:v>COMPLETED</x:v>
      </x:c>
      <x:c r="I18" s="47" t="str"/>
      <x:c r="J18" s="86" t="n">
        <x:v>0</x:v>
      </x:c>
      <x:c r="K18" s="86" t="n">
        <x:v>6653.35</x:v>
      </x:c>
      <x:c r="L18" s="85" t="b">
        <x:v>0</x:v>
      </x:c>
      <x:c r="M18" s="47" t="str">
        <x:v>resp_003a0e0fab40de29006a936d0b782c8196ad7a20dfe1c5a318</x:v>
      </x:c>
      <x:c r="N18" s="59" t="n">
        <x:v>14815</x:v>
      </x:c>
      <x:c r="O18" s="59" t="n">
        <x:v>541</x:v>
      </x:c>
      <x:c r="P18" s="59" t="n">
        <x:v>15356</x:v>
      </x:c>
    </x:row>
    <x:row r="19">
      <x:c r="A19" s="47" t="str">
        <x:v>EVT-000086</x:v>
      </x:c>
      <x:c r="B19" s="47" t="str">
        <x:v>RUN-TRF-025-20260829T233501165415Z</x:v>
      </x:c>
      <x:c r="C19" s="47" t="str">
        <x:v>TRF-025</x:v>
      </x:c>
      <x:c r="D19" s="93" t="n">
        <x:v>46263.98402653935</x:v>
      </x:c>
      <x:c r="E19" s="47" t="str">
        <x:v>vocabulary_matcher</x:v>
      </x:c>
      <x:c r="F19" s="47" t="str">
        <x:v>gpt-5.6-luna-2026-07-09</x:v>
      </x:c>
      <x:c r="G19" s="47" t="n">
        <x:v>1</x:v>
      </x:c>
      <x:c r="H19" s="47" t="n">
        <x:v>200</x:v>
      </x:c>
      <x:c r="I19" s="47" t="str">
        <x:v>Ocp-Apim-Subscription-Key</x:v>
      </x:c>
      <x:c r="J19" s="86" t="n">
        <x:v>0</x:v>
      </x:c>
      <x:c r="K19" s="86" t="n">
        <x:v>8690.324</x:v>
      </x:c>
      <x:c r="L19" s="85" t="b">
        <x:v>0</x:v>
      </x:c>
      <x:c r="M19" s="47" t="str"/>
      <x:c r="N19" s="59" t="str"/>
      <x:c r="O19" s="59" t="str"/>
      <x:c r="P19" s="59" t="str"/>
    </x:row>
    <x:row r="20">
      <x:c r="A20" s="49" t="str">
        <x:v>EVT-000087</x:v>
      </x:c>
      <x:c r="B20" s="49" t="str">
        <x:v>RUN-TRF-025-20260829T233501165415Z</x:v>
      </x:c>
      <x:c r="C20" s="49" t="str">
        <x:v>TRF-025</x:v>
      </x:c>
      <x:c r="D20" s="94" t="n">
        <x:v>46263.9840265625</x:v>
      </x:c>
      <x:c r="E20" s="49" t="str">
        <x:v>vocabulary_matcher</x:v>
      </x:c>
      <x:c r="F20" s="49" t="str">
        <x:v>gpt-5.6-luna-2026-07-09</x:v>
      </x:c>
      <x:c r="G20" s="49" t="n">
        <x:v>1</x:v>
      </x:c>
      <x:c r="H20" s="49" t="str">
        <x:v>COMPLETED</x:v>
      </x:c>
      <x:c r="I20" s="49" t="str"/>
      <x:c r="J20" s="88" t="n">
        <x:v>0</x:v>
      </x:c>
      <x:c r="K20" s="88" t="n">
        <x:v>8691.77</x:v>
      </x:c>
      <x:c r="L20" s="87" t="b">
        <x:v>0</x:v>
      </x:c>
      <x:c r="M20" s="49" t="str">
        <x:v>resp_0dcd27dadb0b8536006a936d1376e0819594eade816b348f19</x:v>
      </x:c>
      <x:c r="N20" s="60" t="n">
        <x:v>3394</x:v>
      </x:c>
      <x:c r="O20" s="60" t="n">
        <x:v>542</x:v>
      </x:c>
      <x:c r="P20" s="60" t="n">
        <x:v>3936</x:v>
      </x:c>
    </x:row>
  </x:sheetData>
  <x:conditionalFormatting sqref="H5:H2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edc6c6d410cd48cc"/>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RUN-TRF-025-20260829T233501165415Z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RUN-TRF-025-20260829T233501165415Z</x:v>
      </x:c>
      <x:c r="B5" s="45" t="str">
        <x:v>TRF-025</x:v>
      </x:c>
      <x:c r="C5" s="45" t="str">
        <x:v>benchmarkEntity</x:v>
      </x:c>
      <x:c r="D5" s="46" t="str">
        <x:v>https://w3id.org/nltl/vocab#benchmarkEntity</x:v>
      </x:c>
      <x:c r="E5" s="45" t="str">
        <x:v>Class</x:v>
      </x:c>
      <x:c r="F5" s="45" t="str"/>
      <x:c r="G5" s="45" t="str"/>
      <x:c r="H5" s="45" t="str"/>
      <x:c r="I5" s="46" t="str">
        <x:v>baseline target infrastructure; domain dependency of brashIceResistanceCoefficientC1; domain dependency of brashIceResistanceCoefficientC2; domain dependency of bulbousBowPresent; domain dependency of coefficientF1; domain dependency of coefficientF2; domain dependency of coefficientF3; domain dependency of coefficientF4; domain dependency of coefficientG1; domain dependency of coefficientG2; domain dependency of coefficientG3; domain dependency of iceClass; domain dependency of iceClassDraught; domain dependency of shipBreadth; domain dependency of shipLength</x:v>
      </x:c>
      <x:c r="J5" s="45" t="n">
        <x:v>0</x:v>
      </x:c>
    </x:row>
    <x:row r="6">
      <x:c r="A6" s="47" t="str">
        <x:v>RUN-TRF-025-20260829T233501165415Z</x:v>
      </x:c>
      <x:c r="B6" s="47" t="str">
        <x:v>TRF-025</x:v>
      </x:c>
      <x:c r="C6" s="47" t="str">
        <x:v>brashIceResistanceCoefficientC1</x:v>
      </x:c>
      <x:c r="D6" s="48" t="str">
        <x:v>https://w3id.org/nltl/vocab#brashIceResistanceCoefficientC1</x:v>
      </x:c>
      <x:c r="E6" s="47" t="str">
        <x:v>QuantityProperty</x:v>
      </x:c>
      <x:c r="F6" s="47" t="str"/>
      <x:c r="G6" s="47" t="str">
        <x:v>http://qudt.org/schema/qudt/QuantityValue</x:v>
      </x:c>
      <x:c r="H6" s="47" t="str">
        <x:v>http://qudt.org/vocab/unit/N</x:v>
      </x:c>
      <x:c r="I6" s="48" t="str">
        <x:v>linked by the locked 313-requirement index</x:v>
      </x:c>
      <x:c r="J6" s="47" t="n">
        <x:v>0</x:v>
      </x:c>
    </x:row>
    <x:row r="7">
      <x:c r="A7" s="47" t="str">
        <x:v>RUN-TRF-025-20260829T233501165415Z</x:v>
      </x:c>
      <x:c r="B7" s="47" t="str">
        <x:v>TRF-025</x:v>
      </x:c>
      <x:c r="C7" s="47" t="str">
        <x:v>brashIceResistanceCoefficientC2</x:v>
      </x:c>
      <x:c r="D7" s="48" t="str">
        <x:v>https://w3id.org/nltl/vocab#brashIceResistanceCoefficientC2</x:v>
      </x:c>
      <x:c r="E7" s="47" t="str">
        <x:v>QuantityProperty</x:v>
      </x:c>
      <x:c r="F7" s="47" t="str"/>
      <x:c r="G7" s="47" t="str">
        <x:v>http://qudt.org/schema/qudt/QuantityValue</x:v>
      </x:c>
      <x:c r="H7" s="47" t="str">
        <x:v>http://qudt.org/vocab/unit/N</x:v>
      </x:c>
      <x:c r="I7" s="48" t="str">
        <x:v>linked by the locked 313-requirement index</x:v>
      </x:c>
      <x:c r="J7" s="47" t="n">
        <x:v>0</x:v>
      </x:c>
    </x:row>
    <x:row r="8">
      <x:c r="A8" s="47" t="str">
        <x:v>RUN-TRF-025-20260829T233501165415Z</x:v>
      </x:c>
      <x:c r="B8" s="47" t="str">
        <x:v>TRF-025</x:v>
      </x:c>
      <x:c r="C8" s="47" t="str">
        <x:v>bulbousBowPresent</x:v>
      </x:c>
      <x:c r="D8" s="48" t="str">
        <x:v>https://w3id.org/nltl/vocab#bulbousBowPresent</x:v>
      </x:c>
      <x:c r="E8" s="47" t="str">
        <x:v>DatatypeProperty</x:v>
      </x:c>
      <x:c r="F8" s="47" t="str">
        <x:v>xsd:boolean</x:v>
      </x:c>
      <x:c r="G8" s="47" t="str">
        <x:v>http://www.w3.org/2001/XMLSchema#boolean</x:v>
      </x:c>
      <x:c r="H8" s="47" t="str"/>
      <x:c r="I8" s="48" t="str">
        <x:v>linked by the locked 313-requirement index</x:v>
      </x:c>
      <x:c r="J8" s="47" t="n">
        <x:v>0</x:v>
      </x:c>
    </x:row>
    <x:row r="9">
      <x:c r="A9" s="47" t="str">
        <x:v>RUN-TRF-025-20260829T233501165415Z</x:v>
      </x:c>
      <x:c r="B9" s="47" t="str">
        <x:v>TRF-025</x:v>
      </x:c>
      <x:c r="C9" s="47" t="str">
        <x:v>coefficientF1</x:v>
      </x:c>
      <x:c r="D9" s="48" t="str">
        <x:v>https://w3id.org/nltl/vocab#coefficientF1</x:v>
      </x:c>
      <x:c r="E9" s="47" t="str">
        <x:v>QuantityProperty</x:v>
      </x:c>
      <x:c r="F9" s="47" t="str"/>
      <x:c r="G9" s="47" t="str">
        <x:v>http://qudt.org/schema/qudt/QuantityValue</x:v>
      </x:c>
      <x:c r="H9" s="47" t="str">
        <x:v>http://qudt.org/vocab/unit/N-PER-M2</x:v>
      </x:c>
      <x:c r="I9" s="48" t="str">
        <x:v>linked by the locked 313-requirement index</x:v>
      </x:c>
      <x:c r="J9" s="47" t="n">
        <x:v>0</x:v>
      </x:c>
    </x:row>
    <x:row r="10">
      <x:c r="A10" s="47" t="str">
        <x:v>RUN-TRF-025-20260829T233501165415Z</x:v>
      </x:c>
      <x:c r="B10" s="47" t="str">
        <x:v>TRF-025</x:v>
      </x:c>
      <x:c r="C10" s="47" t="str">
        <x:v>coefficientF2</x:v>
      </x:c>
      <x:c r="D10" s="48" t="str">
        <x:v>https://w3id.org/nltl/vocab#coefficientF2</x:v>
      </x:c>
      <x:c r="E10" s="47" t="str">
        <x:v>QuantityProperty</x:v>
      </x:c>
      <x:c r="F10" s="47" t="str"/>
      <x:c r="G10" s="47" t="str">
        <x:v>http://qudt.org/schema/qudt/QuantityValue</x:v>
      </x:c>
      <x:c r="H10" s="47" t="str">
        <x:v>http://qudt.org/vocab/unit/N-PER-M</x:v>
      </x:c>
      <x:c r="I10" s="48" t="str">
        <x:v>linked by the locked 313-requirement index</x:v>
      </x:c>
      <x:c r="J10" s="47" t="n">
        <x:v>0</x:v>
      </x:c>
    </x:row>
    <x:row r="11">
      <x:c r="A11" s="47" t="str">
        <x:v>RUN-TRF-025-20260829T233501165415Z</x:v>
      </x:c>
      <x:c r="B11" s="47" t="str">
        <x:v>TRF-025</x:v>
      </x:c>
      <x:c r="C11" s="47" t="str">
        <x:v>coefficientF3</x:v>
      </x:c>
      <x:c r="D11" s="48" t="str">
        <x:v>https://w3id.org/nltl/vocab#coefficientF3</x:v>
      </x:c>
      <x:c r="E11" s="47" t="str">
        <x:v>QuantityProperty</x:v>
      </x:c>
      <x:c r="F11" s="47" t="str"/>
      <x:c r="G11" s="47" t="str">
        <x:v>http://qudt.org/schema/qudt/QuantityValue</x:v>
      </x:c>
      <x:c r="H11" s="47" t="str">
        <x:v>http://qudt.org/vocab/unit/N-PER-M</x:v>
      </x:c>
      <x:c r="I11" s="48" t="str">
        <x:v>linked by the locked 313-requirement index</x:v>
      </x:c>
      <x:c r="J11" s="47" t="n">
        <x:v>0</x:v>
      </x:c>
    </x:row>
    <x:row r="12">
      <x:c r="A12" s="47" t="str">
        <x:v>RUN-TRF-025-20260829T233501165415Z</x:v>
      </x:c>
      <x:c r="B12" s="47" t="str">
        <x:v>TRF-025</x:v>
      </x:c>
      <x:c r="C12" s="47" t="str">
        <x:v>coefficientF4</x:v>
      </x:c>
      <x:c r="D12" s="48" t="str">
        <x:v>https://w3id.org/nltl/vocab#coefficientF4</x:v>
      </x:c>
      <x:c r="E12" s="47" t="str">
        <x:v>QuantityProperty</x:v>
      </x:c>
      <x:c r="F12" s="47" t="str"/>
      <x:c r="G12" s="47" t="str">
        <x:v>http://qudt.org/schema/qudt/QuantityValue</x:v>
      </x:c>
      <x:c r="H12" s="47" t="str">
        <x:v>http://qudt.org/vocab/unit/N-PER-M2</x:v>
      </x:c>
      <x:c r="I12" s="48" t="str">
        <x:v>linked by the locked 313-requirement index</x:v>
      </x:c>
      <x:c r="J12" s="47" t="n">
        <x:v>0</x:v>
      </x:c>
    </x:row>
    <x:row r="13">
      <x:c r="A13" s="47" t="str">
        <x:v>RUN-TRF-025-20260829T233501165415Z</x:v>
      </x:c>
      <x:c r="B13" s="47" t="str">
        <x:v>TRF-025</x:v>
      </x:c>
      <x:c r="C13" s="47" t="str">
        <x:v>coefficientG1</x:v>
      </x:c>
      <x:c r="D13" s="48" t="str">
        <x:v>https://w3id.org/nltl/vocab#coefficientG1</x:v>
      </x:c>
      <x:c r="E13" s="47" t="str">
        <x:v>QuantityProperty</x:v>
      </x:c>
      <x:c r="F13" s="47" t="str"/>
      <x:c r="G13" s="47" t="str">
        <x:v>http://qudt.org/schema/qudt/QuantityValue</x:v>
      </x:c>
      <x:c r="H13" s="47" t="str">
        <x:v>http://qudt.org/vocab/unit/N</x:v>
      </x:c>
      <x:c r="I13" s="48" t="str">
        <x:v>linked by the locked 313-requirement index</x:v>
      </x:c>
      <x:c r="J13" s="47" t="n">
        <x:v>0</x:v>
      </x:c>
    </x:row>
    <x:row r="14">
      <x:c r="A14" s="47" t="str">
        <x:v>RUN-TRF-025-20260829T233501165415Z</x:v>
      </x:c>
      <x:c r="B14" s="47" t="str">
        <x:v>TRF-025</x:v>
      </x:c>
      <x:c r="C14" s="47" t="str">
        <x:v>coefficientG2</x:v>
      </x:c>
      <x:c r="D14" s="48" t="str">
        <x:v>https://w3id.org/nltl/vocab#coefficientG2</x:v>
      </x:c>
      <x:c r="E14" s="47" t="str">
        <x:v>QuantityProperty</x:v>
      </x:c>
      <x:c r="F14" s="47" t="str"/>
      <x:c r="G14" s="47" t="str">
        <x:v>http://qudt.org/schema/qudt/QuantityValue</x:v>
      </x:c>
      <x:c r="H14" s="47" t="str">
        <x:v>http://qudt.org/vocab/unit/N-PER-M</x:v>
      </x:c>
      <x:c r="I14" s="48" t="str">
        <x:v>linked by the locked 313-requirement index</x:v>
      </x:c>
      <x:c r="J14" s="47" t="n">
        <x:v>0</x:v>
      </x:c>
    </x:row>
    <x:row r="15">
      <x:c r="A15" s="47" t="str">
        <x:v>RUN-TRF-025-20260829T233501165415Z</x:v>
      </x:c>
      <x:c r="B15" s="47" t="str">
        <x:v>TRF-025</x:v>
      </x:c>
      <x:c r="C15" s="47" t="str">
        <x:v>coefficientG3</x:v>
      </x:c>
      <x:c r="D15" s="48" t="str">
        <x:v>https://w3id.org/nltl/vocab#coefficientG3</x:v>
      </x:c>
      <x:c r="E15" s="47" t="str">
        <x:v>QuantityProperty</x:v>
      </x:c>
      <x:c r="F15" s="47" t="str"/>
      <x:c r="G15" s="47" t="str">
        <x:v>http://qudt.org/schema/qudt/QuantityValue</x:v>
      </x:c>
      <x:c r="H15" s="47" t="str">
        <x:v>https://w3id.org/nltl/vocab#newtonPerMetreToPowerOnePointFiveUnit</x:v>
      </x:c>
      <x:c r="I15" s="48" t="str">
        <x:v>linked by the locked 313-requirement index</x:v>
      </x:c>
      <x:c r="J15" s="47" t="n">
        <x:v>0</x:v>
      </x:c>
    </x:row>
    <x:row r="16">
      <x:c r="A16" s="47" t="str">
        <x:v>RUN-TRF-025-20260829T233501165415Z</x:v>
      </x:c>
      <x:c r="B16" s="47" t="str">
        <x:v>TRF-025</x:v>
      </x:c>
      <x:c r="C16" s="47" t="str">
        <x:v>hasComponent</x:v>
      </x:c>
      <x:c r="D16" s="48" t="str">
        <x:v>https://w3id.org/nltl/vocab#hasComponent</x:v>
      </x:c>
      <x:c r="E16" s="47" t="str">
        <x:v>ObjectProperty</x:v>
      </x:c>
      <x:c r="F16" s="47" t="str"/>
      <x:c r="G16" s="47" t="str">
        <x:v>https://w3id.org/nltl/vocab#shipComponent</x:v>
      </x:c>
      <x:c r="H16" s="47" t="str"/>
      <x:c r="I16" s="48" t="str">
        <x:v>component-path dependency inferred from the linked term module</x:v>
      </x:c>
      <x:c r="J16" s="47" t="n">
        <x:v>0</x:v>
      </x:c>
    </x:row>
    <x:row r="17">
      <x:c r="A17" s="47" t="str">
        <x:v>RUN-TRF-025-20260829T233501165415Z</x:v>
      </x:c>
      <x:c r="B17" s="47" t="str">
        <x:v>TRF-025</x:v>
      </x:c>
      <x:c r="C17" s="47" t="str">
        <x:v>iceClass</x:v>
      </x:c>
      <x:c r="D17" s="48" t="str">
        <x:v>https://w3id.org/nltl/vocab#iceClass</x:v>
      </x:c>
      <x:c r="E17" s="47" t="str">
        <x:v>ObjectProperty</x:v>
      </x:c>
      <x:c r="F17" s="47" t="str"/>
      <x:c r="G17" s="47" t="str">
        <x:v>https://w3id.org/nltl/vocab#iceClassValue</x:v>
      </x:c>
      <x:c r="H17" s="47" t="str"/>
      <x:c r="I17" s="48" t="str">
        <x:v>linked by the locked 313-requirement index</x:v>
      </x:c>
      <x:c r="J17" s="47" t="n">
        <x:v>0</x:v>
      </x:c>
    </x:row>
    <x:row r="18">
      <x:c r="A18" s="47" t="str">
        <x:v>RUN-TRF-025-20260829T233501165415Z</x:v>
      </x:c>
      <x:c r="B18" s="47" t="str">
        <x:v>TRF-025</x:v>
      </x:c>
      <x:c r="C18" s="47" t="str">
        <x:v>iceClassDraught</x:v>
      </x:c>
      <x:c r="D18" s="48" t="str">
        <x:v>https://w3id.org/nltl/vocab#iceClassDraught</x:v>
      </x:c>
      <x:c r="E18" s="47" t="str">
        <x:v>QuantityProperty</x:v>
      </x:c>
      <x:c r="F18" s="47" t="str"/>
      <x:c r="G18" s="47" t="str">
        <x:v>http://qudt.org/schema/qudt/QuantityValue</x:v>
      </x:c>
      <x:c r="H18" s="47" t="str">
        <x:v>http://qudt.org/vocab/unit/M</x:v>
      </x:c>
      <x:c r="I18" s="48" t="str">
        <x:v>linked by the locked 313-requirement index</x:v>
      </x:c>
      <x:c r="J18" s="47" t="n">
        <x:v>0</x:v>
      </x:c>
    </x:row>
    <x:row r="19">
      <x:c r="A19" s="47" t="str">
        <x:v>RUN-TRF-025-20260829T233501165415Z</x:v>
      </x:c>
      <x:c r="B19" s="47" t="str">
        <x:v>TRF-025</x:v>
      </x:c>
      <x:c r="C19" s="47" t="str">
        <x:v>iceClassIa</x:v>
      </x:c>
      <x:c r="D19" s="48" t="str">
        <x:v>https://w3id.org/nltl/vocab#iceClassIa</x:v>
      </x:c>
      <x:c r="E19" s="47" t="str">
        <x:v>NamedIndividual</x:v>
      </x:c>
      <x:c r="F19" s="47" t="str"/>
      <x:c r="G19" s="47" t="str">
        <x:v>https://w3id.org/nltl/vocab#iceClassValue</x:v>
      </x:c>
      <x:c r="H19" s="47" t="str"/>
      <x:c r="I19" s="48" t="str">
        <x:v>controlled value permitted by the range of iceClass</x:v>
      </x:c>
      <x:c r="J19" s="47" t="n">
        <x:v>0</x:v>
      </x:c>
    </x:row>
    <x:row r="20">
      <x:c r="A20" s="47" t="str">
        <x:v>RUN-TRF-025-20260829T233501165415Z</x:v>
      </x:c>
      <x:c r="B20" s="47" t="str">
        <x:v>TRF-025</x:v>
      </x:c>
      <x:c r="C20" s="47" t="str">
        <x:v>iceClassIaSuper</x:v>
      </x:c>
      <x:c r="D20" s="48" t="str">
        <x:v>https://w3id.org/nltl/vocab#iceClassIaSuper</x:v>
      </x:c>
      <x:c r="E20" s="47" t="str">
        <x:v>NamedIndividual</x:v>
      </x:c>
      <x:c r="F20" s="47" t="str"/>
      <x:c r="G20" s="47" t="str">
        <x:v>https://w3id.org/nltl/vocab#iceClassValue</x:v>
      </x:c>
      <x:c r="H20" s="47" t="str"/>
      <x:c r="I20" s="48" t="str">
        <x:v>controlled value permitted by the range of iceClass</x:v>
      </x:c>
      <x:c r="J20" s="47" t="n">
        <x:v>0</x:v>
      </x:c>
    </x:row>
    <x:row r="21">
      <x:c r="A21" s="47" t="str">
        <x:v>RUN-TRF-025-20260829T233501165415Z</x:v>
      </x:c>
      <x:c r="B21" s="47" t="str">
        <x:v>TRF-025</x:v>
      </x:c>
      <x:c r="C21" s="47" t="str">
        <x:v>iceClassIb</x:v>
      </x:c>
      <x:c r="D21" s="48" t="str">
        <x:v>https://w3id.org/nltl/vocab#iceClassIb</x:v>
      </x:c>
      <x:c r="E21" s="47" t="str">
        <x:v>NamedIndividual</x:v>
      </x:c>
      <x:c r="F21" s="47" t="str"/>
      <x:c r="G21" s="47" t="str">
        <x:v>https://w3id.org/nltl/vocab#iceClassValue</x:v>
      </x:c>
      <x:c r="H21" s="47" t="str"/>
      <x:c r="I21" s="48" t="str">
        <x:v>controlled value permitted by the range of iceClass</x:v>
      </x:c>
      <x:c r="J21" s="47" t="n">
        <x:v>0</x:v>
      </x:c>
    </x:row>
    <x:row r="22">
      <x:c r="A22" s="47" t="str">
        <x:v>RUN-TRF-025-20260829T233501165415Z</x:v>
      </x:c>
      <x:c r="B22" s="47" t="str">
        <x:v>TRF-025</x:v>
      </x:c>
      <x:c r="C22" s="47" t="str">
        <x:v>iceClassIc</x:v>
      </x:c>
      <x:c r="D22" s="48" t="str">
        <x:v>https://w3id.org/nltl/vocab#iceClassIc</x:v>
      </x:c>
      <x:c r="E22" s="47" t="str">
        <x:v>NamedIndividual</x:v>
      </x:c>
      <x:c r="F22" s="47" t="str"/>
      <x:c r="G22" s="47" t="str">
        <x:v>https://w3id.org/nltl/vocab#iceClassValue</x:v>
      </x:c>
      <x:c r="H22" s="47" t="str"/>
      <x:c r="I22" s="48" t="str">
        <x:v>controlled value permitted by the range of iceClass</x:v>
      </x:c>
      <x:c r="J22" s="47" t="n">
        <x:v>0</x:v>
      </x:c>
    </x:row>
    <x:row r="23">
      <x:c r="A23" s="47" t="str">
        <x:v>RUN-TRF-025-20260829T233501165415Z</x:v>
      </x:c>
      <x:c r="B23" s="47" t="str">
        <x:v>TRF-025</x:v>
      </x:c>
      <x:c r="C23" s="47" t="str">
        <x:v>iceClassIi</x:v>
      </x:c>
      <x:c r="D23" s="48" t="str">
        <x:v>https://w3id.org/nltl/vocab#iceClassIi</x:v>
      </x:c>
      <x:c r="E23" s="47" t="str">
        <x:v>NamedIndividual</x:v>
      </x:c>
      <x:c r="F23" s="47" t="str"/>
      <x:c r="G23" s="47" t="str">
        <x:v>https://w3id.org/nltl/vocab#iceClassValue</x:v>
      </x:c>
      <x:c r="H23" s="47" t="str"/>
      <x:c r="I23" s="48" t="str">
        <x:v>controlled value permitted by the range of iceClass</x:v>
      </x:c>
      <x:c r="J23" s="47" t="n">
        <x:v>0</x:v>
      </x:c>
    </x:row>
    <x:row r="24">
      <x:c r="A24" s="47" t="str">
        <x:v>RUN-TRF-025-20260829T233501165415Z</x:v>
      </x:c>
      <x:c r="B24" s="47" t="str">
        <x:v>TRF-025</x:v>
      </x:c>
      <x:c r="C24" s="47" t="str">
        <x:v>iceClassIii</x:v>
      </x:c>
      <x:c r="D24" s="48" t="str">
        <x:v>https://w3id.org/nltl/vocab#iceClassIii</x:v>
      </x:c>
      <x:c r="E24" s="47" t="str">
        <x:v>NamedIndividual</x:v>
      </x:c>
      <x:c r="F24" s="47" t="str"/>
      <x:c r="G24" s="47" t="str">
        <x:v>https://w3id.org/nltl/vocab#iceClassValue</x:v>
      </x:c>
      <x:c r="H24" s="47" t="str"/>
      <x:c r="I24" s="48" t="str">
        <x:v>controlled value permitted by the range of iceClass</x:v>
      </x:c>
      <x:c r="J24" s="47" t="n">
        <x:v>0</x:v>
      </x:c>
    </x:row>
    <x:row r="25">
      <x:c r="A25" s="47" t="str">
        <x:v>RUN-TRF-025-20260829T233501165415Z</x:v>
      </x:c>
      <x:c r="B25" s="47" t="str">
        <x:v>TRF-025</x:v>
      </x:c>
      <x:c r="C25" s="47" t="str">
        <x:v>iceClassValue</x:v>
      </x:c>
      <x:c r="D25" s="48" t="str">
        <x:v>https://w3id.org/nltl/vocab#iceClassValue</x:v>
      </x:c>
      <x:c r="E25" s="47" t="str">
        <x:v>Class</x:v>
      </x:c>
      <x:c r="F25" s="47" t="str"/>
      <x:c r="G25" s="47" t="str"/>
      <x:c r="H25" s="47" t="str"/>
      <x:c r="I25" s="48" t="str">
        <x:v>range dependency of iceClass</x:v>
      </x:c>
      <x:c r="J25" s="47" t="n">
        <x:v>0</x:v>
      </x:c>
    </x:row>
    <x:row r="26">
      <x:c r="A26" s="47" t="str">
        <x:v>RUN-TRF-025-20260829T233501165415Z</x:v>
      </x:c>
      <x:c r="B26" s="47" t="str">
        <x:v>TRF-025</x:v>
      </x:c>
      <x:c r="C26" s="47" t="str">
        <x:v>newtonPerMetreToPowerOnePointFiveUnit</x:v>
      </x:c>
      <x:c r="D26" s="48" t="str">
        <x:v>https://w3id.org/nltl/vocab#newtonPerMetreToPowerOnePointFiveUnit</x:v>
      </x:c>
      <x:c r="E26" s="47" t="str">
        <x:v>NamedIndividual</x:v>
      </x:c>
      <x:c r="F26" s="47" t="str"/>
      <x:c r="G26" s="47" t="str">
        <x:v>http://qudt.org/schema/qudt/Unit</x:v>
      </x:c>
      <x:c r="H26" s="47" t="str"/>
      <x:c r="I26" s="48" t="str">
        <x:v>linked by the locked 313-requirement index</x:v>
      </x:c>
      <x:c r="J26" s="47" t="n">
        <x:v>0</x:v>
      </x:c>
    </x:row>
    <x:row r="27">
      <x:c r="A27" s="47" t="str">
        <x:v>RUN-TRF-025-20260829T233501165415Z</x:v>
      </x:c>
      <x:c r="B27" s="47" t="str">
        <x:v>TRF-025</x:v>
      </x:c>
      <x:c r="C27" s="47" t="str">
        <x:v>ship</x:v>
      </x:c>
      <x:c r="D27" s="48" t="str">
        <x:v>https://w3id.org/nltl/vocab#ship</x:v>
      </x:c>
      <x:c r="E27" s="47" t="str">
        <x:v>Class</x:v>
      </x:c>
      <x:c r="F27" s="47" t="str"/>
      <x:c r="G27" s="47" t="str"/>
      <x:c r="H27" s="47" t="str"/>
      <x:c r="I27" s="48" t="str">
        <x:v>authoritative required owner class; authoritative requirement target owner; baseline target infrastructure</x:v>
      </x:c>
      <x:c r="J27" s="47" t="n">
        <x:v>0</x:v>
      </x:c>
    </x:row>
    <x:row r="28">
      <x:c r="A28" s="47" t="str">
        <x:v>RUN-TRF-025-20260829T233501165415Z</x:v>
      </x:c>
      <x:c r="B28" s="47" t="str">
        <x:v>TRF-025</x:v>
      </x:c>
      <x:c r="C28" s="47" t="str">
        <x:v>shipBreadth</x:v>
      </x:c>
      <x:c r="D28" s="48" t="str">
        <x:v>https://w3id.org/nltl/vocab#shipBreadth</x:v>
      </x:c>
      <x:c r="E28" s="47" t="str">
        <x:v>QuantityProperty</x:v>
      </x:c>
      <x:c r="F28" s="47" t="str"/>
      <x:c r="G28" s="47" t="str">
        <x:v>http://qudt.org/schema/qudt/QuantityValue</x:v>
      </x:c>
      <x:c r="H28" s="47" t="str">
        <x:v>http://qudt.org/vocab/unit/M</x:v>
      </x:c>
      <x:c r="I28" s="48" t="str">
        <x:v>linked by the locked 313-requirement index</x:v>
      </x:c>
      <x:c r="J28" s="47" t="n">
        <x:v>0</x:v>
      </x:c>
    </x:row>
    <x:row r="29">
      <x:c r="A29" s="47" t="str">
        <x:v>RUN-TRF-025-20260829T233501165415Z</x:v>
      </x:c>
      <x:c r="B29" s="47" t="str">
        <x:v>TRF-025</x:v>
      </x:c>
      <x:c r="C29" s="47" t="str">
        <x:v>shipComponent</x:v>
      </x:c>
      <x:c r="D29" s="48" t="str">
        <x:v>https://w3id.org/nltl/vocab#shipComponent</x:v>
      </x:c>
      <x:c r="E29" s="47" t="str">
        <x:v>Class</x:v>
      </x:c>
      <x:c r="F29" s="47" t="str"/>
      <x:c r="G29" s="47" t="str"/>
      <x:c r="H29" s="47" t="str"/>
      <x:c r="I29" s="48" t="str">
        <x:v>component-path dependency inferred from the linked term module</x:v>
      </x:c>
      <x:c r="J29" s="47" t="n">
        <x:v>0</x:v>
      </x:c>
    </x:row>
    <x:row r="30">
      <x:c r="A30" s="49" t="str">
        <x:v>RUN-TRF-025-20260829T233501165415Z</x:v>
      </x:c>
      <x:c r="B30" s="49" t="str">
        <x:v>TRF-025</x:v>
      </x:c>
      <x:c r="C30" s="49" t="str">
        <x:v>shipLength</x:v>
      </x:c>
      <x:c r="D30" s="50" t="str">
        <x:v>https://w3id.org/nltl/vocab#shipLength</x:v>
      </x:c>
      <x:c r="E30" s="49" t="str">
        <x:v>QuantityProperty</x:v>
      </x:c>
      <x:c r="F30" s="49" t="str"/>
      <x:c r="G30" s="49" t="str">
        <x:v>http://qudt.org/schema/qudt/QuantityValue</x:v>
      </x:c>
      <x:c r="H30" s="49" t="str">
        <x:v>http://qudt.org/vocab/unit/M</x:v>
      </x:c>
      <x:c r="I30" s="50" t="str">
        <x:v>linked by the locked 313-requirement index</x:v>
      </x:c>
      <x:c r="J30" s="49" t="n">
        <x:v>0</x:v>
      </x:c>
    </x:row>
  </x:sheetData>
  <x:pageMargins left="0.7" right="0.7" top="0.75" bottom="0.75" header="0.3" footer="0.3"/>
  <x:tableParts count="1">
    <x:tablePart xmlns:r="http://schemas.openxmlformats.org/officeDocument/2006/relationships" r:id="R74db903a03e94402"/>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RUN-TRF-025-20260829T233501165415Z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RUN-TRF-025-20260829T233501165415Z</x:v>
      </x:c>
      <x:c r="B5" s="45" t="str">
        <x:v>TRF-025</x:v>
      </x:c>
      <x:c r="C5" s="45" t="str">
        <x:v>FS-COMPLEX-READINESS-01</x:v>
      </x:c>
      <x:c r="D5" s="45" t="str">
        <x:v>complex_readiness_external_calculation</x:v>
      </x:c>
      <x:c r="E5" s="97" t="n">
        <x:v>2.166667</x:v>
      </x:c>
      <x:c r="F5" s="45" t="str">
        <x:v>calculation | complex | engineering | evidence | external | inputs | readiness | results</x:v>
      </x:c>
      <x:c r="G5" s="45" t="str">
        <x:v>synthetic-few-shot-not-benchmark-ground-truth</x:v>
      </x:c>
    </x:row>
    <x:row r="6">
      <x:c r="A6" s="49" t="str">
        <x:v>RUN-TRF-025-20260829T233501165415Z</x:v>
      </x:c>
      <x:c r="B6" s="49" t="str">
        <x:v>TRF-025</x:v>
      </x:c>
      <x:c r="C6" s="49" t="str">
        <x:v>FS-COMPLEX-READINESS-02</x:v>
      </x:c>
      <x:c r="D6" s="49" t="str">
        <x:v>complex_readiness_with_direct_residual_check</x:v>
      </x:c>
      <x:c r="E6" s="98" t="n">
        <x:v>2.074074</x:v>
      </x:c>
      <x:c r="F6" s="49" t="str">
        <x:v>complex | engineering | evidence | readiness</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8063b8f1ec5c4758"/>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RUN-TRF-025-20260829T233501165415Z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RUN-TRF-025-20260829T233501165415Z</x:v>
      </x:c>
      <x:c r="B5" s="45" t="str">
        <x:v>TRF-025</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https://w3id.org/nltl/vocab#brashIceResistanceCoefficientC1 | https://w3id.org/nltl/vocab#brashIceResistanceCoefficientC2 | https://w3id.org/nltl/vocab#bulbousBowPresent | https://w3id.org/nltl/vocab#coefficientF1 | https://w3id.org/nltl/vocab#coefficientF2 | https://w3id.org/nltl/vocab#coefficientF3 | https://w3id.org/nltl/vocab#coefficientF4 | https://w3id.org/nltl/vocab#coefficientG1 | https://w3id.org/nltl/vocab#coefficientG2 | https://w3id.org/nltl/vocab#coefficientG3 | https://w3id.org/nltl/vocab#iceClass | https://w3id.org/nltl/vocab#iceClassDraught | https://w3id.org/nltl/vocab#iceClassIa | https://w3id.org/nltl/vocab#iceClassIaSuper | https://w3id.org/nltl/vocab#iceClassIb | https://w3id.org/nltl/vocab#iceClassIc | https://w3id.org/nltl/vocab#iceClassIi | https://w3id.org/nltl/vocab#iceClassIii | https://w3id.org/nltl/vocab#newtonPerMetreToPowerOnePointFiveUnit | https://w3id.org/nltl/vocab#ship | https://w3id.org/nltl/vocab#shipBreadth | https://w3id.org/nltl/vocab#shipLength</x:v>
      </x:c>
      <x:c r="O5" s="46" t="str"/>
      <x:c r="P5" s="46" t="str"/>
      <x:c r="Q5" s="46" t="str"/>
    </x:row>
    <x:row r="6">
      <x:c r="A6" s="47" t="str">
        <x:v>RUN-TRF-025-20260829T233501165415Z</x:v>
      </x:c>
      <x:c r="B6" s="47" t="str">
        <x:v>TRF-025</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https://w3id.org/nltl/vocab#brashIceResistanceCoefficientC1 | https://w3id.org/nltl/vocab#brashIceResistanceCoefficientC2 | https://w3id.org/nltl/vocab#bulbousBowPresent | https://w3id.org/nltl/vocab#coefficientF1 | https://w3id.org/nltl/vocab#coefficientF2 | https://w3id.org/nltl/vocab#coefficientF3 | https://w3id.org/nltl/vocab#coefficientF4 | https://w3id.org/nltl/vocab#coefficientG1 | https://w3id.org/nltl/vocab#coefficientG2 | https://w3id.org/nltl/vocab#coefficientG3 | https://w3id.org/nltl/vocab#iceClass | https://w3id.org/nltl/vocab#iceClassDraught | https://w3id.org/nltl/vocab#iceClassIaSuper | https://w3id.org/nltl/vocab#newtonPerMetreToPowerOnePointFiveUnit | https://w3id.org/nltl/vocab#ship | https://w3id.org/nltl/vocab#shipBreadth | https://w3id.org/nltl/vocab#shipLength</x:v>
      </x:c>
      <x:c r="O6" s="48" t="str"/>
      <x:c r="P6" s="48" t="str"/>
      <x:c r="Q6" s="48" t="str"/>
    </x:row>
    <x:row r="7">
      <x:c r="A7" s="49" t="str">
        <x:v>RUN-TRF-025-20260829T233501165415Z</x:v>
      </x:c>
      <x:c r="B7" s="49" t="str">
        <x:v>TRF-025</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https://w3id.org/nltl/vocab#brashIceResistanceCoefficientC1 | https://w3id.org/nltl/vocab#brashIceResistanceCoefficientC2 | https://w3id.org/nltl/vocab#bulbousBowPresent | https://w3id.org/nltl/vocab#coefficientF1 | https://w3id.org/nltl/vocab#coefficientF2 | https://w3id.org/nltl/vocab#coefficientF3 | https://w3id.org/nltl/vocab#coefficientF4 | https://w3id.org/nltl/vocab#coefficientG1 | https://w3id.org/nltl/vocab#coefficientG2 | https://w3id.org/nltl/vocab#coefficientG3 | https://w3id.org/nltl/vocab#iceClass | https://w3id.org/nltl/vocab#iceClassDraught | https://w3id.org/nltl/vocab#iceClassIaSuper | https://w3id.org/nltl/vocab#newtonPerMetreToPowerOnePointFiveUnit | https://w3id.org/nltl/vocab#ship | https://w3id.org/nltl/vocab#shipBreadth | https://w3id.org/nltl/vocab#shipLength</x:v>
      </x:c>
      <x:c r="O7" s="50" t="str"/>
      <x:c r="P7" s="50" t="str"/>
      <x:c r="Q7" s="50" t="str"/>
    </x:row>
  </x:sheetData>
  <x:pageMargins left="0.7" right="0.7" top="0.75" bottom="0.75" header="0.3" footer="0.3"/>
  <x:tableParts count="1">
    <x:tablePart xmlns:r="http://schemas.openxmlformats.org/officeDocument/2006/relationships" r:id="R313ecddaf6864072"/>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20" hidden="0" customWidth="1"/>
  </x:cols>
  <x:sheetData>
    <x:row r="1">
      <x:c r="A1" s="18" t="str">
        <x:v>NLTL SHACL Pipeline Run Tracker</x:v>
      </x:c>
      <x:c r="B1" s="19"/>
      <x:c r="C1" s="19"/>
      <x:c r="D1" s="19"/>
      <x:c r="E1" s="19"/>
      <x:c r="F1" s="19"/>
      <x:c r="G1" s="19"/>
      <x:c r="H1" s="19"/>
      <x:c r="I1" s="19"/>
      <x:c r="J1" s="19"/>
    </x:row>
    <x:row r="2">
      <x:c r="A2" s="20" t="str">
        <x:v>VOCAB_MATCHES | Run folder: RUN-TRF-025-20260829T233501165415Z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RUN-TRF-025-20260829T233501165415Z</x:v>
      </x:c>
      <x:c r="B5" s="45" t="str">
        <x:v>TRF-025</x:v>
      </x:c>
      <x:c r="C5" s="58" t="n">
        <x:v>3</x:v>
      </x:c>
      <x:c r="D5" s="45" t="str">
        <x:v>matcher_search</x:v>
      </x:c>
      <x:c r="E5" s="46" t="str">
        <x:v>Preserve the single ship-level applicability gate requiring exactly one iceClass equal to nltl:iceClassIaSuper and exactly one bulbousBowPresent value false, plus the ship-owned positive B/L/T operands and declared quantity units. Add actual COMPLEX_READINESS validation for both brashIceResistanceCoefficientC1 and brashIceResistanceCoefficientC2: retain their force quantity domains and require readiness-level numerical-tolerance evidence tied to the expected formula results, with tolerance scaled from each expected result rather than the reported value. Do not invent a formula, threshold, or generic evidence obligation; locate canonical calculation/analysis/result-tolerance terms or paths if required, and do not relocate any property.</x:v>
      </x:c>
      <x:c r="F5" s="58" t="n">
        <x:v>7</x:v>
      </x:c>
      <x:c r="G5" s="45" t="str"/>
      <x:c r="H5" s="45" t="str"/>
      <x:c r="I5" s="46" t="str"/>
      <x:c r="J5" s="46" t="str"/>
    </x:row>
    <x:row r="6">
      <x:c r="A6" s="49" t="str">
        <x:v>RUN-TRF-025-20260829T233501165415Z</x:v>
      </x:c>
      <x:c r="B6" s="49" t="str">
        <x:v>TRF-025</x:v>
      </x:c>
      <x:c r="C6" s="60" t="n">
        <x:v>3</x:v>
      </x:c>
      <x:c r="D6" s="49" t="str">
        <x:v>matcher_decision</x:v>
      </x:c>
      <x:c r="E6" s="50" t="str"/>
      <x:c r="F6" s="60" t="str"/>
      <x:c r="G6" s="87" t="b">
        <x:v>0</x:v>
      </x:c>
      <x:c r="H6" s="49" t="str"/>
      <x:c r="I6" s="50" t="str"/>
      <x:c r="J6" s="50" t="str"/>
    </x:row>
  </x:sheetData>
  <x:pageMargins left="0.7" right="0.7" top="0.75" bottom="0.75" header="0.3" footer="0.3"/>
  <x:tableParts count="1">
    <x:tablePart xmlns:r="http://schemas.openxmlformats.org/officeDocument/2006/relationships" r:id="R2e31329064594383"/>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RUN-TRF-025-20260829T233501165415Z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RUN-TRF-025-20260829T233501165415Z</x:v>
      </x:c>
      <x:c r="B5" s="45" t="str">
        <x:v>TRF-025</x:v>
      </x:c>
      <x:c r="C5" s="58"/>
      <x:c r="D5" s="45" t="str">
        <x:v>initial_context_pack</x:v>
      </x:c>
      <x:c r="E5" s="46" t="str">
        <x:v>artifacts/context_pack_initial.json</x:v>
      </x:c>
      <x:c r="F5" s="45" t="str">
        <x:v>cf567b2fa52bf4a43127733e6cc03ae3ce82503d464029c668a2b6065399b548</x:v>
      </x:c>
      <x:c r="G5" s="58" t="n">
        <x:v>31420</x:v>
      </x:c>
    </x:row>
    <x:row r="6">
      <x:c r="A6" s="47" t="str">
        <x:v>RUN-TRF-025-20260829T233501165415Z</x:v>
      </x:c>
      <x:c r="B6" s="47" t="str">
        <x:v>TRF-025</x:v>
      </x:c>
      <x:c r="C6" s="59"/>
      <x:c r="D6" s="47" t="str">
        <x:v>few_shot_selection</x:v>
      </x:c>
      <x:c r="E6" s="48" t="str">
        <x:v>artifacts/few_shots_selected.json</x:v>
      </x:c>
      <x:c r="F6" s="47" t="str">
        <x:v>40b774953f02b98e3fe7022ff30c78298481b7de33816d0ede7bc7e7cccab5c0</x:v>
      </x:c>
      <x:c r="G6" s="59" t="n">
        <x:v>6555</x:v>
      </x:c>
    </x:row>
    <x:row r="7">
      <x:c r="A7" s="47" t="str">
        <x:v>RUN-TRF-025-20260829T233501165415Z</x:v>
      </x:c>
      <x:c r="B7" s="47" t="str">
        <x:v>TRF-025</x:v>
      </x:c>
      <x:c r="C7" s="59" t="n">
        <x:v>1</x:v>
      </x:c>
      <x:c r="D7" s="47" t="str">
        <x:v>generator_prompt</x:v>
      </x:c>
      <x:c r="E7" s="48" t="str">
        <x:v>artifacts/attempt_01/generator_prompt.txt</x:v>
      </x:c>
      <x:c r="F7" s="47" t="str">
        <x:v>ea2635ff0a43537376f0b9eda1f934376b686a6b44ae81233b99b35dc4f77483</x:v>
      </x:c>
      <x:c r="G7" s="59" t="n">
        <x:v>49619</x:v>
      </x:c>
    </x:row>
    <x:row r="8">
      <x:c r="A8" s="47" t="str">
        <x:v>RUN-TRF-025-20260829T233501165415Z</x:v>
      </x:c>
      <x:c r="B8" s="47" t="str">
        <x:v>TRF-025</x:v>
      </x:c>
      <x:c r="C8" s="59" t="n">
        <x:v>1</x:v>
      </x:c>
      <x:c r="D8" s="47" t="str">
        <x:v>generator_raw_response</x:v>
      </x:c>
      <x:c r="E8" s="48" t="str">
        <x:v>artifacts/attempt_01/generator_raw.txt</x:v>
      </x:c>
      <x:c r="F8" s="47" t="str">
        <x:v>d4fae266ab8b4e351dc80dc0775ed2460f43b7a6d224908e343ed39f9804aec3</x:v>
      </x:c>
      <x:c r="G8" s="59" t="n">
        <x:v>9043</x:v>
      </x:c>
    </x:row>
    <x:row r="9">
      <x:c r="A9" s="47" t="str">
        <x:v>RUN-TRF-025-20260829T233501165415Z</x:v>
      </x:c>
      <x:c r="B9" s="47" t="str">
        <x:v>TRF-025</x:v>
      </x:c>
      <x:c r="C9" s="59" t="n">
        <x:v>1</x:v>
      </x:c>
      <x:c r="D9" s="47" t="str">
        <x:v>syntax_repair_prompt</x:v>
      </x:c>
      <x:c r="E9" s="48" t="str">
        <x:v>artifacts/attempt_01/syntax_repair_prompt_01.txt</x:v>
      </x:c>
      <x:c r="F9" s="47" t="str">
        <x:v>edb9da9d538a2e89cc74f5939b3443570a3535be6941aab13e30373bfdbc4e7c</x:v>
      </x:c>
      <x:c r="G9" s="59" t="n">
        <x:v>10515</x:v>
      </x:c>
    </x:row>
    <x:row r="10">
      <x:c r="A10" s="47" t="str">
        <x:v>RUN-TRF-025-20260829T233501165415Z</x:v>
      </x:c>
      <x:c r="B10" s="47" t="str">
        <x:v>TRF-025</x:v>
      </x:c>
      <x:c r="C10" s="59" t="n">
        <x:v>1</x:v>
      </x:c>
      <x:c r="D10" s="47" t="str">
        <x:v>syntax_repair_raw_response</x:v>
      </x:c>
      <x:c r="E10" s="48" t="str">
        <x:v>artifacts/attempt_01/syntax_repair_raw_01.txt</x:v>
      </x:c>
      <x:c r="F10" s="47" t="str">
        <x:v>a500946e999acd7ca7c542f94bda94e432af6e58294a38395136a401a8ec8b11</x:v>
      </x:c>
      <x:c r="G10" s="59" t="n">
        <x:v>9039</x:v>
      </x:c>
    </x:row>
    <x:row r="11">
      <x:c r="A11" s="47" t="str">
        <x:v>RUN-TRF-025-20260829T233501165415Z</x:v>
      </x:c>
      <x:c r="B11" s="47" t="str">
        <x:v>TRF-025</x:v>
      </x:c>
      <x:c r="C11" s="59" t="n">
        <x:v>1</x:v>
      </x:c>
      <x:c r="D11" s="47" t="str">
        <x:v>candidate_shape</x:v>
      </x:c>
      <x:c r="E11" s="48" t="str">
        <x:v>artifacts/attempt_01/candidate_shape.ttl</x:v>
      </x:c>
      <x:c r="F11" s="47" t="str">
        <x:v>8fc568e39dbf57d4342b680ad505293f83f01de1446497dd2bb89ea9cf66a4f0</x:v>
      </x:c>
      <x:c r="G11" s="59" t="n">
        <x:v>9014</x:v>
      </x:c>
    </x:row>
    <x:row r="12">
      <x:c r="A12" s="47" t="str">
        <x:v>RUN-TRF-025-20260829T233501165415Z</x:v>
      </x:c>
      <x:c r="B12" s="47" t="str">
        <x:v>TRF-025</x:v>
      </x:c>
      <x:c r="C12" s="59" t="n">
        <x:v>1</x:v>
      </x:c>
      <x:c r="D12" s="47" t="str">
        <x:v>deterministic_validation</x:v>
      </x:c>
      <x:c r="E12" s="48" t="str">
        <x:v>artifacts/attempt_01/deterministic_validation.json</x:v>
      </x:c>
      <x:c r="F12" s="47" t="str">
        <x:v>6de15a0ae693d165518559e28799cf862639446fe414d6824cc9c316be728617</x:v>
      </x:c>
      <x:c r="G12" s="59" t="n">
        <x:v>1502</x:v>
      </x:c>
    </x:row>
    <x:row r="13">
      <x:c r="A13" s="47" t="str">
        <x:v>RUN-TRF-025-20260829T233501165415Z</x:v>
      </x:c>
      <x:c r="B13" s="47" t="str">
        <x:v>TRF-025</x:v>
      </x:c>
      <x:c r="C13" s="59" t="n">
        <x:v>1</x:v>
      </x:c>
      <x:c r="D13" s="47" t="str">
        <x:v>validator_prompt</x:v>
      </x:c>
      <x:c r="E13" s="48" t="str">
        <x:v>artifacts/attempt_01/validator_prompt_01.txt</x:v>
      </x:c>
      <x:c r="F13" s="47" t="str">
        <x:v>8817e79e07ec98cf753686c8cd131866ebaed91598d0393d96a803e0230b82f0</x:v>
      </x:c>
      <x:c r="G13" s="59" t="n">
        <x:v>56345</x:v>
      </x:c>
    </x:row>
    <x:row r="14">
      <x:c r="A14" s="47" t="str">
        <x:v>RUN-TRF-025-20260829T233501165415Z</x:v>
      </x:c>
      <x:c r="B14" s="47" t="str">
        <x:v>TRF-025</x:v>
      </x:c>
      <x:c r="C14" s="59" t="n">
        <x:v>1</x:v>
      </x:c>
      <x:c r="D14" s="47" t="str">
        <x:v>validator_raw_response</x:v>
      </x:c>
      <x:c r="E14" s="48" t="str">
        <x:v>artifacts/attempt_01/validator_raw_01.txt</x:v>
      </x:c>
      <x:c r="F14" s="47" t="str">
        <x:v>4a8ba82c1016e314d468d939a3a5fc666e3d817b49f25bc020a7ceb165622d88</x:v>
      </x:c>
      <x:c r="G14" s="59" t="n">
        <x:v>688</x:v>
      </x:c>
    </x:row>
    <x:row r="15">
      <x:c r="A15" s="47" t="str">
        <x:v>RUN-TRF-025-20260829T233501165415Z</x:v>
      </x:c>
      <x:c r="B15" s="47" t="str">
        <x:v>TRF-025</x:v>
      </x:c>
      <x:c r="C15" s="59" t="n">
        <x:v>2</x:v>
      </x:c>
      <x:c r="D15" s="47" t="str">
        <x:v>generator_prompt</x:v>
      </x:c>
      <x:c r="E15" s="48" t="str">
        <x:v>artifacts/attempt_02/generator_prompt.txt</x:v>
      </x:c>
      <x:c r="F15" s="47" t="str">
        <x:v>19bf8c53c4b06520533a265bc0546e9d271ea5c4c2fbd388eeb875bc9733fc80</x:v>
      </x:c>
      <x:c r="G15" s="59" t="n">
        <x:v>50242</x:v>
      </x:c>
    </x:row>
    <x:row r="16">
      <x:c r="A16" s="47" t="str">
        <x:v>RUN-TRF-025-20260829T233501165415Z</x:v>
      </x:c>
      <x:c r="B16" s="47" t="str">
        <x:v>TRF-025</x:v>
      </x:c>
      <x:c r="C16" s="59" t="n">
        <x:v>2</x:v>
      </x:c>
      <x:c r="D16" s="47" t="str">
        <x:v>generator_raw_response</x:v>
      </x:c>
      <x:c r="E16" s="48" t="str">
        <x:v>artifacts/attempt_02/generator_raw.txt</x:v>
      </x:c>
      <x:c r="F16" s="47" t="str">
        <x:v>24481c7ab488c08543cd2d153cedf42a0d03b1ed6108efc1e88fbf20df6977ce</x:v>
      </x:c>
      <x:c r="G16" s="59" t="n">
        <x:v>8002</x:v>
      </x:c>
    </x:row>
    <x:row r="17">
      <x:c r="A17" s="47" t="str">
        <x:v>RUN-TRF-025-20260829T233501165415Z</x:v>
      </x:c>
      <x:c r="B17" s="47" t="str">
        <x:v>TRF-025</x:v>
      </x:c>
      <x:c r="C17" s="59" t="n">
        <x:v>2</x:v>
      </x:c>
      <x:c r="D17" s="47" t="str">
        <x:v>candidate_shape</x:v>
      </x:c>
      <x:c r="E17" s="48" t="str">
        <x:v>artifacts/attempt_02/candidate_shape.ttl</x:v>
      </x:c>
      <x:c r="F17" s="47" t="str">
        <x:v>9201de0cf1cec025d1c2b396d235012dea2875e362b75b1638efeaa0066b7788</x:v>
      </x:c>
      <x:c r="G17" s="59" t="n">
        <x:v>7977</x:v>
      </x:c>
    </x:row>
    <x:row r="18">
      <x:c r="A18" s="47" t="str">
        <x:v>RUN-TRF-025-20260829T233501165415Z</x:v>
      </x:c>
      <x:c r="B18" s="47" t="str">
        <x:v>TRF-025</x:v>
      </x:c>
      <x:c r="C18" s="59" t="n">
        <x:v>2</x:v>
      </x:c>
      <x:c r="D18" s="47" t="str">
        <x:v>deterministic_validation</x:v>
      </x:c>
      <x:c r="E18" s="48" t="str">
        <x:v>artifacts/attempt_02/deterministic_validation.json</x:v>
      </x:c>
      <x:c r="F18" s="47" t="str">
        <x:v>2bcb2b8c3c9c1ec68ae8457260ff19c8300a4a3c7b5b46f8100eb54eda774183</x:v>
      </x:c>
      <x:c r="G18" s="59" t="n">
        <x:v>1271</x:v>
      </x:c>
    </x:row>
    <x:row r="19">
      <x:c r="A19" s="47" t="str">
        <x:v>RUN-TRF-025-20260829T233501165415Z</x:v>
      </x:c>
      <x:c r="B19" s="47" t="str">
        <x:v>TRF-025</x:v>
      </x:c>
      <x:c r="C19" s="59" t="n">
        <x:v>2</x:v>
      </x:c>
      <x:c r="D19" s="47" t="str">
        <x:v>validator_prompt</x:v>
      </x:c>
      <x:c r="E19" s="48" t="str">
        <x:v>artifacts/attempt_02/validator_prompt_01.txt</x:v>
      </x:c>
      <x:c r="F19" s="47" t="str">
        <x:v>3a2540145ecd7b6478559eb00176301e2623d7d12654f0bf5ce1584a1f3472dd</x:v>
      </x:c>
      <x:c r="G19" s="59" t="n">
        <x:v>54261</x:v>
      </x:c>
    </x:row>
    <x:row r="20">
      <x:c r="A20" s="47" t="str">
        <x:v>RUN-TRF-025-20260829T233501165415Z</x:v>
      </x:c>
      <x:c r="B20" s="47" t="str">
        <x:v>TRF-025</x:v>
      </x:c>
      <x:c r="C20" s="59" t="n">
        <x:v>2</x:v>
      </x:c>
      <x:c r="D20" s="47" t="str">
        <x:v>validator_raw_response</x:v>
      </x:c>
      <x:c r="E20" s="48" t="str">
        <x:v>artifacts/attempt_02/validator_raw_01.txt</x:v>
      </x:c>
      <x:c r="F20" s="47" t="str">
        <x:v>cc40b3303086fc6961d8a68dd231a31d261d45e27586073be419ab40934e5a79</x:v>
      </x:c>
      <x:c r="G20" s="59" t="n">
        <x:v>645</x:v>
      </x:c>
    </x:row>
    <x:row r="21">
      <x:c r="A21" s="47" t="str">
        <x:v>RUN-TRF-025-20260829T233501165415Z</x:v>
      </x:c>
      <x:c r="B21" s="47" t="str">
        <x:v>TRF-025</x:v>
      </x:c>
      <x:c r="C21" s="59" t="n">
        <x:v>3</x:v>
      </x:c>
      <x:c r="D21" s="47" t="str">
        <x:v>generator_prompt</x:v>
      </x:c>
      <x:c r="E21" s="48" t="str">
        <x:v>artifacts/attempt_03/generator_prompt.txt</x:v>
      </x:c>
      <x:c r="F21" s="47" t="str">
        <x:v>ea1761fd77b2759cd3d7d34cc731eccf3287d87a9bd60b16da32ac0bfd0fd4e3</x:v>
      </x:c>
      <x:c r="G21" s="59" t="n">
        <x:v>50830</x:v>
      </x:c>
    </x:row>
    <x:row r="22">
      <x:c r="A22" s="47" t="str">
        <x:v>RUN-TRF-025-20260829T233501165415Z</x:v>
      </x:c>
      <x:c r="B22" s="47" t="str">
        <x:v>TRF-025</x:v>
      </x:c>
      <x:c r="C22" s="59" t="n">
        <x:v>3</x:v>
      </x:c>
      <x:c r="D22" s="47" t="str">
        <x:v>generator_raw_response</x:v>
      </x:c>
      <x:c r="E22" s="48" t="str">
        <x:v>artifacts/attempt_03/generator_raw.txt</x:v>
      </x:c>
      <x:c r="F22" s="47" t="str">
        <x:v>58632e3e185d66e910e712b887f3723dd1c42ae71982ab1ba60882efaa0823ec</x:v>
      </x:c>
      <x:c r="G22" s="59" t="n">
        <x:v>8819</x:v>
      </x:c>
    </x:row>
    <x:row r="23">
      <x:c r="A23" s="47" t="str">
        <x:v>RUN-TRF-025-20260829T233501165415Z</x:v>
      </x:c>
      <x:c r="B23" s="47" t="str">
        <x:v>TRF-025</x:v>
      </x:c>
      <x:c r="C23" s="59" t="n">
        <x:v>3</x:v>
      </x:c>
      <x:c r="D23" s="47" t="str">
        <x:v>candidate_shape</x:v>
      </x:c>
      <x:c r="E23" s="48" t="str">
        <x:v>artifacts/attempt_03/candidate_shape.ttl</x:v>
      </x:c>
      <x:c r="F23" s="47" t="str">
        <x:v>c83da9ed236f11322a7ce924fddd8a36e27e005c4dff03fde5b5405f5ec2f596</x:v>
      </x:c>
      <x:c r="G23" s="59" t="n">
        <x:v>8794</x:v>
      </x:c>
    </x:row>
    <x:row r="24">
      <x:c r="A24" s="47" t="str">
        <x:v>RUN-TRF-025-20260829T233501165415Z</x:v>
      </x:c>
      <x:c r="B24" s="47" t="str">
        <x:v>TRF-025</x:v>
      </x:c>
      <x:c r="C24" s="59" t="n">
        <x:v>3</x:v>
      </x:c>
      <x:c r="D24" s="47" t="str">
        <x:v>deterministic_validation</x:v>
      </x:c>
      <x:c r="E24" s="48" t="str">
        <x:v>artifacts/attempt_03/deterministic_validation.json</x:v>
      </x:c>
      <x:c r="F24" s="47" t="str">
        <x:v>2bcb2b8c3c9c1ec68ae8457260ff19c8300a4a3c7b5b46f8100eb54eda774183</x:v>
      </x:c>
      <x:c r="G24" s="59" t="n">
        <x:v>1271</x:v>
      </x:c>
    </x:row>
    <x:row r="25">
      <x:c r="A25" s="47" t="str">
        <x:v>RUN-TRF-025-20260829T233501165415Z</x:v>
      </x:c>
      <x:c r="B25" s="47" t="str">
        <x:v>TRF-025</x:v>
      </x:c>
      <x:c r="C25" s="59" t="n">
        <x:v>3</x:v>
      </x:c>
      <x:c r="D25" s="47" t="str">
        <x:v>validator_prompt</x:v>
      </x:c>
      <x:c r="E25" s="48" t="str">
        <x:v>artifacts/attempt_03/validator_prompt_01.txt</x:v>
      </x:c>
      <x:c r="F25" s="47" t="str">
        <x:v>511a014936cba1a70857bc5eebed2bc6c6e4ef464fd5deeda9ed6b8e138c22e0</x:v>
      </x:c>
      <x:c r="G25" s="59" t="n">
        <x:v>55697</x:v>
      </x:c>
    </x:row>
    <x:row r="26">
      <x:c r="A26" s="47" t="str">
        <x:v>RUN-TRF-025-20260829T233501165415Z</x:v>
      </x:c>
      <x:c r="B26" s="47" t="str">
        <x:v>TRF-025</x:v>
      </x:c>
      <x:c r="C26" s="59" t="n">
        <x:v>3</x:v>
      </x:c>
      <x:c r="D26" s="47" t="str">
        <x:v>validator_raw_response</x:v>
      </x:c>
      <x:c r="E26" s="48" t="str">
        <x:v>artifacts/attempt_03/validator_raw_01.txt</x:v>
      </x:c>
      <x:c r="F26" s="47" t="str">
        <x:v>e7c04bd8f9a8998bea7f51ffc603615c9a2113a77c5602ef410303b51a0e73fa</x:v>
      </x:c>
      <x:c r="G26" s="59" t="n">
        <x:v>807</x:v>
      </x:c>
    </x:row>
    <x:row r="27">
      <x:c r="A27" s="47" t="str">
        <x:v>RUN-TRF-025-20260829T233501165415Z</x:v>
      </x:c>
      <x:c r="B27" s="47" t="str">
        <x:v>TRF-025</x:v>
      </x:c>
      <x:c r="C27" s="59" t="n">
        <x:v>3</x:v>
      </x:c>
      <x:c r="D27" s="47" t="str">
        <x:v>matcher_candidates</x:v>
      </x:c>
      <x:c r="E27" s="48" t="str">
        <x:v>artifacts/attempt_03/matcher_candidates.json</x:v>
      </x:c>
      <x:c r="F27" s="47" t="str">
        <x:v>99835712043a4c9b94a427f2184612a6c357cab694d2c26d701e14b4eccc1ab9</x:v>
      </x:c>
      <x:c r="G27" s="59" t="n">
        <x:v>5075</x:v>
      </x:c>
    </x:row>
    <x:row r="28">
      <x:c r="A28" s="47" t="str">
        <x:v>RUN-TRF-025-20260829T233501165415Z</x:v>
      </x:c>
      <x:c r="B28" s="47" t="str">
        <x:v>TRF-025</x:v>
      </x:c>
      <x:c r="C28" s="59" t="n">
        <x:v>3</x:v>
      </x:c>
      <x:c r="D28" s="47" t="str">
        <x:v>vocabulary_matcher_prompt</x:v>
      </x:c>
      <x:c r="E28" s="48" t="str">
        <x:v>artifacts/attempt_03/vocabulary_matcher_prompt_01.txt</x:v>
      </x:c>
      <x:c r="F28" s="47" t="str">
        <x:v>ad5dd27f89c2ae1cf68cf66b6190f019ebf442c8a19ae0bad035f739c44029db</x:v>
      </x:c>
      <x:c r="G28" s="59" t="n">
        <x:v>11415</x:v>
      </x:c>
    </x:row>
    <x:row r="29">
      <x:c r="A29" s="49" t="str">
        <x:v>RUN-TRF-025-20260829T233501165415Z</x:v>
      </x:c>
      <x:c r="B29" s="49" t="str">
        <x:v>TRF-025</x:v>
      </x:c>
      <x:c r="C29" s="60" t="n">
        <x:v>3</x:v>
      </x:c>
      <x:c r="D29" s="49" t="str">
        <x:v>vocabulary_matcher_raw_response</x:v>
      </x:c>
      <x:c r="E29" s="50" t="str">
        <x:v>artifacts/attempt_03/vocabulary_matcher_raw_01.txt</x:v>
      </x:c>
      <x:c r="F29" s="49" t="str">
        <x:v>a47f3adf9d135202e9946cf125e30bbbd6d394508e1f0b8e8b43635fa3d4d053</x:v>
      </x:c>
      <x:c r="G29" s="60" t="n">
        <x:v>89</x:v>
      </x:c>
    </x:row>
  </x:sheetData>
  <x:pageMargins left="0.7" right="0.7" top="0.75" bottom="0.75" header="0.3" footer="0.3"/>
  <x:tableParts count="1">
    <x:tablePart xmlns:r="http://schemas.openxmlformats.org/officeDocument/2006/relationships" r:id="R7ed5536a65374340"/>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RUN-TRF-025-20260829T233501165415Z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RUN-TRF-025-20260829T233501165415Z</x:v>
      </x:c>
      <x:c r="B5" s="69" t="str">
        <x:v>TRF-025</x:v>
      </x:c>
      <x:c r="C5" s="71" t="n">
        <x:v>3</x:v>
      </x:c>
      <x:c r="D5" s="69" t="str">
        <x:v>TERM_RESOLUTION_UNRESOLVED</x:v>
      </x:c>
      <x:c r="E5" s="73" t="str">
        <x:v>Preserve the single ship-level applicability gate requiring exactly one iceClass equal to nltl:iceClassIaSuper and exactly one bulbousBowPresent value false, plus the ship-owned positive B/L/T operands and declared quantity units. Add actual COMPLEX_READINESS validation for both brashIceResistanceCoefficientC1 and brashIceResistanceCoefficientC2: retain their force quantity domains and require readiness-level numerical-tolerance evidence tied to the expected formula results, with tolerance scaled from each expected result rather than the reported value. Do not invent a formula, threshold, or generic evidence obligation; locate canonical calculation/analysis/result-tolerance terms or paths if required, and do not relocate any property.</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7d17c28847514251"/>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RUN-TRF-025-20260829T233501165415Z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