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47b69a872d4134" /></Relationships>
</file>

<file path=xl/workbook.xml><?xml version="1.0" encoding="utf-8"?>
<x:workbook xmlns:x="http://schemas.openxmlformats.org/spreadsheetml/2006/main">
  <x:sheets>
    <x:sheet xmlns:r="http://schemas.openxmlformats.org/officeDocument/2006/relationships" name="SUMMARY" sheetId="1" r:id="R0c406e947264481e"/>
    <x:sheet xmlns:r="http://schemas.openxmlformats.org/officeDocument/2006/relationships" name="README" sheetId="2" r:id="R9209db84a6e6413c"/>
    <x:sheet xmlns:r="http://schemas.openxmlformats.org/officeDocument/2006/relationships" name="REGULATION_QUEUE" sheetId="3" r:id="R8ed748132eba4caf"/>
    <x:sheet xmlns:r="http://schemas.openxmlformats.org/officeDocument/2006/relationships" name="RUNS" sheetId="4" r:id="Ref1835a730e54055"/>
    <x:sheet xmlns:r="http://schemas.openxmlformats.org/officeDocument/2006/relationships" name="ITERATIONS" sheetId="5" r:id="R4f81c02d554843a5"/>
    <x:sheet xmlns:r="http://schemas.openxmlformats.org/officeDocument/2006/relationships" name="API_CALLS" sheetId="6" r:id="R6abe6f930ec94c60"/>
    <x:sheet xmlns:r="http://schemas.openxmlformats.org/officeDocument/2006/relationships" name="TERM_RETRIEVAL" sheetId="7" r:id="R88389fc0822c4180"/>
    <x:sheet xmlns:r="http://schemas.openxmlformats.org/officeDocument/2006/relationships" name="FEW_SHOT_SELECTION" sheetId="8" r:id="Rea168aef778946d5"/>
    <x:sheet xmlns:r="http://schemas.openxmlformats.org/officeDocument/2006/relationships" name="VALIDATION" sheetId="9" r:id="Rac2ae47a59704e49"/>
    <x:sheet xmlns:r="http://schemas.openxmlformats.org/officeDocument/2006/relationships" name="VOCAB_MATCHES" sheetId="10" r:id="R77bd8790f61f4773"/>
    <x:sheet xmlns:r="http://schemas.openxmlformats.org/officeDocument/2006/relationships" name="ARTIFACTS" sheetId="11" r:id="R13f92d5373424d62"/>
    <x:sheet xmlns:r="http://schemas.openxmlformats.org/officeDocument/2006/relationships" name="UNRESOLVED" sheetId="12" r:id="Rbe6d070d344a4ab4"/>
    <x:sheet xmlns:r="http://schemas.openxmlformats.org/officeDocument/2006/relationships" name="RDF_TEST_QUEUE" sheetId="13" r:id="R54da4b8d4fdd408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d37aa827a5429c" /><Relationship Type="http://schemas.openxmlformats.org/officeDocument/2006/relationships/theme" Target="/xl/theme/theme1.xml" Id="R1df335bc610b4eec" /><Relationship Type="http://schemas.microsoft.com/office/2022/11/relationships/FeaturePropertyBag" Target="/xl/featurePropertyBag/featurePropertyBag.xml" Id="R0ded2e7a9b244c79" /><Relationship Type="http://schemas.openxmlformats.org/officeDocument/2006/relationships/sharedStrings" Target="/xl/sharedStrings.xml" Id="Rd107c7db0f424421" /><Relationship Type="http://schemas.openxmlformats.org/officeDocument/2006/relationships/worksheet" Target="/xl/worksheets/sheet1.xml" Id="R0c406e947264481e" /><Relationship Type="http://schemas.openxmlformats.org/officeDocument/2006/relationships/worksheet" Target="/xl/worksheets/sheet2.xml" Id="R9209db84a6e6413c" /><Relationship Type="http://schemas.openxmlformats.org/officeDocument/2006/relationships/worksheet" Target="/xl/worksheets/sheet3.xml" Id="R8ed748132eba4caf" /><Relationship Type="http://schemas.openxmlformats.org/officeDocument/2006/relationships/worksheet" Target="/xl/worksheets/sheet4.xml" Id="Ref1835a730e54055" /><Relationship Type="http://schemas.openxmlformats.org/officeDocument/2006/relationships/worksheet" Target="/xl/worksheets/sheet5.xml" Id="R4f81c02d554843a5" /><Relationship Type="http://schemas.openxmlformats.org/officeDocument/2006/relationships/worksheet" Target="/xl/worksheets/sheet6.xml" Id="R6abe6f930ec94c60" /><Relationship Type="http://schemas.openxmlformats.org/officeDocument/2006/relationships/worksheet" Target="/xl/worksheets/sheet7.xml" Id="R88389fc0822c4180" /><Relationship Type="http://schemas.openxmlformats.org/officeDocument/2006/relationships/worksheet" Target="/xl/worksheets/sheet8.xml" Id="Rea168aef778946d5" /><Relationship Type="http://schemas.openxmlformats.org/officeDocument/2006/relationships/worksheet" Target="/xl/worksheets/sheet9.xml" Id="Rac2ae47a59704e49" /><Relationship Type="http://schemas.openxmlformats.org/officeDocument/2006/relationships/worksheet" Target="/xl/worksheets/sheet10.xml" Id="R77bd8790f61f4773" /><Relationship Type="http://schemas.openxmlformats.org/officeDocument/2006/relationships/worksheet" Target="/xl/worksheets/sheet11.xml" Id="R13f92d5373424d62" /><Relationship Type="http://schemas.openxmlformats.org/officeDocument/2006/relationships/worksheet" Target="/xl/worksheets/sheet12.xml" Id="Rbe6d070d344a4ab4" /><Relationship Type="http://schemas.openxmlformats.org/officeDocument/2006/relationships/worksheet" Target="/xl/worksheets/sheet13.xml" Id="R54da4b8d4fdd40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5"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af293eabfe4c0a" /></Relationships>
</file>

<file path=xl/worksheets/_rels/sheet3.xml.rels>&#65279;<?xml version="1.0" encoding="utf-8"?><Relationships xmlns="http://schemas.openxmlformats.org/package/2006/relationships"><Relationship Type="http://schemas.openxmlformats.org/officeDocument/2006/relationships/table" Target="/xl/tables/table2.xml" Id="R3800745a13794d29" /></Relationships>
</file>

<file path=xl/worksheets/_rels/sheet4.xml.rels>&#65279;<?xml version="1.0" encoding="utf-8"?><Relationships xmlns="http://schemas.openxmlformats.org/package/2006/relationships"><Relationship Type="http://schemas.openxmlformats.org/officeDocument/2006/relationships/table" Target="/xl/tables/table3.xml" Id="R1df911769f094ee6" /></Relationships>
</file>

<file path=xl/worksheets/_rels/sheet5.xml.rels>&#65279;<?xml version="1.0" encoding="utf-8"?><Relationships xmlns="http://schemas.openxmlformats.org/package/2006/relationships"><Relationship Type="http://schemas.openxmlformats.org/officeDocument/2006/relationships/table" Target="/xl/tables/table4.xml" Id="R567a27cd29d54a1a" /></Relationships>
</file>

<file path=xl/worksheets/_rels/sheet6.xml.rels>&#65279;<?xml version="1.0" encoding="utf-8"?><Relationships xmlns="http://schemas.openxmlformats.org/package/2006/relationships"><Relationship Type="http://schemas.openxmlformats.org/officeDocument/2006/relationships/table" Target="/xl/tables/table5.xml" Id="Rca10323ffeb44dfa" /></Relationships>
</file>

<file path=xl/worksheets/_rels/sheet7.xml.rels>&#65279;<?xml version="1.0" encoding="utf-8"?><Relationships xmlns="http://schemas.openxmlformats.org/package/2006/relationships"><Relationship Type="http://schemas.openxmlformats.org/officeDocument/2006/relationships/table" Target="/xl/tables/table6.xml" Id="R9c31ffa190744e52" /></Relationships>
</file>

<file path=xl/worksheets/_rels/sheet8.xml.rels>&#65279;<?xml version="1.0" encoding="utf-8"?><Relationships xmlns="http://schemas.openxmlformats.org/package/2006/relationships"><Relationship Type="http://schemas.openxmlformats.org/officeDocument/2006/relationships/table" Target="/xl/tables/table7.xml" Id="Re2d3a6bc33584f1b" /></Relationships>
</file>

<file path=xl/worksheets/_rels/sheet9.xml.rels>&#65279;<?xml version="1.0" encoding="utf-8"?><Relationships xmlns="http://schemas.openxmlformats.org/package/2006/relationships"><Relationship Type="http://schemas.openxmlformats.org/officeDocument/2006/relationships/table" Target="/xl/tables/table8.xml" Id="R96ca8074e3d7405f" /></Relationships>
</file>

<file path=xl/worksheets/_rels/sheet11.xml.rels>&#65279;<?xml version="1.0" encoding="utf-8"?><Relationships xmlns="http://schemas.openxmlformats.org/package/2006/relationships"><Relationship Type="http://schemas.openxmlformats.org/officeDocument/2006/relationships/table" Target="/xl/tables/table9.xml" Id="Rc51c253bb10f447c" /></Relationships>
</file>

<file path=xl/worksheets/_rels/sheet13.xml.rels>&#65279;<?xml version="1.0" encoding="utf-8"?><Relationships xmlns="http://schemas.openxmlformats.org/package/2006/relationships"><Relationship Type="http://schemas.openxmlformats.org/officeDocument/2006/relationships/table" Target="/xl/tables/table10.xml" Id="R66bc7e433914479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RUN-TRF-034-20260829T234545753079Z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COUNTA('API_CALLS'!$A$5:$A$15)</x:f>
        <x:v>11</x:v>
      </x:c>
      <x:c r="C9" s="21"/>
      <x:c r="D9" s="21"/>
    </x:row>
    <x:row r="10">
      <x:c r="A10" s="27" t="str">
        <x:v>Mean API/LLM elapsed ms</x:v>
      </x:c>
      <x:c r="B10" s="28" t="n">
        <x:f>IFERROR(AVERAGE('API_CALLS'!$K$5:$K$15),0)</x:f>
        <x:v>12020.839636363637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RUN-TRF-034-20260829T234545753079Z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1af293eabfe4c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RUN-TRF-034-20260829T234545753079Z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00745a13794d2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RUN-TRF-034-20260829T234545753079Z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RUN-TRF-034-20260829T234545753079Z</x:v>
      </x:c>
      <x:c r="C5" s="69" t="str">
        <x:v>TRF-034</x:v>
      </x:c>
      <x:c r="D5" s="70" t="n">
        <x:v>46263.990112893516</x:v>
      </x:c>
      <x:c r="E5" s="70" t="n">
        <x:v>46263.990911608795</x:v>
      </x:c>
      <x:c r="F5" s="69" t="str">
        <x:v>final-luna-main-run06</x:v>
      </x:c>
      <x:c r="G5" s="69" t="str">
        <x:v>VOCAB-LOCK-2026-08-22-R13</x:v>
      </x:c>
      <x:c r="H5" s="71" t="n">
        <x:v>2</x:v>
      </x:c>
      <x:c r="I5" s="69" t="str">
        <x:v>GENERATION_ACCEPTED</x:v>
      </x:c>
      <x:c r="J5" s="72" t="b">
        <x:v>1</x:v>
      </x:c>
      <x:c r="K5" s="69" t="str">
        <x:v>final/final_shape.ttl</x:v>
      </x:c>
      <x:c r="L5" s="73" t="str">
        <x:v>The candidate now faithfully encodes the requirement: both applicability branches require the linked effective member cross section, section modulus and shear area are constrained on that owner with the declared datatypes and units, and classification-society calculation evidence is required only for members not normal to the plating.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df911769f094ee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RUN-TRF-034-20260829T234545753079Z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RUN-TRF-034-20260829T234545753079Z</x:v>
      </x:c>
      <x:c r="B5" s="45" t="str">
        <x:v>TRF-034</x:v>
      </x:c>
      <x:c r="C5" s="58" t="n">
        <x:v>1</x:v>
      </x:c>
      <x:c r="D5" s="80" t="b">
        <x:v>1</x:v>
      </x:c>
      <x:c r="E5" s="80" t="b">
        <x:v>0</x:v>
      </x:c>
      <x:c r="F5" s="80" t="b">
        <x:v>0</x:v>
      </x:c>
      <x:c r="G5" s="45" t="str">
        <x:v>REVISE</x:v>
      </x:c>
      <x:c r="H5" s="46" t="str">
        <x:v>Repair the applicability and relationship logic: require every hullStructure branch to have sh:minCount 1 on nltl:hasEffectiveMemberCrossSection, rather than allowing the normal-to-plating branch to omit the effective member cross section. Keep nltl:memberNormalToPlating as the branch selector, but require classification-society calculation evidence on the linked effectiveMemberCrossSection only in the false branch. Remove the unconditional evidence constraint from the effectiveMemberCrossSection shape, since the requirement makes that evidence conditional on the member not being normal to the plating. Preserve the sectionModulus and shearArea requirements on the effectiveMemberCrossSection owner.</x:v>
      </x:c>
      <x:c r="I5" s="81" t="n">
        <x:v>20462.562</x:v>
      </x:c>
      <x:c r="J5" s="81" t="n">
        <x:v>10380.574</x:v>
      </x:c>
    </x:row>
    <x:row r="6">
      <x:c r="A6" s="49" t="str">
        <x:v>RUN-TRF-034-20260829T234545753079Z</x:v>
      </x:c>
      <x:c r="B6" s="49" t="str">
        <x:v>TRF-034</x:v>
      </x:c>
      <x:c r="C6" s="60" t="n">
        <x:v>2</x:v>
      </x:c>
      <x:c r="D6" s="82" t="b">
        <x:v>1</x:v>
      </x:c>
      <x:c r="E6" s="82" t="b">
        <x:v>1</x:v>
      </x:c>
      <x:c r="F6" s="82" t="b">
        <x:v>0</x:v>
      </x:c>
      <x:c r="G6" s="49" t="str">
        <x:v>ACCEPT</x:v>
      </x:c>
      <x:c r="H6" s="50" t="str">
        <x:v>The candidate now faithfully encodes the requirement: both applicability branches require the linked effective member cross section, section modulus and shear area are constrained on that owner with the declared datatypes and units, and classification-society calculation evidence is required only for members not normal to the plating. Deterministic validation is valid.</x:v>
      </x:c>
      <x:c r="I6" s="83" t="n">
        <x:v>16688.589</x:v>
      </x:c>
      <x:c r="J6" s="83" t="n">
        <x:v>10410.338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7a27cd29d54a1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RUN-TRF-034-20260829T234545753079Z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RUN-TRF-034-20260829T234545753079Z</x:v>
      </x:c>
      <x:c r="C5" s="45" t="str">
        <x:v>TRF-034</x:v>
      </x:c>
      <x:c r="D5" s="90" t="n">
        <x:v>46263.99012043981</x:v>
      </x:c>
      <x:c r="E5" s="45" t="str">
        <x:v>generator</x:v>
      </x:c>
      <x:c r="F5" s="45" t="str">
        <x:v>gpt-5.6-luna-2026-07-09</x:v>
      </x:c>
      <x:c r="G5" s="45" t="n">
        <x:v>1</x:v>
      </x:c>
      <x:c r="H5" s="45" t="n">
        <x:v>500</x:v>
      </x:c>
      <x:c r="I5" s="45" t="str">
        <x:v>Ocp-Apim-Subscription-Key</x:v>
      </x:c>
      <x:c r="J5" s="81" t="n">
        <x:v>0</x:v>
      </x:c>
      <x:c r="K5" s="81" t="n">
        <x:v>649.3</x:v>
      </x:c>
      <x:c r="L5" s="80" t="b">
        <x:v>1</x:v>
      </x:c>
      <x:c r="M5" s="45" t="str"/>
      <x:c r="N5" s="58" t="str"/>
      <x:c r="O5" s="58" t="str"/>
      <x:c r="P5" s="58" t="str"/>
    </x:row>
    <x:row r="6">
      <x:c r="A6" s="47" t="str">
        <x:v>EVT-000024</x:v>
      </x:c>
      <x:c r="B6" s="47" t="str">
        <x:v>RUN-TRF-034-20260829T234545753079Z</x:v>
      </x:c>
      <x:c r="C6" s="47" t="str">
        <x:v>TRF-034</x:v>
      </x:c>
      <x:c r="D6" s="91" t="n">
        <x:v>46263.99034974537</x:v>
      </x:c>
      <x:c r="E6" s="47" t="str">
        <x:v>generator</x:v>
      </x:c>
      <x:c r="F6" s="47" t="str">
        <x:v>gpt-5.6-luna-2026-07-09</x:v>
      </x:c>
      <x:c r="G6" s="47" t="n">
        <x:v>2</x:v>
      </x:c>
      <x:c r="H6" s="47" t="n">
        <x:v>200</x:v>
      </x:c>
      <x:c r="I6" s="47" t="str">
        <x:v>Ocp-Apim-Subscription-Key</x:v>
      </x:c>
      <x:c r="J6" s="92" t="n">
        <x:v>0</x:v>
      </x:c>
      <x:c r="K6" s="92" t="n">
        <x:v>14597.752</x:v>
      </x:c>
      <x:c r="L6" s="93" t="b">
        <x:v>0</x:v>
      </x:c>
      <x:c r="M6" s="47" t="str"/>
      <x:c r="N6" s="59" t="str"/>
      <x:c r="O6" s="59" t="str"/>
      <x:c r="P6" s="59" t="str"/>
    </x:row>
    <x:row r="7">
      <x:c r="A7" s="47" t="str">
        <x:v>EVT-000025</x:v>
      </x:c>
      <x:c r="B7" s="47" t="str">
        <x:v>RUN-TRF-034-20260829T234545753079Z</x:v>
      </x:c>
      <x:c r="C7" s="47" t="str">
        <x:v>TRF-034</x:v>
      </x:c>
      <x:c r="D7" s="91" t="n">
        <x:v>46263.99034975695</x:v>
      </x:c>
      <x:c r="E7" s="47" t="str">
        <x:v>generator</x:v>
      </x:c>
      <x:c r="F7" s="47" t="str">
        <x:v>gpt-5.6-luna-2026-07-09</x:v>
      </x:c>
      <x:c r="G7" s="47" t="n">
        <x:v>2</x:v>
      </x:c>
      <x:c r="H7" s="47" t="str">
        <x:v>COMPLETED</x:v>
      </x:c>
      <x:c r="I7" s="47" t="str"/>
      <x:c r="J7" s="92" t="n">
        <x:v>0</x:v>
      </x:c>
      <x:c r="K7" s="92" t="n">
        <x:v>20462.562</x:v>
      </x:c>
      <x:c r="L7" s="93" t="b">
        <x:v>0</x:v>
      </x:c>
      <x:c r="M7" s="47" t="str">
        <x:v>resp_04dec0b2d4019a0e006a936f2fbe2481958606b503936f22a5</x:v>
      </x:c>
      <x:c r="N7" s="59" t="n">
        <x:v>9044</x:v>
      </x:c>
      <x:c r="O7" s="59" t="n">
        <x:v>1655</x:v>
      </x:c>
      <x:c r="P7" s="59" t="n">
        <x:v>10699</x:v>
      </x:c>
    </x:row>
    <x:row r="8">
      <x:c r="A8" s="47" t="str">
        <x:v>EVT-000030</x:v>
      </x:c>
      <x:c r="B8" s="47" t="str">
        <x:v>RUN-TRF-034-20260829T234545753079Z</x:v>
      </x:c>
      <x:c r="C8" s="47" t="str">
        <x:v>TRF-034</x:v>
      </x:c>
      <x:c r="D8" s="91" t="n">
        <x:v>46263.99047462963</x:v>
      </x:c>
      <x:c r="E8" s="47" t="str">
        <x:v>syntax_repair</x:v>
      </x:c>
      <x:c r="F8" s="47" t="str">
        <x:v>gpt-5.6-luna-2026-07-09</x:v>
      </x:c>
      <x:c r="G8" s="47" t="n">
        <x:v>1</x:v>
      </x:c>
      <x:c r="H8" s="47" t="n">
        <x:v>200</x:v>
      </x:c>
      <x:c r="I8" s="47" t="str">
        <x:v>Ocp-Apim-Subscription-Key</x:v>
      </x:c>
      <x:c r="J8" s="92" t="n">
        <x:v>0</x:v>
      </x:c>
      <x:c r="K8" s="92" t="n">
        <x:v>10781.33</x:v>
      </x:c>
      <x:c r="L8" s="93" t="b">
        <x:v>0</x:v>
      </x:c>
      <x:c r="M8" s="47" t="str"/>
      <x:c r="N8" s="59" t="str"/>
      <x:c r="O8" s="59" t="str"/>
      <x:c r="P8" s="59" t="str"/>
    </x:row>
    <x:row r="9">
      <x:c r="A9" s="47" t="str">
        <x:v>EVT-000031</x:v>
      </x:c>
      <x:c r="B9" s="47" t="str">
        <x:v>RUN-TRF-034-20260829T234545753079Z</x:v>
      </x:c>
      <x:c r="C9" s="47" t="str">
        <x:v>TRF-034</x:v>
      </x:c>
      <x:c r="D9" s="91" t="n">
        <x:v>46263.990474652775</x:v>
      </x:c>
      <x:c r="E9" s="47" t="str">
        <x:v>syntax_repair</x:v>
      </x:c>
      <x:c r="F9" s="47" t="str">
        <x:v>gpt-5.6-luna-2026-07-09</x:v>
      </x:c>
      <x:c r="G9" s="47" t="n">
        <x:v>1</x:v>
      </x:c>
      <x:c r="H9" s="47" t="str">
        <x:v>COMPLETED</x:v>
      </x:c>
      <x:c r="I9" s="47" t="str"/>
      <x:c r="J9" s="92" t="n">
        <x:v>0</x:v>
      </x:c>
      <x:c r="K9" s="92" t="n">
        <x:v>10782.886</x:v>
      </x:c>
      <x:c r="L9" s="93" t="b">
        <x:v>0</x:v>
      </x:c>
      <x:c r="M9" s="47" t="str">
        <x:v>resp_09d24d12dfd49d51006a936f3e535081938cfd0b4bf1f8250a</x:v>
      </x:c>
      <x:c r="N9" s="59" t="n">
        <x:v>1056</x:v>
      </x:c>
      <x:c r="O9" s="59" t="n">
        <x:v>1132</x:v>
      </x:c>
      <x:c r="P9" s="59" t="n">
        <x:v>2188</x:v>
      </x:c>
    </x:row>
    <x:row r="10">
      <x:c r="A10" s="47" t="str">
        <x:v>EVT-000039</x:v>
      </x:c>
      <x:c r="B10" s="47" t="str">
        <x:v>RUN-TRF-034-20260829T234545753079Z</x:v>
      </x:c>
      <x:c r="C10" s="47" t="str">
        <x:v>TRF-034</x:v>
      </x:c>
      <x:c r="D10" s="91" t="n">
        <x:v>46263.99059627315</x:v>
      </x:c>
      <x:c r="E10" s="47" t="str">
        <x:v>validator</x:v>
      </x:c>
      <x:c r="F10" s="47" t="str">
        <x:v>gpt-5.6-luna-2026-07-09</x:v>
      </x:c>
      <x:c r="G10" s="47" t="n">
        <x:v>1</x:v>
      </x:c>
      <x:c r="H10" s="47" t="n">
        <x:v>200</x:v>
      </x:c>
      <x:c r="I10" s="47" t="str">
        <x:v>Ocp-Apim-Subscription-Key</x:v>
      </x:c>
      <x:c r="J10" s="92" t="n">
        <x:v>0</x:v>
      </x:c>
      <x:c r="K10" s="92" t="n">
        <x:v>10379.876</x:v>
      </x:c>
      <x:c r="L10" s="93" t="b">
        <x:v>0</x:v>
      </x:c>
      <x:c r="M10" s="47" t="str"/>
      <x:c r="N10" s="59" t="str"/>
      <x:c r="O10" s="59" t="str"/>
      <x:c r="P10" s="59" t="str"/>
    </x:row>
    <x:row r="11">
      <x:c r="A11" s="47" t="str">
        <x:v>EVT-000040</x:v>
      </x:c>
      <x:c r="B11" s="47" t="str">
        <x:v>RUN-TRF-034-20260829T234545753079Z</x:v>
      </x:c>
      <x:c r="C11" s="47" t="str">
        <x:v>TRF-034</x:v>
      </x:c>
      <x:c r="D11" s="91" t="n">
        <x:v>46263.99059627315</x:v>
      </x:c>
      <x:c r="E11" s="47" t="str">
        <x:v>validator</x:v>
      </x:c>
      <x:c r="F11" s="47" t="str">
        <x:v>gpt-5.6-luna-2026-07-09</x:v>
      </x:c>
      <x:c r="G11" s="47" t="n">
        <x:v>1</x:v>
      </x:c>
      <x:c r="H11" s="47" t="str">
        <x:v>COMPLETED</x:v>
      </x:c>
      <x:c r="I11" s="47" t="str"/>
      <x:c r="J11" s="92" t="n">
        <x:v>0</x:v>
      </x:c>
      <x:c r="K11" s="92" t="n">
        <x:v>10380.574</x:v>
      </x:c>
      <x:c r="L11" s="93" t="b">
        <x:v>0</x:v>
      </x:c>
      <x:c r="M11" s="47" t="str">
        <x:v>resp_01a258a311d3f2f0006a936f493bac8194bcc1ada1dada7c3f</x:v>
      </x:c>
      <x:c r="N11" s="59" t="n">
        <x:v>7931</x:v>
      </x:c>
      <x:c r="O11" s="59" t="n">
        <x:v>996</x:v>
      </x:c>
      <x:c r="P11" s="59" t="n">
        <x:v>8927</x:v>
      </x:c>
    </x:row>
    <x:row r="12">
      <x:c r="A12" s="47" t="str">
        <x:v>EVT-000045</x:v>
      </x:c>
      <x:c r="B12" s="47" t="str">
        <x:v>RUN-TRF-034-20260829T234545753079Z</x:v>
      </x:c>
      <x:c r="C12" s="47" t="str">
        <x:v>TRF-034</x:v>
      </x:c>
      <x:c r="D12" s="91" t="n">
        <x:v>46263.99078944445</x:v>
      </x:c>
      <x:c r="E12" s="47" t="str">
        <x:v>generator</x:v>
      </x:c>
      <x:c r="F12" s="47" t="str">
        <x:v>gpt-5.6-luna-2026-07-09</x:v>
      </x:c>
      <x:c r="G12" s="47" t="n">
        <x:v>1</x:v>
      </x:c>
      <x:c r="H12" s="47" t="n">
        <x:v>200</x:v>
      </x:c>
      <x:c r="I12" s="47" t="str">
        <x:v>Ocp-Apim-Subscription-Key</x:v>
      </x:c>
      <x:c r="J12" s="92" t="n">
        <x:v>0</x:v>
      </x:c>
      <x:c r="K12" s="92" t="n">
        <x:v>16687.108</x:v>
      </x:c>
      <x:c r="L12" s="93" t="b">
        <x:v>0</x:v>
      </x:c>
      <x:c r="M12" s="47" t="str"/>
      <x:c r="N12" s="59" t="str"/>
      <x:c r="O12" s="59" t="str"/>
      <x:c r="P12" s="59" t="str"/>
    </x:row>
    <x:row r="13">
      <x:c r="A13" s="47" t="str">
        <x:v>EVT-000046</x:v>
      </x:c>
      <x:c r="B13" s="47" t="str">
        <x:v>RUN-TRF-034-20260829T234545753079Z</x:v>
      </x:c>
      <x:c r="C13" s="47" t="str">
        <x:v>TRF-034</x:v>
      </x:c>
      <x:c r="D13" s="91" t="n">
        <x:v>46263.99078946759</x:v>
      </x:c>
      <x:c r="E13" s="47" t="str">
        <x:v>generator</x:v>
      </x:c>
      <x:c r="F13" s="47" t="str">
        <x:v>gpt-5.6-luna-2026-07-09</x:v>
      </x:c>
      <x:c r="G13" s="47" t="n">
        <x:v>1</x:v>
      </x:c>
      <x:c r="H13" s="47" t="str">
        <x:v>COMPLETED</x:v>
      </x:c>
      <x:c r="I13" s="47" t="str"/>
      <x:c r="J13" s="92" t="n">
        <x:v>0</x:v>
      </x:c>
      <x:c r="K13" s="92" t="n">
        <x:v>16688.589</x:v>
      </x:c>
      <x:c r="L13" s="93" t="b">
        <x:v>0</x:v>
      </x:c>
      <x:c r="M13" s="47" t="str">
        <x:v>resp_0658bc8b845f8b32006a936f53a164819088f38df74b5b7a69</x:v>
      </x:c>
      <x:c r="N13" s="59" t="n">
        <x:v>9174</x:v>
      </x:c>
      <x:c r="O13" s="59" t="n">
        <x:v>2130</x:v>
      </x:c>
      <x:c r="P13" s="59" t="n">
        <x:v>11304</x:v>
      </x:c>
    </x:row>
    <x:row r="14">
      <x:c r="A14" s="47" t="str">
        <x:v>EVT-000053</x:v>
      </x:c>
      <x:c r="B14" s="47" t="str">
        <x:v>RUN-TRF-034-20260829T234545753079Z</x:v>
      </x:c>
      <x:c r="C14" s="47" t="str">
        <x:v>TRF-034</x:v>
      </x:c>
      <x:c r="D14" s="91" t="n">
        <x:v>46263.99091153935</x:v>
      </x:c>
      <x:c r="E14" s="47" t="str">
        <x:v>validator</x:v>
      </x:c>
      <x:c r="F14" s="47" t="str">
        <x:v>gpt-5.6-luna-2026-07-09</x:v>
      </x:c>
      <x:c r="G14" s="47" t="n">
        <x:v>1</x:v>
      </x:c>
      <x:c r="H14" s="47" t="n">
        <x:v>200</x:v>
      </x:c>
      <x:c r="I14" s="47" t="str">
        <x:v>Ocp-Apim-Subscription-Key</x:v>
      </x:c>
      <x:c r="J14" s="92" t="n">
        <x:v>0</x:v>
      </x:c>
      <x:c r="K14" s="92" t="n">
        <x:v>10408.921</x:v>
      </x:c>
      <x:c r="L14" s="93" t="b">
        <x:v>0</x:v>
      </x:c>
      <x:c r="M14" s="47" t="str"/>
      <x:c r="N14" s="59" t="str"/>
      <x:c r="O14" s="59" t="str"/>
      <x:c r="P14" s="59" t="str"/>
    </x:row>
    <x:row r="15">
      <x:c r="A15" s="49" t="str">
        <x:v>EVT-000054</x:v>
      </x:c>
      <x:c r="B15" s="49" t="str">
        <x:v>RUN-TRF-034-20260829T234545753079Z</x:v>
      </x:c>
      <x:c r="C15" s="49" t="str">
        <x:v>TRF-034</x:v>
      </x:c>
      <x:c r="D15" s="94" t="n">
        <x:v>46263.99091155093</x:v>
      </x:c>
      <x:c r="E15" s="49" t="str">
        <x:v>validator</x:v>
      </x:c>
      <x:c r="F15" s="49" t="str">
        <x:v>gpt-5.6-luna-2026-07-09</x:v>
      </x:c>
      <x:c r="G15" s="49" t="n">
        <x:v>1</x:v>
      </x:c>
      <x:c r="H15" s="49" t="str">
        <x:v>COMPLETED</x:v>
      </x:c>
      <x:c r="I15" s="49" t="str"/>
      <x:c r="J15" s="83" t="n">
        <x:v>0</x:v>
      </x:c>
      <x:c r="K15" s="83" t="n">
        <x:v>10410.338</x:v>
      </x:c>
      <x:c r="L15" s="82" t="b">
        <x:v>0</x:v>
      </x:c>
      <x:c r="M15" s="49" t="str">
        <x:v>resp_059492075b51424d006a936f65194481968155ddb62f1afce0</x:v>
      </x:c>
      <x:c r="N15" s="60" t="n">
        <x:v>8302</x:v>
      </x:c>
      <x:c r="O15" s="60" t="n">
        <x:v>440</x:v>
      </x:c>
      <x:c r="P15" s="60" t="n">
        <x:v>8742</x:v>
      </x:c>
    </x:row>
  </x:sheetData>
  <x:conditionalFormatting sqref="H5:H15">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10323ffeb44d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RUN-TRF-034-20260829T234545753079Z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RUN-TRF-034-20260829T234545753079Z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RUN-TRF-034-20260829T234545753079Z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RUN-TRF-034-20260829T234545753079Z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RUN-TRF-034-20260829T234545753079Z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RUN-TRF-034-20260829T234545753079Z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RUN-TRF-034-20260829T234545753079Z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RUN-TRF-034-20260829T234545753079Z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RUN-TRF-034-20260829T234545753079Z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RUN-TRF-034-20260829T234545753079Z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RUN-TRF-034-20260829T234545753079Z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RUN-TRF-034-20260829T234545753079Z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RUN-TRF-034-20260829T234545753079Z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RUN-TRF-034-20260829T234545753079Z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9c31ffa190744e5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RUN-TRF-034-20260829T234545753079Z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RUN-TRF-034-20260829T234545753079Z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RUN-TRF-034-20260829T234545753079Z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2d3a6bc33584f1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RUN-TRF-034-20260829T234545753079Z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RUN-TRF-034-20260829T234545753079Z</x:v>
      </x:c>
      <x:c r="B5" s="45" t="str">
        <x:v>TRF-034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5" s="46" t="str"/>
      <x:c r="P5" s="46" t="str"/>
      <x:c r="Q5" s="46" t="str"/>
    </x:row>
    <x:row r="6">
      <x:c r="A6" s="49" t="str">
        <x:v>RUN-TRF-034-20260829T234545753079Z</x:v>
      </x:c>
      <x:c r="B6" s="49" t="str">
        <x:v>TRF-034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50" t="str"/>
      <x:c r="P6" s="50" t="str"/>
      <x:c r="Q6" s="50" t="str"/>
    </x:row>
  </x:sheetData>
  <x:pageMargins left="0.7" right="0.7" top="0.75" bottom="0.75" header="0.3" footer="0.3"/>
  <x:tableParts count="1">
    <x:tablePart xmlns:r="http://schemas.openxmlformats.org/officeDocument/2006/relationships" r:id="R96ca8074e3d7405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RUN-TRF-034-20260829T234545753079Z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RUN-TRF-034-20260829T234545753079Z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RUN-TRF-034-20260829T234545753079Z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RUN-TRF-034-20260829T234545753079Z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RUN-TRF-034-20260829T234545753079Z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RUN-TRF-034-20260829T234545753079Z</x:v>
      </x:c>
      <x:c r="B8" s="47" t="str">
        <x:v>TRF-034</x:v>
      </x:c>
      <x:c r="C8" s="59" t="n">
        <x:v>1</x:v>
      </x:c>
      <x:c r="D8" s="47" t="str">
        <x:v>generator_raw_response</x:v>
      </x:c>
      <x:c r="E8" s="48" t="str">
        <x:v>artifacts/attempt_01/generator_raw.txt</x:v>
      </x:c>
      <x:c r="F8" s="47" t="str">
        <x:v>8fb5721a74f27c805a33416ee3dc0d8a13f300e4b0659af16d5ce2862d82a20e</x:v>
      </x:c>
      <x:c r="G8" s="59" t="n">
        <x:v>2523</x:v>
      </x:c>
    </x:row>
    <x:row r="9">
      <x:c r="A9" s="47" t="str">
        <x:v>RUN-TRF-034-20260829T234545753079Z</x:v>
      </x:c>
      <x:c r="B9" s="47" t="str">
        <x:v>TRF-034</x:v>
      </x:c>
      <x:c r="C9" s="59" t="n">
        <x:v>1</x:v>
      </x:c>
      <x:c r="D9" s="47" t="str">
        <x:v>syntax_repair_prompt</x:v>
      </x:c>
      <x:c r="E9" s="48" t="str">
        <x:v>artifacts/attempt_01/syntax_repair_prompt_01.txt</x:v>
      </x:c>
      <x:c r="F9" s="47" t="str">
        <x:v>25e4367316c88cd23752dadf6c47ab899ddc46e3d196cd0bb790e7e5c1b6b5ce</x:v>
      </x:c>
      <x:c r="G9" s="59" t="n">
        <x:v>3751</x:v>
      </x:c>
    </x:row>
    <x:row r="10">
      <x:c r="A10" s="47" t="str">
        <x:v>RUN-TRF-034-20260829T234545753079Z</x:v>
      </x:c>
      <x:c r="B10" s="47" t="str">
        <x:v>TRF-034</x:v>
      </x:c>
      <x:c r="C10" s="59" t="n">
        <x:v>1</x:v>
      </x:c>
      <x:c r="D10" s="47" t="str">
        <x:v>syntax_repair_raw_response</x:v>
      </x:c>
      <x:c r="E10" s="48" t="str">
        <x:v>artifacts/attempt_01/syntax_repair_raw_01.txt</x:v>
      </x:c>
      <x:c r="F10" s="47" t="str">
        <x:v>bf1feb224902ec06161d5a22e82dbf8726cb46f56abf307fbc3f94fcd5f1e2fb</x:v>
      </x:c>
      <x:c r="G10" s="59" t="n">
        <x:v>2523</x:v>
      </x:c>
    </x:row>
    <x:row r="11">
      <x:c r="A11" s="47" t="str">
        <x:v>RUN-TRF-034-20260829T234545753079Z</x:v>
      </x:c>
      <x:c r="B11" s="47" t="str">
        <x:v>TRF-034</x:v>
      </x:c>
      <x:c r="C11" s="59" t="n">
        <x:v>1</x:v>
      </x:c>
      <x:c r="D11" s="47" t="str">
        <x:v>candidate_shape</x:v>
      </x:c>
      <x:c r="E11" s="48" t="str">
        <x:v>artifacts/attempt_01/candidate_shape.ttl</x:v>
      </x:c>
      <x:c r="F11" s="47" t="str">
        <x:v>69dd987509b27ef5f19a011b4153054381423dd270252cb7d9cbee5b4086a46e</x:v>
      </x:c>
      <x:c r="G11" s="59" t="n">
        <x:v>2498</x:v>
      </x:c>
    </x:row>
    <x:row r="12">
      <x:c r="A12" s="47" t="str">
        <x:v>RUN-TRF-034-20260829T234545753079Z</x:v>
      </x:c>
      <x:c r="B12" s="47" t="str">
        <x:v>TRF-034</x:v>
      </x:c>
      <x:c r="C12" s="59" t="n">
        <x:v>1</x:v>
      </x:c>
      <x:c r="D12" s="47" t="str">
        <x:v>deterministic_validation</x:v>
      </x:c>
      <x:c r="E12" s="48" t="str">
        <x:v>artifacts/attempt_01/deterministic_validation.json</x:v>
      </x:c>
      <x:c r="F12" s="47" t="str">
        <x:v>98334987a5fa8bb7a1376aa1f3b424045a5780a795d6707d8488cbdc66337618</x:v>
      </x:c>
      <x:c r="G12" s="59" t="n">
        <x:v>865</x:v>
      </x:c>
    </x:row>
    <x:row r="13">
      <x:c r="A13" s="47" t="str">
        <x:v>RUN-TRF-034-20260829T234545753079Z</x:v>
      </x:c>
      <x:c r="B13" s="47" t="str">
        <x:v>TRF-034</x:v>
      </x:c>
      <x:c r="C13" s="59" t="n">
        <x:v>1</x:v>
      </x:c>
      <x:c r="D13" s="47" t="str">
        <x:v>validator_prompt</x:v>
      </x:c>
      <x:c r="E13" s="48" t="str">
        <x:v>artifacts/attempt_01/validator_prompt_01.txt</x:v>
      </x:c>
      <x:c r="F13" s="47" t="str">
        <x:v>f6edd126b3f92289ba16bb7aae5a44752a65cc756750173906cc76bbc7961c4a</x:v>
      </x:c>
      <x:c r="G13" s="59" t="n">
        <x:v>32617</x:v>
      </x:c>
    </x:row>
    <x:row r="14">
      <x:c r="A14" s="47" t="str">
        <x:v>RUN-TRF-034-20260829T234545753079Z</x:v>
      </x:c>
      <x:c r="B14" s="47" t="str">
        <x:v>TRF-034</x:v>
      </x:c>
      <x:c r="C14" s="59" t="n">
        <x:v>1</x:v>
      </x:c>
      <x:c r="D14" s="47" t="str">
        <x:v>validator_raw_response</x:v>
      </x:c>
      <x:c r="E14" s="48" t="str">
        <x:v>artifacts/attempt_01/validator_raw_01.txt</x:v>
      </x:c>
      <x:c r="F14" s="47" t="str">
        <x:v>3c7d45dc8b3c28fefd75c3ccaf27e33701a22d6e39e55ddd6f6102365e97d95f</x:v>
      </x:c>
      <x:c r="G14" s="59" t="n">
        <x:v>770</x:v>
      </x:c>
    </x:row>
    <x:row r="15">
      <x:c r="A15" s="47" t="str">
        <x:v>RUN-TRF-034-20260829T234545753079Z</x:v>
      </x:c>
      <x:c r="B15" s="47" t="str">
        <x:v>TRF-034</x:v>
      </x:c>
      <x:c r="C15" s="59" t="n">
        <x:v>2</x:v>
      </x:c>
      <x:c r="D15" s="47" t="str">
        <x:v>generator_prompt</x:v>
      </x:c>
      <x:c r="E15" s="48" t="str">
        <x:v>artifacts/attempt_02/generator_prompt.txt</x:v>
      </x:c>
      <x:c r="F15" s="47" t="str">
        <x:v>237a23fdf67f2a2a19971ab1ce616ad79aaab81608b938e7147285ae155b4b7c</x:v>
      </x:c>
      <x:c r="G15" s="59" t="n">
        <x:v>38712</x:v>
      </x:c>
    </x:row>
    <x:row r="16">
      <x:c r="A16" s="47" t="str">
        <x:v>RUN-TRF-034-20260829T234545753079Z</x:v>
      </x:c>
      <x:c r="B16" s="47" t="str">
        <x:v>TRF-034</x:v>
      </x:c>
      <x:c r="C16" s="59" t="n">
        <x:v>2</x:v>
      </x:c>
      <x:c r="D16" s="47" t="str">
        <x:v>generator_raw_response</x:v>
      </x:c>
      <x:c r="E16" s="48" t="str">
        <x:v>artifacts/attempt_02/generator_raw.txt</x:v>
      </x:c>
      <x:c r="F16" s="47" t="str">
        <x:v>cc718bd01bc1076dfadd85bc0cd18d8a792a5eaf34d7e8e9a2f209aa1cc3af20</x:v>
      </x:c>
      <x:c r="G16" s="59" t="n">
        <x:v>3458</x:v>
      </x:c>
    </x:row>
    <x:row r="17">
      <x:c r="A17" s="47" t="str">
        <x:v>RUN-TRF-034-20260829T234545753079Z</x:v>
      </x:c>
      <x:c r="B17" s="47" t="str">
        <x:v>TRF-034</x:v>
      </x:c>
      <x:c r="C17" s="59" t="n">
        <x:v>2</x:v>
      </x:c>
      <x:c r="D17" s="47" t="str">
        <x:v>candidate_shape</x:v>
      </x:c>
      <x:c r="E17" s="48" t="str">
        <x:v>artifacts/attempt_02/candidate_shape.ttl</x:v>
      </x:c>
      <x:c r="F17" s="47" t="str">
        <x:v>b3025c0abc62b850a2ad70927bd49eeac304b27451230085aa6023b7c13e3667</x:v>
      </x:c>
      <x:c r="G17" s="59" t="n">
        <x:v>3433</x:v>
      </x:c>
    </x:row>
    <x:row r="18">
      <x:c r="A18" s="47" t="str">
        <x:v>RUN-TRF-034-20260829T234545753079Z</x:v>
      </x:c>
      <x:c r="B18" s="47" t="str">
        <x:v>TRF-034</x:v>
      </x:c>
      <x:c r="C18" s="59" t="n">
        <x:v>2</x:v>
      </x:c>
      <x:c r="D18" s="47" t="str">
        <x:v>deterministic_validation</x:v>
      </x:c>
      <x:c r="E18" s="48" t="str">
        <x:v>artifacts/attempt_02/deterministic_validation.json</x:v>
      </x:c>
      <x:c r="F18" s="47" t="str">
        <x:v>98334987a5fa8bb7a1376aa1f3b424045a5780a795d6707d8488cbdc66337618</x:v>
      </x:c>
      <x:c r="G18" s="59" t="n">
        <x:v>865</x:v>
      </x:c>
    </x:row>
    <x:row r="19">
      <x:c r="A19" s="47" t="str">
        <x:v>RUN-TRF-034-20260829T234545753079Z</x:v>
      </x:c>
      <x:c r="B19" s="47" t="str">
        <x:v>TRF-034</x:v>
      </x:c>
      <x:c r="C19" s="59" t="n">
        <x:v>2</x:v>
      </x:c>
      <x:c r="D19" s="47" t="str">
        <x:v>validator_prompt</x:v>
      </x:c>
      <x:c r="E19" s="48" t="str">
        <x:v>artifacts/attempt_02/validator_prompt_01.txt</x:v>
      </x:c>
      <x:c r="F19" s="47" t="str">
        <x:v>5ad203c0d007d35f7cf7d5a7c662c6163d5374af055cab8540215c9b30c9c92b</x:v>
      </x:c>
      <x:c r="G19" s="59" t="n">
        <x:v>34294</x:v>
      </x:c>
    </x:row>
    <x:row r="20">
      <x:c r="A20" s="47" t="str">
        <x:v>RUN-TRF-034-20260829T234545753079Z</x:v>
      </x:c>
      <x:c r="B20" s="47" t="str">
        <x:v>TRF-034</x:v>
      </x:c>
      <x:c r="C20" s="59" t="n">
        <x:v>2</x:v>
      </x:c>
      <x:c r="D20" s="47" t="str">
        <x:v>validator_raw_response</x:v>
      </x:c>
      <x:c r="E20" s="48" t="str">
        <x:v>artifacts/attempt_02/validator_raw_01.txt</x:v>
      </x:c>
      <x:c r="F20" s="47" t="str">
        <x:v>33b9414f6611d2ab61220b43ee652ac69aa506450cf8a51b7888fec00daa91b3</x:v>
      </x:c>
      <x:c r="G20" s="59" t="n">
        <x:v>434</x:v>
      </x:c>
    </x:row>
    <x:row r="21">
      <x:c r="A21" s="49" t="str">
        <x:v>RUN-TRF-034-20260829T234545753079Z</x:v>
      </x:c>
      <x:c r="B21" s="49" t="str">
        <x:v>TRF-034</x:v>
      </x:c>
      <x:c r="C21" s="60" t="n">
        <x:v>2</x:v>
      </x:c>
      <x:c r="D21" s="49" t="str">
        <x:v>final_accepted_shape</x:v>
      </x:c>
      <x:c r="E21" s="50" t="str">
        <x:v>final/final_shape.ttl</x:v>
      </x:c>
      <x:c r="F21" s="49" t="str">
        <x:v>b3025c0abc62b850a2ad70927bd49eeac304b27451230085aa6023b7c13e3667</x:v>
      </x:c>
      <x:c r="G21" s="60" t="n">
        <x:v>3433</x:v>
      </x:c>
    </x:row>
  </x:sheetData>
  <x:pageMargins left="0.7" right="0.7" top="0.75" bottom="0.75" header="0.3" footer="0.3"/>
  <x:tableParts count="1">
    <x:tablePart xmlns:r="http://schemas.openxmlformats.org/officeDocument/2006/relationships" r:id="Rc51c253bb10f447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RUN-TRF-034-20260829T234545753079Z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RUN-TRF-034-20260829T234545753079Z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RUN-TRF-034-20260829T234545753079Z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6bc7e4339144792"/>
  </x:tableParts>
</x:worksheet>
</file>