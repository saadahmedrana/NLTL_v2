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0351a50374d4c65" /></Relationships>
</file>

<file path=xl/workbook.xml><?xml version="1.0" encoding="utf-8"?>
<x:workbook xmlns:x="http://schemas.openxmlformats.org/spreadsheetml/2006/main">
  <x:sheets>
    <x:sheet xmlns:r="http://schemas.openxmlformats.org/officeDocument/2006/relationships" name="SUMMARY" sheetId="1" r:id="R50f331721d1148d3"/>
    <x:sheet xmlns:r="http://schemas.openxmlformats.org/officeDocument/2006/relationships" name="README" sheetId="2" r:id="R513584117acc4d9e"/>
    <x:sheet xmlns:r="http://schemas.openxmlformats.org/officeDocument/2006/relationships" name="REGULATION_QUEUE" sheetId="3" r:id="R67f22a16ee8d4148"/>
    <x:sheet xmlns:r="http://schemas.openxmlformats.org/officeDocument/2006/relationships" name="RUNS" sheetId="4" r:id="R2e26891082f14477"/>
    <x:sheet xmlns:r="http://schemas.openxmlformats.org/officeDocument/2006/relationships" name="ITERATIONS" sheetId="5" r:id="R7af8dbff335245ef"/>
    <x:sheet xmlns:r="http://schemas.openxmlformats.org/officeDocument/2006/relationships" name="API_CALLS" sheetId="6" r:id="R551b8107e45f4563"/>
    <x:sheet xmlns:r="http://schemas.openxmlformats.org/officeDocument/2006/relationships" name="TERM_RETRIEVAL" sheetId="7" r:id="Rcc17d549795b4167"/>
    <x:sheet xmlns:r="http://schemas.openxmlformats.org/officeDocument/2006/relationships" name="FEW_SHOT_SELECTION" sheetId="8" r:id="R26bc9a4a8a394fbb"/>
    <x:sheet xmlns:r="http://schemas.openxmlformats.org/officeDocument/2006/relationships" name="VALIDATION" sheetId="9" r:id="R4ad2c7bbd2474681"/>
    <x:sheet xmlns:r="http://schemas.openxmlformats.org/officeDocument/2006/relationships" name="VOCAB_MATCHES" sheetId="10" r:id="R62cb35d7698a4262"/>
    <x:sheet xmlns:r="http://schemas.openxmlformats.org/officeDocument/2006/relationships" name="ARTIFACTS" sheetId="11" r:id="R75ae77b82a6e4581"/>
    <x:sheet xmlns:r="http://schemas.openxmlformats.org/officeDocument/2006/relationships" name="UNRESOLVED" sheetId="12" r:id="Re03a5ff57d1443c9"/>
    <x:sheet xmlns:r="http://schemas.openxmlformats.org/officeDocument/2006/relationships" name="RDF_TEST_QUEUE" sheetId="13" r:id="R7a896caf5367431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07691c96fc4fbd" /><Relationship Type="http://schemas.openxmlformats.org/officeDocument/2006/relationships/theme" Target="/xl/theme/theme1.xml" Id="R02cbc8e7e5b94390" /><Relationship Type="http://schemas.microsoft.com/office/2022/11/relationships/FeaturePropertyBag" Target="/xl/featurePropertyBag/featurePropertyBag.xml" Id="R852bb30bf9e044be" /><Relationship Type="http://schemas.openxmlformats.org/officeDocument/2006/relationships/sharedStrings" Target="/xl/sharedStrings.xml" Id="R7b23ee1810fa4e60" /><Relationship Type="http://schemas.openxmlformats.org/officeDocument/2006/relationships/worksheet" Target="/xl/worksheets/sheet1.xml" Id="R50f331721d1148d3" /><Relationship Type="http://schemas.openxmlformats.org/officeDocument/2006/relationships/worksheet" Target="/xl/worksheets/sheet2.xml" Id="R513584117acc4d9e" /><Relationship Type="http://schemas.openxmlformats.org/officeDocument/2006/relationships/worksheet" Target="/xl/worksheets/sheet3.xml" Id="R67f22a16ee8d4148" /><Relationship Type="http://schemas.openxmlformats.org/officeDocument/2006/relationships/worksheet" Target="/xl/worksheets/sheet4.xml" Id="R2e26891082f14477" /><Relationship Type="http://schemas.openxmlformats.org/officeDocument/2006/relationships/worksheet" Target="/xl/worksheets/sheet5.xml" Id="R7af8dbff335245ef" /><Relationship Type="http://schemas.openxmlformats.org/officeDocument/2006/relationships/worksheet" Target="/xl/worksheets/sheet6.xml" Id="R551b8107e45f4563" /><Relationship Type="http://schemas.openxmlformats.org/officeDocument/2006/relationships/worksheet" Target="/xl/worksheets/sheet7.xml" Id="Rcc17d549795b4167" /><Relationship Type="http://schemas.openxmlformats.org/officeDocument/2006/relationships/worksheet" Target="/xl/worksheets/sheet8.xml" Id="R26bc9a4a8a394fbb" /><Relationship Type="http://schemas.openxmlformats.org/officeDocument/2006/relationships/worksheet" Target="/xl/worksheets/sheet9.xml" Id="R4ad2c7bbd2474681" /><Relationship Type="http://schemas.openxmlformats.org/officeDocument/2006/relationships/worksheet" Target="/xl/worksheets/sheet10.xml" Id="R62cb35d7698a4262" /><Relationship Type="http://schemas.openxmlformats.org/officeDocument/2006/relationships/worksheet" Target="/xl/worksheets/sheet11.xml" Id="R75ae77b82a6e4581" /><Relationship Type="http://schemas.openxmlformats.org/officeDocument/2006/relationships/worksheet" Target="/xl/worksheets/sheet12.xml" Id="Re03a5ff57d1443c9" /><Relationship Type="http://schemas.openxmlformats.org/officeDocument/2006/relationships/worksheet" Target="/xl/worksheets/sheet13.xml" Id="R7a896caf5367431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09c5d666421466c" /></Relationships>
</file>

<file path=xl/worksheets/_rels/sheet3.xml.rels>&#65279;<?xml version="1.0" encoding="utf-8"?><Relationships xmlns="http://schemas.openxmlformats.org/package/2006/relationships"><Relationship Type="http://schemas.openxmlformats.org/officeDocument/2006/relationships/table" Target="/xl/tables/table2.xml" Id="R7eee64803a3d4436" /></Relationships>
</file>

<file path=xl/worksheets/_rels/sheet4.xml.rels>&#65279;<?xml version="1.0" encoding="utf-8"?><Relationships xmlns="http://schemas.openxmlformats.org/package/2006/relationships"><Relationship Type="http://schemas.openxmlformats.org/officeDocument/2006/relationships/table" Target="/xl/tables/table3.xml" Id="Rfba6d07e9bd94127" /></Relationships>
</file>

<file path=xl/worksheets/_rels/sheet5.xml.rels>&#65279;<?xml version="1.0" encoding="utf-8"?><Relationships xmlns="http://schemas.openxmlformats.org/package/2006/relationships"><Relationship Type="http://schemas.openxmlformats.org/officeDocument/2006/relationships/table" Target="/xl/tables/table4.xml" Id="R1dd8d3c1dc974a4e" /></Relationships>
</file>

<file path=xl/worksheets/_rels/sheet6.xml.rels>&#65279;<?xml version="1.0" encoding="utf-8"?><Relationships xmlns="http://schemas.openxmlformats.org/package/2006/relationships"><Relationship Type="http://schemas.openxmlformats.org/officeDocument/2006/relationships/table" Target="/xl/tables/table5.xml" Id="Rde1843e1b2674e87" /></Relationships>
</file>

<file path=xl/worksheets/_rels/sheet7.xml.rels>&#65279;<?xml version="1.0" encoding="utf-8"?><Relationships xmlns="http://schemas.openxmlformats.org/package/2006/relationships"><Relationship Type="http://schemas.openxmlformats.org/officeDocument/2006/relationships/table" Target="/xl/tables/table6.xml" Id="R85847e668f324da8" /></Relationships>
</file>

<file path=xl/worksheets/_rels/sheet8.xml.rels>&#65279;<?xml version="1.0" encoding="utf-8"?><Relationships xmlns="http://schemas.openxmlformats.org/package/2006/relationships"><Relationship Type="http://schemas.openxmlformats.org/officeDocument/2006/relationships/table" Target="/xl/tables/table7.xml" Id="Ra69f5d42c28a4f64" /></Relationships>
</file>

<file path=xl/worksheets/_rels/sheet9.xml.rels>&#65279;<?xml version="1.0" encoding="utf-8"?><Relationships xmlns="http://schemas.openxmlformats.org/package/2006/relationships"><Relationship Type="http://schemas.openxmlformats.org/officeDocument/2006/relationships/table" Target="/xl/tables/table8.xml" Id="R4a43976ac1624d8e" /></Relationships>
</file>

<file path=xl/worksheets/_rels/sheet10.xml.rels>&#65279;<?xml version="1.0" encoding="utf-8"?><Relationships xmlns="http://schemas.openxmlformats.org/package/2006/relationships"><Relationship Type="http://schemas.openxmlformats.org/officeDocument/2006/relationships/table" Target="/xl/tables/table9.xml" Id="R29f3dcea2100483d" /></Relationships>
</file>

<file path=xl/worksheets/_rels/sheet11.xml.rels>&#65279;<?xml version="1.0" encoding="utf-8"?><Relationships xmlns="http://schemas.openxmlformats.org/package/2006/relationships"><Relationship Type="http://schemas.openxmlformats.org/officeDocument/2006/relationships/table" Target="/xl/tables/table10.xml" Id="R9c8e309e406046c3" /></Relationships>
</file>

<file path=xl/worksheets/_rels/sheet12.xml.rels>&#65279;<?xml version="1.0" encoding="utf-8"?><Relationships xmlns="http://schemas.openxmlformats.org/package/2006/relationships"><Relationship Type="http://schemas.openxmlformats.org/officeDocument/2006/relationships/table" Target="/xl/tables/table11.xml" Id="R55247730f0cc406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RUN-TRF-088-20260830T010020660289Z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COUNTA('API_CALLS'!$A$5:$A$26)</x:f>
        <x:v>22</x:v>
      </x:c>
      <x:c r="C9" s="21"/>
      <x:c r="D9" s="21"/>
    </x:row>
    <x:row r="10">
      <x:c r="A10" s="27" t="str">
        <x:v>Mean API/LLM elapsed ms</x:v>
      </x:c>
      <x:c r="B10" s="28" t="n">
        <x:f>IFERROR(AVERAGE('API_CALLS'!$K$5:$K$26),0)</x:f>
        <x:v>18388.915818181817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RUN-TRF-088-20260830T010020660289Z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09c5d666421466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RUN-TRF-088-20260830T010020660289Z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MAX_ATTEMPTS_REACHED</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eee64803a3d443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RUN-TRF-088-20260830T010020660289Z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RUN-TRF-088-20260830T010020660289Z</x:v>
      </x:c>
      <x:c r="C5" s="69" t="str">
        <x:v>TRF-088</x:v>
      </x:c>
      <x:c r="D5" s="70" t="n">
        <x:v>46264.041905798615</x:v>
      </x:c>
      <x:c r="E5" s="70" t="n">
        <x:v>46264.044275486114</x:v>
      </x:c>
      <x:c r="F5" s="69" t="str">
        <x:v>final-luna-main-run06</x:v>
      </x:c>
      <x:c r="G5" s="69" t="str">
        <x:v>VOCAB-LOCK-2026-08-22-R13</x:v>
      </x:c>
      <x:c r="H5" s="71" t="n">
        <x:v>4</x:v>
      </x:c>
      <x:c r="I5" s="69" t="str">
        <x:v>MAX_ATTEMPTS_REACHED</x:v>
      </x:c>
      <x:c r="J5" s="72" t="b">
        <x:v>0</x:v>
      </x:c>
      <x:c r="K5" s="69" t="str"/>
      <x:c r="L5" s="73" t="str">
        <x:v>Preserve the prior table-selection/result binding, explicit unknown applicability branch, lookup evidence, and non-vocabulary generated-shape repair. The current SPARQL still places qudt:numericValue on nltl:traficomTable6Dash10, a tableReferenceValue whose authoritative requiredOwner is ship, rather than using the declared owner or an approved canonical cross-owner path. Locate the missing canonical table-selection/result path or term, then replace this global controlled-individual lookup with a bounded DIRECT_STATIC constraint that binds the ship's maximumEngineTorque quantity (including its kN*m unit) by explicit equality to the value selected through the Table 6-10 lookup case and tableReference, while retaining tableLookupApplied=true and lookupSelectionEvidence. Do not invent a new nltl term or relocate the tableReferenceValue property to a convenient node.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ba6d07e9bd9412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RUN-TRF-088-20260830T010020660289Z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RUN-TRF-088-20260830T010020660289Z</x:v>
      </x:c>
      <x:c r="B5" s="45" t="str">
        <x:v>TRF-088</x:v>
      </x:c>
      <x:c r="C5" s="58" t="n">
        <x:v>1</x:v>
      </x:c>
      <x:c r="D5" s="83" t="b">
        <x:v>1</x:v>
      </x:c>
      <x:c r="E5" s="83" t="b">
        <x:v>0</x:v>
      </x:c>
      <x:c r="F5" s="83" t="b">
        <x:v>0</x:v>
      </x:c>
      <x:c r="G5" s="45" t="str">
        <x:v>REVISE</x:v>
      </x:c>
      <x:c r="H5" s="46" t="str">
        <x:v>The unknown branch does not faithfully enforce that maximumEngineTorque is accorded the value given in Table 6-10: it only requires an arbitrary torque quantity alongside a present lookup case, with no constraint linking the quantity to the selected table value or lookup result. Add a bounded direct-static table-selection/result constraint that binds the ship's maximumEngineTorque quantity to the Table 6-10 lookup outcome, while retaining the explicit unknown branch and required lookup evidence.</x:v>
      </x:c>
      <x:c r="I5" s="84" t="n">
        <x:v>24362.241</x:v>
      </x:c>
      <x:c r="J5" s="84" t="n">
        <x:v>15639.779</x:v>
      </x:c>
    </x:row>
    <x:row r="6">
      <x:c r="A6" s="47" t="str">
        <x:v>RUN-TRF-088-20260830T010020660289Z</x:v>
      </x:c>
      <x:c r="B6" s="47" t="str">
        <x:v>TRF-088</x:v>
      </x:c>
      <x:c r="C6" s="59" t="n">
        <x:v>2</x:v>
      </x:c>
      <x:c r="D6" s="85" t="b">
        <x:v>0</x:v>
      </x:c>
      <x:c r="E6" s="85" t="b">
        <x:v>0</x:v>
      </x:c>
      <x:c r="F6" s="85" t="b">
        <x:v>0</x:v>
      </x:c>
      <x:c r="G6" s="47" t="str">
        <x:v>REVISE_STATIC_GATE</x:v>
      </x:c>
      <x:c r="H6" s="48" t="str">
        <x:v>Deterministic validation prevents acceptance. Fix: Unknown canonical benchmark IRI(s): https://w3id.org/nltl/vocab#TRF088ShipShape, https://w3id.org/nltl/vocab#TRF088TableLookupCaseShape, https://w3id.org/nltl/vocab#TRF088TorqueQuantityShape
Semantic validator feedback: Preserve the prior instruction: the unknown branch must bind maximumEngineTorque to the value selected from Table 6-10, not merely require an arbitrary torque quantity and a lookup case. Add a bounded DIRECT_STATIC table-selection/result constraint using the supplied canonical lookup model, while retaining the unknown applicability branch and lookup evidence. Also remove the three unknown canonical shape IRIs (TRF088ShipShape, TRF088TableLookupCaseShape, and TRF088TorqueQuantityShape) by using blank node shapes or a non-vocabulary shape namespace; do not introduce new nltl vocabulary terms. The candidate remains deterministically invalid until these vocabulary and semantic defects are repaired.</x:v>
      </x:c>
      <x:c r="I6" s="86" t="n">
        <x:v>26208.079</x:v>
      </x:c>
      <x:c r="J6" s="86" t="n">
        <x:v>8338.286</x:v>
      </x:c>
    </x:row>
    <x:row r="7">
      <x:c r="A7" s="47" t="str">
        <x:v>RUN-TRF-088-20260830T010020660289Z</x:v>
      </x:c>
      <x:c r="B7" s="47" t="str">
        <x:v>TRF-088</x:v>
      </x:c>
      <x:c r="C7" s="59" t="n">
        <x:v>3</x:v>
      </x:c>
      <x:c r="D7" s="85" t="b">
        <x:v>1</x:v>
      </x:c>
      <x:c r="E7" s="85" t="b">
        <x:v>0</x:v>
      </x:c>
      <x:c r="F7" s="85" t="b">
        <x:v>0</x:v>
      </x:c>
      <x:c r="G7" s="47" t="str">
        <x:v>REVISE</x:v>
      </x:c>
      <x:c r="H7" s="48" t="str">
        <x:v>Do not freeze this candidate. Preserve the prior table-selection/result binding and non-vocabulary generated-shape repair. The candidate still places qudt:numericValue and qudt:unit constraints on the tableReferenceValue node, although the supplied authoritative requiredOwner for tableReferenceValue is ship; relocate those constraints to the declared owner or use the required canonical cross-owner path without relocating the property. Ensure the direct-static constraint binds ship maximumEngineTorque to the selected Table 6-10 result with an explicit equality comparison, while retaining the unknown applicability branch, tableLookupApplied=true, tableReference, and lookupSelectionEvidence requirements.</x:v>
      </x:c>
      <x:c r="I7" s="86" t="n">
        <x:v>32061.101</x:v>
      </x:c>
      <x:c r="J7" s="86" t="n">
        <x:v>7783.121</x:v>
      </x:c>
    </x:row>
    <x:row r="8">
      <x:c r="A8" s="49" t="str">
        <x:v>RUN-TRF-088-20260830T010020660289Z</x:v>
      </x:c>
      <x:c r="B8" s="49" t="str">
        <x:v>TRF-088</x:v>
      </x:c>
      <x:c r="C8" s="60" t="n">
        <x:v>4</x:v>
      </x:c>
      <x:c r="D8" s="87" t="b">
        <x:v>1</x:v>
      </x:c>
      <x:c r="E8" s="87" t="b">
        <x:v>0</x:v>
      </x:c>
      <x:c r="F8" s="87" t="b">
        <x:v>1</x:v>
      </x:c>
      <x:c r="G8" s="49" t="str">
        <x:v>REVISE_WITH_MATCH</x:v>
      </x:c>
      <x:c r="H8" s="50" t="str">
        <x:v>Preserve the prior table-selection/result binding, explicit unknown applicability branch, lookup evidence, and non-vocabulary generated-shape repair. The current SPARQL still places qudt:numericValue on nltl:traficomTable6Dash10, a tableReferenceValue whose authoritative requiredOwner is ship, rather than using the declared owner or an approved canonical cross-owner path. Locate the missing canonical table-selection/result path or term, then replace this global controlled-individual lookup with a bounded DIRECT_STATIC constraint that binds the ship's maximumEngineTorque quantity (including its kN*m unit) by explicit equality to the value selected through the Table 6-10 lookup case and tableReference, while retaining tableLookupApplied=true and lookupSelectionEvidence. Do not invent a new nltl term or relocate the tableReferenceValue property to a convenient node.</x:v>
      </x:c>
      <x:c r="I8" s="88" t="n">
        <x:v>37423.209</x:v>
      </x:c>
      <x:c r="J8" s="88" t="n">
        <x:v>13019.338</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dd8d3c1dc974a4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RUN-TRF-088-20260830T010020660289Z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RUN-TRF-088-20260830T010020660289Z</x:v>
      </x:c>
      <x:c r="C5" s="45" t="str">
        <x:v>TRF-088</x:v>
      </x:c>
      <x:c r="D5" s="92" t="n">
        <x:v>46264.04218777778</x:v>
      </x:c>
      <x:c r="E5" s="45" t="str">
        <x:v>generator</x:v>
      </x:c>
      <x:c r="F5" s="45" t="str">
        <x:v>gpt-5.6-luna-2026-07-09</x:v>
      </x:c>
      <x:c r="G5" s="45" t="n">
        <x:v>1</x:v>
      </x:c>
      <x:c r="H5" s="45" t="n">
        <x:v>200</x:v>
      </x:c>
      <x:c r="I5" s="45" t="str">
        <x:v>Ocp-Apim-Subscription-Key</x:v>
      </x:c>
      <x:c r="J5" s="84" t="n">
        <x:v>0</x:v>
      </x:c>
      <x:c r="K5" s="84" t="n">
        <x:v>24360.626</x:v>
      </x:c>
      <x:c r="L5" s="83" t="b">
        <x:v>0</x:v>
      </x:c>
      <x:c r="M5" s="45" t="str"/>
      <x:c r="N5" s="58" t="str"/>
      <x:c r="O5" s="58" t="str"/>
      <x:c r="P5" s="58" t="str"/>
    </x:row>
    <x:row r="6">
      <x:c r="A6" s="47" t="str">
        <x:v>EVT-000033</x:v>
      </x:c>
      <x:c r="B6" s="47" t="str">
        <x:v>RUN-TRF-088-20260830T010020660289Z</x:v>
      </x:c>
      <x:c r="C6" s="47" t="str">
        <x:v>TRF-088</x:v>
      </x:c>
      <x:c r="D6" s="93" t="n">
        <x:v>46264.04218780093</x:v>
      </x:c>
      <x:c r="E6" s="47" t="str">
        <x:v>generator</x:v>
      </x:c>
      <x:c r="F6" s="47" t="str">
        <x:v>gpt-5.6-luna-2026-07-09</x:v>
      </x:c>
      <x:c r="G6" s="47" t="n">
        <x:v>1</x:v>
      </x:c>
      <x:c r="H6" s="47" t="str">
        <x:v>COMPLETED</x:v>
      </x:c>
      <x:c r="I6" s="47" t="str"/>
      <x:c r="J6" s="86" t="n">
        <x:v>0</x:v>
      </x:c>
      <x:c r="K6" s="86" t="n">
        <x:v>24362.241</x:v>
      </x:c>
      <x:c r="L6" s="85" t="b">
        <x:v>0</x:v>
      </x:c>
      <x:c r="M6" s="47" t="str">
        <x:v>resp_07f4a8695355b4bc006a9380a4f8048197a98c2c54f188ac2d</x:v>
      </x:c>
      <x:c r="N6" s="59" t="n">
        <x:v>10644</x:v>
      </x:c>
      <x:c r="O6" s="59" t="n">
        <x:v>2264</x:v>
      </x:c>
      <x:c r="P6" s="59" t="n">
        <x:v>12908</x:v>
      </x:c>
    </x:row>
    <x:row r="7">
      <x:c r="A7" s="47" t="str">
        <x:v>EVT-000040</x:v>
      </x:c>
      <x:c r="B7" s="47" t="str">
        <x:v>RUN-TRF-088-20260830T010020660289Z</x:v>
      </x:c>
      <x:c r="C7" s="47" t="str">
        <x:v>TRF-088</x:v>
      </x:c>
      <x:c r="D7" s="93" t="n">
        <x:v>46264.04237030093</x:v>
      </x:c>
      <x:c r="E7" s="47" t="str">
        <x:v>validator</x:v>
      </x:c>
      <x:c r="F7" s="47" t="str">
        <x:v>gpt-5.6-luna-2026-07-09</x:v>
      </x:c>
      <x:c r="G7" s="47" t="n">
        <x:v>1</x:v>
      </x:c>
      <x:c r="H7" s="47" t="n">
        <x:v>200</x:v>
      </x:c>
      <x:c r="I7" s="47" t="str">
        <x:v>Ocp-Apim-Subscription-Key</x:v>
      </x:c>
      <x:c r="J7" s="86" t="n">
        <x:v>0</x:v>
      </x:c>
      <x:c r="K7" s="86" t="n">
        <x:v>15638.254</x:v>
      </x:c>
      <x:c r="L7" s="85" t="b">
        <x:v>0</x:v>
      </x:c>
      <x:c r="M7" s="47" t="str"/>
      <x:c r="N7" s="59" t="str"/>
      <x:c r="O7" s="59" t="str"/>
      <x:c r="P7" s="59" t="str"/>
    </x:row>
    <x:row r="8">
      <x:c r="A8" s="47" t="str">
        <x:v>EVT-000041</x:v>
      </x:c>
      <x:c r="B8" s="47" t="str">
        <x:v>RUN-TRF-088-20260830T010020660289Z</x:v>
      </x:c>
      <x:c r="C8" s="47" t="str">
        <x:v>TRF-088</x:v>
      </x:c>
      <x:c r="D8" s="93" t="n">
        <x:v>46264.0423703125</x:v>
      </x:c>
      <x:c r="E8" s="47" t="str">
        <x:v>validator</x:v>
      </x:c>
      <x:c r="F8" s="47" t="str">
        <x:v>gpt-5.6-luna-2026-07-09</x:v>
      </x:c>
      <x:c r="G8" s="47" t="n">
        <x:v>1</x:v>
      </x:c>
      <x:c r="H8" s="47" t="str">
        <x:v>COMPLETED</x:v>
      </x:c>
      <x:c r="I8" s="47" t="str"/>
      <x:c r="J8" s="86" t="n">
        <x:v>0</x:v>
      </x:c>
      <x:c r="K8" s="86" t="n">
        <x:v>15639.779</x:v>
      </x:c>
      <x:c r="L8" s="85" t="b">
        <x:v>0</x:v>
      </x:c>
      <x:c r="M8" s="47" t="str">
        <x:v>resp_00000ceac6842af7006a9380bd3f948197aadcf976cb960471</x:v>
      </x:c>
      <x:c r="N8" s="59" t="n">
        <x:v>10901</x:v>
      </x:c>
      <x:c r="O8" s="59" t="n">
        <x:v>1146</x:v>
      </x:c>
      <x:c r="P8" s="59" t="n">
        <x:v>12047</x:v>
      </x:c>
    </x:row>
    <x:row r="9">
      <x:c r="A9" s="47" t="str">
        <x:v>EVT-000046</x:v>
      </x:c>
      <x:c r="B9" s="47" t="str">
        <x:v>RUN-TRF-088-20260830T010020660289Z</x:v>
      </x:c>
      <x:c r="C9" s="47" t="str">
        <x:v>TRF-088</x:v>
      </x:c>
      <x:c r="D9" s="93" t="n">
        <x:v>46264.04267369213</x:v>
      </x:c>
      <x:c r="E9" s="47" t="str">
        <x:v>generator</x:v>
      </x:c>
      <x:c r="F9" s="47" t="str">
        <x:v>gpt-5.6-luna-2026-07-09</x:v>
      </x:c>
      <x:c r="G9" s="47" t="n">
        <x:v>1</x:v>
      </x:c>
      <x:c r="H9" s="47" t="n">
        <x:v>200</x:v>
      </x:c>
      <x:c r="I9" s="47" t="str">
        <x:v>Ocp-Apim-Subscription-Key</x:v>
      </x:c>
      <x:c r="J9" s="86" t="n">
        <x:v>0</x:v>
      </x:c>
      <x:c r="K9" s="86" t="n">
        <x:v>26206.807</x:v>
      </x:c>
      <x:c r="L9" s="85" t="b">
        <x:v>0</x:v>
      </x:c>
      <x:c r="M9" s="47" t="str"/>
      <x:c r="N9" s="59" t="str"/>
      <x:c r="O9" s="59" t="str"/>
      <x:c r="P9" s="59" t="str"/>
    </x:row>
    <x:row r="10">
      <x:c r="A10" s="47" t="str">
        <x:v>EVT-000047</x:v>
      </x:c>
      <x:c r="B10" s="47" t="str">
        <x:v>RUN-TRF-088-20260830T010020660289Z</x:v>
      </x:c>
      <x:c r="C10" s="47" t="str">
        <x:v>TRF-088</x:v>
      </x:c>
      <x:c r="D10" s="93" t="n">
        <x:v>46264.04267371528</x:v>
      </x:c>
      <x:c r="E10" s="47" t="str">
        <x:v>generator</x:v>
      </x:c>
      <x:c r="F10" s="47" t="str">
        <x:v>gpt-5.6-luna-2026-07-09</x:v>
      </x:c>
      <x:c r="G10" s="47" t="n">
        <x:v>1</x:v>
      </x:c>
      <x:c r="H10" s="47" t="str">
        <x:v>COMPLETED</x:v>
      </x:c>
      <x:c r="I10" s="47" t="str"/>
      <x:c r="J10" s="86" t="n">
        <x:v>0</x:v>
      </x:c>
      <x:c r="K10" s="86" t="n">
        <x:v>26208.079</x:v>
      </x:c>
      <x:c r="L10" s="85" t="b">
        <x:v>0</x:v>
      </x:c>
      <x:c r="M10" s="47" t="str">
        <x:v>resp_0552f3d96b516103006a9380cce56081939e2ded7d1a8092c5</x:v>
      </x:c>
      <x:c r="N10" s="59" t="n">
        <x:v>10735</x:v>
      </x:c>
      <x:c r="O10" s="59" t="n">
        <x:v>2570</x:v>
      </x:c>
      <x:c r="P10" s="59" t="n">
        <x:v>13305</x:v>
      </x:c>
    </x:row>
    <x:row r="11">
      <x:c r="A11" s="47" t="str">
        <x:v>EVT-000054</x:v>
      </x:c>
      <x:c r="B11" s="47" t="str">
        <x:v>RUN-TRF-088-20260830T010020660289Z</x:v>
      </x:c>
      <x:c r="C11" s="47" t="str">
        <x:v>TRF-088</x:v>
      </x:c>
      <x:c r="D11" s="93" t="n">
        <x:v>46264.04277685185</x:v>
      </x:c>
      <x:c r="E11" s="47" t="str">
        <x:v>validator</x:v>
      </x:c>
      <x:c r="F11" s="47" t="str">
        <x:v>gpt-5.6-luna-2026-07-09</x:v>
      </x:c>
      <x:c r="G11" s="47" t="n">
        <x:v>1</x:v>
      </x:c>
      <x:c r="H11" s="47" t="n">
        <x:v>200</x:v>
      </x:c>
      <x:c r="I11" s="47" t="str">
        <x:v>Ocp-Apim-Subscription-Key</x:v>
      </x:c>
      <x:c r="J11" s="86" t="n">
        <x:v>0</x:v>
      </x:c>
      <x:c r="K11" s="86" t="n">
        <x:v>8336.739</x:v>
      </x:c>
      <x:c r="L11" s="85" t="b">
        <x:v>0</x:v>
      </x:c>
      <x:c r="M11" s="47" t="str"/>
      <x:c r="N11" s="59" t="str"/>
      <x:c r="O11" s="59" t="str"/>
      <x:c r="P11" s="59" t="str"/>
    </x:row>
    <x:row r="12">
      <x:c r="A12" s="47" t="str">
        <x:v>EVT-000055</x:v>
      </x:c>
      <x:c r="B12" s="47" t="str">
        <x:v>RUN-TRF-088-20260830T010020660289Z</x:v>
      </x:c>
      <x:c r="C12" s="47" t="str">
        <x:v>TRF-088</x:v>
      </x:c>
      <x:c r="D12" s="93" t="n">
        <x:v>46264.042776875</x:v>
      </x:c>
      <x:c r="E12" s="47" t="str">
        <x:v>validator</x:v>
      </x:c>
      <x:c r="F12" s="47" t="str">
        <x:v>gpt-5.6-luna-2026-07-09</x:v>
      </x:c>
      <x:c r="G12" s="47" t="n">
        <x:v>1</x:v>
      </x:c>
      <x:c r="H12" s="47" t="str">
        <x:v>COMPLETED</x:v>
      </x:c>
      <x:c r="I12" s="47" t="str"/>
      <x:c r="J12" s="86" t="n">
        <x:v>0</x:v>
      </x:c>
      <x:c r="K12" s="86" t="n">
        <x:v>8338.286</x:v>
      </x:c>
      <x:c r="L12" s="85" t="b">
        <x:v>0</x:v>
      </x:c>
      <x:c r="M12" s="47" t="str">
        <x:v>resp_0961968f1a497530006a9380e7af8c819592c44c6b410a6246</x:v>
      </x:c>
      <x:c r="N12" s="59" t="n">
        <x:v>11511</x:v>
      </x:c>
      <x:c r="O12" s="59" t="n">
        <x:v>670</x:v>
      </x:c>
      <x:c r="P12" s="59" t="n">
        <x:v>12181</x:v>
      </x:c>
    </x:row>
    <x:row r="13">
      <x:c r="A13" s="47" t="str">
        <x:v>EVT-000060</x:v>
      </x:c>
      <x:c r="B13" s="47" t="str">
        <x:v>RUN-TRF-088-20260830T010020660289Z</x:v>
      </x:c>
      <x:c r="C13" s="47" t="str">
        <x:v>TRF-088</x:v>
      </x:c>
      <x:c r="D13" s="93" t="n">
        <x:v>46264.04314799768</x:v>
      </x:c>
      <x:c r="E13" s="47" t="str">
        <x:v>generator</x:v>
      </x:c>
      <x:c r="F13" s="47" t="str">
        <x:v>gpt-5.6-luna-2026-07-09</x:v>
      </x:c>
      <x:c r="G13" s="47" t="n">
        <x:v>1</x:v>
      </x:c>
      <x:c r="H13" s="47" t="n">
        <x:v>200</x:v>
      </x:c>
      <x:c r="I13" s="47" t="str">
        <x:v>Ocp-Apim-Subscription-Key</x:v>
      </x:c>
      <x:c r="J13" s="86" t="n">
        <x:v>0</x:v>
      </x:c>
      <x:c r="K13" s="86" t="n">
        <x:v>32059.427</x:v>
      </x:c>
      <x:c r="L13" s="85" t="b">
        <x:v>0</x:v>
      </x:c>
      <x:c r="M13" s="47" t="str"/>
      <x:c r="N13" s="59" t="str"/>
      <x:c r="O13" s="59" t="str"/>
      <x:c r="P13" s="59" t="str"/>
    </x:row>
    <x:row r="14">
      <x:c r="A14" s="47" t="str">
        <x:v>EVT-000061</x:v>
      </x:c>
      <x:c r="B14" s="47" t="str">
        <x:v>RUN-TRF-088-20260830T010020660289Z</x:v>
      </x:c>
      <x:c r="C14" s="47" t="str">
        <x:v>TRF-088</x:v>
      </x:c>
      <x:c r="D14" s="93" t="n">
        <x:v>46264.043148020835</x:v>
      </x:c>
      <x:c r="E14" s="47" t="str">
        <x:v>generator</x:v>
      </x:c>
      <x:c r="F14" s="47" t="str">
        <x:v>gpt-5.6-luna-2026-07-09</x:v>
      </x:c>
      <x:c r="G14" s="47" t="n">
        <x:v>1</x:v>
      </x:c>
      <x:c r="H14" s="47" t="str">
        <x:v>COMPLETED</x:v>
      </x:c>
      <x:c r="I14" s="47" t="str"/>
      <x:c r="J14" s="86" t="n">
        <x:v>0</x:v>
      </x:c>
      <x:c r="K14" s="86" t="n">
        <x:v>32061.101</x:v>
      </x:c>
      <x:c r="L14" s="85" t="b">
        <x:v>0</x:v>
      </x:c>
      <x:c r="M14" s="47" t="str">
        <x:v>resp_0b07937889c0617c006a9380f008148190a3b3b63c2ad3bd59</x:v>
      </x:c>
      <x:c r="N14" s="59" t="n">
        <x:v>10948</x:v>
      </x:c>
      <x:c r="O14" s="59" t="n">
        <x:v>2913</x:v>
      </x:c>
      <x:c r="P14" s="59" t="n">
        <x:v>13861</x:v>
      </x:c>
    </x:row>
    <x:row r="15">
      <x:c r="A15" s="47" t="str">
        <x:v>EVT-000066</x:v>
      </x:c>
      <x:c r="B15" s="47" t="str">
        <x:v>RUN-TRF-088-20260830T010020660289Z</x:v>
      </x:c>
      <x:c r="C15" s="47" t="str">
        <x:v>TRF-088</x:v>
      </x:c>
      <x:c r="D15" s="93" t="n">
        <x:v>46264.043273414354</x:v>
      </x:c>
      <x:c r="E15" s="47" t="str">
        <x:v>syntax_repair</x:v>
      </x:c>
      <x:c r="F15" s="47" t="str">
        <x:v>gpt-5.6-luna-2026-07-09</x:v>
      </x:c>
      <x:c r="G15" s="47" t="n">
        <x:v>1</x:v>
      </x:c>
      <x:c r="H15" s="47" t="n">
        <x:v>200</x:v>
      </x:c>
      <x:c r="I15" s="47" t="str">
        <x:v>Ocp-Apim-Subscription-Key</x:v>
      </x:c>
      <x:c r="J15" s="86" t="n">
        <x:v>0</x:v>
      </x:c>
      <x:c r="K15" s="86" t="n">
        <x:v>10827.422</x:v>
      </x:c>
      <x:c r="L15" s="85" t="b">
        <x:v>0</x:v>
      </x:c>
      <x:c r="M15" s="47" t="str"/>
      <x:c r="N15" s="59" t="str"/>
      <x:c r="O15" s="59" t="str"/>
      <x:c r="P15" s="59" t="str"/>
    </x:row>
    <x:row r="16">
      <x:c r="A16" s="47" t="str">
        <x:v>EVT-000067</x:v>
      </x:c>
      <x:c r="B16" s="47" t="str">
        <x:v>RUN-TRF-088-20260830T010020660289Z</x:v>
      </x:c>
      <x:c r="C16" s="47" t="str">
        <x:v>TRF-088</x:v>
      </x:c>
      <x:c r="D16" s="93" t="n">
        <x:v>46264.04327342592</x:v>
      </x:c>
      <x:c r="E16" s="47" t="str">
        <x:v>syntax_repair</x:v>
      </x:c>
      <x:c r="F16" s="47" t="str">
        <x:v>gpt-5.6-luna-2026-07-09</x:v>
      </x:c>
      <x:c r="G16" s="47" t="n">
        <x:v>1</x:v>
      </x:c>
      <x:c r="H16" s="47" t="str">
        <x:v>COMPLETED</x:v>
      </x:c>
      <x:c r="I16" s="47" t="str"/>
      <x:c r="J16" s="86" t="n">
        <x:v>0</x:v>
      </x:c>
      <x:c r="K16" s="86" t="n">
        <x:v>10828.891</x:v>
      </x:c>
      <x:c r="L16" s="85" t="b">
        <x:v>0</x:v>
      </x:c>
      <x:c r="M16" s="47" t="str">
        <x:v>resp_0f5bc1da4537b6cc006a9381101648819389a7f9fb0c20d91d</x:v>
      </x:c>
      <x:c r="N16" s="59" t="n">
        <x:v>1483</x:v>
      </x:c>
      <x:c r="O16" s="59" t="n">
        <x:v>1413</x:v>
      </x:c>
      <x:c r="P16" s="59" t="n">
        <x:v>2896</x:v>
      </x:c>
    </x:row>
    <x:row r="17">
      <x:c r="A17" s="47" t="str">
        <x:v>EVT-000075</x:v>
      </x:c>
      <x:c r="B17" s="47" t="str">
        <x:v>RUN-TRF-088-20260830T010020660289Z</x:v>
      </x:c>
      <x:c r="C17" s="47" t="str">
        <x:v>TRF-088</x:v>
      </x:c>
      <x:c r="D17" s="93" t="n">
        <x:v>46264.04336510417</x:v>
      </x:c>
      <x:c r="E17" s="47" t="str">
        <x:v>validator</x:v>
      </x:c>
      <x:c r="F17" s="47" t="str">
        <x:v>gpt-5.6-luna-2026-07-09</x:v>
      </x:c>
      <x:c r="G17" s="47" t="n">
        <x:v>1</x:v>
      </x:c>
      <x:c r="H17" s="47" t="n">
        <x:v>200</x:v>
      </x:c>
      <x:c r="I17" s="47" t="str">
        <x:v>Ocp-Apim-Subscription-Key</x:v>
      </x:c>
      <x:c r="J17" s="86" t="n">
        <x:v>0</x:v>
      </x:c>
      <x:c r="K17" s="86" t="n">
        <x:v>7781.665</x:v>
      </x:c>
      <x:c r="L17" s="85" t="b">
        <x:v>0</x:v>
      </x:c>
      <x:c r="M17" s="47" t="str"/>
      <x:c r="N17" s="59" t="str"/>
      <x:c r="O17" s="59" t="str"/>
      <x:c r="P17" s="59" t="str"/>
    </x:row>
    <x:row r="18">
      <x:c r="A18" s="47" t="str">
        <x:v>EVT-000076</x:v>
      </x:c>
      <x:c r="B18" s="47" t="str">
        <x:v>RUN-TRF-088-20260830T010020660289Z</x:v>
      </x:c>
      <x:c r="C18" s="47" t="str">
        <x:v>TRF-088</x:v>
      </x:c>
      <x:c r="D18" s="93" t="n">
        <x:v>46264.04336512731</x:v>
      </x:c>
      <x:c r="E18" s="47" t="str">
        <x:v>validator</x:v>
      </x:c>
      <x:c r="F18" s="47" t="str">
        <x:v>gpt-5.6-luna-2026-07-09</x:v>
      </x:c>
      <x:c r="G18" s="47" t="n">
        <x:v>1</x:v>
      </x:c>
      <x:c r="H18" s="47" t="str">
        <x:v>COMPLETED</x:v>
      </x:c>
      <x:c r="I18" s="47" t="str"/>
      <x:c r="J18" s="86" t="n">
        <x:v>0</x:v>
      </x:c>
      <x:c r="K18" s="86" t="n">
        <x:v>7783.121</x:v>
      </x:c>
      <x:c r="L18" s="85" t="b">
        <x:v>0</x:v>
      </x:c>
      <x:c r="M18" s="47" t="str">
        <x:v>resp_0f53ade44ad72149006a93811b35908194a898b7be8eebaa2e</x:v>
      </x:c>
      <x:c r="N18" s="59" t="n">
        <x:v>11284</x:v>
      </x:c>
      <x:c r="O18" s="59" t="n">
        <x:v>660</x:v>
      </x:c>
      <x:c r="P18" s="59" t="n">
        <x:v>11944</x:v>
      </x:c>
    </x:row>
    <x:row r="19">
      <x:c r="A19" s="47" t="str">
        <x:v>EVT-000081</x:v>
      </x:c>
      <x:c r="B19" s="47" t="str">
        <x:v>RUN-TRF-088-20260830T010020660289Z</x:v>
      </x:c>
      <x:c r="C19" s="47" t="str">
        <x:v>TRF-088</x:v>
      </x:c>
      <x:c r="D19" s="93" t="n">
        <x:v>46264.04379831019</x:v>
      </x:c>
      <x:c r="E19" s="47" t="str">
        <x:v>generator</x:v>
      </x:c>
      <x:c r="F19" s="47" t="str">
        <x:v>gpt-5.6-luna-2026-07-09</x:v>
      </x:c>
      <x:c r="G19" s="47" t="n">
        <x:v>1</x:v>
      </x:c>
      <x:c r="H19" s="47" t="n">
        <x:v>200</x:v>
      </x:c>
      <x:c r="I19" s="47" t="str">
        <x:v>Ocp-Apim-Subscription-Key</x:v>
      </x:c>
      <x:c r="J19" s="86" t="n">
        <x:v>0</x:v>
      </x:c>
      <x:c r="K19" s="86" t="n">
        <x:v>37421.632</x:v>
      </x:c>
      <x:c r="L19" s="85" t="b">
        <x:v>0</x:v>
      </x:c>
      <x:c r="M19" s="47" t="str"/>
      <x:c r="N19" s="59" t="str"/>
      <x:c r="O19" s="59" t="str"/>
      <x:c r="P19" s="59" t="str"/>
    </x:row>
    <x:row r="20">
      <x:c r="A20" s="47" t="str">
        <x:v>EVT-000082</x:v>
      </x:c>
      <x:c r="B20" s="47" t="str">
        <x:v>RUN-TRF-088-20260830T010020660289Z</x:v>
      </x:c>
      <x:c r="C20" s="47" t="str">
        <x:v>TRF-088</x:v>
      </x:c>
      <x:c r="D20" s="93" t="n">
        <x:v>46264.04379833333</x:v>
      </x:c>
      <x:c r="E20" s="47" t="str">
        <x:v>generator</x:v>
      </x:c>
      <x:c r="F20" s="47" t="str">
        <x:v>gpt-5.6-luna-2026-07-09</x:v>
      </x:c>
      <x:c r="G20" s="47" t="n">
        <x:v>1</x:v>
      </x:c>
      <x:c r="H20" s="47" t="str">
        <x:v>COMPLETED</x:v>
      </x:c>
      <x:c r="I20" s="47" t="str"/>
      <x:c r="J20" s="86" t="n">
        <x:v>0</x:v>
      </x:c>
      <x:c r="K20" s="86" t="n">
        <x:v>37423.209</x:v>
      </x:c>
      <x:c r="L20" s="85" t="b">
        <x:v>0</x:v>
      </x:c>
      <x:c r="M20" s="47" t="str">
        <x:v>resp_05d445c141c02288006a938125dd2c8197aa5801f5fa490e54</x:v>
      </x:c>
      <x:c r="N20" s="59" t="n">
        <x:v>11075</x:v>
      </x:c>
      <x:c r="O20" s="59" t="n">
        <x:v>2896</x:v>
      </x:c>
      <x:c r="P20" s="59" t="n">
        <x:v>13971</x:v>
      </x:c>
    </x:row>
    <x:row r="21">
      <x:c r="A21" s="47" t="str">
        <x:v>EVT-000087</x:v>
      </x:c>
      <x:c r="B21" s="47" t="str">
        <x:v>RUN-TRF-088-20260830T010020660289Z</x:v>
      </x:c>
      <x:c r="C21" s="47" t="str">
        <x:v>TRF-088</x:v>
      </x:c>
      <x:c r="D21" s="93" t="n">
        <x:v>46264.04402195602</x:v>
      </x:c>
      <x:c r="E21" s="47" t="str">
        <x:v>syntax_repair</x:v>
      </x:c>
      <x:c r="F21" s="47" t="str">
        <x:v>gpt-5.6-luna-2026-07-09</x:v>
      </x:c>
      <x:c r="G21" s="47" t="n">
        <x:v>1</x:v>
      </x:c>
      <x:c r="H21" s="47" t="n">
        <x:v>200</x:v>
      </x:c>
      <x:c r="I21" s="47" t="str">
        <x:v>Ocp-Apim-Subscription-Key</x:v>
      </x:c>
      <x:c r="J21" s="86" t="n">
        <x:v>0</x:v>
      </x:c>
      <x:c r="K21" s="86" t="n">
        <x:v>19313.351</x:v>
      </x:c>
      <x:c r="L21" s="85" t="b">
        <x:v>0</x:v>
      </x:c>
      <x:c r="M21" s="47" t="str"/>
      <x:c r="N21" s="59" t="str"/>
      <x:c r="O21" s="59" t="str"/>
      <x:c r="P21" s="59" t="str"/>
    </x:row>
    <x:row r="22">
      <x:c r="A22" s="47" t="str">
        <x:v>EVT-000088</x:v>
      </x:c>
      <x:c r="B22" s="47" t="str">
        <x:v>RUN-TRF-088-20260830T010020660289Z</x:v>
      </x:c>
      <x:c r="C22" s="47" t="str">
        <x:v>TRF-088</x:v>
      </x:c>
      <x:c r="D22" s="93" t="n">
        <x:v>46264.044021967595</x:v>
      </x:c>
      <x:c r="E22" s="47" t="str">
        <x:v>syntax_repair</x:v>
      </x:c>
      <x:c r="F22" s="47" t="str">
        <x:v>gpt-5.6-luna-2026-07-09</x:v>
      </x:c>
      <x:c r="G22" s="47" t="n">
        <x:v>1</x:v>
      </x:c>
      <x:c r="H22" s="47" t="str">
        <x:v>COMPLETED</x:v>
      </x:c>
      <x:c r="I22" s="47" t="str"/>
      <x:c r="J22" s="86" t="n">
        <x:v>0</x:v>
      </x:c>
      <x:c r="K22" s="86" t="n">
        <x:v>19314.844</x:v>
      </x:c>
      <x:c r="L22" s="85" t="b">
        <x:v>0</x:v>
      </x:c>
      <x:c r="M22" s="47" t="str">
        <x:v>resp_07c7ca075de924a2006a9381485ba48196b58ca52f89fb4597</x:v>
      </x:c>
      <x:c r="N22" s="59" t="n">
        <x:v>1313</x:v>
      </x:c>
      <x:c r="O22" s="59" t="n">
        <x:v>1337</x:v>
      </x:c>
      <x:c r="P22" s="59" t="n">
        <x:v>2650</x:v>
      </x:c>
    </x:row>
    <x:row r="23">
      <x:c r="A23" s="47" t="str">
        <x:v>EVT-000096</x:v>
      </x:c>
      <x:c r="B23" s="47" t="str">
        <x:v>RUN-TRF-088-20260830T010020660289Z</x:v>
      </x:c>
      <x:c r="C23" s="47" t="str">
        <x:v>TRF-088</x:v>
      </x:c>
      <x:c r="D23" s="93" t="n">
        <x:v>46264.044174166665</x:v>
      </x:c>
      <x:c r="E23" s="47" t="str">
        <x:v>validator</x:v>
      </x:c>
      <x:c r="F23" s="47" t="str">
        <x:v>gpt-5.6-luna-2026-07-09</x:v>
      </x:c>
      <x:c r="G23" s="47" t="n">
        <x:v>1</x:v>
      </x:c>
      <x:c r="H23" s="47" t="n">
        <x:v>200</x:v>
      </x:c>
      <x:c r="I23" s="47" t="str">
        <x:v>Ocp-Apim-Subscription-Key</x:v>
      </x:c>
      <x:c r="J23" s="86" t="n">
        <x:v>0</x:v>
      </x:c>
      <x:c r="K23" s="86" t="n">
        <x:v>13018.012</x:v>
      </x:c>
      <x:c r="L23" s="85" t="b">
        <x:v>0</x:v>
      </x:c>
      <x:c r="M23" s="47" t="str"/>
      <x:c r="N23" s="59" t="str"/>
      <x:c r="O23" s="59" t="str"/>
      <x:c r="P23" s="59" t="str"/>
    </x:row>
    <x:row r="24">
      <x:c r="A24" s="47" t="str">
        <x:v>EVT-000097</x:v>
      </x:c>
      <x:c r="B24" s="47" t="str">
        <x:v>RUN-TRF-088-20260830T010020660289Z</x:v>
      </x:c>
      <x:c r="C24" s="47" t="str">
        <x:v>TRF-088</x:v>
      </x:c>
      <x:c r="D24" s="93" t="n">
        <x:v>46264.04417417824</x:v>
      </x:c>
      <x:c r="E24" s="47" t="str">
        <x:v>validator</x:v>
      </x:c>
      <x:c r="F24" s="47" t="str">
        <x:v>gpt-5.6-luna-2026-07-09</x:v>
      </x:c>
      <x:c r="G24" s="47" t="n">
        <x:v>1</x:v>
      </x:c>
      <x:c r="H24" s="47" t="str">
        <x:v>COMPLETED</x:v>
      </x:c>
      <x:c r="I24" s="47" t="str"/>
      <x:c r="J24" s="86" t="n">
        <x:v>0</x:v>
      </x:c>
      <x:c r="K24" s="86" t="n">
        <x:v>13019.338</x:v>
      </x:c>
      <x:c r="L24" s="85" t="b">
        <x:v>0</x:v>
      </x:c>
      <x:c r="M24" s="47" t="str">
        <x:v>resp_0045e278ebdf75bd006a93815bbaac81959bd973a5e128e651</x:v>
      </x:c>
      <x:c r="N24" s="59" t="n">
        <x:v>11242</x:v>
      </x:c>
      <x:c r="O24" s="59" t="n">
        <x:v>1224</x:v>
      </x:c>
      <x:c r="P24" s="59" t="n">
        <x:v>12466</x:v>
      </x:c>
    </x:row>
    <x:row r="25">
      <x:c r="A25" s="47" t="str">
        <x:v>EVT-000103</x:v>
      </x:c>
      <x:c r="B25" s="47" t="str">
        <x:v>RUN-TRF-088-20260830T010020660289Z</x:v>
      </x:c>
      <x:c r="C25" s="47" t="str">
        <x:v>TRF-088</x:v>
      </x:c>
      <x:c r="D25" s="93" t="n">
        <x:v>46264.044275416665</x:v>
      </x:c>
      <x:c r="E25" s="47" t="str">
        <x:v>vocabulary_matcher</x:v>
      </x:c>
      <x:c r="F25" s="47" t="str">
        <x:v>gpt-5.6-luna-2026-07-09</x:v>
      </x:c>
      <x:c r="G25" s="47" t="n">
        <x:v>1</x:v>
      </x:c>
      <x:c r="H25" s="47" t="n">
        <x:v>200</x:v>
      </x:c>
      <x:c r="I25" s="47" t="str">
        <x:v>Ocp-Apim-Subscription-Key</x:v>
      </x:c>
      <x:c r="J25" s="86" t="n">
        <x:v>0</x:v>
      </x:c>
      <x:c r="K25" s="86" t="n">
        <x:v>7305.918</x:v>
      </x:c>
      <x:c r="L25" s="85" t="b">
        <x:v>0</x:v>
      </x:c>
      <x:c r="M25" s="47" t="str"/>
      <x:c r="N25" s="59" t="str"/>
      <x:c r="O25" s="59" t="str"/>
      <x:c r="P25" s="59" t="str"/>
    </x:row>
    <x:row r="26">
      <x:c r="A26" s="49" t="str">
        <x:v>EVT-000104</x:v>
      </x:c>
      <x:c r="B26" s="49" t="str">
        <x:v>RUN-TRF-088-20260830T010020660289Z</x:v>
      </x:c>
      <x:c r="C26" s="49" t="str">
        <x:v>TRF-088</x:v>
      </x:c>
      <x:c r="D26" s="94" t="n">
        <x:v>46264.04427543982</x:v>
      </x:c>
      <x:c r="E26" s="49" t="str">
        <x:v>vocabulary_matcher</x:v>
      </x:c>
      <x:c r="F26" s="49" t="str">
        <x:v>gpt-5.6-luna-2026-07-09</x:v>
      </x:c>
      <x:c r="G26" s="49" t="n">
        <x:v>1</x:v>
      </x:c>
      <x:c r="H26" s="49" t="str">
        <x:v>COMPLETED</x:v>
      </x:c>
      <x:c r="I26" s="49" t="str"/>
      <x:c r="J26" s="88" t="n">
        <x:v>0</x:v>
      </x:c>
      <x:c r="K26" s="88" t="n">
        <x:v>7307.406</x:v>
      </x:c>
      <x:c r="L26" s="87" t="b">
        <x:v>0</x:v>
      </x:c>
      <x:c r="M26" s="49" t="str">
        <x:v>resp_074e23ba4e0a7bae006a93816a32a48197a997b686d50adc35</x:v>
      </x:c>
      <x:c r="N26" s="60" t="n">
        <x:v>2932</x:v>
      </x:c>
      <x:c r="O26" s="60" t="n">
        <x:v>497</x:v>
      </x:c>
      <x:c r="P26" s="60" t="n">
        <x:v>3429</x:v>
      </x:c>
    </x:row>
  </x:sheetData>
  <x:conditionalFormatting sqref="H5:H2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e1843e1b2674e8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RUN-TRF-088-20260830T010020660289Z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RUN-TRF-088-20260830T010020660289Z</x:v>
      </x:c>
      <x:c r="B5" s="45" t="str">
        <x:v>TRF-088</x:v>
      </x:c>
      <x:c r="C5" s="45" t="str">
        <x:v>benchmarkEntity</x:v>
      </x:c>
      <x:c r="D5" s="46" t="str">
        <x:v>https://w3id.org/nltl/vocab#benchmarkEntity</x:v>
      </x:c>
      <x:c r="E5" s="45" t="str">
        <x:v>Class</x:v>
      </x:c>
      <x:c r="F5" s="45" t="str"/>
      <x:c r="G5" s="45" t="str"/>
      <x:c r="H5" s="45" t="str"/>
      <x:c r="I5" s="46" t="str">
        <x:v>baseline target infrastructure; domain dependency of maximumEngineTorque; domain dependency of maximumEngineTorqueKnown</x:v>
      </x:c>
      <x:c r="J5" s="45" t="n">
        <x:v>0</x:v>
      </x:c>
    </x:row>
    <x:row r="6">
      <x:c r="A6" s="47" t="str">
        <x:v>RUN-TRF-088-20260830T010020660289Z</x:v>
      </x:c>
      <x:c r="B6" s="47" t="str">
        <x:v>TRF-088</x:v>
      </x:c>
      <x:c r="C6" s="47" t="str">
        <x:v>evidenceArtifact</x:v>
      </x:c>
      <x:c r="D6" s="48" t="str">
        <x:v>https://w3id.org/nltl/vocab#evidenceArtifact</x:v>
      </x:c>
      <x:c r="E6" s="47" t="str">
        <x:v>Class</x:v>
      </x:c>
      <x:c r="F6" s="47" t="str"/>
      <x:c r="G6" s="47" t="str"/>
      <x:c r="H6" s="47" t="str"/>
      <x:c r="I6" s="48" t="str">
        <x:v>range dependency of lookupSelectionEvidence</x:v>
      </x:c>
      <x:c r="J6" s="47" t="n">
        <x:v>0</x:v>
      </x:c>
    </x:row>
    <x:row r="7">
      <x:c r="A7" s="47" t="str">
        <x:v>RUN-TRF-088-20260830T010020660289Z</x:v>
      </x:c>
      <x:c r="B7" s="47" t="str">
        <x:v>TRF-088</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RUN-TRF-088-20260830T010020660289Z</x:v>
      </x:c>
      <x:c r="B8" s="47" t="str">
        <x:v>TRF-088</x:v>
      </x:c>
      <x:c r="C8" s="47" t="str">
        <x:v>hasTableLookupCase</x:v>
      </x:c>
      <x:c r="D8" s="48" t="str">
        <x:v>https://w3id.org/nltl/vocab#hasTableLookupCase</x:v>
      </x:c>
      <x:c r="E8" s="47" t="str">
        <x:v>ObjectProperty</x:v>
      </x:c>
      <x:c r="F8" s="47" t="str"/>
      <x:c r="G8" s="47" t="str">
        <x:v>https://w3id.org/nltl/vocab#tableLookupCase</x:v>
      </x:c>
      <x:c r="H8" s="47" t="str"/>
      <x:c r="I8" s="48" t="str">
        <x:v>canonical path from target owner ship to required owner tableLookupCase; linked by the locked 313-requirement index</x:v>
      </x:c>
      <x:c r="J8" s="47" t="n">
        <x:v>0</x:v>
      </x:c>
    </x:row>
    <x:row r="9">
      <x:c r="A9" s="47" t="str">
        <x:v>RUN-TRF-088-20260830T010020660289Z</x:v>
      </x:c>
      <x:c r="B9" s="47" t="str">
        <x:v>TRF-088</x:v>
      </x:c>
      <x:c r="C9" s="47" t="str">
        <x:v>iacsUrI2Table3</x:v>
      </x:c>
      <x:c r="D9" s="48" t="str">
        <x:v>https://w3id.org/nltl/vocab#iacsUrI2Table3</x:v>
      </x:c>
      <x:c r="E9" s="47" t="str">
        <x:v>NamedIndividual</x:v>
      </x:c>
      <x:c r="F9" s="47" t="str"/>
      <x:c r="G9" s="47" t="str">
        <x:v>https://w3id.org/nltl/vocab#tableReferenceValue</x:v>
      </x:c>
      <x:c r="H9" s="47" t="str"/>
      <x:c r="I9" s="48" t="str">
        <x:v>controlled value permitted by the range of tableReference; controlled value permitted by the range of traficomTable6Dash10</x:v>
      </x:c>
      <x:c r="J9" s="47" t="n">
        <x:v>0</x:v>
      </x:c>
    </x:row>
    <x:row r="10">
      <x:c r="A10" s="47" t="str">
        <x:v>RUN-TRF-088-20260830T010020660289Z</x:v>
      </x:c>
      <x:c r="B10" s="47" t="str">
        <x:v>TRF-088</x:v>
      </x:c>
      <x:c r="C10" s="47" t="str">
        <x:v>iacsUrI2Table8</x:v>
      </x:c>
      <x:c r="D10" s="48" t="str">
        <x:v>https://w3id.org/nltl/vocab#iacsUrI2Table8</x:v>
      </x:c>
      <x:c r="E10" s="47" t="str">
        <x:v>NamedIndividual</x:v>
      </x:c>
      <x:c r="F10" s="47" t="str"/>
      <x:c r="G10" s="47" t="str">
        <x:v>https://w3id.org/nltl/vocab#tableReferenceValue</x:v>
      </x:c>
      <x:c r="H10" s="47" t="str"/>
      <x:c r="I10" s="48" t="str">
        <x:v>controlled value permitted by the range of tableReference; controlled value permitted by the range of traficomTable6Dash10</x:v>
      </x:c>
      <x:c r="J10" s="47" t="n">
        <x:v>0</x:v>
      </x:c>
    </x:row>
    <x:row r="11">
      <x:c r="A11" s="47" t="str">
        <x:v>RUN-TRF-088-20260830T010020660289Z</x:v>
      </x:c>
      <x:c r="B11" s="47" t="str">
        <x:v>TRF-088</x:v>
      </x:c>
      <x:c r="C11" s="47" t="str">
        <x:v>lookupSelectionEvidence</x:v>
      </x:c>
      <x:c r="D11" s="48" t="str">
        <x:v>https://w3id.org/nltl/vocab#lookupSelectionEvidence</x:v>
      </x:c>
      <x:c r="E11" s="47" t="str">
        <x:v>ObjectProperty</x:v>
      </x:c>
      <x:c r="F11" s="47" t="str"/>
      <x:c r="G11" s="47" t="str">
        <x:v>https://w3id.org/nltl/vocab#evidenceArtifact</x:v>
      </x:c>
      <x:c r="H11" s="47" t="str"/>
      <x:c r="I11" s="48" t="str">
        <x:v>linked by the locked 313-requirement index</x:v>
      </x:c>
      <x:c r="J11" s="47" t="n">
        <x:v>0</x:v>
      </x:c>
    </x:row>
    <x:row r="12">
      <x:c r="A12" s="47" t="str">
        <x:v>RUN-TRF-088-20260830T010020660289Z</x:v>
      </x:c>
      <x:c r="B12" s="47" t="str">
        <x:v>TRF-088</x:v>
      </x:c>
      <x:c r="C12" s="47" t="str">
        <x:v>maximumEngineTorque</x:v>
      </x:c>
      <x:c r="D12" s="48" t="str">
        <x:v>https://w3id.org/nltl/vocab#maximumEngineTorque</x:v>
      </x:c>
      <x:c r="E12" s="47" t="str">
        <x:v>QuantityProperty</x:v>
      </x:c>
      <x:c r="F12" s="47" t="str"/>
      <x:c r="G12" s="47" t="str">
        <x:v>http://qudt.org/schema/qudt/QuantityValue</x:v>
      </x:c>
      <x:c r="H12" s="47" t="str">
        <x:v>http://qudt.org/vocab/unit/KiloN-M</x:v>
      </x:c>
      <x:c r="I12" s="48" t="str">
        <x:v>linked by the locked 313-requirement index</x:v>
      </x:c>
      <x:c r="J12" s="47" t="n">
        <x:v>0</x:v>
      </x:c>
    </x:row>
    <x:row r="13">
      <x:c r="A13" s="47" t="str">
        <x:v>RUN-TRF-088-20260830T010020660289Z</x:v>
      </x:c>
      <x:c r="B13" s="47" t="str">
        <x:v>TRF-088</x:v>
      </x:c>
      <x:c r="C13" s="47" t="str">
        <x:v>maximumEngineTorqueKnown</x:v>
      </x:c>
      <x:c r="D13" s="48" t="str">
        <x:v>https://w3id.org/nltl/vocab#maximumEngineTorqueKnown</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RUN-TRF-088-20260830T010020660289Z</x:v>
      </x:c>
      <x:c r="B14" s="47" t="str">
        <x:v>TRF-088</x:v>
      </x:c>
      <x:c r="C14" s="47" t="str">
        <x:v>ship</x:v>
      </x:c>
      <x:c r="D14" s="48" t="str">
        <x:v>https://w3id.org/nltl/vocab#ship</x:v>
      </x:c>
      <x:c r="E14" s="47" t="str">
        <x:v>Class</x:v>
      </x:c>
      <x:c r="F14" s="47" t="str"/>
      <x:c r="G14" s="47" t="str"/>
      <x:c r="H14" s="47" t="str"/>
      <x:c r="I14" s="48" t="str">
        <x:v>authoritative required owner class; authoritative requirement target owner; baseline target infrastructure; domain dependency of hasTableLookupCase</x:v>
      </x:c>
      <x:c r="J14" s="47" t="n">
        <x:v>0</x:v>
      </x:c>
    </x:row>
    <x:row r="15">
      <x:c r="A15" s="47" t="str">
        <x:v>RUN-TRF-088-20260830T010020660289Z</x:v>
      </x:c>
      <x:c r="B15" s="47" t="str">
        <x:v>TRF-088</x:v>
      </x:c>
      <x:c r="C15" s="47" t="str">
        <x:v>shipComponent</x:v>
      </x:c>
      <x:c r="D15" s="48" t="str">
        <x:v>https://w3id.org/nltl/vocab#shipComponent</x:v>
      </x:c>
      <x:c r="E15" s="47" t="str">
        <x:v>Class</x:v>
      </x:c>
      <x:c r="F15" s="47" t="str"/>
      <x:c r="G15" s="47" t="str"/>
      <x:c r="H15" s="47" t="str"/>
      <x:c r="I15" s="48" t="str">
        <x:v>component-path dependency inferred from the linked term module</x:v>
      </x:c>
      <x:c r="J15" s="47" t="n">
        <x:v>0</x:v>
      </x:c>
    </x:row>
    <x:row r="16">
      <x:c r="A16" s="47" t="str">
        <x:v>RUN-TRF-088-20260830T010020660289Z</x:v>
      </x:c>
      <x:c r="B16" s="47" t="str">
        <x:v>TRF-088</x:v>
      </x:c>
      <x:c r="C16" s="47" t="str">
        <x:v>tableLookupApplied</x:v>
      </x:c>
      <x:c r="D16" s="48" t="str">
        <x:v>https://w3id.org/nltl/vocab#tableLookupApplied</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RUN-TRF-088-20260830T010020660289Z</x:v>
      </x:c>
      <x:c r="B17" s="47" t="str">
        <x:v>TRF-088</x:v>
      </x:c>
      <x:c r="C17" s="47" t="str">
        <x:v>tableLookupCase</x:v>
      </x:c>
      <x:c r="D17" s="48" t="str">
        <x:v>https://w3id.org/nltl/vocab#tableLookupCase</x:v>
      </x:c>
      <x:c r="E17" s="47" t="str">
        <x:v>Class</x:v>
      </x:c>
      <x:c r="F17" s="47" t="str"/>
      <x:c r="G17" s="47" t="str">
        <x:v>https://w3id.org/nltl/vocab#calculationCase</x:v>
      </x:c>
      <x:c r="H17" s="47" t="str"/>
      <x:c r="I17" s="48" t="str">
        <x:v>authoritative required owner class; domain dependency of lookupSelectionEvidence; domain dependency of tableLookupApplied; domain dependency of tableReference; range dependency of hasTableLookupCase</x:v>
      </x:c>
      <x:c r="J17" s="47" t="n">
        <x:v>0</x:v>
      </x:c>
    </x:row>
    <x:row r="18">
      <x:c r="A18" s="47" t="str">
        <x:v>RUN-TRF-088-20260830T010020660289Z</x:v>
      </x:c>
      <x:c r="B18" s="47" t="str">
        <x:v>TRF-088</x:v>
      </x:c>
      <x:c r="C18" s="47" t="str">
        <x:v>tableReference</x:v>
      </x:c>
      <x:c r="D18" s="48" t="str">
        <x:v>https://w3id.org/nltl/vocab#tableReference</x:v>
      </x:c>
      <x:c r="E18" s="47" t="str">
        <x:v>ObjectProperty</x:v>
      </x:c>
      <x:c r="F18" s="47" t="str"/>
      <x:c r="G18" s="47" t="str">
        <x:v>https://w3id.org/nltl/vocab#tableReferenceValue</x:v>
      </x:c>
      <x:c r="H18" s="47" t="str"/>
      <x:c r="I18" s="48" t="str">
        <x:v>linked by the locked 313-requirement index</x:v>
      </x:c>
      <x:c r="J18" s="47" t="n">
        <x:v>0</x:v>
      </x:c>
    </x:row>
    <x:row r="19">
      <x:c r="A19" s="47" t="str">
        <x:v>RUN-TRF-088-20260830T010020660289Z</x:v>
      </x:c>
      <x:c r="B19" s="47" t="str">
        <x:v>TRF-088</x:v>
      </x:c>
      <x:c r="C19" s="47" t="str">
        <x:v>tableReferenceValue</x:v>
      </x:c>
      <x:c r="D19" s="48" t="str">
        <x:v>https://w3id.org/nltl/vocab#tableReferenceValue</x:v>
      </x:c>
      <x:c r="E19" s="47" t="str">
        <x:v>Class</x:v>
      </x:c>
      <x:c r="F19" s="47" t="str"/>
      <x:c r="G19" s="47" t="str">
        <x:v>https://w3id.org/nltl/vocab#benchmarkEntity</x:v>
      </x:c>
      <x:c r="H19" s="47" t="str"/>
      <x:c r="I19" s="48" t="str">
        <x:v>range dependency of tableReference; range dependency of traficomTable6Dash10</x:v>
      </x:c>
      <x:c r="J19" s="47" t="n">
        <x:v>0</x:v>
      </x:c>
    </x:row>
    <x:row r="20">
      <x:c r="A20" s="47" t="str">
        <x:v>RUN-TRF-088-20260830T010020660289Z</x:v>
      </x:c>
      <x:c r="B20" s="47" t="str">
        <x:v>TRF-088</x:v>
      </x:c>
      <x:c r="C20" s="47" t="str">
        <x:v>traficomTable4Dash8</x:v>
      </x:c>
      <x:c r="D20" s="48" t="str">
        <x:v>https://w3id.org/nltl/vocab#traficomTable4Dash8</x:v>
      </x:c>
      <x:c r="E20" s="47" t="str">
        <x:v>NamedIndividual</x:v>
      </x:c>
      <x:c r="F20" s="47" t="str"/>
      <x:c r="G20" s="47" t="str">
        <x:v>https://w3id.org/nltl/vocab#tableReferenceValue</x:v>
      </x:c>
      <x:c r="H20" s="47" t="str"/>
      <x:c r="I20" s="48" t="str">
        <x:v>controlled value permitted by the range of tableReference; controlled value permitted by the range of traficomTable6Dash10</x:v>
      </x:c>
      <x:c r="J20" s="47" t="n">
        <x:v>0</x:v>
      </x:c>
    </x:row>
    <x:row r="21">
      <x:c r="A21" s="47" t="str">
        <x:v>RUN-TRF-088-20260830T010020660289Z</x:v>
      </x:c>
      <x:c r="B21" s="47" t="str">
        <x:v>TRF-088</x:v>
      </x:c>
      <x:c r="C21" s="47" t="str">
        <x:v>traficomTable6Dash10</x:v>
      </x:c>
      <x:c r="D21" s="48" t="str">
        <x:v>https://w3id.org/nltl/vocab#traficomTable6Dash10</x:v>
      </x:c>
      <x:c r="E21" s="47" t="str">
        <x:v>NamedIndividual</x:v>
      </x:c>
      <x:c r="F21" s="47" t="str"/>
      <x:c r="G21" s="47" t="str">
        <x:v>https://w3id.org/nltl/vocab#tableReferenceValue</x:v>
      </x:c>
      <x:c r="H21" s="47" t="str"/>
      <x:c r="I21" s="48" t="str">
        <x:v>controlled value permitted by the range of tableReference; controlled value permitted by the range of traficomTable6Dash10; linked by the locked 313-requirement index</x:v>
      </x:c>
      <x:c r="J21" s="47" t="n">
        <x:v>0</x:v>
      </x:c>
    </x:row>
    <x:row r="22">
      <x:c r="A22" s="47" t="str">
        <x:v>RUN-TRF-088-20260830T010020660289Z</x:v>
      </x:c>
      <x:c r="B22" s="47" t="str">
        <x:v>TRF-088</x:v>
      </x:c>
      <x:c r="C22" s="47" t="str">
        <x:v>traficomTable6Dash14</x:v>
      </x:c>
      <x:c r="D22" s="48" t="str">
        <x:v>https://w3id.org/nltl/vocab#traficomTable6Dash14</x:v>
      </x:c>
      <x:c r="E22" s="47" t="str">
        <x:v>NamedIndividual</x:v>
      </x:c>
      <x:c r="F22" s="47" t="str"/>
      <x:c r="G22" s="47" t="str">
        <x:v>https://w3id.org/nltl/vocab#tableReferenceValue</x:v>
      </x:c>
      <x:c r="H22" s="47" t="str"/>
      <x:c r="I22" s="48" t="str">
        <x:v>controlled value permitted by the range of tableReference; controlled value permitted by the range of traficomTable6Dash10</x:v>
      </x:c>
      <x:c r="J22" s="47" t="n">
        <x:v>0</x:v>
      </x:c>
    </x:row>
    <x:row r="23">
      <x:c r="A23" s="47" t="str">
        <x:v>RUN-TRF-088-20260830T010020660289Z</x:v>
      </x:c>
      <x:c r="B23" s="47" t="str">
        <x:v>TRF-088</x:v>
      </x:c>
      <x:c r="C23" s="47" t="str">
        <x:v>traficomTable6Dash16Reference</x:v>
      </x:c>
      <x:c r="D23" s="48" t="str">
        <x:v>https://w3id.org/nltl/vocab#traficomTable6Dash16Reference</x:v>
      </x:c>
      <x:c r="E23" s="47" t="str">
        <x:v>NamedIndividual</x:v>
      </x:c>
      <x:c r="F23" s="47" t="str"/>
      <x:c r="G23" s="47" t="str">
        <x:v>https://w3id.org/nltl/vocab#tableReferenceValue</x:v>
      </x:c>
      <x:c r="H23" s="47" t="str"/>
      <x:c r="I23" s="48" t="str">
        <x:v>controlled value permitted by the range of tableReference; controlled value permitted by the range of traficomTable6Dash10</x:v>
      </x:c>
      <x:c r="J23" s="47" t="n">
        <x:v>0</x:v>
      </x:c>
    </x:row>
    <x:row r="24">
      <x:c r="A24" s="47" t="str">
        <x:v>RUN-TRF-088-20260830T010020660289Z</x:v>
      </x:c>
      <x:c r="B24" s="47" t="str">
        <x:v>TRF-088</x:v>
      </x:c>
      <x:c r="C24" s="47" t="str">
        <x:v>traficomTable6Dash3Reference</x:v>
      </x:c>
      <x:c r="D24" s="48" t="str">
        <x:v>https://w3id.org/nltl/vocab#traficomTable6Dash3Reference</x:v>
      </x:c>
      <x:c r="E24" s="47" t="str">
        <x:v>NamedIndividual</x:v>
      </x:c>
      <x:c r="F24" s="47" t="str"/>
      <x:c r="G24" s="47" t="str">
        <x:v>https://w3id.org/nltl/vocab#tableReferenceValue</x:v>
      </x:c>
      <x:c r="H24" s="47" t="str"/>
      <x:c r="I24" s="48" t="str">
        <x:v>controlled value permitted by the range of tableReference; controlled value permitted by the range of traficomTable6Dash10</x:v>
      </x:c>
      <x:c r="J24" s="47" t="n">
        <x:v>0</x:v>
      </x:c>
    </x:row>
    <x:row r="25">
      <x:c r="A25" s="47" t="str">
        <x:v>RUN-TRF-088-20260830T010020660289Z</x:v>
      </x:c>
      <x:c r="B25" s="47" t="str">
        <x:v>TRF-088</x:v>
      </x:c>
      <x:c r="C25" s="47" t="str">
        <x:v>traficomTable6Dash6</x:v>
      </x:c>
      <x:c r="D25" s="48" t="str">
        <x:v>https://w3id.org/nltl/vocab#traficomTable6Dash6</x:v>
      </x:c>
      <x:c r="E25" s="47" t="str">
        <x:v>NamedIndividual</x:v>
      </x:c>
      <x:c r="F25" s="47" t="str"/>
      <x:c r="G25" s="47" t="str">
        <x:v>https://w3id.org/nltl/vocab#tableReferenceValue</x:v>
      </x:c>
      <x:c r="H25" s="47" t="str"/>
      <x:c r="I25" s="48" t="str">
        <x:v>controlled value permitted by the range of tableReference; controlled value permitted by the range of traficomTable6Dash10</x:v>
      </x:c>
      <x:c r="J25" s="47" t="n">
        <x:v>0</x:v>
      </x:c>
    </x:row>
    <x:row r="26">
      <x:c r="A26" s="47" t="str">
        <x:v>RUN-TRF-088-20260830T010020660289Z</x:v>
      </x:c>
      <x:c r="B26" s="47" t="str">
        <x:v>TRF-088</x:v>
      </x:c>
      <x:c r="C26" s="47" t="str">
        <x:v>traficomTable6Dash7</x:v>
      </x:c>
      <x:c r="D26" s="48" t="str">
        <x:v>https://w3id.org/nltl/vocab#traficomTable6Dash7</x:v>
      </x:c>
      <x:c r="E26" s="47" t="str">
        <x:v>NamedIndividual</x:v>
      </x:c>
      <x:c r="F26" s="47" t="str"/>
      <x:c r="G26" s="47" t="str">
        <x:v>https://w3id.org/nltl/vocab#tableReferenceValue</x:v>
      </x:c>
      <x:c r="H26" s="47" t="str"/>
      <x:c r="I26" s="48" t="str">
        <x:v>controlled value permitted by the range of tableReference; controlled value permitted by the range of traficomTable6Dash10</x:v>
      </x:c>
      <x:c r="J26" s="47" t="n">
        <x:v>0</x:v>
      </x:c>
    </x:row>
    <x:row r="27">
      <x:c r="A27" s="47" t="str">
        <x:v>RUN-TRF-088-20260830T010020660289Z</x:v>
      </x:c>
      <x:c r="B27" s="47" t="str">
        <x:v>TRF-088</x:v>
      </x:c>
      <x:c r="C27" s="47" t="str">
        <x:v>traficomTable6Dash8</x:v>
      </x:c>
      <x:c r="D27" s="48" t="str">
        <x:v>https://w3id.org/nltl/vocab#traficomTable6Dash8</x:v>
      </x:c>
      <x:c r="E27" s="47" t="str">
        <x:v>NamedIndividual</x:v>
      </x:c>
      <x:c r="F27" s="47" t="str"/>
      <x:c r="G27" s="47" t="str">
        <x:v>https://w3id.org/nltl/vocab#tableReferenceValue</x:v>
      </x:c>
      <x:c r="H27" s="47" t="str"/>
      <x:c r="I27" s="48" t="str">
        <x:v>controlled value permitted by the range of tableReference; controlled value permitted by the range of traficomTable6Dash10</x:v>
      </x:c>
      <x:c r="J27" s="47" t="n">
        <x:v>0</x:v>
      </x:c>
    </x:row>
    <x:row r="28">
      <x:c r="A28" s="49" t="str">
        <x:v>RUN-TRF-088-20260830T010020660289Z</x:v>
      </x:c>
      <x:c r="B28" s="49" t="str">
        <x:v>TRF-088</x:v>
      </x:c>
      <x:c r="C28" s="49" t="str">
        <x:v>traficomTable6Dash9</x:v>
      </x:c>
      <x:c r="D28" s="50" t="str">
        <x:v>https://w3id.org/nltl/vocab#traficomTable6Dash9</x:v>
      </x:c>
      <x:c r="E28" s="49" t="str">
        <x:v>NamedIndividual</x:v>
      </x:c>
      <x:c r="F28" s="49" t="str"/>
      <x:c r="G28" s="49" t="str">
        <x:v>https://w3id.org/nltl/vocab#tableReferenceValue</x:v>
      </x:c>
      <x:c r="H28" s="49" t="str"/>
      <x:c r="I28" s="50" t="str">
        <x:v>controlled value permitted by the range of tableReference; controlled value permitted by the range of traficomTable6Dash10</x:v>
      </x:c>
      <x:c r="J28" s="49" t="n">
        <x:v>0</x:v>
      </x:c>
    </x:row>
  </x:sheetData>
  <x:pageMargins left="0.7" right="0.7" top="0.75" bottom="0.75" header="0.3" footer="0.3"/>
  <x:tableParts count="1">
    <x:tablePart xmlns:r="http://schemas.openxmlformats.org/officeDocument/2006/relationships" r:id="R85847e668f324da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RUN-TRF-088-20260830T010020660289Z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RUN-TRF-088-20260830T010020660289Z</x:v>
      </x:c>
      <x:c r="B5" s="45" t="str">
        <x:v>TRF-088</x:v>
      </x:c>
      <x:c r="C5" s="45" t="str">
        <x:v>FS-BOOL-01</x:v>
      </x:c>
      <x:c r="D5" s="45" t="str">
        <x:v>boolean_state</x:v>
      </x:c>
      <x:c r="E5" s="97" t="n">
        <x:v>0.096774</x:v>
      </x:c>
      <x:c r="F5" s="45" t="str">
        <x:v>boolean | required | value</x:v>
      </x:c>
      <x:c r="G5" s="45" t="str">
        <x:v>synthetic-few-shot-not-benchmark-ground-truth</x:v>
      </x:c>
    </x:row>
    <x:row r="6">
      <x:c r="A6" s="49" t="str">
        <x:v>RUN-TRF-088-20260830T010020660289Z</x:v>
      </x:c>
      <x:c r="B6" s="49" t="str">
        <x:v>TRF-088</x:v>
      </x:c>
      <x:c r="C6" s="49" t="str">
        <x:v>FS-BOOL-02</x:v>
      </x:c>
      <x:c r="D6" s="49" t="str">
        <x:v>boolean_state</x:v>
      </x:c>
      <x:c r="E6" s="98" t="n">
        <x:v>0.096774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69f5d42c28a4f6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RUN-TRF-088-20260830T010020660289Z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RUN-TRF-088-20260830T010020660289Z</x:v>
      </x:c>
      <x:c r="B5" s="45" t="str">
        <x:v>TRF-088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https://w3id.org/nltl/vocab#evidenceArtifact | https://w3id.org/nltl/vocab#hasTableLookupCase | https://w3id.org/nltl/vocab#lookupSelectionEvidence | https://w3id.org/nltl/vocab#maximumEngineTorque | https://w3id.org/nltl/vocab#maximumEngineTorqueKnown | https://w3id.org/nltl/vocab#ship | https://w3id.org/nltl/vocab#tableLookupApplied | https://w3id.org/nltl/vocab#tableLookupCase | https://w3id.org/nltl/vocab#tableReference | https://w3id.org/nltl/vocab#tableReferenceValue | https://w3id.org/nltl/vocab#traficomTable6Dash10</x:v>
      </x:c>
      <x:c r="O5" s="46" t="str"/>
      <x:c r="P5" s="46" t="str"/>
      <x:c r="Q5" s="46" t="str"/>
    </x:row>
    <x:row r="6">
      <x:c r="A6" s="47" t="str">
        <x:v>RUN-TRF-088-20260830T010020660289Z</x:v>
      </x:c>
      <x:c r="B6" s="47" t="str">
        <x:v>TRF-088</x:v>
      </x:c>
      <x:c r="C6" s="59" t="n">
        <x:v>2</x:v>
      </x:c>
      <x:c r="D6" s="85" t="b">
        <x:v>0</x:v>
      </x:c>
      <x:c r="E6" s="85" t="b">
        <x:v>1</x:v>
      </x:c>
      <x:c r="F6" s="85" t="b">
        <x:v>1</x:v>
      </x:c>
      <x:c r="G6" s="85" t="b">
        <x:v>1</x:v>
      </x:c>
      <x:c r="H6" s="85" t="b">
        <x:v>1</x:v>
      </x:c>
      <x:c r="I6" s="85" t="b">
        <x:v>0</x:v>
      </x:c>
      <x:c r="J6" s="85" t="b">
        <x:v>1</x:v>
      </x:c>
      <x:c r="K6" s="103" t="b">
        <x:v>1</x:v>
      </x:c>
      <x:c r="L6" s="48" t="str">
        <x:v>Unknown canonical benchmark IRI(s): https://w3id.org/nltl/vocab#TRF088ShipShape, https://w3id.org/nltl/vocab#TRF088TableLookupCaseShape, https://w3id.org/nltl/vocab#TRF088TorqueQuantityShape</x:v>
      </x:c>
      <x:c r="M6" s="48" t="str"/>
      <x:c r="N6" s="48" t="str">
        <x:v>https://w3id.org/nltl/vocab#TRF088ShipShape | https://w3id.org/nltl/vocab#TRF088TableLookupCaseShape | https://w3id.org/nltl/vocab#TRF088TorqueQuantityShape | https://w3id.org/nltl/vocab#evidenceArtifact | https://w3id.org/nltl/vocab#hasTableLookupCase | https://w3id.org/nltl/vocab#lookupSelectionEvidence | https://w3id.org/nltl/vocab#maximumEngineTorque | https://w3id.org/nltl/vocab#maximumEngineTorqueKnown | https://w3id.org/nltl/vocab#ship | https://w3id.org/nltl/vocab#tableLookupApplied | https://w3id.org/nltl/vocab#tableLookupCase | https://w3id.org/nltl/vocab#tableReference | https://w3id.org/nltl/vocab#traficomTable6Dash10</x:v>
      </x:c>
      <x:c r="O6" s="48" t="str">
        <x:v>https://w3id.org/nltl/vocab#TRF088ShipShape | https://w3id.org/nltl/vocab#TRF088TableLookupCaseShape | https://w3id.org/nltl/vocab#TRF088TorqueQuantityShape</x:v>
      </x:c>
      <x:c r="P6" s="48" t="str"/>
      <x:c r="Q6" s="48" t="str"/>
    </x:row>
    <x:row r="7">
      <x:c r="A7" s="47" t="str">
        <x:v>RUN-TRF-088-20260830T010020660289Z</x:v>
      </x:c>
      <x:c r="B7" s="47" t="str">
        <x:v>TRF-088</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https://w3id.org/nltl/vocab#evidenceArtifact | https://w3id.org/nltl/vocab#hasTableLookupCase | https://w3id.org/nltl/vocab#lookupSelectionEvidence | https://w3id.org/nltl/vocab#maximumEngineTorque | https://w3id.org/nltl/vocab#maximumEngineTorqueKnown | https://w3id.org/nltl/vocab#ship | https://w3id.org/nltl/vocab#tableLookupApplied | https://w3id.org/nltl/vocab#tableReference | https://w3id.org/nltl/vocab#tableReferenceValue | https://w3id.org/nltl/vocab#traficomTable6Dash10</x:v>
      </x:c>
      <x:c r="O7" s="48" t="str"/>
      <x:c r="P7" s="48" t="str"/>
      <x:c r="Q7" s="48" t="str"/>
    </x:row>
    <x:row r="8">
      <x:c r="A8" s="49" t="str">
        <x:v>RUN-TRF-088-20260830T010020660289Z</x:v>
      </x:c>
      <x:c r="B8" s="49" t="str">
        <x:v>TRF-088</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https://w3id.org/nltl/vocab#evidenceArtifact | https://w3id.org/nltl/vocab#hasTableLookupCase | https://w3id.org/nltl/vocab#lookupSelectionEvidence | https://w3id.org/nltl/vocab#maximumEngineTorque | https://w3id.org/nltl/vocab#maximumEngineTorqueKnown | https://w3id.org/nltl/vocab#ship | https://w3id.org/nltl/vocab#tableLookupApplied | https://w3id.org/nltl/vocab#tableLookupCase | https://w3id.org/nltl/vocab#tableReference | https://w3id.org/nltl/vocab#traficomTable6Dash10</x:v>
      </x:c>
      <x:c r="O8" s="50" t="str"/>
      <x:c r="P8" s="50" t="str"/>
      <x:c r="Q8" s="50" t="str"/>
    </x:row>
  </x:sheetData>
  <x:pageMargins left="0.7" right="0.7" top="0.75" bottom="0.75" header="0.3" footer="0.3"/>
  <x:tableParts count="1">
    <x:tablePart xmlns:r="http://schemas.openxmlformats.org/officeDocument/2006/relationships" r:id="R4a43976ac1624d8e"/>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RUN-TRF-088-20260830T010020660289Z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RUN-TRF-088-20260830T010020660289Z</x:v>
      </x:c>
      <x:c r="B5" s="45" t="str">
        <x:v>TRF-088</x:v>
      </x:c>
      <x:c r="C5" s="58" t="n">
        <x:v>4</x:v>
      </x:c>
      <x:c r="D5" s="45" t="str">
        <x:v>matcher_search</x:v>
      </x:c>
      <x:c r="E5" s="46" t="str">
        <x:v>Preserve the prior table-selection/result binding, explicit unknown applicability branch, lookup evidence, and non-vocabulary generated-shape repair. The current SPARQL still places qudt:numericValue on nltl:traficomTable6Dash10, a tableReferenceValue whose authoritative requiredOwner is ship, rather than using the declared owner or an approved canonical cross-owner path. Locate the missing canonical table-selection/result path or term, then replace this global controlled-individual lookup with a bounded DIRECT_STATIC constraint that binds the ship's maximumEngineTorque quantity (including its kN*m unit) by explicit equality to the value selected through the Table 6-10 lookup case and tableReference, while retaining tableLookupApplied=true and lookupSelectionEvidence. Do not invent a new nltl term or relocate the tableReferenceValue property to a convenient node.</x:v>
      </x:c>
      <x:c r="F5" s="58" t="n">
        <x:v>9</x:v>
      </x:c>
      <x:c r="G5" s="45" t="str"/>
      <x:c r="H5" s="45" t="str"/>
      <x:c r="I5" s="46" t="str"/>
      <x:c r="J5" s="46" t="str"/>
    </x:row>
    <x:row r="6">
      <x:c r="A6" s="49" t="str">
        <x:v>RUN-TRF-088-20260830T010020660289Z</x:v>
      </x:c>
      <x:c r="B6" s="49" t="str">
        <x:v>TRF-088</x:v>
      </x:c>
      <x:c r="C6" s="60" t="n">
        <x:v>4</x:v>
      </x:c>
      <x:c r="D6" s="49" t="str">
        <x:v>matcher_decision</x:v>
      </x:c>
      <x:c r="E6" s="50" t="str"/>
      <x:c r="F6" s="60" t="str"/>
      <x:c r="G6" s="87" t="b">
        <x:v>1</x:v>
      </x:c>
      <x:c r="H6" s="49" t="str">
        <x:v>maximumEngineTorque</x:v>
      </x:c>
      <x:c r="I6" s="50" t="str">
        <x:v>https://w3id.org/nltl/vocab#maximumEngineTorque</x:v>
      </x:c>
      <x:c r="J6" s="50" t="str">
        <x:v>Use this exact term because it is the canonical ship-owned QuantityProperty for the maximum torque, with QuantityValue range and kN*m unit, and it supports binding the ship's quantity by equality to the value selected through the bounded tableReference path while retaining the lookup controls.</x:v>
      </x:c>
    </x:row>
  </x:sheetData>
  <x:pageMargins left="0.7" right="0.7" top="0.75" bottom="0.75" header="0.3" footer="0.3"/>
  <x:tableParts count="1">
    <x:tablePart xmlns:r="http://schemas.openxmlformats.org/officeDocument/2006/relationships" r:id="R29f3dcea2100483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RUN-TRF-088-20260830T010020660289Z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RUN-TRF-088-20260830T010020660289Z</x:v>
      </x:c>
      <x:c r="B5" s="45" t="str">
        <x:v>TRF-088</x:v>
      </x:c>
      <x:c r="C5" s="58"/>
      <x:c r="D5" s="45" t="str">
        <x:v>initial_context_pack</x:v>
      </x:c>
      <x:c r="E5" s="46" t="str">
        <x:v>artifacts/context_pack_initial.json</x:v>
      </x:c>
      <x:c r="F5" s="45" t="str">
        <x:v>675794b506857e94cf7ec37033f424dc81b70821c265bdc2ab42fc79fe1757a5</x:v>
      </x:c>
      <x:c r="G5" s="58" t="n">
        <x:v>30329</x:v>
      </x:c>
    </x:row>
    <x:row r="6">
      <x:c r="A6" s="47" t="str">
        <x:v>RUN-TRF-088-20260830T010020660289Z</x:v>
      </x:c>
      <x:c r="B6" s="47" t="str">
        <x:v>TRF-088</x:v>
      </x:c>
      <x:c r="C6" s="59"/>
      <x:c r="D6" s="47" t="str">
        <x:v>few_shot_selection</x:v>
      </x:c>
      <x:c r="E6" s="48" t="str">
        <x:v>artifacts/few_shots_selected.json</x:v>
      </x:c>
      <x:c r="F6" s="47" t="str">
        <x:v>bbe72320e16b6441a7b53bfb12cbb92189744359ab6d911b77ee8e91a3864778</x:v>
      </x:c>
      <x:c r="G6" s="59" t="n">
        <x:v>3110</x:v>
      </x:c>
    </x:row>
    <x:row r="7">
      <x:c r="A7" s="47" t="str">
        <x:v>RUN-TRF-088-20260830T010020660289Z</x:v>
      </x:c>
      <x:c r="B7" s="47" t="str">
        <x:v>TRF-088</x:v>
      </x:c>
      <x:c r="C7" s="59" t="n">
        <x:v>1</x:v>
      </x:c>
      <x:c r="D7" s="47" t="str">
        <x:v>generator_prompt</x:v>
      </x:c>
      <x:c r="E7" s="48" t="str">
        <x:v>artifacts/attempt_01/generator_prompt.txt</x:v>
      </x:c>
      <x:c r="F7" s="47" t="str">
        <x:v>5463ab5a4ac5b72ed39b0fdf327c0731064c277b111a21a00eccac92529f69d3</x:v>
      </x:c>
      <x:c r="G7" s="59" t="n">
        <x:v>44953</x:v>
      </x:c>
    </x:row>
    <x:row r="8">
      <x:c r="A8" s="47" t="str">
        <x:v>RUN-TRF-088-20260830T010020660289Z</x:v>
      </x:c>
      <x:c r="B8" s="47" t="str">
        <x:v>TRF-088</x:v>
      </x:c>
      <x:c r="C8" s="59" t="n">
        <x:v>1</x:v>
      </x:c>
      <x:c r="D8" s="47" t="str">
        <x:v>generator_raw_response</x:v>
      </x:c>
      <x:c r="E8" s="48" t="str">
        <x:v>artifacts/attempt_01/generator_raw.txt</x:v>
      </x:c>
      <x:c r="F8" s="47" t="str">
        <x:v>d021a2b97554ea11bcce5b8b93a643b9c15b3361f284e60658cff6d1751fd7cf</x:v>
      </x:c>
      <x:c r="G8" s="59" t="n">
        <x:v>3054</x:v>
      </x:c>
    </x:row>
    <x:row r="9">
      <x:c r="A9" s="47" t="str">
        <x:v>RUN-TRF-088-20260830T010020660289Z</x:v>
      </x:c>
      <x:c r="B9" s="47" t="str">
        <x:v>TRF-088</x:v>
      </x:c>
      <x:c r="C9" s="59" t="n">
        <x:v>1</x:v>
      </x:c>
      <x:c r="D9" s="47" t="str">
        <x:v>candidate_shape</x:v>
      </x:c>
      <x:c r="E9" s="48" t="str">
        <x:v>artifacts/attempt_01/candidate_shape.ttl</x:v>
      </x:c>
      <x:c r="F9" s="47" t="str">
        <x:v>d7d5b0cf2f4dffe1d4f7022ecb50709fed5e0f8aa49f36a32a0f8bd8708be47a</x:v>
      </x:c>
      <x:c r="G9" s="59" t="n">
        <x:v>3028</x:v>
      </x:c>
    </x:row>
    <x:row r="10">
      <x:c r="A10" s="47" t="str">
        <x:v>RUN-TRF-088-20260830T010020660289Z</x:v>
      </x:c>
      <x:c r="B10" s="47" t="str">
        <x:v>TRF-088</x:v>
      </x:c>
      <x:c r="C10" s="59" t="n">
        <x:v>1</x:v>
      </x:c>
      <x:c r="D10" s="47" t="str">
        <x:v>deterministic_validation</x:v>
      </x:c>
      <x:c r="E10" s="48" t="str">
        <x:v>artifacts/attempt_01/deterministic_validation.json</x:v>
      </x:c>
      <x:c r="F10" s="47" t="str">
        <x:v>338d2b0de4784681b03609a4b576cb3a44b525b6a0755faa8665fcfd02514783</x:v>
      </x:c>
      <x:c r="G10" s="59" t="n">
        <x:v>975</x:v>
      </x:c>
    </x:row>
    <x:row r="11">
      <x:c r="A11" s="47" t="str">
        <x:v>RUN-TRF-088-20260830T010020660289Z</x:v>
      </x:c>
      <x:c r="B11" s="47" t="str">
        <x:v>TRF-088</x:v>
      </x:c>
      <x:c r="C11" s="59" t="n">
        <x:v>1</x:v>
      </x:c>
      <x:c r="D11" s="47" t="str">
        <x:v>validator_prompt</x:v>
      </x:c>
      <x:c r="E11" s="48" t="str">
        <x:v>artifacts/attempt_01/validator_prompt_01.txt</x:v>
      </x:c>
      <x:c r="F11" s="47" t="str">
        <x:v>d01e060eed5c4bd0f265480218b6c3cd9f1e2e6ebe1469ccad0694717aa1516d</x:v>
      </x:c>
      <x:c r="G11" s="59" t="n">
        <x:v>44577</x:v>
      </x:c>
    </x:row>
    <x:row r="12">
      <x:c r="A12" s="47" t="str">
        <x:v>RUN-TRF-088-20260830T010020660289Z</x:v>
      </x:c>
      <x:c r="B12" s="47" t="str">
        <x:v>TRF-088</x:v>
      </x:c>
      <x:c r="C12" s="59" t="n">
        <x:v>1</x:v>
      </x:c>
      <x:c r="D12" s="47" t="str">
        <x:v>validator_raw_response</x:v>
      </x:c>
      <x:c r="E12" s="48" t="str">
        <x:v>artifacts/attempt_01/validator_raw_01.txt</x:v>
      </x:c>
      <x:c r="F12" s="47" t="str">
        <x:v>bbe5959a66d3ee68922c21f91f20d591c6ddf1aca9472c2b1bfb153b7a4900e8</x:v>
      </x:c>
      <x:c r="G12" s="59" t="n">
        <x:v>564</x:v>
      </x:c>
    </x:row>
    <x:row r="13">
      <x:c r="A13" s="47" t="str">
        <x:v>RUN-TRF-088-20260830T010020660289Z</x:v>
      </x:c>
      <x:c r="B13" s="47" t="str">
        <x:v>TRF-088</x:v>
      </x:c>
      <x:c r="C13" s="59" t="n">
        <x:v>2</x:v>
      </x:c>
      <x:c r="D13" s="47" t="str">
        <x:v>generator_prompt</x:v>
      </x:c>
      <x:c r="E13" s="48" t="str">
        <x:v>artifacts/attempt_02/generator_prompt.txt</x:v>
      </x:c>
      <x:c r="F13" s="47" t="str">
        <x:v>cf4a0c71e57721e1b1e885b914146d6a2c7259616ad9327be8fb951356d3431e</x:v>
      </x:c>
      <x:c r="G13" s="59" t="n">
        <x:v>45452</x:v>
      </x:c>
    </x:row>
    <x:row r="14">
      <x:c r="A14" s="47" t="str">
        <x:v>RUN-TRF-088-20260830T010020660289Z</x:v>
      </x:c>
      <x:c r="B14" s="47" t="str">
        <x:v>TRF-088</x:v>
      </x:c>
      <x:c r="C14" s="59" t="n">
        <x:v>2</x:v>
      </x:c>
      <x:c r="D14" s="47" t="str">
        <x:v>generator_raw_response</x:v>
      </x:c>
      <x:c r="E14" s="48" t="str">
        <x:v>artifacts/attempt_02/generator_raw.txt</x:v>
      </x:c>
      <x:c r="F14" s="47" t="str">
        <x:v>c4899d8678024c273c9ce93c2937467c7947b6c699149f362825d99326a58ee8</x:v>
      </x:c>
      <x:c r="G14" s="59" t="n">
        <x:v>3230</x:v>
      </x:c>
    </x:row>
    <x:row r="15">
      <x:c r="A15" s="47" t="str">
        <x:v>RUN-TRF-088-20260830T010020660289Z</x:v>
      </x:c>
      <x:c r="B15" s="47" t="str">
        <x:v>TRF-088</x:v>
      </x:c>
      <x:c r="C15" s="59" t="n">
        <x:v>2</x:v>
      </x:c>
      <x:c r="D15" s="47" t="str">
        <x:v>candidate_shape</x:v>
      </x:c>
      <x:c r="E15" s="48" t="str">
        <x:v>artifacts/attempt_02/candidate_shape.ttl</x:v>
      </x:c>
      <x:c r="F15" s="47" t="str">
        <x:v>db7feac86432ed500f6dde5938d47caac808aff44b94c35602960e14c485f118</x:v>
      </x:c>
      <x:c r="G15" s="59" t="n">
        <x:v>3205</x:v>
      </x:c>
    </x:row>
    <x:row r="16">
      <x:c r="A16" s="47" t="str">
        <x:v>RUN-TRF-088-20260830T010020660289Z</x:v>
      </x:c>
      <x:c r="B16" s="47" t="str">
        <x:v>TRF-088</x:v>
      </x:c>
      <x:c r="C16" s="59" t="n">
        <x:v>2</x:v>
      </x:c>
      <x:c r="D16" s="47" t="str">
        <x:v>deterministic_validation</x:v>
      </x:c>
      <x:c r="E16" s="48" t="str">
        <x:v>artifacts/attempt_02/deterministic_validation.json</x:v>
      </x:c>
      <x:c r="F16" s="47" t="str">
        <x:v>2a0e8f526405e3618544fe85adceb901a714450acd58a0e6eb835239194465ff</x:v>
      </x:c>
      <x:c r="G16" s="59" t="n">
        <x:v>1472</x:v>
      </x:c>
    </x:row>
    <x:row r="17">
      <x:c r="A17" s="47" t="str">
        <x:v>RUN-TRF-088-20260830T010020660289Z</x:v>
      </x:c>
      <x:c r="B17" s="47" t="str">
        <x:v>TRF-088</x:v>
      </x:c>
      <x:c r="C17" s="59" t="n">
        <x:v>2</x:v>
      </x:c>
      <x:c r="D17" s="47" t="str">
        <x:v>validator_prompt</x:v>
      </x:c>
      <x:c r="E17" s="48" t="str">
        <x:v>artifacts/attempt_02/validator_prompt_01.txt</x:v>
      </x:c>
      <x:c r="F17" s="47" t="str">
        <x:v>f17b0877e1caa30def9a42cb25927177f27c9f37087afb0892fceb25164a70a7</x:v>
      </x:c>
      <x:c r="G17" s="59" t="n">
        <x:v>46978</x:v>
      </x:c>
    </x:row>
    <x:row r="18">
      <x:c r="A18" s="47" t="str">
        <x:v>RUN-TRF-088-20260830T010020660289Z</x:v>
      </x:c>
      <x:c r="B18" s="47" t="str">
        <x:v>TRF-088</x:v>
      </x:c>
      <x:c r="C18" s="59" t="n">
        <x:v>2</x:v>
      </x:c>
      <x:c r="D18" s="47" t="str">
        <x:v>validator_raw_response</x:v>
      </x:c>
      <x:c r="E18" s="48" t="str">
        <x:v>artifacts/attempt_02/validator_raw_01.txt</x:v>
      </x:c>
      <x:c r="F18" s="47" t="str">
        <x:v>74175f3f08aab6719ba727a9c5ef0bbf5aa790c4d9e5ef66001c31f4d90ebfc7</x:v>
      </x:c>
      <x:c r="G18" s="59" t="n">
        <x:v>767</x:v>
      </x:c>
    </x:row>
    <x:row r="19">
      <x:c r="A19" s="47" t="str">
        <x:v>RUN-TRF-088-20260830T010020660289Z</x:v>
      </x:c>
      <x:c r="B19" s="47" t="str">
        <x:v>TRF-088</x:v>
      </x:c>
      <x:c r="C19" s="59" t="n">
        <x:v>3</x:v>
      </x:c>
      <x:c r="D19" s="47" t="str">
        <x:v>generator_prompt</x:v>
      </x:c>
      <x:c r="E19" s="48" t="str">
        <x:v>artifacts/attempt_03/generator_prompt.txt</x:v>
      </x:c>
      <x:c r="F19" s="47" t="str">
        <x:v>1594c8851e0a54b23d9427ab86c25d70c155e38b43ecebda0c2001494de68b55</x:v>
      </x:c>
      <x:c r="G19" s="59" t="n">
        <x:v>46434</x:v>
      </x:c>
    </x:row>
    <x:row r="20">
      <x:c r="A20" s="47" t="str">
        <x:v>RUN-TRF-088-20260830T010020660289Z</x:v>
      </x:c>
      <x:c r="B20" s="47" t="str">
        <x:v>TRF-088</x:v>
      </x:c>
      <x:c r="C20" s="59" t="n">
        <x:v>3</x:v>
      </x:c>
      <x:c r="D20" s="47" t="str">
        <x:v>generator_raw_response</x:v>
      </x:c>
      <x:c r="E20" s="48" t="str">
        <x:v>artifacts/attempt_03/generator_raw.txt</x:v>
      </x:c>
      <x:c r="F20" s="47" t="str">
        <x:v>96c0f3f232fcec9cc864d31efadcb2c05ac85593b7b0ecd072333c2e39351543</x:v>
      </x:c>
      <x:c r="G20" s="59" t="n">
        <x:v>3596</x:v>
      </x:c>
    </x:row>
    <x:row r="21">
      <x:c r="A21" s="47" t="str">
        <x:v>RUN-TRF-088-20260830T010020660289Z</x:v>
      </x:c>
      <x:c r="B21" s="47" t="str">
        <x:v>TRF-088</x:v>
      </x:c>
      <x:c r="C21" s="59" t="n">
        <x:v>3</x:v>
      </x:c>
      <x:c r="D21" s="47" t="str">
        <x:v>syntax_repair_prompt</x:v>
      </x:c>
      <x:c r="E21" s="48" t="str">
        <x:v>artifacts/attempt_03/syntax_repair_prompt_01.txt</x:v>
      </x:c>
      <x:c r="F21" s="47" t="str">
        <x:v>ae328da4da14f5b6b081541a69287ad6614ea480cb737143dfc85b6301005df7</x:v>
      </x:c>
      <x:c r="G21" s="59" t="n">
        <x:v>4924</x:v>
      </x:c>
    </x:row>
    <x:row r="22">
      <x:c r="A22" s="47" t="str">
        <x:v>RUN-TRF-088-20260830T010020660289Z</x:v>
      </x:c>
      <x:c r="B22" s="47" t="str">
        <x:v>TRF-088</x:v>
      </x:c>
      <x:c r="C22" s="59" t="n">
        <x:v>3</x:v>
      </x:c>
      <x:c r="D22" s="47" t="str">
        <x:v>syntax_repair_raw_response</x:v>
      </x:c>
      <x:c r="E22" s="48" t="str">
        <x:v>artifacts/attempt_03/syntax_repair_raw_01.txt</x:v>
      </x:c>
      <x:c r="F22" s="47" t="str">
        <x:v>20b58b118895e99335a172d5d0556ff099e6d70b6d5c42fb6743f139ceca80a2</x:v>
      </x:c>
      <x:c r="G22" s="59" t="n">
        <x:v>3596</x:v>
      </x:c>
    </x:row>
    <x:row r="23">
      <x:c r="A23" s="47" t="str">
        <x:v>RUN-TRF-088-20260830T010020660289Z</x:v>
      </x:c>
      <x:c r="B23" s="47" t="str">
        <x:v>TRF-088</x:v>
      </x:c>
      <x:c r="C23" s="59" t="n">
        <x:v>3</x:v>
      </x:c>
      <x:c r="D23" s="47" t="str">
        <x:v>candidate_shape</x:v>
      </x:c>
      <x:c r="E23" s="48" t="str">
        <x:v>artifacts/attempt_03/candidate_shape.ttl</x:v>
      </x:c>
      <x:c r="F23" s="47" t="str">
        <x:v>3d2d33d15130fbdaf0e881f17a1029d7f6b5dbc2cc5f94a195e54722b4b76d67</x:v>
      </x:c>
      <x:c r="G23" s="59" t="n">
        <x:v>3571</x:v>
      </x:c>
    </x:row>
    <x:row r="24">
      <x:c r="A24" s="47" t="str">
        <x:v>RUN-TRF-088-20260830T010020660289Z</x:v>
      </x:c>
      <x:c r="B24" s="47" t="str">
        <x:v>TRF-088</x:v>
      </x:c>
      <x:c r="C24" s="59" t="n">
        <x:v>3</x:v>
      </x:c>
      <x:c r="D24" s="47" t="str">
        <x:v>deterministic_validation</x:v>
      </x:c>
      <x:c r="E24" s="48" t="str">
        <x:v>artifacts/attempt_03/deterministic_validation.json</x:v>
      </x:c>
      <x:c r="F24" s="47" t="str">
        <x:v>f19947d3cb668fad372d13d45bb6793f93961e4bd2b9ab7638b95872b51a6949</x:v>
      </x:c>
      <x:c r="G24" s="59" t="n">
        <x:v>924</x:v>
      </x:c>
    </x:row>
    <x:row r="25">
      <x:c r="A25" s="47" t="str">
        <x:v>RUN-TRF-088-20260830T010020660289Z</x:v>
      </x:c>
      <x:c r="B25" s="47" t="str">
        <x:v>TRF-088</x:v>
      </x:c>
      <x:c r="C25" s="59" t="n">
        <x:v>3</x:v>
      </x:c>
      <x:c r="D25" s="47" t="str">
        <x:v>validator_prompt</x:v>
      </x:c>
      <x:c r="E25" s="48" t="str">
        <x:v>artifacts/attempt_03/validator_prompt_01.txt</x:v>
      </x:c>
      <x:c r="F25" s="47" t="str">
        <x:v>dfa5b05f4c98b6c3ca6d582d7a113c0c39f977830318cea0ff077125e08af9e6</x:v>
      </x:c>
      <x:c r="G25" s="59" t="n">
        <x:v>46266</x:v>
      </x:c>
    </x:row>
    <x:row r="26">
      <x:c r="A26" s="47" t="str">
        <x:v>RUN-TRF-088-20260830T010020660289Z</x:v>
      </x:c>
      <x:c r="B26" s="47" t="str">
        <x:v>TRF-088</x:v>
      </x:c>
      <x:c r="C26" s="59" t="n">
        <x:v>3</x:v>
      </x:c>
      <x:c r="D26" s="47" t="str">
        <x:v>validator_raw_response</x:v>
      </x:c>
      <x:c r="E26" s="48" t="str">
        <x:v>artifacts/attempt_03/validator_raw_01.txt</x:v>
      </x:c>
      <x:c r="F26" s="47" t="str">
        <x:v>5e279c06329acd8522a8cd15b097fa4583ec012b657decf646ab893d60c13ee4</x:v>
      </x:c>
      <x:c r="G26" s="59" t="n">
        <x:v>774</x:v>
      </x:c>
    </x:row>
    <x:row r="27">
      <x:c r="A27" s="47" t="str">
        <x:v>RUN-TRF-088-20260830T010020660289Z</x:v>
      </x:c>
      <x:c r="B27" s="47" t="str">
        <x:v>TRF-088</x:v>
      </x:c>
      <x:c r="C27" s="59" t="n">
        <x:v>4</x:v>
      </x:c>
      <x:c r="D27" s="47" t="str">
        <x:v>generator_prompt</x:v>
      </x:c>
      <x:c r="E27" s="48" t="str">
        <x:v>artifacts/attempt_04/generator_prompt.txt</x:v>
      </x:c>
      <x:c r="F27" s="47" t="str">
        <x:v>83d84c44e765d85b4425a0c5aa127d8ca9b0acb5d9899d74cf859a37c0dd17a2</x:v>
      </x:c>
      <x:c r="G27" s="59" t="n">
        <x:v>47151</x:v>
      </x:c>
    </x:row>
    <x:row r="28">
      <x:c r="A28" s="47" t="str">
        <x:v>RUN-TRF-088-20260830T010020660289Z</x:v>
      </x:c>
      <x:c r="B28" s="47" t="str">
        <x:v>TRF-088</x:v>
      </x:c>
      <x:c r="C28" s="59" t="n">
        <x:v>4</x:v>
      </x:c>
      <x:c r="D28" s="47" t="str">
        <x:v>generator_raw_response</x:v>
      </x:c>
      <x:c r="E28" s="48" t="str">
        <x:v>artifacts/attempt_04/generator_raw.txt</x:v>
      </x:c>
      <x:c r="F28" s="47" t="str">
        <x:v>4fb31961ac323a1ed960c8870c0fdf2ef4fa764c8a81e502ba89d533fb991ebd</x:v>
      </x:c>
      <x:c r="G28" s="59" t="n">
        <x:v>3705</x:v>
      </x:c>
    </x:row>
    <x:row r="29">
      <x:c r="A29" s="47" t="str">
        <x:v>RUN-TRF-088-20260830T010020660289Z</x:v>
      </x:c>
      <x:c r="B29" s="47" t="str">
        <x:v>TRF-088</x:v>
      </x:c>
      <x:c r="C29" s="59" t="n">
        <x:v>4</x:v>
      </x:c>
      <x:c r="D29" s="47" t="str">
        <x:v>syntax_repair_prompt</x:v>
      </x:c>
      <x:c r="E29" s="48" t="str">
        <x:v>artifacts/attempt_04/syntax_repair_prompt_01.txt</x:v>
      </x:c>
      <x:c r="F29" s="47" t="str">
        <x:v>ebe8ded82b20744d4a9785b56405022a85fca184dcec82269fe7fea30da8fe17</x:v>
      </x:c>
      <x:c r="G29" s="59" t="n">
        <x:v>5008</x:v>
      </x:c>
    </x:row>
    <x:row r="30">
      <x:c r="A30" s="47" t="str">
        <x:v>RUN-TRF-088-20260830T010020660289Z</x:v>
      </x:c>
      <x:c r="B30" s="47" t="str">
        <x:v>TRF-088</x:v>
      </x:c>
      <x:c r="C30" s="59" t="n">
        <x:v>4</x:v>
      </x:c>
      <x:c r="D30" s="47" t="str">
        <x:v>syntax_repair_raw_response</x:v>
      </x:c>
      <x:c r="E30" s="48" t="str">
        <x:v>artifacts/attempt_04/syntax_repair_raw_01.txt</x:v>
      </x:c>
      <x:c r="F30" s="47" t="str">
        <x:v>2250ec405d8d4ed50f74a65a97a0edca19c2c4401a84b099c1ad05b62ba783f7</x:v>
      </x:c>
      <x:c r="G30" s="59" t="n">
        <x:v>3705</x:v>
      </x:c>
    </x:row>
    <x:row r="31">
      <x:c r="A31" s="47" t="str">
        <x:v>RUN-TRF-088-20260830T010020660289Z</x:v>
      </x:c>
      <x:c r="B31" s="47" t="str">
        <x:v>TRF-088</x:v>
      </x:c>
      <x:c r="C31" s="59" t="n">
        <x:v>4</x:v>
      </x:c>
      <x:c r="D31" s="47" t="str">
        <x:v>candidate_shape</x:v>
      </x:c>
      <x:c r="E31" s="48" t="str">
        <x:v>artifacts/attempt_04/candidate_shape.ttl</x:v>
      </x:c>
      <x:c r="F31" s="47" t="str">
        <x:v>d89a66c140ec55a0aa4627c0c911ce63e19f484740f10153554b83b2c14c4f1a</x:v>
      </x:c>
      <x:c r="G31" s="59" t="n">
        <x:v>3680</x:v>
      </x:c>
    </x:row>
    <x:row r="32">
      <x:c r="A32" s="47" t="str">
        <x:v>RUN-TRF-088-20260830T010020660289Z</x:v>
      </x:c>
      <x:c r="B32" s="47" t="str">
        <x:v>TRF-088</x:v>
      </x:c>
      <x:c r="C32" s="59" t="n">
        <x:v>4</x:v>
      </x:c>
      <x:c r="D32" s="47" t="str">
        <x:v>deterministic_validation</x:v>
      </x:c>
      <x:c r="E32" s="48" t="str">
        <x:v>artifacts/attempt_04/deterministic_validation.json</x:v>
      </x:c>
      <x:c r="F32" s="47" t="str">
        <x:v>7607f0a66921e0d3b07fb742dfcad2728b9b0aa0e44519494a09c22a11df913e</x:v>
      </x:c>
      <x:c r="G32" s="59" t="n">
        <x:v>920</x:v>
      </x:c>
    </x:row>
    <x:row r="33">
      <x:c r="A33" s="47" t="str">
        <x:v>RUN-TRF-088-20260830T010020660289Z</x:v>
      </x:c>
      <x:c r="B33" s="47" t="str">
        <x:v>TRF-088</x:v>
      </x:c>
      <x:c r="C33" s="59" t="n">
        <x:v>4</x:v>
      </x:c>
      <x:c r="D33" s="47" t="str">
        <x:v>validator_prompt</x:v>
      </x:c>
      <x:c r="E33" s="48" t="str">
        <x:v>artifacts/attempt_04/validator_prompt_01.txt</x:v>
      </x:c>
      <x:c r="F33" s="47" t="str">
        <x:v>648240b2aacf3e57dc50138a7985c7841c2fa83666996a899a8e32c6c124cb98</x:v>
      </x:c>
      <x:c r="G33" s="59" t="n">
        <x:v>47065</x:v>
      </x:c>
    </x:row>
    <x:row r="34">
      <x:c r="A34" s="47" t="str">
        <x:v>RUN-TRF-088-20260830T010020660289Z</x:v>
      </x:c>
      <x:c r="B34" s="47" t="str">
        <x:v>TRF-088</x:v>
      </x:c>
      <x:c r="C34" s="59" t="n">
        <x:v>4</x:v>
      </x:c>
      <x:c r="D34" s="47" t="str">
        <x:v>validator_raw_response</x:v>
      </x:c>
      <x:c r="E34" s="48" t="str">
        <x:v>artifacts/attempt_04/validator_raw_01.txt</x:v>
      </x:c>
      <x:c r="F34" s="47" t="str">
        <x:v>6977945cd9e4903048b32c5e01946c480106e5117e208169cc4ba0f787e10dcb</x:v>
      </x:c>
      <x:c r="G34" s="59" t="n">
        <x:v>938</x:v>
      </x:c>
    </x:row>
    <x:row r="35">
      <x:c r="A35" s="47" t="str">
        <x:v>RUN-TRF-088-20260830T010020660289Z</x:v>
      </x:c>
      <x:c r="B35" s="47" t="str">
        <x:v>TRF-088</x:v>
      </x:c>
      <x:c r="C35" s="59" t="n">
        <x:v>4</x:v>
      </x:c>
      <x:c r="D35" s="47" t="str">
        <x:v>matcher_candidates</x:v>
      </x:c>
      <x:c r="E35" s="48" t="str">
        <x:v>artifacts/attempt_04/matcher_candidates.json</x:v>
      </x:c>
      <x:c r="F35" s="47" t="str">
        <x:v>7fa1f649ca51d8876c6c08039236ce55ff570a3effbc01cbd8ae142d33513b5b</x:v>
      </x:c>
      <x:c r="G35" s="59" t="n">
        <x:v>5513</x:v>
      </x:c>
    </x:row>
    <x:row r="36">
      <x:c r="A36" s="47" t="str">
        <x:v>RUN-TRF-088-20260830T010020660289Z</x:v>
      </x:c>
      <x:c r="B36" s="47" t="str">
        <x:v>TRF-088</x:v>
      </x:c>
      <x:c r="C36" s="59" t="n">
        <x:v>4</x:v>
      </x:c>
      <x:c r="D36" s="47" t="str">
        <x:v>vocabulary_matcher_prompt</x:v>
      </x:c>
      <x:c r="E36" s="48" t="str">
        <x:v>artifacts/attempt_04/vocabulary_matcher_prompt_01.txt</x:v>
      </x:c>
      <x:c r="F36" s="47" t="str">
        <x:v>c41a91f9e1eb056333189ee387f5d43cae0298141d1e76bc921dc410ead9a19f</x:v>
      </x:c>
      <x:c r="G36" s="59" t="n">
        <x:v>11702</x:v>
      </x:c>
    </x:row>
    <x:row r="37">
      <x:c r="A37" s="49" t="str">
        <x:v>RUN-TRF-088-20260830T010020660289Z</x:v>
      </x:c>
      <x:c r="B37" s="49" t="str">
        <x:v>TRF-088</x:v>
      </x:c>
      <x:c r="C37" s="60" t="n">
        <x:v>4</x:v>
      </x:c>
      <x:c r="D37" s="49" t="str">
        <x:v>vocabulary_matcher_raw_response</x:v>
      </x:c>
      <x:c r="E37" s="50" t="str">
        <x:v>artifacts/attempt_04/vocabulary_matcher_raw_01.txt</x:v>
      </x:c>
      <x:c r="F37" s="49" t="str">
        <x:v>d03cc403ea40fcf7372625365bb137ad00de16d76769f08c0e972be017c82710</x:v>
      </x:c>
      <x:c r="G37" s="60" t="n">
        <x:v>448</x:v>
      </x:c>
    </x:row>
  </x:sheetData>
  <x:pageMargins left="0.7" right="0.7" top="0.75" bottom="0.75" header="0.3" footer="0.3"/>
  <x:tableParts count="1">
    <x:tablePart xmlns:r="http://schemas.openxmlformats.org/officeDocument/2006/relationships" r:id="R9c8e309e406046c3"/>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RUN-TRF-088-20260830T010020660289Z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RUN-TRF-088-20260830T010020660289Z</x:v>
      </x:c>
      <x:c r="B5" s="69" t="str">
        <x:v>TRF-088</x:v>
      </x:c>
      <x:c r="C5" s="71" t="n">
        <x:v>4</x:v>
      </x:c>
      <x:c r="D5" s="69" t="str">
        <x:v>MAX_ATTEMPTS_REACHED</x:v>
      </x:c>
      <x:c r="E5" s="73" t="str">
        <x:v>Preserve the prior table-selection/result binding, explicit unknown applicability branch, lookup evidence, and non-vocabulary generated-shape repair. The current SPARQL still places qudt:numericValue on nltl:traficomTable6Dash10, a tableReferenceValue whose authoritative requiredOwner is ship, rather than using the declared owner or an approved canonical cross-owner path. Locate the missing canonical table-selection/result path or term, then replace this global controlled-individual lookup with a bounded DIRECT_STATIC constraint that binds the ship's maximumEngineTorque quantity (including its kN*m unit) by explicit equality to the value selected through the Table 6-10 lookup case and tableReference, while retaining tableLookupApplied=true and lookupSelectionEvidence. Do not invent a new nltl term or relocate the tableReferenceValue property to a convenient node.</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55247730f0cc4066"/>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RUN-TRF-088-20260830T010020660289Z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