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d2639ec95c4f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746703a56284bfb"/>
    <x:sheet xmlns:r="http://schemas.openxmlformats.org/officeDocument/2006/relationships" name="README" sheetId="2" r:id="R1dc69ed3f61c4569"/>
    <x:sheet xmlns:r="http://schemas.openxmlformats.org/officeDocument/2006/relationships" name="REGULATION_QUEUE" sheetId="3" r:id="Reb247d0123144e01"/>
    <x:sheet xmlns:r="http://schemas.openxmlformats.org/officeDocument/2006/relationships" name="RUNS" sheetId="4" r:id="R6feb1e76d78048bd"/>
    <x:sheet xmlns:r="http://schemas.openxmlformats.org/officeDocument/2006/relationships" name="ITERATIONS" sheetId="5" r:id="R6019251be3044b7b"/>
    <x:sheet xmlns:r="http://schemas.openxmlformats.org/officeDocument/2006/relationships" name="API_CALLS" sheetId="6" r:id="Rd3b7b947fac14d09"/>
    <x:sheet xmlns:r="http://schemas.openxmlformats.org/officeDocument/2006/relationships" name="TERM_RETRIEVAL" sheetId="7" r:id="Ra6d0c1e026364ddd"/>
    <x:sheet xmlns:r="http://schemas.openxmlformats.org/officeDocument/2006/relationships" name="FEW_SHOT_SELECTION" sheetId="8" r:id="R5250860ac4ed49c1"/>
    <x:sheet xmlns:r="http://schemas.openxmlformats.org/officeDocument/2006/relationships" name="VALIDATION" sheetId="9" r:id="R4edcb0050f5a4771"/>
    <x:sheet xmlns:r="http://schemas.openxmlformats.org/officeDocument/2006/relationships" name="VOCAB_MATCHES" sheetId="10" r:id="R1caf004e09d1496c"/>
    <x:sheet xmlns:r="http://schemas.openxmlformats.org/officeDocument/2006/relationships" name="ARTIFACTS" sheetId="11" r:id="Rfd0decb421ed4972"/>
    <x:sheet xmlns:r="http://schemas.openxmlformats.org/officeDocument/2006/relationships" name="UNRESOLVED" sheetId="12" r:id="R4d715b44dfbe462b"/>
    <x:sheet xmlns:r="http://schemas.openxmlformats.org/officeDocument/2006/relationships" name="RDF_TEST_QUEUE" sheetId="13" r:id="Rbba496be87254b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477f6016894d03" /><Relationship Type="http://schemas.openxmlformats.org/officeDocument/2006/relationships/theme" Target="/xl/theme/theme1.xml" Id="R63f8843f76ea482c" /><Relationship Type="http://schemas.microsoft.com/office/2022/11/relationships/FeaturePropertyBag" Target="/xl/featurePropertyBag/featurePropertyBag.xml" Id="R2ed8fc4d791843a3" /><Relationship Type="http://schemas.openxmlformats.org/officeDocument/2006/relationships/sharedStrings" Target="/xl/sharedStrings.xml" Id="R864a8a5490404d2f" /><Relationship Type="http://schemas.openxmlformats.org/officeDocument/2006/relationships/worksheet" Target="/xl/worksheets/sheet1.xml" Id="Rf746703a56284bfb" /><Relationship Type="http://schemas.openxmlformats.org/officeDocument/2006/relationships/worksheet" Target="/xl/worksheets/sheet2.xml" Id="R1dc69ed3f61c4569" /><Relationship Type="http://schemas.openxmlformats.org/officeDocument/2006/relationships/worksheet" Target="/xl/worksheets/sheet3.xml" Id="Reb247d0123144e01" /><Relationship Type="http://schemas.openxmlformats.org/officeDocument/2006/relationships/worksheet" Target="/xl/worksheets/sheet4.xml" Id="R6feb1e76d78048bd" /><Relationship Type="http://schemas.openxmlformats.org/officeDocument/2006/relationships/worksheet" Target="/xl/worksheets/sheet5.xml" Id="R6019251be3044b7b" /><Relationship Type="http://schemas.openxmlformats.org/officeDocument/2006/relationships/worksheet" Target="/xl/worksheets/sheet6.xml" Id="Rd3b7b947fac14d09" /><Relationship Type="http://schemas.openxmlformats.org/officeDocument/2006/relationships/worksheet" Target="/xl/worksheets/sheet7.xml" Id="Ra6d0c1e026364ddd" /><Relationship Type="http://schemas.openxmlformats.org/officeDocument/2006/relationships/worksheet" Target="/xl/worksheets/sheet8.xml" Id="R5250860ac4ed49c1" /><Relationship Type="http://schemas.openxmlformats.org/officeDocument/2006/relationships/worksheet" Target="/xl/worksheets/sheet9.xml" Id="R4edcb0050f5a4771" /><Relationship Type="http://schemas.openxmlformats.org/officeDocument/2006/relationships/worksheet" Target="/xl/worksheets/sheet10.xml" Id="R1caf004e09d1496c" /><Relationship Type="http://schemas.openxmlformats.org/officeDocument/2006/relationships/worksheet" Target="/xl/worksheets/sheet11.xml" Id="Rfd0decb421ed4972" /><Relationship Type="http://schemas.openxmlformats.org/officeDocument/2006/relationships/worksheet" Target="/xl/worksheets/sheet12.xml" Id="R4d715b44dfbe462b" /><Relationship Type="http://schemas.openxmlformats.org/officeDocument/2006/relationships/worksheet" Target="/xl/worksheets/sheet13.xml" Id="Rbba496be87254b9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a3cea2b966744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177fb698f1049c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0c3d844779145e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a1d562cb28e4b7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17b712f4e3e4d3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1d62ac57634489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ed90a33a9b9461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f4d3fe7752342c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f467e16fdbe4e3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1d0c91b33d44ff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RUN-I2-029-20260830T070203933123Z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13675.57075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RUN-I2-029-20260830T070203933123Z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a3cea2b9667445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RUN-I2-029-20260830T070203933123Z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GENERATION_ACCEPTED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77fb698f1049c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RUN-I2-029-20260830T070203933123Z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RUN-I2-029-20260830T070203933123Z</x:v>
      </x:c>
      <x:c r="C5" s="69" t="str">
        <x:v>I2-029</x:v>
      </x:c>
      <x:c r="D5" s="70" t="n">
        <x:v>46264.29310108796</x:v>
      </x:c>
      <x:c r="E5" s="70" t="n">
        <x:v>46264.29341895833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COMPLETE DIRECT_STATIC contract: it targets ships, follows the supplied ship-to-calculationCase and calculationCase-to-structuralMember paths, enforces both attached-shell conditions, requires explicit flange-material representation, and conditionally requires a fitted flange when flange material is included.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c3d844779145e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RUN-I2-029-20260830T070203933123Z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RUN-I2-029-20260830T070203933123Z</x:v>
      </x:c>
      <x:c r="B5" s="69" t="str">
        <x:v>I2-029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COMPLETE DIRECT_STATIC contract: it targets ships, follows the supplied ship-to-calculationCase and calculationCase-to-structuralMember paths, enforces both attached-shell conditions, requires explicit flange-material representation, and conditionally requires a fitted flange when flange material is included.</x:v>
      </x:c>
      <x:c r="I5" s="75" t="n">
        <x:v>19145.721</x:v>
      </x:c>
      <x:c r="J5" s="75" t="n">
        <x:v>8206.941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1d562cb28e4b7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RUN-I2-029-20260830T070203933123Z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RUN-I2-029-20260830T070203933123Z</x:v>
      </x:c>
      <x:c r="C5" s="45" t="str">
        <x:v>I2-029</x:v>
      </x:c>
      <x:c r="D5" s="88" t="n">
        <x:v>46264.29332268518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19144.12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RUN-I2-029-20260830T070203933123Z</x:v>
      </x:c>
      <x:c r="C6" s="47" t="str">
        <x:v>I2-029</x:v>
      </x:c>
      <x:c r="D6" s="91" t="n">
        <x:v>46264.29332269676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19145.721</x:v>
      </x:c>
      <x:c r="L6" s="93" t="b">
        <x:v>0</x:v>
      </x:c>
      <x:c r="M6" s="47" t="str">
        <x:v>resp_0c33a5e50a7fccbc006a93d56c33788195b9992cbc5e75f33b</x:v>
      </x:c>
      <x:c r="N6" s="59" t="n">
        <x:v>8390</x:v>
      </x:c>
      <x:c r="O6" s="59" t="n">
        <x:v>1547</x:v>
      </x:c>
      <x:c r="P6" s="59" t="n">
        <x:v>9937</x:v>
      </x:c>
    </x:row>
    <x:row r="7">
      <x:c r="A7" s="47" t="str">
        <x:v>EVT-000030</x:v>
      </x:c>
      <x:c r="B7" s="47" t="str">
        <x:v>RUN-I2-029-20260830T070203933123Z</x:v>
      </x:c>
      <x:c r="C7" s="47" t="str">
        <x:v>I2-029</x:v>
      </x:c>
      <x:c r="D7" s="91" t="n">
        <x:v>46264.29341888889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8205.501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RUN-I2-029-20260830T070203933123Z</x:v>
      </x:c>
      <x:c r="C8" s="49" t="str">
        <x:v>I2-029</x:v>
      </x:c>
      <x:c r="D8" s="94" t="n">
        <x:v>46264.293418912035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8206.941</x:v>
      </x:c>
      <x:c r="L8" s="96" t="b">
        <x:v>0</x:v>
      </x:c>
      <x:c r="M8" s="49" t="str">
        <x:v>resp_0997bde1184d3392006a93d57f5c188195997efc96ccfdb998</x:v>
      </x:c>
      <x:c r="N8" s="60" t="n">
        <x:v>8396</x:v>
      </x:c>
      <x:c r="O8" s="60" t="n">
        <x:v>549</x:v>
      </x:c>
      <x:c r="P8" s="60" t="n">
        <x:v>8945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7b712f4e3e4d3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RUN-I2-029-20260830T070203933123Z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RUN-I2-029-20260830T070203933123Z</x:v>
      </x:c>
      <x:c r="B5" s="45" t="str">
        <x:v>I2-029</x:v>
      </x:c>
      <x:c r="C5" s="45" t="str">
        <x:v>attachedShellPlatingExcludedFromShearArea</x:v>
      </x:c>
      <x:c r="D5" s="46" t="str">
        <x:v>https://w3id.org/nltl/vocab#attachedShellPlatingExcludedFromShearArea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RUN-I2-029-20260830T070203933123Z</x:v>
      </x:c>
      <x:c r="B6" s="47" t="str">
        <x:v>I2-029</x:v>
      </x:c>
      <x:c r="C6" s="47" t="str">
        <x:v>attachedShellPlatingIncludedInSectionModulus</x:v>
      </x:c>
      <x:c r="D6" s="48" t="str">
        <x:v>https://w3id.org/nltl/vocab#attachedShellPlatingIncludedInSectionModulus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RUN-I2-029-20260830T070203933123Z</x:v>
      </x:c>
      <x:c r="B7" s="47" t="str">
        <x:v>I2-029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range dependency of calculationCase</x:v>
      </x:c>
      <x:c r="J7" s="47" t="n">
        <x:v>0</x:v>
      </x:c>
    </x:row>
    <x:row r="8">
      <x:c r="A8" s="47" t="str">
        <x:v>RUN-I2-029-20260830T070203933123Z</x:v>
      </x:c>
      <x:c r="B8" s="47" t="str">
        <x:v>I2-029</x:v>
      </x:c>
      <x:c r="C8" s="47" t="str">
        <x:v>calculationCase</x:v>
      </x:c>
      <x:c r="D8" s="48" t="str">
        <x:v>https://w3id.org/nltl/vocab#calculationCase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attachedShellPlatingExcludedFromShearArea; domain dependency of attachedShellPlatingIncludedInSectionModulus; domain dependency of flangeMaterialIncludedInShearArea; domain dependency of sectionCalculationCaseStructuralMember; linked by the locked 313-requirement index; range dependency of hasCalculationCase</x:v>
      </x:c>
      <x:c r="J8" s="47" t="n">
        <x:v>0</x:v>
      </x:c>
    </x:row>
    <x:row r="9">
      <x:c r="A9" s="47" t="str">
        <x:v>RUN-I2-029-20260830T070203933123Z</x:v>
      </x:c>
      <x:c r="B9" s="47" t="str">
        <x:v>I2-029</x:v>
      </x:c>
      <x:c r="C9" s="47" t="str">
        <x:v>flangeFitted</x:v>
      </x:c>
      <x:c r="D9" s="48" t="str">
        <x:v>https://w3id.org/nltl/vocab#flangeFitted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RUN-I2-029-20260830T070203933123Z</x:v>
      </x:c>
      <x:c r="B10" s="47" t="str">
        <x:v>I2-029</x:v>
      </x:c>
      <x:c r="C10" s="47" t="str">
        <x:v>flangeMaterialIncludedInShearArea</x:v>
      </x:c>
      <x:c r="D10" s="48" t="str">
        <x:v>https://w3id.org/nltl/vocab#flangeMaterialIncludedInShearArea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RUN-I2-029-20260830T070203933123Z</x:v>
      </x:c>
      <x:c r="B11" s="47" t="str">
        <x:v>I2-029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RUN-I2-029-20260830T070203933123Z</x:v>
      </x:c>
      <x:c r="B12" s="47" t="str">
        <x:v>I2-029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RUN-I2-029-20260830T070203933123Z</x:v>
      </x:c>
      <x:c r="B13" s="47" t="str">
        <x:v>I2-029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</x:v>
      </x:c>
      <x:c r="J13" s="47" t="n">
        <x:v>0</x:v>
      </x:c>
    </x:row>
    <x:row r="14">
      <x:c r="A14" s="47" t="str">
        <x:v>RUN-I2-029-20260830T070203933123Z</x:v>
      </x:c>
      <x:c r="B14" s="47" t="str">
        <x:v>I2-029</x:v>
      </x:c>
      <x:c r="C14" s="47" t="str">
        <x:v>hullStructure</x:v>
      </x:c>
      <x:c r="D14" s="48" t="str">
        <x:v>https://w3id.org/nltl/vocab#hullStructure</x:v>
      </x:c>
      <x:c r="E14" s="47" t="str">
        <x:v>Class</x:v>
      </x:c>
      <x:c r="F14" s="47" t="str"/>
      <x:c r="G14" s="47" t="str"/>
      <x:c r="H14" s="47" t="str"/>
      <x:c r="I14" s="48" t="str">
        <x:v>range dependency of structuralMember</x:v>
      </x:c>
      <x:c r="J14" s="47" t="n">
        <x:v>0</x:v>
      </x:c>
    </x:row>
    <x:row r="15">
      <x:c r="A15" s="47" t="str">
        <x:v>RUN-I2-029-20260830T070203933123Z</x:v>
      </x:c>
      <x:c r="B15" s="47" t="str">
        <x:v>I2-029</x:v>
      </x:c>
      <x:c r="C15" s="47" t="str">
        <x:v>sectionCalculationCaseStructuralMember</x:v>
      </x:c>
      <x:c r="D15" s="48" t="str">
        <x:v>https://w3id.org/nltl/vocab#sectionCalculationCaseStructuralMember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RUN-I2-029-20260830T070203933123Z</x:v>
      </x:c>
      <x:c r="B16" s="47" t="str">
        <x:v>I2-029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hasCalculationCase; linked by the locked 313-requirement index</x:v>
      </x:c>
      <x:c r="J16" s="47" t="n">
        <x:v>0</x:v>
      </x:c>
    </x:row>
    <x:row r="17">
      <x:c r="A17" s="47" t="str">
        <x:v>RUN-I2-029-20260830T070203933123Z</x:v>
      </x:c>
      <x:c r="B17" s="47" t="str">
        <x:v>I2-029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RUN-I2-029-20260830T070203933123Z</x:v>
      </x:c>
      <x:c r="B18" s="49" t="str">
        <x:v>I2-029</x:v>
      </x:c>
      <x:c r="C18" s="49" t="str">
        <x:v>structuralMember</x:v>
      </x:c>
      <x:c r="D18" s="50" t="str">
        <x:v>https://w3id.org/nltl/vocab#structuralMember</x:v>
      </x:c>
      <x:c r="E18" s="49" t="str">
        <x:v>Class</x:v>
      </x:c>
      <x:c r="F18" s="49" t="str"/>
      <x:c r="G18" s="49" t="str">
        <x:v>https://w3id.org/nltl/vocab#hullStructure</x:v>
      </x:c>
      <x:c r="H18" s="49" t="str"/>
      <x:c r="I18" s="50" t="str">
        <x:v>authoritative required owner class; domain dependency of flangeFitted; linked by the locked 313-requirement index; range dependency of sectionCalculationCaseStructuralMember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1d62ac57634489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RUN-I2-029-20260830T070203933123Z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RUN-I2-029-20260830T070203933123Z</x:v>
      </x:c>
      <x:c r="B5" s="45" t="str">
        <x:v>I2-029</x:v>
      </x:c>
      <x:c r="C5" s="45" t="str">
        <x:v>FS-BOOL-01</x:v>
      </x:c>
      <x:c r="D5" s="45" t="str">
        <x:v>boolean_state</x:v>
      </x:c>
      <x:c r="E5" s="99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RUN-I2-029-20260830T070203933123Z</x:v>
      </x:c>
      <x:c r="B6" s="49" t="str">
        <x:v>I2-029</x:v>
      </x:c>
      <x:c r="C6" s="49" t="str">
        <x:v>FS-BOOL-02</x:v>
      </x:c>
      <x:c r="D6" s="49" t="str">
        <x:v>boolean_state</x:v>
      </x:c>
      <x:c r="E6" s="100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d90a33a9b9461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RUN-I2-029-20260830T070203933123Z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RUN-I2-029-20260830T070203933123Z</x:v>
      </x:c>
      <x:c r="B5" s="69" t="str">
        <x:v>I2-029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https://w3id.org/nltl/vocab#attachedShellPlatingExcludedFromShearArea | https://w3id.org/nltl/vocab#attachedShellPlatingIncludedInSectionModulus | https://w3id.org/nltl/vocab#calculationCase | https://w3id.org/nltl/vocab#flangeFitted | https://w3id.org/nltl/vocab#flangeMaterialIncludedInShearArea | https://w3id.org/nltl/vocab#hasCalculationCase | https://w3id.org/nltl/vocab#sectionCalculationCaseStructuralMember | https://w3id.org/nltl/vocab#ship | https://w3id.org/nltl/vocab#structuralMember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f4d3fe7752342c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RUN-I2-029-20260830T070203933123Z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RUN-I2-029-20260830T070203933123Z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RUN-I2-029-20260830T070203933123Z</x:v>
      </x:c>
      <x:c r="B5" s="45" t="str">
        <x:v>I2-029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933724dd894b716fc0d87394093b6012476d9bf3d62642d82ea76d203afa712c</x:v>
      </x:c>
      <x:c r="G5" s="58" t="n">
        <x:v>21261</x:v>
      </x:c>
    </x:row>
    <x:row r="6">
      <x:c r="A6" s="47" t="str">
        <x:v>RUN-I2-029-20260830T070203933123Z</x:v>
      </x:c>
      <x:c r="B6" s="47" t="str">
        <x:v>I2-029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RUN-I2-029-20260830T070203933123Z</x:v>
      </x:c>
      <x:c r="B7" s="47" t="str">
        <x:v>I2-029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88c7bb08943fd9a35ceb2ae6118b3b0acfb5676e67bf2032bff30cf44d82bb9f</x:v>
      </x:c>
      <x:c r="G7" s="59" t="n">
        <x:v>35885</x:v>
      </x:c>
    </x:row>
    <x:row r="8">
      <x:c r="A8" s="47" t="str">
        <x:v>RUN-I2-029-20260830T070203933123Z</x:v>
      </x:c>
      <x:c r="B8" s="47" t="str">
        <x:v>I2-029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b092c8cb5a7c116e0f9a8cc49065625f3f50665dc570249d6458a497ca8da512</x:v>
      </x:c>
      <x:c r="G8" s="59" t="n">
        <x:v>2614</x:v>
      </x:c>
    </x:row>
    <x:row r="9">
      <x:c r="A9" s="47" t="str">
        <x:v>RUN-I2-029-20260830T070203933123Z</x:v>
      </x:c>
      <x:c r="B9" s="47" t="str">
        <x:v>I2-029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15605a13d1ee22b299f2ee8e7cf94adbbebc92867780887521642c9a56c9bee4</x:v>
      </x:c>
      <x:c r="G9" s="59" t="n">
        <x:v>2589</x:v>
      </x:c>
    </x:row>
    <x:row r="10">
      <x:c r="A10" s="47" t="str">
        <x:v>RUN-I2-029-20260830T070203933123Z</x:v>
      </x:c>
      <x:c r="B10" s="47" t="str">
        <x:v>I2-029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f692973e4da0e50cf3c54304986d16eea75ce78bbe3fd6f64a74d37fa536f4df</x:v>
      </x:c>
      <x:c r="G10" s="59" t="n">
        <x:v>934</x:v>
      </x:c>
    </x:row>
    <x:row r="11">
      <x:c r="A11" s="47" t="str">
        <x:v>RUN-I2-029-20260830T070203933123Z</x:v>
      </x:c>
      <x:c r="B11" s="47" t="str">
        <x:v>I2-029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b069bb974ad247dea2e7191f83525a67d67cd313bf9728e6ac8dd111001efc76</x:v>
      </x:c>
      <x:c r="G11" s="59" t="n">
        <x:v>34724</x:v>
      </x:c>
    </x:row>
    <x:row r="12">
      <x:c r="A12" s="47" t="str">
        <x:v>RUN-I2-029-20260830T070203933123Z</x:v>
      </x:c>
      <x:c r="B12" s="47" t="str">
        <x:v>I2-029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91024d4a273914a3e6a5fe582ebc3c554b4f139b61c756720020eb5e95468707</x:v>
      </x:c>
      <x:c r="G12" s="59" t="n">
        <x:v>437</x:v>
      </x:c>
    </x:row>
    <x:row r="13">
      <x:c r="A13" s="49" t="str">
        <x:v>RUN-I2-029-20260830T070203933123Z</x:v>
      </x:c>
      <x:c r="B13" s="49" t="str">
        <x:v>I2-029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15605a13d1ee22b299f2ee8e7cf94adbbebc92867780887521642c9a56c9bee4</x:v>
      </x:c>
      <x:c r="G13" s="60" t="n">
        <x:v>2589</x:v>
      </x:c>
    </x:row>
  </x:sheetData>
  <x:pageMargins left="0.7" right="0.7" top="0.75" bottom="0.75" header="0.3" footer="0.3"/>
  <x:tableParts count="1">
    <x:tablePart xmlns:r="http://schemas.openxmlformats.org/officeDocument/2006/relationships" r:id="Ref467e16fdbe4e3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RUN-I2-029-20260830T070203933123Z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RUN-I2-029-20260830T070203933123Z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RUN-I2-029-20260830T070203933123Z</x:v>
      </x:c>
      <x:c r="B5" s="69" t="str">
        <x:v>I2-029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d0c91b33d44ffd"/>
  </x:tableParts>
</x:worksheet>
</file>