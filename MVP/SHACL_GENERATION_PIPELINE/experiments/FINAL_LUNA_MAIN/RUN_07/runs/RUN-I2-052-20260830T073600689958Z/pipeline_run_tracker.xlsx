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c522d866624f3c" /></Relationships>
</file>

<file path=xl/workbook.xml><?xml version="1.0" encoding="utf-8"?>
<x:workbook xmlns:x="http://schemas.openxmlformats.org/spreadsheetml/2006/main">
  <x:sheets>
    <x:sheet xmlns:r="http://schemas.openxmlformats.org/officeDocument/2006/relationships" name="SUMMARY" sheetId="1" r:id="R4cf7122c19324d96"/>
    <x:sheet xmlns:r="http://schemas.openxmlformats.org/officeDocument/2006/relationships" name="README" sheetId="2" r:id="R46b6e65be6be41ef"/>
    <x:sheet xmlns:r="http://schemas.openxmlformats.org/officeDocument/2006/relationships" name="REGULATION_QUEUE" sheetId="3" r:id="R3c005b03760043fe"/>
    <x:sheet xmlns:r="http://schemas.openxmlformats.org/officeDocument/2006/relationships" name="RUNS" sheetId="4" r:id="R0b547c8d64804f25"/>
    <x:sheet xmlns:r="http://schemas.openxmlformats.org/officeDocument/2006/relationships" name="ITERATIONS" sheetId="5" r:id="R9f0ed72170d44988"/>
    <x:sheet xmlns:r="http://schemas.openxmlformats.org/officeDocument/2006/relationships" name="API_CALLS" sheetId="6" r:id="Rc8babbed2734407b"/>
    <x:sheet xmlns:r="http://schemas.openxmlformats.org/officeDocument/2006/relationships" name="TERM_RETRIEVAL" sheetId="7" r:id="Rf7091f39be9c4054"/>
    <x:sheet xmlns:r="http://schemas.openxmlformats.org/officeDocument/2006/relationships" name="FEW_SHOT_SELECTION" sheetId="8" r:id="R8cd3ec70012b4153"/>
    <x:sheet xmlns:r="http://schemas.openxmlformats.org/officeDocument/2006/relationships" name="VALIDATION" sheetId="9" r:id="R23b7458815ab43ee"/>
    <x:sheet xmlns:r="http://schemas.openxmlformats.org/officeDocument/2006/relationships" name="VOCAB_MATCHES" sheetId="10" r:id="Re7b018cc98d14a6f"/>
    <x:sheet xmlns:r="http://schemas.openxmlformats.org/officeDocument/2006/relationships" name="ARTIFACTS" sheetId="11" r:id="R03880468530a4a9b"/>
    <x:sheet xmlns:r="http://schemas.openxmlformats.org/officeDocument/2006/relationships" name="UNRESOLVED" sheetId="12" r:id="Rfa7f560c9e5e4568"/>
    <x:sheet xmlns:r="http://schemas.openxmlformats.org/officeDocument/2006/relationships" name="RDF_TEST_QUEUE" sheetId="13" r:id="R08e72f44c7564ce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650c8db64343f5" /><Relationship Type="http://schemas.openxmlformats.org/officeDocument/2006/relationships/theme" Target="/xl/theme/theme1.xml" Id="R3b8233d814094516" /><Relationship Type="http://schemas.microsoft.com/office/2022/11/relationships/FeaturePropertyBag" Target="/xl/featurePropertyBag/featurePropertyBag.xml" Id="R313bd2ddea874e1c" /><Relationship Type="http://schemas.openxmlformats.org/officeDocument/2006/relationships/sharedStrings" Target="/xl/sharedStrings.xml" Id="R1626a9e186c444cd" /><Relationship Type="http://schemas.openxmlformats.org/officeDocument/2006/relationships/worksheet" Target="/xl/worksheets/sheet1.xml" Id="R4cf7122c19324d96" /><Relationship Type="http://schemas.openxmlformats.org/officeDocument/2006/relationships/worksheet" Target="/xl/worksheets/sheet2.xml" Id="R46b6e65be6be41ef" /><Relationship Type="http://schemas.openxmlformats.org/officeDocument/2006/relationships/worksheet" Target="/xl/worksheets/sheet3.xml" Id="R3c005b03760043fe" /><Relationship Type="http://schemas.openxmlformats.org/officeDocument/2006/relationships/worksheet" Target="/xl/worksheets/sheet4.xml" Id="R0b547c8d64804f25" /><Relationship Type="http://schemas.openxmlformats.org/officeDocument/2006/relationships/worksheet" Target="/xl/worksheets/sheet5.xml" Id="R9f0ed72170d44988" /><Relationship Type="http://schemas.openxmlformats.org/officeDocument/2006/relationships/worksheet" Target="/xl/worksheets/sheet6.xml" Id="Rc8babbed2734407b" /><Relationship Type="http://schemas.openxmlformats.org/officeDocument/2006/relationships/worksheet" Target="/xl/worksheets/sheet7.xml" Id="Rf7091f39be9c4054" /><Relationship Type="http://schemas.openxmlformats.org/officeDocument/2006/relationships/worksheet" Target="/xl/worksheets/sheet8.xml" Id="R8cd3ec70012b4153" /><Relationship Type="http://schemas.openxmlformats.org/officeDocument/2006/relationships/worksheet" Target="/xl/worksheets/sheet9.xml" Id="R23b7458815ab43ee" /><Relationship Type="http://schemas.openxmlformats.org/officeDocument/2006/relationships/worksheet" Target="/xl/worksheets/sheet10.xml" Id="Re7b018cc98d14a6f" /><Relationship Type="http://schemas.openxmlformats.org/officeDocument/2006/relationships/worksheet" Target="/xl/worksheets/sheet11.xml" Id="R03880468530a4a9b" /><Relationship Type="http://schemas.openxmlformats.org/officeDocument/2006/relationships/worksheet" Target="/xl/worksheets/sheet12.xml" Id="Rfa7f560c9e5e4568" /><Relationship Type="http://schemas.openxmlformats.org/officeDocument/2006/relationships/worksheet" Target="/xl/worksheets/sheet13.xml" Id="R08e72f44c7564ce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3"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666f7ff3484f40" /></Relationships>
</file>

<file path=xl/worksheets/_rels/sheet3.xml.rels>&#65279;<?xml version="1.0" encoding="utf-8"?><Relationships xmlns="http://schemas.openxmlformats.org/package/2006/relationships"><Relationship Type="http://schemas.openxmlformats.org/officeDocument/2006/relationships/table" Target="/xl/tables/table2.xml" Id="R0e9e3731eee0415d" /></Relationships>
</file>

<file path=xl/worksheets/_rels/sheet4.xml.rels>&#65279;<?xml version="1.0" encoding="utf-8"?><Relationships xmlns="http://schemas.openxmlformats.org/package/2006/relationships"><Relationship Type="http://schemas.openxmlformats.org/officeDocument/2006/relationships/table" Target="/xl/tables/table3.xml" Id="R4b67f9de67074647" /></Relationships>
</file>

<file path=xl/worksheets/_rels/sheet5.xml.rels>&#65279;<?xml version="1.0" encoding="utf-8"?><Relationships xmlns="http://schemas.openxmlformats.org/package/2006/relationships"><Relationship Type="http://schemas.openxmlformats.org/officeDocument/2006/relationships/table" Target="/xl/tables/table4.xml" Id="R41d46af6662847ec" /></Relationships>
</file>

<file path=xl/worksheets/_rels/sheet6.xml.rels>&#65279;<?xml version="1.0" encoding="utf-8"?><Relationships xmlns="http://schemas.openxmlformats.org/package/2006/relationships"><Relationship Type="http://schemas.openxmlformats.org/officeDocument/2006/relationships/table" Target="/xl/tables/table5.xml" Id="Rb1147de7e1a24c45" /></Relationships>
</file>

<file path=xl/worksheets/_rels/sheet7.xml.rels>&#65279;<?xml version="1.0" encoding="utf-8"?><Relationships xmlns="http://schemas.openxmlformats.org/package/2006/relationships"><Relationship Type="http://schemas.openxmlformats.org/officeDocument/2006/relationships/table" Target="/xl/tables/table6.xml" Id="R8114497fa79d4668" /></Relationships>
</file>

<file path=xl/worksheets/_rels/sheet8.xml.rels>&#65279;<?xml version="1.0" encoding="utf-8"?><Relationships xmlns="http://schemas.openxmlformats.org/package/2006/relationships"><Relationship Type="http://schemas.openxmlformats.org/officeDocument/2006/relationships/table" Target="/xl/tables/table7.xml" Id="Re7013f851a77425e" /></Relationships>
</file>

<file path=xl/worksheets/_rels/sheet9.xml.rels>&#65279;<?xml version="1.0" encoding="utf-8"?><Relationships xmlns="http://schemas.openxmlformats.org/package/2006/relationships"><Relationship Type="http://schemas.openxmlformats.org/officeDocument/2006/relationships/table" Target="/xl/tables/table8.xml" Id="R467cba3790d84e6f" /></Relationships>
</file>

<file path=xl/worksheets/_rels/sheet10.xml.rels>&#65279;<?xml version="1.0" encoding="utf-8"?><Relationships xmlns="http://schemas.openxmlformats.org/package/2006/relationships"><Relationship Type="http://schemas.openxmlformats.org/officeDocument/2006/relationships/table" Target="/xl/tables/table9.xml" Id="R6ce7e126f68244a6" /></Relationships>
</file>

<file path=xl/worksheets/_rels/sheet11.xml.rels>&#65279;<?xml version="1.0" encoding="utf-8"?><Relationships xmlns="http://schemas.openxmlformats.org/package/2006/relationships"><Relationship Type="http://schemas.openxmlformats.org/officeDocument/2006/relationships/table" Target="/xl/tables/table10.xml" Id="R18b3ab635d9e418f" /></Relationships>
</file>

<file path=xl/worksheets/_rels/sheet12.xml.rels>&#65279;<?xml version="1.0" encoding="utf-8"?><Relationships xmlns="http://schemas.openxmlformats.org/package/2006/relationships"><Relationship Type="http://schemas.openxmlformats.org/officeDocument/2006/relationships/table" Target="/xl/tables/table11.xml" Id="R1153499affe249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RUN-I2-052-20260830T073600689958Z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COUNTA('API_CALLS'!$A$5:$A$23)</x:f>
        <x:v>19</x:v>
      </x:c>
      <x:c r="C9" s="21"/>
      <x:c r="D9" s="21"/>
    </x:row>
    <x:row r="10">
      <x:c r="A10" s="27" t="str">
        <x:v>Mean API/LLM elapsed ms</x:v>
      </x:c>
      <x:c r="B10" s="28" t="n">
        <x:f>IFERROR(AVERAGE('API_CALLS'!$K$5:$K$23),0)</x:f>
        <x:v>23116.01573684211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RUN-I2-052-20260830T073600689958Z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2666f7ff3484f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RUN-I2-052-20260830T073600689958Z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MAX_ATTEMPTS_REACHED</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e9e3731eee0415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RUN-I2-052-20260830T073600689958Z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RUN-I2-052-20260830T073600689958Z</x:v>
      </x:c>
      <x:c r="C5" s="69" t="str">
        <x:v>I2-052</x:v>
      </x:c>
      <x:c r="D5" s="70" t="n">
        <x:v>46264.316674664355</x:v>
      </x:c>
      <x:c r="E5" s="70" t="n">
        <x:v>46264.31926775463</x:v>
      </x:c>
      <x:c r="F5" s="69" t="str">
        <x:v>final-luna-main-run07</x:v>
      </x:c>
      <x:c r="G5" s="69" t="str">
        <x:v>VOCAB-LOCK-2026-08-22-R13</x:v>
      </x:c>
      <x:c r="H5" s="71" t="n">
        <x:v>4</x:v>
      </x:c>
      <x:c r="I5" s="69" t="str">
        <x:v>MAX_ATTEMPTS_REACHED</x:v>
      </x:c>
      <x:c r="J5" s="72" t="b">
        <x:v>0</x:v>
      </x:c>
      <x:c r="K5" s="69" t="str"/>
      <x:c r="L5" s="73" t="str">
        <x:v>Reject. Preserve the prior readiness repair: the bounded query still permits an accidental pass through `NOT EXISTS` when no distinct intermediate point exists, and it does not enforce distinct, ordered lower and upper endpoints. It also uses `hullGirderLongitudinalPositionFromAft` for endpoint coordinates while using `interpolationCoordinate` only for the intermediate point, so it does not consistently link the required canonical interpolationCoordinate operand to the endpoint/input interval and result. Require the distinct intermediate point, enforce endpoint ordering before division, use interpolationCoordinate consistently for all interpolation coordinates, and verify the case result against the linear interpolation with tolerance. Retain the declared QuantityValue decimal structure for interpolationCoordinate without inventing a unit constraint.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b67f9de6707464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RUN-I2-052-20260830T073600689958Z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RUN-I2-052-20260830T073600689958Z</x:v>
      </x:c>
      <x:c r="B5" s="45" t="str">
        <x:v>I2-052</x:v>
      </x:c>
      <x:c r="C5" s="58" t="n">
        <x:v>1</x:v>
      </x:c>
      <x:c r="D5" s="83" t="b">
        <x:v>1</x:v>
      </x:c>
      <x:c r="E5" s="83" t="b">
        <x:v>0</x:v>
      </x:c>
      <x:c r="F5" s="83" t="b">
        <x:v>0</x:v>
      </x:c>
      <x:c r="G5" s="45" t="str">
        <x:v>REVISE</x:v>
      </x:c>
      <x:c r="H5" s="46" t="str">
        <x:v>Reject: the graph does not faithfully encode the linear-interpolation readiness boundary. It only requires presence of interpolation points, lower and upper endpoints, and values, without constraining the endpoints to be the relevant points for the case or representing the required relationship between the interpolation coordinate, endpoint values, and the interpolated result. Add a bounded readiness constraint (SHACL Core plus one bounded SPARQL/formula query if needed) that links the case's input coordinate and result to its lower/upper interpolation points and verifies the required ordering/envelope and linear-interpolation operand/result structure, without inventing a full engineering formula.</x:v>
      </x:c>
      <x:c r="I5" s="84" t="n">
        <x:v>19634.199</x:v>
      </x:c>
      <x:c r="J5" s="84" t="n">
        <x:v>20169.554</x:v>
      </x:c>
    </x:row>
    <x:row r="6">
      <x:c r="A6" s="47" t="str">
        <x:v>RUN-I2-052-20260830T073600689958Z</x:v>
      </x:c>
      <x:c r="B6" s="47" t="str">
        <x:v>I2-052</x:v>
      </x:c>
      <x:c r="C6" s="59" t="n">
        <x:v>2</x:v>
      </x:c>
      <x:c r="D6" s="85" t="b">
        <x:v>0</x:v>
      </x:c>
      <x:c r="E6" s="85" t="b">
        <x:v>0</x:v>
      </x:c>
      <x:c r="F6" s="85" t="b">
        <x:v>1</x:v>
      </x:c>
      <x:c r="G6" s="47" t="str">
        <x:v>REVISE_WITH_MATCH</x:v>
      </x:c>
      <x:c r="H6" s="48" t="str">
        <x:v>Deterministic validation prevents acceptance. Fix: COMPLEX_READINESS required input(s) absent from candidate: interpolationCoordinate
Semantic validator feedback: Reject. Preserve the prior repair: retain the bounded readiness constraint linking each calculation case to distinct, ordered lower and upper interpolation points and checking the input interval and endpoint-value envelope. The COMPLETE dependency contract additionally requires the operand interpolationCoordinate, but the candidate omits it and instead uses the non-equivalent interpolationPointCoordinate. Add the canonical nltl:interpolationCoordinate property on each required interpolationPoint, with its declared QuantityValue structure and canonical unit metadata, and use it consistently in the readiness relationship/query. Do not invent a replacement term or relocate this owner-specific property.</x:v>
      </x:c>
      <x:c r="I6" s="86" t="n">
        <x:v>34834.041</x:v>
      </x:c>
      <x:c r="J6" s="86" t="n">
        <x:v>12603.424</x:v>
      </x:c>
    </x:row>
    <x:row r="7">
      <x:c r="A7" s="47" t="str">
        <x:v>RUN-I2-052-20260830T073600689958Z</x:v>
      </x:c>
      <x:c r="B7" s="47" t="str">
        <x:v>I2-052</x:v>
      </x:c>
      <x:c r="C7" s="59" t="n">
        <x:v>3</x:v>
      </x:c>
      <x:c r="D7" s="85" t="b">
        <x:v>1</x:v>
      </x:c>
      <x:c r="E7" s="85" t="b">
        <x:v>0</x:v>
      </x:c>
      <x:c r="F7" s="85" t="b">
        <x:v>0</x:v>
      </x:c>
      <x:c r="G7" s="47" t="str">
        <x:v>REVISE</x:v>
      </x:c>
      <x:c r="H7" s="48" t="str">
        <x:v>Reject. Preserve the prior readiness repair and canonical interpolationCoordinate usage. The candidate incorrectly assigns UNITLESS to nltl:interpolationCoordinate via UnitlessQuantityShape even though its canonical metadata declares no recommended unit; use a QuantityValue shape with the declared decimal structure and no invented unit constraint. Also make the bounded query safe against equal endpoint coordinates by enforcing ?lc &lt; ?uc before evaluating the interpolation division (or otherwise guarding the denominator), preventing division errors from causing accidental passes.</x:v>
      </x:c>
      <x:c r="I7" s="86" t="n">
        <x:v>46055.126</x:v>
      </x:c>
      <x:c r="J7" s="86" t="n">
        <x:v>16639.516</x:v>
      </x:c>
    </x:row>
    <x:row r="8">
      <x:c r="A8" s="49" t="str">
        <x:v>RUN-I2-052-20260830T073600689958Z</x:v>
      </x:c>
      <x:c r="B8" s="49" t="str">
        <x:v>I2-052</x:v>
      </x:c>
      <x:c r="C8" s="60" t="n">
        <x:v>4</x:v>
      </x:c>
      <x:c r="D8" s="87" t="b">
        <x:v>1</x:v>
      </x:c>
      <x:c r="E8" s="87" t="b">
        <x:v>0</x:v>
      </x:c>
      <x:c r="F8" s="87" t="b">
        <x:v>0</x:v>
      </x:c>
      <x:c r="G8" s="49" t="str">
        <x:v>REVISE</x:v>
      </x:c>
      <x:c r="H8" s="50" t="str">
        <x:v>Reject. Preserve the prior readiness repair: the bounded query still permits an accidental pass through `NOT EXISTS` when no distinct intermediate point exists, and it does not enforce distinct, ordered lower and upper endpoints. It also uses `hullGirderLongitudinalPositionFromAft` for endpoint coordinates while using `interpolationCoordinate` only for the intermediate point, so it does not consistently link the required canonical interpolationCoordinate operand to the endpoint/input interval and result. Require the distinct intermediate point, enforce endpoint ordering before division, use interpolationCoordinate consistently for all interpolation coordinates, and verify the case result against the linear interpolation with tolerance. Retain the declared QuantityValue decimal structure for interpolationCoordinate without inventing a unit constraint.</x:v>
      </x:c>
      <x:c r="I8" s="88" t="n">
        <x:v>51309.683</x:v>
      </x:c>
      <x:c r="J8" s="88" t="n">
        <x:v>16571.45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1d46af6662847e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RUN-I2-052-20260830T073600689958Z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RUN-I2-052-20260830T073600689958Z</x:v>
      </x:c>
      <x:c r="C5" s="45" t="str">
        <x:v>I2-052</x:v>
      </x:c>
      <x:c r="D5" s="92" t="n">
        <x:v>46264.316901921295</x:v>
      </x:c>
      <x:c r="E5" s="45" t="str">
        <x:v>generator</x:v>
      </x:c>
      <x:c r="F5" s="45" t="str">
        <x:v>gpt-5.6-luna-2026-07-09</x:v>
      </x:c>
      <x:c r="G5" s="45" t="n">
        <x:v>1</x:v>
      </x:c>
      <x:c r="H5" s="45" t="n">
        <x:v>200</x:v>
      </x:c>
      <x:c r="I5" s="45" t="str">
        <x:v>Ocp-Apim-Subscription-Key</x:v>
      </x:c>
      <x:c r="J5" s="84" t="n">
        <x:v>0</x:v>
      </x:c>
      <x:c r="K5" s="84" t="n">
        <x:v>19632.428</x:v>
      </x:c>
      <x:c r="L5" s="83" t="b">
        <x:v>0</x:v>
      </x:c>
      <x:c r="M5" s="45" t="str"/>
      <x:c r="N5" s="58" t="str"/>
      <x:c r="O5" s="58" t="str"/>
      <x:c r="P5" s="58" t="str"/>
    </x:row>
    <x:row r="6">
      <x:c r="A6" s="47" t="str">
        <x:v>EVT-000027</x:v>
      </x:c>
      <x:c r="B6" s="47" t="str">
        <x:v>RUN-I2-052-20260830T073600689958Z</x:v>
      </x:c>
      <x:c r="C6" s="47" t="str">
        <x:v>I2-052</x:v>
      </x:c>
      <x:c r="D6" s="93" t="n">
        <x:v>46264.31690194445</x:v>
      </x:c>
      <x:c r="E6" s="47" t="str">
        <x:v>generator</x:v>
      </x:c>
      <x:c r="F6" s="47" t="str">
        <x:v>gpt-5.6-luna-2026-07-09</x:v>
      </x:c>
      <x:c r="G6" s="47" t="n">
        <x:v>1</x:v>
      </x:c>
      <x:c r="H6" s="47" t="str">
        <x:v>COMPLETED</x:v>
      </x:c>
      <x:c r="I6" s="47" t="str"/>
      <x:c r="J6" s="86" t="n">
        <x:v>0</x:v>
      </x:c>
      <x:c r="K6" s="86" t="n">
        <x:v>19634.199</x:v>
      </x:c>
      <x:c r="L6" s="85" t="b">
        <x:v>0</x:v>
      </x:c>
      <x:c r="M6" s="47" t="str">
        <x:v>resp_054114fd0cc7b946006a93dd60dd5c8197abe4de681b1e01c1</x:v>
      </x:c>
      <x:c r="N6" s="59" t="n">
        <x:v>10508</x:v>
      </x:c>
      <x:c r="O6" s="59" t="n">
        <x:v>2046</x:v>
      </x:c>
      <x:c r="P6" s="59" t="n">
        <x:v>12554</x:v>
      </x:c>
    </x:row>
    <x:row r="7">
      <x:c r="A7" s="47" t="str">
        <x:v>EVT-000034</x:v>
      </x:c>
      <x:c r="B7" s="47" t="str">
        <x:v>RUN-I2-052-20260830T073600689958Z</x:v>
      </x:c>
      <x:c r="C7" s="47" t="str">
        <x:v>I2-052</x:v>
      </x:c>
      <x:c r="D7" s="93" t="n">
        <x:v>46264.31713728009</x:v>
      </x:c>
      <x:c r="E7" s="47" t="str">
        <x:v>validator</x:v>
      </x:c>
      <x:c r="F7" s="47" t="str">
        <x:v>gpt-5.6-luna-2026-07-09</x:v>
      </x:c>
      <x:c r="G7" s="47" t="n">
        <x:v>1</x:v>
      </x:c>
      <x:c r="H7" s="47" t="n">
        <x:v>200</x:v>
      </x:c>
      <x:c r="I7" s="47" t="str">
        <x:v>Ocp-Apim-Subscription-Key</x:v>
      </x:c>
      <x:c r="J7" s="86" t="n">
        <x:v>0</x:v>
      </x:c>
      <x:c r="K7" s="86" t="n">
        <x:v>20168.136</x:v>
      </x:c>
      <x:c r="L7" s="85" t="b">
        <x:v>0</x:v>
      </x:c>
      <x:c r="M7" s="47" t="str"/>
      <x:c r="N7" s="59" t="str"/>
      <x:c r="O7" s="59" t="str"/>
      <x:c r="P7" s="59" t="str"/>
    </x:row>
    <x:row r="8">
      <x:c r="A8" s="47" t="str">
        <x:v>EVT-000035</x:v>
      </x:c>
      <x:c r="B8" s="47" t="str">
        <x:v>RUN-I2-052-20260830T073600689958Z</x:v>
      </x:c>
      <x:c r="C8" s="47" t="str">
        <x:v>I2-052</x:v>
      </x:c>
      <x:c r="D8" s="93" t="n">
        <x:v>46264.31713730324</x:v>
      </x:c>
      <x:c r="E8" s="47" t="str">
        <x:v>validator</x:v>
      </x:c>
      <x:c r="F8" s="47" t="str">
        <x:v>gpt-5.6-luna-2026-07-09</x:v>
      </x:c>
      <x:c r="G8" s="47" t="n">
        <x:v>1</x:v>
      </x:c>
      <x:c r="H8" s="47" t="str">
        <x:v>COMPLETED</x:v>
      </x:c>
      <x:c r="I8" s="47" t="str"/>
      <x:c r="J8" s="86" t="n">
        <x:v>0</x:v>
      </x:c>
      <x:c r="K8" s="86" t="n">
        <x:v>20169.554</x:v>
      </x:c>
      <x:c r="L8" s="85" t="b">
        <x:v>0</x:v>
      </x:c>
      <x:c r="M8" s="47" t="str">
        <x:v>resp_0a38af72d72f39f3006a93dd74b6448196abf27293fc8f8d89</x:v>
      </x:c>
      <x:c r="N8" s="59" t="n">
        <x:v>10308</x:v>
      </x:c>
      <x:c r="O8" s="59" t="n">
        <x:v>1178</x:v>
      </x:c>
      <x:c r="P8" s="59" t="n">
        <x:v>11486</x:v>
      </x:c>
    </x:row>
    <x:row r="9">
      <x:c r="A9" s="47" t="str">
        <x:v>EVT-000040</x:v>
      </x:c>
      <x:c r="B9" s="47" t="str">
        <x:v>RUN-I2-052-20260830T073600689958Z</x:v>
      </x:c>
      <x:c r="C9" s="47" t="str">
        <x:v>I2-052</x:v>
      </x:c>
      <x:c r="D9" s="93" t="n">
        <x:v>46264.31754050926</x:v>
      </x:c>
      <x:c r="E9" s="47" t="str">
        <x:v>generator</x:v>
      </x:c>
      <x:c r="F9" s="47" t="str">
        <x:v>gpt-5.6-luna-2026-07-09</x:v>
      </x:c>
      <x:c r="G9" s="47" t="n">
        <x:v>1</x:v>
      </x:c>
      <x:c r="H9" s="47" t="n">
        <x:v>200</x:v>
      </x:c>
      <x:c r="I9" s="47" t="str">
        <x:v>Ocp-Apim-Subscription-Key</x:v>
      </x:c>
      <x:c r="J9" s="86" t="n">
        <x:v>0</x:v>
      </x:c>
      <x:c r="K9" s="86" t="n">
        <x:v>34832.525</x:v>
      </x:c>
      <x:c r="L9" s="85" t="b">
        <x:v>0</x:v>
      </x:c>
      <x:c r="M9" s="47" t="str"/>
      <x:c r="N9" s="59" t="str"/>
      <x:c r="O9" s="59" t="str"/>
      <x:c r="P9" s="59" t="str"/>
    </x:row>
    <x:row r="10">
      <x:c r="A10" s="47" t="str">
        <x:v>EVT-000041</x:v>
      </x:c>
      <x:c r="B10" s="47" t="str">
        <x:v>RUN-I2-052-20260830T073600689958Z</x:v>
      </x:c>
      <x:c r="C10" s="47" t="str">
        <x:v>I2-052</x:v>
      </x:c>
      <x:c r="D10" s="93" t="n">
        <x:v>46264.31754053241</x:v>
      </x:c>
      <x:c r="E10" s="47" t="str">
        <x:v>generator</x:v>
      </x:c>
      <x:c r="F10" s="47" t="str">
        <x:v>gpt-5.6-luna-2026-07-09</x:v>
      </x:c>
      <x:c r="G10" s="47" t="n">
        <x:v>1</x:v>
      </x:c>
      <x:c r="H10" s="47" t="str">
        <x:v>COMPLETED</x:v>
      </x:c>
      <x:c r="I10" s="47" t="str"/>
      <x:c r="J10" s="86" t="n">
        <x:v>0</x:v>
      </x:c>
      <x:c r="K10" s="86" t="n">
        <x:v>34834.041</x:v>
      </x:c>
      <x:c r="L10" s="85" t="b">
        <x:v>0</x:v>
      </x:c>
      <x:c r="M10" s="47" t="str">
        <x:v>resp_0f88be7d5a31e006006a93dd88d52c81939131c48ffb61d3b0</x:v>
      </x:c>
      <x:c r="N10" s="59" t="n">
        <x:v>10631</x:v>
      </x:c>
      <x:c r="O10" s="59" t="n">
        <x:v>2848</x:v>
      </x:c>
      <x:c r="P10" s="59" t="n">
        <x:v>13479</x:v>
      </x:c>
    </x:row>
    <x:row r="11">
      <x:c r="A11" s="47" t="str">
        <x:v>EVT-000048</x:v>
      </x:c>
      <x:c r="B11" s="47" t="str">
        <x:v>RUN-I2-052-20260830T073600689958Z</x:v>
      </x:c>
      <x:c r="C11" s="47" t="str">
        <x:v>I2-052</x:v>
      </x:c>
      <x:c r="D11" s="93" t="n">
        <x:v>46264.31768832176</x:v>
      </x:c>
      <x:c r="E11" s="47" t="str">
        <x:v>validator</x:v>
      </x:c>
      <x:c r="F11" s="47" t="str">
        <x:v>gpt-5.6-luna-2026-07-09</x:v>
      </x:c>
      <x:c r="G11" s="47" t="n">
        <x:v>1</x:v>
      </x:c>
      <x:c r="H11" s="47" t="n">
        <x:v>200</x:v>
      </x:c>
      <x:c r="I11" s="47" t="str">
        <x:v>Ocp-Apim-Subscription-Key</x:v>
      </x:c>
      <x:c r="J11" s="86" t="n">
        <x:v>0</x:v>
      </x:c>
      <x:c r="K11" s="86" t="n">
        <x:v>12601.838</x:v>
      </x:c>
      <x:c r="L11" s="85" t="b">
        <x:v>0</x:v>
      </x:c>
      <x:c r="M11" s="47" t="str"/>
      <x:c r="N11" s="59" t="str"/>
      <x:c r="O11" s="59" t="str"/>
      <x:c r="P11" s="59" t="str"/>
    </x:row>
    <x:row r="12">
      <x:c r="A12" s="47" t="str">
        <x:v>EVT-000049</x:v>
      </x:c>
      <x:c r="B12" s="47" t="str">
        <x:v>RUN-I2-052-20260830T073600689958Z</x:v>
      </x:c>
      <x:c r="C12" s="47" t="str">
        <x:v>I2-052</x:v>
      </x:c>
      <x:c r="D12" s="93" t="n">
        <x:v>46264.317688344905</x:v>
      </x:c>
      <x:c r="E12" s="47" t="str">
        <x:v>validator</x:v>
      </x:c>
      <x:c r="F12" s="47" t="str">
        <x:v>gpt-5.6-luna-2026-07-09</x:v>
      </x:c>
      <x:c r="G12" s="47" t="n">
        <x:v>1</x:v>
      </x:c>
      <x:c r="H12" s="47" t="str">
        <x:v>COMPLETED</x:v>
      </x:c>
      <x:c r="I12" s="47" t="str"/>
      <x:c r="J12" s="86" t="n">
        <x:v>0</x:v>
      </x:c>
      <x:c r="K12" s="86" t="n">
        <x:v>12603.424</x:v>
      </x:c>
      <x:c r="L12" s="85" t="b">
        <x:v>0</x:v>
      </x:c>
      <x:c r="M12" s="47" t="str">
        <x:v>resp_066c97fac8bf7cbe006a93ddabee3881909bec168dd39d7564</x:v>
      </x:c>
      <x:c r="N12" s="59" t="n">
        <x:v>10811</x:v>
      </x:c>
      <x:c r="O12" s="59" t="n">
        <x:v>651</x:v>
      </x:c>
      <x:c r="P12" s="59" t="n">
        <x:v>11462</x:v>
      </x:c>
    </x:row>
    <x:row r="13">
      <x:c r="A13" s="47" t="str">
        <x:v>EVT-000056</x:v>
      </x:c>
      <x:c r="B13" s="47" t="str">
        <x:v>RUN-I2-052-20260830T073600689958Z</x:v>
      </x:c>
      <x:c r="C13" s="47" t="str">
        <x:v>I2-052</x:v>
      </x:c>
      <x:c r="D13" s="93" t="n">
        <x:v>46264.317752407405</x:v>
      </x:c>
      <x:c r="E13" s="47" t="str">
        <x:v>vocabulary_matcher</x:v>
      </x:c>
      <x:c r="F13" s="47" t="str">
        <x:v>gpt-5.6-luna-2026-07-09</x:v>
      </x:c>
      <x:c r="G13" s="47" t="n">
        <x:v>1</x:v>
      </x:c>
      <x:c r="H13" s="47" t="n">
        <x:v>200</x:v>
      </x:c>
      <x:c r="I13" s="47" t="str">
        <x:v>Ocp-Apim-Subscription-Key</x:v>
      </x:c>
      <x:c r="J13" s="86" t="n">
        <x:v>0</x:v>
      </x:c>
      <x:c r="K13" s="86" t="n">
        <x:v>4345.287</x:v>
      </x:c>
      <x:c r="L13" s="85" t="b">
        <x:v>0</x:v>
      </x:c>
      <x:c r="M13" s="47" t="str"/>
      <x:c r="N13" s="59" t="str"/>
      <x:c r="O13" s="59" t="str"/>
      <x:c r="P13" s="59" t="str"/>
    </x:row>
    <x:row r="14">
      <x:c r="A14" s="47" t="str">
        <x:v>EVT-000057</x:v>
      </x:c>
      <x:c r="B14" s="47" t="str">
        <x:v>RUN-I2-052-20260830T073600689958Z</x:v>
      </x:c>
      <x:c r="C14" s="47" t="str">
        <x:v>I2-052</x:v>
      </x:c>
      <x:c r="D14" s="93" t="n">
        <x:v>46264.31775243056</x:v>
      </x:c>
      <x:c r="E14" s="47" t="str">
        <x:v>vocabulary_matcher</x:v>
      </x:c>
      <x:c r="F14" s="47" t="str">
        <x:v>gpt-5.6-luna-2026-07-09</x:v>
      </x:c>
      <x:c r="G14" s="47" t="n">
        <x:v>1</x:v>
      </x:c>
      <x:c r="H14" s="47" t="str">
        <x:v>COMPLETED</x:v>
      </x:c>
      <x:c r="I14" s="47" t="str"/>
      <x:c r="J14" s="86" t="n">
        <x:v>0</x:v>
      </x:c>
      <x:c r="K14" s="86" t="n">
        <x:v>4346.715</x:v>
      </x:c>
      <x:c r="L14" s="85" t="b">
        <x:v>0</x:v>
      </x:c>
      <x:c r="M14" s="47" t="str">
        <x:v>resp_072631cb97965b92006a93ddb9e6248190ae9e405a352e3bd2</x:v>
      </x:c>
      <x:c r="N14" s="59" t="n">
        <x:v>2353</x:v>
      </x:c>
      <x:c r="O14" s="59" t="n">
        <x:v>109</x:v>
      </x:c>
      <x:c r="P14" s="59" t="n">
        <x:v>2462</x:v>
      </x:c>
    </x:row>
    <x:row r="15">
      <x:c r="A15" s="47" t="str">
        <x:v>EVT-000082</x:v>
      </x:c>
      <x:c r="B15" s="47" t="str">
        <x:v>RUN-I2-052-20260830T073600689958Z</x:v>
      </x:c>
      <x:c r="C15" s="47" t="str">
        <x:v>I2-052</x:v>
      </x:c>
      <x:c r="D15" s="93" t="n">
        <x:v>46264.31776304398</x:v>
      </x:c>
      <x:c r="E15" s="47" t="str">
        <x:v>generator</x:v>
      </x:c>
      <x:c r="F15" s="47" t="str">
        <x:v>gpt-5.6-luna-2026-07-09</x:v>
      </x:c>
      <x:c r="G15" s="47" t="n">
        <x:v>1</x:v>
      </x:c>
      <x:c r="H15" s="47" t="n">
        <x:v>500</x:v>
      </x:c>
      <x:c r="I15" s="47" t="str">
        <x:v>Ocp-Apim-Subscription-Key</x:v>
      </x:c>
      <x:c r="J15" s="86" t="n">
        <x:v>0</x:v>
      </x:c>
      <x:c r="K15" s="86" t="n">
        <x:v>903.59</x:v>
      </x:c>
      <x:c r="L15" s="85" t="b">
        <x:v>1</x:v>
      </x:c>
      <x:c r="M15" s="47" t="str"/>
      <x:c r="N15" s="59" t="str"/>
      <x:c r="O15" s="59" t="str"/>
      <x:c r="P15" s="59" t="str"/>
    </x:row>
    <x:row r="16">
      <x:c r="A16" s="47" t="str">
        <x:v>EVT-000085</x:v>
      </x:c>
      <x:c r="B16" s="47" t="str">
        <x:v>RUN-I2-052-20260830T073600689958Z</x:v>
      </x:c>
      <x:c r="C16" s="47" t="str">
        <x:v>I2-052</x:v>
      </x:c>
      <x:c r="D16" s="93" t="n">
        <x:v>46264.31828561342</x:v>
      </x:c>
      <x:c r="E16" s="47" t="str">
        <x:v>generator</x:v>
      </x:c>
      <x:c r="F16" s="47" t="str">
        <x:v>gpt-5.6-luna-2026-07-09</x:v>
      </x:c>
      <x:c r="G16" s="47" t="n">
        <x:v>2</x:v>
      </x:c>
      <x:c r="H16" s="47" t="n">
        <x:v>200</x:v>
      </x:c>
      <x:c r="I16" s="47" t="str">
        <x:v>Ocp-Apim-Subscription-Key</x:v>
      </x:c>
      <x:c r="J16" s="86" t="n">
        <x:v>0</x:v>
      </x:c>
      <x:c r="K16" s="86" t="n">
        <x:v>40040.663</x:v>
      </x:c>
      <x:c r="L16" s="85" t="b">
        <x:v>0</x:v>
      </x:c>
      <x:c r="M16" s="47" t="str"/>
      <x:c r="N16" s="59" t="str"/>
      <x:c r="O16" s="59" t="str"/>
      <x:c r="P16" s="59" t="str"/>
    </x:row>
    <x:row r="17">
      <x:c r="A17" s="47" t="str">
        <x:v>EVT-000086</x:v>
      </x:c>
      <x:c r="B17" s="47" t="str">
        <x:v>RUN-I2-052-20260830T073600689958Z</x:v>
      </x:c>
      <x:c r="C17" s="47" t="str">
        <x:v>I2-052</x:v>
      </x:c>
      <x:c r="D17" s="93" t="n">
        <x:v>46264.318285625</x:v>
      </x:c>
      <x:c r="E17" s="47" t="str">
        <x:v>generator</x:v>
      </x:c>
      <x:c r="F17" s="47" t="str">
        <x:v>gpt-5.6-luna-2026-07-09</x:v>
      </x:c>
      <x:c r="G17" s="47" t="n">
        <x:v>2</x:v>
      </x:c>
      <x:c r="H17" s="47" t="str">
        <x:v>COMPLETED</x:v>
      </x:c>
      <x:c r="I17" s="47" t="str"/>
      <x:c r="J17" s="86" t="n">
        <x:v>0</x:v>
      </x:c>
      <x:c r="K17" s="86" t="n">
        <x:v>46055.126</x:v>
      </x:c>
      <x:c r="L17" s="85" t="b">
        <x:v>0</x:v>
      </x:c>
      <x:c r="M17" s="47" t="str">
        <x:v>resp_0c699824da915dfa006a93ddc3ff948195abc706b94f8f3bf1</x:v>
      </x:c>
      <x:c r="N17" s="59" t="n">
        <x:v>10845</x:v>
      </x:c>
      <x:c r="O17" s="59" t="n">
        <x:v>3539</x:v>
      </x:c>
      <x:c r="P17" s="59" t="n">
        <x:v>14384</x:v>
      </x:c>
    </x:row>
    <x:row r="18">
      <x:c r="A18" s="47" t="str">
        <x:v>EVT-000093</x:v>
      </x:c>
      <x:c r="B18" s="47" t="str">
        <x:v>RUN-I2-052-20260830T073600689958Z</x:v>
      </x:c>
      <x:c r="C18" s="47" t="str">
        <x:v>I2-052</x:v>
      </x:c>
      <x:c r="D18" s="93" t="n">
        <x:v>46264.31848011574</x:v>
      </x:c>
      <x:c r="E18" s="47" t="str">
        <x:v>validator</x:v>
      </x:c>
      <x:c r="F18" s="47" t="str">
        <x:v>gpt-5.6-luna-2026-07-09</x:v>
      </x:c>
      <x:c r="G18" s="47" t="n">
        <x:v>1</x:v>
      </x:c>
      <x:c r="H18" s="47" t="n">
        <x:v>200</x:v>
      </x:c>
      <x:c r="I18" s="47" t="str">
        <x:v>Ocp-Apim-Subscription-Key</x:v>
      </x:c>
      <x:c r="J18" s="86" t="n">
        <x:v>0</x:v>
      </x:c>
      <x:c r="K18" s="86" t="n">
        <x:v>16637.985</x:v>
      </x:c>
      <x:c r="L18" s="85" t="b">
        <x:v>0</x:v>
      </x:c>
      <x:c r="M18" s="47" t="str"/>
      <x:c r="N18" s="59" t="str"/>
      <x:c r="O18" s="59" t="str"/>
      <x:c r="P18" s="59" t="str"/>
    </x:row>
    <x:row r="19">
      <x:c r="A19" s="47" t="str">
        <x:v>EVT-000094</x:v>
      </x:c>
      <x:c r="B19" s="47" t="str">
        <x:v>RUN-I2-052-20260830T073600689958Z</x:v>
      </x:c>
      <x:c r="C19" s="47" t="str">
        <x:v>I2-052</x:v>
      </x:c>
      <x:c r="D19" s="93" t="n">
        <x:v>46264.31848013889</x:v>
      </x:c>
      <x:c r="E19" s="47" t="str">
        <x:v>validator</x:v>
      </x:c>
      <x:c r="F19" s="47" t="str">
        <x:v>gpt-5.6-luna-2026-07-09</x:v>
      </x:c>
      <x:c r="G19" s="47" t="n">
        <x:v>1</x:v>
      </x:c>
      <x:c r="H19" s="47" t="str">
        <x:v>COMPLETED</x:v>
      </x:c>
      <x:c r="I19" s="47" t="str"/>
      <x:c r="J19" s="86" t="n">
        <x:v>0</x:v>
      </x:c>
      <x:c r="K19" s="86" t="n">
        <x:v>16639.516</x:v>
      </x:c>
      <x:c r="L19" s="85" t="b">
        <x:v>0</x:v>
      </x:c>
      <x:c r="M19" s="47" t="str">
        <x:v>resp_0a5c890688805725006a93ddec4f188193ba957dcb10fb06c8</x:v>
      </x:c>
      <x:c r="N19" s="59" t="n">
        <x:v>11160</x:v>
      </x:c>
      <x:c r="O19" s="59" t="n">
        <x:v>1151</x:v>
      </x:c>
      <x:c r="P19" s="59" t="n">
        <x:v>12311</x:v>
      </x:c>
    </x:row>
    <x:row r="20">
      <x:c r="A20" s="47" t="str">
        <x:v>EVT-000118</x:v>
      </x:c>
      <x:c r="B20" s="47" t="str">
        <x:v>RUN-I2-052-20260830T073600689958Z</x:v>
      </x:c>
      <x:c r="C20" s="47" t="str">
        <x:v>I2-052</x:v>
      </x:c>
      <x:c r="D20" s="93" t="n">
        <x:v>46264.3190741088</x:v>
      </x:c>
      <x:c r="E20" s="47" t="str">
        <x:v>generator</x:v>
      </x:c>
      <x:c r="F20" s="47" t="str">
        <x:v>gpt-5.6-luna-2026-07-09</x:v>
      </x:c>
      <x:c r="G20" s="47" t="n">
        <x:v>1</x:v>
      </x:c>
      <x:c r="H20" s="47" t="n">
        <x:v>200</x:v>
      </x:c>
      <x:c r="I20" s="47" t="str">
        <x:v>Ocp-Apim-Subscription-Key</x:v>
      </x:c>
      <x:c r="J20" s="86" t="n">
        <x:v>0</x:v>
      </x:c>
      <x:c r="K20" s="86" t="n">
        <x:v>51308.118</x:v>
      </x:c>
      <x:c r="L20" s="85" t="b">
        <x:v>0</x:v>
      </x:c>
      <x:c r="M20" s="47" t="str"/>
      <x:c r="N20" s="59" t="str"/>
      <x:c r="O20" s="59" t="str"/>
      <x:c r="P20" s="59" t="str"/>
    </x:row>
    <x:row r="21">
      <x:c r="A21" s="47" t="str">
        <x:v>EVT-000119</x:v>
      </x:c>
      <x:c r="B21" s="47" t="str">
        <x:v>RUN-I2-052-20260830T073600689958Z</x:v>
      </x:c>
      <x:c r="C21" s="47" t="str">
        <x:v>I2-052</x:v>
      </x:c>
      <x:c r="D21" s="93" t="n">
        <x:v>46264.31907413194</x:v>
      </x:c>
      <x:c r="E21" s="47" t="str">
        <x:v>generator</x:v>
      </x:c>
      <x:c r="F21" s="47" t="str">
        <x:v>gpt-5.6-luna-2026-07-09</x:v>
      </x:c>
      <x:c r="G21" s="47" t="n">
        <x:v>1</x:v>
      </x:c>
      <x:c r="H21" s="47" t="str">
        <x:v>COMPLETED</x:v>
      </x:c>
      <x:c r="I21" s="47" t="str"/>
      <x:c r="J21" s="86" t="n">
        <x:v>0</x:v>
      </x:c>
      <x:c r="K21" s="86" t="n">
        <x:v>51309.683</x:v>
      </x:c>
      <x:c r="L21" s="85" t="b">
        <x:v>0</x:v>
      </x:c>
      <x:c r="M21" s="47" t="str">
        <x:v>resp_03b8211545cc8dfa006a93ddfcda90819794651e69f0963661</x:v>
      </x:c>
      <x:c r="N21" s="59" t="n">
        <x:v>10945</x:v>
      </x:c>
      <x:c r="O21" s="59" t="n">
        <x:v>3743</x:v>
      </x:c>
      <x:c r="P21" s="59" t="n">
        <x:v>14688</x:v>
      </x:c>
    </x:row>
    <x:row r="22">
      <x:c r="A22" s="47" t="str">
        <x:v>EVT-000126</x:v>
      </x:c>
      <x:c r="B22" s="47" t="str">
        <x:v>RUN-I2-052-20260830T073600689958Z</x:v>
      </x:c>
      <x:c r="C22" s="47" t="str">
        <x:v>I2-052</x:v>
      </x:c>
      <x:c r="D22" s="93" t="n">
        <x:v>46264.31926769676</x:v>
      </x:c>
      <x:c r="E22" s="47" t="str">
        <x:v>validator</x:v>
      </x:c>
      <x:c r="F22" s="47" t="str">
        <x:v>gpt-5.6-luna-2026-07-09</x:v>
      </x:c>
      <x:c r="G22" s="47" t="n">
        <x:v>1</x:v>
      </x:c>
      <x:c r="H22" s="47" t="n">
        <x:v>200</x:v>
      </x:c>
      <x:c r="I22" s="47" t="str">
        <x:v>Ocp-Apim-Subscription-Key</x:v>
      </x:c>
      <x:c r="J22" s="86" t="n">
        <x:v>0</x:v>
      </x:c>
      <x:c r="K22" s="86" t="n">
        <x:v>16570.021</x:v>
      </x:c>
      <x:c r="L22" s="85" t="b">
        <x:v>0</x:v>
      </x:c>
      <x:c r="M22" s="47" t="str"/>
      <x:c r="N22" s="59" t="str"/>
      <x:c r="O22" s="59" t="str"/>
      <x:c r="P22" s="59" t="str"/>
    </x:row>
    <x:row r="23">
      <x:c r="A23" s="49" t="str">
        <x:v>EVT-000127</x:v>
      </x:c>
      <x:c r="B23" s="49" t="str">
        <x:v>RUN-I2-052-20260830T073600689958Z</x:v>
      </x:c>
      <x:c r="C23" s="49" t="str">
        <x:v>I2-052</x:v>
      </x:c>
      <x:c r="D23" s="94" t="n">
        <x:v>46264.319267708335</x:v>
      </x:c>
      <x:c r="E23" s="49" t="str">
        <x:v>validator</x:v>
      </x:c>
      <x:c r="F23" s="49" t="str">
        <x:v>gpt-5.6-luna-2026-07-09</x:v>
      </x:c>
      <x:c r="G23" s="49" t="n">
        <x:v>1</x:v>
      </x:c>
      <x:c r="H23" s="49" t="str">
        <x:v>COMPLETED</x:v>
      </x:c>
      <x:c r="I23" s="49" t="str"/>
      <x:c r="J23" s="88" t="n">
        <x:v>0</x:v>
      </x:c>
      <x:c r="K23" s="88" t="n">
        <x:v>16571.45</x:v>
      </x:c>
      <x:c r="L23" s="87" t="b">
        <x:v>0</x:v>
      </x:c>
      <x:c r="M23" s="49" t="str">
        <x:v>resp_067104919f2070a2006a93de3069088196811ae68de72ca99e</x:v>
      </x:c>
      <x:c r="N23" s="60" t="n">
        <x:v>11227</x:v>
      </x:c>
      <x:c r="O23" s="60" t="n">
        <x:v>1199</x:v>
      </x:c>
      <x:c r="P23" s="60" t="n">
        <x:v>12426</x:v>
      </x:c>
    </x:row>
  </x:sheetData>
  <x:conditionalFormatting sqref="H5:H23">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1147de7e1a24c4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RUN-I2-052-20260830T073600689958Z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RUN-I2-052-20260830T073600689958Z</x:v>
      </x:c>
      <x:c r="B5" s="45" t="str">
        <x:v>I2-052</x:v>
      </x:c>
      <x:c r="C5" s="45" t="str">
        <x:v>benchmarkEntity</x:v>
      </x:c>
      <x:c r="D5" s="46" t="str">
        <x:v>https://w3id.org/nltl/vocab#benchmarkEntity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RUN-I2-052-20260830T073600689958Z</x:v>
      </x:c>
      <x:c r="B6" s="47" t="str">
        <x:v>I2-052</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RUN-I2-052-20260830T073600689958Z</x:v>
      </x:c>
      <x:c r="B7" s="47" t="str">
        <x:v>I2-052</x:v>
      </x:c>
      <x:c r="C7" s="47" t="str">
        <x:v>hasCalculationCase</x:v>
      </x:c>
      <x:c r="D7" s="48" t="str">
        <x:v>https://w3id.org/nltl/vocab#hasCalculationCase</x:v>
      </x:c>
      <x:c r="E7" s="47" t="str">
        <x:v>ObjectProperty</x:v>
      </x:c>
      <x:c r="F7" s="47" t="str"/>
      <x:c r="G7" s="47" t="str">
        <x:v>https://w3id.org/nltl/vocab#calculationCase</x:v>
      </x:c>
      <x:c r="H7" s="47" t="str"/>
      <x:c r="I7" s="48" t="str">
        <x:v>canonical path from target owner ship to required owner calculationCase; linked by the locked 313-requirement index</x:v>
      </x:c>
      <x:c r="J7" s="47" t="n">
        <x:v>0</x:v>
      </x:c>
    </x:row>
    <x:row r="8">
      <x:c r="A8" s="47" t="str">
        <x:v>RUN-I2-052-20260830T073600689958Z</x:v>
      </x:c>
      <x:c r="B8" s="47" t="str">
        <x:v>I2-052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RUN-I2-052-20260830T073600689958Z</x:v>
      </x:c>
      <x:c r="B9" s="47" t="str">
        <x:v>I2-052</x:v>
      </x:c>
      <x:c r="C9" s="47" t="str">
        <x:v>hasInterpolationPoint</x:v>
      </x:c>
      <x:c r="D9" s="48" t="str">
        <x:v>https://w3id.org/nltl/vocab#hasInterpolationPoint</x:v>
      </x:c>
      <x:c r="E9" s="47" t="str">
        <x:v>ObjectProperty</x:v>
      </x:c>
      <x:c r="F9" s="47" t="str"/>
      <x:c r="G9" s="47" t="str">
        <x:v>https://w3id.org/nltl/vocab#interpolationPoint</x:v>
      </x:c>
      <x:c r="H9" s="47" t="str"/>
      <x:c r="I9" s="48" t="str">
        <x:v>linked by the locked 313-requirement index</x:v>
      </x:c>
      <x:c r="J9" s="47" t="n">
        <x:v>0</x:v>
      </x:c>
    </x:row>
    <x:row r="10">
      <x:c r="A10" s="47" t="str">
        <x:v>RUN-I2-052-20260830T073600689958Z</x:v>
      </x:c>
      <x:c r="B10" s="47" t="str">
        <x:v>I2-052</x:v>
      </x:c>
      <x:c r="C10" s="47" t="str">
        <x:v>hullGirderLongitudinalPositionFromAft</x:v>
      </x:c>
      <x:c r="D10" s="48" t="str">
        <x:v>https://w3id.org/nltl/vocab#hullGirderLongitudinalPositionFromAft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RUN-I2-052-20260830T073600689958Z</x:v>
      </x:c>
      <x:c r="B11" s="47" t="str">
        <x:v>I2-052</x:v>
      </x:c>
      <x:c r="C11" s="47" t="str">
        <x:v>interpolatedLongitudinalDistributionFactor</x:v>
      </x:c>
      <x:c r="D11" s="48" t="str">
        <x:v>https://w3id.org/nltl/vocab#interpolatedLongitudinalDistributionFactor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RUN-I2-052-20260830T073600689958Z</x:v>
      </x:c>
      <x:c r="B12" s="47" t="str">
        <x:v>I2-052</x:v>
      </x:c>
      <x:c r="C12" s="47" t="str">
        <x:v>interpolatedValue</x:v>
      </x:c>
      <x:c r="D12" s="48" t="str">
        <x:v>https://w3id.org/nltl/vocab#interpolatedValue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RUN-I2-052-20260830T073600689958Z</x:v>
      </x:c>
      <x:c r="B13" s="47" t="str">
        <x:v>I2-052</x:v>
      </x:c>
      <x:c r="C13" s="47" t="str">
        <x:v>interpolationCoordinate</x:v>
      </x:c>
      <x:c r="D13" s="48" t="str">
        <x:v>https://w3id.org/nltl/vocab#interpolationCoordinate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RUN-I2-052-20260830T073600689958Z</x:v>
      </x:c>
      <x:c r="B14" s="47" t="str">
        <x:v>I2-052</x:v>
      </x:c>
      <x:c r="C14" s="47" t="str">
        <x:v>interpolationInput</x:v>
      </x:c>
      <x:c r="D14" s="48" t="str">
        <x:v>https://w3id.org/nltl/vocab#interpolationInput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RUN-I2-052-20260830T073600689958Z</x:v>
      </x:c>
      <x:c r="B15" s="47" t="str">
        <x:v>I2-052</x:v>
      </x:c>
      <x:c r="C15" s="47" t="str">
        <x:v>interpolationLowerEndpoint</x:v>
      </x:c>
      <x:c r="D15" s="48" t="str">
        <x:v>https://w3id.org/nltl/vocab#interpolationLowerEndpoint</x:v>
      </x:c>
      <x:c r="E15" s="47" t="str">
        <x:v>ObjectProperty</x:v>
      </x:c>
      <x:c r="F15" s="47" t="str"/>
      <x:c r="G15" s="47" t="str">
        <x:v>https://w3id.org/nltl/vocab#interpolationPoint</x:v>
      </x:c>
      <x:c r="H15" s="47" t="str"/>
      <x:c r="I15" s="48" t="str">
        <x:v>linked by the locked 313-requirement index</x:v>
      </x:c>
      <x:c r="J15" s="47" t="n">
        <x:v>0</x:v>
      </x:c>
    </x:row>
    <x:row r="16">
      <x:c r="A16" s="47" t="str">
        <x:v>RUN-I2-052-20260830T073600689958Z</x:v>
      </x:c>
      <x:c r="B16" s="47" t="str">
        <x:v>I2-052</x:v>
      </x:c>
      <x:c r="C16" s="47" t="str">
        <x:v>interpolationPoint</x:v>
      </x:c>
      <x:c r="D16" s="48" t="str">
        <x:v>https://w3id.org/nltl/vocab#interpolationPoint</x:v>
      </x:c>
      <x:c r="E16" s="47" t="str">
        <x:v>Class</x:v>
      </x:c>
      <x:c r="F16" s="47" t="str"/>
      <x:c r="G16" s="47" t="str">
        <x:v>https://w3id.org/nltl/vocab#calculationCase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RUN-I2-052-20260830T073600689958Z</x:v>
      </x:c>
      <x:c r="B17" s="47" t="str">
        <x:v>I2-052</x:v>
      </x:c>
      <x:c r="C17" s="47" t="str">
        <x:v>interpolationPointCoordinate</x:v>
      </x:c>
      <x:c r="D17" s="48" t="str">
        <x:v>https://w3id.org/nltl/vocab#interpolationPointCoordinate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RUN-I2-052-20260830T073600689958Z</x:v>
      </x:c>
      <x:c r="B18" s="47" t="str">
        <x:v>I2-052</x:v>
      </x:c>
      <x:c r="C18" s="47" t="str">
        <x:v>interpolationPointResult</x:v>
      </x:c>
      <x:c r="D18" s="48" t="str">
        <x:v>https://w3id.org/nltl/vocab#interpolationPointResult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RUN-I2-052-20260830T073600689958Z</x:v>
      </x:c>
      <x:c r="B19" s="47" t="str">
        <x:v>I2-052</x:v>
      </x:c>
      <x:c r="C19" s="47" t="str">
        <x:v>interpolationPointValue</x:v>
      </x:c>
      <x:c r="D19" s="48" t="str">
        <x:v>https://w3id.org/nltl/vocab#interpolationPointValue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RUN-I2-052-20260830T073600689958Z</x:v>
      </x:c>
      <x:c r="B20" s="47" t="str">
        <x:v>I2-052</x:v>
      </x:c>
      <x:c r="C20" s="47" t="str">
        <x:v>interpolationUpperEndpoint</x:v>
      </x:c>
      <x:c r="D20" s="48" t="str">
        <x:v>https://w3id.org/nltl/vocab#interpolationUpperEndpoint</x:v>
      </x:c>
      <x:c r="E20" s="47" t="str">
        <x:v>ObjectProperty</x:v>
      </x:c>
      <x:c r="F20" s="47" t="str"/>
      <x:c r="G20" s="47" t="str">
        <x:v>https://w3id.org/nltl/vocab#interpolationPoint</x:v>
      </x:c>
      <x:c r="H20" s="47" t="str"/>
      <x:c r="I20" s="48" t="str">
        <x:v>linked by the locked 313-requirement index</x:v>
      </x:c>
      <x:c r="J20" s="47" t="n">
        <x:v>0</x:v>
      </x:c>
    </x:row>
    <x:row r="21">
      <x:c r="A21" s="47" t="str">
        <x:v>RUN-I2-052-20260830T073600689958Z</x:v>
      </x:c>
      <x:c r="B21" s="47" t="str">
        <x:v>I2-052</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7" t="str">
        <x:v>RUN-I2-052-20260830T073600689958Z</x:v>
      </x:c>
      <x:c r="B22" s="47" t="str">
        <x:v>I2-052</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RUN-I2-052-20260830T073600689958Z</x:v>
      </x:c>
      <x:c r="B23" s="47" t="str">
        <x:v>I2-052</x:v>
      </x:c>
      <x:c r="C23" s="47" t="str">
        <x:v>benchmarkEntity</x:v>
      </x:c>
      <x:c r="D23" s="48" t="str">
        <x:v>https://w3id.org/nltl/vocab#benchmarkEntity</x:v>
      </x:c>
      <x:c r="E23" s="47" t="str">
        <x:v>Class</x:v>
      </x:c>
      <x:c r="F23" s="47" t="str"/>
      <x:c r="G23" s="47" t="str"/>
      <x:c r="H23" s="47" t="str"/>
      <x:c r="I23" s="48" t="str">
        <x:v>baseline target infrastructure; domain dependency of interpolatedValue; domain dependency of interpolationInput</x:v>
      </x:c>
      <x:c r="J23" s="47" t="n">
        <x:v>3</x:v>
      </x:c>
    </x:row>
    <x:row r="24">
      <x:c r="A24" s="47" t="str">
        <x:v>RUN-I2-052-20260830T073600689958Z</x:v>
      </x:c>
      <x:c r="B24" s="47" t="str">
        <x:v>I2-052</x:v>
      </x:c>
      <x:c r="C24" s="47" t="str">
        <x:v>calculationCase</x:v>
      </x:c>
      <x:c r="D24" s="48" t="str">
        <x:v>https://w3id.org/nltl/vocab#calculationCase</x:v>
      </x:c>
      <x:c r="E24" s="47" t="str">
        <x:v>Class</x:v>
      </x:c>
      <x:c r="F24" s="47" t="str"/>
      <x:c r="G24" s="47" t="str">
        <x:v>https://w3id.org/nltl/vocab#benchmarkEntity</x:v>
      </x:c>
      <x:c r="H24" s="47" t="str"/>
      <x:c r="I24"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24" s="47" t="n">
        <x:v>3</x:v>
      </x:c>
    </x:row>
    <x:row r="25">
      <x:c r="A25" s="47" t="str">
        <x:v>RUN-I2-052-20260830T073600689958Z</x:v>
      </x:c>
      <x:c r="B25" s="47" t="str">
        <x:v>I2-052</x:v>
      </x:c>
      <x:c r="C25" s="47" t="str">
        <x:v>hasCalculationCase</x:v>
      </x:c>
      <x:c r="D25" s="48" t="str">
        <x:v>https://w3id.org/nltl/vocab#hasCalculationCase</x:v>
      </x:c>
      <x:c r="E25" s="47" t="str">
        <x:v>ObjectProperty</x:v>
      </x:c>
      <x:c r="F25" s="47" t="str"/>
      <x:c r="G25" s="47" t="str">
        <x:v>https://w3id.org/nltl/vocab#calculationCase</x:v>
      </x:c>
      <x:c r="H25" s="47" t="str"/>
      <x:c r="I25" s="48" t="str">
        <x:v>canonical path from target owner ship to required owner calculationCase; linked by the locked 313-requirement index</x:v>
      </x:c>
      <x:c r="J25" s="47" t="n">
        <x:v>3</x:v>
      </x:c>
    </x:row>
    <x:row r="26">
      <x:c r="A26" s="47" t="str">
        <x:v>RUN-I2-052-20260830T073600689958Z</x:v>
      </x:c>
      <x:c r="B26" s="47" t="str">
        <x:v>I2-052</x:v>
      </x:c>
      <x:c r="C26" s="47" t="str">
        <x:v>hasComponent</x:v>
      </x:c>
      <x:c r="D26" s="48" t="str">
        <x:v>https://w3id.org/nltl/vocab#hasComponent</x:v>
      </x:c>
      <x:c r="E26" s="47" t="str">
        <x:v>ObjectProperty</x:v>
      </x:c>
      <x:c r="F26" s="47" t="str"/>
      <x:c r="G26" s="47" t="str">
        <x:v>https://w3id.org/nltl/vocab#shipComponent</x:v>
      </x:c>
      <x:c r="H26" s="47" t="str"/>
      <x:c r="I26" s="48" t="str">
        <x:v>component-path dependency inferred from the linked term module</x:v>
      </x:c>
      <x:c r="J26" s="47" t="n">
        <x:v>3</x:v>
      </x:c>
    </x:row>
    <x:row r="27">
      <x:c r="A27" s="47" t="str">
        <x:v>RUN-I2-052-20260830T073600689958Z</x:v>
      </x:c>
      <x:c r="B27" s="47" t="str">
        <x:v>I2-052</x:v>
      </x:c>
      <x:c r="C27" s="47" t="str">
        <x:v>hasInterpolationPoint</x:v>
      </x:c>
      <x:c r="D27" s="48" t="str">
        <x:v>https://w3id.org/nltl/vocab#hasInterpolationPoint</x:v>
      </x:c>
      <x:c r="E27" s="47" t="str">
        <x:v>ObjectProperty</x:v>
      </x:c>
      <x:c r="F27" s="47" t="str"/>
      <x:c r="G27" s="47" t="str">
        <x:v>https://w3id.org/nltl/vocab#interpolationPoint</x:v>
      </x:c>
      <x:c r="H27" s="47" t="str"/>
      <x:c r="I27" s="48" t="str">
        <x:v>linked by the locked 313-requirement index</x:v>
      </x:c>
      <x:c r="J27" s="47" t="n">
        <x:v>3</x:v>
      </x:c>
    </x:row>
    <x:row r="28">
      <x:c r="A28" s="47" t="str">
        <x:v>RUN-I2-052-20260830T073600689958Z</x:v>
      </x:c>
      <x:c r="B28" s="47" t="str">
        <x:v>I2-052</x:v>
      </x:c>
      <x:c r="C28" s="47" t="str">
        <x:v>hullGirderLongitudinalPositionFromAft</x:v>
      </x:c>
      <x:c r="D28" s="48" t="str">
        <x:v>https://w3id.org/nltl/vocab#hullGirderLongitudinalPositionFromAft</x:v>
      </x:c>
      <x:c r="E28" s="47" t="str">
        <x:v>QuantityProperty</x:v>
      </x:c>
      <x:c r="F28" s="47" t="str"/>
      <x:c r="G28" s="47" t="str">
        <x:v>http://qudt.org/schema/qudt/QuantityValue</x:v>
      </x:c>
      <x:c r="H28" s="47" t="str">
        <x:v>http://qudt.org/vocab/unit/M</x:v>
      </x:c>
      <x:c r="I28" s="48" t="str">
        <x:v>linked by the locked 313-requirement index</x:v>
      </x:c>
      <x:c r="J28" s="47" t="n">
        <x:v>3</x:v>
      </x:c>
    </x:row>
    <x:row r="29">
      <x:c r="A29" s="47" t="str">
        <x:v>RUN-I2-052-20260830T073600689958Z</x:v>
      </x:c>
      <x:c r="B29" s="47" t="str">
        <x:v>I2-052</x:v>
      </x:c>
      <x:c r="C29" s="47" t="str">
        <x:v>interpolatedLongitudinalDistributionFactor</x:v>
      </x:c>
      <x:c r="D29" s="48" t="str">
        <x:v>https://w3id.org/nltl/vocab#interpolatedLongitudinalDistributionFactor</x:v>
      </x:c>
      <x:c r="E29" s="47" t="str">
        <x:v>QuantityProperty</x:v>
      </x:c>
      <x:c r="F29" s="47" t="str"/>
      <x:c r="G29" s="47" t="str">
        <x:v>http://qudt.org/schema/qudt/QuantityValue</x:v>
      </x:c>
      <x:c r="H29" s="47" t="str">
        <x:v>http://qudt.org/vocab/unit/UNITLESS</x:v>
      </x:c>
      <x:c r="I29" s="48" t="str">
        <x:v>linked by the locked 313-requirement index</x:v>
      </x:c>
      <x:c r="J29" s="47" t="n">
        <x:v>3</x:v>
      </x:c>
    </x:row>
    <x:row r="30">
      <x:c r="A30" s="47" t="str">
        <x:v>RUN-I2-052-20260830T073600689958Z</x:v>
      </x:c>
      <x:c r="B30" s="47" t="str">
        <x:v>I2-052</x:v>
      </x:c>
      <x:c r="C30" s="47" t="str">
        <x:v>interpolatedValue</x:v>
      </x:c>
      <x:c r="D30" s="48" t="str">
        <x:v>https://w3id.org/nltl/vocab#interpolatedValue</x:v>
      </x:c>
      <x:c r="E30" s="47" t="str">
        <x:v>DatatypeProperty</x:v>
      </x:c>
      <x:c r="F30" s="47" t="str">
        <x:v>xsd:string</x:v>
      </x:c>
      <x:c r="G30" s="47" t="str">
        <x:v>http://www.w3.org/2001/XMLSchema#string</x:v>
      </x:c>
      <x:c r="H30" s="47" t="str"/>
      <x:c r="I30" s="48" t="str">
        <x:v>linked by the locked 313-requirement index</x:v>
      </x:c>
      <x:c r="J30" s="47" t="n">
        <x:v>3</x:v>
      </x:c>
    </x:row>
    <x:row r="31">
      <x:c r="A31" s="47" t="str">
        <x:v>RUN-I2-052-20260830T073600689958Z</x:v>
      </x:c>
      <x:c r="B31" s="47" t="str">
        <x:v>I2-052</x:v>
      </x:c>
      <x:c r="C31" s="47" t="str">
        <x:v>interpolationCoordinate</x:v>
      </x:c>
      <x:c r="D31" s="48" t="str">
        <x:v>https://w3id.org/nltl/vocab#interpolationCoordinate</x:v>
      </x:c>
      <x:c r="E31" s="47" t="str">
        <x:v>QuantityProperty</x:v>
      </x:c>
      <x:c r="F31" s="47" t="str"/>
      <x:c r="G31" s="47" t="str">
        <x:v>http://qudt.org/schema/qudt/QuantityValue</x:v>
      </x:c>
      <x:c r="H31" s="47" t="str"/>
      <x:c r="I31" s="48" t="str">
        <x:v>linked by the locked 313-requirement index; verified vocabulary-matcher addition</x:v>
      </x:c>
      <x:c r="J31" s="47" t="n">
        <x:v>3</x:v>
      </x:c>
    </x:row>
    <x:row r="32">
      <x:c r="A32" s="47" t="str">
        <x:v>RUN-I2-052-20260830T073600689958Z</x:v>
      </x:c>
      <x:c r="B32" s="47" t="str">
        <x:v>I2-052</x:v>
      </x:c>
      <x:c r="C32" s="47" t="str">
        <x:v>interpolationInput</x:v>
      </x:c>
      <x:c r="D32" s="48" t="str">
        <x:v>https://w3id.org/nltl/vocab#interpolationInput</x:v>
      </x:c>
      <x:c r="E32" s="47" t="str">
        <x:v>DatatypeProperty</x:v>
      </x:c>
      <x:c r="F32" s="47" t="str">
        <x:v>xsd:string</x:v>
      </x:c>
      <x:c r="G32" s="47" t="str">
        <x:v>http://www.w3.org/2001/XMLSchema#string</x:v>
      </x:c>
      <x:c r="H32" s="47" t="str"/>
      <x:c r="I32" s="48" t="str">
        <x:v>linked by the locked 313-requirement index</x:v>
      </x:c>
      <x:c r="J32" s="47" t="n">
        <x:v>3</x:v>
      </x:c>
    </x:row>
    <x:row r="33">
      <x:c r="A33" s="47" t="str">
        <x:v>RUN-I2-052-20260830T073600689958Z</x:v>
      </x:c>
      <x:c r="B33" s="47" t="str">
        <x:v>I2-052</x:v>
      </x:c>
      <x:c r="C33" s="47" t="str">
        <x:v>interpolationLowerEndpoint</x:v>
      </x:c>
      <x:c r="D33" s="48" t="str">
        <x:v>https://w3id.org/nltl/vocab#interpolationLowerEndpoint</x:v>
      </x:c>
      <x:c r="E33" s="47" t="str">
        <x:v>ObjectProperty</x:v>
      </x:c>
      <x:c r="F33" s="47" t="str"/>
      <x:c r="G33" s="47" t="str">
        <x:v>https://w3id.org/nltl/vocab#interpolationPoint</x:v>
      </x:c>
      <x:c r="H33" s="47" t="str"/>
      <x:c r="I33" s="48" t="str">
        <x:v>linked by the locked 313-requirement index</x:v>
      </x:c>
      <x:c r="J33" s="47" t="n">
        <x:v>3</x:v>
      </x:c>
    </x:row>
    <x:row r="34">
      <x:c r="A34" s="47" t="str">
        <x:v>RUN-I2-052-20260830T073600689958Z</x:v>
      </x:c>
      <x:c r="B34" s="47" t="str">
        <x:v>I2-052</x:v>
      </x:c>
      <x:c r="C34" s="47" t="str">
        <x:v>interpolationPoint</x:v>
      </x:c>
      <x:c r="D34" s="48" t="str">
        <x:v>https://w3id.org/nltl/vocab#interpolationPoint</x:v>
      </x:c>
      <x:c r="E34" s="47" t="str">
        <x:v>Class</x:v>
      </x:c>
      <x:c r="F34" s="47" t="str"/>
      <x:c r="G34" s="47" t="str">
        <x:v>https://w3id.org/nltl/vocab#calculationCase</x:v>
      </x:c>
      <x:c r="H34" s="47" t="str"/>
      <x:c r="I34"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34" s="47" t="n">
        <x:v>3</x:v>
      </x:c>
    </x:row>
    <x:row r="35">
      <x:c r="A35" s="47" t="str">
        <x:v>RUN-I2-052-20260830T073600689958Z</x:v>
      </x:c>
      <x:c r="B35" s="47" t="str">
        <x:v>I2-052</x:v>
      </x:c>
      <x:c r="C35" s="47" t="str">
        <x:v>interpolationPointCoordinate</x:v>
      </x:c>
      <x:c r="D35" s="48" t="str">
        <x:v>https://w3id.org/nltl/vocab#interpolationPointCoordinate</x:v>
      </x:c>
      <x:c r="E35" s="47" t="str">
        <x:v>QuantityProperty</x:v>
      </x:c>
      <x:c r="F35" s="47" t="str"/>
      <x:c r="G35" s="47" t="str">
        <x:v>http://qudt.org/schema/qudt/QuantityValue</x:v>
      </x:c>
      <x:c r="H35" s="47" t="str">
        <x:v>http://qudt.org/vocab/unit/UNITLESS</x:v>
      </x:c>
      <x:c r="I35" s="48" t="str">
        <x:v>linked by the locked 313-requirement index</x:v>
      </x:c>
      <x:c r="J35" s="47" t="n">
        <x:v>3</x:v>
      </x:c>
    </x:row>
    <x:row r="36">
      <x:c r="A36" s="47" t="str">
        <x:v>RUN-I2-052-20260830T073600689958Z</x:v>
      </x:c>
      <x:c r="B36" s="47" t="str">
        <x:v>I2-052</x:v>
      </x:c>
      <x:c r="C36" s="47" t="str">
        <x:v>interpolationPointResult</x:v>
      </x:c>
      <x:c r="D36" s="48" t="str">
        <x:v>https://w3id.org/nltl/vocab#interpolationPointResult</x:v>
      </x:c>
      <x:c r="E36" s="47" t="str">
        <x:v>QuantityProperty</x:v>
      </x:c>
      <x:c r="F36" s="47" t="str"/>
      <x:c r="G36" s="47" t="str">
        <x:v>http://qudt.org/schema/qudt/QuantityValue</x:v>
      </x:c>
      <x:c r="H36" s="47" t="str"/>
      <x:c r="I36" s="48" t="str">
        <x:v>linked by the locked 313-requirement index</x:v>
      </x:c>
      <x:c r="J36" s="47" t="n">
        <x:v>3</x:v>
      </x:c>
    </x:row>
    <x:row r="37">
      <x:c r="A37" s="47" t="str">
        <x:v>RUN-I2-052-20260830T073600689958Z</x:v>
      </x:c>
      <x:c r="B37" s="47" t="str">
        <x:v>I2-052</x:v>
      </x:c>
      <x:c r="C37" s="47" t="str">
        <x:v>interpolationPointValue</x:v>
      </x:c>
      <x:c r="D37" s="48" t="str">
        <x:v>https://w3id.org/nltl/vocab#interpolationPointValue</x:v>
      </x:c>
      <x:c r="E37" s="47" t="str">
        <x:v>QuantityProperty</x:v>
      </x:c>
      <x:c r="F37" s="47" t="str"/>
      <x:c r="G37" s="47" t="str">
        <x:v>http://qudt.org/schema/qudt/QuantityValue</x:v>
      </x:c>
      <x:c r="H37" s="47" t="str"/>
      <x:c r="I37" s="48" t="str">
        <x:v>linked by the locked 313-requirement index</x:v>
      </x:c>
      <x:c r="J37" s="47" t="n">
        <x:v>3</x:v>
      </x:c>
    </x:row>
    <x:row r="38">
      <x:c r="A38" s="47" t="str">
        <x:v>RUN-I2-052-20260830T073600689958Z</x:v>
      </x:c>
      <x:c r="B38" s="47" t="str">
        <x:v>I2-052</x:v>
      </x:c>
      <x:c r="C38" s="47" t="str">
        <x:v>interpolationUpperEndpoint</x:v>
      </x:c>
      <x:c r="D38" s="48" t="str">
        <x:v>https://w3id.org/nltl/vocab#interpolationUpperEndpoint</x:v>
      </x:c>
      <x:c r="E38" s="47" t="str">
        <x:v>ObjectProperty</x:v>
      </x:c>
      <x:c r="F38" s="47" t="str"/>
      <x:c r="G38" s="47" t="str">
        <x:v>https://w3id.org/nltl/vocab#interpolationPoint</x:v>
      </x:c>
      <x:c r="H38" s="47" t="str"/>
      <x:c r="I38" s="48" t="str">
        <x:v>linked by the locked 313-requirement index</x:v>
      </x:c>
      <x:c r="J38" s="47" t="n">
        <x:v>3</x:v>
      </x:c>
    </x:row>
    <x:row r="39">
      <x:c r="A39" s="47" t="str">
        <x:v>RUN-I2-052-20260830T073600689958Z</x:v>
      </x:c>
      <x:c r="B39" s="47" t="str">
        <x:v>I2-052</x:v>
      </x:c>
      <x:c r="C39" s="47" t="str">
        <x:v>ship</x:v>
      </x:c>
      <x:c r="D39" s="48" t="str">
        <x:v>https://w3id.org/nltl/vocab#ship</x:v>
      </x:c>
      <x:c r="E39" s="47" t="str">
        <x:v>Class</x:v>
      </x:c>
      <x:c r="F39" s="47" t="str"/>
      <x:c r="G39" s="47" t="str"/>
      <x:c r="H39" s="47" t="str"/>
      <x:c r="I39" s="48" t="str">
        <x:v>authoritative required owner class; authoritative requirement target owner; baseline target infrastructure; domain dependency of hasCalculationCase</x:v>
      </x:c>
      <x:c r="J39" s="47" t="n">
        <x:v>3</x:v>
      </x:c>
    </x:row>
    <x:row r="40">
      <x:c r="A40" s="47" t="str">
        <x:v>RUN-I2-052-20260830T073600689958Z</x:v>
      </x:c>
      <x:c r="B40" s="47" t="str">
        <x:v>I2-052</x:v>
      </x:c>
      <x:c r="C40" s="47" t="str">
        <x:v>shipComponent</x:v>
      </x:c>
      <x:c r="D40" s="48" t="str">
        <x:v>https://w3id.org/nltl/vocab#shipComponent</x:v>
      </x:c>
      <x:c r="E40" s="47" t="str">
        <x:v>Class</x:v>
      </x:c>
      <x:c r="F40" s="47" t="str"/>
      <x:c r="G40" s="47" t="str"/>
      <x:c r="H40" s="47" t="str"/>
      <x:c r="I40" s="48" t="str">
        <x:v>component-path dependency inferred from the linked term module</x:v>
      </x:c>
      <x:c r="J40" s="47" t="n">
        <x:v>3</x:v>
      </x:c>
    </x:row>
    <x:row r="41">
      <x:c r="A41" s="47" t="str">
        <x:v>RUN-I2-052-20260830T073600689958Z</x:v>
      </x:c>
      <x:c r="B41" s="47" t="str">
        <x:v>I2-052</x:v>
      </x:c>
      <x:c r="C41" s="47" t="str">
        <x:v>benchmarkEntity</x:v>
      </x:c>
      <x:c r="D41" s="48" t="str">
        <x:v>https://w3id.org/nltl/vocab#benchmarkEntity</x:v>
      </x:c>
      <x:c r="E41" s="47" t="str">
        <x:v>Class</x:v>
      </x:c>
      <x:c r="F41" s="47" t="str"/>
      <x:c r="G41" s="47" t="str"/>
      <x:c r="H41" s="47" t="str"/>
      <x:c r="I41" s="48" t="str">
        <x:v>baseline target infrastructure; domain dependency of interpolatedValue; domain dependency of interpolationInput</x:v>
      </x:c>
      <x:c r="J41" s="47" t="n">
        <x:v>4</x:v>
      </x:c>
    </x:row>
    <x:row r="42">
      <x:c r="A42" s="47" t="str">
        <x:v>RUN-I2-052-20260830T073600689958Z</x:v>
      </x:c>
      <x:c r="B42" s="47" t="str">
        <x:v>I2-052</x:v>
      </x:c>
      <x:c r="C42" s="47" t="str">
        <x:v>calculationCase</x:v>
      </x:c>
      <x:c r="D42" s="48" t="str">
        <x:v>https://w3id.org/nltl/vocab#calculationCase</x:v>
      </x:c>
      <x:c r="E42" s="47" t="str">
        <x:v>Class</x:v>
      </x:c>
      <x:c r="F42" s="47" t="str"/>
      <x:c r="G42" s="47" t="str">
        <x:v>https://w3id.org/nltl/vocab#benchmarkEntity</x:v>
      </x:c>
      <x:c r="H42" s="47" t="str"/>
      <x:c r="I42"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42" s="47" t="n">
        <x:v>4</x:v>
      </x:c>
    </x:row>
    <x:row r="43">
      <x:c r="A43" s="47" t="str">
        <x:v>RUN-I2-052-20260830T073600689958Z</x:v>
      </x:c>
      <x:c r="B43" s="47" t="str">
        <x:v>I2-052</x:v>
      </x:c>
      <x:c r="C43" s="47" t="str">
        <x:v>hasCalculationCase</x:v>
      </x:c>
      <x:c r="D43" s="48" t="str">
        <x:v>https://w3id.org/nltl/vocab#hasCalculationCase</x:v>
      </x:c>
      <x:c r="E43" s="47" t="str">
        <x:v>ObjectProperty</x:v>
      </x:c>
      <x:c r="F43" s="47" t="str"/>
      <x:c r="G43" s="47" t="str">
        <x:v>https://w3id.org/nltl/vocab#calculationCase</x:v>
      </x:c>
      <x:c r="H43" s="47" t="str"/>
      <x:c r="I43" s="48" t="str">
        <x:v>canonical path from target owner ship to required owner calculationCase; linked by the locked 313-requirement index</x:v>
      </x:c>
      <x:c r="J43" s="47" t="n">
        <x:v>4</x:v>
      </x:c>
    </x:row>
    <x:row r="44">
      <x:c r="A44" s="47" t="str">
        <x:v>RUN-I2-052-20260830T073600689958Z</x:v>
      </x:c>
      <x:c r="B44" s="47" t="str">
        <x:v>I2-052</x:v>
      </x:c>
      <x:c r="C44" s="47" t="str">
        <x:v>hasComponent</x:v>
      </x:c>
      <x:c r="D44" s="48" t="str">
        <x:v>https://w3id.org/nltl/vocab#hasComponent</x:v>
      </x:c>
      <x:c r="E44" s="47" t="str">
        <x:v>ObjectProperty</x:v>
      </x:c>
      <x:c r="F44" s="47" t="str"/>
      <x:c r="G44" s="47" t="str">
        <x:v>https://w3id.org/nltl/vocab#shipComponent</x:v>
      </x:c>
      <x:c r="H44" s="47" t="str"/>
      <x:c r="I44" s="48" t="str">
        <x:v>component-path dependency inferred from the linked term module</x:v>
      </x:c>
      <x:c r="J44" s="47" t="n">
        <x:v>4</x:v>
      </x:c>
    </x:row>
    <x:row r="45">
      <x:c r="A45" s="47" t="str">
        <x:v>RUN-I2-052-20260830T073600689958Z</x:v>
      </x:c>
      <x:c r="B45" s="47" t="str">
        <x:v>I2-052</x:v>
      </x:c>
      <x:c r="C45" s="47" t="str">
        <x:v>hasInterpolationPoint</x:v>
      </x:c>
      <x:c r="D45" s="48" t="str">
        <x:v>https://w3id.org/nltl/vocab#hasInterpolationPoint</x:v>
      </x:c>
      <x:c r="E45" s="47" t="str">
        <x:v>ObjectProperty</x:v>
      </x:c>
      <x:c r="F45" s="47" t="str"/>
      <x:c r="G45" s="47" t="str">
        <x:v>https://w3id.org/nltl/vocab#interpolationPoint</x:v>
      </x:c>
      <x:c r="H45" s="47" t="str"/>
      <x:c r="I45" s="48" t="str">
        <x:v>linked by the locked 313-requirement index</x:v>
      </x:c>
      <x:c r="J45" s="47" t="n">
        <x:v>4</x:v>
      </x:c>
    </x:row>
    <x:row r="46">
      <x:c r="A46" s="47" t="str">
        <x:v>RUN-I2-052-20260830T073600689958Z</x:v>
      </x:c>
      <x:c r="B46" s="47" t="str">
        <x:v>I2-052</x:v>
      </x:c>
      <x:c r="C46" s="47" t="str">
        <x:v>hullGirderLongitudinalPositionFromAft</x:v>
      </x:c>
      <x:c r="D46" s="48" t="str">
        <x:v>https://w3id.org/nltl/vocab#hullGirderLongitudinalPositionFromAft</x:v>
      </x:c>
      <x:c r="E46" s="47" t="str">
        <x:v>QuantityProperty</x:v>
      </x:c>
      <x:c r="F46" s="47" t="str"/>
      <x:c r="G46" s="47" t="str">
        <x:v>http://qudt.org/schema/qudt/QuantityValue</x:v>
      </x:c>
      <x:c r="H46" s="47" t="str">
        <x:v>http://qudt.org/vocab/unit/M</x:v>
      </x:c>
      <x:c r="I46" s="48" t="str">
        <x:v>linked by the locked 313-requirement index</x:v>
      </x:c>
      <x:c r="J46" s="47" t="n">
        <x:v>4</x:v>
      </x:c>
    </x:row>
    <x:row r="47">
      <x:c r="A47" s="47" t="str">
        <x:v>RUN-I2-052-20260830T073600689958Z</x:v>
      </x:c>
      <x:c r="B47" s="47" t="str">
        <x:v>I2-052</x:v>
      </x:c>
      <x:c r="C47" s="47" t="str">
        <x:v>interpolatedLongitudinalDistributionFactor</x:v>
      </x:c>
      <x:c r="D47" s="48" t="str">
        <x:v>https://w3id.org/nltl/vocab#interpolatedLongitudinalDistributionFactor</x:v>
      </x:c>
      <x:c r="E47" s="47" t="str">
        <x:v>QuantityProperty</x:v>
      </x:c>
      <x:c r="F47" s="47" t="str"/>
      <x:c r="G47" s="47" t="str">
        <x:v>http://qudt.org/schema/qudt/QuantityValue</x:v>
      </x:c>
      <x:c r="H47" s="47" t="str">
        <x:v>http://qudt.org/vocab/unit/UNITLESS</x:v>
      </x:c>
      <x:c r="I47" s="48" t="str">
        <x:v>linked by the locked 313-requirement index</x:v>
      </x:c>
      <x:c r="J47" s="47" t="n">
        <x:v>4</x:v>
      </x:c>
    </x:row>
    <x:row r="48">
      <x:c r="A48" s="47" t="str">
        <x:v>RUN-I2-052-20260830T073600689958Z</x:v>
      </x:c>
      <x:c r="B48" s="47" t="str">
        <x:v>I2-052</x:v>
      </x:c>
      <x:c r="C48" s="47" t="str">
        <x:v>interpolatedValue</x:v>
      </x:c>
      <x:c r="D48" s="48" t="str">
        <x:v>https://w3id.org/nltl/vocab#interpolatedValue</x:v>
      </x:c>
      <x:c r="E48" s="47" t="str">
        <x:v>DatatypeProperty</x:v>
      </x:c>
      <x:c r="F48" s="47" t="str">
        <x:v>xsd:string</x:v>
      </x:c>
      <x:c r="G48" s="47" t="str">
        <x:v>http://www.w3.org/2001/XMLSchema#string</x:v>
      </x:c>
      <x:c r="H48" s="47" t="str"/>
      <x:c r="I48" s="48" t="str">
        <x:v>linked by the locked 313-requirement index</x:v>
      </x:c>
      <x:c r="J48" s="47" t="n">
        <x:v>4</x:v>
      </x:c>
    </x:row>
    <x:row r="49">
      <x:c r="A49" s="47" t="str">
        <x:v>RUN-I2-052-20260830T073600689958Z</x:v>
      </x:c>
      <x:c r="B49" s="47" t="str">
        <x:v>I2-052</x:v>
      </x:c>
      <x:c r="C49" s="47" t="str">
        <x:v>interpolationCoordinate</x:v>
      </x:c>
      <x:c r="D49" s="48" t="str">
        <x:v>https://w3id.org/nltl/vocab#interpolationCoordinate</x:v>
      </x:c>
      <x:c r="E49" s="47" t="str">
        <x:v>QuantityProperty</x:v>
      </x:c>
      <x:c r="F49" s="47" t="str"/>
      <x:c r="G49" s="47" t="str">
        <x:v>http://qudt.org/schema/qudt/QuantityValue</x:v>
      </x:c>
      <x:c r="H49" s="47" t="str"/>
      <x:c r="I49" s="48" t="str">
        <x:v>linked by the locked 313-requirement index; verified vocabulary-matcher addition</x:v>
      </x:c>
      <x:c r="J49" s="47" t="n">
        <x:v>4</x:v>
      </x:c>
    </x:row>
    <x:row r="50">
      <x:c r="A50" s="47" t="str">
        <x:v>RUN-I2-052-20260830T073600689958Z</x:v>
      </x:c>
      <x:c r="B50" s="47" t="str">
        <x:v>I2-052</x:v>
      </x:c>
      <x:c r="C50" s="47" t="str">
        <x:v>interpolationInput</x:v>
      </x:c>
      <x:c r="D50" s="48" t="str">
        <x:v>https://w3id.org/nltl/vocab#interpolationInput</x:v>
      </x:c>
      <x:c r="E50" s="47" t="str">
        <x:v>DatatypeProperty</x:v>
      </x:c>
      <x:c r="F50" s="47" t="str">
        <x:v>xsd:string</x:v>
      </x:c>
      <x:c r="G50" s="47" t="str">
        <x:v>http://www.w3.org/2001/XMLSchema#string</x:v>
      </x:c>
      <x:c r="H50" s="47" t="str"/>
      <x:c r="I50" s="48" t="str">
        <x:v>linked by the locked 313-requirement index</x:v>
      </x:c>
      <x:c r="J50" s="47" t="n">
        <x:v>4</x:v>
      </x:c>
    </x:row>
    <x:row r="51">
      <x:c r="A51" s="47" t="str">
        <x:v>RUN-I2-052-20260830T073600689958Z</x:v>
      </x:c>
      <x:c r="B51" s="47" t="str">
        <x:v>I2-052</x:v>
      </x:c>
      <x:c r="C51" s="47" t="str">
        <x:v>interpolationLowerEndpoint</x:v>
      </x:c>
      <x:c r="D51" s="48" t="str">
        <x:v>https://w3id.org/nltl/vocab#interpolationLowerEndpoint</x:v>
      </x:c>
      <x:c r="E51" s="47" t="str">
        <x:v>ObjectProperty</x:v>
      </x:c>
      <x:c r="F51" s="47" t="str"/>
      <x:c r="G51" s="47" t="str">
        <x:v>https://w3id.org/nltl/vocab#interpolationPoint</x:v>
      </x:c>
      <x:c r="H51" s="47" t="str"/>
      <x:c r="I51" s="48" t="str">
        <x:v>linked by the locked 313-requirement index</x:v>
      </x:c>
      <x:c r="J51" s="47" t="n">
        <x:v>4</x:v>
      </x:c>
    </x:row>
    <x:row r="52">
      <x:c r="A52" s="47" t="str">
        <x:v>RUN-I2-052-20260830T073600689958Z</x:v>
      </x:c>
      <x:c r="B52" s="47" t="str">
        <x:v>I2-052</x:v>
      </x:c>
      <x:c r="C52" s="47" t="str">
        <x:v>interpolationPoint</x:v>
      </x:c>
      <x:c r="D52" s="48" t="str">
        <x:v>https://w3id.org/nltl/vocab#interpolationPoint</x:v>
      </x:c>
      <x:c r="E52" s="47" t="str">
        <x:v>Class</x:v>
      </x:c>
      <x:c r="F52" s="47" t="str"/>
      <x:c r="G52" s="47" t="str">
        <x:v>https://w3id.org/nltl/vocab#calculationCase</x:v>
      </x:c>
      <x:c r="H52" s="47" t="str"/>
      <x:c r="I52"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52" s="47" t="n">
        <x:v>4</x:v>
      </x:c>
    </x:row>
    <x:row r="53">
      <x:c r="A53" s="47" t="str">
        <x:v>RUN-I2-052-20260830T073600689958Z</x:v>
      </x:c>
      <x:c r="B53" s="47" t="str">
        <x:v>I2-052</x:v>
      </x:c>
      <x:c r="C53" s="47" t="str">
        <x:v>interpolationPointCoordinate</x:v>
      </x:c>
      <x:c r="D53" s="48" t="str">
        <x:v>https://w3id.org/nltl/vocab#interpolationPointCoordinate</x:v>
      </x:c>
      <x:c r="E53" s="47" t="str">
        <x:v>QuantityProperty</x:v>
      </x:c>
      <x:c r="F53" s="47" t="str"/>
      <x:c r="G53" s="47" t="str">
        <x:v>http://qudt.org/schema/qudt/QuantityValue</x:v>
      </x:c>
      <x:c r="H53" s="47" t="str">
        <x:v>http://qudt.org/vocab/unit/UNITLESS</x:v>
      </x:c>
      <x:c r="I53" s="48" t="str">
        <x:v>linked by the locked 313-requirement index</x:v>
      </x:c>
      <x:c r="J53" s="47" t="n">
        <x:v>4</x:v>
      </x:c>
    </x:row>
    <x:row r="54">
      <x:c r="A54" s="47" t="str">
        <x:v>RUN-I2-052-20260830T073600689958Z</x:v>
      </x:c>
      <x:c r="B54" s="47" t="str">
        <x:v>I2-052</x:v>
      </x:c>
      <x:c r="C54" s="47" t="str">
        <x:v>interpolationPointResult</x:v>
      </x:c>
      <x:c r="D54" s="48" t="str">
        <x:v>https://w3id.org/nltl/vocab#interpolationPointResult</x:v>
      </x:c>
      <x:c r="E54" s="47" t="str">
        <x:v>QuantityProperty</x:v>
      </x:c>
      <x:c r="F54" s="47" t="str"/>
      <x:c r="G54" s="47" t="str">
        <x:v>http://qudt.org/schema/qudt/QuantityValue</x:v>
      </x:c>
      <x:c r="H54" s="47" t="str"/>
      <x:c r="I54" s="48" t="str">
        <x:v>linked by the locked 313-requirement index</x:v>
      </x:c>
      <x:c r="J54" s="47" t="n">
        <x:v>4</x:v>
      </x:c>
    </x:row>
    <x:row r="55">
      <x:c r="A55" s="47" t="str">
        <x:v>RUN-I2-052-20260830T073600689958Z</x:v>
      </x:c>
      <x:c r="B55" s="47" t="str">
        <x:v>I2-052</x:v>
      </x:c>
      <x:c r="C55" s="47" t="str">
        <x:v>interpolationPointValue</x:v>
      </x:c>
      <x:c r="D55" s="48" t="str">
        <x:v>https://w3id.org/nltl/vocab#interpolationPointValue</x:v>
      </x:c>
      <x:c r="E55" s="47" t="str">
        <x:v>QuantityProperty</x:v>
      </x:c>
      <x:c r="F55" s="47" t="str"/>
      <x:c r="G55" s="47" t="str">
        <x:v>http://qudt.org/schema/qudt/QuantityValue</x:v>
      </x:c>
      <x:c r="H55" s="47" t="str"/>
      <x:c r="I55" s="48" t="str">
        <x:v>linked by the locked 313-requirement index</x:v>
      </x:c>
      <x:c r="J55" s="47" t="n">
        <x:v>4</x:v>
      </x:c>
    </x:row>
    <x:row r="56">
      <x:c r="A56" s="47" t="str">
        <x:v>RUN-I2-052-20260830T073600689958Z</x:v>
      </x:c>
      <x:c r="B56" s="47" t="str">
        <x:v>I2-052</x:v>
      </x:c>
      <x:c r="C56" s="47" t="str">
        <x:v>interpolationUpperEndpoint</x:v>
      </x:c>
      <x:c r="D56" s="48" t="str">
        <x:v>https://w3id.org/nltl/vocab#interpolationUpperEndpoint</x:v>
      </x:c>
      <x:c r="E56" s="47" t="str">
        <x:v>ObjectProperty</x:v>
      </x:c>
      <x:c r="F56" s="47" t="str"/>
      <x:c r="G56" s="47" t="str">
        <x:v>https://w3id.org/nltl/vocab#interpolationPoint</x:v>
      </x:c>
      <x:c r="H56" s="47" t="str"/>
      <x:c r="I56" s="48" t="str">
        <x:v>linked by the locked 313-requirement index</x:v>
      </x:c>
      <x:c r="J56" s="47" t="n">
        <x:v>4</x:v>
      </x:c>
    </x:row>
    <x:row r="57">
      <x:c r="A57" s="47" t="str">
        <x:v>RUN-I2-052-20260830T073600689958Z</x:v>
      </x:c>
      <x:c r="B57" s="47" t="str">
        <x:v>I2-052</x:v>
      </x:c>
      <x:c r="C57" s="47" t="str">
        <x:v>ship</x:v>
      </x:c>
      <x:c r="D57" s="48" t="str">
        <x:v>https://w3id.org/nltl/vocab#ship</x:v>
      </x:c>
      <x:c r="E57" s="47" t="str">
        <x:v>Class</x:v>
      </x:c>
      <x:c r="F57" s="47" t="str"/>
      <x:c r="G57" s="47" t="str"/>
      <x:c r="H57" s="47" t="str"/>
      <x:c r="I57" s="48" t="str">
        <x:v>authoritative required owner class; authoritative requirement target owner; baseline target infrastructure; domain dependency of hasCalculationCase</x:v>
      </x:c>
      <x:c r="J57" s="47" t="n">
        <x:v>4</x:v>
      </x:c>
    </x:row>
    <x:row r="58">
      <x:c r="A58" s="49" t="str">
        <x:v>RUN-I2-052-20260830T073600689958Z</x:v>
      </x:c>
      <x:c r="B58" s="49" t="str">
        <x:v>I2-052</x:v>
      </x:c>
      <x:c r="C58" s="49" t="str">
        <x:v>shipComponent</x:v>
      </x:c>
      <x:c r="D58" s="50" t="str">
        <x:v>https://w3id.org/nltl/vocab#shipComponent</x:v>
      </x:c>
      <x:c r="E58" s="49" t="str">
        <x:v>Class</x:v>
      </x:c>
      <x:c r="F58" s="49" t="str"/>
      <x:c r="G58" s="49" t="str"/>
      <x:c r="H58" s="49" t="str"/>
      <x:c r="I58" s="50" t="str">
        <x:v>component-path dependency inferred from the linked term module</x:v>
      </x:c>
      <x:c r="J58" s="49" t="n">
        <x:v>4</x:v>
      </x:c>
    </x:row>
  </x:sheetData>
  <x:pageMargins left="0.7" right="0.7" top="0.75" bottom="0.75" header="0.3" footer="0.3"/>
  <x:tableParts count="1">
    <x:tablePart xmlns:r="http://schemas.openxmlformats.org/officeDocument/2006/relationships" r:id="R8114497fa79d466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RUN-I2-052-20260830T073600689958Z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RUN-I2-052-20260830T073600689958Z</x:v>
      </x:c>
      <x:c r="B5" s="45" t="str">
        <x:v>I2-052</x:v>
      </x:c>
      <x:c r="C5" s="45" t="str">
        <x:v>FS-COMPLEX-READINESS-01</x:v>
      </x:c>
      <x:c r="D5" s="45" t="str">
        <x:v>complex_readiness_external_calculation</x:v>
      </x:c>
      <x:c r="E5" s="97" t="n">
        <x:v>2.307692</x:v>
      </x:c>
      <x:c r="F5" s="45" t="str">
        <x:v>calculation | complex | engineering | evidence | external | inputs | readiness | results</x:v>
      </x:c>
      <x:c r="G5" s="45" t="str">
        <x:v>synthetic-few-shot-not-benchmark-ground-truth</x:v>
      </x:c>
    </x:row>
    <x:row r="6">
      <x:c r="A6" s="49" t="str">
        <x:v>RUN-I2-052-20260830T073600689958Z</x:v>
      </x:c>
      <x:c r="B6" s="49" t="str">
        <x:v>I2-052</x:v>
      </x:c>
      <x:c r="C6" s="49" t="str">
        <x:v>FS-COMPLEX-READINESS-02</x:v>
      </x:c>
      <x:c r="D6" s="49" t="str">
        <x:v>complex_readiness_with_direct_residual_check</x:v>
      </x:c>
      <x:c r="E6" s="98" t="n">
        <x:v>2.16129</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7013f851a77425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RUN-I2-052-20260830T073600689958Z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RUN-I2-052-20260830T073600689958Z</x:v>
      </x:c>
      <x:c r="B5" s="45" t="str">
        <x:v>I2-052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5" s="46" t="str"/>
      <x:c r="P5" s="46" t="str"/>
      <x:c r="Q5" s="46" t="str"/>
    </x:row>
    <x:row r="6">
      <x:c r="A6" s="47" t="str">
        <x:v>RUN-I2-052-20260830T073600689958Z</x:v>
      </x:c>
      <x:c r="B6" s="47" t="str">
        <x:v>I2-052</x:v>
      </x:c>
      <x:c r="C6" s="59" t="n">
        <x:v>2</x:v>
      </x:c>
      <x:c r="D6" s="85" t="b">
        <x:v>0</x:v>
      </x:c>
      <x:c r="E6" s="85" t="b">
        <x:v>1</x:v>
      </x:c>
      <x:c r="F6" s="85" t="b">
        <x:v>1</x:v>
      </x:c>
      <x:c r="G6" s="85" t="b">
        <x:v>1</x:v>
      </x:c>
      <x:c r="H6" s="85" t="b">
        <x:v>1</x:v>
      </x:c>
      <x:c r="I6" s="85" t="b">
        <x:v>1</x:v>
      </x:c>
      <x:c r="J6" s="85" t="b">
        <x:v>1</x:v>
      </x:c>
      <x:c r="K6" s="103" t="b">
        <x:v>1</x:v>
      </x:c>
      <x:c r="L6" s="48" t="str">
        <x:v>COMPLEX_READINESS required input(s) absent from candidate: interpolationCoordinate</x:v>
      </x:c>
      <x:c r="M6" s="48" t="str"/>
      <x:c r="N6" s="48"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https://w3id.org/nltl/vocab#interpolationLowerEndpoint | https://w3id.org/nltl/vocab#interpolationPoint | https://w3id.org/nltl/vocab#interpolationPointCoordinate | https://w3id.org/nltl/vocab#interpolationPointValue | https://w3id.org/nltl/vocab#interpolationUpperEndpoint | https://w3id.org/nltl/vocab#ship</x:v>
      </x:c>
      <x:c r="O6" s="48" t="str"/>
      <x:c r="P6" s="48" t="str"/>
      <x:c r="Q6" s="48" t="str"/>
    </x:row>
    <x:row r="7">
      <x:c r="A7" s="47" t="str">
        <x:v>RUN-I2-052-20260830T073600689958Z</x:v>
      </x:c>
      <x:c r="B7" s="47" t="str">
        <x:v>I2-052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7" s="48" t="str"/>
      <x:c r="P7" s="48" t="str"/>
      <x:c r="Q7" s="48" t="str"/>
    </x:row>
    <x:row r="8">
      <x:c r="A8" s="49" t="str">
        <x:v>RUN-I2-052-20260830T073600689958Z</x:v>
      </x:c>
      <x:c r="B8" s="49" t="str">
        <x:v>I2-052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8" s="50" t="str"/>
      <x:c r="P8" s="50" t="str"/>
      <x:c r="Q8" s="50" t="str"/>
    </x:row>
  </x:sheetData>
  <x:pageMargins left="0.7" right="0.7" top="0.75" bottom="0.75" header="0.3" footer="0.3"/>
  <x:tableParts count="1">
    <x:tablePart xmlns:r="http://schemas.openxmlformats.org/officeDocument/2006/relationships" r:id="R467cba3790d84e6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RUN-I2-052-20260830T073600689958Z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RUN-I2-052-20260830T073600689958Z</x:v>
      </x:c>
      <x:c r="B5" s="45" t="str">
        <x:v>I2-052</x:v>
      </x:c>
      <x:c r="C5" s="58" t="n">
        <x:v>2</x:v>
      </x:c>
      <x:c r="D5" s="45" t="str">
        <x:v>matcher_search</x:v>
      </x:c>
      <x:c r="E5" s="46" t="str">
        <x:v>Deterministic validation prevents acceptance. Fix: COMPLEX_READINESS required input(s) absent from candidate: interpolationCoordinate
Semantic validator feedback: Reject. Preserve the prior repair: retain the bounded readiness constraint linking each calculation case to distinct, ordered lower and upper interpolation points and checking the input interval and endpoint-value envelope. The COMPLETE dependency contract additionally requires the operand interpolationCoordinate, but the candidate omits it and instead uses the non-equivalent interpolationPointCoordinate. Add the canonical nltl:interpolationCoordinate property on each required interpolationPoint, with its declared QuantityValue structure and canonical unit metadata, and use it consistently in the readiness relationship/query. Do not invent a replacement term or relocate this owner-specific property.</x:v>
      </x:c>
      <x:c r="F5" s="58" t="n">
        <x:v>5</x:v>
      </x:c>
      <x:c r="G5" s="45" t="str"/>
      <x:c r="H5" s="45" t="str"/>
      <x:c r="I5" s="46" t="str"/>
      <x:c r="J5" s="46" t="str"/>
    </x:row>
    <x:row r="6">
      <x:c r="A6" s="49" t="str">
        <x:v>RUN-I2-052-20260830T073600689958Z</x:v>
      </x:c>
      <x:c r="B6" s="49" t="str">
        <x:v>I2-052</x:v>
      </x:c>
      <x:c r="C6" s="60" t="n">
        <x:v>2</x:v>
      </x:c>
      <x:c r="D6" s="49" t="str">
        <x:v>matcher_decision</x:v>
      </x:c>
      <x:c r="E6" s="50" t="str"/>
      <x:c r="F6" s="60" t="str"/>
      <x:c r="G6" s="87" t="b">
        <x:v>1</x:v>
      </x:c>
      <x:c r="H6" s="49" t="str">
        <x:v>interpolationCoordinate</x:v>
      </x:c>
      <x:c r="I6" s="50" t="str">
        <x:v>https://w3id.org/nltl/vocab#interpolationCoordinate</x:v>
      </x:c>
      <x:c r="J6" s="50" t="str">
        <x:v>Use this exact term because the validator requires the operand on each interpolationPoint, and this canonical QuantityProperty has range qudt:QuantityValue; do not substitute the non-equivalent interpolationPointCoordinate.</x:v>
      </x:c>
    </x:row>
  </x:sheetData>
  <x:pageMargins left="0.7" right="0.7" top="0.75" bottom="0.75" header="0.3" footer="0.3"/>
  <x:tableParts count="1">
    <x:tablePart xmlns:r="http://schemas.openxmlformats.org/officeDocument/2006/relationships" r:id="R6ce7e126f68244a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RUN-I2-052-20260830T073600689958Z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RUN-I2-052-20260830T073600689958Z</x:v>
      </x:c>
      <x:c r="B5" s="45" t="str">
        <x:v>I2-052</x:v>
      </x:c>
      <x:c r="C5" s="58"/>
      <x:c r="D5" s="45" t="str">
        <x:v>initial_context_pack</x:v>
      </x:c>
      <x:c r="E5" s="46" t="str">
        <x:v>artifacts/context_pack_initial.json</x:v>
      </x:c>
      <x:c r="F5" s="45" t="str">
        <x:v>05378fb3dd4251501f04bc467985f7005cd8611e55e16664bfdcb95b199a0b63</x:v>
      </x:c>
      <x:c r="G5" s="58" t="n">
        <x:v>25879</x:v>
      </x:c>
    </x:row>
    <x:row r="6">
      <x:c r="A6" s="47" t="str">
        <x:v>RUN-I2-052-20260830T073600689958Z</x:v>
      </x:c>
      <x:c r="B6" s="47" t="str">
        <x:v>I2-052</x:v>
      </x:c>
      <x:c r="C6" s="59"/>
      <x:c r="D6" s="47" t="str">
        <x:v>few_shot_selection</x:v>
      </x:c>
      <x:c r="E6" s="48" t="str">
        <x:v>artifacts/few_shots_selected.json</x:v>
      </x:c>
      <x:c r="F6" s="47" t="str">
        <x:v>0c681f4511ba86c8a1048a089e04fcd7ea8c61b19158113c5d382783615d1854</x:v>
      </x:c>
      <x:c r="G6" s="59" t="n">
        <x:v>6570</x:v>
      </x:c>
    </x:row>
    <x:row r="7">
      <x:c r="A7" s="47" t="str">
        <x:v>RUN-I2-052-20260830T073600689958Z</x:v>
      </x:c>
      <x:c r="B7" s="47" t="str">
        <x:v>I2-052</x:v>
      </x:c>
      <x:c r="C7" s="59" t="n">
        <x:v>1</x:v>
      </x:c>
      <x:c r="D7" s="47" t="str">
        <x:v>generator_prompt</x:v>
      </x:c>
      <x:c r="E7" s="48" t="str">
        <x:v>artifacts/attempt_01/generator_prompt.txt</x:v>
      </x:c>
      <x:c r="F7" s="47" t="str">
        <x:v>6f268a1535f7d2ffe7433b73555fc4c0288a0a9a080f3ebfaade3dc96089016c</x:v>
      </x:c>
      <x:c r="G7" s="59" t="n">
        <x:v>44095</x:v>
      </x:c>
    </x:row>
    <x:row r="8">
      <x:c r="A8" s="47" t="str">
        <x:v>RUN-I2-052-20260830T073600689958Z</x:v>
      </x:c>
      <x:c r="B8" s="47" t="str">
        <x:v>I2-052</x:v>
      </x:c>
      <x:c r="C8" s="59" t="n">
        <x:v>1</x:v>
      </x:c>
      <x:c r="D8" s="47" t="str">
        <x:v>generator_raw_response</x:v>
      </x:c>
      <x:c r="E8" s="48" t="str">
        <x:v>artifacts/attempt_01/generator_raw.txt</x:v>
      </x:c>
      <x:c r="F8" s="47" t="str">
        <x:v>307b9d995de267e68571104a6c5cacadadacc3cb23ed0f786f5b03e1091805cb</x:v>
      </x:c>
      <x:c r="G8" s="59" t="n">
        <x:v>4109</x:v>
      </x:c>
    </x:row>
    <x:row r="9">
      <x:c r="A9" s="47" t="str">
        <x:v>RUN-I2-052-20260830T073600689958Z</x:v>
      </x:c>
      <x:c r="B9" s="47" t="str">
        <x:v>I2-052</x:v>
      </x:c>
      <x:c r="C9" s="59" t="n">
        <x:v>1</x:v>
      </x:c>
      <x:c r="D9" s="47" t="str">
        <x:v>candidate_shape</x:v>
      </x:c>
      <x:c r="E9" s="48" t="str">
        <x:v>artifacts/attempt_01/candidate_shape.ttl</x:v>
      </x:c>
      <x:c r="F9" s="47" t="str">
        <x:v>82fed68c7fb54b69db86fd711bf6f9741451633dfd4aff852971b6222dcb6ee1</x:v>
      </x:c>
      <x:c r="G9" s="59" t="n">
        <x:v>4084</x:v>
      </x:c>
    </x:row>
    <x:row r="10">
      <x:c r="A10" s="47" t="str">
        <x:v>RUN-I2-052-20260830T073600689958Z</x:v>
      </x:c>
      <x:c r="B10" s="47" t="str">
        <x:v>I2-052</x:v>
      </x:c>
      <x:c r="C10" s="59" t="n">
        <x:v>1</x:v>
      </x:c>
      <x:c r="D10" s="47" t="str">
        <x:v>deterministic_validation</x:v>
      </x:c>
      <x:c r="E10" s="48" t="str">
        <x:v>artifacts/attempt_01/deterministic_validation.json</x:v>
      </x:c>
      <x:c r="F10" s="47" t="str">
        <x:v>e74e2ffd5acaeb6634a7e7437d56939226b861ebd9c6aecacec7c9ec1a3fc567</x:v>
      </x:c>
      <x:c r="G10" s="59" t="n">
        <x:v>1091</x:v>
      </x:c>
    </x:row>
    <x:row r="11">
      <x:c r="A11" s="47" t="str">
        <x:v>RUN-I2-052-20260830T073600689958Z</x:v>
      </x:c>
      <x:c r="B11" s="47" t="str">
        <x:v>I2-052</x:v>
      </x:c>
      <x:c r="C11" s="59" t="n">
        <x:v>1</x:v>
      </x:c>
      <x:c r="D11" s="47" t="str">
        <x:v>validator_prompt</x:v>
      </x:c>
      <x:c r="E11" s="48" t="str">
        <x:v>artifacts/attempt_01/validator_prompt_01.txt</x:v>
      </x:c>
      <x:c r="F11" s="47" t="str">
        <x:v>7b43f124505bcecd19218326c2302fc4a6ae043851a04ef98e309ad587887a8c</x:v>
      </x:c>
      <x:c r="G11" s="59" t="n">
        <x:v>41891</x:v>
      </x:c>
    </x:row>
    <x:row r="12">
      <x:c r="A12" s="47" t="str">
        <x:v>RUN-I2-052-20260830T073600689958Z</x:v>
      </x:c>
      <x:c r="B12" s="47" t="str">
        <x:v>I2-052</x:v>
      </x:c>
      <x:c r="C12" s="59" t="n">
        <x:v>1</x:v>
      </x:c>
      <x:c r="D12" s="47" t="str">
        <x:v>validator_raw_response</x:v>
      </x:c>
      <x:c r="E12" s="48" t="str">
        <x:v>artifacts/attempt_01/validator_raw_01.txt</x:v>
      </x:c>
      <x:c r="F12" s="47" t="str">
        <x:v>ee1bd4f6e5b09eee31933f3fffcce1a85699ceeb0a58c120d4bc8436e42b4188</x:v>
      </x:c>
      <x:c r="G12" s="59" t="n">
        <x:v>770</x:v>
      </x:c>
    </x:row>
    <x:row r="13">
      <x:c r="A13" s="47" t="str">
        <x:v>RUN-I2-052-20260830T073600689958Z</x:v>
      </x:c>
      <x:c r="B13" s="47" t="str">
        <x:v>I2-052</x:v>
      </x:c>
      <x:c r="C13" s="59" t="n">
        <x:v>2</x:v>
      </x:c>
      <x:c r="D13" s="47" t="str">
        <x:v>generator_prompt</x:v>
      </x:c>
      <x:c r="E13" s="48" t="str">
        <x:v>artifacts/attempt_02/generator_prompt.txt</x:v>
      </x:c>
      <x:c r="F13" s="47" t="str">
        <x:v>24b6338ff1159be09603597d62d19b590f9992b7117cd79861b66857aae7120e</x:v>
      </x:c>
      <x:c r="G13" s="59" t="n">
        <x:v>44800</x:v>
      </x:c>
    </x:row>
    <x:row r="14">
      <x:c r="A14" s="47" t="str">
        <x:v>RUN-I2-052-20260830T073600689958Z</x:v>
      </x:c>
      <x:c r="B14" s="47" t="str">
        <x:v>I2-052</x:v>
      </x:c>
      <x:c r="C14" s="59" t="n">
        <x:v>2</x:v>
      </x:c>
      <x:c r="D14" s="47" t="str">
        <x:v>generator_raw_response</x:v>
      </x:c>
      <x:c r="E14" s="48" t="str">
        <x:v>artifacts/attempt_02/generator_raw.txt</x:v>
      </x:c>
      <x:c r="F14" s="47" t="str">
        <x:v>f1dbf5dd729b16e3b14f93849ef542f2b6cf4242315b0388146ce21b0c8da7b9</x:v>
      </x:c>
      <x:c r="G14" s="59" t="n">
        <x:v>5365</x:v>
      </x:c>
    </x:row>
    <x:row r="15">
      <x:c r="A15" s="47" t="str">
        <x:v>RUN-I2-052-20260830T073600689958Z</x:v>
      </x:c>
      <x:c r="B15" s="47" t="str">
        <x:v>I2-052</x:v>
      </x:c>
      <x:c r="C15" s="59" t="n">
        <x:v>2</x:v>
      </x:c>
      <x:c r="D15" s="47" t="str">
        <x:v>candidate_shape</x:v>
      </x:c>
      <x:c r="E15" s="48" t="str">
        <x:v>artifacts/attempt_02/candidate_shape.ttl</x:v>
      </x:c>
      <x:c r="F15" s="47" t="str">
        <x:v>9f9c7bc7b6dcec10cba3df2e6eed093f963f77ced4009ce6eaa3d24871dd6b27</x:v>
      </x:c>
      <x:c r="G15" s="59" t="n">
        <x:v>5340</x:v>
      </x:c>
    </x:row>
    <x:row r="16">
      <x:c r="A16" s="47" t="str">
        <x:v>RUN-I2-052-20260830T073600689958Z</x:v>
      </x:c>
      <x:c r="B16" s="47" t="str">
        <x:v>I2-052</x:v>
      </x:c>
      <x:c r="C16" s="59" t="n">
        <x:v>2</x:v>
      </x:c>
      <x:c r="D16" s="47" t="str">
        <x:v>deterministic_validation</x:v>
      </x:c>
      <x:c r="E16" s="48" t="str">
        <x:v>artifacts/attempt_02/deterministic_validation.json</x:v>
      </x:c>
      <x:c r="F16" s="47" t="str">
        <x:v>422479cd90d0d6cf2deb5a8bf4e77ee14b65db8e3352b7fe7da9c519355c394a</x:v>
      </x:c>
      <x:c r="G16" s="59" t="n">
        <x:v>1189</x:v>
      </x:c>
    </x:row>
    <x:row r="17">
      <x:c r="A17" s="47" t="str">
        <x:v>RUN-I2-052-20260830T073600689958Z</x:v>
      </x:c>
      <x:c r="B17" s="47" t="str">
        <x:v>I2-052</x:v>
      </x:c>
      <x:c r="C17" s="59" t="n">
        <x:v>2</x:v>
      </x:c>
      <x:c r="D17" s="47" t="str">
        <x:v>validator_prompt</x:v>
      </x:c>
      <x:c r="E17" s="48" t="str">
        <x:v>artifacts/attempt_02/validator_prompt_01.txt</x:v>
      </x:c>
      <x:c r="F17" s="47" t="str">
        <x:v>3bc3844b2612241c32929a56cd2a9f5dabf46f6fed2f4224e7bb3e105fe15f13</x:v>
      </x:c>
      <x:c r="G17" s="59" t="n">
        <x:v>44041</x:v>
      </x:c>
    </x:row>
    <x:row r="18">
      <x:c r="A18" s="47" t="str">
        <x:v>RUN-I2-052-20260830T073600689958Z</x:v>
      </x:c>
      <x:c r="B18" s="47" t="str">
        <x:v>I2-052</x:v>
      </x:c>
      <x:c r="C18" s="59" t="n">
        <x:v>2</x:v>
      </x:c>
      <x:c r="D18" s="47" t="str">
        <x:v>validator_raw_response</x:v>
      </x:c>
      <x:c r="E18" s="48" t="str">
        <x:v>artifacts/attempt_02/validator_raw_01.txt</x:v>
      </x:c>
      <x:c r="F18" s="47" t="str">
        <x:v>b048840d567a33087dfbb6ec9596b7a48dda50c38b26e1b9a84dc5eb264afba8</x:v>
      </x:c>
      <x:c r="G18" s="59" t="n">
        <x:v>771</x:v>
      </x:c>
    </x:row>
    <x:row r="19">
      <x:c r="A19" s="47" t="str">
        <x:v>RUN-I2-052-20260830T073600689958Z</x:v>
      </x:c>
      <x:c r="B19" s="47" t="str">
        <x:v>I2-052</x:v>
      </x:c>
      <x:c r="C19" s="59" t="n">
        <x:v>2</x:v>
      </x:c>
      <x:c r="D19" s="47" t="str">
        <x:v>matcher_candidates</x:v>
      </x:c>
      <x:c r="E19" s="48" t="str">
        <x:v>artifacts/attempt_02/matcher_candidates.json</x:v>
      </x:c>
      <x:c r="F19" s="47" t="str">
        <x:v>c6f6528b3cc10b9732612d0fbb2937770faf2cb0f05ba335662138011aead914</x:v>
      </x:c>
      <x:c r="G19" s="59" t="n">
        <x:v>3301</x:v>
      </x:c>
    </x:row>
    <x:row r="20">
      <x:c r="A20" s="47" t="str">
        <x:v>RUN-I2-052-20260830T073600689958Z</x:v>
      </x:c>
      <x:c r="B20" s="47" t="str">
        <x:v>I2-052</x:v>
      </x:c>
      <x:c r="C20" s="59" t="n">
        <x:v>2</x:v>
      </x:c>
      <x:c r="D20" s="47" t="str">
        <x:v>vocabulary_matcher_prompt</x:v>
      </x:c>
      <x:c r="E20" s="48" t="str">
        <x:v>artifacts/attempt_02/vocabulary_matcher_prompt_01.txt</x:v>
      </x:c>
      <x:c r="F20" s="47" t="str">
        <x:v>8cd31bdedfdfc00c6f54bb22d593550b72e25627af939d9faa26e6db9051a680</x:v>
      </x:c>
      <x:c r="G20" s="59" t="n">
        <x:v>9636</x:v>
      </x:c>
    </x:row>
    <x:row r="21">
      <x:c r="A21" s="47" t="str">
        <x:v>RUN-I2-052-20260830T073600689958Z</x:v>
      </x:c>
      <x:c r="B21" s="47" t="str">
        <x:v>I2-052</x:v>
      </x:c>
      <x:c r="C21" s="59" t="n">
        <x:v>2</x:v>
      </x:c>
      <x:c r="D21" s="47" t="str">
        <x:v>vocabulary_matcher_raw_response</x:v>
      </x:c>
      <x:c r="E21" s="48" t="str">
        <x:v>artifacts/attempt_02/vocabulary_matcher_raw_01.txt</x:v>
      </x:c>
      <x:c r="F21" s="47" t="str">
        <x:v>7184ab936eb5aa13325d5e240058f4d35797a742ee00e4657695905d2ad05f44</x:v>
      </x:c>
      <x:c r="G21" s="59" t="n">
        <x:v>385</x:v>
      </x:c>
    </x:row>
    <x:row r="22">
      <x:c r="A22" s="47" t="str">
        <x:v>RUN-I2-052-20260830T073600689958Z</x:v>
      </x:c>
      <x:c r="B22" s="47" t="str">
        <x:v>I2-052</x:v>
      </x:c>
      <x:c r="C22" s="59" t="n">
        <x:v>3</x:v>
      </x:c>
      <x:c r="D22" s="47" t="str">
        <x:v>expanded_context_pack</x:v>
      </x:c>
      <x:c r="E22" s="48" t="str">
        <x:v>artifacts/attempt_03/context_pack_expanded.json</x:v>
      </x:c>
      <x:c r="F22" s="47" t="str">
        <x:v>25fb1191de199958bdb62193153c38c3ecdfb8a7183deab23402870d544280e6</x:v>
      </x:c>
      <x:c r="G22" s="59" t="n">
        <x:v>25917</x:v>
      </x:c>
    </x:row>
    <x:row r="23">
      <x:c r="A23" s="47" t="str">
        <x:v>RUN-I2-052-20260830T073600689958Z</x:v>
      </x:c>
      <x:c r="B23" s="47" t="str">
        <x:v>I2-052</x:v>
      </x:c>
      <x:c r="C23" s="59" t="n">
        <x:v>3</x:v>
      </x:c>
      <x:c r="D23" s="47" t="str">
        <x:v>generator_prompt</x:v>
      </x:c>
      <x:c r="E23" s="48" t="str">
        <x:v>artifacts/attempt_03/generator_prompt.txt</x:v>
      </x:c>
      <x:c r="F23" s="47" t="str">
        <x:v>d37d3426a01b281c86266bf009bc4c5f002f88175408673479acfe5738e0f50c</x:v>
      </x:c>
      <x:c r="G23" s="59" t="n">
        <x:v>46040</x:v>
      </x:c>
    </x:row>
    <x:row r="24">
      <x:c r="A24" s="47" t="str">
        <x:v>RUN-I2-052-20260830T073600689958Z</x:v>
      </x:c>
      <x:c r="B24" s="47" t="str">
        <x:v>I2-052</x:v>
      </x:c>
      <x:c r="C24" s="59" t="n">
        <x:v>3</x:v>
      </x:c>
      <x:c r="D24" s="47" t="str">
        <x:v>generator_raw_response</x:v>
      </x:c>
      <x:c r="E24" s="48" t="str">
        <x:v>artifacts/attempt_03/generator_raw.txt</x:v>
      </x:c>
      <x:c r="F24" s="47" t="str">
        <x:v>efb4ae1142bf5cb3760264bfce1108b48dd07eac9ad1aa39dc39d935e553ea20</x:v>
      </x:c>
      <x:c r="G24" s="59" t="n">
        <x:v>5086</x:v>
      </x:c>
    </x:row>
    <x:row r="25">
      <x:c r="A25" s="47" t="str">
        <x:v>RUN-I2-052-20260830T073600689958Z</x:v>
      </x:c>
      <x:c r="B25" s="47" t="str">
        <x:v>I2-052</x:v>
      </x:c>
      <x:c r="C25" s="59" t="n">
        <x:v>3</x:v>
      </x:c>
      <x:c r="D25" s="47" t="str">
        <x:v>candidate_shape</x:v>
      </x:c>
      <x:c r="E25" s="48" t="str">
        <x:v>artifacts/attempt_03/candidate_shape.ttl</x:v>
      </x:c>
      <x:c r="F25" s="47" t="str">
        <x:v>e8f474f4a27900f64462d55dfebe79f741b0783598ad59c2c05ad1b8814c6658</x:v>
      </x:c>
      <x:c r="G25" s="59" t="n">
        <x:v>5061</x:v>
      </x:c>
    </x:row>
    <x:row r="26">
      <x:c r="A26" s="47" t="str">
        <x:v>RUN-I2-052-20260830T073600689958Z</x:v>
      </x:c>
      <x:c r="B26" s="47" t="str">
        <x:v>I2-052</x:v>
      </x:c>
      <x:c r="C26" s="59" t="n">
        <x:v>3</x:v>
      </x:c>
      <x:c r="D26" s="47" t="str">
        <x:v>deterministic_validation</x:v>
      </x:c>
      <x:c r="E26" s="48" t="str">
        <x:v>artifacts/attempt_03/deterministic_validation.json</x:v>
      </x:c>
      <x:c r="F26" s="47" t="str">
        <x:v>e74e2ffd5acaeb6634a7e7437d56939226b861ebd9c6aecacec7c9ec1a3fc567</x:v>
      </x:c>
      <x:c r="G26" s="59" t="n">
        <x:v>1091</x:v>
      </x:c>
    </x:row>
    <x:row r="27">
      <x:c r="A27" s="47" t="str">
        <x:v>RUN-I2-052-20260830T073600689958Z</x:v>
      </x:c>
      <x:c r="B27" s="47" t="str">
        <x:v>I2-052</x:v>
      </x:c>
      <x:c r="C27" s="59" t="n">
        <x:v>3</x:v>
      </x:c>
      <x:c r="D27" s="47" t="str">
        <x:v>validator_prompt</x:v>
      </x:c>
      <x:c r="E27" s="48" t="str">
        <x:v>artifacts/attempt_03/validator_prompt_01.txt</x:v>
      </x:c>
      <x:c r="F27" s="47" t="str">
        <x:v>02a74cfc92bd8ad8e8f10f4bd0f91ce7476bb5aa7b74c15318a91b57f5153a4c</x:v>
      </x:c>
      <x:c r="G27" s="59" t="n">
        <x:v>44871</x:v>
      </x:c>
    </x:row>
    <x:row r="28">
      <x:c r="A28" s="47" t="str">
        <x:v>RUN-I2-052-20260830T073600689958Z</x:v>
      </x:c>
      <x:c r="B28" s="47" t="str">
        <x:v>I2-052</x:v>
      </x:c>
      <x:c r="C28" s="59" t="n">
        <x:v>3</x:v>
      </x:c>
      <x:c r="D28" s="47" t="str">
        <x:v>validator_raw_response</x:v>
      </x:c>
      <x:c r="E28" s="48" t="str">
        <x:v>artifacts/attempt_03/validator_raw_01.txt</x:v>
      </x:c>
      <x:c r="F28" s="47" t="str">
        <x:v>f5562dff389976a721e963bfeda9923e5ee29fd7d1d9f960ea85247a08858d13</x:v>
      </x:c>
      <x:c r="G28" s="59" t="n">
        <x:v>649</x:v>
      </x:c>
    </x:row>
    <x:row r="29">
      <x:c r="A29" s="47" t="str">
        <x:v>RUN-I2-052-20260830T073600689958Z</x:v>
      </x:c>
      <x:c r="B29" s="47" t="str">
        <x:v>I2-052</x:v>
      </x:c>
      <x:c r="C29" s="59" t="n">
        <x:v>4</x:v>
      </x:c>
      <x:c r="D29" s="47" t="str">
        <x:v>expanded_context_pack</x:v>
      </x:c>
      <x:c r="E29" s="48" t="str">
        <x:v>artifacts/attempt_04/context_pack_expanded.json</x:v>
      </x:c>
      <x:c r="F29" s="47" t="str">
        <x:v>25fb1191de199958bdb62193153c38c3ecdfb8a7183deab23402870d544280e6</x:v>
      </x:c>
      <x:c r="G29" s="59" t="n">
        <x:v>25917</x:v>
      </x:c>
    </x:row>
    <x:row r="30">
      <x:c r="A30" s="47" t="str">
        <x:v>RUN-I2-052-20260830T073600689958Z</x:v>
      </x:c>
      <x:c r="B30" s="47" t="str">
        <x:v>I2-052</x:v>
      </x:c>
      <x:c r="C30" s="59" t="n">
        <x:v>4</x:v>
      </x:c>
      <x:c r="D30" s="47" t="str">
        <x:v>generator_prompt</x:v>
      </x:c>
      <x:c r="E30" s="48" t="str">
        <x:v>artifacts/attempt_04/generator_prompt.txt</x:v>
      </x:c>
      <x:c r="F30" s="47" t="str">
        <x:v>ba807cec2b226e3646de51ca29c3e8dbc9dbb12808ee37bd8f7327f03d1fcbfe</x:v>
      </x:c>
      <x:c r="G30" s="59" t="n">
        <x:v>46632</x:v>
      </x:c>
    </x:row>
    <x:row r="31">
      <x:c r="A31" s="47" t="str">
        <x:v>RUN-I2-052-20260830T073600689958Z</x:v>
      </x:c>
      <x:c r="B31" s="47" t="str">
        <x:v>I2-052</x:v>
      </x:c>
      <x:c r="C31" s="59" t="n">
        <x:v>4</x:v>
      </x:c>
      <x:c r="D31" s="47" t="str">
        <x:v>generator_raw_response</x:v>
      </x:c>
      <x:c r="E31" s="48" t="str">
        <x:v>artifacts/attempt_04/generator_raw.txt</x:v>
      </x:c>
      <x:c r="F31" s="47" t="str">
        <x:v>33c653bfdb585f326c4d5b67d2afd39cacd618191c92082c38e034b622bb686e</x:v>
      </x:c>
      <x:c r="G31" s="59" t="n">
        <x:v>6003</x:v>
      </x:c>
    </x:row>
    <x:row r="32">
      <x:c r="A32" s="47" t="str">
        <x:v>RUN-I2-052-20260830T073600689958Z</x:v>
      </x:c>
      <x:c r="B32" s="47" t="str">
        <x:v>I2-052</x:v>
      </x:c>
      <x:c r="C32" s="59" t="n">
        <x:v>4</x:v>
      </x:c>
      <x:c r="D32" s="47" t="str">
        <x:v>candidate_shape</x:v>
      </x:c>
      <x:c r="E32" s="48" t="str">
        <x:v>artifacts/attempt_04/candidate_shape.ttl</x:v>
      </x:c>
      <x:c r="F32" s="47" t="str">
        <x:v>bba8942bf91201c81148e8807810e6b72b549978af1e0fbfa5dd6082869cde96</x:v>
      </x:c>
      <x:c r="G32" s="59" t="n">
        <x:v>5978</x:v>
      </x:c>
    </x:row>
    <x:row r="33">
      <x:c r="A33" s="47" t="str">
        <x:v>RUN-I2-052-20260830T073600689958Z</x:v>
      </x:c>
      <x:c r="B33" s="47" t="str">
        <x:v>I2-052</x:v>
      </x:c>
      <x:c r="C33" s="59" t="n">
        <x:v>4</x:v>
      </x:c>
      <x:c r="D33" s="47" t="str">
        <x:v>deterministic_validation</x:v>
      </x:c>
      <x:c r="E33" s="48" t="str">
        <x:v>artifacts/attempt_04/deterministic_validation.json</x:v>
      </x:c>
      <x:c r="F33" s="47" t="str">
        <x:v>e74e2ffd5acaeb6634a7e7437d56939226b861ebd9c6aecacec7c9ec1a3fc567</x:v>
      </x:c>
      <x:c r="G33" s="59" t="n">
        <x:v>1091</x:v>
      </x:c>
    </x:row>
    <x:row r="34">
      <x:c r="A34" s="47" t="str">
        <x:v>RUN-I2-052-20260830T073600689958Z</x:v>
      </x:c>
      <x:c r="B34" s="47" t="str">
        <x:v>I2-052</x:v>
      </x:c>
      <x:c r="C34" s="59" t="n">
        <x:v>4</x:v>
      </x:c>
      <x:c r="D34" s="47" t="str">
        <x:v>validator_prompt</x:v>
      </x:c>
      <x:c r="E34" s="48" t="str">
        <x:v>artifacts/attempt_04/validator_prompt_01.txt</x:v>
      </x:c>
      <x:c r="F34" s="47" t="str">
        <x:v>952070e723b9b0a7ad7f08aec052d79475c6114cdd688f717b243b25bf48f829</x:v>
      </x:c>
      <x:c r="G34" s="59" t="n">
        <x:v>46378</x:v>
      </x:c>
    </x:row>
    <x:row r="35">
      <x:c r="A35" s="49" t="str">
        <x:v>RUN-I2-052-20260830T073600689958Z</x:v>
      </x:c>
      <x:c r="B35" s="49" t="str">
        <x:v>I2-052</x:v>
      </x:c>
      <x:c r="C35" s="60" t="n">
        <x:v>4</x:v>
      </x:c>
      <x:c r="D35" s="49" t="str">
        <x:v>validator_raw_response</x:v>
      </x:c>
      <x:c r="E35" s="50" t="str">
        <x:v>artifacts/attempt_04/validator_raw_01.txt</x:v>
      </x:c>
      <x:c r="F35" s="49" t="str">
        <x:v>b4fd5e9be526bcc996a8d700b7e493071b98bd8daf9335f7a5b93c228ebb9814</x:v>
      </x:c>
      <x:c r="G35" s="60" t="n">
        <x:v>926</x:v>
      </x:c>
    </x:row>
  </x:sheetData>
  <x:pageMargins left="0.7" right="0.7" top="0.75" bottom="0.75" header="0.3" footer="0.3"/>
  <x:tableParts count="1">
    <x:tablePart xmlns:r="http://schemas.openxmlformats.org/officeDocument/2006/relationships" r:id="R18b3ab635d9e418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RUN-I2-052-20260830T073600689958Z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RUN-I2-052-20260830T073600689958Z</x:v>
      </x:c>
      <x:c r="B5" s="69" t="str">
        <x:v>I2-052</x:v>
      </x:c>
      <x:c r="C5" s="71" t="n">
        <x:v>4</x:v>
      </x:c>
      <x:c r="D5" s="69" t="str">
        <x:v>MAX_ATTEMPTS_REACHED</x:v>
      </x:c>
      <x:c r="E5" s="73" t="str">
        <x:v>Reject. Preserve the prior readiness repair: the bounded query still permits an accidental pass through `NOT EXISTS` when no distinct intermediate point exists, and it does not enforce distinct, ordered lower and upper endpoints. It also uses `hullGirderLongitudinalPositionFromAft` for endpoint coordinates while using `interpolationCoordinate` only for the intermediate point, so it does not consistently link the required canonical interpolationCoordinate operand to the endpoint/input interval and result. Require the distinct intermediate point, enforce endpoint ordering before division, use interpolationCoordinate consistently for all interpolation coordinates, and verify the case result against the linear interpolation with tolerance. Retain the declared QuantityValue decimal structure for interpolationCoordinate without inventing a unit constraint.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153499affe249c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RUN-I2-052-20260830T073600689958Z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