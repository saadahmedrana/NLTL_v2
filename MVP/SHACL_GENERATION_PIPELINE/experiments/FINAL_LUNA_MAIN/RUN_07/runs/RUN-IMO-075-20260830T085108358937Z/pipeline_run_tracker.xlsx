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3854455e5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aac075b3e84d66"/>
    <x:sheet xmlns:r="http://schemas.openxmlformats.org/officeDocument/2006/relationships" name="README" sheetId="2" r:id="R07ece7c29771483a"/>
    <x:sheet xmlns:r="http://schemas.openxmlformats.org/officeDocument/2006/relationships" name="REGULATION_QUEUE" sheetId="3" r:id="R0b3da1c839fe4c8b"/>
    <x:sheet xmlns:r="http://schemas.openxmlformats.org/officeDocument/2006/relationships" name="RUNS" sheetId="4" r:id="R4f58e81d684542e2"/>
    <x:sheet xmlns:r="http://schemas.openxmlformats.org/officeDocument/2006/relationships" name="ITERATIONS" sheetId="5" r:id="R27bd862ea76c4353"/>
    <x:sheet xmlns:r="http://schemas.openxmlformats.org/officeDocument/2006/relationships" name="API_CALLS" sheetId="6" r:id="R05e53363b6774c8a"/>
    <x:sheet xmlns:r="http://schemas.openxmlformats.org/officeDocument/2006/relationships" name="TERM_RETRIEVAL" sheetId="7" r:id="Rd63ec258d5db4f49"/>
    <x:sheet xmlns:r="http://schemas.openxmlformats.org/officeDocument/2006/relationships" name="FEW_SHOT_SELECTION" sheetId="8" r:id="R225e00ad8a1d4c64"/>
    <x:sheet xmlns:r="http://schemas.openxmlformats.org/officeDocument/2006/relationships" name="VALIDATION" sheetId="9" r:id="Rae34bb1f796c4a52"/>
    <x:sheet xmlns:r="http://schemas.openxmlformats.org/officeDocument/2006/relationships" name="VOCAB_MATCHES" sheetId="10" r:id="Rff57aee6163d4c4f"/>
    <x:sheet xmlns:r="http://schemas.openxmlformats.org/officeDocument/2006/relationships" name="ARTIFACTS" sheetId="11" r:id="Rbd82e79ad6504cb6"/>
    <x:sheet xmlns:r="http://schemas.openxmlformats.org/officeDocument/2006/relationships" name="UNRESOLVED" sheetId="12" r:id="R97f2b48f572f47c7"/>
    <x:sheet xmlns:r="http://schemas.openxmlformats.org/officeDocument/2006/relationships" name="RDF_TEST_QUEUE" sheetId="13" r:id="R08a09f27733445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3097adb6042da" /><Relationship Type="http://schemas.openxmlformats.org/officeDocument/2006/relationships/theme" Target="/xl/theme/theme1.xml" Id="R3ebdfd4723a14ed2" /><Relationship Type="http://schemas.microsoft.com/office/2022/11/relationships/FeaturePropertyBag" Target="/xl/featurePropertyBag/featurePropertyBag.xml" Id="Rae18c60fc92e4eda" /><Relationship Type="http://schemas.openxmlformats.org/officeDocument/2006/relationships/sharedStrings" Target="/xl/sharedStrings.xml" Id="R0c94af392a524afd" /><Relationship Type="http://schemas.openxmlformats.org/officeDocument/2006/relationships/worksheet" Target="/xl/worksheets/sheet1.xml" Id="R42aac075b3e84d66" /><Relationship Type="http://schemas.openxmlformats.org/officeDocument/2006/relationships/worksheet" Target="/xl/worksheets/sheet2.xml" Id="R07ece7c29771483a" /><Relationship Type="http://schemas.openxmlformats.org/officeDocument/2006/relationships/worksheet" Target="/xl/worksheets/sheet3.xml" Id="R0b3da1c839fe4c8b" /><Relationship Type="http://schemas.openxmlformats.org/officeDocument/2006/relationships/worksheet" Target="/xl/worksheets/sheet4.xml" Id="R4f58e81d684542e2" /><Relationship Type="http://schemas.openxmlformats.org/officeDocument/2006/relationships/worksheet" Target="/xl/worksheets/sheet5.xml" Id="R27bd862ea76c4353" /><Relationship Type="http://schemas.openxmlformats.org/officeDocument/2006/relationships/worksheet" Target="/xl/worksheets/sheet6.xml" Id="R05e53363b6774c8a" /><Relationship Type="http://schemas.openxmlformats.org/officeDocument/2006/relationships/worksheet" Target="/xl/worksheets/sheet7.xml" Id="Rd63ec258d5db4f49" /><Relationship Type="http://schemas.openxmlformats.org/officeDocument/2006/relationships/worksheet" Target="/xl/worksheets/sheet8.xml" Id="R225e00ad8a1d4c64" /><Relationship Type="http://schemas.openxmlformats.org/officeDocument/2006/relationships/worksheet" Target="/xl/worksheets/sheet9.xml" Id="Rae34bb1f796c4a52" /><Relationship Type="http://schemas.openxmlformats.org/officeDocument/2006/relationships/worksheet" Target="/xl/worksheets/sheet10.xml" Id="Rff57aee6163d4c4f" /><Relationship Type="http://schemas.openxmlformats.org/officeDocument/2006/relationships/worksheet" Target="/xl/worksheets/sheet11.xml" Id="Rbd82e79ad6504cb6" /><Relationship Type="http://schemas.openxmlformats.org/officeDocument/2006/relationships/worksheet" Target="/xl/worksheets/sheet12.xml" Id="R97f2b48f572f47c7" /><Relationship Type="http://schemas.openxmlformats.org/officeDocument/2006/relationships/worksheet" Target="/xl/worksheets/sheet13.xml" Id="R08a09f27733445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b96d1f20974c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ee060fc68e4e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f2d8ac395c4d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143c3bbae642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27f379b8b642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4e8304d38b42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c50538c08d4b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db1e1841fd4e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bb11a4baf8f42f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64ae1907aa042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RUN-IMO-075-20260830T085108358937Z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16754.358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RUN-IMO-075-20260830T085108358937Z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b96d1f20974c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RUN-IMO-075-20260830T085108358937Z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GENERATION_ACCEPTED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ee060fc68e4e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RUN-IMO-075-20260830T085108358937Z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RUN-IMO-075-20260830T085108358937Z</x:v>
      </x:c>
      <x:c r="C5" s="69" t="str">
        <x:v>IMO-075</x:v>
      </x:c>
      <x:c r="D5" s="70" t="n">
        <x:v>46264.36884674768</x:v>
      </x:c>
      <x:c r="E5" s="70" t="n">
        <x:v>46264.36962518519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ship-level applicability, inclusive 110% capacity comparison using the permitted bounded integer arithmetic, accessible-storage condition, and the supplied storage-distance quantity in metres. The prior repair instructions are satisfied; no further semantic or vocabulary changes are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f2d8ac395c4d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RUN-IMO-075-20260830T085108358937Z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RUN-IMO-075-20260830T085108358937Z</x:v>
      </x:c>
      <x:c r="B5" s="45" t="str">
        <x:v>IMO-075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direct-calculation constraint: CEIL is not an allowed calculation primitive in this evaluator. Replace FILTER (?capacity &lt; CEIL(?persons * 1.10)) with an equivalent bounded integer comparison such as FILTER (?capacity * 10 &lt; ?persons * 11), preserving the inclusive &gt;= direction. Also encode the supplied storageDistanceToMusterOrEmbarkation owner/path and corresponding storage-location evidence required by the source text; do not omit the 'as close as practical to the muster or embarkation stations' aspect or replace it with an invented threshold.</x:v>
      </x:c>
      <x:c r="I5" s="81" t="n">
        <x:v>20443.634</x:v>
      </x:c>
      <x:c r="J5" s="81" t="n">
        <x:v>20492.06</x:v>
      </x:c>
    </x:row>
    <x:row r="6">
      <x:c r="A6" s="49" t="str">
        <x:v>RUN-IMO-075-20260830T085108358937Z</x:v>
      </x:c>
      <x:c r="B6" s="49" t="str">
        <x:v>IMO-075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verified ship-level applicability, inclusive 110% capacity comparison using the permitted bounded integer arithmetic, accessible-storage condition, and the supplied storage-distance quantity in metres. The prior repair instructions are satisfied; no further semantic or vocabulary changes are required.</x:v>
      </x:c>
      <x:c r="I6" s="83" t="n">
        <x:v>20676.452</x:v>
      </x:c>
      <x:c r="J6" s="83" t="n">
        <x:v>5408.04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143c3bbae642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RUN-IMO-075-20260830T085108358937Z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RUN-IMO-075-20260830T085108358937Z</x:v>
      </x:c>
      <x:c r="C5" s="45" t="str">
        <x:v>IMO-075</x:v>
      </x:c>
      <x:c r="D5" s="90" t="n">
        <x:v>46264.36908336805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20442.005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RUN-IMO-075-20260830T085108358937Z</x:v>
      </x:c>
      <x:c r="C6" s="47" t="str">
        <x:v>IMO-075</x:v>
      </x:c>
      <x:c r="D6" s="91" t="n">
        <x:v>46264.36908337963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20443.634</x:v>
      </x:c>
      <x:c r="L6" s="93" t="b">
        <x:v>0</x:v>
      </x:c>
      <x:c r="M6" s="47" t="str">
        <x:v>resp_04dfe9e81f2a564b006a93eefc8db08195980342442e040c7c</x:v>
      </x:c>
      <x:c r="N6" s="59" t="n">
        <x:v>6603</x:v>
      </x:c>
      <x:c r="O6" s="59" t="n">
        <x:v>1560</x:v>
      </x:c>
      <x:c r="P6" s="59" t="n">
        <x:v>8163</x:v>
      </x:c>
    </x:row>
    <x:row r="7">
      <x:c r="A7" s="47" t="str">
        <x:v>EVT-000023</x:v>
      </x:c>
      <x:c r="B7" s="47" t="str">
        <x:v>RUN-IMO-075-20260830T085108358937Z</x:v>
      </x:c>
      <x:c r="C7" s="47" t="str">
        <x:v>IMO-075</x:v>
      </x:c>
      <x:c r="D7" s="91" t="n">
        <x:v>46264.36932171296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20490.473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RUN-IMO-075-20260830T085108358937Z</x:v>
      </x:c>
      <x:c r="C8" s="47" t="str">
        <x:v>IMO-075</x:v>
      </x:c>
      <x:c r="D8" s="91" t="n">
        <x:v>46264.369321736114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20492.06</x:v>
      </x:c>
      <x:c r="L8" s="93" t="b">
        <x:v>0</x:v>
      </x:c>
      <x:c r="M8" s="47" t="str">
        <x:v>resp_0755923db083abfc006a93ef1107988197a3ae0326f56d5aaf</x:v>
      </x:c>
      <x:c r="N8" s="59" t="n">
        <x:v>5496</x:v>
      </x:c>
      <x:c r="O8" s="59" t="n">
        <x:v>1168</x:v>
      </x:c>
      <x:c r="P8" s="59" t="n">
        <x:v>6664</x:v>
      </x:c>
    </x:row>
    <x:row r="9">
      <x:c r="A9" s="47" t="str">
        <x:v>EVT-000029</x:v>
      </x:c>
      <x:c r="B9" s="47" t="str">
        <x:v>RUN-IMO-075-20260830T085108358937Z</x:v>
      </x:c>
      <x:c r="C9" s="47" t="str">
        <x:v>IMO-075</x:v>
      </x:c>
      <x:c r="D9" s="91" t="n">
        <x:v>46264.369561099535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20675.666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RUN-IMO-075-20260830T085108358937Z</x:v>
      </x:c>
      <x:c r="C10" s="47" t="str">
        <x:v>IMO-075</x:v>
      </x:c>
      <x:c r="D10" s="91" t="n">
        <x:v>46264.36956111111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20676.452</x:v>
      </x:c>
      <x:c r="L10" s="93" t="b">
        <x:v>0</x:v>
      </x:c>
      <x:c r="M10" s="47" t="str">
        <x:v>resp_0af9e0c5f0604dfe006a93ef25878881948968a4ba7c1344d1</x:v>
      </x:c>
      <x:c r="N10" s="59" t="n">
        <x:v>6716</x:v>
      </x:c>
      <x:c r="O10" s="59" t="n">
        <x:v>1699</x:v>
      </x:c>
      <x:c r="P10" s="59" t="n">
        <x:v>8415</x:v>
      </x:c>
    </x:row>
    <x:row r="11">
      <x:c r="A11" s="47" t="str">
        <x:v>EVT-000037</x:v>
      </x:c>
      <x:c r="B11" s="47" t="str">
        <x:v>RUN-IMO-075-20260830T085108358937Z</x:v>
      </x:c>
      <x:c r="C11" s="47" t="str">
        <x:v>IMO-075</x:v>
      </x:c>
      <x:c r="D11" s="91" t="n">
        <x:v>46264.36962511574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5406.534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RUN-IMO-075-20260830T085108358937Z</x:v>
      </x:c>
      <x:c r="C12" s="49" t="str">
        <x:v>IMO-075</x:v>
      </x:c>
      <x:c r="D12" s="94" t="n">
        <x:v>46264.36962513889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5408.04</x:v>
      </x:c>
      <x:c r="L12" s="82" t="b">
        <x:v>0</x:v>
      </x:c>
      <x:c r="M12" s="49" t="str">
        <x:v>resp_01264ea5a6a6ef19006a93ef3a54b881958f097aea917f679b</x:v>
      </x:c>
      <x:c r="N12" s="60" t="n">
        <x:v>6079</x:v>
      </x:c>
      <x:c r="O12" s="60" t="n">
        <x:v>395</x:v>
      </x:c>
      <x:c r="P12" s="60" t="n">
        <x:v>6474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27f379b8b642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RUN-IMO-075-20260830T085108358937Z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RUN-IMO-075-20260830T085108358937Z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RUN-IMO-075-20260830T085108358937Z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RUN-IMO-075-20260830T085108358937Z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RUN-IMO-075-20260830T085108358937Z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RUN-IMO-075-20260830T085108358937Z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RUN-IMO-075-20260830T085108358937Z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RUN-IMO-075-20260830T085108358937Z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4e8304d38b42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RUN-IMO-075-20260830T085108358937Z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RUN-IMO-075-20260830T085108358937Z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7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RUN-IMO-075-20260830T085108358937Z</x:v>
      </x:c>
      <x:c r="B6" s="49" t="str">
        <x:v>IMO-075</x:v>
      </x:c>
      <x:c r="C6" s="49" t="str">
        <x:v>FS-BOOL-01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c50538c08d4b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RUN-IMO-075-20260830T085108358937Z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RUN-IMO-075-20260830T085108358937Z</x:v>
      </x:c>
      <x:c r="B5" s="45" t="str">
        <x:v>IMO-075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46" t="str"/>
      <x:c r="P5" s="46" t="str"/>
      <x:c r="Q5" s="46" t="str"/>
    </x:row>
    <x:row r="6">
      <x:c r="A6" s="49" t="str">
        <x:v>RUN-IMO-075-20260830T085108358937Z</x:v>
      </x:c>
      <x:c r="B6" s="49" t="str">
        <x:v>IMO-075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 | https://w3id.org/nltl/vocab#storageDistanceToMusterOrEmbarkation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cdb1e1841fd4e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RUN-IMO-075-20260830T085108358937Z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RUN-IMO-075-20260830T085108358937Z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RUN-IMO-075-20260830T085108358937Z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RUN-IMO-075-20260830T085108358937Z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RUN-IMO-075-20260830T085108358937Z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RUN-IMO-075-20260830T085108358937Z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8d1aad377321a61ec6b34838a2ab261acb179969950c34765068572be262a773</x:v>
      </x:c>
      <x:c r="G8" s="59" t="n">
        <x:v>1856</x:v>
      </x:c>
    </x:row>
    <x:row r="9">
      <x:c r="A9" s="47" t="str">
        <x:v>RUN-IMO-075-20260830T085108358937Z</x:v>
      </x:c>
      <x:c r="B9" s="47" t="str">
        <x:v>IMO-075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c05456c323b20379784594131faff640d3f3b7c6c830a70c0ada31ae14fa241c</x:v>
      </x:c>
      <x:c r="G9" s="59" t="n">
        <x:v>1831</x:v>
      </x:c>
    </x:row>
    <x:row r="10">
      <x:c r="A10" s="47" t="str">
        <x:v>RUN-IMO-075-20260830T085108358937Z</x:v>
      </x:c>
      <x:c r="B10" s="47" t="str">
        <x:v>IMO-075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e68f9e23f0d12a60f07b1da908dfd825b2ea86b7edeb324fcbd653486527f58b</x:v>
      </x:c>
      <x:c r="G10" s="59" t="n">
        <x:v>687</x:v>
      </x:c>
    </x:row>
    <x:row r="11">
      <x:c r="A11" s="47" t="str">
        <x:v>RUN-IMO-075-20260830T085108358937Z</x:v>
      </x:c>
      <x:c r="B11" s="47" t="str">
        <x:v>IMO-075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8d47b092417c920edf88d603a7577a98163149644ee324e1f863d68f8222d9c6</x:v>
      </x:c>
      <x:c r="G11" s="59" t="n">
        <x:v>23212</x:v>
      </x:c>
    </x:row>
    <x:row r="12">
      <x:c r="A12" s="47" t="str">
        <x:v>RUN-IMO-075-20260830T085108358937Z</x:v>
      </x:c>
      <x:c r="B12" s="47" t="str">
        <x:v>IMO-075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816d10b594560777e38a539a5812293e9396fdf833223b609acf599c8aaca865</x:v>
      </x:c>
      <x:c r="G12" s="59" t="n">
        <x:v>627</x:v>
      </x:c>
    </x:row>
    <x:row r="13">
      <x:c r="A13" s="47" t="str">
        <x:v>RUN-IMO-075-20260830T085108358937Z</x:v>
      </x:c>
      <x:c r="B13" s="47" t="str">
        <x:v>IMO-075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b4f98b05fa124edaa50917f461ade27b7b2455b96b0a84f59036ae0efea5889a</x:v>
      </x:c>
      <x:c r="G13" s="59" t="n">
        <x:v>28944</x:v>
      </x:c>
    </x:row>
    <x:row r="14">
      <x:c r="A14" s="47" t="str">
        <x:v>RUN-IMO-075-20260830T085108358937Z</x:v>
      </x:c>
      <x:c r="B14" s="47" t="str">
        <x:v>IMO-075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105bea6185220e30e26378bc1ba6aa1c8a202ec6d203e96454f1eacfe0055d6b</x:v>
      </x:c>
      <x:c r="G14" s="59" t="n">
        <x:v>3012</x:v>
      </x:c>
    </x:row>
    <x:row r="15">
      <x:c r="A15" s="47" t="str">
        <x:v>RUN-IMO-075-20260830T085108358937Z</x:v>
      </x:c>
      <x:c r="B15" s="47" t="str">
        <x:v>IMO-075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bd3199b5ca96ea82ef307fe03d3b8f44257a350746e0c3264cba434ef62021a2</x:v>
      </x:c>
      <x:c r="G15" s="59" t="n">
        <x:v>2987</x:v>
      </x:c>
    </x:row>
    <x:row r="16">
      <x:c r="A16" s="47" t="str">
        <x:v>RUN-IMO-075-20260830T085108358937Z</x:v>
      </x:c>
      <x:c r="B16" s="47" t="str">
        <x:v>IMO-075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66c761898b17a3347a60d21ede941b2081005311168c5dbe98581d53ba8ac645</x:v>
      </x:c>
      <x:c r="G16" s="59" t="n">
        <x:v>759</x:v>
      </x:c>
    </x:row>
    <x:row r="17">
      <x:c r="A17" s="47" t="str">
        <x:v>RUN-IMO-075-20260830T085108358937Z</x:v>
      </x:c>
      <x:c r="B17" s="47" t="str">
        <x:v>IMO-075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299cc5ffaecc1aeb310daeea53c8498f2b3fd330aa40ab03ed883e030ba12249</x:v>
      </x:c>
      <x:c r="G17" s="59" t="n">
        <x:v>25516</x:v>
      </x:c>
    </x:row>
    <x:row r="18">
      <x:c r="A18" s="47" t="str">
        <x:v>RUN-IMO-075-20260830T085108358937Z</x:v>
      </x:c>
      <x:c r="B18" s="47" t="str">
        <x:v>IMO-075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fac2a331675d6b46075e059c6ae9f340a90fff33cc2a511b5fdcd01193761dc2</x:v>
      </x:c>
      <x:c r="G18" s="59" t="n">
        <x:v>398</x:v>
      </x:c>
    </x:row>
    <x:row r="19">
      <x:c r="A19" s="49" t="str">
        <x:v>RUN-IMO-075-20260830T085108358937Z</x:v>
      </x:c>
      <x:c r="B19" s="49" t="str">
        <x:v>IMO-075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bd3199b5ca96ea82ef307fe03d3b8f44257a350746e0c3264cba434ef62021a2</x:v>
      </x:c>
      <x:c r="G19" s="60" t="n">
        <x:v>2987</x:v>
      </x:c>
    </x:row>
  </x:sheetData>
  <x:pageMargins left="0.7" right="0.7" top="0.75" bottom="0.75" header="0.3" footer="0.3"/>
  <x:tableParts count="1">
    <x:tablePart xmlns:r="http://schemas.openxmlformats.org/officeDocument/2006/relationships" r:id="Rebb11a4baf8f42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RUN-IMO-075-20260830T085108358937Z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RUN-IMO-075-20260830T085108358937Z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RUN-IMO-075-20260830T085108358937Z</x:v>
      </x:c>
      <x:c r="B5" s="69" t="str">
        <x:v>IMO-075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4ae1907aa0422d"/>
  </x:tableParts>
</x:worksheet>
</file>