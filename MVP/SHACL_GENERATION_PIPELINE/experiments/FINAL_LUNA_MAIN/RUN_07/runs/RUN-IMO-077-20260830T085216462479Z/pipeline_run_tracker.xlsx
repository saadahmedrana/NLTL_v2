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5adc90e5e48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12356b4600408d"/>
    <x:sheet xmlns:r="http://schemas.openxmlformats.org/officeDocument/2006/relationships" name="README" sheetId="2" r:id="R2e059eaea67746d1"/>
    <x:sheet xmlns:r="http://schemas.openxmlformats.org/officeDocument/2006/relationships" name="REGULATION_QUEUE" sheetId="3" r:id="Reccc37e2ba404f1d"/>
    <x:sheet xmlns:r="http://schemas.openxmlformats.org/officeDocument/2006/relationships" name="RUNS" sheetId="4" r:id="R4d60468e329d4aca"/>
    <x:sheet xmlns:r="http://schemas.openxmlformats.org/officeDocument/2006/relationships" name="ITERATIONS" sheetId="5" r:id="Re199d8d83b284d65"/>
    <x:sheet xmlns:r="http://schemas.openxmlformats.org/officeDocument/2006/relationships" name="API_CALLS" sheetId="6" r:id="R515f908334ab4a7f"/>
    <x:sheet xmlns:r="http://schemas.openxmlformats.org/officeDocument/2006/relationships" name="TERM_RETRIEVAL" sheetId="7" r:id="Rebe31a3b1f2b417d"/>
    <x:sheet xmlns:r="http://schemas.openxmlformats.org/officeDocument/2006/relationships" name="FEW_SHOT_SELECTION" sheetId="8" r:id="R11769e64a53a4eb3"/>
    <x:sheet xmlns:r="http://schemas.openxmlformats.org/officeDocument/2006/relationships" name="VALIDATION" sheetId="9" r:id="R5b3ad019bc6d4754"/>
    <x:sheet xmlns:r="http://schemas.openxmlformats.org/officeDocument/2006/relationships" name="VOCAB_MATCHES" sheetId="10" r:id="Rb0a81478e6444d50"/>
    <x:sheet xmlns:r="http://schemas.openxmlformats.org/officeDocument/2006/relationships" name="ARTIFACTS" sheetId="11" r:id="Rd95428f8e16a4441"/>
    <x:sheet xmlns:r="http://schemas.openxmlformats.org/officeDocument/2006/relationships" name="UNRESOLVED" sheetId="12" r:id="R40a11163c61b44ec"/>
    <x:sheet xmlns:r="http://schemas.openxmlformats.org/officeDocument/2006/relationships" name="RDF_TEST_QUEUE" sheetId="13" r:id="R53fe586d77bc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f3d3cc0182430a" /><Relationship Type="http://schemas.openxmlformats.org/officeDocument/2006/relationships/theme" Target="/xl/theme/theme1.xml" Id="R47d1b86dccbc43f0" /><Relationship Type="http://schemas.microsoft.com/office/2022/11/relationships/FeaturePropertyBag" Target="/xl/featurePropertyBag/featurePropertyBag.xml" Id="Rac327622648c41be" /><Relationship Type="http://schemas.openxmlformats.org/officeDocument/2006/relationships/sharedStrings" Target="/xl/sharedStrings.xml" Id="R5e887e9a4a09459e" /><Relationship Type="http://schemas.openxmlformats.org/officeDocument/2006/relationships/worksheet" Target="/xl/worksheets/sheet1.xml" Id="R2712356b4600408d" /><Relationship Type="http://schemas.openxmlformats.org/officeDocument/2006/relationships/worksheet" Target="/xl/worksheets/sheet2.xml" Id="R2e059eaea67746d1" /><Relationship Type="http://schemas.openxmlformats.org/officeDocument/2006/relationships/worksheet" Target="/xl/worksheets/sheet3.xml" Id="Reccc37e2ba404f1d" /><Relationship Type="http://schemas.openxmlformats.org/officeDocument/2006/relationships/worksheet" Target="/xl/worksheets/sheet4.xml" Id="R4d60468e329d4aca" /><Relationship Type="http://schemas.openxmlformats.org/officeDocument/2006/relationships/worksheet" Target="/xl/worksheets/sheet5.xml" Id="Re199d8d83b284d65" /><Relationship Type="http://schemas.openxmlformats.org/officeDocument/2006/relationships/worksheet" Target="/xl/worksheets/sheet6.xml" Id="R515f908334ab4a7f" /><Relationship Type="http://schemas.openxmlformats.org/officeDocument/2006/relationships/worksheet" Target="/xl/worksheets/sheet7.xml" Id="Rebe31a3b1f2b417d" /><Relationship Type="http://schemas.openxmlformats.org/officeDocument/2006/relationships/worksheet" Target="/xl/worksheets/sheet8.xml" Id="R11769e64a53a4eb3" /><Relationship Type="http://schemas.openxmlformats.org/officeDocument/2006/relationships/worksheet" Target="/xl/worksheets/sheet9.xml" Id="R5b3ad019bc6d4754" /><Relationship Type="http://schemas.openxmlformats.org/officeDocument/2006/relationships/worksheet" Target="/xl/worksheets/sheet10.xml" Id="Rb0a81478e6444d50" /><Relationship Type="http://schemas.openxmlformats.org/officeDocument/2006/relationships/worksheet" Target="/xl/worksheets/sheet11.xml" Id="Rd95428f8e16a4441" /><Relationship Type="http://schemas.openxmlformats.org/officeDocument/2006/relationships/worksheet" Target="/xl/worksheets/sheet12.xml" Id="R40a11163c61b44ec" /><Relationship Type="http://schemas.openxmlformats.org/officeDocument/2006/relationships/worksheet" Target="/xl/worksheets/sheet13.xml" Id="R53fe586d77bc45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6441e7520042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2adddb3e2b4b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e571de50c949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c852fa79b440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c7f51de42c4a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82c329d15546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7dcf1b542c42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082e2db1f54f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9b04ab9ae7a40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497c77e410b49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RUN-IMO-077-20260830T085216462479Z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12565.108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RUN-IMO-077-20260830T085216462479Z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6441e7520042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RUN-IMO-077-20260830T085216462479Z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GENERATION_ACCEPTED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2adddb3e2b4b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RUN-IMO-077-20260830T085216462479Z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RUN-IMO-077-20260830T085216462479Z</x:v>
      </x:c>
      <x:c r="C5" s="69" t="str">
        <x:v>IMO-077</x:v>
      </x:c>
      <x:c r="D5" s="70" t="n">
        <x:v>46264.36963498843</x:v>
      </x:c>
      <x:c r="E5" s="70" t="n">
        <x:v>46264.37036591435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conditional direct calculation: all required terms target the ship, survivalCraftAvailableCapacity is an xsd:integer literal, the two mass quantities use QuantityValue with unit:KiloGM, and the SPARQL constraint enforces both inclusive &gt;= comparisons via violation tests using the declared arithmetic formula. Applicability alternatives and required cardinalities are correctly represented.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e571de50c949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RUN-IMO-077-20260830T085216462479Z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RUN-IMO-077-20260830T085216462479Z</x:v>
      </x:c>
      <x:c r="B5" s="45" t="str">
        <x:v>IMO-077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survivalCraftAvailableCapacity to match its supplied canonical datatype: constrain it directly as an xsd:integer literal on the ship, removing the qudt:QuantityValue node, qudt:numericValue path, and unit:KiloGM requirement. Update the calculation query to compare that integer value directly with personsCapacityRequirement + additionalEquipmentCapacityRequirement. Keep the launchingApplianceCapacity and loadedSurvivalCraftRequirement QuantityValue structures in kilograms and retain the inclusive &gt;= comparison directions and conditional applicability.</x:v>
      </x:c>
      <x:c r="I5" s="81" t="n">
        <x:v>17658.63</x:v>
      </x:c>
      <x:c r="J5" s="81" t="n">
        <x:v>10114.411</x:v>
      </x:c>
    </x:row>
    <x:row r="6">
      <x:c r="A6" s="49" t="str">
        <x:v>RUN-IMO-077-20260830T085216462479Z</x:v>
      </x:c>
      <x:c r="B6" s="49" t="str">
        <x:v>IMO-077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implements the conditional direct calculation: all required terms target the ship, survivalCraftAvailableCapacity is an xsd:integer literal, the two mass quantities use QuantityValue with unit:KiloGM, and the SPARQL constraint enforces both inclusive &gt;= comparisons via violation tests using the declared arithmetic formula. Applicability alternatives and required cardinalities are correctly represented.</x:v>
      </x:c>
      <x:c r="I6" s="83" t="n">
        <x:v>14935.694</x:v>
      </x:c>
      <x:c r="J6" s="83" t="n">
        <x:v>9474.628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c852fa79b440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RUN-IMO-077-20260830T085216462479Z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RUN-IMO-077-20260830T085216462479Z</x:v>
      </x:c>
      <x:c r="C5" s="45" t="str">
        <x:v>IMO-077</x:v>
      </x:c>
      <x:c r="D5" s="90" t="n">
        <x:v>46264.369839363426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17657.126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RUN-IMO-077-20260830T085216462479Z</x:v>
      </x:c>
      <x:c r="C6" s="47" t="str">
        <x:v>IMO-077</x:v>
      </x:c>
      <x:c r="D6" s="91" t="n">
        <x:v>46264.36983938657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17658.63</x:v>
      </x:c>
      <x:c r="L6" s="93" t="b">
        <x:v>0</x:v>
      </x:c>
      <x:c r="M6" s="47" t="str">
        <x:v>resp_0adc3d8b2e5c6eee006a93ef40ac00819786611e2a6ace17ef</x:v>
      </x:c>
      <x:c r="N6" s="59" t="n">
        <x:v>7344</x:v>
      </x:c>
      <x:c r="O6" s="59" t="n">
        <x:v>1559</x:v>
      </x:c>
      <x:c r="P6" s="59" t="n">
        <x:v>8903</x:v>
      </x:c>
    </x:row>
    <x:row r="7">
      <x:c r="A7" s="47" t="str">
        <x:v>EVT-000024</x:v>
      </x:c>
      <x:c r="B7" s="47" t="str">
        <x:v>RUN-IMO-077-20260830T085216462479Z</x:v>
      </x:c>
      <x:c r="C7" s="47" t="str">
        <x:v>IMO-077</x:v>
      </x:c>
      <x:c r="D7" s="91" t="n">
        <x:v>46264.36995827546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10113.067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RUN-IMO-077-20260830T085216462479Z</x:v>
      </x:c>
      <x:c r="C8" s="47" t="str">
        <x:v>IMO-077</x:v>
      </x:c>
      <x:c r="D8" s="91" t="n">
        <x:v>46264.36995828704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10114.411</x:v>
      </x:c>
      <x:c r="L8" s="93" t="b">
        <x:v>0</x:v>
      </x:c>
      <x:c r="M8" s="47" t="str">
        <x:v>resp_03ec314eb83a4302006a93ef5268708195ae1129406cccce0f</x:v>
      </x:c>
      <x:c r="N8" s="59" t="n">
        <x:v>6692</x:v>
      </x:c>
      <x:c r="O8" s="59" t="n">
        <x:v>635</x:v>
      </x:c>
      <x:c r="P8" s="59" t="n">
        <x:v>7327</x:v>
      </x:c>
    </x:row>
    <x:row r="9">
      <x:c r="A9" s="47" t="str">
        <x:v>EVT-000030</x:v>
      </x:c>
      <x:c r="B9" s="47" t="str">
        <x:v>RUN-IMO-077-20260830T085216462479Z</x:v>
      </x:c>
      <x:c r="C9" s="47" t="str">
        <x:v>IMO-077</x:v>
      </x:c>
      <x:c r="D9" s="91" t="n">
        <x:v>46264.37013119213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14934.44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RUN-IMO-077-20260830T085216462479Z</x:v>
      </x:c>
      <x:c r="C10" s="47" t="str">
        <x:v>IMO-077</x:v>
      </x:c>
      <x:c r="D10" s="91" t="n">
        <x:v>46264.3701312037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14935.694</x:v>
      </x:c>
      <x:c r="L10" s="93" t="b">
        <x:v>0</x:v>
      </x:c>
      <x:c r="M10" s="47" t="str">
        <x:v>resp_096c3fcbc82d8c3a006a93ef5c875881969706f31cbefd37be</x:v>
      </x:c>
      <x:c r="N10" s="59" t="n">
        <x:v>7442</x:v>
      </x:c>
      <x:c r="O10" s="59" t="n">
        <x:v>1512</x:v>
      </x:c>
      <x:c r="P10" s="59" t="n">
        <x:v>8954</x:v>
      </x:c>
    </x:row>
    <x:row r="11">
      <x:c r="A11" s="47" t="str">
        <x:v>EVT-000036</x:v>
      </x:c>
      <x:c r="B11" s="47" t="str">
        <x:v>RUN-IMO-077-20260830T085216462479Z</x:v>
      </x:c>
      <x:c r="C11" s="47" t="str">
        <x:v>IMO-077</x:v>
      </x:c>
      <x:c r="D11" s="91" t="n">
        <x:v>46264.37025443287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10644.096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RUN-IMO-077-20260830T085216462479Z</x:v>
      </x:c>
      <x:c r="C12" s="47" t="str">
        <x:v>IMO-077</x:v>
      </x:c>
      <x:c r="D12" s="91" t="n">
        <x:v>46264.37025445602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10645.61</x:v>
      </x:c>
      <x:c r="L12" s="93" t="b">
        <x:v>0</x:v>
      </x:c>
      <x:c r="M12" s="47" t="str">
        <x:v>resp_09fff8b647cae61f006a93ef6b7dd48195af2a0e4d7a4fca53</x:v>
      </x:c>
      <x:c r="N12" s="59" t="n">
        <x:v>1457</x:v>
      </x:c>
      <x:c r="O12" s="59" t="n">
        <x:v>1167</x:v>
      </x:c>
      <x:c r="P12" s="59" t="n">
        <x:v>2624</x:v>
      </x:c>
    </x:row>
    <x:row r="13">
      <x:c r="A13" s="47" t="str">
        <x:v>EVT-000045</x:v>
      </x:c>
      <x:c r="B13" s="47" t="str">
        <x:v>RUN-IMO-077-20260830T085216462479Z</x:v>
      </x:c>
      <x:c r="C13" s="47" t="str">
        <x:v>IMO-077</x:v>
      </x:c>
      <x:c r="D13" s="91" t="n">
        <x:v>46264.37036586805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9473.378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EVT-000046</x:v>
      </x:c>
      <x:c r="B14" s="49" t="str">
        <x:v>RUN-IMO-077-20260830T085216462479Z</x:v>
      </x:c>
      <x:c r="C14" s="49" t="str">
        <x:v>IMO-077</x:v>
      </x:c>
      <x:c r="D14" s="94" t="n">
        <x:v>46264.37036587963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9474.628</x:v>
      </x:c>
      <x:c r="L14" s="82" t="b">
        <x:v>0</x:v>
      </x:c>
      <x:c r="M14" s="49" t="str">
        <x:v>resp_01d8cb726377b3ee006a93ef76431881968a92548465b0e7b8</x:v>
      </x:c>
      <x:c r="N14" s="60" t="n">
        <x:v>6732</x:v>
      </x:c>
      <x:c r="O14" s="60" t="n">
        <x:v>581</x:v>
      </x:c>
      <x:c r="P14" s="60" t="n">
        <x:v>7313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c7f51de42c4a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RUN-IMO-077-20260830T085216462479Z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RUN-IMO-077-20260830T085216462479Z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RUN-IMO-077-20260830T085216462479Z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RUN-IMO-077-20260830T085216462479Z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RUN-IMO-077-20260830T085216462479Z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RUN-IMO-077-20260830T085216462479Z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RUN-IMO-077-20260830T085216462479Z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RUN-IMO-077-20260830T085216462479Z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RUN-IMO-077-20260830T085216462479Z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82c329d15546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RUN-IMO-077-20260830T085216462479Z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RUN-IMO-077-20260830T085216462479Z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7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RUN-IMO-077-20260830T085216462479Z</x:v>
      </x:c>
      <x:c r="B6" s="49" t="str">
        <x:v>IMO-077</x:v>
      </x:c>
      <x:c r="C6" s="49" t="str">
        <x:v>FS-BOOL-01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7dcf1b542c42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RUN-IMO-077-20260830T085216462479Z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RUN-IMO-077-20260830T085216462479Z</x:v>
      </x:c>
      <x:c r="B5" s="45" t="str">
        <x:v>IMO-077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46" t="str"/>
      <x:c r="P5" s="46" t="str"/>
      <x:c r="Q5" s="46" t="str"/>
    </x:row>
    <x:row r="6">
      <x:c r="A6" s="49" t="str">
        <x:v>RUN-IMO-077-20260830T085216462479Z</x:v>
      </x:c>
      <x:c r="B6" s="49" t="str">
        <x:v>IMO-077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f082e2db1f54f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RUN-IMO-077-20260830T085216462479Z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RUN-IMO-077-20260830T085216462479Z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RUN-IMO-077-20260830T085216462479Z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RUN-IMO-077-20260830T085216462479Z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RUN-IMO-077-20260830T085216462479Z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RUN-IMO-077-20260830T085216462479Z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f6e158c0313e4765171e9eec7f41bf775e53a1c1fd9a344c334b0117792ef372</x:v>
      </x:c>
      <x:c r="G8" s="59" t="n">
        <x:v>4187</x:v>
      </x:c>
    </x:row>
    <x:row r="9">
      <x:c r="A9" s="47" t="str">
        <x:v>RUN-IMO-077-20260830T085216462479Z</x:v>
      </x:c>
      <x:c r="B9" s="47" t="str">
        <x:v>IMO-077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490b684f1457aef4f422e3fdd791093d336133a1c2d20edcb8616d280a4ebc35</x:v>
      </x:c>
      <x:c r="G9" s="59" t="n">
        <x:v>4162</x:v>
      </x:c>
    </x:row>
    <x:row r="10">
      <x:c r="A10" s="47" t="str">
        <x:v>RUN-IMO-077-20260830T085216462479Z</x:v>
      </x:c>
      <x:c r="B10" s="47" t="str">
        <x:v>IMO-077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2e936bc062711ed35ca20f283b7958563b42b8b841e13179bb7cad33b78395eb</x:v>
      </x:c>
      <x:c r="G10" s="59" t="n">
        <x:v>836</x:v>
      </x:c>
    </x:row>
    <x:row r="11">
      <x:c r="A11" s="47" t="str">
        <x:v>RUN-IMO-077-20260830T085216462479Z</x:v>
      </x:c>
      <x:c r="B11" s="47" t="str">
        <x:v>IMO-077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b3fc2b8fbaf7255182d390d851b775fc06e10d976da1fff79b0f98d11a1d894e</x:v>
      </x:c>
      <x:c r="G11" s="59" t="n">
        <x:v>28203</x:v>
      </x:c>
    </x:row>
    <x:row r="12">
      <x:c r="A12" s="47" t="str">
        <x:v>RUN-IMO-077-20260830T085216462479Z</x:v>
      </x:c>
      <x:c r="B12" s="47" t="str">
        <x:v>IMO-077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f7234605fddae22061ebda4aa4054de687361e2822d5669e15005c5ad94e5405</x:v>
      </x:c>
      <x:c r="G12" s="59" t="n">
        <x:v>627</x:v>
      </x:c>
    </x:row>
    <x:row r="13">
      <x:c r="A13" s="47" t="str">
        <x:v>RUN-IMO-077-20260830T085216462479Z</x:v>
      </x:c>
      <x:c r="B13" s="47" t="str">
        <x:v>IMO-077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22a9c558fd55bca4b2ad1a7962ea218837dcfd8f47ae5104415c7b4282ea786a</x:v>
      </x:c>
      <x:c r="G13" s="59" t="n">
        <x:v>31889</x:v>
      </x:c>
    </x:row>
    <x:row r="14">
      <x:c r="A14" s="47" t="str">
        <x:v>RUN-IMO-077-20260830T085216462479Z</x:v>
      </x:c>
      <x:c r="B14" s="47" t="str">
        <x:v>IMO-077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5a963154872819859a7912e88afa98b02f89e762db27a58fce10e295d2ce23d0</x:v>
      </x:c>
      <x:c r="G14" s="59" t="n">
        <x:v>4887</x:v>
      </x:c>
    </x:row>
    <x:row r="15">
      <x:c r="A15" s="47" t="str">
        <x:v>RUN-IMO-077-20260830T085216462479Z</x:v>
      </x:c>
      <x:c r="B15" s="47" t="str">
        <x:v>IMO-077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2a5a0d74f3289bc1a5cf02b265bb5281dc80754d0deebd14fd2ac4683f30ba27</x:v>
      </x:c>
      <x:c r="G15" s="59" t="n">
        <x:v>6060</x:v>
      </x:c>
    </x:row>
    <x:row r="16">
      <x:c r="A16" s="47" t="str">
        <x:v>RUN-IMO-077-20260830T085216462479Z</x:v>
      </x:c>
      <x:c r="B16" s="47" t="str">
        <x:v>IMO-077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736fa97d06e8aedbb1d746d758357188ca47ca7e121e2b081e4e2ce320be90c3</x:v>
      </x:c>
      <x:c r="G16" s="59" t="n">
        <x:v>4884</x:v>
      </x:c>
    </x:row>
    <x:row r="17">
      <x:c r="A17" s="47" t="str">
        <x:v>RUN-IMO-077-20260830T085216462479Z</x:v>
      </x:c>
      <x:c r="B17" s="47" t="str">
        <x:v>IMO-077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af876b9a73d727f7c87ae758d01c85a3e60eea21444d58ac725295aebea98378</x:v>
      </x:c>
      <x:c r="G17" s="59" t="n">
        <x:v>4859</x:v>
      </x:c>
    </x:row>
    <x:row r="18">
      <x:c r="A18" s="47" t="str">
        <x:v>RUN-IMO-077-20260830T085216462479Z</x:v>
      </x:c>
      <x:c r="B18" s="47" t="str">
        <x:v>IMO-077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2e936bc062711ed35ca20f283b7958563b42b8b841e13179bb7cad33b78395eb</x:v>
      </x:c>
      <x:c r="G18" s="59" t="n">
        <x:v>836</x:v>
      </x:c>
    </x:row>
    <x:row r="19">
      <x:c r="A19" s="47" t="str">
        <x:v>RUN-IMO-077-20260830T085216462479Z</x:v>
      </x:c>
      <x:c r="B19" s="47" t="str">
        <x:v>IMO-077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89afaa179b614fc86cab2485bd081089802554c9a3479377b6d3a670823bd1a8</x:v>
      </x:c>
      <x:c r="G19" s="59" t="n">
        <x:v>29464</x:v>
      </x:c>
    </x:row>
    <x:row r="20">
      <x:c r="A20" s="47" t="str">
        <x:v>RUN-IMO-077-20260830T085216462479Z</x:v>
      </x:c>
      <x:c r="B20" s="47" t="str">
        <x:v>IMO-077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1fa651650514fb7d81967720fed147969688933b18757435f43a25179168a462</x:v>
      </x:c>
      <x:c r="G20" s="59" t="n">
        <x:v>489</x:v>
      </x:c>
    </x:row>
    <x:row r="21">
      <x:c r="A21" s="49" t="str">
        <x:v>RUN-IMO-077-20260830T085216462479Z</x:v>
      </x:c>
      <x:c r="B21" s="49" t="str">
        <x:v>IMO-077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af876b9a73d727f7c87ae758d01c85a3e60eea21444d58ac725295aebea98378</x:v>
      </x:c>
      <x:c r="G21" s="60" t="n">
        <x:v>4859</x:v>
      </x:c>
    </x:row>
  </x:sheetData>
  <x:pageMargins left="0.7" right="0.7" top="0.75" bottom="0.75" header="0.3" footer="0.3"/>
  <x:tableParts count="1">
    <x:tablePart xmlns:r="http://schemas.openxmlformats.org/officeDocument/2006/relationships" r:id="R49b04ab9ae7a40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RUN-IMO-077-20260830T085216462479Z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RUN-IMO-077-20260830T085216462479Z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RUN-IMO-077-20260830T085216462479Z</x:v>
      </x:c>
      <x:c r="B5" s="69" t="str">
        <x:v>IMO-077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97c77e410b494f"/>
  </x:tableParts>
</x:worksheet>
</file>