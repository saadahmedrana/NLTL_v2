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1408a58a8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28943ead22497c"/>
    <x:sheet xmlns:r="http://schemas.openxmlformats.org/officeDocument/2006/relationships" name="README" sheetId="2" r:id="R07a8f2c2b6534605"/>
    <x:sheet xmlns:r="http://schemas.openxmlformats.org/officeDocument/2006/relationships" name="REGULATION_QUEUE" sheetId="3" r:id="R46ad57953a424f50"/>
    <x:sheet xmlns:r="http://schemas.openxmlformats.org/officeDocument/2006/relationships" name="RUNS" sheetId="4" r:id="R3655b21bb2a349c2"/>
    <x:sheet xmlns:r="http://schemas.openxmlformats.org/officeDocument/2006/relationships" name="ITERATIONS" sheetId="5" r:id="R97f78c05c1d34f5e"/>
    <x:sheet xmlns:r="http://schemas.openxmlformats.org/officeDocument/2006/relationships" name="API_CALLS" sheetId="6" r:id="R4bcc6d98c0c34b14"/>
    <x:sheet xmlns:r="http://schemas.openxmlformats.org/officeDocument/2006/relationships" name="TERM_RETRIEVAL" sheetId="7" r:id="R9bbece01507a4b3c"/>
    <x:sheet xmlns:r="http://schemas.openxmlformats.org/officeDocument/2006/relationships" name="FEW_SHOT_SELECTION" sheetId="8" r:id="Re621a30e05c54ed9"/>
    <x:sheet xmlns:r="http://schemas.openxmlformats.org/officeDocument/2006/relationships" name="VALIDATION" sheetId="9" r:id="R869983c31c184a20"/>
    <x:sheet xmlns:r="http://schemas.openxmlformats.org/officeDocument/2006/relationships" name="VOCAB_MATCHES" sheetId="10" r:id="R654d1c24ad444060"/>
    <x:sheet xmlns:r="http://schemas.openxmlformats.org/officeDocument/2006/relationships" name="ARTIFACTS" sheetId="11" r:id="R9416a7c9684241a8"/>
    <x:sheet xmlns:r="http://schemas.openxmlformats.org/officeDocument/2006/relationships" name="UNRESOLVED" sheetId="12" r:id="R5aa80b5ce0a24c0c"/>
    <x:sheet xmlns:r="http://schemas.openxmlformats.org/officeDocument/2006/relationships" name="RDF_TEST_QUEUE" sheetId="13" r:id="Rea390b2c7e54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2436116e64ec1" /><Relationship Type="http://schemas.openxmlformats.org/officeDocument/2006/relationships/theme" Target="/xl/theme/theme1.xml" Id="R5fea6666778d4b21" /><Relationship Type="http://schemas.microsoft.com/office/2022/11/relationships/FeaturePropertyBag" Target="/xl/featurePropertyBag/featurePropertyBag.xml" Id="R3ca7d6538e6d4bee" /><Relationship Type="http://schemas.openxmlformats.org/officeDocument/2006/relationships/sharedStrings" Target="/xl/sharedStrings.xml" Id="R427d5874b56147ab" /><Relationship Type="http://schemas.openxmlformats.org/officeDocument/2006/relationships/worksheet" Target="/xl/worksheets/sheet1.xml" Id="R6528943ead22497c" /><Relationship Type="http://schemas.openxmlformats.org/officeDocument/2006/relationships/worksheet" Target="/xl/worksheets/sheet2.xml" Id="R07a8f2c2b6534605" /><Relationship Type="http://schemas.openxmlformats.org/officeDocument/2006/relationships/worksheet" Target="/xl/worksheets/sheet3.xml" Id="R46ad57953a424f50" /><Relationship Type="http://schemas.openxmlformats.org/officeDocument/2006/relationships/worksheet" Target="/xl/worksheets/sheet4.xml" Id="R3655b21bb2a349c2" /><Relationship Type="http://schemas.openxmlformats.org/officeDocument/2006/relationships/worksheet" Target="/xl/worksheets/sheet5.xml" Id="R97f78c05c1d34f5e" /><Relationship Type="http://schemas.openxmlformats.org/officeDocument/2006/relationships/worksheet" Target="/xl/worksheets/sheet6.xml" Id="R4bcc6d98c0c34b14" /><Relationship Type="http://schemas.openxmlformats.org/officeDocument/2006/relationships/worksheet" Target="/xl/worksheets/sheet7.xml" Id="R9bbece01507a4b3c" /><Relationship Type="http://schemas.openxmlformats.org/officeDocument/2006/relationships/worksheet" Target="/xl/worksheets/sheet8.xml" Id="Re621a30e05c54ed9" /><Relationship Type="http://schemas.openxmlformats.org/officeDocument/2006/relationships/worksheet" Target="/xl/worksheets/sheet9.xml" Id="R869983c31c184a20" /><Relationship Type="http://schemas.openxmlformats.org/officeDocument/2006/relationships/worksheet" Target="/xl/worksheets/sheet10.xml" Id="R654d1c24ad444060" /><Relationship Type="http://schemas.openxmlformats.org/officeDocument/2006/relationships/worksheet" Target="/xl/worksheets/sheet11.xml" Id="R9416a7c9684241a8" /><Relationship Type="http://schemas.openxmlformats.org/officeDocument/2006/relationships/worksheet" Target="/xl/worksheets/sheet12.xml" Id="R5aa80b5ce0a24c0c" /><Relationship Type="http://schemas.openxmlformats.org/officeDocument/2006/relationships/worksheet" Target="/xl/worksheets/sheet13.xml" Id="Rea390b2c7e5444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868a587d5841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c653abb884a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a85e9e65541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0d504eb0aa4d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2e6f2349be40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ec52f4d80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e35ab45db044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1b2b0e736346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be1d171c4646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446019c68145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RUN-TRF-014-20260830T101020121485Z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26314.078749999997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RUN-TRF-014-20260830T101020121485Z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868a587d5841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c653abb884a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RUN-TRF-014-20260830T101020121485Z</x:v>
      </x:c>
      <x:c r="C5" s="69" t="str">
        <x:v>TRF-014</x:v>
      </x:c>
      <x:c r="D5" s="70" t="n">
        <x:v>46264.42384400463</x:v>
      </x:c>
      <x:c r="E5" s="70" t="n">
        <x:v>46264.425681851855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supplied assessmentDate boundary, correctly handles post-2007 and pre-2007 applicability, uses the required owner paths, encodes certificate and document evidence, enforces metre units and datatypes, and compares the applicable amidships marking with the certificate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a85e9e65541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RUN-TRF-014-20260830T101020121485Z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pre-2007 branch: its current violation condition `!completeMarking &amp;&amp; (!EXISTS firstScheduledDryDockingDate || firstScheduledDryDockingDate &gt; assessmentDate)` is inverted. It rejects a not-yet-due marking when the docking date is after assessmentDate and incorrectly permits missing markings when the docking date is on or before assessmentDate. Use `!completeMarking &amp;&amp; (!EXISTS firstScheduledDryDockingDate || firstScheduledDryDockingDate &lt;= assessmentDate)` as the violation condition, while retaining the complete-marking exception and the supplied assessmentDate boundary.</x:v>
      </x:c>
      <x:c r="I5" s="84" t="n">
        <x:v>32301.581</x:v>
      </x:c>
      <x:c r="J5" s="84" t="n">
        <x:v>15750.844</x:v>
      </x:c>
    </x:row>
    <x:row r="6">
      <x:c r="A6" s="47" t="str">
        <x:v>RUN-TRF-014-20260830T101020121485Z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missing semantic relationship between iceClassDraughtMarkDraughtAmidships and the class certificate's maximumIceClassDraughtAmidships. Presence of a decimal metre quantity is only an envelope/presence approximation and does not establish that the mark is at the maximum permissible amidships draught. In the bounded conditional check, when marking is required (post-2007 with summer draught &gt; UIWL, or pre-2007 with incomplete marking and firstScheduledDryDockingDate &lt;= assessmentDate), require both quantities in metres and compare their numeric values in the correct direction; include this comparison in complete-marking evidence as applicable. Preserve the existing supplied assessmentDate cutoff and pre-2007 date logic.</x:v>
      </x:c>
      <x:c r="I6" s="86" t="n">
        <x:v>38270.4</x:v>
      </x:c>
      <x:c r="J6" s="86" t="n">
        <x:v>15374.313</x:v>
      </x:c>
    </x:row>
    <x:row r="7">
      <x:c r="A7" s="49" t="str">
        <x:v>RUN-TRF-014-20260830T101020121485Z</x:v>
      </x:c>
      <x:c r="B7" s="49" t="str">
        <x:v>TRF-014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supplied assessmentDate boundary, correctly handles post-2007 and pre-2007 applicability, uses the required owner paths, encodes certificate and document evidence, enforces metre units and datatypes, and compares the applicable amidships marking with the certificate maximum.</x:v>
      </x:c>
      <x:c r="I7" s="88" t="n">
        <x:v>35803.343</x:v>
      </x:c>
      <x:c r="J7" s="88" t="n">
        <x:v>20388.285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d504eb0aa4d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RUN-TRF-014-20260830T101020121485Z</x:v>
      </x:c>
      <x:c r="C5" s="45" t="str">
        <x:v>TRF-014</x:v>
      </x:c>
      <x:c r="D5" s="92" t="n">
        <x:v>46264.42421789352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32300.027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RUN-TRF-014-20260830T101020121485Z</x:v>
      </x:c>
      <x:c r="C6" s="47" t="str">
        <x:v>TRF-014</x:v>
      </x:c>
      <x:c r="D6" s="93" t="n">
        <x:v>46264.42421790509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32301.581</x:v>
      </x:c>
      <x:c r="L6" s="85" t="b">
        <x:v>0</x:v>
      </x:c>
      <x:c r="M6" s="47" t="str">
        <x:v>resp_066e86bc7ea1d123006a94018c40ec8197bd38c7c889df39c3</x:v>
      </x:c>
      <x:c r="N6" s="59" t="n">
        <x:v>15407</x:v>
      </x:c>
      <x:c r="O6" s="59" t="n">
        <x:v>3770</x:v>
      </x:c>
      <x:c r="P6" s="59" t="n">
        <x:v>19177</x:v>
      </x:c>
    </x:row>
    <x:row r="7">
      <x:c r="A7" s="47" t="str">
        <x:v>EVT-000049</x:v>
      </x:c>
      <x:c r="B7" s="47" t="str">
        <x:v>RUN-TRF-014-20260830T101020121485Z</x:v>
      </x:c>
      <x:c r="C7" s="47" t="str">
        <x:v>TRF-014</x:v>
      </x:c>
      <x:c r="D7" s="93" t="n">
        <x:v>46264.42440285879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15749.301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RUN-TRF-014-20260830T101020121485Z</x:v>
      </x:c>
      <x:c r="C8" s="47" t="str">
        <x:v>TRF-014</x:v>
      </x:c>
      <x:c r="D8" s="93" t="n">
        <x:v>46264.424402881945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15750.844</x:v>
      </x:c>
      <x:c r="L8" s="85" t="b">
        <x:v>0</x:v>
      </x:c>
      <x:c r="M8" s="47" t="str">
        <x:v>resp_02eb22ad322a4b58006a9401acdfcc8195844459f3ade95eeb</x:v>
      </x:c>
      <x:c r="N8" s="59" t="n">
        <x:v>17722</x:v>
      </x:c>
      <x:c r="O8" s="59" t="n">
        <x:v>1175</x:v>
      </x:c>
      <x:c r="P8" s="59" t="n">
        <x:v>18897</x:v>
      </x:c>
    </x:row>
    <x:row r="9">
      <x:c r="A9" s="47" t="str">
        <x:v>EVT-000055</x:v>
      </x:c>
      <x:c r="B9" s="47" t="str">
        <x:v>RUN-TRF-014-20260830T101020121485Z</x:v>
      </x:c>
      <x:c r="C9" s="47" t="str">
        <x:v>TRF-014</x:v>
      </x:c>
      <x:c r="D9" s="93" t="n">
        <x:v>46264.42484587963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38268.878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RUN-TRF-014-20260830T101020121485Z</x:v>
      </x:c>
      <x:c r="C10" s="47" t="str">
        <x:v>TRF-014</x:v>
      </x:c>
      <x:c r="D10" s="93" t="n">
        <x:v>46264.424845891204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38270.4</x:v>
      </x:c>
      <x:c r="L10" s="85" t="b">
        <x:v>0</x:v>
      </x:c>
      <x:c r="M10" s="47" t="str">
        <x:v>resp_01fe519b6cbe4722006a9401bc8924819385f4ef222cd501cd</x:v>
      </x:c>
      <x:c r="N10" s="59" t="n">
        <x:v>15527</x:v>
      </x:c>
      <x:c r="O10" s="59" t="n">
        <x:v>3574</x:v>
      </x:c>
      <x:c r="P10" s="59" t="n">
        <x:v>19101</x:v>
      </x:c>
    </x:row>
    <x:row r="11">
      <x:c r="A11" s="47" t="str">
        <x:v>EVT-000063</x:v>
      </x:c>
      <x:c r="B11" s="47" t="str">
        <x:v>RUN-TRF-014-20260830T101020121485Z</x:v>
      </x:c>
      <x:c r="C11" s="47" t="str">
        <x:v>TRF-014</x:v>
      </x:c>
      <x:c r="D11" s="93" t="n">
        <x:v>46264.42502678241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15373.379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RUN-TRF-014-20260830T101020121485Z</x:v>
      </x:c>
      <x:c r="C12" s="47" t="str">
        <x:v>TRF-014</x:v>
      </x:c>
      <x:c r="D12" s="93" t="n">
        <x:v>46264.42502679398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15374.313</x:v>
      </x:c>
      <x:c r="L12" s="85" t="b">
        <x:v>0</x:v>
      </x:c>
      <x:c r="M12" s="47" t="str">
        <x:v>resp_0f70d66efb620900006a9401e316808197a11947e386d18b61</x:v>
      </x:c>
      <x:c r="N12" s="59" t="n">
        <x:v>17790</x:v>
      </x:c>
      <x:c r="O12" s="59" t="n">
        <x:v>1202</x:v>
      </x:c>
      <x:c r="P12" s="59" t="n">
        <x:v>18992</x:v>
      </x:c>
    </x:row>
    <x:row r="13">
      <x:c r="A13" s="47" t="str">
        <x:v>EVT-000069</x:v>
      </x:c>
      <x:c r="B13" s="47" t="str">
        <x:v>RUN-TRF-014-20260830T101020121485Z</x:v>
      </x:c>
      <x:c r="C13" s="47" t="str">
        <x:v>TRF-014</x:v>
      </x:c>
      <x:c r="D13" s="93" t="n">
        <x:v>46264.42544119213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35801.817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RUN-TRF-014-20260830T101020121485Z</x:v>
      </x:c>
      <x:c r="C14" s="47" t="str">
        <x:v>TRF-014</x:v>
      </x:c>
      <x:c r="D14" s="93" t="n">
        <x:v>46264.42544121528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35803.343</x:v>
      </x:c>
      <x:c r="L14" s="85" t="b">
        <x:v>0</x:v>
      </x:c>
      <x:c r="M14" s="47" t="str">
        <x:v>resp_07cffcad6858e4ad006a9401f27b708197a819b4615a188ca0</x:v>
      </x:c>
      <x:c r="N14" s="59" t="n">
        <x:v>15678</x:v>
      </x:c>
      <x:c r="O14" s="59" t="n">
        <x:v>4637</x:v>
      </x:c>
      <x:c r="P14" s="59" t="n">
        <x:v>20315</x:v>
      </x:c>
    </x:row>
    <x:row r="15">
      <x:c r="A15" s="47" t="str">
        <x:v>EVT-000077</x:v>
      </x:c>
      <x:c r="B15" s="47" t="str">
        <x:v>RUN-TRF-014-20260830T101020121485Z</x:v>
      </x:c>
      <x:c r="C15" s="47" t="str">
        <x:v>TRF-014</x:v>
      </x:c>
      <x:c r="D15" s="93" t="n">
        <x:v>46264.425681782406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20386.777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EVT-000078</x:v>
      </x:c>
      <x:c r="B16" s="49" t="str">
        <x:v>RUN-TRF-014-20260830T101020121485Z</x:v>
      </x:c>
      <x:c r="C16" s="49" t="str">
        <x:v>TRF-014</x:v>
      </x:c>
      <x:c r="D16" s="94" t="n">
        <x:v>46264.42568179398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20388.285</x:v>
      </x:c>
      <x:c r="L16" s="87" t="b">
        <x:v>0</x:v>
      </x:c>
      <x:c r="M16" s="49" t="str">
        <x:v>resp_0888e00439777862006a940216ff448195941c21d493422358</x:v>
      </x:c>
      <x:c r="N16" s="60" t="n">
        <x:v>19620</x:v>
      </x:c>
      <x:c r="O16" s="60" t="n">
        <x:v>1441</x:v>
      </x:c>
      <x:c r="P16" s="60" t="n">
        <x:v>21061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e6f2349be40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RUN-TRF-014-20260830T101020121485Z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RUN-TRF-014-20260830T101020121485Z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RUN-TRF-014-20260830T101020121485Z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RUN-TRF-014-20260830T101020121485Z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RUN-TRF-014-20260830T101020121485Z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RUN-TRF-014-20260830T101020121485Z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RUN-TRF-014-20260830T101020121485Z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RUN-TRF-014-20260830T101020121485Z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RUN-TRF-014-20260830T101020121485Z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RUN-TRF-014-20260830T101020121485Z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RUN-TRF-014-20260830T101020121485Z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RUN-TRF-014-20260830T101020121485Z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RUN-TRF-014-20260830T101020121485Z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RUN-TRF-014-20260830T101020121485Z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RUN-TRF-014-20260830T101020121485Z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RUN-TRF-014-20260830T101020121485Z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RUN-TRF-014-20260830T101020121485Z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RUN-TRF-014-20260830T101020121485Z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RUN-TRF-014-20260830T101020121485Z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RUN-TRF-014-20260830T101020121485Z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RUN-TRF-014-20260830T101020121485Z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RUN-TRF-014-20260830T101020121485Z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RUN-TRF-014-20260830T101020121485Z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RUN-TRF-014-20260830T101020121485Z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RUN-TRF-014-20260830T101020121485Z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RUN-TRF-014-20260830T101020121485Z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RUN-TRF-014-20260830T101020121485Z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RUN-TRF-014-20260830T101020121485Z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RUN-TRF-014-20260830T101020121485Z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RUN-TRF-014-20260830T101020121485Z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RUN-TRF-014-20260830T101020121485Z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RUN-TRF-014-20260830T101020121485Z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RUN-TRF-014-20260830T101020121485Z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5ec52f4d80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RUN-TRF-014-20260830T101020121485Z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RUN-TRF-014-20260830T101020121485Z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RUN-TRF-014-20260830T101020121485Z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35ab45db044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RUN-TRF-014-20260830T101020121485Z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7" t="str">
        <x:v>RUN-TRF-014-20260830T101020121485Z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9" t="str">
        <x:v>RUN-TRF-014-20260830T101020121485Z</x:v>
      </x:c>
      <x:c r="B7" s="49" t="str">
        <x:v>TRF-014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41b2b0e736346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RUN-TRF-014-20260830T101020121485Z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RUN-TRF-014-20260830T101020121485Z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RUN-TRF-014-20260830T101020121485Z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RUN-TRF-014-20260830T101020121485Z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RUN-TRF-014-20260830T101020121485Z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RUN-TRF-014-20260830T101020121485Z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3792ee461e5d1c1d55c0910b9ec2bed610b8ad874aee58068c664246cd9909f0</x:v>
      </x:c>
      <x:c r="G8" s="59" t="n">
        <x:v>7657</x:v>
      </x:c>
    </x:row>
    <x:row r="9">
      <x:c r="A9" s="47" t="str">
        <x:v>RUN-TRF-014-20260830T101020121485Z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80c5cb677a5a9bb5239574be6f11449ed961768fe123b274b54f9ff53c542184</x:v>
      </x:c>
      <x:c r="G9" s="59" t="n">
        <x:v>7632</x:v>
      </x:c>
    </x:row>
    <x:row r="10">
      <x:c r="A10" s="47" t="str">
        <x:v>RUN-TRF-014-20260830T101020121485Z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850ec4e8722699012f10561e7bfa84dbf31e701f53c25ecb4e681c4918566ff0</x:v>
      </x:c>
      <x:c r="G10" s="59" t="n">
        <x:v>1737</x:v>
      </x:c>
    </x:row>
    <x:row r="11">
      <x:c r="A11" s="47" t="str">
        <x:v>RUN-TRF-014-20260830T101020121485Z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d02444f69744f4cef0aaadc6577ef0c364c8c5a94306e91e45ebf173595aa771</x:v>
      </x:c>
      <x:c r="G11" s="59" t="n">
        <x:v>68785</x:v>
      </x:c>
    </x:row>
    <x:row r="12">
      <x:c r="A12" s="47" t="str">
        <x:v>RUN-TRF-014-20260830T101020121485Z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b272671fd9bd71f0ccf6b6faaf3460b5de15128678aa5c6aa5bfd8b689394053</x:v>
      </x:c>
      <x:c r="G12" s="59" t="n">
        <x:v>652</x:v>
      </x:c>
    </x:row>
    <x:row r="13">
      <x:c r="A13" s="47" t="str">
        <x:v>RUN-TRF-014-20260830T101020121485Z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c69785bedf3b5f453106167ddde5e400cb25d779336a7dbd4ea0283661fecf1d</x:v>
      </x:c>
      <x:c r="G13" s="59" t="n">
        <x:v>62849</x:v>
      </x:c>
    </x:row>
    <x:row r="14">
      <x:c r="A14" s="47" t="str">
        <x:v>RUN-TRF-014-20260830T101020121485Z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3828ef3ae89ef524214ed6f224549c2808a7fabcbd2585767dcdc9f214df4b11</x:v>
      </x:c>
      <x:c r="G14" s="59" t="n">
        <x:v>7298</x:v>
      </x:c>
    </x:row>
    <x:row r="15">
      <x:c r="A15" s="47" t="str">
        <x:v>RUN-TRF-014-20260830T101020121485Z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0eb86fce0a8479b49f7fc22a0f97ad4969f6c0ad1b3986ff84d1b12a401da37b</x:v>
      </x:c>
      <x:c r="G15" s="59" t="n">
        <x:v>7273</x:v>
      </x:c>
    </x:row>
    <x:row r="16">
      <x:c r="A16" s="47" t="str">
        <x:v>RUN-TRF-014-20260830T101020121485Z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850ec4e8722699012f10561e7bfa84dbf31e701f53c25ecb4e681c4918566ff0</x:v>
      </x:c>
      <x:c r="G16" s="59" t="n">
        <x:v>1737</x:v>
      </x:c>
    </x:row>
    <x:row r="17">
      <x:c r="A17" s="47" t="str">
        <x:v>RUN-TRF-014-20260830T101020121485Z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8988965b429efea77104c4a506366f15fbbf5d251b6ab2aece10c9a55b35f364</x:v>
      </x:c>
      <x:c r="G17" s="59" t="n">
        <x:v>69040</x:v>
      </x:c>
    </x:row>
    <x:row r="18">
      <x:c r="A18" s="47" t="str">
        <x:v>RUN-TRF-014-20260830T101020121485Z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2aaa76ec4e857ea4a19983581e8b4cc7e530892eec86cc4619fca21b98285fc6</x:v>
      </x:c>
      <x:c r="G18" s="59" t="n">
        <x:v>798</x:v>
      </x:c>
    </x:row>
    <x:row r="19">
      <x:c r="A19" s="47" t="str">
        <x:v>RUN-TRF-014-20260830T101020121485Z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5c99c7e8a623aae1cca39b7fbf6289a3c4eddae6ac3cab06d8561c2a552cbc01</x:v>
      </x:c>
      <x:c r="G19" s="59" t="n">
        <x:v>63590</x:v>
      </x:c>
    </x:row>
    <x:row r="20">
      <x:c r="A20" s="47" t="str">
        <x:v>RUN-TRF-014-20260830T101020121485Z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49e050c4eaeaff55c2efc8870c59d4ee9f8cebb623dac485479d5ee85c5b68b0</x:v>
      </x:c>
      <x:c r="G20" s="59" t="n">
        <x:v>13031</x:v>
      </x:c>
    </x:row>
    <x:row r="21">
      <x:c r="A21" s="47" t="str">
        <x:v>RUN-TRF-014-20260830T101020121485Z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12245b21201d6d6ae8f78cc4f9c59bb453627fc5752c7b546d33331126607925</x:v>
      </x:c>
      <x:c r="G21" s="59" t="n">
        <x:v>13006</x:v>
      </x:c>
    </x:row>
    <x:row r="22">
      <x:c r="A22" s="47" t="str">
        <x:v>RUN-TRF-014-20260830T101020121485Z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e79872a6115c15a532fe37338209abf53efe37fc5c74b66c62a371dcee8d55f7</x:v>
      </x:c>
      <x:c r="G22" s="59" t="n">
        <x:v>1970</x:v>
      </x:c>
    </x:row>
    <x:row r="23">
      <x:c r="A23" s="47" t="str">
        <x:v>RUN-TRF-014-20260830T101020121485Z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619d75af7764987c244b7a44f9bfaef2780fe6f6d354e73146c764db7fa002c9</x:v>
      </x:c>
      <x:c r="G23" s="59" t="n">
        <x:v>77401</x:v>
      </x:c>
    </x:row>
    <x:row r="24">
      <x:c r="A24" s="47" t="str">
        <x:v>RUN-TRF-014-20260830T101020121485Z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11dcd702559a09c54c80b14b6a2d6df5bdabaf385adb66400f0aeedf1139304f</x:v>
      </x:c>
      <x:c r="G24" s="59" t="n">
        <x:v>433</x:v>
      </x:c>
    </x:row>
    <x:row r="25">
      <x:c r="A25" s="49" t="str">
        <x:v>RUN-TRF-014-20260830T101020121485Z</x:v>
      </x:c>
      <x:c r="B25" s="49" t="str">
        <x:v>TRF-014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12245b21201d6d6ae8f78cc4f9c59bb453627fc5752c7b546d33331126607925</x:v>
      </x:c>
      <x:c r="G25" s="60" t="n">
        <x:v>13006</x:v>
      </x:c>
    </x:row>
  </x:sheetData>
  <x:pageMargins left="0.7" right="0.7" top="0.75" bottom="0.75" header="0.3" footer="0.3"/>
  <x:tableParts count="1">
    <x:tablePart xmlns:r="http://schemas.openxmlformats.org/officeDocument/2006/relationships" r:id="R1ebe1d171c4646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RUN-TRF-014-20260830T101020121485Z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RUN-TRF-014-20260830T101020121485Z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RUN-TRF-014-20260830T101020121485Z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46019c68145a5"/>
  </x:tableParts>
</x:worksheet>
</file>