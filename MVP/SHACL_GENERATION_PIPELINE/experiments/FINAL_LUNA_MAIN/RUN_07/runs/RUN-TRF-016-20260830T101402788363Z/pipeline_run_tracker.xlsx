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6cde22e9f94ff1" /></Relationships>
</file>

<file path=xl/workbook.xml><?xml version="1.0" encoding="utf-8"?>
<x:workbook xmlns:x="http://schemas.openxmlformats.org/spreadsheetml/2006/main">
  <x:sheets>
    <x:sheet xmlns:r="http://schemas.openxmlformats.org/officeDocument/2006/relationships" name="SUMMARY" sheetId="1" r:id="Rd7e5bab2d9fc4af8"/>
    <x:sheet xmlns:r="http://schemas.openxmlformats.org/officeDocument/2006/relationships" name="README" sheetId="2" r:id="R67209bbd86ce46a8"/>
    <x:sheet xmlns:r="http://schemas.openxmlformats.org/officeDocument/2006/relationships" name="REGULATION_QUEUE" sheetId="3" r:id="R1e7f924f0485491c"/>
    <x:sheet xmlns:r="http://schemas.openxmlformats.org/officeDocument/2006/relationships" name="RUNS" sheetId="4" r:id="Rd127fa977c5743f0"/>
    <x:sheet xmlns:r="http://schemas.openxmlformats.org/officeDocument/2006/relationships" name="ITERATIONS" sheetId="5" r:id="R1ea07127665a4ada"/>
    <x:sheet xmlns:r="http://schemas.openxmlformats.org/officeDocument/2006/relationships" name="API_CALLS" sheetId="6" r:id="R6edff73e535a463a"/>
    <x:sheet xmlns:r="http://schemas.openxmlformats.org/officeDocument/2006/relationships" name="TERM_RETRIEVAL" sheetId="7" r:id="Rbb3e21c688ba4697"/>
    <x:sheet xmlns:r="http://schemas.openxmlformats.org/officeDocument/2006/relationships" name="FEW_SHOT_SELECTION" sheetId="8" r:id="R7a5da158388e4291"/>
    <x:sheet xmlns:r="http://schemas.openxmlformats.org/officeDocument/2006/relationships" name="VALIDATION" sheetId="9" r:id="R8fa68972bfbe40e8"/>
    <x:sheet xmlns:r="http://schemas.openxmlformats.org/officeDocument/2006/relationships" name="VOCAB_MATCHES" sheetId="10" r:id="R6147e24ca2ed4571"/>
    <x:sheet xmlns:r="http://schemas.openxmlformats.org/officeDocument/2006/relationships" name="ARTIFACTS" sheetId="11" r:id="R71debd4b3a68416d"/>
    <x:sheet xmlns:r="http://schemas.openxmlformats.org/officeDocument/2006/relationships" name="UNRESOLVED" sheetId="12" r:id="R58c45c0088d0443e"/>
    <x:sheet xmlns:r="http://schemas.openxmlformats.org/officeDocument/2006/relationships" name="RDF_TEST_QUEUE" sheetId="13" r:id="R30708dfd196c4e0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06ff7e86f14b34" /><Relationship Type="http://schemas.openxmlformats.org/officeDocument/2006/relationships/theme" Target="/xl/theme/theme1.xml" Id="R0ca610cdc7404c20" /><Relationship Type="http://schemas.microsoft.com/office/2022/11/relationships/FeaturePropertyBag" Target="/xl/featurePropertyBag/featurePropertyBag.xml" Id="R9d76c6062c6e4be3" /><Relationship Type="http://schemas.openxmlformats.org/officeDocument/2006/relationships/sharedStrings" Target="/xl/sharedStrings.xml" Id="R3bfad4644ffc4785" /><Relationship Type="http://schemas.openxmlformats.org/officeDocument/2006/relationships/worksheet" Target="/xl/worksheets/sheet1.xml" Id="Rd7e5bab2d9fc4af8" /><Relationship Type="http://schemas.openxmlformats.org/officeDocument/2006/relationships/worksheet" Target="/xl/worksheets/sheet2.xml" Id="R67209bbd86ce46a8" /><Relationship Type="http://schemas.openxmlformats.org/officeDocument/2006/relationships/worksheet" Target="/xl/worksheets/sheet3.xml" Id="R1e7f924f0485491c" /><Relationship Type="http://schemas.openxmlformats.org/officeDocument/2006/relationships/worksheet" Target="/xl/worksheets/sheet4.xml" Id="Rd127fa977c5743f0" /><Relationship Type="http://schemas.openxmlformats.org/officeDocument/2006/relationships/worksheet" Target="/xl/worksheets/sheet5.xml" Id="R1ea07127665a4ada" /><Relationship Type="http://schemas.openxmlformats.org/officeDocument/2006/relationships/worksheet" Target="/xl/worksheets/sheet6.xml" Id="R6edff73e535a463a" /><Relationship Type="http://schemas.openxmlformats.org/officeDocument/2006/relationships/worksheet" Target="/xl/worksheets/sheet7.xml" Id="Rbb3e21c688ba4697" /><Relationship Type="http://schemas.openxmlformats.org/officeDocument/2006/relationships/worksheet" Target="/xl/worksheets/sheet8.xml" Id="R7a5da158388e4291" /><Relationship Type="http://schemas.openxmlformats.org/officeDocument/2006/relationships/worksheet" Target="/xl/worksheets/sheet9.xml" Id="R8fa68972bfbe40e8" /><Relationship Type="http://schemas.openxmlformats.org/officeDocument/2006/relationships/worksheet" Target="/xl/worksheets/sheet10.xml" Id="R6147e24ca2ed4571" /><Relationship Type="http://schemas.openxmlformats.org/officeDocument/2006/relationships/worksheet" Target="/xl/worksheets/sheet11.xml" Id="R71debd4b3a68416d" /><Relationship Type="http://schemas.openxmlformats.org/officeDocument/2006/relationships/worksheet" Target="/xl/worksheets/sheet12.xml" Id="R58c45c0088d0443e" /><Relationship Type="http://schemas.openxmlformats.org/officeDocument/2006/relationships/worksheet" Target="/xl/worksheets/sheet13.xml" Id="R30708dfd196c4e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9"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6e96c85d094db4" /></Relationships>
</file>

<file path=xl/worksheets/_rels/sheet3.xml.rels>&#65279;<?xml version="1.0" encoding="utf-8"?><Relationships xmlns="http://schemas.openxmlformats.org/package/2006/relationships"><Relationship Type="http://schemas.openxmlformats.org/officeDocument/2006/relationships/table" Target="/xl/tables/table2.xml" Id="Rb133f0befb084539" /></Relationships>
</file>

<file path=xl/worksheets/_rels/sheet4.xml.rels>&#65279;<?xml version="1.0" encoding="utf-8"?><Relationships xmlns="http://schemas.openxmlformats.org/package/2006/relationships"><Relationship Type="http://schemas.openxmlformats.org/officeDocument/2006/relationships/table" Target="/xl/tables/table3.xml" Id="R67a3787b1c664cba" /></Relationships>
</file>

<file path=xl/worksheets/_rels/sheet5.xml.rels>&#65279;<?xml version="1.0" encoding="utf-8"?><Relationships xmlns="http://schemas.openxmlformats.org/package/2006/relationships"><Relationship Type="http://schemas.openxmlformats.org/officeDocument/2006/relationships/table" Target="/xl/tables/table4.xml" Id="Rbb084991c19246d7" /></Relationships>
</file>

<file path=xl/worksheets/_rels/sheet6.xml.rels>&#65279;<?xml version="1.0" encoding="utf-8"?><Relationships xmlns="http://schemas.openxmlformats.org/package/2006/relationships"><Relationship Type="http://schemas.openxmlformats.org/officeDocument/2006/relationships/table" Target="/xl/tables/table5.xml" Id="R4f784eb383de4e61" /></Relationships>
</file>

<file path=xl/worksheets/_rels/sheet7.xml.rels>&#65279;<?xml version="1.0" encoding="utf-8"?><Relationships xmlns="http://schemas.openxmlformats.org/package/2006/relationships"><Relationship Type="http://schemas.openxmlformats.org/officeDocument/2006/relationships/table" Target="/xl/tables/table6.xml" Id="R8f3bb49bd18b47c1" /></Relationships>
</file>

<file path=xl/worksheets/_rels/sheet8.xml.rels>&#65279;<?xml version="1.0" encoding="utf-8"?><Relationships xmlns="http://schemas.openxmlformats.org/package/2006/relationships"><Relationship Type="http://schemas.openxmlformats.org/officeDocument/2006/relationships/table" Target="/xl/tables/table7.xml" Id="R58c431ad150942ae" /></Relationships>
</file>

<file path=xl/worksheets/_rels/sheet9.xml.rels>&#65279;<?xml version="1.0" encoding="utf-8"?><Relationships xmlns="http://schemas.openxmlformats.org/package/2006/relationships"><Relationship Type="http://schemas.openxmlformats.org/officeDocument/2006/relationships/table" Target="/xl/tables/table8.xml" Id="Ra4fd141fd9cc4c0d" /></Relationships>
</file>

<file path=xl/worksheets/_rels/sheet10.xml.rels>&#65279;<?xml version="1.0" encoding="utf-8"?><Relationships xmlns="http://schemas.openxmlformats.org/package/2006/relationships"><Relationship Type="http://schemas.openxmlformats.org/officeDocument/2006/relationships/table" Target="/xl/tables/table9.xml" Id="R8afead43441f4ab1" /></Relationships>
</file>

<file path=xl/worksheets/_rels/sheet11.xml.rels>&#65279;<?xml version="1.0" encoding="utf-8"?><Relationships xmlns="http://schemas.openxmlformats.org/package/2006/relationships"><Relationship Type="http://schemas.openxmlformats.org/officeDocument/2006/relationships/table" Target="/xl/tables/table10.xml" Id="Re4f26b81eead446b" /></Relationships>
</file>

<file path=xl/worksheets/_rels/sheet12.xml.rels>&#65279;<?xml version="1.0" encoding="utf-8"?><Relationships xmlns="http://schemas.openxmlformats.org/package/2006/relationships"><Relationship Type="http://schemas.openxmlformats.org/officeDocument/2006/relationships/table" Target="/xl/tables/table11.xml" Id="Ra67eab4bfc2e4e7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RUN-TRF-016-20260830T101402788363Z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COUNTA('API_CALLS'!$A$5:$A$29)</x:f>
        <x:v>25</x:v>
      </x:c>
      <x:c r="C9" s="21"/>
      <x:c r="D9" s="21"/>
    </x:row>
    <x:row r="10">
      <x:c r="A10" s="27" t="str">
        <x:v>Mean API/LLM elapsed ms</x:v>
      </x:c>
      <x:c r="B10" s="28" t="n">
        <x:f>IFERROR(AVERAGE('API_CALLS'!$K$5:$K$29),0)</x:f>
        <x:v>23698.286200000002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RUN-TRF-016-20260830T101402788363Z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56e96c85d094d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RUN-TRF-016-20260830T101402788363Z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TERM_RESOLUTION_UNRESOLVED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133f0befb08453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RUN-TRF-016-20260830T101402788363Z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RUN-TRF-016-20260830T101402788363Z</x:v>
      </x:c>
      <x:c r="C5" s="69" t="str">
        <x:v>TRF-016</x:v>
      </x:c>
      <x:c r="D5" s="70" t="n">
        <x:v>46264.42642116898</x:v>
      </x:c>
      <x:c r="E5" s="70" t="n">
        <x:v>46264.42990681713</x:v>
      </x:c>
      <x:c r="F5" s="69" t="str">
        <x:v>final-luna-main-run07</x:v>
      </x:c>
      <x:c r="G5" s="69" t="str">
        <x:v>VOCAB-LOCK-2026-08-22-R13</x:v>
      </x:c>
      <x:c r="H5" s="71" t="n">
        <x:v>3</x:v>
      </x:c>
      <x:c r="I5" s="69" t="str">
        <x:v>TERM_RESOLUTION_UNRESOLVED</x:v>
      </x:c>
      <x:c r="J5" s="72" t="b">
        <x:v>0</x:v>
      </x:c>
      <x:c r="K5" s="69" t="str"/>
      <x:c r="L5" s="73" t="str">
        <x:v>No supplied candidate verifies the required greatest-displacement UIWL selection or provides per-waterline displacement coverage; selecting an existing displacement term would not resolve the reported cross-owner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7a3787b1c664cb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RUN-TRF-016-20260830T101402788363Z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RUN-TRF-016-20260830T101402788363Z</x:v>
      </x:c>
      <x:c r="B5" s="45" t="str">
        <x:v>TRF-016</x:v>
      </x:c>
      <x:c r="C5" s="58" t="n">
        <x:v>1</x:v>
      </x:c>
      <x:c r="D5" s="83" t="b">
        <x:v>1</x:v>
      </x:c>
      <x:c r="E5" s="83" t="b">
        <x:v>0</x:v>
      </x:c>
      <x:c r="F5" s="83" t="b">
        <x:v>0</x:v>
      </x:c>
      <x:c r="G5" s="45" t="str">
        <x:v>REVISE</x:v>
      </x:c>
      <x:c r="H5" s="46" t="str">
        <x:v>Repair the UIWL selection and required-path coverage. Add a ship-level hasUpperIceWaterline constraint with minCount 1, and a node shape for each iceWaterline requiring waterlineDisplacement as a decimal quantity in TON_Metric. Ensure displacementAtUpperIceWaterline equals the waterlineDisplacement of the selected UIWL and that no other UIWL has a greater displacement; the current FILTER only rejects a selected value below another value and therefore permits a displacement greater than every UIWL. Do not rely on mandatory SPARQL triple patterns for required inputs, because absent hasUpperIceWaterline or waterlineDisplacement can yield no query binding and an accidental pass. Preserve the existing ship/ballast-tank ownership and conditional ballast logic.</x:v>
      </x:c>
      <x:c r="I5" s="84" t="n">
        <x:v>40430.778</x:v>
      </x:c>
      <x:c r="J5" s="84" t="n">
        <x:v>17467.627</x:v>
      </x:c>
    </x:row>
    <x:row r="6">
      <x:c r="A6" s="47" t="str">
        <x:v>RUN-TRF-016-20260830T101402788363Z</x:v>
      </x:c>
      <x:c r="B6" s="47" t="str">
        <x:v>TRF-016</x:v>
      </x:c>
      <x:c r="C6" s="59" t="n">
        <x:v>2</x:v>
      </x:c>
      <x:c r="D6" s="85" t="b">
        <x:v>1</x:v>
      </x:c>
      <x:c r="E6" s="85" t="b">
        <x:v>0</x:v>
      </x:c>
      <x:c r="F6" s="85" t="b">
        <x:v>0</x:v>
      </x:c>
      <x:c r="G6" s="47" t="str">
        <x:v>REVISE</x:v>
      </x:c>
      <x:c r="H6" s="48" t="str">
        <x:v>REVERSAL: The supplied canonical ownership metadata is authoritative and requires waterlineDisplacement and liwlDraughtAmidships to be checked on the ship owner, but the candidate places them on ice-waterline nodes. Correct those paths/ownerships without relocating other ballast-tank properties; preserve the now-correct UIWL existence, displacement-selection, comparison direction, units, and conditional ballast logic. If per-waterline values cannot be represented under the declared ship ownership, request the required canonical cross-owner path rather than silently assigning the properties to waterline nodes.</x:v>
      </x:c>
      <x:c r="I6" s="86" t="n">
        <x:v>44192.407</x:v>
      </x:c>
      <x:c r="J6" s="86" t="n">
        <x:v>29358.9</x:v>
      </x:c>
    </x:row>
    <x:row r="7">
      <x:c r="A7" s="49" t="str">
        <x:v>RUN-TRF-016-20260830T101402788363Z</x:v>
      </x:c>
      <x:c r="B7" s="49" t="str">
        <x:v>TRF-016</x:v>
      </x:c>
      <x:c r="C7" s="60" t="n">
        <x:v>3</x:v>
      </x:c>
      <x:c r="D7" s="87" t="b">
        <x:v>1</x:v>
      </x:c>
      <x:c r="E7" s="87" t="b">
        <x:v>0</x:v>
      </x:c>
      <x:c r="F7" s="87" t="b">
        <x:v>1</x:v>
      </x:c>
      <x:c r="G7" s="49" t="str">
        <x:v>STOP_TERM_RESOLUTION</x:v>
      </x:c>
      <x:c r="H7" s="50" t="str">
        <x:v>Preserve the prior ownership correction: waterlineDisplacement and liwlDraughtAmidships must remain ship-owned. The candidate still fails UIWL selection semantics: it only equates displacementAtUpperIceWaterline to waterlineDisplacement and never verifies that the selected UIWL corresponds to the greatest-displacement UIWL, nor does it provide required input coverage for per-waterline displacement. Request and use a canonical cross-owner path or selection term for comparing each UIWL's displacement while retaining the declared ship owner; do not relocate waterlineDisplacement to iceWaterline. Also make propellerHighestPointSubmerged=true an unconditional ship requirement: the current sh:or permits navigatingInIce=false with the propeller value false. Retain the conditional draught and ballast checks, with explicit required paths and the existing units.</x:v>
      </x:c>
      <x:c r="I7" s="88" t="n">
        <x:v>36756.59</x:v>
      </x:c>
      <x:c r="J7" s="88" t="n">
        <x:v>9897.85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084991c19246d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RUN-TRF-016-20260830T101402788363Z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RUN-TRF-016-20260830T101402788363Z</x:v>
      </x:c>
      <x:c r="C5" s="45" t="str">
        <x:v>TRF-016</x:v>
      </x:c>
      <x:c r="D5" s="92" t="n">
        <x:v>46264.42643436343</x:v>
      </x:c>
      <x:c r="E5" s="45" t="str">
        <x:v>generator</x:v>
      </x:c>
      <x:c r="F5" s="45" t="str">
        <x:v>gpt-5.6-luna-2026-07-09</x:v>
      </x:c>
      <x:c r="G5" s="45" t="n">
        <x:v>1</x:v>
      </x:c>
      <x:c r="H5" s="45" t="n">
        <x:v>500</x:v>
      </x:c>
      <x:c r="I5" s="45" t="str">
        <x:v>Ocp-Apim-Subscription-Key</x:v>
      </x:c>
      <x:c r="J5" s="84" t="n">
        <x:v>0</x:v>
      </x:c>
      <x:c r="K5" s="84" t="n">
        <x:v>1137.292</x:v>
      </x:c>
      <x:c r="L5" s="83" t="b">
        <x:v>1</x:v>
      </x:c>
      <x:c r="M5" s="45" t="str"/>
      <x:c r="N5" s="58" t="str"/>
      <x:c r="O5" s="58" t="str"/>
      <x:c r="P5" s="58" t="str"/>
    </x:row>
    <x:row r="6">
      <x:c r="A6" s="47" t="str">
        <x:v>EVT-000031</x:v>
      </x:c>
      <x:c r="B6" s="47" t="str">
        <x:v>RUN-TRF-016-20260830T101402788363Z</x:v>
      </x:c>
      <x:c r="C6" s="47" t="str">
        <x:v>TRF-016</x:v>
      </x:c>
      <x:c r="D6" s="93" t="n">
        <x:v>46264.426889131944</x:v>
      </x:c>
      <x:c r="E6" s="47" t="str">
        <x:v>generator</x:v>
      </x:c>
      <x:c r="F6" s="47" t="str">
        <x:v>gpt-5.6-luna-2026-07-09</x:v>
      </x:c>
      <x:c r="G6" s="47" t="n">
        <x:v>2</x:v>
      </x:c>
      <x:c r="H6" s="47" t="n">
        <x:v>200</x:v>
      </x:c>
      <x:c r="I6" s="47" t="str">
        <x:v>Ocp-Apim-Subscription-Key</x:v>
      </x:c>
      <x:c r="J6" s="86" t="n">
        <x:v>0</x:v>
      </x:c>
      <x:c r="K6" s="86" t="n">
        <x:v>33906.486</x:v>
      </x:c>
      <x:c r="L6" s="85" t="b">
        <x:v>0</x:v>
      </x:c>
      <x:c r="M6" s="47" t="str"/>
      <x:c r="N6" s="59" t="str"/>
      <x:c r="O6" s="59" t="str"/>
      <x:c r="P6" s="59" t="str"/>
    </x:row>
    <x:row r="7">
      <x:c r="A7" s="47" t="str">
        <x:v>EVT-000032</x:v>
      </x:c>
      <x:c r="B7" s="47" t="str">
        <x:v>RUN-TRF-016-20260830T101402788363Z</x:v>
      </x:c>
      <x:c r="C7" s="47" t="str">
        <x:v>TRF-016</x:v>
      </x:c>
      <x:c r="D7" s="93" t="n">
        <x:v>46264.42688915509</x:v>
      </x:c>
      <x:c r="E7" s="47" t="str">
        <x:v>generator</x:v>
      </x:c>
      <x:c r="F7" s="47" t="str">
        <x:v>gpt-5.6-luna-2026-07-09</x:v>
      </x:c>
      <x:c r="G7" s="47" t="n">
        <x:v>2</x:v>
      </x:c>
      <x:c r="H7" s="47" t="str">
        <x:v>COMPLETED</x:v>
      </x:c>
      <x:c r="I7" s="47" t="str"/>
      <x:c r="J7" s="86" t="n">
        <x:v>0</x:v>
      </x:c>
      <x:c r="K7" s="86" t="n">
        <x:v>40430.778</x:v>
      </x:c>
      <x:c r="L7" s="85" t="b">
        <x:v>0</x:v>
      </x:c>
      <x:c r="M7" s="47" t="str">
        <x:v>resp_04e5bed0210a0f7b006a94027167988193a9867c25af99be60</x:v>
      </x:c>
      <x:c r="N7" s="59" t="n">
        <x:v>10609</x:v>
      </x:c>
      <x:c r="O7" s="59" t="n">
        <x:v>3187</x:v>
      </x:c>
      <x:c r="P7" s="59" t="n">
        <x:v>13796</x:v>
      </x:c>
    </x:row>
    <x:row r="8">
      <x:c r="A8" s="47" t="str">
        <x:v>EVT-000037</x:v>
      </x:c>
      <x:c r="B8" s="47" t="str">
        <x:v>RUN-TRF-016-20260830T101402788363Z</x:v>
      </x:c>
      <x:c r="C8" s="47" t="str">
        <x:v>TRF-016</x:v>
      </x:c>
      <x:c r="D8" s="93" t="n">
        <x:v>46264.4270262963</x:v>
      </x:c>
      <x:c r="E8" s="47" t="str">
        <x:v>syntax_repair</x:v>
      </x:c>
      <x:c r="F8" s="47" t="str">
        <x:v>gpt-5.6-luna-2026-07-09</x:v>
      </x:c>
      <x:c r="G8" s="47" t="n">
        <x:v>1</x:v>
      </x:c>
      <x:c r="H8" s="47" t="n">
        <x:v>200</x:v>
      </x:c>
      <x:c r="I8" s="47" t="str">
        <x:v>Ocp-Apim-Subscription-Key</x:v>
      </x:c>
      <x:c r="J8" s="86" t="n">
        <x:v>0</x:v>
      </x:c>
      <x:c r="K8" s="86" t="n">
        <x:v>11844.584</x:v>
      </x:c>
      <x:c r="L8" s="85" t="b">
        <x:v>0</x:v>
      </x:c>
      <x:c r="M8" s="47" t="str"/>
      <x:c r="N8" s="59" t="str"/>
      <x:c r="O8" s="59" t="str"/>
      <x:c r="P8" s="59" t="str"/>
    </x:row>
    <x:row r="9">
      <x:c r="A9" s="47" t="str">
        <x:v>EVT-000038</x:v>
      </x:c>
      <x:c r="B9" s="47" t="str">
        <x:v>RUN-TRF-016-20260830T101402788363Z</x:v>
      </x:c>
      <x:c r="C9" s="47" t="str">
        <x:v>TRF-016</x:v>
      </x:c>
      <x:c r="D9" s="93" t="n">
        <x:v>46264.42702630787</x:v>
      </x:c>
      <x:c r="E9" s="47" t="str">
        <x:v>syntax_repair</x:v>
      </x:c>
      <x:c r="F9" s="47" t="str">
        <x:v>gpt-5.6-luna-2026-07-09</x:v>
      </x:c>
      <x:c r="G9" s="47" t="n">
        <x:v>1</x:v>
      </x:c>
      <x:c r="H9" s="47" t="str">
        <x:v>COMPLETED</x:v>
      </x:c>
      <x:c r="I9" s="47" t="str"/>
      <x:c r="J9" s="86" t="n">
        <x:v>0</x:v>
      </x:c>
      <x:c r="K9" s="86" t="n">
        <x:v>11846.032</x:v>
      </x:c>
      <x:c r="L9" s="85" t="b">
        <x:v>0</x:v>
      </x:c>
      <x:c r="M9" s="47" t="str">
        <x:v>resp_054c9b77714fccaa006a9402936a588194b537bd78338d0f85</x:v>
      </x:c>
      <x:c r="N9" s="59" t="n">
        <x:v>2206</x:v>
      </x:c>
      <x:c r="O9" s="59" t="n">
        <x:v>1761</x:v>
      </x:c>
      <x:c r="P9" s="59" t="n">
        <x:v>3967</x:v>
      </x:c>
    </x:row>
    <x:row r="10">
      <x:c r="A10" s="47" t="str">
        <x:v>EVT-000044</x:v>
      </x:c>
      <x:c r="B10" s="47" t="str">
        <x:v>RUN-TRF-016-20260830T101402788363Z</x:v>
      </x:c>
      <x:c r="C10" s="47" t="str">
        <x:v>TRF-016</x:v>
      </x:c>
      <x:c r="D10" s="93" t="n">
        <x:v>46264.42723765046</x:v>
      </x:c>
      <x:c r="E10" s="47" t="str">
        <x:v>syntax_repair</x:v>
      </x:c>
      <x:c r="F10" s="47" t="str">
        <x:v>gpt-5.6-luna-2026-07-09</x:v>
      </x:c>
      <x:c r="G10" s="47" t="n">
        <x:v>1</x:v>
      </x:c>
      <x:c r="H10" s="47" t="n">
        <x:v>200</x:v>
      </x:c>
      <x:c r="I10" s="47" t="str">
        <x:v>Ocp-Apim-Subscription-Key</x:v>
      </x:c>
      <x:c r="J10" s="86" t="n">
        <x:v>0</x:v>
      </x:c>
      <x:c r="K10" s="86" t="n">
        <x:v>18254.045</x:v>
      </x:c>
      <x:c r="L10" s="85" t="b">
        <x:v>0</x:v>
      </x:c>
      <x:c r="M10" s="47" t="str"/>
      <x:c r="N10" s="59" t="str"/>
      <x:c r="O10" s="59" t="str"/>
      <x:c r="P10" s="59" t="str"/>
    </x:row>
    <x:row r="11">
      <x:c r="A11" s="47" t="str">
        <x:v>EVT-000045</x:v>
      </x:c>
      <x:c r="B11" s="47" t="str">
        <x:v>RUN-TRF-016-20260830T101402788363Z</x:v>
      </x:c>
      <x:c r="C11" s="47" t="str">
        <x:v>TRF-016</x:v>
      </x:c>
      <x:c r="D11" s="93" t="n">
        <x:v>46264.42723767361</x:v>
      </x:c>
      <x:c r="E11" s="47" t="str">
        <x:v>syntax_repair</x:v>
      </x:c>
      <x:c r="F11" s="47" t="str">
        <x:v>gpt-5.6-luna-2026-07-09</x:v>
      </x:c>
      <x:c r="G11" s="47" t="n">
        <x:v>1</x:v>
      </x:c>
      <x:c r="H11" s="47" t="str">
        <x:v>COMPLETED</x:v>
      </x:c>
      <x:c r="I11" s="47" t="str"/>
      <x:c r="J11" s="86" t="n">
        <x:v>0</x:v>
      </x:c>
      <x:c r="K11" s="86" t="n">
        <x:v>18255.602</x:v>
      </x:c>
      <x:c r="L11" s="85" t="b">
        <x:v>0</x:v>
      </x:c>
      <x:c r="M11" s="47" t="str">
        <x:v>resp_011f58d06e2b222b006a94029f24008195a962d215dbcbf64c</x:v>
      </x:c>
      <x:c r="N11" s="59" t="n">
        <x:v>2208</x:v>
      </x:c>
      <x:c r="O11" s="59" t="n">
        <x:v>1883</x:v>
      </x:c>
      <x:c r="P11" s="59" t="n">
        <x:v>4091</x:v>
      </x:c>
    </x:row>
    <x:row r="12">
      <x:c r="A12" s="47" t="str">
        <x:v>EVT-000053</x:v>
      </x:c>
      <x:c r="B12" s="47" t="str">
        <x:v>RUN-TRF-016-20260830T101402788363Z</x:v>
      </x:c>
      <x:c r="C12" s="47" t="str">
        <x:v>TRF-016</x:v>
      </x:c>
      <x:c r="D12" s="93" t="n">
        <x:v>46264.42744255787</x:v>
      </x:c>
      <x:c r="E12" s="47" t="str">
        <x:v>validator</x:v>
      </x:c>
      <x:c r="F12" s="47" t="str">
        <x:v>gpt-5.6-luna-2026-07-09</x:v>
      </x:c>
      <x:c r="G12" s="47" t="n">
        <x:v>1</x:v>
      </x:c>
      <x:c r="H12" s="47" t="n">
        <x:v>200</x:v>
      </x:c>
      <x:c r="I12" s="47" t="str">
        <x:v>Ocp-Apim-Subscription-Key</x:v>
      </x:c>
      <x:c r="J12" s="86" t="n">
        <x:v>0</x:v>
      </x:c>
      <x:c r="K12" s="86" t="n">
        <x:v>17466.202</x:v>
      </x:c>
      <x:c r="L12" s="85" t="b">
        <x:v>0</x:v>
      </x:c>
      <x:c r="M12" s="47" t="str"/>
      <x:c r="N12" s="59" t="str"/>
      <x:c r="O12" s="59" t="str"/>
      <x:c r="P12" s="59" t="str"/>
    </x:row>
    <x:row r="13">
      <x:c r="A13" s="47" t="str">
        <x:v>EVT-000054</x:v>
      </x:c>
      <x:c r="B13" s="47" t="str">
        <x:v>RUN-TRF-016-20260830T101402788363Z</x:v>
      </x:c>
      <x:c r="C13" s="47" t="str">
        <x:v>TRF-016</x:v>
      </x:c>
      <x:c r="D13" s="93" t="n">
        <x:v>46264.42744258102</x:v>
      </x:c>
      <x:c r="E13" s="47" t="str">
        <x:v>validator</x:v>
      </x:c>
      <x:c r="F13" s="47" t="str">
        <x:v>gpt-5.6-luna-2026-07-09</x:v>
      </x:c>
      <x:c r="G13" s="47" t="n">
        <x:v>1</x:v>
      </x:c>
      <x:c r="H13" s="47" t="str">
        <x:v>COMPLETED</x:v>
      </x:c>
      <x:c r="I13" s="47" t="str"/>
      <x:c r="J13" s="86" t="n">
        <x:v>0</x:v>
      </x:c>
      <x:c r="K13" s="86" t="n">
        <x:v>17467.627</x:v>
      </x:c>
      <x:c r="L13" s="85" t="b">
        <x:v>0</x:v>
      </x:c>
      <x:c r="M13" s="47" t="str">
        <x:v>resp_0434bc386e549857006a9402b1ab388196ab3ead6cb95b5462</x:v>
      </x:c>
      <x:c r="N13" s="59" t="n">
        <x:v>11957</x:v>
      </x:c>
      <x:c r="O13" s="59" t="n">
        <x:v>1206</x:v>
      </x:c>
      <x:c r="P13" s="59" t="n">
        <x:v>13163</x:v>
      </x:c>
    </x:row>
    <x:row r="14">
      <x:c r="A14" s="47" t="str">
        <x:v>EVT-000059</x:v>
      </x:c>
      <x:c r="B14" s="47" t="str">
        <x:v>RUN-TRF-016-20260830T101402788363Z</x:v>
      </x:c>
      <x:c r="C14" s="47" t="str">
        <x:v>TRF-016</x:v>
      </x:c>
      <x:c r="D14" s="93" t="n">
        <x:v>46264.42795392361</x:v>
      </x:c>
      <x:c r="E14" s="47" t="str">
        <x:v>generator</x:v>
      </x:c>
      <x:c r="F14" s="47" t="str">
        <x:v>gpt-5.6-luna-2026-07-09</x:v>
      </x:c>
      <x:c r="G14" s="47" t="n">
        <x:v>1</x:v>
      </x:c>
      <x:c r="H14" s="47" t="n">
        <x:v>200</x:v>
      </x:c>
      <x:c r="I14" s="47" t="str">
        <x:v>Ocp-Apim-Subscription-Key</x:v>
      </x:c>
      <x:c r="J14" s="86" t="n">
        <x:v>0</x:v>
      </x:c>
      <x:c r="K14" s="86" t="n">
        <x:v>44190.825</x:v>
      </x:c>
      <x:c r="L14" s="85" t="b">
        <x:v>0</x:v>
      </x:c>
      <x:c r="M14" s="47" t="str"/>
      <x:c r="N14" s="59" t="str"/>
      <x:c r="O14" s="59" t="str"/>
      <x:c r="P14" s="59" t="str"/>
    </x:row>
    <x:row r="15">
      <x:c r="A15" s="47" t="str">
        <x:v>EVT-000060</x:v>
      </x:c>
      <x:c r="B15" s="47" t="str">
        <x:v>RUN-TRF-016-20260830T101402788363Z</x:v>
      </x:c>
      <x:c r="C15" s="47" t="str">
        <x:v>TRF-016</x:v>
      </x:c>
      <x:c r="D15" s="93" t="n">
        <x:v>46264.42795394676</x:v>
      </x:c>
      <x:c r="E15" s="47" t="str">
        <x:v>generator</x:v>
      </x:c>
      <x:c r="F15" s="47" t="str">
        <x:v>gpt-5.6-luna-2026-07-09</x:v>
      </x:c>
      <x:c r="G15" s="47" t="n">
        <x:v>1</x:v>
      </x:c>
      <x:c r="H15" s="47" t="str">
        <x:v>COMPLETED</x:v>
      </x:c>
      <x:c r="I15" s="47" t="str"/>
      <x:c r="J15" s="86" t="n">
        <x:v>0</x:v>
      </x:c>
      <x:c r="K15" s="86" t="n">
        <x:v>44192.407</x:v>
      </x:c>
      <x:c r="L15" s="85" t="b">
        <x:v>0</x:v>
      </x:c>
      <x:c r="M15" s="47" t="str">
        <x:v>resp_0229fb915ec343e7006a9402c3232c8193addbb2c82b108636</x:v>
      </x:c>
      <x:c r="N15" s="59" t="n">
        <x:v>10760</x:v>
      </x:c>
      <x:c r="O15" s="59" t="n">
        <x:v>3933</x:v>
      </x:c>
      <x:c r="P15" s="59" t="n">
        <x:v>14693</x:v>
      </x:c>
    </x:row>
    <x:row r="16">
      <x:c r="A16" s="47" t="str">
        <x:v>EVT-000065</x:v>
      </x:c>
      <x:c r="B16" s="47" t="str">
        <x:v>RUN-TRF-016-20260830T101402788363Z</x:v>
      </x:c>
      <x:c r="C16" s="47" t="str">
        <x:v>TRF-016</x:v>
      </x:c>
      <x:c r="D16" s="93" t="n">
        <x:v>46264.42825228009</x:v>
      </x:c>
      <x:c r="E16" s="47" t="str">
        <x:v>syntax_repair</x:v>
      </x:c>
      <x:c r="F16" s="47" t="str">
        <x:v>gpt-5.6-luna-2026-07-09</x:v>
      </x:c>
      <x:c r="G16" s="47" t="n">
        <x:v>1</x:v>
      </x:c>
      <x:c r="H16" s="47" t="n">
        <x:v>200</x:v>
      </x:c>
      <x:c r="I16" s="47" t="str">
        <x:v>Ocp-Apim-Subscription-Key</x:v>
      </x:c>
      <x:c r="J16" s="86" t="n">
        <x:v>0</x:v>
      </x:c>
      <x:c r="K16" s="86" t="n">
        <x:v>25770.982</x:v>
      </x:c>
      <x:c r="L16" s="85" t="b">
        <x:v>0</x:v>
      </x:c>
      <x:c r="M16" s="47" t="str"/>
      <x:c r="N16" s="59" t="str"/>
      <x:c r="O16" s="59" t="str"/>
      <x:c r="P16" s="59" t="str"/>
    </x:row>
    <x:row r="17">
      <x:c r="A17" s="47" t="str">
        <x:v>EVT-000066</x:v>
      </x:c>
      <x:c r="B17" s="47" t="str">
        <x:v>RUN-TRF-016-20260830T101402788363Z</x:v>
      </x:c>
      <x:c r="C17" s="47" t="str">
        <x:v>TRF-016</x:v>
      </x:c>
      <x:c r="D17" s="93" t="n">
        <x:v>46264.42825229167</x:v>
      </x:c>
      <x:c r="E17" s="47" t="str">
        <x:v>syntax_repair</x:v>
      </x:c>
      <x:c r="F17" s="47" t="str">
        <x:v>gpt-5.6-luna-2026-07-09</x:v>
      </x:c>
      <x:c r="G17" s="47" t="n">
        <x:v>1</x:v>
      </x:c>
      <x:c r="H17" s="47" t="str">
        <x:v>COMPLETED</x:v>
      </x:c>
      <x:c r="I17" s="47" t="str"/>
      <x:c r="J17" s="86" t="n">
        <x:v>0</x:v>
      </x:c>
      <x:c r="K17" s="86" t="n">
        <x:v>25772.511</x:v>
      </x:c>
      <x:c r="L17" s="85" t="b">
        <x:v>0</x:v>
      </x:c>
      <x:c r="M17" s="47" t="str">
        <x:v>resp_08728e34d15557dc006a9402efd7708190b4e98eb5927fcf79</x:v>
      </x:c>
      <x:c r="N17" s="59" t="n">
        <x:v>2823</x:v>
      </x:c>
      <x:c r="O17" s="59" t="n">
        <x:v>2268</x:v>
      </x:c>
      <x:c r="P17" s="59" t="n">
        <x:v>5091</x:v>
      </x:c>
    </x:row>
    <x:row r="18">
      <x:c r="A18" s="47" t="str">
        <x:v>EVT-000074</x:v>
      </x:c>
      <x:c r="B18" s="47" t="str">
        <x:v>RUN-TRF-016-20260830T101402788363Z</x:v>
      </x:c>
      <x:c r="C18" s="47" t="str">
        <x:v>TRF-016</x:v>
      </x:c>
      <x:c r="D18" s="93" t="n">
        <x:v>46264.42859523148</x:v>
      </x:c>
      <x:c r="E18" s="47" t="str">
        <x:v>validator</x:v>
      </x:c>
      <x:c r="F18" s="47" t="str">
        <x:v>gpt-5.6-luna-2026-07-09</x:v>
      </x:c>
      <x:c r="G18" s="47" t="n">
        <x:v>1</x:v>
      </x:c>
      <x:c r="H18" s="47" t="n">
        <x:v>200</x:v>
      </x:c>
      <x:c r="I18" s="47" t="str">
        <x:v>Ocp-Apim-Subscription-Key</x:v>
      </x:c>
      <x:c r="J18" s="86" t="n">
        <x:v>0</x:v>
      </x:c>
      <x:c r="K18" s="86" t="n">
        <x:v>29357.335</x:v>
      </x:c>
      <x:c r="L18" s="85" t="b">
        <x:v>0</x:v>
      </x:c>
      <x:c r="M18" s="47" t="str"/>
      <x:c r="N18" s="59" t="str"/>
      <x:c r="O18" s="59" t="str"/>
      <x:c r="P18" s="59" t="str"/>
    </x:row>
    <x:row r="19">
      <x:c r="A19" s="47" t="str">
        <x:v>EVT-000075</x:v>
      </x:c>
      <x:c r="B19" s="47" t="str">
        <x:v>RUN-TRF-016-20260830T101402788363Z</x:v>
      </x:c>
      <x:c r="C19" s="47" t="str">
        <x:v>TRF-016</x:v>
      </x:c>
      <x:c r="D19" s="93" t="n">
        <x:v>46264.42859525463</x:v>
      </x:c>
      <x:c r="E19" s="47" t="str">
        <x:v>validator</x:v>
      </x:c>
      <x:c r="F19" s="47" t="str">
        <x:v>gpt-5.6-luna-2026-07-09</x:v>
      </x:c>
      <x:c r="G19" s="47" t="n">
        <x:v>1</x:v>
      </x:c>
      <x:c r="H19" s="47" t="str">
        <x:v>COMPLETED</x:v>
      </x:c>
      <x:c r="I19" s="47" t="str"/>
      <x:c r="J19" s="86" t="n">
        <x:v>0</x:v>
      </x:c>
      <x:c r="K19" s="86" t="n">
        <x:v>29358.9</x:v>
      </x:c>
      <x:c r="L19" s="85" t="b">
        <x:v>0</x:v>
      </x:c>
      <x:c r="M19" s="47" t="str">
        <x:v>resp_07ad68f6dd074519006a9403095f0081959aea437e681dee44</x:v>
      </x:c>
      <x:c r="N19" s="59" t="n">
        <x:v>12787</x:v>
      </x:c>
      <x:c r="O19" s="59" t="n">
        <x:v>2204</x:v>
      </x:c>
      <x:c r="P19" s="59" t="n">
        <x:v>14991</x:v>
      </x:c>
    </x:row>
    <x:row r="20">
      <x:c r="A20" s="47" t="str">
        <x:v>EVT-000080</x:v>
      </x:c>
      <x:c r="B20" s="47" t="str">
        <x:v>RUN-TRF-016-20260830T101402788363Z</x:v>
      </x:c>
      <x:c r="C20" s="47" t="str">
        <x:v>TRF-016</x:v>
      </x:c>
      <x:c r="D20" s="93" t="n">
        <x:v>46264.42902072916</x:v>
      </x:c>
      <x:c r="E20" s="47" t="str">
        <x:v>generator</x:v>
      </x:c>
      <x:c r="F20" s="47" t="str">
        <x:v>gpt-5.6-luna-2026-07-09</x:v>
      </x:c>
      <x:c r="G20" s="47" t="n">
        <x:v>1</x:v>
      </x:c>
      <x:c r="H20" s="47" t="n">
        <x:v>200</x:v>
      </x:c>
      <x:c r="I20" s="47" t="str">
        <x:v>Ocp-Apim-Subscription-Key</x:v>
      </x:c>
      <x:c r="J20" s="86" t="n">
        <x:v>0</x:v>
      </x:c>
      <x:c r="K20" s="86" t="n">
        <x:v>36755.269</x:v>
      </x:c>
      <x:c r="L20" s="85" t="b">
        <x:v>0</x:v>
      </x:c>
      <x:c r="M20" s="47" t="str"/>
      <x:c r="N20" s="59" t="str"/>
      <x:c r="O20" s="59" t="str"/>
      <x:c r="P20" s="59" t="str"/>
    </x:row>
    <x:row r="21">
      <x:c r="A21" s="47" t="str">
        <x:v>EVT-000081</x:v>
      </x:c>
      <x:c r="B21" s="47" t="str">
        <x:v>RUN-TRF-016-20260830T101402788363Z</x:v>
      </x:c>
      <x:c r="C21" s="47" t="str">
        <x:v>TRF-016</x:v>
      </x:c>
      <x:c r="D21" s="93" t="n">
        <x:v>46264.42902074074</x:v>
      </x:c>
      <x:c r="E21" s="47" t="str">
        <x:v>generator</x:v>
      </x:c>
      <x:c r="F21" s="47" t="str">
        <x:v>gpt-5.6-luna-2026-07-09</x:v>
      </x:c>
      <x:c r="G21" s="47" t="n">
        <x:v>1</x:v>
      </x:c>
      <x:c r="H21" s="47" t="str">
        <x:v>COMPLETED</x:v>
      </x:c>
      <x:c r="I21" s="47" t="str"/>
      <x:c r="J21" s="86" t="n">
        <x:v>0</x:v>
      </x:c>
      <x:c r="K21" s="86" t="n">
        <x:v>36756.59</x:v>
      </x:c>
      <x:c r="L21" s="85" t="b">
        <x:v>0</x:v>
      </x:c>
      <x:c r="M21" s="47" t="str">
        <x:v>resp_0608969412468f74006a940326bfa4819592b5376f1b22669d</x:v>
      </x:c>
      <x:c r="N21" s="59" t="n">
        <x:v>10877</x:v>
      </x:c>
      <x:c r="O21" s="59" t="n">
        <x:v>3624</x:v>
      </x:c>
      <x:c r="P21" s="59" t="n">
        <x:v>14501</x:v>
      </x:c>
    </x:row>
    <x:row r="22">
      <x:c r="A22" s="47" t="str">
        <x:v>EVT-000086</x:v>
      </x:c>
      <x:c r="B22" s="47" t="str">
        <x:v>RUN-TRF-016-20260830T101402788363Z</x:v>
      </x:c>
      <x:c r="C22" s="47" t="str">
        <x:v>TRF-016</x:v>
      </x:c>
      <x:c r="D22" s="93" t="n">
        <x:v>46264.42923476852</x:v>
      </x:c>
      <x:c r="E22" s="47" t="str">
        <x:v>syntax_repair</x:v>
      </x:c>
      <x:c r="F22" s="47" t="str">
        <x:v>gpt-5.6-luna-2026-07-09</x:v>
      </x:c>
      <x:c r="G22" s="47" t="n">
        <x:v>1</x:v>
      </x:c>
      <x:c r="H22" s="47" t="n">
        <x:v>200</x:v>
      </x:c>
      <x:c r="I22" s="47" t="str">
        <x:v>Ocp-Apim-Subscription-Key</x:v>
      </x:c>
      <x:c r="J22" s="86" t="n">
        <x:v>0</x:v>
      </x:c>
      <x:c r="K22" s="86" t="n">
        <x:v>18483.904</x:v>
      </x:c>
      <x:c r="L22" s="85" t="b">
        <x:v>0</x:v>
      </x:c>
      <x:c r="M22" s="47" t="str"/>
      <x:c r="N22" s="59" t="str"/>
      <x:c r="O22" s="59" t="str"/>
      <x:c r="P22" s="59" t="str"/>
    </x:row>
    <x:row r="23">
      <x:c r="A23" s="47" t="str">
        <x:v>EVT-000087</x:v>
      </x:c>
      <x:c r="B23" s="47" t="str">
        <x:v>RUN-TRF-016-20260830T101402788363Z</x:v>
      </x:c>
      <x:c r="C23" s="47" t="str">
        <x:v>TRF-016</x:v>
      </x:c>
      <x:c r="D23" s="93" t="n">
        <x:v>46264.429234780095</x:v>
      </x:c>
      <x:c r="E23" s="47" t="str">
        <x:v>syntax_repair</x:v>
      </x:c>
      <x:c r="F23" s="47" t="str">
        <x:v>gpt-5.6-luna-2026-07-09</x:v>
      </x:c>
      <x:c r="G23" s="47" t="n">
        <x:v>1</x:v>
      </x:c>
      <x:c r="H23" s="47" t="str">
        <x:v>COMPLETED</x:v>
      </x:c>
      <x:c r="I23" s="47" t="str"/>
      <x:c r="J23" s="86" t="n">
        <x:v>0</x:v>
      </x:c>
      <x:c r="K23" s="86" t="n">
        <x:v>18485.276</x:v>
      </x:c>
      <x:c r="L23" s="85" t="b">
        <x:v>0</x:v>
      </x:c>
      <x:c r="M23" s="47" t="str">
        <x:v>resp_095b49346a5b88a1006a94034b7e3c8194a17e790a27216a41</x:v>
      </x:c>
      <x:c r="N23" s="59" t="n">
        <x:v>2504</x:v>
      </x:c>
      <x:c r="O23" s="59" t="n">
        <x:v>2102</x:v>
      </x:c>
      <x:c r="P23" s="59" t="n">
        <x:v>4606</x:v>
      </x:c>
    </x:row>
    <x:row r="24">
      <x:c r="A24" s="47" t="str">
        <x:v>EVT-000093</x:v>
      </x:c>
      <x:c r="B24" s="47" t="str">
        <x:v>RUN-TRF-016-20260830T101402788363Z</x:v>
      </x:c>
      <x:c r="C24" s="47" t="str">
        <x:v>TRF-016</x:v>
      </x:c>
      <x:c r="D24" s="93" t="n">
        <x:v>46264.42973142361</x:v>
      </x:c>
      <x:c r="E24" s="47" t="str">
        <x:v>syntax_repair</x:v>
      </x:c>
      <x:c r="F24" s="47" t="str">
        <x:v>gpt-5.6-luna-2026-07-09</x:v>
      </x:c>
      <x:c r="G24" s="47" t="n">
        <x:v>1</x:v>
      </x:c>
      <x:c r="H24" s="47" t="n">
        <x:v>200</x:v>
      </x:c>
      <x:c r="I24" s="47" t="str">
        <x:v>Ocp-Apim-Subscription-Key</x:v>
      </x:c>
      <x:c r="J24" s="86" t="n">
        <x:v>0</x:v>
      </x:c>
      <x:c r="K24" s="86" t="n">
        <x:v>42902.345</x:v>
      </x:c>
      <x:c r="L24" s="85" t="b">
        <x:v>0</x:v>
      </x:c>
      <x:c r="M24" s="47" t="str"/>
      <x:c r="N24" s="59" t="str"/>
      <x:c r="O24" s="59" t="str"/>
      <x:c r="P24" s="59" t="str"/>
    </x:row>
    <x:row r="25">
      <x:c r="A25" s="47" t="str">
        <x:v>EVT-000094</x:v>
      </x:c>
      <x:c r="B25" s="47" t="str">
        <x:v>RUN-TRF-016-20260830T101402788363Z</x:v>
      </x:c>
      <x:c r="C25" s="47" t="str">
        <x:v>TRF-016</x:v>
      </x:c>
      <x:c r="D25" s="93" t="n">
        <x:v>46264.429731435186</x:v>
      </x:c>
      <x:c r="E25" s="47" t="str">
        <x:v>syntax_repair</x:v>
      </x:c>
      <x:c r="F25" s="47" t="str">
        <x:v>gpt-5.6-luna-2026-07-09</x:v>
      </x:c>
      <x:c r="G25" s="47" t="n">
        <x:v>1</x:v>
      </x:c>
      <x:c r="H25" s="47" t="str">
        <x:v>COMPLETED</x:v>
      </x:c>
      <x:c r="I25" s="47" t="str"/>
      <x:c r="J25" s="86" t="n">
        <x:v>0</x:v>
      </x:c>
      <x:c r="K25" s="86" t="n">
        <x:v>42903.901</x:v>
      </x:c>
      <x:c r="L25" s="85" t="b">
        <x:v>0</x:v>
      </x:c>
      <x:c r="M25" s="47" t="str">
        <x:v>resp_0da1dde219d3500c006a94035e07b881979a777a06949ade40</x:v>
      </x:c>
      <x:c r="N25" s="59" t="n">
        <x:v>2495</x:v>
      </x:c>
      <x:c r="O25" s="59" t="n">
        <x:v>3853</x:v>
      </x:c>
      <x:c r="P25" s="59" t="n">
        <x:v>6348</x:v>
      </x:c>
    </x:row>
    <x:row r="26">
      <x:c r="A26" s="47" t="str">
        <x:v>EVT-000102</x:v>
      </x:c>
      <x:c r="B26" s="47" t="str">
        <x:v>RUN-TRF-016-20260830T101402788363Z</x:v>
      </x:c>
      <x:c r="C26" s="47" t="str">
        <x:v>TRF-016</x:v>
      </x:c>
      <x:c r="D26" s="93" t="n">
        <x:v>46264.42984859954</x:v>
      </x:c>
      <x:c r="E26" s="47" t="str">
        <x:v>validator</x:v>
      </x:c>
      <x:c r="F26" s="47" t="str">
        <x:v>gpt-5.6-luna-2026-07-09</x:v>
      </x:c>
      <x:c r="G26" s="47" t="n">
        <x:v>1</x:v>
      </x:c>
      <x:c r="H26" s="47" t="n">
        <x:v>200</x:v>
      </x:c>
      <x:c r="I26" s="47" t="str">
        <x:v>Ocp-Apim-Subscription-Key</x:v>
      </x:c>
      <x:c r="J26" s="86" t="n">
        <x:v>0</x:v>
      </x:c>
      <x:c r="K26" s="86" t="n">
        <x:v>9896.5</x:v>
      </x:c>
      <x:c r="L26" s="85" t="b">
        <x:v>0</x:v>
      </x:c>
      <x:c r="M26" s="47" t="str"/>
      <x:c r="N26" s="59" t="str"/>
      <x:c r="O26" s="59" t="str"/>
      <x:c r="P26" s="59" t="str"/>
    </x:row>
    <x:row r="27">
      <x:c r="A27" s="47" t="str">
        <x:v>EVT-000103</x:v>
      </x:c>
      <x:c r="B27" s="47" t="str">
        <x:v>RUN-TRF-016-20260830T101402788363Z</x:v>
      </x:c>
      <x:c r="C27" s="47" t="str">
        <x:v>TRF-016</x:v>
      </x:c>
      <x:c r="D27" s="93" t="n">
        <x:v>46264.429848611115</x:v>
      </x:c>
      <x:c r="E27" s="47" t="str">
        <x:v>validator</x:v>
      </x:c>
      <x:c r="F27" s="47" t="str">
        <x:v>gpt-5.6-luna-2026-07-09</x:v>
      </x:c>
      <x:c r="G27" s="47" t="n">
        <x:v>1</x:v>
      </x:c>
      <x:c r="H27" s="47" t="str">
        <x:v>COMPLETED</x:v>
      </x:c>
      <x:c r="I27" s="47" t="str"/>
      <x:c r="J27" s="86" t="n">
        <x:v>0</x:v>
      </x:c>
      <x:c r="K27" s="86" t="n">
        <x:v>9897.85</x:v>
      </x:c>
      <x:c r="L27" s="85" t="b">
        <x:v>0</x:v>
      </x:c>
      <x:c r="M27" s="47" t="str">
        <x:v>resp_07cd5a387702be7d006a94038922608193a39016dc4e56e1db</x:v>
      </x:c>
      <x:c r="N27" s="59" t="n">
        <x:v>12772</x:v>
      </x:c>
      <x:c r="O27" s="59" t="n">
        <x:v>703</x:v>
      </x:c>
      <x:c r="P27" s="59" t="n">
        <x:v>13475</x:v>
      </x:c>
    </x:row>
    <x:row r="28">
      <x:c r="A28" s="47" t="str">
        <x:v>EVT-000109</x:v>
      </x:c>
      <x:c r="B28" s="47" t="str">
        <x:v>RUN-TRF-016-20260830T101402788363Z</x:v>
      </x:c>
      <x:c r="C28" s="47" t="str">
        <x:v>TRF-016</x:v>
      </x:c>
      <x:c r="D28" s="93" t="n">
        <x:v>46264.42990678241</x:v>
      </x:c>
      <x:c r="E28" s="47" t="str">
        <x:v>vocabulary_matcher</x:v>
      </x:c>
      <x:c r="F28" s="47" t="str">
        <x:v>gpt-5.6-luna-2026-07-09</x:v>
      </x:c>
      <x:c r="G28" s="47" t="n">
        <x:v>1</x:v>
      </x:c>
      <x:c r="H28" s="47" t="n">
        <x:v>200</x:v>
      </x:c>
      <x:c r="I28" s="47" t="str">
        <x:v>Ocp-Apim-Subscription-Key</x:v>
      </x:c>
      <x:c r="J28" s="86" t="n">
        <x:v>0</x:v>
      </x:c>
      <x:c r="K28" s="86" t="n">
        <x:v>3561.308</x:v>
      </x:c>
      <x:c r="L28" s="85" t="b">
        <x:v>0</x:v>
      </x:c>
      <x:c r="M28" s="47" t="str"/>
      <x:c r="N28" s="59" t="str"/>
      <x:c r="O28" s="59" t="str"/>
      <x:c r="P28" s="59" t="str"/>
    </x:row>
    <x:row r="29">
      <x:c r="A29" s="49" t="str">
        <x:v>EVT-000110</x:v>
      </x:c>
      <x:c r="B29" s="49" t="str">
        <x:v>RUN-TRF-016-20260830T101402788363Z</x:v>
      </x:c>
      <x:c r="C29" s="49" t="str">
        <x:v>TRF-016</x:v>
      </x:c>
      <x:c r="D29" s="94" t="n">
        <x:v>46264.42990679398</x:v>
      </x:c>
      <x:c r="E29" s="49" t="str">
        <x:v>vocabulary_matcher</x:v>
      </x:c>
      <x:c r="F29" s="49" t="str">
        <x:v>gpt-5.6-luna-2026-07-09</x:v>
      </x:c>
      <x:c r="G29" s="49" t="n">
        <x:v>1</x:v>
      </x:c>
      <x:c r="H29" s="49" t="str">
        <x:v>COMPLETED</x:v>
      </x:c>
      <x:c r="I29" s="49" t="str"/>
      <x:c r="J29" s="88" t="n">
        <x:v>0</x:v>
      </x:c>
      <x:c r="K29" s="88" t="n">
        <x:v>3562.604</x:v>
      </x:c>
      <x:c r="L29" s="87" t="b">
        <x:v>0</x:v>
      </x:c>
      <x:c r="M29" s="49" t="str">
        <x:v>resp_0f964fcd498fccfc006a9403948a0881949f8b66eafc6d661a</x:v>
      </x:c>
      <x:c r="N29" s="60" t="n">
        <x:v>4035</x:v>
      </x:c>
      <x:c r="O29" s="60" t="n">
        <x:v>222</x:v>
      </x:c>
      <x:c r="P29" s="60" t="n">
        <x:v>4257</x:v>
      </x:c>
    </x:row>
  </x:sheetData>
  <x:conditionalFormatting sqref="H5:H29">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f784eb383de4e6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RUN-TRF-016-20260830T101402788363Z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RUN-TRF-016-20260830T101402788363Z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RUN-TRF-016-20260830T101402788363Z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RUN-TRF-016-20260830T101402788363Z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RUN-TRF-016-20260830T101402788363Z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RUN-TRF-016-20260830T101402788363Z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RUN-TRF-016-20260830T101402788363Z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RUN-TRF-016-20260830T101402788363Z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RUN-TRF-016-20260830T101402788363Z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RUN-TRF-016-20260830T101402788363Z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RUN-TRF-016-20260830T101402788363Z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RUN-TRF-016-20260830T101402788363Z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RUN-TRF-016-20260830T101402788363Z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RUN-TRF-016-20260830T101402788363Z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RUN-TRF-016-20260830T101402788363Z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RUN-TRF-016-20260830T101402788363Z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RUN-TRF-016-20260830T101402788363Z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RUN-TRF-016-20260830T101402788363Z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RUN-TRF-016-20260830T101402788363Z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RUN-TRF-016-20260830T101402788363Z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9" t="str">
        <x:v>RUN-TRF-016-20260830T101402788363Z</x:v>
      </x:c>
      <x:c r="B24" s="49" t="str">
        <x:v>TRF-016</x:v>
      </x:c>
      <x:c r="C24" s="49" t="str">
        <x:v>waterlineDisplacement</x:v>
      </x:c>
      <x:c r="D24" s="50" t="str">
        <x:v>https://w3id.org/nltl/vocab#waterlineDisplacement</x:v>
      </x:c>
      <x:c r="E24" s="49" t="str">
        <x:v>QuantityProperty</x:v>
      </x:c>
      <x:c r="F24" s="49" t="str"/>
      <x:c r="G24" s="49" t="str">
        <x:v>http://qudt.org/schema/qudt/QuantityValue</x:v>
      </x:c>
      <x:c r="H24" s="49" t="str">
        <x:v>http://qudt.org/vocab/unit/TON_Metric</x:v>
      </x:c>
      <x:c r="I24" s="50" t="str">
        <x:v>linked by the locked 313-requirement index</x:v>
      </x:c>
      <x:c r="J24" s="49" t="n">
        <x:v>0</x:v>
      </x:c>
    </x:row>
  </x:sheetData>
  <x:pageMargins left="0.7" right="0.7" top="0.75" bottom="0.75" header="0.3" footer="0.3"/>
  <x:tableParts count="1">
    <x:tablePart xmlns:r="http://schemas.openxmlformats.org/officeDocument/2006/relationships" r:id="R8f3bb49bd18b47c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RUN-TRF-016-20260830T101402788363Z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RUN-TRF-016-20260830T101402788363Z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RUN-TRF-016-20260830T101402788363Z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8c431ad150942a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RUN-TRF-016-20260830T101402788363Z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RUN-TRF-016-20260830T101402788363Z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https://w3id.org/nltl/vocab#displacementAtUpperIceWaterline | https://w3id.org/nltl/vocab#draughtAmidships | https://w3id.org/nltl/vocab#forwardDraught | https://w3id.org/nltl/vocab#freezingPreventionPresent | https://w3id.org/nltl/vocab#hasBallastTank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5" s="46" t="str"/>
      <x:c r="P5" s="46" t="str"/>
      <x:c r="Q5" s="46" t="str"/>
    </x:row>
    <x:row r="6">
      <x:c r="A6" s="47" t="str">
        <x:v>RUN-TRF-016-20260830T101402788363Z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6" s="48" t="str"/>
      <x:c r="P6" s="48" t="str"/>
      <x:c r="Q6" s="48" t="str"/>
    </x:row>
    <x:row r="7">
      <x:c r="A7" s="49" t="str">
        <x:v>RUN-TRF-016-20260830T101402788363Z</x:v>
      </x:c>
      <x:c r="B7" s="49" t="str">
        <x:v>TRF-016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7" s="50" t="str"/>
      <x:c r="P7" s="50" t="str"/>
      <x:c r="Q7" s="50" t="str"/>
    </x:row>
  </x:sheetData>
  <x:pageMargins left="0.7" right="0.7" top="0.75" bottom="0.75" header="0.3" footer="0.3"/>
  <x:tableParts count="1">
    <x:tablePart xmlns:r="http://schemas.openxmlformats.org/officeDocument/2006/relationships" r:id="Ra4fd141fd9cc4c0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RUN-TRF-016-20260830T101402788363Z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RUN-TRF-016-20260830T101402788363Z</x:v>
      </x:c>
      <x:c r="B5" s="45" t="str">
        <x:v>TRF-016</x:v>
      </x:c>
      <x:c r="C5" s="58" t="n">
        <x:v>3</x:v>
      </x:c>
      <x:c r="D5" s="45" t="str">
        <x:v>matcher_search</x:v>
      </x:c>
      <x:c r="E5" s="46" t="str">
        <x:v>Preserve the prior ownership correction: waterlineDisplacement and liwlDraughtAmidships must remain ship-owned. The candidate still fails UIWL selection semantics: it only equates displacementAtUpperIceWaterline to waterlineDisplacement and never verifies that the selected UIWL corresponds to the greatest-displacement UIWL, nor does it provide required input coverage for per-waterline displacement. Request and use a canonical cross-owner path or selection term for comparing each UIWL's displacement while retaining the declared ship owner; do not relocate waterlineDisplacement to iceWaterline. Also make propellerHighestPointSubmerged=true an unconditional ship requirement: the current sh:or permits navigatingInIce=false with the propeller value false. Retain the conditional draught and ballast checks, with explicit required paths and the existing units.</x:v>
      </x:c>
      <x:c r="F5" s="58" t="n">
        <x:v>11</x:v>
      </x:c>
      <x:c r="G5" s="45" t="str"/>
      <x:c r="H5" s="45" t="str"/>
      <x:c r="I5" s="46" t="str"/>
      <x:c r="J5" s="46" t="str"/>
    </x:row>
    <x:row r="6">
      <x:c r="A6" s="49" t="str">
        <x:v>RUN-TRF-016-20260830T101402788363Z</x:v>
      </x:c>
      <x:c r="B6" s="49" t="str">
        <x:v>TRF-016</x:v>
      </x:c>
      <x:c r="C6" s="60" t="n">
        <x:v>3</x:v>
      </x:c>
      <x:c r="D6" s="49" t="str">
        <x:v>matcher_decision</x:v>
      </x:c>
      <x:c r="E6" s="50" t="str"/>
      <x:c r="F6" s="60" t="str"/>
      <x:c r="G6" s="87" t="b">
        <x:v>0</x:v>
      </x:c>
      <x:c r="H6" s="49" t="str"/>
      <x:c r="I6" s="50" t="str"/>
      <x:c r="J6" s="50" t="str">
        <x:v>No supplied candidate verifies the required greatest-displacement UIWL selection or provides per-waterline displacement coverage; selecting an existing displacement term would not resolve the reported cross-owner semantics.</x:v>
      </x:c>
    </x:row>
  </x:sheetData>
  <x:pageMargins left="0.7" right="0.7" top="0.75" bottom="0.75" header="0.3" footer="0.3"/>
  <x:tableParts count="1">
    <x:tablePart xmlns:r="http://schemas.openxmlformats.org/officeDocument/2006/relationships" r:id="R8afead43441f4ab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RUN-TRF-016-20260830T101402788363Z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RUN-TRF-016-20260830T101402788363Z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RUN-TRF-016-20260830T101402788363Z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RUN-TRF-016-20260830T101402788363Z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RUN-TRF-016-20260830T101402788363Z</x:v>
      </x:c>
      <x:c r="B8" s="47" t="str">
        <x:v>TRF-016</x:v>
      </x:c>
      <x:c r="C8" s="59" t="n">
        <x:v>1</x:v>
      </x:c>
      <x:c r="D8" s="47" t="str">
        <x:v>generator_raw_response</x:v>
      </x:c>
      <x:c r="E8" s="48" t="str">
        <x:v>artifacts/attempt_01/generator_raw.txt</x:v>
      </x:c>
      <x:c r="F8" s="47" t="str">
        <x:v>50a8de2286e8a952f0e1e0ace690ac72bc3877e89e68723dbdce3f8ffc7cb233</x:v>
      </x:c>
      <x:c r="G8" s="59" t="n">
        <x:v>6141</x:v>
      </x:c>
    </x:row>
    <x:row r="9">
      <x:c r="A9" s="47" t="str">
        <x:v>RUN-TRF-016-20260830T101402788363Z</x:v>
      </x:c>
      <x:c r="B9" s="47" t="str">
        <x:v>TRF-016</x:v>
      </x:c>
      <x:c r="C9" s="59" t="n">
        <x:v>1</x:v>
      </x:c>
      <x:c r="D9" s="47" t="str">
        <x:v>syntax_repair_prompt</x:v>
      </x:c>
      <x:c r="E9" s="48" t="str">
        <x:v>artifacts/attempt_01/syntax_repair_prompt_01.txt</x:v>
      </x:c>
      <x:c r="F9" s="47" t="str">
        <x:v>b5c735f58bbf9e427d38f45836a5edc8cbcc4bc08aa5a6880b2388a40d6ba164</x:v>
      </x:c>
      <x:c r="G9" s="59" t="n">
        <x:v>7391</x:v>
      </x:c>
    </x:row>
    <x:row r="10">
      <x:c r="A10" s="47" t="str">
        <x:v>RUN-TRF-016-20260830T101402788363Z</x:v>
      </x:c>
      <x:c r="B10" s="47" t="str">
        <x:v>TRF-016</x:v>
      </x:c>
      <x:c r="C10" s="59" t="n">
        <x:v>1</x:v>
      </x:c>
      <x:c r="D10" s="47" t="str">
        <x:v>syntax_repair_raw_response</x:v>
      </x:c>
      <x:c r="E10" s="48" t="str">
        <x:v>artifacts/attempt_01/syntax_repair_raw_01.txt</x:v>
      </x:c>
      <x:c r="F10" s="47" t="str">
        <x:v>9e9c4ec9f8af73024c8afd2544941d4cdc2e9cc7499f9561e22d788e871354d1</x:v>
      </x:c>
      <x:c r="G10" s="59" t="n">
        <x:v>6139</x:v>
      </x:c>
    </x:row>
    <x:row r="11">
      <x:c r="A11" s="47" t="str">
        <x:v>RUN-TRF-016-20260830T101402788363Z</x:v>
      </x:c>
      <x:c r="B11" s="47" t="str">
        <x:v>TRF-016</x:v>
      </x:c>
      <x:c r="C11" s="59" t="n">
        <x:v>1</x:v>
      </x:c>
      <x:c r="D11" s="47" t="str">
        <x:v>syntax_repair_prompt</x:v>
      </x:c>
      <x:c r="E11" s="48" t="str">
        <x:v>artifacts/attempt_01/syntax_repair_prompt_02.txt</x:v>
      </x:c>
      <x:c r="F11" s="47" t="str">
        <x:v>0f9a8dc376f18df2af8e28641614c3ab55f01d89fa8b00575de245c6697dbab5</x:v>
      </x:c>
      <x:c r="G11" s="59" t="n">
        <x:v>7389</x:v>
      </x:c>
    </x:row>
    <x:row r="12">
      <x:c r="A12" s="47" t="str">
        <x:v>RUN-TRF-016-20260830T101402788363Z</x:v>
      </x:c>
      <x:c r="B12" s="47" t="str">
        <x:v>TRF-016</x:v>
      </x:c>
      <x:c r="C12" s="59" t="n">
        <x:v>1</x:v>
      </x:c>
      <x:c r="D12" s="47" t="str">
        <x:v>syntax_repair_raw_response</x:v>
      </x:c>
      <x:c r="E12" s="48" t="str">
        <x:v>artifacts/attempt_01/syntax_repair_raw_02.txt</x:v>
      </x:c>
      <x:c r="F12" s="47" t="str">
        <x:v>9d55b32542761feac37829f18085c080246923a60836067cdf8502e0990ec024</x:v>
      </x:c>
      <x:c r="G12" s="59" t="n">
        <x:v>6138</x:v>
      </x:c>
    </x:row>
    <x:row r="13">
      <x:c r="A13" s="47" t="str">
        <x:v>RUN-TRF-016-20260830T101402788363Z</x:v>
      </x:c>
      <x:c r="B13" s="47" t="str">
        <x:v>TRF-016</x:v>
      </x:c>
      <x:c r="C13" s="59" t="n">
        <x:v>1</x:v>
      </x:c>
      <x:c r="D13" s="47" t="str">
        <x:v>candidate_shape</x:v>
      </x:c>
      <x:c r="E13" s="48" t="str">
        <x:v>artifacts/attempt_01/candidate_shape.ttl</x:v>
      </x:c>
      <x:c r="F13" s="47" t="str">
        <x:v>7f96a91815ff5543905edb402b3bb7b5ea19565a0e4354d7157e41fd5dbc49be</x:v>
      </x:c>
      <x:c r="G13" s="59" t="n">
        <x:v>6113</x:v>
      </x:c>
    </x:row>
    <x:row r="14">
      <x:c r="A14" s="47" t="str">
        <x:v>RUN-TRF-016-20260830T101402788363Z</x:v>
      </x:c>
      <x:c r="B14" s="47" t="str">
        <x:v>TRF-016</x:v>
      </x:c>
      <x:c r="C14" s="59" t="n">
        <x:v>1</x:v>
      </x:c>
      <x:c r="D14" s="47" t="str">
        <x:v>deterministic_validation</x:v>
      </x:c>
      <x:c r="E14" s="48" t="str">
        <x:v>artifacts/attempt_01/deterministic_validation.json</x:v>
      </x:c>
      <x:c r="F14" s="47" t="str">
        <x:v>b7b66b6e076795eb936ab3bd9558e6e4b539095336cea01c62416ee99984eec3</x:v>
      </x:c>
      <x:c r="G14" s="59" t="n">
        <x:v>1178</x:v>
      </x:c>
    </x:row>
    <x:row r="15">
      <x:c r="A15" s="47" t="str">
        <x:v>RUN-TRF-016-20260830T101402788363Z</x:v>
      </x:c>
      <x:c r="B15" s="47" t="str">
        <x:v>TRF-016</x:v>
      </x:c>
      <x:c r="C15" s="59" t="n">
        <x:v>1</x:v>
      </x:c>
      <x:c r="D15" s="47" t="str">
        <x:v>validator_prompt</x:v>
      </x:c>
      <x:c r="E15" s="48" t="str">
        <x:v>artifacts/attempt_01/validator_prompt_01.txt</x:v>
      </x:c>
      <x:c r="F15" s="47" t="str">
        <x:v>8c26ef4e9a1cdadf92521d0566c44833421983db9e1a17c2fdc6aa99605273e2</x:v>
      </x:c>
      <x:c r="G15" s="59" t="n">
        <x:v>46751</x:v>
      </x:c>
    </x:row>
    <x:row r="16">
      <x:c r="A16" s="47" t="str">
        <x:v>RUN-TRF-016-20260830T101402788363Z</x:v>
      </x:c>
      <x:c r="B16" s="47" t="str">
        <x:v>TRF-016</x:v>
      </x:c>
      <x:c r="C16" s="59" t="n">
        <x:v>1</x:v>
      </x:c>
      <x:c r="D16" s="47" t="str">
        <x:v>validator_raw_response</x:v>
      </x:c>
      <x:c r="E16" s="48" t="str">
        <x:v>artifacts/attempt_01/validator_raw_01.txt</x:v>
      </x:c>
      <x:c r="F16" s="47" t="str">
        <x:v>e17e25d086636cee4a9d2f2b62b34f1884993a7c124dd801bb2582efef3e7afe</x:v>
      </x:c>
      <x:c r="G16" s="59" t="n">
        <x:v>828</x:v>
      </x:c>
    </x:row>
    <x:row r="17">
      <x:c r="A17" s="47" t="str">
        <x:v>RUN-TRF-016-20260830T101402788363Z</x:v>
      </x:c>
      <x:c r="B17" s="47" t="str">
        <x:v>TRF-016</x:v>
      </x:c>
      <x:c r="C17" s="59" t="n">
        <x:v>2</x:v>
      </x:c>
      <x:c r="D17" s="47" t="str">
        <x:v>generator_prompt</x:v>
      </x:c>
      <x:c r="E17" s="48" t="str">
        <x:v>artifacts/attempt_02/generator_prompt.txt</x:v>
      </x:c>
      <x:c r="F17" s="47" t="str">
        <x:v>d9d3938370e3a7656c77486bc9fc73155865758ab849066b8dc827ede850f22e</x:v>
      </x:c>
      <x:c r="G17" s="59" t="n">
        <x:v>44615</x:v>
      </x:c>
    </x:row>
    <x:row r="18">
      <x:c r="A18" s="47" t="str">
        <x:v>RUN-TRF-016-20260830T101402788363Z</x:v>
      </x:c>
      <x:c r="B18" s="47" t="str">
        <x:v>TRF-016</x:v>
      </x:c>
      <x:c r="C18" s="59" t="n">
        <x:v>2</x:v>
      </x:c>
      <x:c r="D18" s="47" t="str">
        <x:v>generator_raw_response</x:v>
      </x:c>
      <x:c r="E18" s="48" t="str">
        <x:v>artifacts/attempt_02/generator_raw.txt</x:v>
      </x:c>
      <x:c r="F18" s="47" t="str">
        <x:v>e7b95dab3dc478a02c12d700e5c24abc22688ed03d9ba047d55f8feb14b34a62</x:v>
      </x:c>
      <x:c r="G18" s="59" t="n">
        <x:v>7908</x:v>
      </x:c>
    </x:row>
    <x:row r="19">
      <x:c r="A19" s="47" t="str">
        <x:v>RUN-TRF-016-20260830T101402788363Z</x:v>
      </x:c>
      <x:c r="B19" s="47" t="str">
        <x:v>TRF-016</x:v>
      </x:c>
      <x:c r="C19" s="59" t="n">
        <x:v>2</x:v>
      </x:c>
      <x:c r="D19" s="47" t="str">
        <x:v>syntax_repair_prompt</x:v>
      </x:c>
      <x:c r="E19" s="48" t="str">
        <x:v>artifacts/attempt_02/syntax_repair_prompt_01.txt</x:v>
      </x:c>
      <x:c r="F19" s="47" t="str">
        <x:v>6dcac82b1121ee82b4444f48e606bf887ce8365072ab7a57b1df9b0df3f43f84</x:v>
      </x:c>
      <x:c r="G19" s="59" t="n">
        <x:v>9390</x:v>
      </x:c>
    </x:row>
    <x:row r="20">
      <x:c r="A20" s="47" t="str">
        <x:v>RUN-TRF-016-20260830T101402788363Z</x:v>
      </x:c>
      <x:c r="B20" s="47" t="str">
        <x:v>TRF-016</x:v>
      </x:c>
      <x:c r="C20" s="59" t="n">
        <x:v>2</x:v>
      </x:c>
      <x:c r="D20" s="47" t="str">
        <x:v>syntax_repair_raw_response</x:v>
      </x:c>
      <x:c r="E20" s="48" t="str">
        <x:v>artifacts/attempt_02/syntax_repair_raw_01.txt</x:v>
      </x:c>
      <x:c r="F20" s="47" t="str">
        <x:v>1dc860bd341a118b760180697433067455a90103dfa941b0192a1ff9a23e6873</x:v>
      </x:c>
      <x:c r="G20" s="59" t="n">
        <x:v>7955</x:v>
      </x:c>
    </x:row>
    <x:row r="21">
      <x:c r="A21" s="47" t="str">
        <x:v>RUN-TRF-016-20260830T101402788363Z</x:v>
      </x:c>
      <x:c r="B21" s="47" t="str">
        <x:v>TRF-016</x:v>
      </x:c>
      <x:c r="C21" s="59" t="n">
        <x:v>2</x:v>
      </x:c>
      <x:c r="D21" s="47" t="str">
        <x:v>candidate_shape</x:v>
      </x:c>
      <x:c r="E21" s="48" t="str">
        <x:v>artifacts/attempt_02/candidate_shape.ttl</x:v>
      </x:c>
      <x:c r="F21" s="47" t="str">
        <x:v>19ed2f6e87360e81c63c244cdd34a97f18928d577c4bfc01ba46cd3d93ecdd1a</x:v>
      </x:c>
      <x:c r="G21" s="59" t="n">
        <x:v>7930</x:v>
      </x:c>
    </x:row>
    <x:row r="22">
      <x:c r="A22" s="47" t="str">
        <x:v>RUN-TRF-016-20260830T101402788363Z</x:v>
      </x:c>
      <x:c r="B22" s="47" t="str">
        <x:v>TRF-016</x:v>
      </x:c>
      <x:c r="C22" s="59" t="n">
        <x:v>2</x:v>
      </x:c>
      <x:c r="D22" s="47" t="str">
        <x:v>deterministic_validation</x:v>
      </x:c>
      <x:c r="E22" s="48" t="str">
        <x:v>artifacts/attempt_02/deterministic_validation.json</x:v>
      </x:c>
      <x:c r="F22" s="47" t="str">
        <x:v>129d35ad685a8f4572acd97e798c78b6b27740c7cf73a1fc42a8fb21072ba553</x:v>
      </x:c>
      <x:c r="G22" s="59" t="n">
        <x:v>1234</x:v>
      </x:c>
    </x:row>
    <x:row r="23">
      <x:c r="A23" s="47" t="str">
        <x:v>RUN-TRF-016-20260830T101402788363Z</x:v>
      </x:c>
      <x:c r="B23" s="47" t="str">
        <x:v>TRF-016</x:v>
      </x:c>
      <x:c r="C23" s="59" t="n">
        <x:v>2</x:v>
      </x:c>
      <x:c r="D23" s="47" t="str">
        <x:v>validator_prompt</x:v>
      </x:c>
      <x:c r="E23" s="48" t="str">
        <x:v>artifacts/attempt_02/validator_prompt_01.txt</x:v>
      </x:c>
      <x:c r="F23" s="47" t="str">
        <x:v>df305a8b12bcb80f27cc881d6e3cb3def5fe584add652e95d58a5c9114b89837</x:v>
      </x:c>
      <x:c r="G23" s="59" t="n">
        <x:v>49800</x:v>
      </x:c>
    </x:row>
    <x:row r="24">
      <x:c r="A24" s="47" t="str">
        <x:v>RUN-TRF-016-20260830T101402788363Z</x:v>
      </x:c>
      <x:c r="B24" s="47" t="str">
        <x:v>TRF-016</x:v>
      </x:c>
      <x:c r="C24" s="59" t="n">
        <x:v>2</x:v>
      </x:c>
      <x:c r="D24" s="47" t="str">
        <x:v>validator_raw_response</x:v>
      </x:c>
      <x:c r="E24" s="48" t="str">
        <x:v>artifacts/attempt_02/validator_raw_01.txt</x:v>
      </x:c>
      <x:c r="F24" s="47" t="str">
        <x:v>ed31f412ad680094c6a4edafb76e86d9af9f97b863745056bb51585c65d1009d</x:v>
      </x:c>
      <x:c r="G24" s="59" t="n">
        <x:v>680</x:v>
      </x:c>
    </x:row>
    <x:row r="25">
      <x:c r="A25" s="47" t="str">
        <x:v>RUN-TRF-016-20260830T101402788363Z</x:v>
      </x:c>
      <x:c r="B25" s="47" t="str">
        <x:v>TRF-016</x:v>
      </x:c>
      <x:c r="C25" s="59" t="n">
        <x:v>3</x:v>
      </x:c>
      <x:c r="D25" s="47" t="str">
        <x:v>generator_prompt</x:v>
      </x:c>
      <x:c r="E25" s="48" t="str">
        <x:v>artifacts/attempt_03/generator_prompt.txt</x:v>
      </x:c>
      <x:c r="F25" s="47" t="str">
        <x:v>cadddb8a6d2b8bffd1811909e2f019ecb1cdc410ac6e46aca0f8eaa2e05d66c3</x:v>
      </x:c>
      <x:c r="G25" s="59" t="n">
        <x:v>45238</x:v>
      </x:c>
    </x:row>
    <x:row r="26">
      <x:c r="A26" s="47" t="str">
        <x:v>RUN-TRF-016-20260830T101402788363Z</x:v>
      </x:c>
      <x:c r="B26" s="47" t="str">
        <x:v>TRF-016</x:v>
      </x:c>
      <x:c r="C26" s="59" t="n">
        <x:v>3</x:v>
      </x:c>
      <x:c r="D26" s="47" t="str">
        <x:v>generator_raw_response</x:v>
      </x:c>
      <x:c r="E26" s="48" t="str">
        <x:v>artifacts/attempt_03/generator_raw.txt</x:v>
      </x:c>
      <x:c r="F26" s="47" t="str">
        <x:v>034a4821089c2185c6b2f06d0bf4e9031d5fc8cece4194ff909c043764a4960b</x:v>
      </x:c>
      <x:c r="G26" s="59" t="n">
        <x:v>6952</x:v>
      </x:c>
    </x:row>
    <x:row r="27">
      <x:c r="A27" s="47" t="str">
        <x:v>RUN-TRF-016-20260830T101402788363Z</x:v>
      </x:c>
      <x:c r="B27" s="47" t="str">
        <x:v>TRF-016</x:v>
      </x:c>
      <x:c r="C27" s="59" t="n">
        <x:v>3</x:v>
      </x:c>
      <x:c r="D27" s="47" t="str">
        <x:v>syntax_repair_prompt</x:v>
      </x:c>
      <x:c r="E27" s="48" t="str">
        <x:v>artifacts/attempt_03/syntax_repair_prompt_01.txt</x:v>
      </x:c>
      <x:c r="F27" s="47" t="str">
        <x:v>bfbaa279f58aebacfe4dd2d9c01f1399fab2c9fbf02cdcae2f1ee3af1adce386</x:v>
      </x:c>
      <x:c r="G27" s="59" t="n">
        <x:v>8372</x:v>
      </x:c>
    </x:row>
    <x:row r="28">
      <x:c r="A28" s="47" t="str">
        <x:v>RUN-TRF-016-20260830T101402788363Z</x:v>
      </x:c>
      <x:c r="B28" s="47" t="str">
        <x:v>TRF-016</x:v>
      </x:c>
      <x:c r="C28" s="59" t="n">
        <x:v>3</x:v>
      </x:c>
      <x:c r="D28" s="47" t="str">
        <x:v>syntax_repair_raw_response</x:v>
      </x:c>
      <x:c r="E28" s="48" t="str">
        <x:v>artifacts/attempt_03/syntax_repair_raw_01.txt</x:v>
      </x:c>
      <x:c r="F28" s="47" t="str">
        <x:v>258e38ef317555e2f3991e202267f908db69de35b1f0fff6a927b28ad79f5074</x:v>
      </x:c>
      <x:c r="G28" s="59" t="n">
        <x:v>6952</x:v>
      </x:c>
    </x:row>
    <x:row r="29">
      <x:c r="A29" s="47" t="str">
        <x:v>RUN-TRF-016-20260830T101402788363Z</x:v>
      </x:c>
      <x:c r="B29" s="47" t="str">
        <x:v>TRF-016</x:v>
      </x:c>
      <x:c r="C29" s="59" t="n">
        <x:v>3</x:v>
      </x:c>
      <x:c r="D29" s="47" t="str">
        <x:v>syntax_repair_prompt</x:v>
      </x:c>
      <x:c r="E29" s="48" t="str">
        <x:v>artifacts/attempt_03/syntax_repair_prompt_02.txt</x:v>
      </x:c>
      <x:c r="F29" s="47" t="str">
        <x:v>fe859c13ec678435766c21befe001855d9755b08b87b8afff9f5d41cd503ec8e</x:v>
      </x:c>
      <x:c r="G29" s="59" t="n">
        <x:v>8336</x:v>
      </x:c>
    </x:row>
    <x:row r="30">
      <x:c r="A30" s="47" t="str">
        <x:v>RUN-TRF-016-20260830T101402788363Z</x:v>
      </x:c>
      <x:c r="B30" s="47" t="str">
        <x:v>TRF-016</x:v>
      </x:c>
      <x:c r="C30" s="59" t="n">
        <x:v>3</x:v>
      </x:c>
      <x:c r="D30" s="47" t="str">
        <x:v>syntax_repair_raw_response</x:v>
      </x:c>
      <x:c r="E30" s="48" t="str">
        <x:v>artifacts/attempt_03/syntax_repair_raw_02.txt</x:v>
      </x:c>
      <x:c r="F30" s="47" t="str">
        <x:v>824fc19f87d9bc7f3973cd8f687dcadb04df829f4ee148dbf9232d705e6c769e</x:v>
      </x:c>
      <x:c r="G30" s="59" t="n">
        <x:v>6906</x:v>
      </x:c>
    </x:row>
    <x:row r="31">
      <x:c r="A31" s="47" t="str">
        <x:v>RUN-TRF-016-20260830T101402788363Z</x:v>
      </x:c>
      <x:c r="B31" s="47" t="str">
        <x:v>TRF-016</x:v>
      </x:c>
      <x:c r="C31" s="59" t="n">
        <x:v>3</x:v>
      </x:c>
      <x:c r="D31" s="47" t="str">
        <x:v>candidate_shape</x:v>
      </x:c>
      <x:c r="E31" s="48" t="str">
        <x:v>artifacts/attempt_03/candidate_shape.ttl</x:v>
      </x:c>
      <x:c r="F31" s="47" t="str">
        <x:v>65df06b8614839515e9fa9fa1fcb147f519e85e75cf08f960d042ad0e7675634</x:v>
      </x:c>
      <x:c r="G31" s="59" t="n">
        <x:v>6881</x:v>
      </x:c>
    </x:row>
    <x:row r="32">
      <x:c r="A32" s="47" t="str">
        <x:v>RUN-TRF-016-20260830T101402788363Z</x:v>
      </x:c>
      <x:c r="B32" s="47" t="str">
        <x:v>TRF-016</x:v>
      </x:c>
      <x:c r="C32" s="59" t="n">
        <x:v>3</x:v>
      </x:c>
      <x:c r="D32" s="47" t="str">
        <x:v>deterministic_validation</x:v>
      </x:c>
      <x:c r="E32" s="48" t="str">
        <x:v>artifacts/attempt_03/deterministic_validation.json</x:v>
      </x:c>
      <x:c r="F32" s="47" t="str">
        <x:v>38c55e37150bfe2f074b40c9516f6d4f4be9a3c6469cd42b1d8d8e20acdae776</x:v>
      </x:c>
      <x:c r="G32" s="59" t="n">
        <x:v>1329</x:v>
      </x:c>
    </x:row>
    <x:row r="33">
      <x:c r="A33" s="47" t="str">
        <x:v>RUN-TRF-016-20260830T101402788363Z</x:v>
      </x:c>
      <x:c r="B33" s="47" t="str">
        <x:v>TRF-016</x:v>
      </x:c>
      <x:c r="C33" s="59" t="n">
        <x:v>3</x:v>
      </x:c>
      <x:c r="D33" s="47" t="str">
        <x:v>validator_prompt</x:v>
      </x:c>
      <x:c r="E33" s="48" t="str">
        <x:v>artifacts/attempt_03/validator_prompt_01.txt</x:v>
      </x:c>
      <x:c r="F33" s="47" t="str">
        <x:v>17b3c973af83e50635c248a430a197c1bf6ec83af7a95539fb2a86870607e277</x:v>
      </x:c>
      <x:c r="G33" s="59" t="n">
        <x:v>50011</x:v>
      </x:c>
    </x:row>
    <x:row r="34">
      <x:c r="A34" s="47" t="str">
        <x:v>RUN-TRF-016-20260830T101402788363Z</x:v>
      </x:c>
      <x:c r="B34" s="47" t="str">
        <x:v>TRF-016</x:v>
      </x:c>
      <x:c r="C34" s="59" t="n">
        <x:v>3</x:v>
      </x:c>
      <x:c r="D34" s="47" t="str">
        <x:v>validator_raw_response</x:v>
      </x:c>
      <x:c r="E34" s="48" t="str">
        <x:v>artifacts/attempt_03/validator_raw_01.txt</x:v>
      </x:c>
      <x:c r="F34" s="47" t="str">
        <x:v>613efdfb5d3c0842b5b4bc5112e2e7ed3a73c8fb71314e4ba434fb0bf99a4795</x:v>
      </x:c>
      <x:c r="G34" s="59" t="n">
        <x:v>927</x:v>
      </x:c>
    </x:row>
    <x:row r="35">
      <x:c r="A35" s="47" t="str">
        <x:v>RUN-TRF-016-20260830T101402788363Z</x:v>
      </x:c>
      <x:c r="B35" s="47" t="str">
        <x:v>TRF-016</x:v>
      </x:c>
      <x:c r="C35" s="59" t="n">
        <x:v>3</x:v>
      </x:c>
      <x:c r="D35" s="47" t="str">
        <x:v>matcher_candidates</x:v>
      </x:c>
      <x:c r="E35" s="48" t="str">
        <x:v>artifacts/attempt_03/matcher_candidates.json</x:v>
      </x:c>
      <x:c r="F35" s="47" t="str">
        <x:v>a8bdb0547e1fa0c3781a3403acbe2178d35617ac82869d779e17044829c7fb38</x:v>
      </x:c>
      <x:c r="G35" s="59" t="n">
        <x:v>7957</x:v>
      </x:c>
    </x:row>
    <x:row r="36">
      <x:c r="A36" s="47" t="str">
        <x:v>RUN-TRF-016-20260830T101402788363Z</x:v>
      </x:c>
      <x:c r="B36" s="47" t="str">
        <x:v>TRF-016</x:v>
      </x:c>
      <x:c r="C36" s="59" t="n">
        <x:v>3</x:v>
      </x:c>
      <x:c r="D36" s="47" t="str">
        <x:v>vocabulary_matcher_prompt</x:v>
      </x:c>
      <x:c r="E36" s="48" t="str">
        <x:v>artifacts/attempt_03/vocabulary_matcher_prompt_01.txt</x:v>
      </x:c>
      <x:c r="F36" s="47" t="str">
        <x:v>16f08ddc5ab3bb1a3d261b8ce67b6b2c58a1b9121d9e5aca529002c784404fa2</x:v>
      </x:c>
      <x:c r="G36" s="59" t="n">
        <x:v>14884</x:v>
      </x:c>
    </x:row>
    <x:row r="37">
      <x:c r="A37" s="49" t="str">
        <x:v>RUN-TRF-016-20260830T101402788363Z</x:v>
      </x:c>
      <x:c r="B37" s="49" t="str">
        <x:v>TRF-016</x:v>
      </x:c>
      <x:c r="C37" s="60" t="n">
        <x:v>3</x:v>
      </x:c>
      <x:c r="D37" s="49" t="str">
        <x:v>vocabulary_matcher_raw_response</x:v>
      </x:c>
      <x:c r="E37" s="50" t="str">
        <x:v>artifacts/attempt_03/vocabulary_matcher_raw_01.txt</x:v>
      </x:c>
      <x:c r="F37" s="49" t="str">
        <x:v>2d286e9b9dd6d18b45a3886384c489cdec71f913652d80dcc9415a424f485819</x:v>
      </x:c>
      <x:c r="G37" s="60" t="n">
        <x:v>312</x:v>
      </x:c>
    </x:row>
  </x:sheetData>
  <x:pageMargins left="0.7" right="0.7" top="0.75" bottom="0.75" header="0.3" footer="0.3"/>
  <x:tableParts count="1">
    <x:tablePart xmlns:r="http://schemas.openxmlformats.org/officeDocument/2006/relationships" r:id="Re4f26b81eead446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RUN-TRF-016-20260830T101402788363Z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RUN-TRF-016-20260830T101402788363Z</x:v>
      </x:c>
      <x:c r="B5" s="69" t="str">
        <x:v>TRF-016</x:v>
      </x:c>
      <x:c r="C5" s="71" t="n">
        <x:v>3</x:v>
      </x:c>
      <x:c r="D5" s="69" t="str">
        <x:v>TERM_RESOLUTION_UNRESOLVED</x:v>
      </x:c>
      <x:c r="E5" s="73" t="str">
        <x:v>No supplied candidate verifies the required greatest-displacement UIWL selection or provides per-waterline displacement coverage; selecting an existing displacement term would not resolve the reported cross-owner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67eab4bfc2e4e7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RUN-TRF-016-20260830T101402788363Z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