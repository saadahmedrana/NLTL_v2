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3366319a1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53ba7783f04416"/>
    <x:sheet xmlns:r="http://schemas.openxmlformats.org/officeDocument/2006/relationships" name="README" sheetId="2" r:id="Rc7fc3f569014466d"/>
    <x:sheet xmlns:r="http://schemas.openxmlformats.org/officeDocument/2006/relationships" name="REGULATION_QUEUE" sheetId="3" r:id="R4ab4bb2f73f145fe"/>
    <x:sheet xmlns:r="http://schemas.openxmlformats.org/officeDocument/2006/relationships" name="RUNS" sheetId="4" r:id="Rcac5f0fa32c3467f"/>
    <x:sheet xmlns:r="http://schemas.openxmlformats.org/officeDocument/2006/relationships" name="ITERATIONS" sheetId="5" r:id="R5d01a8dd166b4823"/>
    <x:sheet xmlns:r="http://schemas.openxmlformats.org/officeDocument/2006/relationships" name="API_CALLS" sheetId="6" r:id="Rceaecb814cad4ff1"/>
    <x:sheet xmlns:r="http://schemas.openxmlformats.org/officeDocument/2006/relationships" name="TERM_RETRIEVAL" sheetId="7" r:id="Rc4eaac5c741c454c"/>
    <x:sheet xmlns:r="http://schemas.openxmlformats.org/officeDocument/2006/relationships" name="FEW_SHOT_SELECTION" sheetId="8" r:id="R5ed8fc354b5a429b"/>
    <x:sheet xmlns:r="http://schemas.openxmlformats.org/officeDocument/2006/relationships" name="VALIDATION" sheetId="9" r:id="Rdc4c407903bb46c6"/>
    <x:sheet xmlns:r="http://schemas.openxmlformats.org/officeDocument/2006/relationships" name="VOCAB_MATCHES" sheetId="10" r:id="R3cc3569b6f554f96"/>
    <x:sheet xmlns:r="http://schemas.openxmlformats.org/officeDocument/2006/relationships" name="ARTIFACTS" sheetId="11" r:id="R657e12e025b049eb"/>
    <x:sheet xmlns:r="http://schemas.openxmlformats.org/officeDocument/2006/relationships" name="UNRESOLVED" sheetId="12" r:id="Re53c63cb526040e7"/>
    <x:sheet xmlns:r="http://schemas.openxmlformats.org/officeDocument/2006/relationships" name="RDF_TEST_QUEUE" sheetId="13" r:id="R5811a3ede2e7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ec5b690ce4d93" /><Relationship Type="http://schemas.openxmlformats.org/officeDocument/2006/relationships/theme" Target="/xl/theme/theme1.xml" Id="Rae9436cbbdd54b46" /><Relationship Type="http://schemas.microsoft.com/office/2022/11/relationships/FeaturePropertyBag" Target="/xl/featurePropertyBag/featurePropertyBag.xml" Id="Ra692b12391bf44b5" /><Relationship Type="http://schemas.openxmlformats.org/officeDocument/2006/relationships/sharedStrings" Target="/xl/sharedStrings.xml" Id="R691d6f3838a84e56" /><Relationship Type="http://schemas.openxmlformats.org/officeDocument/2006/relationships/worksheet" Target="/xl/worksheets/sheet1.xml" Id="R2353ba7783f04416" /><Relationship Type="http://schemas.openxmlformats.org/officeDocument/2006/relationships/worksheet" Target="/xl/worksheets/sheet2.xml" Id="Rc7fc3f569014466d" /><Relationship Type="http://schemas.openxmlformats.org/officeDocument/2006/relationships/worksheet" Target="/xl/worksheets/sheet3.xml" Id="R4ab4bb2f73f145fe" /><Relationship Type="http://schemas.openxmlformats.org/officeDocument/2006/relationships/worksheet" Target="/xl/worksheets/sheet4.xml" Id="Rcac5f0fa32c3467f" /><Relationship Type="http://schemas.openxmlformats.org/officeDocument/2006/relationships/worksheet" Target="/xl/worksheets/sheet5.xml" Id="R5d01a8dd166b4823" /><Relationship Type="http://schemas.openxmlformats.org/officeDocument/2006/relationships/worksheet" Target="/xl/worksheets/sheet6.xml" Id="Rceaecb814cad4ff1" /><Relationship Type="http://schemas.openxmlformats.org/officeDocument/2006/relationships/worksheet" Target="/xl/worksheets/sheet7.xml" Id="Rc4eaac5c741c454c" /><Relationship Type="http://schemas.openxmlformats.org/officeDocument/2006/relationships/worksheet" Target="/xl/worksheets/sheet8.xml" Id="R5ed8fc354b5a429b" /><Relationship Type="http://schemas.openxmlformats.org/officeDocument/2006/relationships/worksheet" Target="/xl/worksheets/sheet9.xml" Id="Rdc4c407903bb46c6" /><Relationship Type="http://schemas.openxmlformats.org/officeDocument/2006/relationships/worksheet" Target="/xl/worksheets/sheet10.xml" Id="R3cc3569b6f554f96" /><Relationship Type="http://schemas.openxmlformats.org/officeDocument/2006/relationships/worksheet" Target="/xl/worksheets/sheet11.xml" Id="R657e12e025b049eb" /><Relationship Type="http://schemas.openxmlformats.org/officeDocument/2006/relationships/worksheet" Target="/xl/worksheets/sheet12.xml" Id="Re53c63cb526040e7" /><Relationship Type="http://schemas.openxmlformats.org/officeDocument/2006/relationships/worksheet" Target="/xl/worksheets/sheet13.xml" Id="R5811a3ede2e74f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c9f02c99d048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42a7a0b8b042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5258f4a83c4a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666ffed1ec4d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f8700f053447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2a66e1872249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5e4f250ff543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9a52428bd04b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7a82d31ab5471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4704cf2b30c4f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RUN-TRF-078-20260830T115345068656Z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26037.594874999995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RUN-TRF-078-20260830T115345068656Z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c9f02c99d048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RUN-TRF-078-20260830T115345068656Z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GENERATION_ACCEPTED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42a7a0b8b042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RUN-TRF-078-20260830T115345068656Z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RUN-TRF-078-20260830T115345068656Z</x:v>
      </x:c>
      <x:c r="C5" s="69" t="str">
        <x:v>TRF-078</x:v>
      </x:c>
      <x:c r="D5" s="70" t="n">
        <x:v>46264.495660532404</x:v>
      </x:c>
      <x:c r="E5" s="70" t="n">
        <x:v>46264.496871076386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Freeze this candidate: it correctly targets ship, models distinct Table 6-6 and Table 6-7 lookup cases with their required selection relationships and unit-bearing operands, and checks the DIRECT_CALCULATION formula using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5258f4a83c4a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RUN-TRF-078-20260830T115345068656Z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RUN-TRF-078-20260830T115345068656Z</x:v>
      </x:c>
      <x:c r="B5" s="45" t="str">
        <x:v>TRF-078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formula SPARQL constraint: iceLoadCycleCount is the supplied xsd:integer literal, not a QuantityValue node. The query first binds ?reported to that literal, then incorrectly treats the same value as ?reportedValueNode and requires it to have qudt:numericValue, so the constraint can pass accidentally. Remove the ?reportedValueNode/qudt:numericValue path and compare the directly bound reported literal (e.g., xsd:decimal(?reported)) against the expected product using the existing expected-result-scaled tolerance. Also enforce exactly one Table 6-6 case and exactly one Table 6-7 case if the stated one-of-each obligation is intended; sh:minCount 2 plus existence checks currently permits extra lookup cases.</x:v>
      </x:c>
      <x:c r="I5" s="81" t="n">
        <x:v>28805.467</x:v>
      </x:c>
      <x:c r="J5" s="81" t="n">
        <x:v>14013.223</x:v>
      </x:c>
    </x:row>
    <x:row r="6">
      <x:c r="A6" s="49" t="str">
        <x:v>RUN-TRF-078-20260830T115345068656Z</x:v>
      </x:c>
      <x:c r="B6" s="49" t="str">
        <x:v>TRF-078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Freeze this candidate: it correctly targets ship, models distinct Table 6-6 and Table 6-7 lookup cases with their required selection relationships and unit-bearing operands, and checks the DIRECT_CALCULATION formula using expected-result-scaled tolerance.</x:v>
      </x:c>
      <x:c r="I6" s="83" t="n">
        <x:v>40092.527</x:v>
      </x:c>
      <x:c r="J6" s="83" t="n">
        <x:v>21242.376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666ffed1ec4d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RUN-TRF-078-20260830T115345068656Z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RUN-TRF-078-20260830T115345068656Z</x:v>
      </x:c>
      <x:c r="C5" s="45" t="str">
        <x:v>TRF-078</x:v>
      </x:c>
      <x:c r="D5" s="90" t="n">
        <x:v>46264.49599393518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28803.834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EVT-000045</x:v>
      </x:c>
      <x:c r="B6" s="47" t="str">
        <x:v>RUN-TRF-078-20260830T115345068656Z</x:v>
      </x:c>
      <x:c r="C6" s="47" t="str">
        <x:v>TRF-078</x:v>
      </x:c>
      <x:c r="D6" s="91" t="n">
        <x:v>46264.495993958335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28805.467</x:v>
      </x:c>
      <x:c r="L6" s="93" t="b">
        <x:v>0</x:v>
      </x:c>
      <x:c r="M6" s="47" t="str">
        <x:v>resp_003b1447a155705e006a9419c93dcc81949d2b42f2eb6bddae</x:v>
      </x:c>
      <x:c r="N6" s="59" t="n">
        <x:v>15394</x:v>
      </x:c>
      <x:c r="O6" s="59" t="n">
        <x:v>2819</x:v>
      </x:c>
      <x:c r="P6" s="59" t="n">
        <x:v>18213</x:v>
      </x:c>
    </x:row>
    <x:row r="7">
      <x:c r="A7" s="47" t="str">
        <x:v>EVT-000052</x:v>
      </x:c>
      <x:c r="B7" s="47" t="str">
        <x:v>RUN-TRF-078-20260830T115345068656Z</x:v>
      </x:c>
      <x:c r="C7" s="47" t="str">
        <x:v>TRF-078</x:v>
      </x:c>
      <x:c r="D7" s="91" t="n">
        <x:v>46264.49615892361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14011.64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EVT-000053</x:v>
      </x:c>
      <x:c r="B8" s="47" t="str">
        <x:v>RUN-TRF-078-20260830T115345068656Z</x:v>
      </x:c>
      <x:c r="C8" s="47" t="str">
        <x:v>TRF-078</x:v>
      </x:c>
      <x:c r="D8" s="91" t="n">
        <x:v>46264.49615894676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14013.223</x:v>
      </x:c>
      <x:c r="L8" s="93" t="b">
        <x:v>0</x:v>
      </x:c>
      <x:c r="M8" s="47" t="str">
        <x:v>resp_0c902349ee2bbc6f006a9419e63e388196a5654b218fe3ccb2</x:v>
      </x:c>
      <x:c r="N8" s="59" t="n">
        <x:v>17131</x:v>
      </x:c>
      <x:c r="O8" s="59" t="n">
        <x:v>1208</x:v>
      </x:c>
      <x:c r="P8" s="59" t="n">
        <x:v>18339</x:v>
      </x:c>
    </x:row>
    <x:row r="9">
      <x:c r="A9" s="47" t="str">
        <x:v>EVT-000058</x:v>
      </x:c>
      <x:c r="B9" s="47" t="str">
        <x:v>RUN-TRF-078-20260830T115345068656Z</x:v>
      </x:c>
      <x:c r="C9" s="47" t="str">
        <x:v>TRF-078</x:v>
      </x:c>
      <x:c r="D9" s="91" t="n">
        <x:v>46264.49662302083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40090.947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RUN-TRF-078-20260830T115345068656Z</x:v>
      </x:c>
      <x:c r="C10" s="47" t="str">
        <x:v>TRF-078</x:v>
      </x:c>
      <x:c r="D10" s="91" t="n">
        <x:v>46264.496623032406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40092.527</x:v>
      </x:c>
      <x:c r="L10" s="93" t="b">
        <x:v>0</x:v>
      </x:c>
      <x:c r="M10" s="47" t="str">
        <x:v>resp_025adc4f2b9d9dd0006a9419f451588195adad267b187fcc07</x:v>
      </x:c>
      <x:c r="N10" s="59" t="n">
        <x:v>15547</x:v>
      </x:c>
      <x:c r="O10" s="59" t="n">
        <x:v>3986</x:v>
      </x:c>
      <x:c r="P10" s="59" t="n">
        <x:v>19533</x:v>
      </x:c>
    </x:row>
    <x:row r="11">
      <x:c r="A11" s="47" t="str">
        <x:v>EVT-000066</x:v>
      </x:c>
      <x:c r="B11" s="47" t="str">
        <x:v>RUN-TRF-078-20260830T115345068656Z</x:v>
      </x:c>
      <x:c r="C11" s="47" t="str">
        <x:v>TRF-078</x:v>
      </x:c>
      <x:c r="D11" s="91" t="n">
        <x:v>46264.496871006944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21240.745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EVT-000067</x:v>
      </x:c>
      <x:c r="B12" s="49" t="str">
        <x:v>RUN-TRF-078-20260830T115345068656Z</x:v>
      </x:c>
      <x:c r="C12" s="49" t="str">
        <x:v>TRF-078</x:v>
      </x:c>
      <x:c r="D12" s="94" t="n">
        <x:v>46264.49687101852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21242.376</x:v>
      </x:c>
      <x:c r="L12" s="82" t="b">
        <x:v>0</x:v>
      </x:c>
      <x:c r="M12" s="49" t="str">
        <x:v>resp_0dd9a115133b97c4006a941a1c98f88193ae0d6d4d336e910a</x:v>
      </x:c>
      <x:c r="N12" s="60" t="n">
        <x:v>17609</x:v>
      </x:c>
      <x:c r="O12" s="60" t="n">
        <x:v>1511</x:v>
      </x:c>
      <x:c r="P12" s="60" t="n">
        <x:v>19120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f8700f053447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RUN-TRF-078-20260830T115345068656Z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RUN-TRF-078-20260830T115345068656Z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RUN-TRF-078-20260830T115345068656Z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RUN-TRF-078-20260830T115345068656Z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RUN-TRF-078-20260830T115345068656Z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RUN-TRF-078-20260830T115345068656Z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RUN-TRF-078-20260830T115345068656Z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RUN-TRF-078-20260830T115345068656Z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RUN-TRF-078-20260830T115345068656Z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RUN-TRF-078-20260830T115345068656Z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RUN-TRF-078-20260830T115345068656Z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RUN-TRF-078-20260830T115345068656Z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RUN-TRF-078-20260830T115345068656Z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RUN-TRF-078-20260830T115345068656Z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RUN-TRF-078-20260830T115345068656Z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RUN-TRF-078-20260830T115345068656Z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RUN-TRF-078-20260830T115345068656Z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RUN-TRF-078-20260830T115345068656Z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RUN-TRF-078-20260830T115345068656Z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RUN-TRF-078-20260830T115345068656Z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RUN-TRF-078-20260830T115345068656Z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RUN-TRF-078-20260830T115345068656Z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RUN-TRF-078-20260830T115345068656Z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RUN-TRF-078-20260830T115345068656Z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RUN-TRF-078-20260830T115345068656Z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RUN-TRF-078-20260830T115345068656Z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RUN-TRF-078-20260830T115345068656Z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RUN-TRF-078-20260830T115345068656Z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RUN-TRF-078-20260830T115345068656Z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RUN-TRF-078-20260830T115345068656Z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RUN-TRF-078-20260830T115345068656Z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RUN-TRF-078-20260830T115345068656Z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RUN-TRF-078-20260830T115345068656Z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RUN-TRF-078-20260830T115345068656Z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RUN-TRF-078-20260830T115345068656Z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RUN-TRF-078-20260830T115345068656Z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RUN-TRF-078-20260830T115345068656Z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2a66e1872249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RUN-TRF-078-20260830T115345068656Z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RUN-TRF-078-20260830T115345068656Z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7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RUN-TRF-078-20260830T115345068656Z</x:v>
      </x:c>
      <x:c r="B6" s="49" t="str">
        <x:v>TRF-078</x:v>
      </x:c>
      <x:c r="C6" s="49" t="str">
        <x:v>FS-REL-01</x:v>
      </x:c>
      <x:c r="D6" s="49" t="str">
        <x:v>entity_relation</x:v>
      </x:c>
      <x:c r="E6" s="98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5e4f250ff543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RUN-TRF-078-20260830T115345068656Z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RUN-TRF-078-20260830T115345068656Z</x:v>
      </x:c>
      <x:c r="B5" s="45" t="str">
        <x:v>TRF-078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https://w3id.org/nltl/vocab#hasTableLookupCase | https://w3id.org/nltl/vocab#iceClass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5" s="46" t="str"/>
      <x:c r="P5" s="46" t="str"/>
      <x:c r="Q5" s="46" t="str"/>
    </x:row>
    <x:row r="6">
      <x:c r="A6" s="49" t="str">
        <x:v>RUN-TRF-078-20260830T115345068656Z</x:v>
      </x:c>
      <x:c r="B6" s="49" t="str">
        <x:v>TRF-078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https://w3id.org/nltl/vocab#hasTableLookupCase | https://w3id.org/nltl/vocab#iceClass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09a52428bd04b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RUN-TRF-078-20260830T115345068656Z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RUN-TRF-078-20260830T115345068656Z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RUN-TRF-078-20260830T115345068656Z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RUN-TRF-078-20260830T115345068656Z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RUN-TRF-078-20260830T115345068656Z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RUN-TRF-078-20260830T115345068656Z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035f579d1b48c4d45b156769d02d0345bc7adaefdeadd67b0e48c63ca6d63c63</x:v>
      </x:c>
      <x:c r="G8" s="59" t="n">
        <x:v>7917</x:v>
      </x:c>
    </x:row>
    <x:row r="9">
      <x:c r="A9" s="47" t="str">
        <x:v>RUN-TRF-078-20260830T115345068656Z</x:v>
      </x:c>
      <x:c r="B9" s="47" t="str">
        <x:v>TRF-078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ca26c7621943c1fea5e7470f9dc81f3f52eb304695c95eac3a675fceb7b812d8</x:v>
      </x:c>
      <x:c r="G9" s="59" t="n">
        <x:v>7892</x:v>
      </x:c>
    </x:row>
    <x:row r="10">
      <x:c r="A10" s="47" t="str">
        <x:v>RUN-TRF-078-20260830T115345068656Z</x:v>
      </x:c>
      <x:c r="B10" s="47" t="str">
        <x:v>TRF-078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ca608e613e5ed40d62bb4aa471aa43d08a30d986581069fd135a222110835f34</x:v>
      </x:c>
      <x:c r="G10" s="59" t="n">
        <x:v>1341</x:v>
      </x:c>
    </x:row>
    <x:row r="11">
      <x:c r="A11" s="47" t="str">
        <x:v>RUN-TRF-078-20260830T115345068656Z</x:v>
      </x:c>
      <x:c r="B11" s="47" t="str">
        <x:v>TRF-078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1a3f9f377117a4400cd36c5dd5116f8a9c4fe3c99b4768d338fde609370f81c6</x:v>
      </x:c>
      <x:c r="G11" s="59" t="n">
        <x:v>67756</x:v>
      </x:c>
    </x:row>
    <x:row r="12">
      <x:c r="A12" s="47" t="str">
        <x:v>RUN-TRF-078-20260830T115345068656Z</x:v>
      </x:c>
      <x:c r="B12" s="47" t="str">
        <x:v>TRF-078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800486a8b38dc8006c2542cd34ca988c3cef9188bb00f2e965fb5daca7b56bb5</x:v>
      </x:c>
      <x:c r="G12" s="59" t="n">
        <x:v>785</x:v>
      </x:c>
    </x:row>
    <x:row r="13">
      <x:c r="A13" s="47" t="str">
        <x:v>RUN-TRF-078-20260830T115345068656Z</x:v>
      </x:c>
      <x:c r="B13" s="47" t="str">
        <x:v>TRF-078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3cea66744d63ec361ea782406cb277427f74b34e67c6fb6859ee31a76a9e1cfb</x:v>
      </x:c>
      <x:c r="G13" s="59" t="n">
        <x:v>63172</x:v>
      </x:c>
    </x:row>
    <x:row r="14">
      <x:c r="A14" s="47" t="str">
        <x:v>RUN-TRF-078-20260830T115345068656Z</x:v>
      </x:c>
      <x:c r="B14" s="47" t="str">
        <x:v>TRF-078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544cbb0c08a34feb70984e0460d6c59f0766c6c9cf07e770aa1fe97c29db226e</x:v>
      </x:c>
      <x:c r="G14" s="59" t="n">
        <x:v>7763</x:v>
      </x:c>
    </x:row>
    <x:row r="15">
      <x:c r="A15" s="47" t="str">
        <x:v>RUN-TRF-078-20260830T115345068656Z</x:v>
      </x:c>
      <x:c r="B15" s="47" t="str">
        <x:v>TRF-078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ee4d67790a3d682cfb7726d9cea10352492684f614d54c2508671e35359a476c</x:v>
      </x:c>
      <x:c r="G15" s="59" t="n">
        <x:v>7738</x:v>
      </x:c>
    </x:row>
    <x:row r="16">
      <x:c r="A16" s="47" t="str">
        <x:v>RUN-TRF-078-20260830T115345068656Z</x:v>
      </x:c>
      <x:c r="B16" s="47" t="str">
        <x:v>TRF-078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ca608e613e5ed40d62bb4aa471aa43d08a30d986581069fd135a222110835f34</x:v>
      </x:c>
      <x:c r="G16" s="59" t="n">
        <x:v>1341</x:v>
      </x:c>
    </x:row>
    <x:row r="17">
      <x:c r="A17" s="47" t="str">
        <x:v>RUN-TRF-078-20260830T115345068656Z</x:v>
      </x:c>
      <x:c r="B17" s="47" t="str">
        <x:v>TRF-078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883ec97d5641f55409f280deab466dfb8b67bf58003441d6fd029ee1c2ab74e8</x:v>
      </x:c>
      <x:c r="G17" s="59" t="n">
        <x:v>68390</x:v>
      </x:c>
    </x:row>
    <x:row r="18">
      <x:c r="A18" s="47" t="str">
        <x:v>RUN-TRF-078-20260830T115345068656Z</x:v>
      </x:c>
      <x:c r="B18" s="47" t="str">
        <x:v>TRF-078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a44134b39ebc27eebeafb1e7c0185ded4b5bcf962ca795086350774ec7ac7c2f</x:v>
      </x:c>
      <x:c r="G18" s="59" t="n">
        <x:v>318</x:v>
      </x:c>
    </x:row>
    <x:row r="19">
      <x:c r="A19" s="49" t="str">
        <x:v>RUN-TRF-078-20260830T115345068656Z</x:v>
      </x:c>
      <x:c r="B19" s="49" t="str">
        <x:v>TRF-078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ee4d67790a3d682cfb7726d9cea10352492684f614d54c2508671e35359a476c</x:v>
      </x:c>
      <x:c r="G19" s="60" t="n">
        <x:v>7738</x:v>
      </x:c>
    </x:row>
  </x:sheetData>
  <x:pageMargins left="0.7" right="0.7" top="0.75" bottom="0.75" header="0.3" footer="0.3"/>
  <x:tableParts count="1">
    <x:tablePart xmlns:r="http://schemas.openxmlformats.org/officeDocument/2006/relationships" r:id="R137a82d31ab547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RUN-TRF-078-20260830T115345068656Z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RUN-TRF-078-20260830T115345068656Z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RUN-TRF-078-20260830T115345068656Z</x:v>
      </x:c>
      <x:c r="B5" s="69" t="str">
        <x:v>TRF-078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704cf2b30c4fb7"/>
  </x:tableParts>
</x:worksheet>
</file>