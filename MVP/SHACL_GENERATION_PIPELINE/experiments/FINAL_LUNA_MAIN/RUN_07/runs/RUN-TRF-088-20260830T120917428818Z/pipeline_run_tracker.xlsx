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5bffc73ad49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c7c669f9a6451f"/>
    <x:sheet xmlns:r="http://schemas.openxmlformats.org/officeDocument/2006/relationships" name="README" sheetId="2" r:id="R95375230b91b407e"/>
    <x:sheet xmlns:r="http://schemas.openxmlformats.org/officeDocument/2006/relationships" name="REGULATION_QUEUE" sheetId="3" r:id="R7f041797d674468e"/>
    <x:sheet xmlns:r="http://schemas.openxmlformats.org/officeDocument/2006/relationships" name="RUNS" sheetId="4" r:id="R3e908c0eb3bb495b"/>
    <x:sheet xmlns:r="http://schemas.openxmlformats.org/officeDocument/2006/relationships" name="ITERATIONS" sheetId="5" r:id="R4ef509a6a02d454a"/>
    <x:sheet xmlns:r="http://schemas.openxmlformats.org/officeDocument/2006/relationships" name="API_CALLS" sheetId="6" r:id="R473b5f92af9b4f33"/>
    <x:sheet xmlns:r="http://schemas.openxmlformats.org/officeDocument/2006/relationships" name="TERM_RETRIEVAL" sheetId="7" r:id="R60bf2da1681f453b"/>
    <x:sheet xmlns:r="http://schemas.openxmlformats.org/officeDocument/2006/relationships" name="FEW_SHOT_SELECTION" sheetId="8" r:id="R47ee1d23a0f64837"/>
    <x:sheet xmlns:r="http://schemas.openxmlformats.org/officeDocument/2006/relationships" name="VALIDATION" sheetId="9" r:id="R9095a385a1304b9c"/>
    <x:sheet xmlns:r="http://schemas.openxmlformats.org/officeDocument/2006/relationships" name="VOCAB_MATCHES" sheetId="10" r:id="R237ec3f318d64cce"/>
    <x:sheet xmlns:r="http://schemas.openxmlformats.org/officeDocument/2006/relationships" name="ARTIFACTS" sheetId="11" r:id="R4ce442b158a44021"/>
    <x:sheet xmlns:r="http://schemas.openxmlformats.org/officeDocument/2006/relationships" name="UNRESOLVED" sheetId="12" r:id="R977873b328f748c7"/>
    <x:sheet xmlns:r="http://schemas.openxmlformats.org/officeDocument/2006/relationships" name="RDF_TEST_QUEUE" sheetId="13" r:id="Rdeb0518197d841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72a440aaf54f94" /><Relationship Type="http://schemas.openxmlformats.org/officeDocument/2006/relationships/theme" Target="/xl/theme/theme1.xml" Id="R239228584212403c" /><Relationship Type="http://schemas.microsoft.com/office/2022/11/relationships/FeaturePropertyBag" Target="/xl/featurePropertyBag/featurePropertyBag.xml" Id="R80794681e0ff46ac" /><Relationship Type="http://schemas.openxmlformats.org/officeDocument/2006/relationships/sharedStrings" Target="/xl/sharedStrings.xml" Id="R9bc3c603d4e145d5" /><Relationship Type="http://schemas.openxmlformats.org/officeDocument/2006/relationships/worksheet" Target="/xl/worksheets/sheet1.xml" Id="Rf3c7c669f9a6451f" /><Relationship Type="http://schemas.openxmlformats.org/officeDocument/2006/relationships/worksheet" Target="/xl/worksheets/sheet2.xml" Id="R95375230b91b407e" /><Relationship Type="http://schemas.openxmlformats.org/officeDocument/2006/relationships/worksheet" Target="/xl/worksheets/sheet3.xml" Id="R7f041797d674468e" /><Relationship Type="http://schemas.openxmlformats.org/officeDocument/2006/relationships/worksheet" Target="/xl/worksheets/sheet4.xml" Id="R3e908c0eb3bb495b" /><Relationship Type="http://schemas.openxmlformats.org/officeDocument/2006/relationships/worksheet" Target="/xl/worksheets/sheet5.xml" Id="R4ef509a6a02d454a" /><Relationship Type="http://schemas.openxmlformats.org/officeDocument/2006/relationships/worksheet" Target="/xl/worksheets/sheet6.xml" Id="R473b5f92af9b4f33" /><Relationship Type="http://schemas.openxmlformats.org/officeDocument/2006/relationships/worksheet" Target="/xl/worksheets/sheet7.xml" Id="R60bf2da1681f453b" /><Relationship Type="http://schemas.openxmlformats.org/officeDocument/2006/relationships/worksheet" Target="/xl/worksheets/sheet8.xml" Id="R47ee1d23a0f64837" /><Relationship Type="http://schemas.openxmlformats.org/officeDocument/2006/relationships/worksheet" Target="/xl/worksheets/sheet9.xml" Id="R9095a385a1304b9c" /><Relationship Type="http://schemas.openxmlformats.org/officeDocument/2006/relationships/worksheet" Target="/xl/worksheets/sheet10.xml" Id="R237ec3f318d64cce" /><Relationship Type="http://schemas.openxmlformats.org/officeDocument/2006/relationships/worksheet" Target="/xl/worksheets/sheet11.xml" Id="R4ce442b158a44021" /><Relationship Type="http://schemas.openxmlformats.org/officeDocument/2006/relationships/worksheet" Target="/xl/worksheets/sheet12.xml" Id="R977873b328f748c7" /><Relationship Type="http://schemas.openxmlformats.org/officeDocument/2006/relationships/worksheet" Target="/xl/worksheets/sheet13.xml" Id="Rdeb0518197d841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bef47da25247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5ef20ad79345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19d06c368b46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5fbcd25ba64a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5adaa46f5643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0ab901686049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37acc722a342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d77baf9aa544c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b2cfe62b0de42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f05a14466be475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15c52dd4b0940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RUN-TRF-088-20260830T120917428818Z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13232.611650000003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RUN-TRF-088-20260830T120917428818Z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bef47da25247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RUN-TRF-088-20260830T120917428818Z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TERM_RESOLUTION_UNRESOLVED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5ef20ad79345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RUN-TRF-088-20260830T120917428818Z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RUN-TRF-088-20260830T120917428818Z</x:v>
      </x:c>
      <x:c r="C5" s="69" t="str">
        <x:v>TRF-088</x:v>
      </x:c>
      <x:c r="D5" s="70" t="n">
        <x:v>46264.50645173611</x:v>
      </x:c>
      <x:c r="E5" s="70" t="n">
        <x:v>46264.50801799769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semantically supported canonical linking term for relating the selected Table 6-10 result to ship-owned maximumEngineTorque; tableReference links the lookup case to a table reference, while maximumEngineTorque is only a quantity property.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19d06c368b46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RUN-TRF-088-20260830T120917428818Z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RUN-TRF-088-20260830T120917428818Z</x:v>
      </x:c>
      <x:c r="B5" s="45" t="str">
        <x:v>TRF-088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unknown branch does not encode that maximumEngineTorque is actually accorded the value selected from Table 6-10; it only requires an unrelated torque quantity, a table reference, and evidence. Add an explicit canonical result/selection relationship or bounded direct constraint linking the table lookup result to maximumEngineTorque, while preserving the existing ship and tableLookupCase ownership. Do not use mere presence as the required table-derived value.</x:v>
      </x:c>
      <x:c r="I5" s="84" t="n">
        <x:v>29966.706</x:v>
      </x:c>
      <x:c r="J5" s="84" t="n">
        <x:v>7951.877</x:v>
      </x:c>
    </x:row>
    <x:row r="6">
      <x:c r="A6" s="47" t="str">
        <x:v>RUN-TRF-088-20260830T120917428818Z</x:v>
      </x:c>
      <x:c r="B6" s="47" t="str">
        <x:v>TRF-088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Preserve the prior repair: the unknown branch must encode that maximumEngineTorque is accorded the value selected from Table 6-10, not merely require an unrelated torque quantity, table reference, and evidence. Locate and use a canonical result/selection relationship or bounded direct constraint linking the applied tableLookupCase's selected table result to the ship-owned maximumEngineTorque, while preserving the declared owners and kN·m unit. The current SPARQL does not link ?case to $this via hasTableLookupCase and can therefore inspect an unrelated case; replace it with an owner/path-bound constraint. Keep the applicability alternative, table reference, and evidence requirements, and do not use presence-only table lookup semantics.</x:v>
      </x:c>
      <x:c r="I6" s="86" t="n">
        <x:v>25039.552</x:v>
      </x:c>
      <x:c r="J6" s="86" t="n">
        <x:v>8631.477</x:v>
      </x:c>
    </x:row>
    <x:row r="7">
      <x:c r="A7" s="49" t="str">
        <x:v>RUN-TRF-088-20260830T120917428818Z</x:v>
      </x:c>
      <x:c r="B7" s="49" t="str">
        <x:v>TRF-088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Preserve the prior repair: the unknown branch must encode that the ship-owned maximumEngineTorque is the value selected from its owner-bound applied Table 6-10 lookup case, not merely require a torque quantity plus table reference and evidence. The current owner-bound SPARQL confirms the case and torque coexist but provides no canonical result/selection relationship linking the selected table result to maximumEngineTorque. A suitable canonical linking term is absent from the supplied scoped vocabulary, so locate it with the variable matcher and add the bounded owner/path constraint while preserving the existing applicability, Table 6-10 selection, evidence, and kN·m unit requirements.</x:v>
      </x:c>
      <x:c r="I7" s="88" t="n">
        <x:v>27944.024</x:v>
      </x:c>
      <x:c r="J7" s="88" t="n">
        <x:v>6226.987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5fbcd25ba64a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RUN-TRF-088-20260830T120917428818Z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RUN-TRF-088-20260830T120917428818Z</x:v>
      </x:c>
      <x:c r="C5" s="45" t="str">
        <x:v>TRF-088</x:v>
      </x:c>
      <x:c r="D5" s="92" t="n">
        <x:v>46264.506798587965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29965.612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RUN-TRF-088-20260830T120917428818Z</x:v>
      </x:c>
      <x:c r="C6" s="47" t="str">
        <x:v>TRF-088</x:v>
      </x:c>
      <x:c r="D6" s="93" t="n">
        <x:v>46264.506798599534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29966.706</x:v>
      </x:c>
      <x:c r="L6" s="85" t="b">
        <x:v>0</x:v>
      </x:c>
      <x:c r="M6" s="47" t="str">
        <x:v>resp_0432fc39664f0a72006a941d6d89d481978dedf67f546c6c5f</x:v>
      </x:c>
      <x:c r="N6" s="59" t="n">
        <x:v>10644</x:v>
      </x:c>
      <x:c r="O6" s="59" t="n">
        <x:v>2170</x:v>
      </x:c>
      <x:c r="P6" s="59" t="n">
        <x:v>12814</x:v>
      </x:c>
    </x:row>
    <x:row r="7">
      <x:c r="A7" s="47" t="str">
        <x:v>EVT-000040</x:v>
      </x:c>
      <x:c r="B7" s="47" t="str">
        <x:v>RUN-TRF-088-20260830T120917428818Z</x:v>
      </x:c>
      <x:c r="C7" s="47" t="str">
        <x:v>TRF-088</x:v>
      </x:c>
      <x:c r="D7" s="93" t="n">
        <x:v>46264.506892094905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7950.37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RUN-TRF-088-20260830T120917428818Z</x:v>
      </x:c>
      <x:c r="C8" s="47" t="str">
        <x:v>TRF-088</x:v>
      </x:c>
      <x:c r="D8" s="93" t="n">
        <x:v>46264.50689211806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7951.877</x:v>
      </x:c>
      <x:c r="L8" s="85" t="b">
        <x:v>0</x:v>
      </x:c>
      <x:c r="M8" s="47" t="str">
        <x:v>resp_0dc66e421a7d9c0f006a941d8ba0708193932641bcef8186f6</x:v>
      </x:c>
      <x:c r="N8" s="59" t="n">
        <x:v>10581</x:v>
      </x:c>
      <x:c r="O8" s="59" t="n">
        <x:v>621</x:v>
      </x:c>
      <x:c r="P8" s="59" t="n">
        <x:v>11202</x:v>
      </x:c>
    </x:row>
    <x:row r="9">
      <x:c r="A9" s="47" t="str">
        <x:v>EVT-000046</x:v>
      </x:c>
      <x:c r="B9" s="47" t="str">
        <x:v>RUN-TRF-088-20260830T120917428818Z</x:v>
      </x:c>
      <x:c r="C9" s="47" t="str">
        <x:v>TRF-088</x:v>
      </x:c>
      <x:c r="D9" s="93" t="n">
        <x:v>46264.507181967594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25038.028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RUN-TRF-088-20260830T120917428818Z</x:v>
      </x:c>
      <x:c r="C10" s="47" t="str">
        <x:v>TRF-088</x:v>
      </x:c>
      <x:c r="D10" s="93" t="n">
        <x:v>46264.50718199074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25039.552</x:v>
      </x:c>
      <x:c r="L10" s="85" t="b">
        <x:v>0</x:v>
      </x:c>
      <x:c r="M10" s="47" t="str">
        <x:v>resp_07a4cd6386588a9b006a941d9393e88193a6f0ea9d336acfb5</x:v>
      </x:c>
      <x:c r="N10" s="59" t="n">
        <x:v>10728</x:v>
      </x:c>
      <x:c r="O10" s="59" t="n">
        <x:v>1875</x:v>
      </x:c>
      <x:c r="P10" s="59" t="n">
        <x:v>12603</x:v>
      </x:c>
    </x:row>
    <x:row r="11">
      <x:c r="A11" s="47" t="str">
        <x:v>EVT-000052</x:v>
      </x:c>
      <x:c r="B11" s="47" t="str">
        <x:v>RUN-TRF-088-20260830T120917428818Z</x:v>
      </x:c>
      <x:c r="C11" s="47" t="str">
        <x:v>TRF-088</x:v>
      </x:c>
      <x:c r="D11" s="93" t="n">
        <x:v>46264.50727899306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8376.545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RUN-TRF-088-20260830T120917428818Z</x:v>
      </x:c>
      <x:c r="C12" s="47" t="str">
        <x:v>TRF-088</x:v>
      </x:c>
      <x:c r="D12" s="93" t="n">
        <x:v>46264.50727900463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8378.045</x:v>
      </x:c>
      <x:c r="L12" s="85" t="b">
        <x:v>0</x:v>
      </x:c>
      <x:c r="M12" s="47" t="str">
        <x:v>resp_0d38f3bfa0db5b49006a941dacaa148190b5e29756e8602e43</x:v>
      </x:c>
      <x:c r="N12" s="59" t="n">
        <x:v>1273</x:v>
      </x:c>
      <x:c r="O12" s="59" t="n">
        <x:v>980</x:v>
      </x:c>
      <x:c r="P12" s="59" t="n">
        <x:v>2253</x:v>
      </x:c>
    </x:row>
    <x:row r="13">
      <x:c r="A13" s="47" t="str">
        <x:v>EVT-000059</x:v>
      </x:c>
      <x:c r="B13" s="47" t="str">
        <x:v>RUN-TRF-088-20260830T120917428818Z</x:v>
      </x:c>
      <x:c r="C13" s="47" t="str">
        <x:v>TRF-088</x:v>
      </x:c>
      <x:c r="D13" s="93" t="n">
        <x:v>46264.50739392361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9923.471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RUN-TRF-088-20260830T120917428818Z</x:v>
      </x:c>
      <x:c r="C14" s="47" t="str">
        <x:v>TRF-088</x:v>
      </x:c>
      <x:c r="D14" s="93" t="n">
        <x:v>46264.50739394676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9924.942</x:v>
      </x:c>
      <x:c r="L14" s="85" t="b">
        <x:v>0</x:v>
      </x:c>
      <x:c r="M14" s="47" t="str">
        <x:v>resp_0118236605055c32006a941db5074c81939d204218082191c1</x:v>
      </x:c>
      <x:c r="N14" s="59" t="n">
        <x:v>1273</x:v>
      </x:c>
      <x:c r="O14" s="59" t="n">
        <x:v>971</x:v>
      </x:c>
      <x:c r="P14" s="59" t="n">
        <x:v>2244</x:v>
      </x:c>
    </x:row>
    <x:row r="15">
      <x:c r="A15" s="47" t="str">
        <x:v>EVT-000068</x:v>
      </x:c>
      <x:c r="B15" s="47" t="str">
        <x:v>RUN-TRF-088-20260830T120917428818Z</x:v>
      </x:c>
      <x:c r="C15" s="47" t="str">
        <x:v>TRF-088</x:v>
      </x:c>
      <x:c r="D15" s="93" t="n">
        <x:v>46264.50749539352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8630.03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EVT-000069</x:v>
      </x:c>
      <x:c r="B16" s="47" t="str">
        <x:v>RUN-TRF-088-20260830T120917428818Z</x:v>
      </x:c>
      <x:c r="C16" s="47" t="str">
        <x:v>TRF-088</x:v>
      </x:c>
      <x:c r="D16" s="93" t="n">
        <x:v>46264.50749541667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8631.477</x:v>
      </x:c>
      <x:c r="L16" s="85" t="b">
        <x:v>0</x:v>
      </x:c>
      <x:c r="M16" s="47" t="str">
        <x:v>resp_0b874c85fd79d380006a941dbf11e08190afe765608e266ed4</x:v>
      </x:c>
      <x:c r="N16" s="59" t="n">
        <x:v>10919</x:v>
      </x:c>
      <x:c r="O16" s="59" t="n">
        <x:v>621</x:v>
      </x:c>
      <x:c r="P16" s="59" t="n">
        <x:v>11540</x:v>
      </x:c>
    </x:row>
    <x:row r="17">
      <x:c r="A17" s="47" t="str">
        <x:v>EVT-000075</x:v>
      </x:c>
      <x:c r="B17" s="47" t="str">
        <x:v>RUN-TRF-088-20260830T120917428818Z</x:v>
      </x:c>
      <x:c r="C17" s="47" t="str">
        <x:v>TRF-088</x:v>
      </x:c>
      <x:c r="D17" s="93" t="n">
        <x:v>46264.50757236111</x:v>
      </x:c>
      <x:c r="E17" s="47" t="str">
        <x:v>vocabulary_matcher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5320.415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EVT-000076</x:v>
      </x:c>
      <x:c r="B18" s="47" t="str">
        <x:v>RUN-TRF-088-20260830T120917428818Z</x:v>
      </x:c>
      <x:c r="C18" s="47" t="str">
        <x:v>TRF-088</x:v>
      </x:c>
      <x:c r="D18" s="93" t="n">
        <x:v>46264.507572372684</x:v>
      </x:c>
      <x:c r="E18" s="47" t="str">
        <x:v>vocabulary_matcher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5321.835</x:v>
      </x:c>
      <x:c r="L18" s="85" t="b">
        <x:v>0</x:v>
      </x:c>
      <x:c r="M18" s="47" t="str">
        <x:v>resp_00e46b1c5a1e197b006a941dc9125881949bf2a8a82d46a4a4</x:v>
      </x:c>
      <x:c r="N18" s="59" t="n">
        <x:v>2326</x:v>
      </x:c>
      <x:c r="O18" s="59" t="n">
        <x:v>403</x:v>
      </x:c>
      <x:c r="P18" s="59" t="n">
        <x:v>2729</x:v>
      </x:c>
    </x:row>
    <x:row r="19">
      <x:c r="A19" s="47" t="str">
        <x:v>EVT-000107</x:v>
      </x:c>
      <x:c r="B19" s="47" t="str">
        <x:v>RUN-TRF-088-20260830T120917428818Z</x:v>
      </x:c>
      <x:c r="C19" s="47" t="str">
        <x:v>TRF-088</x:v>
      </x:c>
      <x:c r="D19" s="93" t="n">
        <x:v>46264.507895925926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27942.478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EVT-000108</x:v>
      </x:c>
      <x:c r="B20" s="47" t="str">
        <x:v>RUN-TRF-088-20260830T120917428818Z</x:v>
      </x:c>
      <x:c r="C20" s="47" t="str">
        <x:v>TRF-088</x:v>
      </x:c>
      <x:c r="D20" s="93" t="n">
        <x:v>46264.5078959375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27944.024</x:v>
      </x:c>
      <x:c r="L20" s="85" t="b">
        <x:v>0</x:v>
      </x:c>
      <x:c r="M20" s="47" t="str">
        <x:v>resp_0d47873238ba74e9006a941dcf4cb48190b8f0fe0301274e4e</x:v>
      </x:c>
      <x:c r="N20" s="59" t="n">
        <x:v>10942</x:v>
      </x:c>
      <x:c r="O20" s="59" t="n">
        <x:v>2209</x:v>
      </x:c>
      <x:c r="P20" s="59" t="n">
        <x:v>13151</x:v>
      </x:c>
    </x:row>
    <x:row r="21">
      <x:c r="A21" s="47" t="str">
        <x:v>EVT-000115</x:v>
      </x:c>
      <x:c r="B21" s="47" t="str">
        <x:v>RUN-TRF-088-20260830T120917428818Z</x:v>
      </x:c>
      <x:c r="C21" s="47" t="str">
        <x:v>TRF-088</x:v>
      </x:c>
      <x:c r="D21" s="93" t="n">
        <x:v>46264.50796940972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6225.39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EVT-000116</x:v>
      </x:c>
      <x:c r="B22" s="47" t="str">
        <x:v>RUN-TRF-088-20260830T120917428818Z</x:v>
      </x:c>
      <x:c r="C22" s="47" t="str">
        <x:v>TRF-088</x:v>
      </x:c>
      <x:c r="D22" s="93" t="n">
        <x:v>46264.50796943287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6226.987</x:v>
      </x:c>
      <x:c r="L22" s="85" t="b">
        <x:v>0</x:v>
      </x:c>
      <x:c r="M22" s="47" t="str">
        <x:v>resp_03659248ceeef73d006a941dea6ef48190901d7506bdc4f673</x:v>
      </x:c>
      <x:c r="N22" s="59" t="n">
        <x:v>11247</x:v>
      </x:c>
      <x:c r="O22" s="59" t="n">
        <x:v>422</x:v>
      </x:c>
      <x:c r="P22" s="59" t="n">
        <x:v>11669</x:v>
      </x:c>
    </x:row>
    <x:row r="23">
      <x:c r="A23" s="47" t="str">
        <x:v>EVT-000122</x:v>
      </x:c>
      <x:c r="B23" s="47" t="str">
        <x:v>RUN-TRF-088-20260830T120917428818Z</x:v>
      </x:c>
      <x:c r="C23" s="47" t="str">
        <x:v>TRF-088</x:v>
      </x:c>
      <x:c r="D23" s="93" t="n">
        <x:v>46264.508017939814</x:v>
      </x:c>
      <x:c r="E23" s="47" t="str">
        <x:v>vocabulary_matcher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2946.535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EVT-000123</x:v>
      </x:c>
      <x:c r="B24" s="49" t="str">
        <x:v>RUN-TRF-088-20260830T120917428818Z</x:v>
      </x:c>
      <x:c r="C24" s="49" t="str">
        <x:v>TRF-088</x:v>
      </x:c>
      <x:c r="D24" s="94" t="n">
        <x:v>46264.50801795139</x:v>
      </x:c>
      <x:c r="E24" s="49" t="str">
        <x:v>vocabulary_matcher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2947.914</x:v>
      </x:c>
      <x:c r="L24" s="87" t="b">
        <x:v>0</x:v>
      </x:c>
      <x:c r="M24" s="49" t="str">
        <x:v>resp_0dee4a41999a5299006a941df1fbf481908c7480a49b7c02a6</x:v>
      </x:c>
      <x:c r="N24" s="60" t="n">
        <x:v>1961</x:v>
      </x:c>
      <x:c r="O24" s="60" t="n">
        <x:v>160</x:v>
      </x:c>
      <x:c r="P24" s="60" t="n">
        <x:v>2121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5adaa46f5643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RUN-TRF-088-20260830T120917428818Z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RUN-TRF-088-20260830T120917428818Z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RUN-TRF-088-20260830T120917428818Z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RUN-TRF-088-20260830T120917428818Z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RUN-TRF-088-20260830T120917428818Z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RUN-TRF-088-20260830T120917428818Z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RUN-TRF-088-20260830T120917428818Z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RUN-TRF-088-20260830T120917428818Z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RUN-TRF-088-20260830T120917428818Z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RUN-TRF-088-20260830T120917428818Z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RUN-TRF-088-20260830T120917428818Z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RUN-TRF-088-20260830T120917428818Z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RUN-TRF-088-20260830T120917428818Z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RUN-TRF-088-20260830T120917428818Z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RUN-TRF-088-20260830T120917428818Z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RUN-TRF-088-20260830T120917428818Z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RUN-TRF-088-20260830T120917428818Z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RUN-TRF-088-20260830T120917428818Z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RUN-TRF-088-20260830T120917428818Z</x:v>
      </x:c>
      <x:c r="B22" s="47" t="str">
        <x:v>TRF-088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RUN-TRF-088-20260830T120917428818Z</x:v>
      </x:c>
      <x:c r="B23" s="47" t="str">
        <x:v>TRF-088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RUN-TRF-088-20260830T120917428818Z</x:v>
      </x:c>
      <x:c r="B24" s="47" t="str">
        <x:v>TRF-088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RUN-TRF-088-20260830T120917428818Z</x:v>
      </x:c>
      <x:c r="B25" s="47" t="str">
        <x:v>TRF-088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RUN-TRF-088-20260830T120917428818Z</x:v>
      </x:c>
      <x:c r="B26" s="47" t="str">
        <x:v>TRF-088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7" t="str">
        <x:v>RUN-TRF-088-20260830T120917428818Z</x:v>
      </x:c>
      <x:c r="B27" s="47" t="str">
        <x:v>TRF-088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traficomTable6Dash10</x:v>
      </x:c>
      <x:c r="J27" s="47" t="n">
        <x:v>0</x:v>
      </x:c>
    </x:row>
    <x:row r="28">
      <x:c r="A28" s="47" t="str">
        <x:v>RUN-TRF-088-20260830T120917428818Z</x:v>
      </x:c>
      <x:c r="B28" s="47" t="str">
        <x:v>TRF-088</x:v>
      </x:c>
      <x:c r="C28" s="47" t="str">
        <x:v>traficomTable6Dash9</x:v>
      </x:c>
      <x:c r="D28" s="48" t="str">
        <x:v>https://w3id.org/nltl/vocab#traficomTable6Dash9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traficomTable6Dash10</x:v>
      </x:c>
      <x:c r="J28" s="47" t="n">
        <x:v>0</x:v>
      </x:c>
    </x:row>
    <x:row r="29">
      <x:c r="A29" s="47" t="str">
        <x:v>RUN-TRF-088-20260830T120917428818Z</x:v>
      </x:c>
      <x:c r="B29" s="47" t="str">
        <x:v>TRF-088</x:v>
      </x:c>
      <x:c r="C29" s="47" t="str">
        <x:v>benchmarkEntity</x:v>
      </x:c>
      <x:c r="D29" s="48" t="str">
        <x:v>https://w3id.org/nltl/vocab#benchmarkEntity</x:v>
      </x:c>
      <x:c r="E29" s="47" t="str">
        <x:v>Class</x:v>
      </x:c>
      <x:c r="F29" s="47" t="str"/>
      <x:c r="G29" s="47" t="str"/>
      <x:c r="H29" s="47" t="str"/>
      <x:c r="I29" s="48" t="str">
        <x:v>baseline target infrastructure; domain dependency of maximumEngineTorque; domain dependency of maximumEngineTorqueKnown</x:v>
      </x:c>
      <x:c r="J29" s="47" t="n">
        <x:v>3</x:v>
      </x:c>
    </x:row>
    <x:row r="30">
      <x:c r="A30" s="47" t="str">
        <x:v>RUN-TRF-088-20260830T120917428818Z</x:v>
      </x:c>
      <x:c r="B30" s="47" t="str">
        <x:v>TRF-088</x:v>
      </x:c>
      <x:c r="C30" s="47" t="str">
        <x:v>evidenceArtifact</x:v>
      </x:c>
      <x:c r="D30" s="48" t="str">
        <x:v>https://w3id.org/nltl/vocab#evidenceArtifact</x:v>
      </x:c>
      <x:c r="E30" s="47" t="str">
        <x:v>Class</x:v>
      </x:c>
      <x:c r="F30" s="47" t="str"/>
      <x:c r="G30" s="47" t="str"/>
      <x:c r="H30" s="47" t="str"/>
      <x:c r="I30" s="48" t="str">
        <x:v>range dependency of lookupSelectionEvidence</x:v>
      </x:c>
      <x:c r="J30" s="47" t="n">
        <x:v>3</x:v>
      </x:c>
    </x:row>
    <x:row r="31">
      <x:c r="A31" s="47" t="str">
        <x:v>RUN-TRF-088-20260830T120917428818Z</x:v>
      </x:c>
      <x:c r="B31" s="47" t="str">
        <x:v>TRF-088</x:v>
      </x:c>
      <x:c r="C31" s="47" t="str">
        <x:v>hasComponent</x:v>
      </x:c>
      <x:c r="D31" s="48" t="str">
        <x:v>https://w3id.org/nltl/vocab#hasComponent</x:v>
      </x:c>
      <x:c r="E31" s="47" t="str">
        <x:v>ObjectProperty</x:v>
      </x:c>
      <x:c r="F31" s="47" t="str"/>
      <x:c r="G31" s="47" t="str">
        <x:v>https://w3id.org/nltl/vocab#shipComponent</x:v>
      </x:c>
      <x:c r="H31" s="47" t="str"/>
      <x:c r="I31" s="48" t="str">
        <x:v>component-path dependency inferred from the linked term module</x:v>
      </x:c>
      <x:c r="J31" s="47" t="n">
        <x:v>3</x:v>
      </x:c>
    </x:row>
    <x:row r="32">
      <x:c r="A32" s="47" t="str">
        <x:v>RUN-TRF-088-20260830T120917428818Z</x:v>
      </x:c>
      <x:c r="B32" s="47" t="str">
        <x:v>TRF-088</x:v>
      </x:c>
      <x:c r="C32" s="47" t="str">
        <x:v>hasTableLookupCase</x:v>
      </x:c>
      <x:c r="D32" s="48" t="str">
        <x:v>https://w3id.org/nltl/vocab#hasTableLookupCase</x:v>
      </x:c>
      <x:c r="E32" s="47" t="str">
        <x:v>ObjectProperty</x:v>
      </x:c>
      <x:c r="F32" s="47" t="str"/>
      <x:c r="G32" s="47" t="str">
        <x:v>https://w3id.org/nltl/vocab#tableLookupCase</x:v>
      </x:c>
      <x:c r="H32" s="47" t="str"/>
      <x:c r="I32" s="48" t="str">
        <x:v>canonical path from target owner ship to required owner tableLookupCase; linked by the locked 313-requirement index; verified vocabulary-matcher addition</x:v>
      </x:c>
      <x:c r="J32" s="47" t="n">
        <x:v>3</x:v>
      </x:c>
    </x:row>
    <x:row r="33">
      <x:c r="A33" s="47" t="str">
        <x:v>RUN-TRF-088-20260830T120917428818Z</x:v>
      </x:c>
      <x:c r="B33" s="47" t="str">
        <x:v>TRF-088</x:v>
      </x:c>
      <x:c r="C33" s="47" t="str">
        <x:v>iacsUrI2Table3</x:v>
      </x:c>
      <x:c r="D33" s="48" t="str">
        <x:v>https://w3id.org/nltl/vocab#iacsUrI2Table3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traficomTable6Dash10</x:v>
      </x:c>
      <x:c r="J33" s="47" t="n">
        <x:v>3</x:v>
      </x:c>
    </x:row>
    <x:row r="34">
      <x:c r="A34" s="47" t="str">
        <x:v>RUN-TRF-088-20260830T120917428818Z</x:v>
      </x:c>
      <x:c r="B34" s="47" t="str">
        <x:v>TRF-088</x:v>
      </x:c>
      <x:c r="C34" s="47" t="str">
        <x:v>iacsUrI2Table8</x:v>
      </x:c>
      <x:c r="D34" s="48" t="str">
        <x:v>https://w3id.org/nltl/vocab#iacsUrI2Table8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traficomTable6Dash10</x:v>
      </x:c>
      <x:c r="J34" s="47" t="n">
        <x:v>3</x:v>
      </x:c>
    </x:row>
    <x:row r="35">
      <x:c r="A35" s="47" t="str">
        <x:v>RUN-TRF-088-20260830T120917428818Z</x:v>
      </x:c>
      <x:c r="B35" s="47" t="str">
        <x:v>TRF-088</x:v>
      </x:c>
      <x:c r="C35" s="47" t="str">
        <x:v>lookupSelectionEvidence</x:v>
      </x:c>
      <x:c r="D35" s="48" t="str">
        <x:v>https://w3id.org/nltl/vocab#lookupSelectionEvidence</x:v>
      </x:c>
      <x:c r="E35" s="47" t="str">
        <x:v>ObjectProperty</x:v>
      </x:c>
      <x:c r="F35" s="47" t="str"/>
      <x:c r="G35" s="47" t="str">
        <x:v>https://w3id.org/nltl/vocab#evidenceArtifact</x:v>
      </x:c>
      <x:c r="H35" s="47" t="str"/>
      <x:c r="I35" s="48" t="str">
        <x:v>linked by the locked 313-requirement index</x:v>
      </x:c>
      <x:c r="J35" s="47" t="n">
        <x:v>3</x:v>
      </x:c>
    </x:row>
    <x:row r="36">
      <x:c r="A36" s="47" t="str">
        <x:v>RUN-TRF-088-20260830T120917428818Z</x:v>
      </x:c>
      <x:c r="B36" s="47" t="str">
        <x:v>TRF-088</x:v>
      </x:c>
      <x:c r="C36" s="47" t="str">
        <x:v>maximumEngineTorque</x:v>
      </x:c>
      <x:c r="D36" s="48" t="str">
        <x:v>https://w3id.org/nltl/vocab#maximumEngineTorque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http://qudt.org/vocab/unit/KiloN-M</x:v>
      </x:c>
      <x:c r="I36" s="48" t="str">
        <x:v>linked by the locked 313-requirement index</x:v>
      </x:c>
      <x:c r="J36" s="47" t="n">
        <x:v>3</x:v>
      </x:c>
    </x:row>
    <x:row r="37">
      <x:c r="A37" s="47" t="str">
        <x:v>RUN-TRF-088-20260830T120917428818Z</x:v>
      </x:c>
      <x:c r="B37" s="47" t="str">
        <x:v>TRF-088</x:v>
      </x:c>
      <x:c r="C37" s="47" t="str">
        <x:v>maximumEngineTorqueKnown</x:v>
      </x:c>
      <x:c r="D37" s="48" t="str">
        <x:v>https://w3id.org/nltl/vocab#maximumEngineTorqueKnown</x:v>
      </x:c>
      <x:c r="E37" s="47" t="str">
        <x:v>DatatypeProperty</x:v>
      </x:c>
      <x:c r="F37" s="47" t="str">
        <x:v>xsd:boolean</x:v>
      </x:c>
      <x:c r="G37" s="47" t="str">
        <x:v>http://www.w3.org/2001/XMLSchema#boolean</x:v>
      </x:c>
      <x:c r="H37" s="47" t="str"/>
      <x:c r="I37" s="48" t="str">
        <x:v>linked by the locked 313-requirement index</x:v>
      </x:c>
      <x:c r="J37" s="47" t="n">
        <x:v>3</x:v>
      </x:c>
    </x:row>
    <x:row r="38">
      <x:c r="A38" s="47" t="str">
        <x:v>RUN-TRF-088-20260830T120917428818Z</x:v>
      </x:c>
      <x:c r="B38" s="47" t="str">
        <x:v>TRF-088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hasTableLookupCase</x:v>
      </x:c>
      <x:c r="J38" s="47" t="n">
        <x:v>3</x:v>
      </x:c>
    </x:row>
    <x:row r="39">
      <x:c r="A39" s="47" t="str">
        <x:v>RUN-TRF-088-20260830T120917428818Z</x:v>
      </x:c>
      <x:c r="B39" s="47" t="str">
        <x:v>TRF-088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3</x:v>
      </x:c>
    </x:row>
    <x:row r="40">
      <x:c r="A40" s="47" t="str">
        <x:v>RUN-TRF-088-20260830T120917428818Z</x:v>
      </x:c>
      <x:c r="B40" s="47" t="str">
        <x:v>TRF-088</x:v>
      </x:c>
      <x:c r="C40" s="47" t="str">
        <x:v>tableLookupApplied</x:v>
      </x:c>
      <x:c r="D40" s="48" t="str">
        <x:v>https://w3id.org/nltl/vocab#tableLookupApplied</x:v>
      </x:c>
      <x:c r="E40" s="47" t="str">
        <x:v>DatatypeProperty</x:v>
      </x:c>
      <x:c r="F40" s="47" t="str">
        <x:v>xsd:boolean</x:v>
      </x:c>
      <x:c r="G40" s="47" t="str">
        <x:v>http://www.w3.org/2001/XMLSchema#boolean</x:v>
      </x:c>
      <x:c r="H40" s="47" t="str"/>
      <x:c r="I40" s="48" t="str">
        <x:v>linked by the locked 313-requirement index</x:v>
      </x:c>
      <x:c r="J40" s="47" t="n">
        <x:v>3</x:v>
      </x:c>
    </x:row>
    <x:row r="41">
      <x:c r="A41" s="47" t="str">
        <x:v>RUN-TRF-088-20260830T120917428818Z</x:v>
      </x:c>
      <x:c r="B41" s="47" t="str">
        <x:v>TRF-088</x:v>
      </x:c>
      <x:c r="C41" s="47" t="str">
        <x:v>tableLookupCase</x:v>
      </x:c>
      <x:c r="D41" s="48" t="str">
        <x:v>https://w3id.org/nltl/vocab#tableLookupCase</x:v>
      </x:c>
      <x:c r="E41" s="47" t="str">
        <x:v>Class</x:v>
      </x:c>
      <x:c r="F41" s="47" t="str"/>
      <x:c r="G41" s="47" t="str">
        <x:v>https://w3id.org/nltl/vocab#calculationCase</x:v>
      </x:c>
      <x:c r="H41" s="47" t="str"/>
      <x:c r="I41" s="48" t="str">
        <x:v>authoritative required owner class; domain dependency of lookupSelectionEvidence; domain dependency of tableLookupApplied; domain dependency of tableReference; range dependency of hasTableLookupCase</x:v>
      </x:c>
      <x:c r="J41" s="47" t="n">
        <x:v>3</x:v>
      </x:c>
    </x:row>
    <x:row r="42">
      <x:c r="A42" s="47" t="str">
        <x:v>RUN-TRF-088-20260830T120917428818Z</x:v>
      </x:c>
      <x:c r="B42" s="47" t="str">
        <x:v>TRF-088</x:v>
      </x:c>
      <x:c r="C42" s="47" t="str">
        <x:v>tableReference</x:v>
      </x:c>
      <x:c r="D42" s="48" t="str">
        <x:v>https://w3id.org/nltl/vocab#tableReference</x:v>
      </x:c>
      <x:c r="E42" s="47" t="str">
        <x:v>ObjectProperty</x:v>
      </x:c>
      <x:c r="F42" s="47" t="str"/>
      <x:c r="G42" s="47" t="str">
        <x:v>https://w3id.org/nltl/vocab#tableReferenceValue</x:v>
      </x:c>
      <x:c r="H42" s="47" t="str"/>
      <x:c r="I42" s="48" t="str">
        <x:v>linked by the locked 313-requirement index</x:v>
      </x:c>
      <x:c r="J42" s="47" t="n">
        <x:v>3</x:v>
      </x:c>
    </x:row>
    <x:row r="43">
      <x:c r="A43" s="47" t="str">
        <x:v>RUN-TRF-088-20260830T120917428818Z</x:v>
      </x:c>
      <x:c r="B43" s="47" t="str">
        <x:v>TRF-088</x:v>
      </x:c>
      <x:c r="C43" s="47" t="str">
        <x:v>tableReferenceValue</x:v>
      </x:c>
      <x:c r="D43" s="48" t="str">
        <x:v>https://w3id.org/nltl/vocab#tableReferenceValue</x:v>
      </x:c>
      <x:c r="E43" s="47" t="str">
        <x:v>Class</x:v>
      </x:c>
      <x:c r="F43" s="47" t="str"/>
      <x:c r="G43" s="47" t="str">
        <x:v>https://w3id.org/nltl/vocab#benchmarkEntity</x:v>
      </x:c>
      <x:c r="H43" s="47" t="str"/>
      <x:c r="I43" s="48" t="str">
        <x:v>range dependency of tableReference; range dependency of traficomTable6Dash10</x:v>
      </x:c>
      <x:c r="J43" s="47" t="n">
        <x:v>3</x:v>
      </x:c>
    </x:row>
    <x:row r="44">
      <x:c r="A44" s="47" t="str">
        <x:v>RUN-TRF-088-20260830T120917428818Z</x:v>
      </x:c>
      <x:c r="B44" s="47" t="str">
        <x:v>TRF-088</x:v>
      </x:c>
      <x:c r="C44" s="47" t="str">
        <x:v>traficomTable4Dash8</x:v>
      </x:c>
      <x:c r="D44" s="48" t="str">
        <x:v>https://w3id.org/nltl/vocab#traficomTable4Dash8</x:v>
      </x:c>
      <x:c r="E44" s="47" t="str">
        <x:v>NamedIndividual</x:v>
      </x:c>
      <x:c r="F44" s="47" t="str"/>
      <x:c r="G44" s="47" t="str">
        <x:v>https://w3id.org/nltl/vocab#tableReferenceValue</x:v>
      </x:c>
      <x:c r="H44" s="47" t="str"/>
      <x:c r="I44" s="48" t="str">
        <x:v>controlled value permitted by the range of tableReference; controlled value permitted by the range of traficomTable6Dash10</x:v>
      </x:c>
      <x:c r="J44" s="47" t="n">
        <x:v>3</x:v>
      </x:c>
    </x:row>
    <x:row r="45">
      <x:c r="A45" s="47" t="str">
        <x:v>RUN-TRF-088-20260830T120917428818Z</x:v>
      </x:c>
      <x:c r="B45" s="47" t="str">
        <x:v>TRF-088</x:v>
      </x:c>
      <x:c r="C45" s="47" t="str">
        <x:v>traficomTable6Dash10</x:v>
      </x:c>
      <x:c r="D45" s="48" t="str">
        <x:v>https://w3id.org/nltl/vocab#traficomTable6Dash10</x:v>
      </x:c>
      <x:c r="E45" s="47" t="str">
        <x:v>NamedIndividual</x:v>
      </x:c>
      <x:c r="F45" s="47" t="str"/>
      <x:c r="G45" s="47" t="str">
        <x:v>https://w3id.org/nltl/vocab#tableReferenceValue</x:v>
      </x:c>
      <x:c r="H45" s="47" t="str"/>
      <x:c r="I45" s="48" t="str">
        <x:v>controlled value permitted by the range of tableReference; controlled value permitted by the range of traficomTable6Dash10; linked by the locked 313-requirement index</x:v>
      </x:c>
      <x:c r="J45" s="47" t="n">
        <x:v>3</x:v>
      </x:c>
    </x:row>
    <x:row r="46">
      <x:c r="A46" s="47" t="str">
        <x:v>RUN-TRF-088-20260830T120917428818Z</x:v>
      </x:c>
      <x:c r="B46" s="47" t="str">
        <x:v>TRF-088</x:v>
      </x:c>
      <x:c r="C46" s="47" t="str">
        <x:v>traficomTable6Dash14</x:v>
      </x:c>
      <x:c r="D46" s="48" t="str">
        <x:v>https://w3id.org/nltl/vocab#traficomTable6Dash14</x:v>
      </x:c>
      <x:c r="E46" s="47" t="str">
        <x:v>NamedIndividual</x:v>
      </x:c>
      <x:c r="F46" s="47" t="str"/>
      <x:c r="G46" s="47" t="str">
        <x:v>https://w3id.org/nltl/vocab#tableReferenceValue</x:v>
      </x:c>
      <x:c r="H46" s="47" t="str"/>
      <x:c r="I46" s="48" t="str">
        <x:v>controlled value permitted by the range of tableReference; controlled value permitted by the range of traficomTable6Dash10</x:v>
      </x:c>
      <x:c r="J46" s="47" t="n">
        <x:v>3</x:v>
      </x:c>
    </x:row>
    <x:row r="47">
      <x:c r="A47" s="47" t="str">
        <x:v>RUN-TRF-088-20260830T120917428818Z</x:v>
      </x:c>
      <x:c r="B47" s="47" t="str">
        <x:v>TRF-088</x:v>
      </x:c>
      <x:c r="C47" s="47" t="str">
        <x:v>traficomTable6Dash16Reference</x:v>
      </x:c>
      <x:c r="D47" s="48" t="str">
        <x:v>https://w3id.org/nltl/vocab#traficomTable6Dash16Reference</x:v>
      </x:c>
      <x:c r="E47" s="47" t="str">
        <x:v>NamedIndividual</x:v>
      </x:c>
      <x:c r="F47" s="47" t="str"/>
      <x:c r="G47" s="47" t="str">
        <x:v>https://w3id.org/nltl/vocab#tableReferenceValue</x:v>
      </x:c>
      <x:c r="H47" s="47" t="str"/>
      <x:c r="I47" s="48" t="str">
        <x:v>controlled value permitted by the range of tableReference; controlled value permitted by the range of traficomTable6Dash10</x:v>
      </x:c>
      <x:c r="J47" s="47" t="n">
        <x:v>3</x:v>
      </x:c>
    </x:row>
    <x:row r="48">
      <x:c r="A48" s="47" t="str">
        <x:v>RUN-TRF-088-20260830T120917428818Z</x:v>
      </x:c>
      <x:c r="B48" s="47" t="str">
        <x:v>TRF-088</x:v>
      </x:c>
      <x:c r="C48" s="47" t="str">
        <x:v>traficomTable6Dash3Reference</x:v>
      </x:c>
      <x:c r="D48" s="48" t="str">
        <x:v>https://w3id.org/nltl/vocab#traficomTable6Dash3Reference</x:v>
      </x:c>
      <x:c r="E48" s="47" t="str">
        <x:v>NamedIndividual</x:v>
      </x:c>
      <x:c r="F48" s="47" t="str"/>
      <x:c r="G48" s="47" t="str">
        <x:v>https://w3id.org/nltl/vocab#tableReferenceValue</x:v>
      </x:c>
      <x:c r="H48" s="47" t="str"/>
      <x:c r="I48" s="48" t="str">
        <x:v>controlled value permitted by the range of tableReference; controlled value permitted by the range of traficomTable6Dash10</x:v>
      </x:c>
      <x:c r="J48" s="47" t="n">
        <x:v>3</x:v>
      </x:c>
    </x:row>
    <x:row r="49">
      <x:c r="A49" s="47" t="str">
        <x:v>RUN-TRF-088-20260830T120917428818Z</x:v>
      </x:c>
      <x:c r="B49" s="47" t="str">
        <x:v>TRF-088</x:v>
      </x:c>
      <x:c r="C49" s="47" t="str">
        <x:v>traficomTable6Dash6</x:v>
      </x:c>
      <x:c r="D49" s="48" t="str">
        <x:v>https://w3id.org/nltl/vocab#traficomTable6Dash6</x:v>
      </x:c>
      <x:c r="E49" s="47" t="str">
        <x:v>NamedIndividual</x:v>
      </x:c>
      <x:c r="F49" s="47" t="str"/>
      <x:c r="G49" s="47" t="str">
        <x:v>https://w3id.org/nltl/vocab#tableReferenceValue</x:v>
      </x:c>
      <x:c r="H49" s="47" t="str"/>
      <x:c r="I49" s="48" t="str">
        <x:v>controlled value permitted by the range of tableReference; controlled value permitted by the range of traficomTable6Dash10</x:v>
      </x:c>
      <x:c r="J49" s="47" t="n">
        <x:v>3</x:v>
      </x:c>
    </x:row>
    <x:row r="50">
      <x:c r="A50" s="47" t="str">
        <x:v>RUN-TRF-088-20260830T120917428818Z</x:v>
      </x:c>
      <x:c r="B50" s="47" t="str">
        <x:v>TRF-088</x:v>
      </x:c>
      <x:c r="C50" s="47" t="str">
        <x:v>traficomTable6Dash7</x:v>
      </x:c>
      <x:c r="D50" s="48" t="str">
        <x:v>https://w3id.org/nltl/vocab#traficomTable6Dash7</x:v>
      </x:c>
      <x:c r="E50" s="47" t="str">
        <x:v>NamedIndividual</x:v>
      </x:c>
      <x:c r="F50" s="47" t="str"/>
      <x:c r="G50" s="47" t="str">
        <x:v>https://w3id.org/nltl/vocab#tableReferenceValue</x:v>
      </x:c>
      <x:c r="H50" s="47" t="str"/>
      <x:c r="I50" s="48" t="str">
        <x:v>controlled value permitted by the range of tableReference; controlled value permitted by the range of traficomTable6Dash10</x:v>
      </x:c>
      <x:c r="J50" s="47" t="n">
        <x:v>3</x:v>
      </x:c>
    </x:row>
    <x:row r="51">
      <x:c r="A51" s="47" t="str">
        <x:v>RUN-TRF-088-20260830T120917428818Z</x:v>
      </x:c>
      <x:c r="B51" s="47" t="str">
        <x:v>TRF-088</x:v>
      </x:c>
      <x:c r="C51" s="47" t="str">
        <x:v>traficomTable6Dash8</x:v>
      </x:c>
      <x:c r="D51" s="48" t="str">
        <x:v>https://w3id.org/nltl/vocab#traficomTable6Dash8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tableReference; controlled value permitted by the range of traficomTable6Dash10</x:v>
      </x:c>
      <x:c r="J51" s="47" t="n">
        <x:v>3</x:v>
      </x:c>
    </x:row>
    <x:row r="52">
      <x:c r="A52" s="49" t="str">
        <x:v>RUN-TRF-088-20260830T120917428818Z</x:v>
      </x:c>
      <x:c r="B52" s="49" t="str">
        <x:v>TRF-088</x:v>
      </x:c>
      <x:c r="C52" s="49" t="str">
        <x:v>traficomTable6Dash9</x:v>
      </x:c>
      <x:c r="D52" s="50" t="str">
        <x:v>https://w3id.org/nltl/vocab#traficomTable6Dash9</x:v>
      </x:c>
      <x:c r="E52" s="49" t="str">
        <x:v>NamedIndividual</x:v>
      </x:c>
      <x:c r="F52" s="49" t="str"/>
      <x:c r="G52" s="49" t="str">
        <x:v>https://w3id.org/nltl/vocab#tableReferenceValue</x:v>
      </x:c>
      <x:c r="H52" s="49" t="str"/>
      <x:c r="I52" s="50" t="str">
        <x:v>controlled value permitted by the range of tableReference; controlled value permitted by the range of traficomTable6Dash10</x:v>
      </x:c>
      <x:c r="J52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900ab901686049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RUN-TRF-088-20260830T120917428818Z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RUN-TRF-088-20260830T120917428818Z</x:v>
      </x:c>
      <x:c r="B5" s="45" t="str">
        <x:v>TRF-088</x:v>
      </x:c>
      <x:c r="C5" s="45" t="str">
        <x:v>FS-BOOL-01</x:v>
      </x:c>
      <x:c r="D5" s="45" t="str">
        <x:v>boolean_state</x:v>
      </x:c>
      <x:c r="E5" s="97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RUN-TRF-088-20260830T120917428818Z</x:v>
      </x:c>
      <x:c r="B6" s="49" t="str">
        <x:v>TRF-088</x:v>
      </x:c>
      <x:c r="C6" s="49" t="str">
        <x:v>FS-BOOL-02</x:v>
      </x:c>
      <x:c r="D6" s="49" t="str">
        <x:v>boolean_state</x:v>
      </x:c>
      <x:c r="E6" s="98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37acc722a342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RUN-TRF-088-20260830T120917428818Z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RUN-TRF-088-20260830T120917428818Z</x:v>
      </x:c>
      <x:c r="B5" s="45" t="str">
        <x:v>TRF-088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5" s="46" t="str"/>
      <x:c r="P5" s="46" t="str"/>
      <x:c r="Q5" s="46" t="str"/>
    </x:row>
    <x:row r="6">
      <x:c r="A6" s="47" t="str">
        <x:v>RUN-TRF-088-20260830T120917428818Z</x:v>
      </x:c>
      <x:c r="B6" s="47" t="str">
        <x:v>TRF-088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6" s="48" t="str"/>
      <x:c r="P6" s="48" t="str"/>
      <x:c r="Q6" s="48" t="str"/>
    </x:row>
    <x:row r="7">
      <x:c r="A7" s="49" t="str">
        <x:v>RUN-TRF-088-20260830T120917428818Z</x:v>
      </x:c>
      <x:c r="B7" s="49" t="str">
        <x:v>TRF-088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4d77baf9aa544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RUN-TRF-088-20260830T120917428818Z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RUN-TRF-088-20260830T120917428818Z</x:v>
      </x:c>
      <x:c r="B5" s="45" t="str">
        <x:v>TRF-088</x:v>
      </x:c>
      <x:c r="C5" s="58" t="n">
        <x:v>2</x:v>
      </x:c>
      <x:c r="D5" s="45" t="str">
        <x:v>matcher_search</x:v>
      </x:c>
      <x:c r="E5" s="46" t="str">
        <x:v>Preserve the prior repair: the unknown branch must encode that maximumEngineTorque is accorded the value selected from Table 6-10, not merely require an unrelated torque quantity, table reference, and evidence. Locate and use a canonical result/selection relationship or bounded direct constraint linking the applied tableLookupCase's selected table result to the ship-owned maximumEngineTorque, while preserving the declared owners and kN·m unit. The current SPARQL does not link ?case to $this via hasTableLookupCase and can therefore inspect an unrelated case; replace it with an owner/path-bound constraint. Keep the applicability alternative, table reference, and evidence requirements, and do not use presence-only table lookup semantics.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7" t="str">
        <x:v>RUN-TRF-088-20260830T120917428818Z</x:v>
      </x:c>
      <x:c r="B6" s="47" t="str">
        <x:v>TRF-088</x:v>
      </x:c>
      <x:c r="C6" s="59" t="n">
        <x:v>2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hasTableLookupCase</x:v>
      </x:c>
      <x:c r="I6" s="48" t="str">
        <x:v>https://w3id.org/nltl/vocab#hasTableLookupCase</x:v>
      </x:c>
      <x:c r="J6" s="48" t="str">
        <x:v>Use this exact term because it is the canonical owner-bound relationship for linking the ship to its applied tableLookupCase, preventing inspection of an unrelated case while preserving the table-selection constraint.</x:v>
      </x:c>
    </x:row>
    <x:row r="7">
      <x:c r="A7" s="47" t="str">
        <x:v>RUN-TRF-088-20260830T120917428818Z</x:v>
      </x:c>
      <x:c r="B7" s="47" t="str">
        <x:v>TRF-088</x:v>
      </x:c>
      <x:c r="C7" s="59" t="n">
        <x:v>3</x:v>
      </x:c>
      <x:c r="D7" s="47" t="str">
        <x:v>matcher_search</x:v>
      </x:c>
      <x:c r="E7" s="48" t="str">
        <x:v>Preserve the prior repair: the unknown branch must encode that the ship-owned maximumEngineTorque is the value selected from its owner-bound applied Table 6-10 lookup case, not merely require a torque quantity plus table reference and evidence. The current owner-bound SPARQL confirms the case and torque coexist but provides no canonical result/selection relationship linking the selected table result to maximumEngineTorque. A suitable canonical linking term is absent from the supplied scoped vocabulary, so locate it with the variable matcher and add the bounded owner/path constraint while preserving the existing applicability, Table 6-10 selection, evidence, and kN·m unit requirements.</x:v>
      </x:c>
      <x:c r="F7" s="59" t="n">
        <x:v>4</x:v>
      </x:c>
      <x:c r="G7" s="47" t="str"/>
      <x:c r="H7" s="47" t="str"/>
      <x:c r="I7" s="48" t="str"/>
      <x:c r="J7" s="48" t="str"/>
    </x:row>
    <x:row r="8">
      <x:c r="A8" s="49" t="str">
        <x:v>RUN-TRF-088-20260830T120917428818Z</x:v>
      </x:c>
      <x:c r="B8" s="49" t="str">
        <x:v>TRF-088</x:v>
      </x:c>
      <x:c r="C8" s="60" t="n">
        <x:v>3</x:v>
      </x:c>
      <x:c r="D8" s="49" t="str">
        <x:v>matcher_decision</x:v>
      </x:c>
      <x:c r="E8" s="50" t="str"/>
      <x:c r="F8" s="60" t="str"/>
      <x:c r="G8" s="87" t="b">
        <x:v>0</x:v>
      </x:c>
      <x:c r="H8" s="49" t="str"/>
      <x:c r="I8" s="50" t="str"/>
      <x:c r="J8" s="50" t="str">
        <x:v>No supplied candidate is a semantically supported canonical linking term for relating the selected Table 6-10 result to ship-owned maximumEngineTorque; tableReference links the lookup case to a table reference, while maximumEngineTorque is only a quantity property.</x:v>
      </x:c>
    </x:row>
  </x:sheetData>
  <x:pageMargins left="0.7" right="0.7" top="0.75" bottom="0.75" header="0.3" footer="0.3"/>
  <x:tableParts count="1">
    <x:tablePart xmlns:r="http://schemas.openxmlformats.org/officeDocument/2006/relationships" r:id="R5b2cfe62b0de42b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RUN-TRF-088-20260830T120917428818Z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RUN-TRF-088-20260830T120917428818Z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675794b506857e94cf7ec37033f424dc81b70821c265bdc2ab42fc79fe1757a5</x:v>
      </x:c>
      <x:c r="G5" s="58" t="n">
        <x:v>30329</x:v>
      </x:c>
    </x:row>
    <x:row r="6">
      <x:c r="A6" s="47" t="str">
        <x:v>RUN-TRF-088-20260830T120917428818Z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RUN-TRF-088-20260830T120917428818Z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5463ab5a4ac5b72ed39b0fdf327c0731064c277b111a21a00eccac92529f69d3</x:v>
      </x:c>
      <x:c r="G7" s="59" t="n">
        <x:v>44953</x:v>
      </x:c>
    </x:row>
    <x:row r="8">
      <x:c r="A8" s="47" t="str">
        <x:v>RUN-TRF-088-20260830T120917428818Z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489858b3b527edc62d3afd56e284b4b4f2b3d1adeccddf8a35ffadb13e87d54c</x:v>
      </x:c>
      <x:c r="G8" s="59" t="n">
        <x:v>2690</x:v>
      </x:c>
    </x:row>
    <x:row r="9">
      <x:c r="A9" s="47" t="str">
        <x:v>RUN-TRF-088-20260830T120917428818Z</x:v>
      </x:c>
      <x:c r="B9" s="47" t="str">
        <x:v>TRF-088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dc40c86201c12b36dd6d1a08920bfaffb84e4a5ae8df632856a8dfe41baa984c</x:v>
      </x:c>
      <x:c r="G9" s="59" t="n">
        <x:v>2665</x:v>
      </x:c>
    </x:row>
    <x:row r="10">
      <x:c r="A10" s="47" t="str">
        <x:v>RUN-TRF-088-20260830T120917428818Z</x:v>
      </x:c>
      <x:c r="B10" s="47" t="str">
        <x:v>TRF-088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7607f0a66921e0d3b07fb742dfcad2728b9b0aa0e44519494a09c22a11df913e</x:v>
      </x:c>
      <x:c r="G10" s="59" t="n">
        <x:v>920</x:v>
      </x:c>
    </x:row>
    <x:row r="11">
      <x:c r="A11" s="47" t="str">
        <x:v>RUN-TRF-088-20260830T120917428818Z</x:v>
      </x:c>
      <x:c r="B11" s="47" t="str">
        <x:v>TRF-088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374ad4703fef40d1177eda9ddab94fc8ba8e15c1cd2c9631facc11390d8158fe</x:v>
      </x:c>
      <x:c r="G11" s="59" t="n">
        <x:v>43814</x:v>
      </x:c>
    </x:row>
    <x:row r="12">
      <x:c r="A12" s="47" t="str">
        <x:v>RUN-TRF-088-20260830T120917428818Z</x:v>
      </x:c>
      <x:c r="B12" s="47" t="str">
        <x:v>TRF-088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eaec11d0f2e7786ded2b3c68d2a859803484d58bc6549767cb5b5311ff9cbfc9</x:v>
      </x:c>
      <x:c r="G12" s="59" t="n">
        <x:v>529</x:v>
      </x:c>
    </x:row>
    <x:row r="13">
      <x:c r="A13" s="47" t="str">
        <x:v>RUN-TRF-088-20260830T120917428818Z</x:v>
      </x:c>
      <x:c r="B13" s="47" t="str">
        <x:v>TRF-088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ea261c0c6489c6afd4079e95a836f9f623e36704d29d251fa921c895c450ab4b</x:v>
      </x:c>
      <x:c r="G13" s="59" t="n">
        <x:v>45417</x:v>
      </x:c>
    </x:row>
    <x:row r="14">
      <x:c r="A14" s="47" t="str">
        <x:v>RUN-TRF-088-20260830T120917428818Z</x:v>
      </x:c>
      <x:c r="B14" s="47" t="str">
        <x:v>TRF-088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9a63ec6289a4eb595992dd6dfda1c37a4adb6b9b8a54742a079f555c66f8e5ec</x:v>
      </x:c>
      <x:c r="G14" s="59" t="n">
        <x:v>3671</x:v>
      </x:c>
    </x:row>
    <x:row r="15">
      <x:c r="A15" s="47" t="str">
        <x:v>RUN-TRF-088-20260830T120917428818Z</x:v>
      </x:c>
      <x:c r="B15" s="47" t="str">
        <x:v>TRF-088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b927387f064403da72341af841f70b2aed5e570ca298c2b82fe39f1a4aec6a18</x:v>
      </x:c>
      <x:c r="G15" s="59" t="n">
        <x:v>4828</x:v>
      </x:c>
    </x:row>
    <x:row r="16">
      <x:c r="A16" s="47" t="str">
        <x:v>RUN-TRF-088-20260830T120917428818Z</x:v>
      </x:c>
      <x:c r="B16" s="47" t="str">
        <x:v>TRF-088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9a63ec6289a4eb595992dd6dfda1c37a4adb6b9b8a54742a079f555c66f8e5ec</x:v>
      </x:c>
      <x:c r="G16" s="59" t="n">
        <x:v>3671</x:v>
      </x:c>
    </x:row>
    <x:row r="17">
      <x:c r="A17" s="47" t="str">
        <x:v>RUN-TRF-088-20260830T120917428818Z</x:v>
      </x:c>
      <x:c r="B17" s="47" t="str">
        <x:v>TRF-088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b927387f064403da72341af841f70b2aed5e570ca298c2b82fe39f1a4aec6a18</x:v>
      </x:c>
      <x:c r="G17" s="59" t="n">
        <x:v>4828</x:v>
      </x:c>
    </x:row>
    <x:row r="18">
      <x:c r="A18" s="47" t="str">
        <x:v>RUN-TRF-088-20260830T120917428818Z</x:v>
      </x:c>
      <x:c r="B18" s="47" t="str">
        <x:v>TRF-088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e6dee51baebc446330dcb1a2c8ed614058e7a33756f7df9cb6c616764ea3a66e</x:v>
      </x:c>
      <x:c r="G18" s="59" t="n">
        <x:v>3669</x:v>
      </x:c>
    </x:row>
    <x:row r="19">
      <x:c r="A19" s="47" t="str">
        <x:v>RUN-TRF-088-20260830T120917428818Z</x:v>
      </x:c>
      <x:c r="B19" s="47" t="str">
        <x:v>TRF-088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a48f77846fc86c2fc229f44702c3e724a313037bdafe49630244be191cdf45ad</x:v>
      </x:c>
      <x:c r="G19" s="59" t="n">
        <x:v>3644</x:v>
      </x:c>
    </x:row>
    <x:row r="20">
      <x:c r="A20" s="47" t="str">
        <x:v>RUN-TRF-088-20260830T120917428818Z</x:v>
      </x:c>
      <x:c r="B20" s="47" t="str">
        <x:v>TRF-088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7607f0a66921e0d3b07fb742dfcad2728b9b0aa0e44519494a09c22a11df913e</x:v>
      </x:c>
      <x:c r="G20" s="59" t="n">
        <x:v>920</x:v>
      </x:c>
    </x:row>
    <x:row r="21">
      <x:c r="A21" s="47" t="str">
        <x:v>RUN-TRF-088-20260830T120917428818Z</x:v>
      </x:c>
      <x:c r="B21" s="47" t="str">
        <x:v>TRF-088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d49eab1609d7df38046dda888094bf1f021b46896f61ee5a718fb135b1430ecd</x:v>
      </x:c>
      <x:c r="G21" s="59" t="n">
        <x:v>45296</x:v>
      </x:c>
    </x:row>
    <x:row r="22">
      <x:c r="A22" s="47" t="str">
        <x:v>RUN-TRF-088-20260830T120917428818Z</x:v>
      </x:c>
      <x:c r="B22" s="47" t="str">
        <x:v>TRF-088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eeb52b4c529f38500623daceef9477d601e4201ff93592539e8818b23c40bd1a</x:v>
      </x:c>
      <x:c r="G22" s="59" t="n">
        <x:v>808</x:v>
      </x:c>
    </x:row>
    <x:row r="23">
      <x:c r="A23" s="47" t="str">
        <x:v>RUN-TRF-088-20260830T120917428818Z</x:v>
      </x:c>
      <x:c r="B23" s="47" t="str">
        <x:v>TRF-088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5b7f4cd2d6829ce7d80bfab023a1ce85a495bd3ccaecf6a2d90a8335c9371f1c</x:v>
      </x:c>
      <x:c r="G23" s="59" t="n">
        <x:v>3524</x:v>
      </x:c>
    </x:row>
    <x:row r="24">
      <x:c r="A24" s="47" t="str">
        <x:v>RUN-TRF-088-20260830T120917428818Z</x:v>
      </x:c>
      <x:c r="B24" s="47" t="str">
        <x:v>TRF-088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cf9d782db3bac2d3ca6e756af32f33ec4ceca494c27c967d0b173dc1873bfcdd</x:v>
      </x:c>
      <x:c r="G24" s="59" t="n">
        <x:v>9491</x:v>
      </x:c>
    </x:row>
    <x:row r="25">
      <x:c r="A25" s="47" t="str">
        <x:v>RUN-TRF-088-20260830T120917428818Z</x:v>
      </x:c>
      <x:c r="B25" s="47" t="str">
        <x:v>TRF-088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f5f7acbb9c80a117d8afcd47bcf23c51f3efcf9d856e399912546ebcc3cbf85e</x:v>
      </x:c>
      <x:c r="G25" s="59" t="n">
        <x:v>369</x:v>
      </x:c>
    </x:row>
    <x:row r="26">
      <x:c r="A26" s="47" t="str">
        <x:v>RUN-TRF-088-20260830T120917428818Z</x:v>
      </x:c>
      <x:c r="B26" s="47" t="str">
        <x:v>TRF-088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082e31ff9675687b52afb34c057f84ce086cd9764ce3ebab6eb0bcbbf65fa27a</x:v>
      </x:c>
      <x:c r="G26" s="59" t="n">
        <x:v>30367</x:v>
      </x:c>
    </x:row>
    <x:row r="27">
      <x:c r="A27" s="47" t="str">
        <x:v>RUN-TRF-088-20260830T120917428818Z</x:v>
      </x:c>
      <x:c r="B27" s="47" t="str">
        <x:v>TRF-088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aa9887a9385c2c91b753b083723be3327251b649a7ba2b6a8e132af2ca8ea8ff</x:v>
      </x:c>
      <x:c r="G27" s="59" t="n">
        <x:v>46523</x:v>
      </x:c>
    </x:row>
    <x:row r="28">
      <x:c r="A28" s="47" t="str">
        <x:v>RUN-TRF-088-20260830T120917428818Z</x:v>
      </x:c>
      <x:c r="B28" s="47" t="str">
        <x:v>TRF-088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8b9704b949cd0b8635c895d61ce028c602ba8630c25570235572fce6f8f18fff</x:v>
      </x:c>
      <x:c r="G28" s="59" t="n">
        <x:v>3433</x:v>
      </x:c>
    </x:row>
    <x:row r="29">
      <x:c r="A29" s="47" t="str">
        <x:v>RUN-TRF-088-20260830T120917428818Z</x:v>
      </x:c>
      <x:c r="B29" s="47" t="str">
        <x:v>TRF-088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e395cfeff965a5cde8d73eabcfbb2cc5da9c56ee335550f1ab81072983f8fb9d</x:v>
      </x:c>
      <x:c r="G29" s="59" t="n">
        <x:v>3408</x:v>
      </x:c>
    </x:row>
    <x:row r="30">
      <x:c r="A30" s="47" t="str">
        <x:v>RUN-TRF-088-20260830T120917428818Z</x:v>
      </x:c>
      <x:c r="B30" s="47" t="str">
        <x:v>TRF-088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7607f0a66921e0d3b07fb742dfcad2728b9b0aa0e44519494a09c22a11df913e</x:v>
      </x:c>
      <x:c r="G30" s="59" t="n">
        <x:v>920</x:v>
      </x:c>
    </x:row>
    <x:row r="31">
      <x:c r="A31" s="47" t="str">
        <x:v>RUN-TRF-088-20260830T120917428818Z</x:v>
      </x:c>
      <x:c r="B31" s="47" t="str">
        <x:v>TRF-088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b43e4755329afea8c753decef5826bdb61cde00afd4ea5c8df117b0c94a16802</x:v>
      </x:c>
      <x:c r="G31" s="59" t="n">
        <x:v>46182</x:v>
      </x:c>
    </x:row>
    <x:row r="32">
      <x:c r="A32" s="47" t="str">
        <x:v>RUN-TRF-088-20260830T120917428818Z</x:v>
      </x:c>
      <x:c r="B32" s="47" t="str">
        <x:v>TRF-088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065c270456ca74a18c7837795e7accaf9e0349f87ace7374000f0e6200f101c9</x:v>
      </x:c>
      <x:c r="G32" s="59" t="n">
        <x:v>757</x:v>
      </x:c>
    </x:row>
    <x:row r="33">
      <x:c r="A33" s="47" t="str">
        <x:v>RUN-TRF-088-20260830T120917428818Z</x:v>
      </x:c>
      <x:c r="B33" s="47" t="str">
        <x:v>TRF-088</x:v>
      </x:c>
      <x:c r="C33" s="59" t="n">
        <x:v>3</x:v>
      </x:c>
      <x:c r="D33" s="47" t="str">
        <x:v>matcher_candidates</x:v>
      </x:c>
      <x:c r="E33" s="48" t="str">
        <x:v>artifacts/attempt_03/matcher_candidates.json</x:v>
      </x:c>
      <x:c r="F33" s="47" t="str">
        <x:v>94eb274af9daf5723332b2f559b1c22de383962746793f559daaf75f095a3538</x:v>
      </x:c>
      <x:c r="G33" s="59" t="n">
        <x:v>2211</x:v>
      </x:c>
    </x:row>
    <x:row r="34">
      <x:c r="A34" s="47" t="str">
        <x:v>RUN-TRF-088-20260830T120917428818Z</x:v>
      </x:c>
      <x:c r="B34" s="47" t="str">
        <x:v>TRF-088</x:v>
      </x:c>
      <x:c r="C34" s="59" t="n">
        <x:v>3</x:v>
      </x:c>
      <x:c r="D34" s="47" t="str">
        <x:v>vocabulary_matcher_prompt</x:v>
      </x:c>
      <x:c r="E34" s="48" t="str">
        <x:v>artifacts/attempt_03/vocabulary_matcher_prompt_01.txt</x:v>
      </x:c>
      <x:c r="F34" s="47" t="str">
        <x:v>f2f5246becefcd4b3d6b24ff101d8f29e964ada1698b45739c804d347695c758</x:v>
      </x:c>
      <x:c r="G34" s="59" t="n">
        <x:v>8051</x:v>
      </x:c>
    </x:row>
    <x:row r="35">
      <x:c r="A35" s="49" t="str">
        <x:v>RUN-TRF-088-20260830T120917428818Z</x:v>
      </x:c>
      <x:c r="B35" s="49" t="str">
        <x:v>TRF-088</x:v>
      </x:c>
      <x:c r="C35" s="60" t="n">
        <x:v>3</x:v>
      </x:c>
      <x:c r="D35" s="49" t="str">
        <x:v>vocabulary_matcher_raw_response</x:v>
      </x:c>
      <x:c r="E35" s="50" t="str">
        <x:v>artifacts/attempt_03/vocabulary_matcher_raw_01.txt</x:v>
      </x:c>
      <x:c r="F35" s="49" t="str">
        <x:v>0db0d8eae4abf46845612dc537c3bef168f592156419f9d34483a00bd5b121c0</x:v>
      </x:c>
      <x:c r="G35" s="60" t="n">
        <x:v>354</x:v>
      </x:c>
    </x:row>
  </x:sheetData>
  <x:pageMargins left="0.7" right="0.7" top="0.75" bottom="0.75" header="0.3" footer="0.3"/>
  <x:tableParts count="1">
    <x:tablePart xmlns:r="http://schemas.openxmlformats.org/officeDocument/2006/relationships" r:id="R4f05a14466be475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RUN-TRF-088-20260830T120917428818Z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RUN-TRF-088-20260830T120917428818Z</x:v>
      </x:c>
      <x:c r="B5" s="69" t="str">
        <x:v>TRF-088</x:v>
      </x:c>
      <x:c r="C5" s="71" t="n">
        <x:v>3</x:v>
      </x:c>
      <x:c r="D5" s="69" t="str">
        <x:v>TERM_RESOLUTION_UNRESOLVED</x:v>
      </x:c>
      <x:c r="E5" s="73" t="str">
        <x:v>No supplied candidate is a semantically supported canonical linking term for relating the selected Table 6-10 result to ship-owned maximumEngineTorque; tableReference links the lookup case to a table reference, while maximumEngineTorque is only a quantity property.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5c52dd4b0940d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RUN-TRF-088-20260830T120917428818Z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