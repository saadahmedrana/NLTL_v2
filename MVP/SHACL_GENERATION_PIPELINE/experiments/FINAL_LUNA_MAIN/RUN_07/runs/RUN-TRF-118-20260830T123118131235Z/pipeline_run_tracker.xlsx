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9b76b2ac2b4643" /></Relationships>
</file>

<file path=xl/workbook.xml><?xml version="1.0" encoding="utf-8"?>
<x:workbook xmlns:x="http://schemas.openxmlformats.org/spreadsheetml/2006/main">
  <x:sheets>
    <x:sheet xmlns:r="http://schemas.openxmlformats.org/officeDocument/2006/relationships" name="SUMMARY" sheetId="1" r:id="R221169ee076b4906"/>
    <x:sheet xmlns:r="http://schemas.openxmlformats.org/officeDocument/2006/relationships" name="README" sheetId="2" r:id="Redf23c71baf942c3"/>
    <x:sheet xmlns:r="http://schemas.openxmlformats.org/officeDocument/2006/relationships" name="REGULATION_QUEUE" sheetId="3" r:id="R30ecfa8686174654"/>
    <x:sheet xmlns:r="http://schemas.openxmlformats.org/officeDocument/2006/relationships" name="RUNS" sheetId="4" r:id="R508d1d927c26430f"/>
    <x:sheet xmlns:r="http://schemas.openxmlformats.org/officeDocument/2006/relationships" name="ITERATIONS" sheetId="5" r:id="R890701ffcf514eab"/>
    <x:sheet xmlns:r="http://schemas.openxmlformats.org/officeDocument/2006/relationships" name="API_CALLS" sheetId="6" r:id="R1ddf109db5d2455d"/>
    <x:sheet xmlns:r="http://schemas.openxmlformats.org/officeDocument/2006/relationships" name="TERM_RETRIEVAL" sheetId="7" r:id="R15d0706ef1a642de"/>
    <x:sheet xmlns:r="http://schemas.openxmlformats.org/officeDocument/2006/relationships" name="FEW_SHOT_SELECTION" sheetId="8" r:id="Rac7448f87de6493c"/>
    <x:sheet xmlns:r="http://schemas.openxmlformats.org/officeDocument/2006/relationships" name="VALIDATION" sheetId="9" r:id="R13d75678994d41c7"/>
    <x:sheet xmlns:r="http://schemas.openxmlformats.org/officeDocument/2006/relationships" name="VOCAB_MATCHES" sheetId="10" r:id="Rc263db5c04ec4666"/>
    <x:sheet xmlns:r="http://schemas.openxmlformats.org/officeDocument/2006/relationships" name="ARTIFACTS" sheetId="11" r:id="Refe54cb553464498"/>
    <x:sheet xmlns:r="http://schemas.openxmlformats.org/officeDocument/2006/relationships" name="UNRESOLVED" sheetId="12" r:id="R27ae2c6f96e24e72"/>
    <x:sheet xmlns:r="http://schemas.openxmlformats.org/officeDocument/2006/relationships" name="RDF_TEST_QUEUE" sheetId="13" r:id="R8d7d9741406745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d3bfb0a9ca486b" /><Relationship Type="http://schemas.openxmlformats.org/officeDocument/2006/relationships/theme" Target="/xl/theme/theme1.xml" Id="R54b7d65e46b241a7" /><Relationship Type="http://schemas.microsoft.com/office/2022/11/relationships/FeaturePropertyBag" Target="/xl/featurePropertyBag/featurePropertyBag.xml" Id="Rfa11251289214e6d" /><Relationship Type="http://schemas.openxmlformats.org/officeDocument/2006/relationships/sharedStrings" Target="/xl/sharedStrings.xml" Id="R0a9ed9b8677c4c66" /><Relationship Type="http://schemas.openxmlformats.org/officeDocument/2006/relationships/worksheet" Target="/xl/worksheets/sheet1.xml" Id="R221169ee076b4906" /><Relationship Type="http://schemas.openxmlformats.org/officeDocument/2006/relationships/worksheet" Target="/xl/worksheets/sheet2.xml" Id="Redf23c71baf942c3" /><Relationship Type="http://schemas.openxmlformats.org/officeDocument/2006/relationships/worksheet" Target="/xl/worksheets/sheet3.xml" Id="R30ecfa8686174654" /><Relationship Type="http://schemas.openxmlformats.org/officeDocument/2006/relationships/worksheet" Target="/xl/worksheets/sheet4.xml" Id="R508d1d927c26430f" /><Relationship Type="http://schemas.openxmlformats.org/officeDocument/2006/relationships/worksheet" Target="/xl/worksheets/sheet5.xml" Id="R890701ffcf514eab" /><Relationship Type="http://schemas.openxmlformats.org/officeDocument/2006/relationships/worksheet" Target="/xl/worksheets/sheet6.xml" Id="R1ddf109db5d2455d" /><Relationship Type="http://schemas.openxmlformats.org/officeDocument/2006/relationships/worksheet" Target="/xl/worksheets/sheet7.xml" Id="R15d0706ef1a642de" /><Relationship Type="http://schemas.openxmlformats.org/officeDocument/2006/relationships/worksheet" Target="/xl/worksheets/sheet8.xml" Id="Rac7448f87de6493c" /><Relationship Type="http://schemas.openxmlformats.org/officeDocument/2006/relationships/worksheet" Target="/xl/worksheets/sheet9.xml" Id="R13d75678994d41c7" /><Relationship Type="http://schemas.openxmlformats.org/officeDocument/2006/relationships/worksheet" Target="/xl/worksheets/sheet10.xml" Id="Rc263db5c04ec4666" /><Relationship Type="http://schemas.openxmlformats.org/officeDocument/2006/relationships/worksheet" Target="/xl/worksheets/sheet11.xml" Id="Refe54cb553464498" /><Relationship Type="http://schemas.openxmlformats.org/officeDocument/2006/relationships/worksheet" Target="/xl/worksheets/sheet12.xml" Id="R27ae2c6f96e24e72" /><Relationship Type="http://schemas.openxmlformats.org/officeDocument/2006/relationships/worksheet" Target="/xl/worksheets/sheet13.xml" Id="R8d7d9741406745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1"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2b0ca3bd61412e" /></Relationships>
</file>

<file path=xl/worksheets/_rels/sheet3.xml.rels>&#65279;<?xml version="1.0" encoding="utf-8"?><Relationships xmlns="http://schemas.openxmlformats.org/package/2006/relationships"><Relationship Type="http://schemas.openxmlformats.org/officeDocument/2006/relationships/table" Target="/xl/tables/table2.xml" Id="R0f0aef81b2d44c35" /></Relationships>
</file>

<file path=xl/worksheets/_rels/sheet4.xml.rels>&#65279;<?xml version="1.0" encoding="utf-8"?><Relationships xmlns="http://schemas.openxmlformats.org/package/2006/relationships"><Relationship Type="http://schemas.openxmlformats.org/officeDocument/2006/relationships/table" Target="/xl/tables/table3.xml" Id="Rf626afdd0b814cd5" /></Relationships>
</file>

<file path=xl/worksheets/_rels/sheet5.xml.rels>&#65279;<?xml version="1.0" encoding="utf-8"?><Relationships xmlns="http://schemas.openxmlformats.org/package/2006/relationships"><Relationship Type="http://schemas.openxmlformats.org/officeDocument/2006/relationships/table" Target="/xl/tables/table4.xml" Id="R69b68a9a619945fb" /></Relationships>
</file>

<file path=xl/worksheets/_rels/sheet6.xml.rels>&#65279;<?xml version="1.0" encoding="utf-8"?><Relationships xmlns="http://schemas.openxmlformats.org/package/2006/relationships"><Relationship Type="http://schemas.openxmlformats.org/officeDocument/2006/relationships/table" Target="/xl/tables/table5.xml" Id="R9671e022f9fe4d68" /></Relationships>
</file>

<file path=xl/worksheets/_rels/sheet7.xml.rels>&#65279;<?xml version="1.0" encoding="utf-8"?><Relationships xmlns="http://schemas.openxmlformats.org/package/2006/relationships"><Relationship Type="http://schemas.openxmlformats.org/officeDocument/2006/relationships/table" Target="/xl/tables/table6.xml" Id="Rbe21b20f40824f93" /></Relationships>
</file>

<file path=xl/worksheets/_rels/sheet8.xml.rels>&#65279;<?xml version="1.0" encoding="utf-8"?><Relationships xmlns="http://schemas.openxmlformats.org/package/2006/relationships"><Relationship Type="http://schemas.openxmlformats.org/officeDocument/2006/relationships/table" Target="/xl/tables/table7.xml" Id="Rad85eb70d77d4f66" /></Relationships>
</file>

<file path=xl/worksheets/_rels/sheet9.xml.rels>&#65279;<?xml version="1.0" encoding="utf-8"?><Relationships xmlns="http://schemas.openxmlformats.org/package/2006/relationships"><Relationship Type="http://schemas.openxmlformats.org/officeDocument/2006/relationships/table" Target="/xl/tables/table8.xml" Id="Rab81a13234164a42" /></Relationships>
</file>

<file path=xl/worksheets/_rels/sheet10.xml.rels>&#65279;<?xml version="1.0" encoding="utf-8"?><Relationships xmlns="http://schemas.openxmlformats.org/package/2006/relationships"><Relationship Type="http://schemas.openxmlformats.org/officeDocument/2006/relationships/table" Target="/xl/tables/table9.xml" Id="R62a67a57cec04391" /></Relationships>
</file>

<file path=xl/worksheets/_rels/sheet11.xml.rels>&#65279;<?xml version="1.0" encoding="utf-8"?><Relationships xmlns="http://schemas.openxmlformats.org/package/2006/relationships"><Relationship Type="http://schemas.openxmlformats.org/officeDocument/2006/relationships/table" Target="/xl/tables/table10.xml" Id="R37aab6a3cedd42ee" /></Relationships>
</file>

<file path=xl/worksheets/_rels/sheet12.xml.rels>&#65279;<?xml version="1.0" encoding="utf-8"?><Relationships xmlns="http://schemas.openxmlformats.org/package/2006/relationships"><Relationship Type="http://schemas.openxmlformats.org/officeDocument/2006/relationships/table" Target="/xl/tables/table11.xml" Id="R5b28c0fe20db4f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RUN-TRF-118-20260830T123118131235Z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COUNTA('API_CALLS'!$A$5:$A$21)</x:f>
        <x:v>17</x:v>
      </x:c>
      <x:c r="C9" s="21"/>
      <x:c r="D9" s="21"/>
    </x:row>
    <x:row r="10">
      <x:c r="A10" s="27" t="str">
        <x:v>Mean API/LLM elapsed ms</x:v>
      </x:c>
      <x:c r="B10" s="28" t="n">
        <x:f>IFERROR(AVERAGE('API_CALLS'!$K$5:$K$21),0)</x:f>
        <x:v>13781.127411764706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RUN-TRF-118-20260830T123118131235Z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92b0ca3bd6141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RUN-TRF-118-20260830T123118131235Z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TERM_RESOLUTION_UNRESOLVED</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f0aef81b2d44c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RUN-TRF-118-20260830T123118131235Z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RUN-TRF-118-20260830T123118131235Z</x:v>
      </x:c>
      <x:c r="C5" s="69" t="str">
        <x:v>TRF-118</x:v>
      </x:c>
      <x:c r="D5" s="70" t="n">
        <x:v>46264.52173763889</x:v>
      </x:c>
      <x:c r="E5" s="70" t="n">
        <x:v>46264.52316733796</x:v>
      </x:c>
      <x:c r="F5" s="69" t="str">
        <x:v>final-luna-main-run07</x:v>
      </x:c>
      <x:c r="G5" s="69" t="str">
        <x:v>VOCAB-LOCK-2026-08-22-R13</x:v>
      </x:c>
      <x:c r="H5" s="71" t="n">
        <x:v>3</x:v>
      </x:c>
      <x:c r="I5" s="69" t="str">
        <x:v>TERM_RESOLUTION_UNRESOLVED</x:v>
      </x:c>
      <x:c r="J5" s="72" t="b">
        <x:v>0</x:v>
      </x:c>
      <x:c r="K5" s="69" t="str"/>
      <x:c r="L5" s="73" t="str">
        <x:v>No supplied candidate is semantically verified as a canonical ship-to-materialProperties path; hasMaterialProperties is explicitly identified as the existing component-to-materialProperties property and is therefore incompatible with the required ship-owned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26afdd0b814c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RUN-TRF-118-20260830T123118131235Z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RUN-TRF-118-20260830T123118131235Z</x:v>
      </x:c>
      <x:c r="B5" s="45" t="str">
        <x:v>TRF-118</x:v>
      </x:c>
      <x:c r="C5" s="58" t="n">
        <x:v>1</x:v>
      </x:c>
      <x:c r="D5" s="83" t="b">
        <x:v>1</x:v>
      </x:c>
      <x:c r="E5" s="83" t="b">
        <x:v>0</x:v>
      </x:c>
      <x:c r="F5" s="83" t="b">
        <x:v>0</x:v>
      </x:c>
      <x:c r="G5" s="45" t="str">
        <x:v>REVISE</x:v>
      </x:c>
      <x:c r="H5" s="46" t="str">
        <x:v>Repair the owner/path structure for materialProperties. The canonical metadata declares materialProperties with requiredOwner ship, while the candidate creates it only as a node reached from shipComponent through hasMaterialProperties; this places the class on the wrong owner. Preserve the declared hasMaterialProperties domain and add or use a canonical ship-to-materialProperties path consistent with the authoritative requiredOwner, rather than relocating or duplicating the material property. Ensure the resulting shape still places componentMaterialYieldStrength on its declared materialProperties owner and retains the declared assessment-to-component pairing.</x:v>
      </x:c>
      <x:c r="I5" s="84" t="n">
        <x:v>26238.547</x:v>
      </x:c>
      <x:c r="J5" s="84" t="n">
        <x:v>19949.868</x:v>
      </x:c>
    </x:row>
    <x:row r="6">
      <x:c r="A6" s="47" t="str">
        <x:v>RUN-TRF-118-20260830T123118131235Z</x:v>
      </x:c>
      <x:c r="B6" s="47" t="str">
        <x:v>TRF-118</x:v>
      </x:c>
      <x:c r="C6" s="59" t="n">
        <x:v>2</x:v>
      </x:c>
      <x:c r="D6" s="85" t="b">
        <x:v>1</x:v>
      </x:c>
      <x:c r="E6" s="85" t="b">
        <x:v>0</x:v>
      </x:c>
      <x:c r="F6" s="85" t="b">
        <x:v>1</x:v>
      </x:c>
      <x:c r="G6" s="47" t="str">
        <x:v>REVISE_WITH_MATCH</x:v>
      </x:c>
      <x:c r="H6" s="48" t="str">
        <x:v>The prior materialProperties owner/path repair remains unresolved. materialProperties has authoritative requiredOwner ship, but the candidate creates it only through shipComponent/hasMaterialProperties and duplicates the same material-yield-strength fact inside each assessment, placing the class and property on the wrong owner. Locate or supply a canonical ship-to-materialProperties path, activate the matcher for that genuinely missing cross-owner path, then constrain componentMaterialYieldStrength only on the resulting ship-owned materialProperties node while retaining the assessment-to-assessedThrusterComponent pairing. Remove the component-owned and duplicated material-properties structures; preserve all declared operand and result checks.</x:v>
      </x:c>
      <x:c r="I6" s="86" t="n">
        <x:v>36562.449</x:v>
      </x:c>
      <x:c r="J6" s="86" t="n">
        <x:v>5449.842</x:v>
      </x:c>
    </x:row>
    <x:row r="7">
      <x:c r="A7" s="49" t="str">
        <x:v>RUN-TRF-118-20260830T123118131235Z</x:v>
      </x:c>
      <x:c r="B7" s="49" t="str">
        <x:v>TRF-118</x:v>
      </x:c>
      <x:c r="C7" s="60" t="n">
        <x:v>3</x:v>
      </x:c>
      <x:c r="D7" s="87" t="b">
        <x:v>1</x:v>
      </x:c>
      <x:c r="E7" s="87" t="b">
        <x:v>0</x:v>
      </x:c>
      <x:c r="F7" s="87" t="b">
        <x:v>1</x:v>
      </x:c>
      <x:c r="G7" s="49" t="str">
        <x:v>STOP_TERM_RESOLUTION</x:v>
      </x:c>
      <x:c r="H7" s="50" t="str">
        <x:v>The materialProperties owner/path repair remains unresolved. Canonical metadata declares materialProperties as ship-owned, while the used hasMaterialProperties property has requiredOwner shipComponent; placing that property directly on the ship is domain-incompatible and does not establish the required ship-to-materialProperties path. Locate a canonical ship-to-materialProperties path with the matcher, then constrain componentMaterialYieldStrength only on the resulting ship-owned materialProperties node. Do not relocate it to a component, duplicate it, or use the existing component-to-materialProperties property on the ship. Preserve the valid ship-owned operands, assessment-to-assessedThrusterComponent pairing, assessedFactoredExtremeLoad result, and both explicit readiness booleans.</x:v>
      </x:c>
      <x:c r="I7" s="88" t="n">
        <x:v>18169.965</x:v>
      </x:c>
      <x:c r="J7" s="88" t="n">
        <x:v>7899.161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b68a9a619945f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RUN-TRF-118-20260830T123118131235Z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RUN-TRF-118-20260830T123118131235Z</x:v>
      </x:c>
      <x:c r="C5" s="45" t="str">
        <x:v>TRF-118</x:v>
      </x:c>
      <x:c r="D5" s="92" t="n">
        <x:v>46264.521743819445</x:v>
      </x:c>
      <x:c r="E5" s="45" t="str">
        <x:v>generator</x:v>
      </x:c>
      <x:c r="F5" s="45" t="str">
        <x:v>gpt-5.6-luna-2026-07-09</x:v>
      </x:c>
      <x:c r="G5" s="45" t="n">
        <x:v>1</x:v>
      </x:c>
      <x:c r="H5" s="45" t="n">
        <x:v>500</x:v>
      </x:c>
      <x:c r="I5" s="45" t="str">
        <x:v>Ocp-Apim-Subscription-Key</x:v>
      </x:c>
      <x:c r="J5" s="84" t="n">
        <x:v>0</x:v>
      </x:c>
      <x:c r="K5" s="84" t="n">
        <x:v>530.33</x:v>
      </x:c>
      <x:c r="L5" s="83" t="b">
        <x:v>1</x:v>
      </x:c>
      <x:c r="M5" s="45" t="str"/>
      <x:c r="N5" s="58" t="str"/>
      <x:c r="O5" s="58" t="str"/>
      <x:c r="P5" s="58" t="str"/>
    </x:row>
    <x:row r="6">
      <x:c r="A6" s="47" t="str">
        <x:v>EVT-000032</x:v>
      </x:c>
      <x:c r="B6" s="47" t="str">
        <x:v>RUN-TRF-118-20260830T123118131235Z</x:v>
      </x:c>
      <x:c r="C6" s="47" t="str">
        <x:v>TRF-118</x:v>
      </x:c>
      <x:c r="D6" s="93" t="n">
        <x:v>46264.52204135417</x:v>
      </x:c>
      <x:c r="E6" s="47" t="str">
        <x:v>generator</x:v>
      </x:c>
      <x:c r="F6" s="47" t="str">
        <x:v>gpt-5.6-luna-2026-07-09</x:v>
      </x:c>
      <x:c r="G6" s="47" t="n">
        <x:v>2</x:v>
      </x:c>
      <x:c r="H6" s="47" t="n">
        <x:v>200</x:v>
      </x:c>
      <x:c r="I6" s="47" t="str">
        <x:v>Ocp-Apim-Subscription-Key</x:v>
      </x:c>
      <x:c r="J6" s="86" t="n">
        <x:v>0</x:v>
      </x:c>
      <x:c r="K6" s="86" t="n">
        <x:v>20281.054</x:v>
      </x:c>
      <x:c r="L6" s="85" t="b">
        <x:v>0</x:v>
      </x:c>
      <x:c r="M6" s="47" t="str"/>
      <x:c r="N6" s="59" t="str"/>
      <x:c r="O6" s="59" t="str"/>
      <x:c r="P6" s="59" t="str"/>
    </x:row>
    <x:row r="7">
      <x:c r="A7" s="47" t="str">
        <x:v>EVT-000033</x:v>
      </x:c>
      <x:c r="B7" s="47" t="str">
        <x:v>RUN-TRF-118-20260830T123118131235Z</x:v>
      </x:c>
      <x:c r="C7" s="47" t="str">
        <x:v>TRF-118</x:v>
      </x:c>
      <x:c r="D7" s="93" t="n">
        <x:v>46264.52204137731</x:v>
      </x:c>
      <x:c r="E7" s="47" t="str">
        <x:v>generator</x:v>
      </x:c>
      <x:c r="F7" s="47" t="str">
        <x:v>gpt-5.6-luna-2026-07-09</x:v>
      </x:c>
      <x:c r="G7" s="47" t="n">
        <x:v>2</x:v>
      </x:c>
      <x:c r="H7" s="47" t="str">
        <x:v>COMPLETED</x:v>
      </x:c>
      <x:c r="I7" s="47" t="str"/>
      <x:c r="J7" s="86" t="n">
        <x:v>0</x:v>
      </x:c>
      <x:c r="K7" s="86" t="n">
        <x:v>26238.547</x:v>
      </x:c>
      <x:c r="L7" s="85" t="b">
        <x:v>0</x:v>
      </x:c>
      <x:c r="M7" s="47" t="str">
        <x:v>resp_088b60c916169a41006a94229c2c648194b848a5c10225c997</x:v>
      </x:c>
      <x:c r="N7" s="59" t="n">
        <x:v>11884</x:v>
      </x:c>
      <x:c r="O7" s="59" t="n">
        <x:v>2348</x:v>
      </x:c>
      <x:c r="P7" s="59" t="n">
        <x:v>14232</x:v>
      </x:c>
    </x:row>
    <x:row r="8">
      <x:c r="A8" s="47" t="str">
        <x:v>EVT-000040</x:v>
      </x:c>
      <x:c r="B8" s="47" t="str">
        <x:v>RUN-TRF-118-20260830T123118131235Z</x:v>
      </x:c>
      <x:c r="C8" s="47" t="str">
        <x:v>TRF-118</x:v>
      </x:c>
      <x:c r="D8" s="93" t="n">
        <x:v>46264.52227482639</x:v>
      </x:c>
      <x:c r="E8" s="47" t="str">
        <x:v>validator</x:v>
      </x:c>
      <x:c r="F8" s="47" t="str">
        <x:v>gpt-5.6-luna-2026-07-09</x:v>
      </x:c>
      <x:c r="G8" s="47" t="n">
        <x:v>1</x:v>
      </x:c>
      <x:c r="H8" s="47" t="n">
        <x:v>200</x:v>
      </x:c>
      <x:c r="I8" s="47" t="str">
        <x:v>Ocp-Apim-Subscription-Key</x:v>
      </x:c>
      <x:c r="J8" s="86" t="n">
        <x:v>0</x:v>
      </x:c>
      <x:c r="K8" s="86" t="n">
        <x:v>19949.058</x:v>
      </x:c>
      <x:c r="L8" s="85" t="b">
        <x:v>0</x:v>
      </x:c>
      <x:c r="M8" s="47" t="str"/>
      <x:c r="N8" s="59" t="str"/>
      <x:c r="O8" s="59" t="str"/>
      <x:c r="P8" s="59" t="str"/>
    </x:row>
    <x:row r="9">
      <x:c r="A9" s="47" t="str">
        <x:v>EVT-000041</x:v>
      </x:c>
      <x:c r="B9" s="47" t="str">
        <x:v>RUN-TRF-118-20260830T123118131235Z</x:v>
      </x:c>
      <x:c r="C9" s="47" t="str">
        <x:v>TRF-118</x:v>
      </x:c>
      <x:c r="D9" s="93" t="n">
        <x:v>46264.52227483796</x:v>
      </x:c>
      <x:c r="E9" s="47" t="str">
        <x:v>validator</x:v>
      </x:c>
      <x:c r="F9" s="47" t="str">
        <x:v>gpt-5.6-luna-2026-07-09</x:v>
      </x:c>
      <x:c r="G9" s="47" t="n">
        <x:v>1</x:v>
      </x:c>
      <x:c r="H9" s="47" t="str">
        <x:v>COMPLETED</x:v>
      </x:c>
      <x:c r="I9" s="47" t="str"/>
      <x:c r="J9" s="86" t="n">
        <x:v>0</x:v>
      </x:c>
      <x:c r="K9" s="86" t="n">
        <x:v>19949.868</x:v>
      </x:c>
      <x:c r="L9" s="85" t="b">
        <x:v>0</x:v>
      </x:c>
      <x:c r="M9" s="47" t="str">
        <x:v>resp_0e93bc4ab549b2de006a9422b0c2a48190881f76432f1e5f83</x:v>
      </x:c>
      <x:c r="N9" s="59" t="n">
        <x:v>12493</x:v>
      </x:c>
      <x:c r="O9" s="59" t="n">
        <x:v>1680</x:v>
      </x:c>
      <x:c r="P9" s="59" t="n">
        <x:v>14173</x:v>
      </x:c>
    </x:row>
    <x:row r="10">
      <x:c r="A10" s="47" t="str">
        <x:v>EVT-000046</x:v>
      </x:c>
      <x:c r="B10" s="47" t="str">
        <x:v>RUN-TRF-118-20260830T123118131235Z</x:v>
      </x:c>
      <x:c r="C10" s="47" t="str">
        <x:v>TRF-118</x:v>
      </x:c>
      <x:c r="D10" s="93" t="n">
        <x:v>46264.522698043984</x:v>
      </x:c>
      <x:c r="E10" s="47" t="str">
        <x:v>generator</x:v>
      </x:c>
      <x:c r="F10" s="47" t="str">
        <x:v>gpt-5.6-luna-2026-07-09</x:v>
      </x:c>
      <x:c r="G10" s="47" t="n">
        <x:v>1</x:v>
      </x:c>
      <x:c r="H10" s="47" t="n">
        <x:v>200</x:v>
      </x:c>
      <x:c r="I10" s="47" t="str">
        <x:v>Ocp-Apim-Subscription-Key</x:v>
      </x:c>
      <x:c r="J10" s="86" t="n">
        <x:v>0</x:v>
      </x:c>
      <x:c r="K10" s="86" t="n">
        <x:v>36560.863</x:v>
      </x:c>
      <x:c r="L10" s="85" t="b">
        <x:v>0</x:v>
      </x:c>
      <x:c r="M10" s="47" t="str"/>
      <x:c r="N10" s="59" t="str"/>
      <x:c r="O10" s="59" t="str"/>
      <x:c r="P10" s="59" t="str"/>
    </x:row>
    <x:row r="11">
      <x:c r="A11" s="47" t="str">
        <x:v>EVT-000047</x:v>
      </x:c>
      <x:c r="B11" s="47" t="str">
        <x:v>RUN-TRF-118-20260830T123118131235Z</x:v>
      </x:c>
      <x:c r="C11" s="47" t="str">
        <x:v>TRF-118</x:v>
      </x:c>
      <x:c r="D11" s="93" t="n">
        <x:v>46264.52269806713</x:v>
      </x:c>
      <x:c r="E11" s="47" t="str">
        <x:v>generator</x:v>
      </x:c>
      <x:c r="F11" s="47" t="str">
        <x:v>gpt-5.6-luna-2026-07-09</x:v>
      </x:c>
      <x:c r="G11" s="47" t="n">
        <x:v>1</x:v>
      </x:c>
      <x:c r="H11" s="47" t="str">
        <x:v>COMPLETED</x:v>
      </x:c>
      <x:c r="I11" s="47" t="str"/>
      <x:c r="J11" s="86" t="n">
        <x:v>0</x:v>
      </x:c>
      <x:c r="K11" s="86" t="n">
        <x:v>36562.449</x:v>
      </x:c>
      <x:c r="L11" s="85" t="b">
        <x:v>0</x:v>
      </x:c>
      <x:c r="M11" s="47" t="str">
        <x:v>resp_07f6be2cee294aaa006a9422c6ad208197bebcd9159d09020f</x:v>
      </x:c>
      <x:c r="N11" s="59" t="n">
        <x:v>11991</x:v>
      </x:c>
      <x:c r="O11" s="59" t="n">
        <x:v>2996</x:v>
      </x:c>
      <x:c r="P11" s="59" t="n">
        <x:v>14987</x:v>
      </x:c>
    </x:row>
    <x:row r="12">
      <x:c r="A12" s="47" t="str">
        <x:v>EVT-000054</x:v>
      </x:c>
      <x:c r="B12" s="47" t="str">
        <x:v>RUN-TRF-118-20260830T123118131235Z</x:v>
      </x:c>
      <x:c r="C12" s="47" t="str">
        <x:v>TRF-118</x:v>
      </x:c>
      <x:c r="D12" s="93" t="n">
        <x:v>46264.52276423611</x:v>
      </x:c>
      <x:c r="E12" s="47" t="str">
        <x:v>validator</x:v>
      </x:c>
      <x:c r="F12" s="47" t="str">
        <x:v>gpt-5.6-luna-2026-07-09</x:v>
      </x:c>
      <x:c r="G12" s="47" t="n">
        <x:v>1</x:v>
      </x:c>
      <x:c r="H12" s="47" t="n">
        <x:v>200</x:v>
      </x:c>
      <x:c r="I12" s="47" t="str">
        <x:v>Ocp-Apim-Subscription-Key</x:v>
      </x:c>
      <x:c r="J12" s="86" t="n">
        <x:v>0</x:v>
      </x:c>
      <x:c r="K12" s="86" t="n">
        <x:v>5448.828</x:v>
      </x:c>
      <x:c r="L12" s="85" t="b">
        <x:v>0</x:v>
      </x:c>
      <x:c r="M12" s="47" t="str"/>
      <x:c r="N12" s="59" t="str"/>
      <x:c r="O12" s="59" t="str"/>
      <x:c r="P12" s="59" t="str"/>
    </x:row>
    <x:row r="13">
      <x:c r="A13" s="47" t="str">
        <x:v>EVT-000055</x:v>
      </x:c>
      <x:c r="B13" s="47" t="str">
        <x:v>RUN-TRF-118-20260830T123118131235Z</x:v>
      </x:c>
      <x:c r="C13" s="47" t="str">
        <x:v>TRF-118</x:v>
      </x:c>
      <x:c r="D13" s="93" t="n">
        <x:v>46264.52276424768</x:v>
      </x:c>
      <x:c r="E13" s="47" t="str">
        <x:v>validator</x:v>
      </x:c>
      <x:c r="F13" s="47" t="str">
        <x:v>gpt-5.6-luna-2026-07-09</x:v>
      </x:c>
      <x:c r="G13" s="47" t="n">
        <x:v>1</x:v>
      </x:c>
      <x:c r="H13" s="47" t="str">
        <x:v>COMPLETED</x:v>
      </x:c>
      <x:c r="I13" s="47" t="str"/>
      <x:c r="J13" s="86" t="n">
        <x:v>0</x:v>
      </x:c>
      <x:c r="K13" s="86" t="n">
        <x:v>5449.842</x:v>
      </x:c>
      <x:c r="L13" s="85" t="b">
        <x:v>0</x:v>
      </x:c>
      <x:c r="M13" s="47" t="str">
        <x:v>resp_0a4914e362d8bd23006a9422e977488194918b7d57a8d8e432</x:v>
      </x:c>
      <x:c r="N13" s="59" t="n">
        <x:v>12879</x:v>
      </x:c>
      <x:c r="O13" s="59" t="n">
        <x:v>389</x:v>
      </x:c>
      <x:c r="P13" s="59" t="n">
        <x:v>13268</x:v>
      </x:c>
    </x:row>
    <x:row r="14">
      <x:c r="A14" s="47" t="str">
        <x:v>EVT-000061</x:v>
      </x:c>
      <x:c r="B14" s="47" t="str">
        <x:v>RUN-TRF-118-20260830T123118131235Z</x:v>
      </x:c>
      <x:c r="C14" s="47" t="str">
        <x:v>TRF-118</x:v>
      </x:c>
      <x:c r="D14" s="93" t="n">
        <x:v>46264.52280693287</x:v>
      </x:c>
      <x:c r="E14" s="47" t="str">
        <x:v>vocabulary_matcher</x:v>
      </x:c>
      <x:c r="F14" s="47" t="str">
        <x:v>gpt-5.6-luna-2026-07-09</x:v>
      </x:c>
      <x:c r="G14" s="47" t="n">
        <x:v>1</x:v>
      </x:c>
      <x:c r="H14" s="47" t="n">
        <x:v>200</x:v>
      </x:c>
      <x:c r="I14" s="47" t="str">
        <x:v>Ocp-Apim-Subscription-Key</x:v>
      </x:c>
      <x:c r="J14" s="86" t="n">
        <x:v>0</x:v>
      </x:c>
      <x:c r="K14" s="86" t="n">
        <x:v>2276.913</x:v>
      </x:c>
      <x:c r="L14" s="85" t="b">
        <x:v>0</x:v>
      </x:c>
      <x:c r="M14" s="47" t="str"/>
      <x:c r="N14" s="59" t="str"/>
      <x:c r="O14" s="59" t="str"/>
      <x:c r="P14" s="59" t="str"/>
    </x:row>
    <x:row r="15">
      <x:c r="A15" s="47" t="str">
        <x:v>EVT-000062</x:v>
      </x:c>
      <x:c r="B15" s="47" t="str">
        <x:v>RUN-TRF-118-20260830T123118131235Z</x:v>
      </x:c>
      <x:c r="C15" s="47" t="str">
        <x:v>TRF-118</x:v>
      </x:c>
      <x:c r="D15" s="93" t="n">
        <x:v>46264.52280695602</x:v>
      </x:c>
      <x:c r="E15" s="47" t="str">
        <x:v>vocabulary_matcher</x:v>
      </x:c>
      <x:c r="F15" s="47" t="str">
        <x:v>gpt-5.6-luna-2026-07-09</x:v>
      </x:c>
      <x:c r="G15" s="47" t="n">
        <x:v>1</x:v>
      </x:c>
      <x:c r="H15" s="47" t="str">
        <x:v>COMPLETED</x:v>
      </x:c>
      <x:c r="I15" s="47" t="str"/>
      <x:c r="J15" s="86" t="n">
        <x:v>0</x:v>
      </x:c>
      <x:c r="K15" s="86" t="n">
        <x:v>2278.847</x:v>
      </x:c>
      <x:c r="L15" s="85" t="b">
        <x:v>0</x:v>
      </x:c>
      <x:c r="M15" s="47" t="str">
        <x:v>resp_0f5e0d60d33c2c6b006a9422f050988196bff6ba9b52cd8608</x:v>
      </x:c>
      <x:c r="N15" s="59" t="n">
        <x:v>3995</x:v>
      </x:c>
      <x:c r="O15" s="59" t="n">
        <x:v>183</x:v>
      </x:c>
      <x:c r="P15" s="59" t="n">
        <x:v>4178</x:v>
      </x:c>
    </x:row>
    <x:row r="16">
      <x:c r="A16" s="47" t="str">
        <x:v>EVT-000090</x:v>
      </x:c>
      <x:c r="B16" s="47" t="str">
        <x:v>RUN-TRF-118-20260830T123118131235Z</x:v>
      </x:c>
      <x:c r="C16" s="47" t="str">
        <x:v>TRF-118</x:v>
      </x:c>
      <x:c r="D16" s="93" t="n">
        <x:v>46264.52301736111</x:v>
      </x:c>
      <x:c r="E16" s="47" t="str">
        <x:v>generator</x:v>
      </x:c>
      <x:c r="F16" s="47" t="str">
        <x:v>gpt-5.6-luna-2026-07-09</x:v>
      </x:c>
      <x:c r="G16" s="47" t="n">
        <x:v>1</x:v>
      </x:c>
      <x:c r="H16" s="47" t="n">
        <x:v>200</x:v>
      </x:c>
      <x:c r="I16" s="47" t="str">
        <x:v>Ocp-Apim-Subscription-Key</x:v>
      </x:c>
      <x:c r="J16" s="86" t="n">
        <x:v>0</x:v>
      </x:c>
      <x:c r="K16" s="86" t="n">
        <x:v>18168.555</x:v>
      </x:c>
      <x:c r="L16" s="85" t="b">
        <x:v>0</x:v>
      </x:c>
      <x:c r="M16" s="47" t="str"/>
      <x:c r="N16" s="59" t="str"/>
      <x:c r="O16" s="59" t="str"/>
      <x:c r="P16" s="59" t="str"/>
    </x:row>
    <x:row r="17">
      <x:c r="A17" s="47" t="str">
        <x:v>EVT-000091</x:v>
      </x:c>
      <x:c r="B17" s="47" t="str">
        <x:v>RUN-TRF-118-20260830T123118131235Z</x:v>
      </x:c>
      <x:c r="C17" s="47" t="str">
        <x:v>TRF-118</x:v>
      </x:c>
      <x:c r="D17" s="93" t="n">
        <x:v>46264.52301738426</x:v>
      </x:c>
      <x:c r="E17" s="47" t="str">
        <x:v>generator</x:v>
      </x:c>
      <x:c r="F17" s="47" t="str">
        <x:v>gpt-5.6-luna-2026-07-09</x:v>
      </x:c>
      <x:c r="G17" s="47" t="n">
        <x:v>1</x:v>
      </x:c>
      <x:c r="H17" s="47" t="str">
        <x:v>COMPLETED</x:v>
      </x:c>
      <x:c r="I17" s="47" t="str"/>
      <x:c r="J17" s="86" t="n">
        <x:v>0</x:v>
      </x:c>
      <x:c r="K17" s="86" t="n">
        <x:v>18169.965</x:v>
      </x:c>
      <x:c r="L17" s="85" t="b">
        <x:v>0</x:v>
      </x:c>
      <x:c r="M17" s="47" t="str">
        <x:v>resp_03d5c1315c4552ea006a9422f29a8c819096652c98ea3ca6ce</x:v>
      </x:c>
      <x:c r="N17" s="59" t="n">
        <x:v>12179</x:v>
      </x:c>
      <x:c r="O17" s="59" t="n">
        <x:v>2126</x:v>
      </x:c>
      <x:c r="P17" s="59" t="n">
        <x:v>14305</x:v>
      </x:c>
    </x:row>
    <x:row r="18">
      <x:c r="A18" s="47" t="str">
        <x:v>EVT-000098</x:v>
      </x:c>
      <x:c r="B18" s="47" t="str">
        <x:v>RUN-TRF-118-20260830T123118131235Z</x:v>
      </x:c>
      <x:c r="C18" s="47" t="str">
        <x:v>TRF-118</x:v>
      </x:c>
      <x:c r="D18" s="93" t="n">
        <x:v>46264.52311158565</x:v>
      </x:c>
      <x:c r="E18" s="47" t="str">
        <x:v>validator</x:v>
      </x:c>
      <x:c r="F18" s="47" t="str">
        <x:v>gpt-5.6-luna-2026-07-09</x:v>
      </x:c>
      <x:c r="G18" s="47" t="n">
        <x:v>1</x:v>
      </x:c>
      <x:c r="H18" s="47" t="n">
        <x:v>200</x:v>
      </x:c>
      <x:c r="I18" s="47" t="str">
        <x:v>Ocp-Apim-Subscription-Key</x:v>
      </x:c>
      <x:c r="J18" s="86" t="n">
        <x:v>0</x:v>
      </x:c>
      <x:c r="K18" s="86" t="n">
        <x:v>7897.718</x:v>
      </x:c>
      <x:c r="L18" s="85" t="b">
        <x:v>0</x:v>
      </x:c>
      <x:c r="M18" s="47" t="str"/>
      <x:c r="N18" s="59" t="str"/>
      <x:c r="O18" s="59" t="str"/>
      <x:c r="P18" s="59" t="str"/>
    </x:row>
    <x:row r="19">
      <x:c r="A19" s="47" t="str">
        <x:v>EVT-000099</x:v>
      </x:c>
      <x:c r="B19" s="47" t="str">
        <x:v>RUN-TRF-118-20260830T123118131235Z</x:v>
      </x:c>
      <x:c r="C19" s="47" t="str">
        <x:v>TRF-118</x:v>
      </x:c>
      <x:c r="D19" s="93" t="n">
        <x:v>46264.52311159722</x:v>
      </x:c>
      <x:c r="E19" s="47" t="str">
        <x:v>validator</x:v>
      </x:c>
      <x:c r="F19" s="47" t="str">
        <x:v>gpt-5.6-luna-2026-07-09</x:v>
      </x:c>
      <x:c r="G19" s="47" t="n">
        <x:v>1</x:v>
      </x:c>
      <x:c r="H19" s="47" t="str">
        <x:v>COMPLETED</x:v>
      </x:c>
      <x:c r="I19" s="47" t="str"/>
      <x:c r="J19" s="86" t="n">
        <x:v>0</x:v>
      </x:c>
      <x:c r="K19" s="86" t="n">
        <x:v>7899.161</x:v>
      </x:c>
      <x:c r="L19" s="85" t="b">
        <x:v>0</x:v>
      </x:c>
      <x:c r="M19" s="47" t="str">
        <x:v>resp_01bd4aab62f1d1d2006a94230506c8819597c3891a94a8af3e</x:v>
      </x:c>
      <x:c r="N19" s="59" t="n">
        <x:v>12801</x:v>
      </x:c>
      <x:c r="O19" s="59" t="n">
        <x:v>451</x:v>
      </x:c>
      <x:c r="P19" s="59" t="n">
        <x:v>13252</x:v>
      </x:c>
    </x:row>
    <x:row r="20">
      <x:c r="A20" s="47" t="str">
        <x:v>EVT-000105</x:v>
      </x:c>
      <x:c r="B20" s="47" t="str">
        <x:v>RUN-TRF-118-20260830T123118131235Z</x:v>
      </x:c>
      <x:c r="C20" s="47" t="str">
        <x:v>TRF-118</x:v>
      </x:c>
      <x:c r="D20" s="93" t="n">
        <x:v>46264.52316726852</x:v>
      </x:c>
      <x:c r="E20" s="47" t="str">
        <x:v>vocabulary_matcher</x:v>
      </x:c>
      <x:c r="F20" s="47" t="str">
        <x:v>gpt-5.6-luna-2026-07-09</x:v>
      </x:c>
      <x:c r="G20" s="47" t="n">
        <x:v>1</x:v>
      </x:c>
      <x:c r="H20" s="47" t="n">
        <x:v>200</x:v>
      </x:c>
      <x:c r="I20" s="47" t="str">
        <x:v>Ocp-Apim-Subscription-Key</x:v>
      </x:c>
      <x:c r="J20" s="86" t="n">
        <x:v>0</x:v>
      </x:c>
      <x:c r="K20" s="86" t="n">
        <x:v>3307.855</x:v>
      </x:c>
      <x:c r="L20" s="85" t="b">
        <x:v>0</x:v>
      </x:c>
      <x:c r="M20" s="47" t="str"/>
      <x:c r="N20" s="59" t="str"/>
      <x:c r="O20" s="59" t="str"/>
      <x:c r="P20" s="59" t="str"/>
    </x:row>
    <x:row r="21">
      <x:c r="A21" s="49" t="str">
        <x:v>EVT-000106</x:v>
      </x:c>
      <x:c r="B21" s="49" t="str">
        <x:v>RUN-TRF-118-20260830T123118131235Z</x:v>
      </x:c>
      <x:c r="C21" s="49" t="str">
        <x:v>TRF-118</x:v>
      </x:c>
      <x:c r="D21" s="94" t="n">
        <x:v>46264.52316729166</x:v>
      </x:c>
      <x:c r="E21" s="49" t="str">
        <x:v>vocabulary_matcher</x:v>
      </x:c>
      <x:c r="F21" s="49" t="str">
        <x:v>gpt-5.6-luna-2026-07-09</x:v>
      </x:c>
      <x:c r="G21" s="49" t="n">
        <x:v>1</x:v>
      </x:c>
      <x:c r="H21" s="49" t="str">
        <x:v>COMPLETED</x:v>
      </x:c>
      <x:c r="I21" s="49" t="str"/>
      <x:c r="J21" s="88" t="n">
        <x:v>0</x:v>
      </x:c>
      <x:c r="K21" s="88" t="n">
        <x:v>3309.313</x:v>
      </x:c>
      <x:c r="L21" s="87" t="b">
        <x:v>0</x:v>
      </x:c>
      <x:c r="M21" s="49" t="str">
        <x:v>resp_009c9a5774ddacc2006a94230e6f788197af3860e2c245028e</x:v>
      </x:c>
      <x:c r="N21" s="60" t="n">
        <x:v>4343</x:v>
      </x:c>
      <x:c r="O21" s="60" t="n">
        <x:v>161</x:v>
      </x:c>
      <x:c r="P21" s="60" t="n">
        <x:v>4504</x:v>
      </x:c>
    </x:row>
  </x:sheetData>
  <x:conditionalFormatting sqref="H5:H21">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671e022f9fe4d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RUN-TRF-118-20260830T123118131235Z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RUN-TRF-118-20260830T123118131235Z</x:v>
      </x:c>
      <x:c r="B5" s="45" t="str">
        <x:v>TRF-118</x:v>
      </x:c>
      <x:c r="C5" s="45" t="str">
        <x:v>assessedFactoredExtremeLoad</x:v>
      </x:c>
      <x:c r="D5" s="46" t="str">
        <x:v>https://w3id.org/nltl/vocab#assessedFactoredExtremeLoad</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RUN-TRF-118-20260830T123118131235Z</x:v>
      </x:c>
      <x:c r="B6" s="47" t="str">
        <x:v>TRF-118</x:v>
      </x:c>
      <x:c r="C6" s="47" t="str">
        <x:v>assessedThrusterComponent</x:v>
      </x:c>
      <x:c r="D6" s="48" t="str">
        <x:v>https://w3id.org/nltl/vocab#assessedThrusterComponent</x:v>
      </x:c>
      <x:c r="E6" s="47" t="str">
        <x:v>ObjectProperty</x:v>
      </x:c>
      <x:c r="F6" s="47" t="str"/>
      <x:c r="G6" s="47" t="str">
        <x:v>https://w3id.org/nltl/vocab#shipComponent</x:v>
      </x:c>
      <x:c r="H6" s="47" t="str"/>
      <x:c r="I6" s="48" t="str">
        <x:v>linked by the locked 313-requirement index</x:v>
      </x:c>
      <x:c r="J6" s="47" t="n">
        <x:v>0</x:v>
      </x:c>
    </x:row>
    <x:row r="7">
      <x:c r="A7" s="47" t="str">
        <x:v>RUN-TRF-118-20260830T123118131235Z</x:v>
      </x:c>
      <x:c r="B7" s="47" t="str">
        <x:v>TRF-118</x:v>
      </x:c>
      <x:c r="C7" s="47" t="str">
        <x:v>assessmentOperabilityMaintained</x:v>
      </x:c>
      <x:c r="D7" s="48" t="str">
        <x:v>https://w3id.org/nltl/vocab#assessmentOperabilityMaintained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RUN-TRF-118-20260830T123118131235Z</x:v>
      </x:c>
      <x:c r="B8" s="47" t="str">
        <x:v>TRF-118</x:v>
      </x:c>
      <x:c r="C8" s="47" t="str">
        <x:v>assessmentRepairRequired</x:v>
      </x:c>
      <x:c r="D8" s="48" t="str">
        <x:v>https://w3id.org/nltl/vocab#assessmentRepairRequired</x:v>
      </x:c>
      <x:c r="E8" s="47" t="str">
        <x:v>DatatypeProperty</x:v>
      </x:c>
      <x:c r="F8" s="47" t="str">
        <x:v>xsd:boolean</x:v>
      </x:c>
      <x:c r="G8" s="47" t="str">
        <x:v>http://www.w3.org/2001/XMLSchema#boolean</x:v>
      </x:c>
      <x:c r="H8" s="47" t="str"/>
      <x:c r="I8" s="48" t="str">
        <x:v>linked by the locked 313-requirement index</x:v>
      </x:c>
      <x:c r="J8" s="47" t="n">
        <x:v>0</x:v>
      </x:c>
    </x:row>
    <x:row r="9">
      <x:c r="A9" s="47" t="str">
        <x:v>RUN-TRF-118-20260830T123118131235Z</x:v>
      </x:c>
      <x:c r="B9" s="47" t="str">
        <x:v>TRF-118</x:v>
      </x:c>
      <x:c r="C9" s="47" t="str">
        <x:v>benchmarkEntity</x:v>
      </x:c>
      <x:c r="D9" s="48" t="str">
        <x:v>https://w3id.org/nltl/vocab#benchmarkEntity</x:v>
      </x:c>
      <x:c r="E9" s="47" t="str">
        <x:v>Class</x:v>
      </x:c>
      <x:c r="F9" s="47" t="str"/>
      <x:c r="G9" s="47" t="str"/>
      <x:c r="H9" s="47" t="str"/>
      <x:c r="I9" s="48"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 range dependency of materialProperties</x:v>
      </x:c>
      <x:c r="J9" s="47" t="n">
        <x:v>0</x:v>
      </x:c>
    </x:row>
    <x:row r="10">
      <x:c r="A10" s="47" t="str">
        <x:v>RUN-TRF-118-20260830T123118131235Z</x:v>
      </x:c>
      <x:c r="B10" s="47" t="str">
        <x:v>TRF-118</x:v>
      </x:c>
      <x:c r="C10" s="47" t="str">
        <x:v>calculationCase</x:v>
      </x:c>
      <x:c r="D10" s="48" t="str">
        <x:v>https://w3id.org/nltl/vocab#calculationCase</x:v>
      </x:c>
      <x:c r="E10" s="47" t="str">
        <x:v>Class</x:v>
      </x:c>
      <x:c r="F10" s="47" t="str"/>
      <x:c r="G10" s="47" t="str">
        <x:v>https://w3id.org/nltl/vocab#benchmarkEntity</x:v>
      </x:c>
      <x:c r="H10" s="47" t="str"/>
      <x:c r="I10" s="48" t="str">
        <x:v>range dependency of factoredExtremeLoadOperabilityAssessment</x:v>
      </x:c>
      <x:c r="J10" s="47" t="n">
        <x:v>0</x:v>
      </x:c>
    </x:row>
    <x:row r="11">
      <x:c r="A11" s="47" t="str">
        <x:v>RUN-TRF-118-20260830T123118131235Z</x:v>
      </x:c>
      <x:c r="B11" s="47" t="str">
        <x:v>TRF-118</x:v>
      </x:c>
      <x:c r="C11" s="47" t="str">
        <x:v>componentMaterialYieldStrength</x:v>
      </x:c>
      <x:c r="D11" s="48" t="str">
        <x:v>https://w3id.org/nltl/vocab#componentMaterialYieldStrength</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RUN-TRF-118-20260830T123118131235Z</x:v>
      </x:c>
      <x:c r="B12" s="47" t="str">
        <x:v>TRF-118</x:v>
      </x:c>
      <x:c r="C12" s="47" t="str">
        <x:v>factoredExtremeLoadOperabilityAssessment</x:v>
      </x:c>
      <x:c r="D12" s="48" t="str">
        <x:v>https://w3id.org/nltl/vocab#factoredExtremeLoadOperabilityAssessment</x:v>
      </x:c>
      <x:c r="E12" s="47" t="str">
        <x:v>Class</x:v>
      </x:c>
      <x:c r="F12" s="47" t="str"/>
      <x:c r="G12" s="47" t="str">
        <x:v>https://w3id.org/nltl/vocab#calculationCase</x:v>
      </x:c>
      <x:c r="H12" s="47" t="str"/>
      <x:c r="I12" s="48" t="str">
        <x:v>authoritative required owner class; domain dependency of assessedFactoredExtremeLoad; domain dependency of assessedThrusterComponent; domain dependency of assessmentOperabilityMaintained; domain dependency of assessmentRepairRequired; linked by the locked 313-requirement index; range dependency of hasFactoredExtremeLoadOperabilityAssessment</x:v>
      </x:c>
      <x:c r="J12" s="47" t="n">
        <x:v>0</x:v>
      </x:c>
    </x:row>
    <x:row r="13">
      <x:c r="A13" s="47" t="str">
        <x:v>RUN-TRF-118-20260830T123118131235Z</x:v>
      </x:c>
      <x:c r="B13" s="47" t="str">
        <x:v>TRF-118</x:v>
      </x:c>
      <x:c r="C13" s="47" t="str">
        <x:v>hasComponent</x:v>
      </x:c>
      <x:c r="D13" s="48" t="str">
        <x:v>https://w3id.org/nltl/vocab#hasComponent</x:v>
      </x:c>
      <x:c r="E13" s="47" t="str">
        <x:v>ObjectProperty</x:v>
      </x:c>
      <x:c r="F13" s="47" t="str"/>
      <x:c r="G13" s="47" t="str">
        <x:v>https://w3id.org/nltl/vocab#shipComponent</x:v>
      </x:c>
      <x:c r="H13" s="47" t="str"/>
      <x:c r="I13" s="48" t="str">
        <x:v>canonical path from target owner ship to required owner shipComponent; component-path dependency inferred from the linked term module</x:v>
      </x:c>
      <x:c r="J13" s="47" t="n">
        <x:v>0</x:v>
      </x:c>
    </x:row>
    <x:row r="14">
      <x:c r="A14" s="47" t="str">
        <x:v>RUN-TRF-118-20260830T123118131235Z</x:v>
      </x:c>
      <x:c r="B14" s="47" t="str">
        <x:v>TRF-118</x:v>
      </x:c>
      <x:c r="C14" s="47" t="str">
        <x:v>hasFactoredExtremeLoadOperabilityAssessment</x:v>
      </x:c>
      <x:c r="D14" s="48" t="str">
        <x:v>https://w3id.org/nltl/vocab#hasFactoredExtremeLoadOperabilityAssessment</x:v>
      </x:c>
      <x:c r="E14" s="47" t="str">
        <x:v>ObjectProperty</x:v>
      </x:c>
      <x:c r="F14" s="47" t="str"/>
      <x:c r="G14" s="47" t="str">
        <x:v>https://w3id.org/nltl/vocab#factoredExtremeLoadOperabilityAssessment</x:v>
      </x:c>
      <x:c r="H14" s="47" t="str"/>
      <x:c r="I14" s="48" t="str">
        <x:v>canonical path from target owner ship to required owner factoredExtremeLoadOperabilityAssessment; linked by the locked 313-requirement index</x:v>
      </x:c>
      <x:c r="J14" s="47" t="n">
        <x:v>0</x:v>
      </x:c>
    </x:row>
    <x:row r="15">
      <x:c r="A15" s="47" t="str">
        <x:v>RUN-TRF-118-20260830T123118131235Z</x:v>
      </x:c>
      <x:c r="B15" s="47" t="str">
        <x:v>TRF-118</x:v>
      </x:c>
      <x:c r="C15" s="47" t="str">
        <x:v>hasMaterialProperties</x:v>
      </x:c>
      <x:c r="D15" s="48" t="str">
        <x:v>https://w3id.org/nltl/vocab#hasMaterialProperties</x:v>
      </x:c>
      <x:c r="E15" s="47" t="str">
        <x:v>ObjectProperty</x:v>
      </x:c>
      <x:c r="F15" s="47" t="str"/>
      <x:c r="G15" s="47" t="str">
        <x:v>https://w3id.org/nltl/vocab#materialProperties</x:v>
      </x:c>
      <x:c r="H15" s="47" t="str"/>
      <x:c r="I15" s="48" t="str">
        <x:v>linked by the locked 313-requirement index</x:v>
      </x:c>
      <x:c r="J15" s="47" t="n">
        <x:v>0</x:v>
      </x:c>
    </x:row>
    <x:row r="16">
      <x:c r="A16" s="47" t="str">
        <x:v>RUN-TRF-118-20260830T123118131235Z</x:v>
      </x:c>
      <x:c r="B16" s="47" t="str">
        <x:v>TRF-118</x:v>
      </x:c>
      <x:c r="C16" s="47" t="str">
        <x:v>localStressConcentration</x:v>
      </x:c>
      <x:c r="D16" s="48" t="str">
        <x:v>https://w3id.org/nltl/vocab#localStressConcentration</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RUN-TRF-118-20260830T123118131235Z</x:v>
      </x:c>
      <x:c r="B17" s="47" t="str">
        <x:v>TRF-118</x:v>
      </x:c>
      <x:c r="C17" s="47" t="str">
        <x:v>materialProperties</x:v>
      </x:c>
      <x:c r="D17" s="48" t="str">
        <x:v>https://w3id.org/nltl/vocab#materialProperties</x:v>
      </x:c>
      <x:c r="E17" s="47" t="str">
        <x:v>Class</x:v>
      </x:c>
      <x:c r="F17" s="47" t="str"/>
      <x:c r="G17" s="47" t="str">
        <x:v>https://w3id.org/nltl/vocab#benchmarkEntity</x:v>
      </x:c>
      <x:c r="H17" s="47" t="str"/>
      <x:c r="I17" s="48" t="str">
        <x:v>authoritative required owner class; domain dependency of componentMaterialYieldStrength; linked by the locked 313-requirement index; range dependency of hasMaterialProperties</x:v>
      </x:c>
      <x:c r="J17" s="47" t="n">
        <x:v>0</x:v>
      </x:c>
    </x:row>
    <x:row r="18">
      <x:c r="A18" s="47" t="str">
        <x:v>RUN-TRF-118-20260830T123118131235Z</x:v>
      </x:c>
      <x:c r="B18" s="47" t="str">
        <x:v>TRF-118</x:v>
      </x:c>
      <x:c r="C18" s="47" t="str">
        <x:v>materialYieldStrength</x:v>
      </x:c>
      <x:c r="D18" s="48" t="str">
        <x:v>https://w3id.org/nltl/vocab#materialYieldStrength</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RUN-TRF-118-20260830T123118131235Z</x:v>
      </x:c>
      <x:c r="B19" s="47" t="str">
        <x:v>TRF-118</x:v>
      </x:c>
      <x:c r="C19" s="47" t="str">
        <x:v>nominalVonMisesStress</x:v>
      </x:c>
      <x:c r="D19" s="48" t="str">
        <x:v>https://w3id.org/nltl/vocab#nominalVonMisesStress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RUN-TRF-118-20260830T123118131235Z</x:v>
      </x:c>
      <x:c r="B20" s="47" t="str">
        <x:v>TRF-118</x:v>
      </x:c>
      <x:c r="C20" s="47" t="str">
        <x:v>repairRequired</x:v>
      </x:c>
      <x:c r="D20" s="48" t="str">
        <x:v>https://w3id.org/nltl/vocab#repairRequired</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RUN-TRF-118-20260830T123118131235Z</x:v>
      </x:c>
      <x:c r="B21" s="47" t="str">
        <x:v>TRF-118</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hasFactoredExtremeLoadOperabilityAssessment</x:v>
      </x:c>
      <x:c r="J21" s="47" t="n">
        <x:v>0</x:v>
      </x:c>
    </x:row>
    <x:row r="22">
      <x:c r="A22" s="47" t="str">
        <x:v>RUN-TRF-118-20260830T123118131235Z</x:v>
      </x:c>
      <x:c r="B22" s="47" t="str">
        <x:v>TRF-118</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hasMaterialProperties; domain dependency of materialYieldStrength; range dependency of assessedThrusterComponent</x:v>
      </x:c>
      <x:c r="J22" s="47" t="n">
        <x:v>0</x:v>
      </x:c>
    </x:row>
    <x:row r="23">
      <x:c r="A23" s="47" t="str">
        <x:v>RUN-TRF-118-20260830T123118131235Z</x:v>
      </x:c>
      <x:c r="B23" s="47" t="str">
        <x:v>TRF-118</x:v>
      </x:c>
      <x:c r="C23" s="47" t="str">
        <x:v>thrusterExtremeLoad</x:v>
      </x:c>
      <x:c r="D23" s="48" t="str">
        <x:v>https://w3id.org/nltl/vocab#thrusterExtremeLoad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RUN-TRF-118-20260830T123118131235Z</x:v>
      </x:c>
      <x:c r="B24" s="47" t="str">
        <x:v>TRF-118</x:v>
      </x:c>
      <x:c r="C24" s="47" t="str">
        <x:v>thrusterOperability</x:v>
      </x:c>
      <x:c r="D24" s="48" t="str">
        <x:v>https://w3id.org/nltl/vocab#thrusterOperability</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RUN-TRF-118-20260830T123118131235Z</x:v>
      </x:c>
      <x:c r="B25" s="47" t="str">
        <x:v>TRF-118</x:v>
      </x:c>
      <x:c r="C25" s="47" t="str">
        <x:v>yieldSafetyFactor</x:v>
      </x:c>
      <x:c r="D25" s="48" t="str">
        <x:v>https://w3id.org/nltl/vocab#yieldSafetyFactor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RUN-TRF-118-20260830T123118131235Z</x:v>
      </x:c>
      <x:c r="B26" s="47" t="str">
        <x:v>TRF-118</x:v>
      </x:c>
      <x:c r="C26" s="47" t="str">
        <x:v>assessedFactoredExtremeLoad</x:v>
      </x:c>
      <x:c r="D26" s="48" t="str">
        <x:v>https://w3id.org/nltl/vocab#assessedFactoredExtremeLoad</x:v>
      </x:c>
      <x:c r="E26" s="47" t="str">
        <x:v>QuantityProperty</x:v>
      </x:c>
      <x:c r="F26" s="47" t="str"/>
      <x:c r="G26" s="47" t="str">
        <x:v>http://qudt.org/schema/qudt/QuantityValue</x:v>
      </x:c>
      <x:c r="H26" s="47" t="str">
        <x:v>http://qudt.org/vocab/unit/KiloN</x:v>
      </x:c>
      <x:c r="I26" s="48" t="str">
        <x:v>linked by the locked 313-requirement index</x:v>
      </x:c>
      <x:c r="J26" s="47" t="n">
        <x:v>3</x:v>
      </x:c>
    </x:row>
    <x:row r="27">
      <x:c r="A27" s="47" t="str">
        <x:v>RUN-TRF-118-20260830T123118131235Z</x:v>
      </x:c>
      <x:c r="B27" s="47" t="str">
        <x:v>TRF-118</x:v>
      </x:c>
      <x:c r="C27" s="47" t="str">
        <x:v>assessedThrusterComponent</x:v>
      </x:c>
      <x:c r="D27" s="48" t="str">
        <x:v>https://w3id.org/nltl/vocab#assessedThrusterComponent</x:v>
      </x:c>
      <x:c r="E27" s="47" t="str">
        <x:v>ObjectProperty</x:v>
      </x:c>
      <x:c r="F27" s="47" t="str"/>
      <x:c r="G27" s="47" t="str">
        <x:v>https://w3id.org/nltl/vocab#shipComponent</x:v>
      </x:c>
      <x:c r="H27" s="47" t="str"/>
      <x:c r="I27" s="48" t="str">
        <x:v>linked by the locked 313-requirement index</x:v>
      </x:c>
      <x:c r="J27" s="47" t="n">
        <x:v>3</x:v>
      </x:c>
    </x:row>
    <x:row r="28">
      <x:c r="A28" s="47" t="str">
        <x:v>RUN-TRF-118-20260830T123118131235Z</x:v>
      </x:c>
      <x:c r="B28" s="47" t="str">
        <x:v>TRF-118</x:v>
      </x:c>
      <x:c r="C28" s="47" t="str">
        <x:v>assessmentOperabilityMaintained</x:v>
      </x:c>
      <x:c r="D28" s="48" t="str">
        <x:v>https://w3id.org/nltl/vocab#assessmentOperabilityMaintained</x:v>
      </x:c>
      <x:c r="E28" s="47" t="str">
        <x:v>DatatypeProperty</x:v>
      </x:c>
      <x:c r="F28" s="47" t="str">
        <x:v>xsd:boolean</x:v>
      </x:c>
      <x:c r="G28" s="47" t="str">
        <x:v>http://www.w3.org/2001/XMLSchema#boolean</x:v>
      </x:c>
      <x:c r="H28" s="47" t="str"/>
      <x:c r="I28" s="48" t="str">
        <x:v>linked by the locked 313-requirement index</x:v>
      </x:c>
      <x:c r="J28" s="47" t="n">
        <x:v>3</x:v>
      </x:c>
    </x:row>
    <x:row r="29">
      <x:c r="A29" s="47" t="str">
        <x:v>RUN-TRF-118-20260830T123118131235Z</x:v>
      </x:c>
      <x:c r="B29" s="47" t="str">
        <x:v>TRF-118</x:v>
      </x:c>
      <x:c r="C29" s="47" t="str">
        <x:v>assessmentRepairRequired</x:v>
      </x:c>
      <x:c r="D29" s="48" t="str">
        <x:v>https://w3id.org/nltl/vocab#assessmentRepairRequired</x:v>
      </x:c>
      <x:c r="E29" s="47" t="str">
        <x:v>DatatypeProperty</x:v>
      </x:c>
      <x:c r="F29" s="47" t="str">
        <x:v>xsd:boolean</x:v>
      </x:c>
      <x:c r="G29" s="47" t="str">
        <x:v>http://www.w3.org/2001/XMLSchema#boolean</x:v>
      </x:c>
      <x:c r="H29" s="47" t="str"/>
      <x:c r="I29" s="48" t="str">
        <x:v>linked by the locked 313-requirement index</x:v>
      </x:c>
      <x:c r="J29" s="47" t="n">
        <x:v>3</x:v>
      </x:c>
    </x:row>
    <x:row r="30">
      <x:c r="A30" s="47" t="str">
        <x:v>RUN-TRF-118-20260830T123118131235Z</x:v>
      </x:c>
      <x:c r="B30" s="47" t="str">
        <x:v>TRF-118</x:v>
      </x:c>
      <x:c r="C30" s="47" t="str">
        <x:v>benchmarkEntity</x:v>
      </x:c>
      <x:c r="D30" s="48" t="str">
        <x:v>https://w3id.org/nltl/vocab#benchmarkEntity</x:v>
      </x:c>
      <x:c r="E30" s="47" t="str">
        <x:v>Class</x:v>
      </x:c>
      <x:c r="F30" s="47" t="str"/>
      <x:c r="G30" s="47" t="str"/>
      <x:c r="H30" s="47" t="str"/>
      <x:c r="I30" s="48"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 range dependency of materialProperties</x:v>
      </x:c>
      <x:c r="J30" s="47" t="n">
        <x:v>3</x:v>
      </x:c>
    </x:row>
    <x:row r="31">
      <x:c r="A31" s="47" t="str">
        <x:v>RUN-TRF-118-20260830T123118131235Z</x:v>
      </x:c>
      <x:c r="B31" s="47" t="str">
        <x:v>TRF-118</x:v>
      </x:c>
      <x:c r="C31" s="47" t="str">
        <x:v>calculationCase</x:v>
      </x:c>
      <x:c r="D31" s="48" t="str">
        <x:v>https://w3id.org/nltl/vocab#calculationCase</x:v>
      </x:c>
      <x:c r="E31" s="47" t="str">
        <x:v>Class</x:v>
      </x:c>
      <x:c r="F31" s="47" t="str"/>
      <x:c r="G31" s="47" t="str">
        <x:v>https://w3id.org/nltl/vocab#benchmarkEntity</x:v>
      </x:c>
      <x:c r="H31" s="47" t="str"/>
      <x:c r="I31" s="48" t="str">
        <x:v>range dependency of factoredExtremeLoadOperabilityAssessment</x:v>
      </x:c>
      <x:c r="J31" s="47" t="n">
        <x:v>3</x:v>
      </x:c>
    </x:row>
    <x:row r="32">
      <x:c r="A32" s="47" t="str">
        <x:v>RUN-TRF-118-20260830T123118131235Z</x:v>
      </x:c>
      <x:c r="B32" s="47" t="str">
        <x:v>TRF-118</x:v>
      </x:c>
      <x:c r="C32" s="47" t="str">
        <x:v>componentMaterialYieldStrength</x:v>
      </x:c>
      <x:c r="D32" s="48" t="str">
        <x:v>https://w3id.org/nltl/vocab#componentMaterialYieldStrength</x:v>
      </x:c>
      <x:c r="E32" s="47" t="str">
        <x:v>QuantityProperty</x:v>
      </x:c>
      <x:c r="F32" s="47" t="str"/>
      <x:c r="G32" s="47" t="str">
        <x:v>http://qudt.org/schema/qudt/QuantityValue</x:v>
      </x:c>
      <x:c r="H32" s="47" t="str">
        <x:v>http://qudt.org/vocab/unit/MegaPA</x:v>
      </x:c>
      <x:c r="I32" s="48" t="str">
        <x:v>linked by the locked 313-requirement index</x:v>
      </x:c>
      <x:c r="J32" s="47" t="n">
        <x:v>3</x:v>
      </x:c>
    </x:row>
    <x:row r="33">
      <x:c r="A33" s="47" t="str">
        <x:v>RUN-TRF-118-20260830T123118131235Z</x:v>
      </x:c>
      <x:c r="B33" s="47" t="str">
        <x:v>TRF-118</x:v>
      </x:c>
      <x:c r="C33" s="47" t="str">
        <x:v>factoredExtremeLoadOperabilityAssessment</x:v>
      </x:c>
      <x:c r="D33" s="48" t="str">
        <x:v>https://w3id.org/nltl/vocab#factoredExtremeLoadOperabilityAssessment</x:v>
      </x:c>
      <x:c r="E33" s="47" t="str">
        <x:v>Class</x:v>
      </x:c>
      <x:c r="F33" s="47" t="str"/>
      <x:c r="G33" s="47" t="str">
        <x:v>https://w3id.org/nltl/vocab#calculationCase</x:v>
      </x:c>
      <x:c r="H33" s="47" t="str"/>
      <x:c r="I33" s="48" t="str">
        <x:v>authoritative required owner class; domain dependency of assessedFactoredExtremeLoad; domain dependency of assessedThrusterComponent; domain dependency of assessmentOperabilityMaintained; domain dependency of assessmentRepairRequired; linked by the locked 313-requirement index; range dependency of hasFactoredExtremeLoadOperabilityAssessment</x:v>
      </x:c>
      <x:c r="J33" s="47" t="n">
        <x:v>3</x:v>
      </x:c>
    </x:row>
    <x:row r="34">
      <x:c r="A34" s="47" t="str">
        <x:v>RUN-TRF-118-20260830T123118131235Z</x:v>
      </x:c>
      <x:c r="B34" s="47" t="str">
        <x:v>TRF-118</x:v>
      </x:c>
      <x:c r="C34" s="47" t="str">
        <x:v>hasComponent</x:v>
      </x:c>
      <x:c r="D34" s="48" t="str">
        <x:v>https://w3id.org/nltl/vocab#hasComponent</x:v>
      </x:c>
      <x:c r="E34" s="47" t="str">
        <x:v>ObjectProperty</x:v>
      </x:c>
      <x:c r="F34" s="47" t="str"/>
      <x:c r="G34" s="47" t="str">
        <x:v>https://w3id.org/nltl/vocab#shipComponent</x:v>
      </x:c>
      <x:c r="H34" s="47" t="str"/>
      <x:c r="I34" s="48" t="str">
        <x:v>canonical path from target owner ship to required owner shipComponent; component-path dependency inferred from the linked term module</x:v>
      </x:c>
      <x:c r="J34" s="47" t="n">
        <x:v>3</x:v>
      </x:c>
    </x:row>
    <x:row r="35">
      <x:c r="A35" s="47" t="str">
        <x:v>RUN-TRF-118-20260830T123118131235Z</x:v>
      </x:c>
      <x:c r="B35" s="47" t="str">
        <x:v>TRF-118</x:v>
      </x:c>
      <x:c r="C35" s="47" t="str">
        <x:v>hasFactoredExtremeLoadOperabilityAssessment</x:v>
      </x:c>
      <x:c r="D35" s="48" t="str">
        <x:v>https://w3id.org/nltl/vocab#hasFactoredExtremeLoadOperabilityAssessment</x:v>
      </x:c>
      <x:c r="E35" s="47" t="str">
        <x:v>ObjectProperty</x:v>
      </x:c>
      <x:c r="F35" s="47" t="str"/>
      <x:c r="G35" s="47" t="str">
        <x:v>https://w3id.org/nltl/vocab#factoredExtremeLoadOperabilityAssessment</x:v>
      </x:c>
      <x:c r="H35" s="47" t="str"/>
      <x:c r="I35" s="48" t="str">
        <x:v>canonical path from target owner ship to required owner factoredExtremeLoadOperabilityAssessment; linked by the locked 313-requirement index</x:v>
      </x:c>
      <x:c r="J35" s="47" t="n">
        <x:v>3</x:v>
      </x:c>
    </x:row>
    <x:row r="36">
      <x:c r="A36" s="47" t="str">
        <x:v>RUN-TRF-118-20260830T123118131235Z</x:v>
      </x:c>
      <x:c r="B36" s="47" t="str">
        <x:v>TRF-118</x:v>
      </x:c>
      <x:c r="C36" s="47" t="str">
        <x:v>hasMaterialProperties</x:v>
      </x:c>
      <x:c r="D36" s="48" t="str">
        <x:v>https://w3id.org/nltl/vocab#hasMaterialProperties</x:v>
      </x:c>
      <x:c r="E36" s="47" t="str">
        <x:v>ObjectProperty</x:v>
      </x:c>
      <x:c r="F36" s="47" t="str"/>
      <x:c r="G36" s="47" t="str">
        <x:v>https://w3id.org/nltl/vocab#materialProperties</x:v>
      </x:c>
      <x:c r="H36" s="47" t="str"/>
      <x:c r="I36" s="48" t="str">
        <x:v>linked by the locked 313-requirement index; verified vocabulary-matcher addition</x:v>
      </x:c>
      <x:c r="J36" s="47" t="n">
        <x:v>3</x:v>
      </x:c>
    </x:row>
    <x:row r="37">
      <x:c r="A37" s="47" t="str">
        <x:v>RUN-TRF-118-20260830T123118131235Z</x:v>
      </x:c>
      <x:c r="B37" s="47" t="str">
        <x:v>TRF-118</x:v>
      </x:c>
      <x:c r="C37" s="47" t="str">
        <x:v>localStressConcentration</x:v>
      </x:c>
      <x:c r="D37" s="48" t="str">
        <x:v>https://w3id.org/nltl/vocab#localStressConcentration</x:v>
      </x:c>
      <x:c r="E37" s="47" t="str">
        <x:v>QuantityProperty</x:v>
      </x:c>
      <x:c r="F37" s="47" t="str"/>
      <x:c r="G37" s="47" t="str">
        <x:v>http://qudt.org/schema/qudt/QuantityValue</x:v>
      </x:c>
      <x:c r="H37" s="47" t="str">
        <x:v>http://qudt.org/vocab/unit/UNITLESS</x:v>
      </x:c>
      <x:c r="I37" s="48" t="str">
        <x:v>linked by the locked 313-requirement index</x:v>
      </x:c>
      <x:c r="J37" s="47" t="n">
        <x:v>3</x:v>
      </x:c>
    </x:row>
    <x:row r="38">
      <x:c r="A38" s="47" t="str">
        <x:v>RUN-TRF-118-20260830T123118131235Z</x:v>
      </x:c>
      <x:c r="B38" s="47" t="str">
        <x:v>TRF-118</x:v>
      </x:c>
      <x:c r="C38" s="47" t="str">
        <x:v>materialProperties</x:v>
      </x:c>
      <x:c r="D38" s="48" t="str">
        <x:v>https://w3id.org/nltl/vocab#materialProperties</x:v>
      </x:c>
      <x:c r="E38" s="47" t="str">
        <x:v>Class</x:v>
      </x:c>
      <x:c r="F38" s="47" t="str"/>
      <x:c r="G38" s="47" t="str">
        <x:v>https://w3id.org/nltl/vocab#benchmarkEntity</x:v>
      </x:c>
      <x:c r="H38" s="47" t="str"/>
      <x:c r="I38" s="48" t="str">
        <x:v>authoritative required owner class; domain dependency of componentMaterialYieldStrength; linked by the locked 313-requirement index; range dependency of hasMaterialProperties</x:v>
      </x:c>
      <x:c r="J38" s="47" t="n">
        <x:v>3</x:v>
      </x:c>
    </x:row>
    <x:row r="39">
      <x:c r="A39" s="47" t="str">
        <x:v>RUN-TRF-118-20260830T123118131235Z</x:v>
      </x:c>
      <x:c r="B39" s="47" t="str">
        <x:v>TRF-118</x:v>
      </x:c>
      <x:c r="C39" s="47" t="str">
        <x:v>materialYieldStrength</x:v>
      </x:c>
      <x:c r="D39" s="48" t="str">
        <x:v>https://w3id.org/nltl/vocab#materialYieldStrength</x:v>
      </x:c>
      <x:c r="E39" s="47" t="str">
        <x:v>QuantityProperty</x:v>
      </x:c>
      <x:c r="F39" s="47" t="str"/>
      <x:c r="G39" s="47" t="str">
        <x:v>http://qudt.org/schema/qudt/QuantityValue</x:v>
      </x:c>
      <x:c r="H39" s="47" t="str">
        <x:v>http://qudt.org/vocab/unit/MegaPA</x:v>
      </x:c>
      <x:c r="I39" s="48" t="str">
        <x:v>linked by the locked 313-requirement index</x:v>
      </x:c>
      <x:c r="J39" s="47" t="n">
        <x:v>3</x:v>
      </x:c>
    </x:row>
    <x:row r="40">
      <x:c r="A40" s="47" t="str">
        <x:v>RUN-TRF-118-20260830T123118131235Z</x:v>
      </x:c>
      <x:c r="B40" s="47" t="str">
        <x:v>TRF-118</x:v>
      </x:c>
      <x:c r="C40" s="47" t="str">
        <x:v>nominalVonMisesStress</x:v>
      </x:c>
      <x:c r="D40" s="48" t="str">
        <x:v>https://w3id.org/nltl/vocab#nominalVonMisesStress</x:v>
      </x:c>
      <x:c r="E40" s="47" t="str">
        <x:v>QuantityProperty</x:v>
      </x:c>
      <x:c r="F40" s="47" t="str"/>
      <x:c r="G40" s="47" t="str">
        <x:v>http://qudt.org/schema/qudt/QuantityValue</x:v>
      </x:c>
      <x:c r="H40" s="47" t="str">
        <x:v>http://qudt.org/vocab/unit/MegaPA</x:v>
      </x:c>
      <x:c r="I40" s="48" t="str">
        <x:v>linked by the locked 313-requirement index</x:v>
      </x:c>
      <x:c r="J40" s="47" t="n">
        <x:v>3</x:v>
      </x:c>
    </x:row>
    <x:row r="41">
      <x:c r="A41" s="47" t="str">
        <x:v>RUN-TRF-118-20260830T123118131235Z</x:v>
      </x:c>
      <x:c r="B41" s="47" t="str">
        <x:v>TRF-118</x:v>
      </x:c>
      <x:c r="C41" s="47" t="str">
        <x:v>repairRequired</x:v>
      </x:c>
      <x:c r="D41" s="48" t="str">
        <x:v>https://w3id.org/nltl/vocab#repairRequired</x:v>
      </x:c>
      <x:c r="E41" s="47" t="str">
        <x:v>DatatypeProperty</x:v>
      </x:c>
      <x:c r="F41" s="47" t="str">
        <x:v>xsd:boolean</x:v>
      </x:c>
      <x:c r="G41" s="47" t="str">
        <x:v>http://www.w3.org/2001/XMLSchema#boolean</x:v>
      </x:c>
      <x:c r="H41" s="47" t="str"/>
      <x:c r="I41" s="48" t="str">
        <x:v>linked by the locked 313-requirement index</x:v>
      </x:c>
      <x:c r="J41" s="47" t="n">
        <x:v>3</x:v>
      </x:c>
    </x:row>
    <x:row r="42">
      <x:c r="A42" s="47" t="str">
        <x:v>RUN-TRF-118-20260830T123118131235Z</x:v>
      </x:c>
      <x:c r="B42" s="47" t="str">
        <x:v>TRF-118</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 domain dependency of hasFactoredExtremeLoadOperabilityAssessment</x:v>
      </x:c>
      <x:c r="J42" s="47" t="n">
        <x:v>3</x:v>
      </x:c>
    </x:row>
    <x:row r="43">
      <x:c r="A43" s="47" t="str">
        <x:v>RUN-TRF-118-20260830T123118131235Z</x:v>
      </x:c>
      <x:c r="B43" s="47" t="str">
        <x:v>TRF-118</x:v>
      </x:c>
      <x:c r="C43" s="47" t="str">
        <x:v>shipComponent</x:v>
      </x:c>
      <x:c r="D43" s="48" t="str">
        <x:v>https://w3id.org/nltl/vocab#shipComponent</x:v>
      </x:c>
      <x:c r="E43" s="47" t="str">
        <x:v>Class</x:v>
      </x:c>
      <x:c r="F43" s="47" t="str"/>
      <x:c r="G43" s="47" t="str"/>
      <x:c r="H43" s="47" t="str"/>
      <x:c r="I43" s="48" t="str">
        <x:v>authoritative required owner class; component-path dependency inferred from the linked term module; domain dependency of hasMaterialProperties; domain dependency of materialYieldStrength; range dependency of assessedThrusterComponent</x:v>
      </x:c>
      <x:c r="J43" s="47" t="n">
        <x:v>3</x:v>
      </x:c>
    </x:row>
    <x:row r="44">
      <x:c r="A44" s="47" t="str">
        <x:v>RUN-TRF-118-20260830T123118131235Z</x:v>
      </x:c>
      <x:c r="B44" s="47" t="str">
        <x:v>TRF-118</x:v>
      </x:c>
      <x:c r="C44" s="47" t="str">
        <x:v>thrusterExtremeLoad</x:v>
      </x:c>
      <x:c r="D44" s="48" t="str">
        <x:v>https://w3id.org/nltl/vocab#thrusterExtremeLoad</x:v>
      </x:c>
      <x:c r="E44" s="47" t="str">
        <x:v>QuantityProperty</x:v>
      </x:c>
      <x:c r="F44" s="47" t="str"/>
      <x:c r="G44" s="47" t="str">
        <x:v>http://qudt.org/schema/qudt/QuantityValue</x:v>
      </x:c>
      <x:c r="H44" s="47" t="str">
        <x:v>http://qudt.org/vocab/unit/KiloN</x:v>
      </x:c>
      <x:c r="I44" s="48" t="str">
        <x:v>linked by the locked 313-requirement index</x:v>
      </x:c>
      <x:c r="J44" s="47" t="n">
        <x:v>3</x:v>
      </x:c>
    </x:row>
    <x:row r="45">
      <x:c r="A45" s="47" t="str">
        <x:v>RUN-TRF-118-20260830T123118131235Z</x:v>
      </x:c>
      <x:c r="B45" s="47" t="str">
        <x:v>TRF-118</x:v>
      </x:c>
      <x:c r="C45" s="47" t="str">
        <x:v>thrusterOperability</x:v>
      </x:c>
      <x:c r="D45" s="48" t="str">
        <x:v>https://w3id.org/nltl/vocab#thrusterOperability</x:v>
      </x:c>
      <x:c r="E45" s="47" t="str">
        <x:v>DatatypeProperty</x:v>
      </x:c>
      <x:c r="F45" s="47" t="str">
        <x:v>xsd:boolean</x:v>
      </x:c>
      <x:c r="G45" s="47" t="str">
        <x:v>http://www.w3.org/2001/XMLSchema#boolean</x:v>
      </x:c>
      <x:c r="H45" s="47" t="str"/>
      <x:c r="I45" s="48" t="str">
        <x:v>linked by the locked 313-requirement index</x:v>
      </x:c>
      <x:c r="J45" s="47" t="n">
        <x:v>3</x:v>
      </x:c>
    </x:row>
    <x:row r="46">
      <x:c r="A46" s="49" t="str">
        <x:v>RUN-TRF-118-20260830T123118131235Z</x:v>
      </x:c>
      <x:c r="B46" s="49" t="str">
        <x:v>TRF-118</x:v>
      </x:c>
      <x:c r="C46" s="49" t="str">
        <x:v>yieldSafetyFactor</x:v>
      </x:c>
      <x:c r="D46" s="50" t="str">
        <x:v>https://w3id.org/nltl/vocab#yieldSafetyFactor</x:v>
      </x:c>
      <x:c r="E46" s="49" t="str">
        <x:v>QuantityProperty</x:v>
      </x:c>
      <x:c r="F46" s="49" t="str"/>
      <x:c r="G46" s="49" t="str">
        <x:v>http://qudt.org/schema/qudt/QuantityValue</x:v>
      </x:c>
      <x:c r="H46" s="49" t="str">
        <x:v>http://qudt.org/vocab/unit/UNITLESS</x:v>
      </x:c>
      <x:c r="I46" s="50" t="str">
        <x:v>linked by the locked 313-requirement index</x:v>
      </x:c>
      <x:c r="J46" s="49" t="n">
        <x:v>3</x:v>
      </x:c>
    </x:row>
  </x:sheetData>
  <x:pageMargins left="0.7" right="0.7" top="0.75" bottom="0.75" header="0.3" footer="0.3"/>
  <x:tableParts count="1">
    <x:tablePart xmlns:r="http://schemas.openxmlformats.org/officeDocument/2006/relationships" r:id="Rbe21b20f40824f9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RUN-TRF-118-20260830T123118131235Z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RUN-TRF-118-20260830T123118131235Z</x:v>
      </x:c>
      <x:c r="B5" s="45" t="str">
        <x:v>TRF-118</x:v>
      </x:c>
      <x:c r="C5" s="45" t="str">
        <x:v>FS-COMPLEX-READINESS-01</x:v>
      </x:c>
      <x:c r="D5" s="45" t="str">
        <x:v>complex_readiness_external_calculation</x:v>
      </x:c>
      <x:c r="E5" s="97" t="n">
        <x:v>2.097561</x:v>
      </x:c>
      <x:c r="F5" s="45" t="str">
        <x:v>calculation | complex | engineering | evidence | external | inputs | readiness | results</x:v>
      </x:c>
      <x:c r="G5" s="45" t="str">
        <x:v>synthetic-few-shot-not-benchmark-ground-truth</x:v>
      </x:c>
    </x:row>
    <x:row r="6">
      <x:c r="A6" s="49" t="str">
        <x:v>RUN-TRF-118-20260830T123118131235Z</x:v>
      </x:c>
      <x:c r="B6" s="49" t="str">
        <x:v>TRF-118</x:v>
      </x:c>
      <x:c r="C6" s="49" t="str">
        <x:v>FS-COMPLEX-READINESS-02</x:v>
      </x:c>
      <x:c r="D6" s="49" t="str">
        <x:v>complex_readiness_with_direct_residual_check</x:v>
      </x:c>
      <x:c r="E6" s="98" t="n">
        <x:v>2.045455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d85eb70d77d4f6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RUN-TRF-118-20260830T123118131235Z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RUN-TRF-118-20260830T123118131235Z</x:v>
      </x:c>
      <x:c r="B5" s="45" t="str">
        <x:v>TRF-118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https://w3id.org/nltl/vocab#assessedFactoredExtremeLoad | https://w3id.org/nltl/vocab#assessedThrusterComponent | https://w3id.org/nltl/vocab#assessmentOperabilityMaintained | https://w3id.org/nltl/vocab#assessmentRepairRequired | https://w3id.org/nltl/vocab#componentMaterialYieldStrength | https://w3id.org/nltl/vocab#factoredExtremeLoadOperabilityAssessment | https://w3id.org/nltl/vocab#hasFactoredExtremeLoadOperabilityAssessment | https://w3id.org/nltl/vocab#hasMaterialProperties | https://w3id.org/nltl/vocab#localStressConcentration | https://w3id.org/nltl/vocab#materialProperties | https://w3id.org/nltl/vocab#nominalVonMisesStress | https://w3id.org/nltl/vocab#ship | https://w3id.org/nltl/vocab#shipComponent | https://w3id.org/nltl/vocab#thrusterExtremeLoad | https://w3id.org/nltl/vocab#yieldSafetyFactor</x:v>
      </x:c>
      <x:c r="O5" s="46" t="str"/>
      <x:c r="P5" s="46" t="str"/>
      <x:c r="Q5" s="46" t="str"/>
    </x:row>
    <x:row r="6">
      <x:c r="A6" s="47" t="str">
        <x:v>RUN-TRF-118-20260830T123118131235Z</x:v>
      </x:c>
      <x:c r="B6" s="47" t="str">
        <x:v>TRF-118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https://w3id.org/nltl/vocab#assessedFactoredExtremeLoad | https://w3id.org/nltl/vocab#assessedThrusterComponent | https://w3id.org/nltl/vocab#assessmentOperabilityMaintained | https://w3id.org/nltl/vocab#assessmentRepairRequired | https://w3id.org/nltl/vocab#componentMaterialYieldStrength | https://w3id.org/nltl/vocab#factoredExtremeLoadOperabilityAssessment | https://w3id.org/nltl/vocab#hasComponent | https://w3id.org/nltl/vocab#hasFactoredExtremeLoadOperabilityAssessment | https://w3id.org/nltl/vocab#hasMaterialProperties | https://w3id.org/nltl/vocab#localStressConcentration | https://w3id.org/nltl/vocab#materialProperties | https://w3id.org/nltl/vocab#nominalVonMisesStress | https://w3id.org/nltl/vocab#ship | https://w3id.org/nltl/vocab#shipComponent | https://w3id.org/nltl/vocab#thrusterExtremeLoad | https://w3id.org/nltl/vocab#yieldSafetyFactor</x:v>
      </x:c>
      <x:c r="O6" s="48" t="str"/>
      <x:c r="P6" s="48" t="str"/>
      <x:c r="Q6" s="48" t="str"/>
    </x:row>
    <x:row r="7">
      <x:c r="A7" s="49" t="str">
        <x:v>RUN-TRF-118-20260830T123118131235Z</x:v>
      </x:c>
      <x:c r="B7" s="49" t="str">
        <x:v>TRF-118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https://w3id.org/nltl/vocab#assessedFactoredExtremeLoad | https://w3id.org/nltl/vocab#assessedThrusterComponent | https://w3id.org/nltl/vocab#assessmentOperabilityMaintained | https://w3id.org/nltl/vocab#assessmentRepairRequired | https://w3id.org/nltl/vocab#componentMaterialYieldStrength | https://w3id.org/nltl/vocab#factoredExtremeLoadOperabilityAssessment | https://w3id.org/nltl/vocab#hasFactoredExtremeLoadOperabilityAssessment | https://w3id.org/nltl/vocab#hasMaterialProperties | https://w3id.org/nltl/vocab#localStressConcentration | https://w3id.org/nltl/vocab#materialProperties | https://w3id.org/nltl/vocab#nominalVonMisesStress | https://w3id.org/nltl/vocab#ship | https://w3id.org/nltl/vocab#shipComponent | https://w3id.org/nltl/vocab#thrusterExtremeLoad | https://w3id.org/nltl/vocab#yieldSafetyFactor</x:v>
      </x:c>
      <x:c r="O7" s="50" t="str"/>
      <x:c r="P7" s="50" t="str"/>
      <x:c r="Q7" s="50" t="str"/>
    </x:row>
  </x:sheetData>
  <x:pageMargins left="0.7" right="0.7" top="0.75" bottom="0.75" header="0.3" footer="0.3"/>
  <x:tableParts count="1">
    <x:tablePart xmlns:r="http://schemas.openxmlformats.org/officeDocument/2006/relationships" r:id="Rab81a13234164a4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RUN-TRF-118-20260830T123118131235Z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RUN-TRF-118-20260830T123118131235Z</x:v>
      </x:c>
      <x:c r="B5" s="45" t="str">
        <x:v>TRF-118</x:v>
      </x:c>
      <x:c r="C5" s="58" t="n">
        <x:v>2</x:v>
      </x:c>
      <x:c r="D5" s="45" t="str">
        <x:v>matcher_search</x:v>
      </x:c>
      <x:c r="E5" s="46" t="str">
        <x:v>The prior materialProperties owner/path repair remains unresolved. materialProperties has authoritative requiredOwner ship, but the candidate creates it only through shipComponent/hasMaterialProperties and duplicates the same material-yield-strength fact inside each assessment, placing the class and property on the wrong owner. Locate or supply a canonical ship-to-materialProperties path, activate the matcher for that genuinely missing cross-owner path, then constrain componentMaterialYieldStrength only on the resulting ship-owned materialProperties node while retaining the assessment-to-assessedThrusterComponent pairing. Remove the component-owned and duplicated material-properties structures; preserve all declared operand and result checks.</x:v>
      </x:c>
      <x:c r="F5" s="58" t="n">
        <x:v>8</x:v>
      </x:c>
      <x:c r="G5" s="45" t="str"/>
      <x:c r="H5" s="45" t="str"/>
      <x:c r="I5" s="46" t="str"/>
      <x:c r="J5" s="46" t="str"/>
    </x:row>
    <x:row r="6">
      <x:c r="A6" s="47" t="str">
        <x:v>RUN-TRF-118-20260830T123118131235Z</x:v>
      </x:c>
      <x:c r="B6" s="47" t="str">
        <x:v>TRF-118</x:v>
      </x:c>
      <x:c r="C6" s="59" t="n">
        <x:v>2</x:v>
      </x:c>
      <x:c r="D6" s="47" t="str">
        <x:v>matcher_decision</x:v>
      </x:c>
      <x:c r="E6" s="48" t="str"/>
      <x:c r="F6" s="59" t="str"/>
      <x:c r="G6" s="85" t="b">
        <x:v>1</x:v>
      </x:c>
      <x:c r="H6" s="47" t="str">
        <x:v>hasMaterialProperties</x:v>
      </x:c>
      <x:c r="I6" s="48" t="str">
        <x:v>https://w3id.org/nltl/vocab#hasMaterialProperties</x:v>
      </x:c>
      <x:c r="J6" s="48" t="str">
        <x:v>Use this exact term because it is the canonical object property whose range is materialProperties and it supports the required ship-to-materialProperties path without inventing a new IRI.</x:v>
      </x:c>
    </x:row>
    <x:row r="7">
      <x:c r="A7" s="47" t="str">
        <x:v>RUN-TRF-118-20260830T123118131235Z</x:v>
      </x:c>
      <x:c r="B7" s="47" t="str">
        <x:v>TRF-118</x:v>
      </x:c>
      <x:c r="C7" s="59" t="n">
        <x:v>3</x:v>
      </x:c>
      <x:c r="D7" s="47" t="str">
        <x:v>matcher_search</x:v>
      </x:c>
      <x:c r="E7" s="48" t="str">
        <x:v>The materialProperties owner/path repair remains unresolved. Canonical metadata declares materialProperties as ship-owned, while the used hasMaterialProperties property has requiredOwner shipComponent; placing that property directly on the ship is domain-incompatible and does not establish the required ship-to-materialProperties path. Locate a canonical ship-to-materialProperties path with the matcher, then constrain componentMaterialYieldStrength only on the resulting ship-owned materialProperties node. Do not relocate it to a component, duplicate it, or use the existing component-to-materialProperties property on the ship. Preserve the valid ship-owned operands, assessment-to-assessedThrusterComponent pairing, assessedFactoredExtremeLoad result, and both explicit readiness booleans.</x:v>
      </x:c>
      <x:c r="F7" s="59" t="n">
        <x:v>10</x:v>
      </x:c>
      <x:c r="G7" s="47" t="str"/>
      <x:c r="H7" s="47" t="str"/>
      <x:c r="I7" s="48" t="str"/>
      <x:c r="J7" s="48" t="str"/>
    </x:row>
    <x:row r="8">
      <x:c r="A8" s="49" t="str">
        <x:v>RUN-TRF-118-20260830T123118131235Z</x:v>
      </x:c>
      <x:c r="B8" s="49" t="str">
        <x:v>TRF-118</x:v>
      </x:c>
      <x:c r="C8" s="60" t="n">
        <x:v>3</x:v>
      </x:c>
      <x:c r="D8" s="49" t="str">
        <x:v>matcher_decision</x:v>
      </x:c>
      <x:c r="E8" s="50" t="str"/>
      <x:c r="F8" s="60" t="str"/>
      <x:c r="G8" s="87" t="b">
        <x:v>0</x:v>
      </x:c>
      <x:c r="H8" s="49" t="str"/>
      <x:c r="I8" s="50" t="str"/>
      <x:c r="J8" s="50" t="str">
        <x:v>No supplied candidate is semantically verified as a canonical ship-to-materialProperties path; hasMaterialProperties is explicitly identified as the existing component-to-materialProperties property and is therefore incompatible with the required ship-owned path.</x:v>
      </x:c>
    </x:row>
  </x:sheetData>
  <x:pageMargins left="0.7" right="0.7" top="0.75" bottom="0.75" header="0.3" footer="0.3"/>
  <x:tableParts count="1">
    <x:tablePart xmlns:r="http://schemas.openxmlformats.org/officeDocument/2006/relationships" r:id="R62a67a57cec0439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RUN-TRF-118-20260830T123118131235Z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RUN-TRF-118-20260830T123118131235Z</x:v>
      </x:c>
      <x:c r="B5" s="45" t="str">
        <x:v>TRF-118</x:v>
      </x:c>
      <x:c r="C5" s="58"/>
      <x:c r="D5" s="45" t="str">
        <x:v>initial_context_pack</x:v>
      </x:c>
      <x:c r="E5" s="46" t="str">
        <x:v>artifacts/context_pack_initial.json</x:v>
      </x:c>
      <x:c r="F5" s="45" t="str">
        <x:v>5512e662f54d2450ae8511a3a4538225acdd73e76db748c8717412810690b5d7</x:v>
      </x:c>
      <x:c r="G5" s="58" t="n">
        <x:v>32289</x:v>
      </x:c>
    </x:row>
    <x:row r="6">
      <x:c r="A6" s="47" t="str">
        <x:v>RUN-TRF-118-20260830T123118131235Z</x:v>
      </x:c>
      <x:c r="B6" s="47" t="str">
        <x:v>TRF-118</x:v>
      </x:c>
      <x:c r="C6" s="59"/>
      <x:c r="D6" s="47" t="str">
        <x:v>few_shot_selection</x:v>
      </x:c>
      <x:c r="E6" s="48" t="str">
        <x:v>artifacts/few_shots_selected.json</x:v>
      </x:c>
      <x:c r="F6" s="47" t="str">
        <x:v>5dd2dda3441cf33b2ad164bc7e91f9fb4387a5fbd603f622162573cfec6fec47</x:v>
      </x:c>
      <x:c r="G6" s="59" t="n">
        <x:v>6555</x:v>
      </x:c>
    </x:row>
    <x:row r="7">
      <x:c r="A7" s="47" t="str">
        <x:v>RUN-TRF-118-20260830T123118131235Z</x:v>
      </x:c>
      <x:c r="B7" s="47" t="str">
        <x:v>TRF-118</x:v>
      </x:c>
      <x:c r="C7" s="59" t="n">
        <x:v>1</x:v>
      </x:c>
      <x:c r="D7" s="47" t="str">
        <x:v>generator_prompt</x:v>
      </x:c>
      <x:c r="E7" s="48" t="str">
        <x:v>artifacts/attempt_01/generator_prompt.txt</x:v>
      </x:c>
      <x:c r="F7" s="47" t="str">
        <x:v>fcc19dfd87432aecbfd7761ab63740db891cfa16b374e8b9701a107a0c45f8ac</x:v>
      </x:c>
      <x:c r="G7" s="59" t="n">
        <x:v>50488</x:v>
      </x:c>
    </x:row>
    <x:row r="8">
      <x:c r="A8" s="47" t="str">
        <x:v>RUN-TRF-118-20260830T123118131235Z</x:v>
      </x:c>
      <x:c r="B8" s="47" t="str">
        <x:v>TRF-118</x:v>
      </x:c>
      <x:c r="C8" s="59" t="n">
        <x:v>1</x:v>
      </x:c>
      <x:c r="D8" s="47" t="str">
        <x:v>generator_raw_response</x:v>
      </x:c>
      <x:c r="E8" s="48" t="str">
        <x:v>artifacts/attempt_01/generator_raw.txt</x:v>
      </x:c>
      <x:c r="F8" s="47" t="str">
        <x:v>be2566a24757559cbf8501eb285025243bec57745d5a32f48bc87d07e92039cd</x:v>
      </x:c>
      <x:c r="G8" s="59" t="n">
        <x:v>6258</x:v>
      </x:c>
    </x:row>
    <x:row r="9">
      <x:c r="A9" s="47" t="str">
        <x:v>RUN-TRF-118-20260830T123118131235Z</x:v>
      </x:c>
      <x:c r="B9" s="47" t="str">
        <x:v>TRF-118</x:v>
      </x:c>
      <x:c r="C9" s="59" t="n">
        <x:v>1</x:v>
      </x:c>
      <x:c r="D9" s="47" t="str">
        <x:v>candidate_shape</x:v>
      </x:c>
      <x:c r="E9" s="48" t="str">
        <x:v>artifacts/attempt_01/candidate_shape.ttl</x:v>
      </x:c>
      <x:c r="F9" s="47" t="str">
        <x:v>4ce8a4f9fd09e60349a4ff18b07e59135b051f34eff3e472d0cf6e88266c87c4</x:v>
      </x:c>
      <x:c r="G9" s="59" t="n">
        <x:v>6233</x:v>
      </x:c>
    </x:row>
    <x:row r="10">
      <x:c r="A10" s="47" t="str">
        <x:v>RUN-TRF-118-20260830T123118131235Z</x:v>
      </x:c>
      <x:c r="B10" s="47" t="str">
        <x:v>TRF-118</x:v>
      </x:c>
      <x:c r="C10" s="59" t="n">
        <x:v>1</x:v>
      </x:c>
      <x:c r="D10" s="47" t="str">
        <x:v>deterministic_validation</x:v>
      </x:c>
      <x:c r="E10" s="48" t="str">
        <x:v>artifacts/attempt_01/deterministic_validation.json</x:v>
      </x:c>
      <x:c r="F10" s="47" t="str">
        <x:v>f8e5a873446db4a84c87dafcd18a00ce460d92f8e8636b1ca0a143bb5ef64f61</x:v>
      </x:c>
      <x:c r="G10" s="59" t="n">
        <x:v>1286</x:v>
      </x:c>
    </x:row>
    <x:row r="11">
      <x:c r="A11" s="47" t="str">
        <x:v>RUN-TRF-118-20260830T123118131235Z</x:v>
      </x:c>
      <x:c r="B11" s="47" t="str">
        <x:v>TRF-118</x:v>
      </x:c>
      <x:c r="C11" s="59" t="n">
        <x:v>1</x:v>
      </x:c>
      <x:c r="D11" s="47" t="str">
        <x:v>validator_prompt</x:v>
      </x:c>
      <x:c r="E11" s="48" t="str">
        <x:v>artifacts/attempt_01/validator_prompt_01.txt</x:v>
      </x:c>
      <x:c r="F11" s="47" t="str">
        <x:v>f552bb160cb48368e6f9ae036f226462604498c98fabd91fa3f3db8f2ad780f4</x:v>
      </x:c>
      <x:c r="G11" s="59" t="n">
        <x:v>52030</x:v>
      </x:c>
    </x:row>
    <x:row r="12">
      <x:c r="A12" s="47" t="str">
        <x:v>RUN-TRF-118-20260830T123118131235Z</x:v>
      </x:c>
      <x:c r="B12" s="47" t="str">
        <x:v>TRF-118</x:v>
      </x:c>
      <x:c r="C12" s="59" t="n">
        <x:v>1</x:v>
      </x:c>
      <x:c r="D12" s="47" t="str">
        <x:v>validator_raw_response</x:v>
      </x:c>
      <x:c r="E12" s="48" t="str">
        <x:v>artifacts/attempt_01/validator_raw_01.txt</x:v>
      </x:c>
      <x:c r="F12" s="47" t="str">
        <x:v>6f31df252ad740176f83359fcb86497c6fce6d788461d0f10004171f3aa49ebe</x:v>
      </x:c>
      <x:c r="G12" s="59" t="n">
        <x:v>731</x:v>
      </x:c>
    </x:row>
    <x:row r="13">
      <x:c r="A13" s="47" t="str">
        <x:v>RUN-TRF-118-20260830T123118131235Z</x:v>
      </x:c>
      <x:c r="B13" s="47" t="str">
        <x:v>TRF-118</x:v>
      </x:c>
      <x:c r="C13" s="59" t="n">
        <x:v>2</x:v>
      </x:c>
      <x:c r="D13" s="47" t="str">
        <x:v>generator_prompt</x:v>
      </x:c>
      <x:c r="E13" s="48" t="str">
        <x:v>artifacts/attempt_02/generator_prompt.txt</x:v>
      </x:c>
      <x:c r="F13" s="47" t="str">
        <x:v>33b3356132d374579ee5e7df7e4b070440cbe58babd96991d1b8f370670bf0f6</x:v>
      </x:c>
      <x:c r="G13" s="59" t="n">
        <x:v>51154</x:v>
      </x:c>
    </x:row>
    <x:row r="14">
      <x:c r="A14" s="47" t="str">
        <x:v>RUN-TRF-118-20260830T123118131235Z</x:v>
      </x:c>
      <x:c r="B14" s="47" t="str">
        <x:v>TRF-118</x:v>
      </x:c>
      <x:c r="C14" s="59" t="n">
        <x:v>2</x:v>
      </x:c>
      <x:c r="D14" s="47" t="str">
        <x:v>generator_raw_response</x:v>
      </x:c>
      <x:c r="E14" s="48" t="str">
        <x:v>artifacts/attempt_02/generator_raw.txt</x:v>
      </x:c>
      <x:c r="F14" s="47" t="str">
        <x:v>104b831c149963296038d405cbce1a714f020e81d077b5704c70ae6f65116b5b</x:v>
      </x:c>
      <x:c r="G14" s="59" t="n">
        <x:v>7035</x:v>
      </x:c>
    </x:row>
    <x:row r="15">
      <x:c r="A15" s="47" t="str">
        <x:v>RUN-TRF-118-20260830T123118131235Z</x:v>
      </x:c>
      <x:c r="B15" s="47" t="str">
        <x:v>TRF-118</x:v>
      </x:c>
      <x:c r="C15" s="59" t="n">
        <x:v>2</x:v>
      </x:c>
      <x:c r="D15" s="47" t="str">
        <x:v>candidate_shape</x:v>
      </x:c>
      <x:c r="E15" s="48" t="str">
        <x:v>artifacts/attempt_02/candidate_shape.ttl</x:v>
      </x:c>
      <x:c r="F15" s="47" t="str">
        <x:v>5c278586c61e865b45042a9fb5fe37408cfbc4eea0434f3024c93442b8a9046c</x:v>
      </x:c>
      <x:c r="G15" s="59" t="n">
        <x:v>7010</x:v>
      </x:c>
    </x:row>
    <x:row r="16">
      <x:c r="A16" s="47" t="str">
        <x:v>RUN-TRF-118-20260830T123118131235Z</x:v>
      </x:c>
      <x:c r="B16" s="47" t="str">
        <x:v>TRF-118</x:v>
      </x:c>
      <x:c r="C16" s="59" t="n">
        <x:v>2</x:v>
      </x:c>
      <x:c r="D16" s="47" t="str">
        <x:v>deterministic_validation</x:v>
      </x:c>
      <x:c r="E16" s="48" t="str">
        <x:v>artifacts/attempt_02/deterministic_validation.json</x:v>
      </x:c>
      <x:c r="F16" s="47" t="str">
        <x:v>c0cc6b2438808a0cac7c35cde65a2152cbb4a9aef35b07f7a13242da42d303e9</x:v>
      </x:c>
      <x:c r="G16" s="59" t="n">
        <x:v>1334</x:v>
      </x:c>
    </x:row>
    <x:row r="17">
      <x:c r="A17" s="47" t="str">
        <x:v>RUN-TRF-118-20260830T123118131235Z</x:v>
      </x:c>
      <x:c r="B17" s="47" t="str">
        <x:v>TRF-118</x:v>
      </x:c>
      <x:c r="C17" s="59" t="n">
        <x:v>2</x:v>
      </x:c>
      <x:c r="D17" s="47" t="str">
        <x:v>validator_prompt</x:v>
      </x:c>
      <x:c r="E17" s="48" t="str">
        <x:v>artifacts/attempt_02/validator_prompt_01.txt</x:v>
      </x:c>
      <x:c r="F17" s="47" t="str">
        <x:v>ecf532b67031153619cf29bd6c91b4ad40beaa3e7d737a464f9319e85335429e</x:v>
      </x:c>
      <x:c r="G17" s="59" t="n">
        <x:v>53866</x:v>
      </x:c>
    </x:row>
    <x:row r="18">
      <x:c r="A18" s="47" t="str">
        <x:v>RUN-TRF-118-20260830T123118131235Z</x:v>
      </x:c>
      <x:c r="B18" s="47" t="str">
        <x:v>TRF-118</x:v>
      </x:c>
      <x:c r="C18" s="59" t="n">
        <x:v>2</x:v>
      </x:c>
      <x:c r="D18" s="47" t="str">
        <x:v>validator_raw_response</x:v>
      </x:c>
      <x:c r="E18" s="48" t="str">
        <x:v>artifacts/attempt_02/validator_raw_01.txt</x:v>
      </x:c>
      <x:c r="F18" s="47" t="str">
        <x:v>27af0eea698d550297a287e52ccd0184cee9441cbdc6742b334744c5053c7bcc</x:v>
      </x:c>
      <x:c r="G18" s="59" t="n">
        <x:v>815</x:v>
      </x:c>
    </x:row>
    <x:row r="19">
      <x:c r="A19" s="47" t="str">
        <x:v>RUN-TRF-118-20260830T123118131235Z</x:v>
      </x:c>
      <x:c r="B19" s="47" t="str">
        <x:v>TRF-118</x:v>
      </x:c>
      <x:c r="C19" s="59" t="n">
        <x:v>2</x:v>
      </x:c>
      <x:c r="D19" s="47" t="str">
        <x:v>matcher_candidates</x:v>
      </x:c>
      <x:c r="E19" s="48" t="str">
        <x:v>artifacts/attempt_02/matcher_candidates.json</x:v>
      </x:c>
      <x:c r="F19" s="47" t="str">
        <x:v>e702347289a97b0bb004fa8a76fd769b7a9b6a7a71f5b9d2d9d236a374654fca</x:v>
      </x:c>
      <x:c r="G19" s="59" t="n">
        <x:v>5943</x:v>
      </x:c>
    </x:row>
    <x:row r="20">
      <x:c r="A20" s="47" t="str">
        <x:v>RUN-TRF-118-20260830T123118131235Z</x:v>
      </x:c>
      <x:c r="B20" s="47" t="str">
        <x:v>TRF-118</x:v>
      </x:c>
      <x:c r="C20" s="59" t="n">
        <x:v>2</x:v>
      </x:c>
      <x:c r="D20" s="47" t="str">
        <x:v>vocabulary_matcher_prompt</x:v>
      </x:c>
      <x:c r="E20" s="48" t="str">
        <x:v>artifacts/attempt_02/vocabulary_matcher_prompt_01.txt</x:v>
      </x:c>
      <x:c r="F20" s="47" t="str">
        <x:v>db2e6903dc6be4d0d429a71ea7f0d3b12d33ba5912c150afd73b38de9cb2bba8</x:v>
      </x:c>
      <x:c r="G20" s="59" t="n">
        <x:v>15625</x:v>
      </x:c>
    </x:row>
    <x:row r="21">
      <x:c r="A21" s="47" t="str">
        <x:v>RUN-TRF-118-20260830T123118131235Z</x:v>
      </x:c>
      <x:c r="B21" s="47" t="str">
        <x:v>TRF-118</x:v>
      </x:c>
      <x:c r="C21" s="59" t="n">
        <x:v>2</x:v>
      </x:c>
      <x:c r="D21" s="47" t="str">
        <x:v>vocabulary_matcher_raw_response</x:v>
      </x:c>
      <x:c r="E21" s="48" t="str">
        <x:v>artifacts/attempt_02/vocabulary_matcher_raw_01.txt</x:v>
      </x:c>
      <x:c r="F21" s="47" t="str">
        <x:v>b6fccbcfedc535668cbfa9fc324a2b6e0d1ab0c2af250de4492a8d1ee0f1cc58</x:v>
      </x:c>
      <x:c r="G21" s="59" t="n">
        <x:v>345</x:v>
      </x:c>
    </x:row>
    <x:row r="22">
      <x:c r="A22" s="47" t="str">
        <x:v>RUN-TRF-118-20260830T123118131235Z</x:v>
      </x:c>
      <x:c r="B22" s="47" t="str">
        <x:v>TRF-118</x:v>
      </x:c>
      <x:c r="C22" s="59" t="n">
        <x:v>3</x:v>
      </x:c>
      <x:c r="D22" s="47" t="str">
        <x:v>expanded_context_pack</x:v>
      </x:c>
      <x:c r="E22" s="48" t="str">
        <x:v>artifacts/attempt_03/context_pack_expanded.json</x:v>
      </x:c>
      <x:c r="F22" s="47" t="str">
        <x:v>db9464270b7f386c1a5474af9dcff8cdd607e990c259fb119a359bc385619530</x:v>
      </x:c>
      <x:c r="G22" s="59" t="n">
        <x:v>32327</x:v>
      </x:c>
    </x:row>
    <x:row r="23">
      <x:c r="A23" s="47" t="str">
        <x:v>RUN-TRF-118-20260830T123118131235Z</x:v>
      </x:c>
      <x:c r="B23" s="47" t="str">
        <x:v>TRF-118</x:v>
      </x:c>
      <x:c r="C23" s="59" t="n">
        <x:v>3</x:v>
      </x:c>
      <x:c r="D23" s="47" t="str">
        <x:v>generator_prompt</x:v>
      </x:c>
      <x:c r="E23" s="48" t="str">
        <x:v>artifacts/attempt_03/generator_prompt.txt</x:v>
      </x:c>
      <x:c r="F23" s="47" t="str">
        <x:v>2eb567e5fae19d364e9a1ae80482dd1df641b87e28e641ed541e4540136e9a59</x:v>
      </x:c>
      <x:c r="G23" s="59" t="n">
        <x:v>52236</x:v>
      </x:c>
    </x:row>
    <x:row r="24">
      <x:c r="A24" s="47" t="str">
        <x:v>RUN-TRF-118-20260830T123118131235Z</x:v>
      </x:c>
      <x:c r="B24" s="47" t="str">
        <x:v>TRF-118</x:v>
      </x:c>
      <x:c r="C24" s="59" t="n">
        <x:v>3</x:v>
      </x:c>
      <x:c r="D24" s="47" t="str">
        <x:v>generator_raw_response</x:v>
      </x:c>
      <x:c r="E24" s="48" t="str">
        <x:v>artifacts/attempt_03/generator_raw.txt</x:v>
      </x:c>
      <x:c r="F24" s="47" t="str">
        <x:v>60da32f7948b3ee4a621b3c3c6f15e8e160abdd2365dced91e0831afa403d766</x:v>
      </x:c>
      <x:c r="G24" s="59" t="n">
        <x:v>5877</x:v>
      </x:c>
    </x:row>
    <x:row r="25">
      <x:c r="A25" s="47" t="str">
        <x:v>RUN-TRF-118-20260830T123118131235Z</x:v>
      </x:c>
      <x:c r="B25" s="47" t="str">
        <x:v>TRF-118</x:v>
      </x:c>
      <x:c r="C25" s="59" t="n">
        <x:v>3</x:v>
      </x:c>
      <x:c r="D25" s="47" t="str">
        <x:v>candidate_shape</x:v>
      </x:c>
      <x:c r="E25" s="48" t="str">
        <x:v>artifacts/attempt_03/candidate_shape.ttl</x:v>
      </x:c>
      <x:c r="F25" s="47" t="str">
        <x:v>491c9db67410d86d93620310f700971a3c87649a8e4f17c73087db1ba11332b1</x:v>
      </x:c>
      <x:c r="G25" s="59" t="n">
        <x:v>5852</x:v>
      </x:c>
    </x:row>
    <x:row r="26">
      <x:c r="A26" s="47" t="str">
        <x:v>RUN-TRF-118-20260830T123118131235Z</x:v>
      </x:c>
      <x:c r="B26" s="47" t="str">
        <x:v>TRF-118</x:v>
      </x:c>
      <x:c r="C26" s="59" t="n">
        <x:v>3</x:v>
      </x:c>
      <x:c r="D26" s="47" t="str">
        <x:v>deterministic_validation</x:v>
      </x:c>
      <x:c r="E26" s="48" t="str">
        <x:v>artifacts/attempt_03/deterministic_validation.json</x:v>
      </x:c>
      <x:c r="F26" s="47" t="str">
        <x:v>f8e5a873446db4a84c87dafcd18a00ce460d92f8e8636b1ca0a143bb5ef64f61</x:v>
      </x:c>
      <x:c r="G26" s="59" t="n">
        <x:v>1286</x:v>
      </x:c>
    </x:row>
    <x:row r="27">
      <x:c r="A27" s="47" t="str">
        <x:v>RUN-TRF-118-20260830T123118131235Z</x:v>
      </x:c>
      <x:c r="B27" s="47" t="str">
        <x:v>TRF-118</x:v>
      </x:c>
      <x:c r="C27" s="59" t="n">
        <x:v>3</x:v>
      </x:c>
      <x:c r="D27" s="47" t="str">
        <x:v>validator_prompt</x:v>
      </x:c>
      <x:c r="E27" s="48" t="str">
        <x:v>artifacts/attempt_03/validator_prompt_01.txt</x:v>
      </x:c>
      <x:c r="F27" s="47" t="str">
        <x:v>8ca13f87a951e5266cbea1e37a48dcd7dfaff869698f7d74c20b8bc01bc8a085</x:v>
      </x:c>
      <x:c r="G27" s="59" t="n">
        <x:v>53419</x:v>
      </x:c>
    </x:row>
    <x:row r="28">
      <x:c r="A28" s="47" t="str">
        <x:v>RUN-TRF-118-20260830T123118131235Z</x:v>
      </x:c>
      <x:c r="B28" s="47" t="str">
        <x:v>TRF-118</x:v>
      </x:c>
      <x:c r="C28" s="59" t="n">
        <x:v>3</x:v>
      </x:c>
      <x:c r="D28" s="47" t="str">
        <x:v>validator_raw_response</x:v>
      </x:c>
      <x:c r="E28" s="48" t="str">
        <x:v>artifacts/attempt_03/validator_raw_01.txt</x:v>
      </x:c>
      <x:c r="F28" s="47" t="str">
        <x:v>5f054eb643c166043e3ef99cfea94dc068af2df1cd9fd22f1d56a73eb1f1bc85</x:v>
      </x:c>
      <x:c r="G28" s="59" t="n">
        <x:v>858</x:v>
      </x:c>
    </x:row>
    <x:row r="29">
      <x:c r="A29" s="47" t="str">
        <x:v>RUN-TRF-118-20260830T123118131235Z</x:v>
      </x:c>
      <x:c r="B29" s="47" t="str">
        <x:v>TRF-118</x:v>
      </x:c>
      <x:c r="C29" s="59" t="n">
        <x:v>3</x:v>
      </x:c>
      <x:c r="D29" s="47" t="str">
        <x:v>matcher_candidates</x:v>
      </x:c>
      <x:c r="E29" s="48" t="str">
        <x:v>artifacts/attempt_03/matcher_candidates.json</x:v>
      </x:c>
      <x:c r="F29" s="47" t="str">
        <x:v>0c9ffb2ef699d4b22ea92288dccc309bf0bec8a419045ff8493751e038d7bd0d</x:v>
      </x:c>
      <x:c r="G29" s="59" t="n">
        <x:v>7080</x:v>
      </x:c>
    </x:row>
    <x:row r="30">
      <x:c r="A30" s="47" t="str">
        <x:v>RUN-TRF-118-20260830T123118131235Z</x:v>
      </x:c>
      <x:c r="B30" s="47" t="str">
        <x:v>TRF-118</x:v>
      </x:c>
      <x:c r="C30" s="59" t="n">
        <x:v>3</x:v>
      </x:c>
      <x:c r="D30" s="47" t="str">
        <x:v>vocabulary_matcher_prompt</x:v>
      </x:c>
      <x:c r="E30" s="48" t="str">
        <x:v>artifacts/attempt_03/vocabulary_matcher_prompt_01.txt</x:v>
      </x:c>
      <x:c r="F30" s="47" t="str">
        <x:v>d7422c95cab66cf4576f0bcdd9de39103dc93e6cb1e88d0485ad564a8ed9c9a1</x:v>
      </x:c>
      <x:c r="G30" s="59" t="n">
        <x:v>16841</x:v>
      </x:c>
    </x:row>
    <x:row r="31">
      <x:c r="A31" s="49" t="str">
        <x:v>RUN-TRF-118-20260830T123118131235Z</x:v>
      </x:c>
      <x:c r="B31" s="49" t="str">
        <x:v>TRF-118</x:v>
      </x:c>
      <x:c r="C31" s="60" t="n">
        <x:v>3</x:v>
      </x:c>
      <x:c r="D31" s="49" t="str">
        <x:v>vocabulary_matcher_raw_response</x:v>
      </x:c>
      <x:c r="E31" s="50" t="str">
        <x:v>artifacts/attempt_03/vocabulary_matcher_raw_01.txt</x:v>
      </x:c>
      <x:c r="F31" s="49" t="str">
        <x:v>ce57625fa6935dfe4731e36d92293afd11fd3e028ead4da4eac164c80b337b08</x:v>
      </x:c>
      <x:c r="G31" s="60" t="n">
        <x:v>352</x:v>
      </x:c>
    </x:row>
  </x:sheetData>
  <x:pageMargins left="0.7" right="0.7" top="0.75" bottom="0.75" header="0.3" footer="0.3"/>
  <x:tableParts count="1">
    <x:tablePart xmlns:r="http://schemas.openxmlformats.org/officeDocument/2006/relationships" r:id="R37aab6a3cedd42e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RUN-TRF-118-20260830T123118131235Z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RUN-TRF-118-20260830T123118131235Z</x:v>
      </x:c>
      <x:c r="B5" s="69" t="str">
        <x:v>TRF-118</x:v>
      </x:c>
      <x:c r="C5" s="71" t="n">
        <x:v>3</x:v>
      </x:c>
      <x:c r="D5" s="69" t="str">
        <x:v>TERM_RESOLUTION_UNRESOLVED</x:v>
      </x:c>
      <x:c r="E5" s="73" t="str">
        <x:v>No supplied candidate is semantically verified as a canonical ship-to-materialProperties path; hasMaterialProperties is explicitly identified as the existing component-to-materialProperties property and is therefore incompatible with the required ship-owned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b28c0fe20db4f6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RUN-TRF-118-20260830T123118131235Z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