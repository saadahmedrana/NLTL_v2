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1cc719841646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f8ab562d6d4e4c"/>
    <x:sheet xmlns:r="http://schemas.openxmlformats.org/officeDocument/2006/relationships" name="README" sheetId="2" r:id="Rcd6b6f719bd4431c"/>
    <x:sheet xmlns:r="http://schemas.openxmlformats.org/officeDocument/2006/relationships" name="REGULATION_QUEUE" sheetId="3" r:id="Rcb71ff62f94d46d1"/>
    <x:sheet xmlns:r="http://schemas.openxmlformats.org/officeDocument/2006/relationships" name="RUNS" sheetId="4" r:id="Rb81665b3c9d44fdc"/>
    <x:sheet xmlns:r="http://schemas.openxmlformats.org/officeDocument/2006/relationships" name="ITERATIONS" sheetId="5" r:id="Rc770f0a55d9444c7"/>
    <x:sheet xmlns:r="http://schemas.openxmlformats.org/officeDocument/2006/relationships" name="API_CALLS" sheetId="6" r:id="Rf4720be66da34dc5"/>
    <x:sheet xmlns:r="http://schemas.openxmlformats.org/officeDocument/2006/relationships" name="TERM_RETRIEVAL" sheetId="7" r:id="R321d7c0204164624"/>
    <x:sheet xmlns:r="http://schemas.openxmlformats.org/officeDocument/2006/relationships" name="FEW_SHOT_SELECTION" sheetId="8" r:id="R3ac80a3864584a23"/>
    <x:sheet xmlns:r="http://schemas.openxmlformats.org/officeDocument/2006/relationships" name="VALIDATION" sheetId="9" r:id="R71ac451016774e1e"/>
    <x:sheet xmlns:r="http://schemas.openxmlformats.org/officeDocument/2006/relationships" name="VOCAB_MATCHES" sheetId="10" r:id="Rce39821224db4e11"/>
    <x:sheet xmlns:r="http://schemas.openxmlformats.org/officeDocument/2006/relationships" name="ARTIFACTS" sheetId="11" r:id="Rf3fb787228924d96"/>
    <x:sheet xmlns:r="http://schemas.openxmlformats.org/officeDocument/2006/relationships" name="UNRESOLVED" sheetId="12" r:id="R550d6d88729c4277"/>
    <x:sheet xmlns:r="http://schemas.openxmlformats.org/officeDocument/2006/relationships" name="RDF_TEST_QUEUE" sheetId="13" r:id="R721af2e86f9c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48321754004222" /><Relationship Type="http://schemas.openxmlformats.org/officeDocument/2006/relationships/theme" Target="/xl/theme/theme1.xml" Id="R4f2a8944b8be44a0" /><Relationship Type="http://schemas.microsoft.com/office/2022/11/relationships/FeaturePropertyBag" Target="/xl/featurePropertyBag/featurePropertyBag.xml" Id="Racbcc415f94b4241" /><Relationship Type="http://schemas.openxmlformats.org/officeDocument/2006/relationships/sharedStrings" Target="/xl/sharedStrings.xml" Id="R86f2a4802024410b" /><Relationship Type="http://schemas.openxmlformats.org/officeDocument/2006/relationships/worksheet" Target="/xl/worksheets/sheet1.xml" Id="Rabf8ab562d6d4e4c" /><Relationship Type="http://schemas.openxmlformats.org/officeDocument/2006/relationships/worksheet" Target="/xl/worksheets/sheet2.xml" Id="Rcd6b6f719bd4431c" /><Relationship Type="http://schemas.openxmlformats.org/officeDocument/2006/relationships/worksheet" Target="/xl/worksheets/sheet3.xml" Id="Rcb71ff62f94d46d1" /><Relationship Type="http://schemas.openxmlformats.org/officeDocument/2006/relationships/worksheet" Target="/xl/worksheets/sheet4.xml" Id="Rb81665b3c9d44fdc" /><Relationship Type="http://schemas.openxmlformats.org/officeDocument/2006/relationships/worksheet" Target="/xl/worksheets/sheet5.xml" Id="Rc770f0a55d9444c7" /><Relationship Type="http://schemas.openxmlformats.org/officeDocument/2006/relationships/worksheet" Target="/xl/worksheets/sheet6.xml" Id="Rf4720be66da34dc5" /><Relationship Type="http://schemas.openxmlformats.org/officeDocument/2006/relationships/worksheet" Target="/xl/worksheets/sheet7.xml" Id="R321d7c0204164624" /><Relationship Type="http://schemas.openxmlformats.org/officeDocument/2006/relationships/worksheet" Target="/xl/worksheets/sheet8.xml" Id="R3ac80a3864584a23" /><Relationship Type="http://schemas.openxmlformats.org/officeDocument/2006/relationships/worksheet" Target="/xl/worksheets/sheet9.xml" Id="R71ac451016774e1e" /><Relationship Type="http://schemas.openxmlformats.org/officeDocument/2006/relationships/worksheet" Target="/xl/worksheets/sheet10.xml" Id="Rce39821224db4e11" /><Relationship Type="http://schemas.openxmlformats.org/officeDocument/2006/relationships/worksheet" Target="/xl/worksheets/sheet11.xml" Id="Rf3fb787228924d96" /><Relationship Type="http://schemas.openxmlformats.org/officeDocument/2006/relationships/worksheet" Target="/xl/worksheets/sheet12.xml" Id="R550d6d88729c4277" /><Relationship Type="http://schemas.openxmlformats.org/officeDocument/2006/relationships/worksheet" Target="/xl/worksheets/sheet13.xml" Id="R721af2e86f9c40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c1b90569b24f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9dc9553eeb4c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21121b99094c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779c4827f0447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f573254e43743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f89b06be52f4f9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b02bf9a0ca844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43ff8d9ecfc45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5bdaa847e1594c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RUN-TRF-128-20260830T123919186876Z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28303.5945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RUN-TRF-128-20260830T123919186876Z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c1b90569b24f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RUN-TRF-128-20260830T123919186876Z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SYNTAX_REPAIR_EXHAUSTED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dc9553eeb4c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RUN-TRF-128-20260830T123919186876Z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RUN-TRF-128-20260830T123919186876Z</x:v>
      </x:c>
      <x:c r="C5" s="69" t="str">
        <x:v>TRF-128</x:v>
      </x:c>
      <x:c r="D5" s="70" t="n">
        <x:v>46264.52730541667</x:v>
      </x:c>
      <x:c r="E5" s="70" t="n">
        <x:v>46264.52861616898</x:v>
      </x:c>
      <x:c r="F5" s="69" t="str">
        <x:v>final-luna-main-run07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89 of &lt;&gt;:
Bad syntax (EOF found when expected verb in property list) at ^ in:
"...b' ;\n        ]\n    ) .\n&lt;/urn:nltl:generated-shape:TRF128Shape&gt;'^b'\n'"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21121b99094c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RUN-TRF-128-20260830T123919186876Z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RUN-TRF-128-20260830T123919186876Z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RUN-TRF-128-20260830T123919186876Z</x:v>
      </x:c>
      <x:c r="C5" s="45" t="str">
        <x:v>TRF-128</x:v>
      </x:c>
      <x:c r="D5" s="88" t="n">
        <x:v>46264.52773508102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37120.774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RUN-TRF-128-20260830T123919186876Z</x:v>
      </x:c>
      <x:c r="C6" s="47" t="str">
        <x:v>TRF-128</x:v>
      </x:c>
      <x:c r="D6" s="91" t="n">
        <x:v>46264.527735104166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37122.367</x:v>
      </x:c>
      <x:c r="L6" s="93" t="b">
        <x:v>0</x:v>
      </x:c>
      <x:c r="M6" s="47" t="str">
        <x:v>resp_00d659e4f36f5788006a9424777144819480052009dd8baa4e</x:v>
      </x:c>
      <x:c r="N6" s="59" t="n">
        <x:v>8945</x:v>
      </x:c>
      <x:c r="O6" s="59" t="n">
        <x:v>3339</x:v>
      </x:c>
      <x:c r="P6" s="59" t="n">
        <x:v>12284</x:v>
      </x:c>
    </x:row>
    <x:row r="7">
      <x:c r="A7" s="47" t="str">
        <x:v>EVT-000028</x:v>
      </x:c>
      <x:c r="B7" s="47" t="str">
        <x:v>RUN-TRF-128-20260830T123919186876Z</x:v>
      </x:c>
      <x:c r="C7" s="47" t="str">
        <x:v>TRF-128</x:v>
      </x:c>
      <x:c r="D7" s="91" t="n">
        <x:v>46264.52809770833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31322.3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RUN-TRF-128-20260830T123919186876Z</x:v>
      </x:c>
      <x:c r="C8" s="47" t="str">
        <x:v>TRF-128</x:v>
      </x:c>
      <x:c r="D8" s="91" t="n">
        <x:v>46264.52809771991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31323.747</x:v>
      </x:c>
      <x:c r="L8" s="93" t="b">
        <x:v>0</x:v>
      </x:c>
      <x:c r="M8" s="47" t="str">
        <x:v>resp_09e22706e242c708006a94249c65cc8196b083394b4e6581c8</x:v>
      </x:c>
      <x:c r="N8" s="59" t="n">
        <x:v>1206</x:v>
      </x:c>
      <x:c r="O8" s="59" t="n">
        <x:v>2755</x:v>
      </x:c>
      <x:c r="P8" s="59" t="n">
        <x:v>3961</x:v>
      </x:c>
    </x:row>
    <x:row r="9">
      <x:c r="A9" s="47" t="str">
        <x:v>EVT-000035</x:v>
      </x:c>
      <x:c r="B9" s="47" t="str">
        <x:v>RUN-TRF-128-20260830T123919186876Z</x:v>
      </x:c>
      <x:c r="C9" s="47" t="str">
        <x:v>TRF-128</x:v>
      </x:c>
      <x:c r="D9" s="91" t="n">
        <x:v>46264.52833498843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20492.28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RUN-TRF-128-20260830T123919186876Z</x:v>
      </x:c>
      <x:c r="C10" s="47" t="str">
        <x:v>TRF-128</x:v>
      </x:c>
      <x:c r="D10" s="91" t="n">
        <x:v>46264.52833501157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20493.794</x:v>
      </x:c>
      <x:c r="L10" s="93" t="b">
        <x:v>0</x:v>
      </x:c>
      <x:c r="M10" s="47" t="str">
        <x:v>resp_0ba4df0196096626006a9424bbbb70819786c92d3a8e2e9caa</x:v>
      </x:c>
      <x:c r="N10" s="59" t="n">
        <x:v>1204</x:v>
      </x:c>
      <x:c r="O10" s="59" t="n">
        <x:v>1916</x:v>
      </x:c>
      <x:c r="P10" s="59" t="n">
        <x:v>3120</x:v>
      </x:c>
    </x:row>
    <x:row r="11">
      <x:c r="A11" s="47" t="str">
        <x:v>EVT-000042</x:v>
      </x:c>
      <x:c r="B11" s="47" t="str">
        <x:v>RUN-TRF-128-20260830T123919186876Z</x:v>
      </x:c>
      <x:c r="C11" s="47" t="str">
        <x:v>TRF-128</x:v>
      </x:c>
      <x:c r="D11" s="91" t="n">
        <x:v>46264.52861606482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24275.939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RUN-TRF-128-20260830T123919186876Z</x:v>
      </x:c>
      <x:c r="C12" s="49" t="str">
        <x:v>TRF-128</x:v>
      </x:c>
      <x:c r="D12" s="94" t="n">
        <x:v>46264.528616076386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24277.555</x:v>
      </x:c>
      <x:c r="L12" s="96" t="b">
        <x:v>0</x:v>
      </x:c>
      <x:c r="M12" s="49" t="str">
        <x:v>resp_05982865cf9bb79d006a9424d072808196835a3ebc8a8835e0</x:v>
      </x:c>
      <x:c r="N12" s="60" t="n">
        <x:v>1206</x:v>
      </x:c>
      <x:c r="O12" s="60" t="n">
        <x:v>2295</x:v>
      </x:c>
      <x:c r="P12" s="60" t="n">
        <x:v>3501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9c4827f0447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RUN-TRF-128-20260830T123919186876Z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RUN-TRF-128-20260830T123919186876Z</x:v>
      </x:c>
      <x:c r="B5" s="45" t="str">
        <x:v>TRF-128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compressorChargeTime; domain dependency of iceClass</x:v>
      </x:c>
      <x:c r="J5" s="45" t="n">
        <x:v>0</x:v>
      </x:c>
    </x:row>
    <x:row r="6">
      <x:c r="A6" s="47" t="str">
        <x:v>RUN-TRF-128-20260830T123919186876Z</x:v>
      </x:c>
      <x:c r="B6" s="47" t="str">
        <x:v>TRF-128</x:v>
      </x:c>
      <x:c r="C6" s="47" t="str">
        <x:v>compressorChargeTime</x:v>
      </x:c>
      <x:c r="D6" s="48" t="str">
        <x:v>https://w3id.org/nltl/vocab#compressorChargeTime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http://qudt.org/vocab/unit/HR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RUN-TRF-128-20260830T123919186876Z</x:v>
      </x:c>
      <x:c r="B7" s="47" t="str">
        <x:v>TRF-128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RUN-TRF-128-20260830T123919186876Z</x:v>
      </x:c>
      <x:c r="B8" s="47" t="str">
        <x:v>TRF-128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RUN-TRF-128-20260830T123919186876Z</x:v>
      </x:c>
      <x:c r="B9" s="47" t="str">
        <x:v>TRF-128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iceClassIaSuper</x:v>
      </x:c>
      <x:c r="J9" s="47" t="n">
        <x:v>0</x:v>
      </x:c>
    </x:row>
    <x:row r="10">
      <x:c r="A10" s="47" t="str">
        <x:v>RUN-TRF-128-20260830T123919186876Z</x:v>
      </x:c>
      <x:c r="B10" s="47" t="str">
        <x:v>TRF-128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iceClassIaSuper; linked by the locked 313-requirement index</x:v>
      </x:c>
      <x:c r="J10" s="47" t="n">
        <x:v>0</x:v>
      </x:c>
    </x:row>
    <x:row r="11">
      <x:c r="A11" s="47" t="str">
        <x:v>RUN-TRF-128-20260830T123919186876Z</x:v>
      </x:c>
      <x:c r="B11" s="47" t="str">
        <x:v>TRF-128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iceClassIaSuper</x:v>
      </x:c>
      <x:c r="J11" s="47" t="n">
        <x:v>0</x:v>
      </x:c>
    </x:row>
    <x:row r="12">
      <x:c r="A12" s="47" t="str">
        <x:v>RUN-TRF-128-20260830T123919186876Z</x:v>
      </x:c>
      <x:c r="B12" s="47" t="str">
        <x:v>TRF-128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iceClassIaSuper</x:v>
      </x:c>
      <x:c r="J12" s="47" t="n">
        <x:v>0</x:v>
      </x:c>
    </x:row>
    <x:row r="13">
      <x:c r="A13" s="47" t="str">
        <x:v>RUN-TRF-128-20260830T123919186876Z</x:v>
      </x:c>
      <x:c r="B13" s="47" t="str">
        <x:v>TRF-128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iceClassIaSuper</x:v>
      </x:c>
      <x:c r="J13" s="47" t="n">
        <x:v>0</x:v>
      </x:c>
    </x:row>
    <x:row r="14">
      <x:c r="A14" s="47" t="str">
        <x:v>RUN-TRF-128-20260830T123919186876Z</x:v>
      </x:c>
      <x:c r="B14" s="47" t="str">
        <x:v>TRF-128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iceClassIaSuper</x:v>
      </x:c>
      <x:c r="J14" s="47" t="n">
        <x:v>0</x:v>
      </x:c>
    </x:row>
    <x:row r="15">
      <x:c r="A15" s="47" t="str">
        <x:v>RUN-TRF-128-20260830T123919186876Z</x:v>
      </x:c>
      <x:c r="B15" s="47" t="str">
        <x:v>TRF-128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iceClassIaSuper</x:v>
      </x:c>
      <x:c r="J15" s="47" t="n">
        <x:v>0</x:v>
      </x:c>
    </x:row>
    <x:row r="16">
      <x:c r="A16" s="47" t="str">
        <x:v>RUN-TRF-128-20260830T123919186876Z</x:v>
      </x:c>
      <x:c r="B16" s="47" t="str">
        <x:v>TRF-128</x:v>
      </x:c>
      <x:c r="C16" s="47" t="str">
        <x:v>propulsionEngineReversalRequiredForAstern</x:v>
      </x:c>
      <x:c r="D16" s="48" t="str">
        <x:v>https://w3id.org/nltl/vocab#propulsionEngineReversalRequiredForAstern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RUN-TRF-128-20260830T123919186876Z</x:v>
      </x:c>
      <x:c r="B17" s="47" t="str">
        <x:v>TRF-128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propulsionEngineReversalRequiredForAstern</x:v>
      </x:c>
      <x:c r="J17" s="47" t="n">
        <x:v>0</x:v>
      </x:c>
    </x:row>
    <x:row r="18">
      <x:c r="A18" s="49" t="str">
        <x:v>RUN-TRF-128-20260830T123919186876Z</x:v>
      </x:c>
      <x:c r="B18" s="49" t="str">
        <x:v>TRF-128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f573254e43743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RUN-TRF-128-20260830T123919186876Z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RUN-TRF-128-20260830T123919186876Z</x:v>
      </x:c>
      <x:c r="B5" s="45" t="str">
        <x:v>TRF-128</x:v>
      </x:c>
      <x:c r="C5" s="45" t="str">
        <x:v>FS-INT-02</x:v>
      </x:c>
      <x:c r="D5" s="45" t="str">
        <x:v>conditional_integrated</x:v>
      </x:c>
      <x:c r="E5" s="99" t="n">
        <x:v>0.067797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RUN-TRF-128-20260830T123919186876Z</x:v>
      </x:c>
      <x:c r="B6" s="49" t="str">
        <x:v>TRF-128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9b06be52f4f9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RUN-TRF-128-20260830T123919186876Z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RUN-TRF-128-20260830T123919186876Z</x:v>
      </x:c>
      <x:c r="B5" s="69" t="str">
        <x:v>TRF-128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89 of &lt;&gt;:
Bad syntax (EOF found when expected verb in property list) at ^ in:
"...b' ;\n        ]\n    ) .\n&lt;/urn:nltl:generated-shape:TRF128Shape&gt;'^b'\n'"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02bf9a0ca844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RUN-TRF-128-20260830T123919186876Z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RUN-TRF-128-20260830T123919186876Z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RUN-TRF-128-20260830T123919186876Z</x:v>
      </x:c>
      <x:c r="B5" s="45" t="str">
        <x:v>TRF-128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e87eb3a1583a761dd4703deaae114b1f1b8251d8128a39c6109087434f6b9e24</x:v>
      </x:c>
      <x:c r="G5" s="58" t="n">
        <x:v>18590</x:v>
      </x:c>
    </x:row>
    <x:row r="6">
      <x:c r="A6" s="47" t="str">
        <x:v>RUN-TRF-128-20260830T123919186876Z</x:v>
      </x:c>
      <x:c r="B6" s="47" t="str">
        <x:v>TRF-128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5ca080cbf6962ca0b62c258beb21b362a1a86385d782cb67944a8ade09882109</x:v>
      </x:c>
      <x:c r="G6" s="59" t="n">
        <x:v>6149</x:v>
      </x:c>
    </x:row>
    <x:row r="7">
      <x:c r="A7" s="47" t="str">
        <x:v>RUN-TRF-128-20260830T123919186876Z</x:v>
      </x:c>
      <x:c r="B7" s="47" t="str">
        <x:v>TRF-128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84cb9b9e56dca1580656c139280b0e65e8dc9ad271bce23ecac229109a4d648a</x:v>
      </x:c>
      <x:c r="G7" s="59" t="n">
        <x:v>36353</x:v>
      </x:c>
    </x:row>
    <x:row r="8">
      <x:c r="A8" s="47" t="str">
        <x:v>RUN-TRF-128-20260830T123919186876Z</x:v>
      </x:c>
      <x:c r="B8" s="47" t="str">
        <x:v>TRF-128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0cf3f4ed18df9b59107a37fcc1b1c4d4b039ad597150a0e128a6e23183880875</x:v>
      </x:c>
      <x:c r="G8" s="59" t="n">
        <x:v>3068</x:v>
      </x:c>
    </x:row>
    <x:row r="9">
      <x:c r="A9" s="47" t="str">
        <x:v>RUN-TRF-128-20260830T123919186876Z</x:v>
      </x:c>
      <x:c r="B9" s="47" t="str">
        <x:v>TRF-128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81906f6fab2d289d2bf92fc2a3a03661606844c13acd001c1d8603b5c9e5eec7</x:v>
      </x:c>
      <x:c r="G9" s="59" t="n">
        <x:v>4327</x:v>
      </x:c>
    </x:row>
    <x:row r="10">
      <x:c r="A10" s="47" t="str">
        <x:v>RUN-TRF-128-20260830T123919186876Z</x:v>
      </x:c>
      <x:c r="B10" s="47" t="str">
        <x:v>TRF-128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8fc8a308652290f7e4579f9464d7baf5b370fd9345c2fc5a738f1fbd4b22f55b</x:v>
      </x:c>
      <x:c r="G10" s="59" t="n">
        <x:v>3068</x:v>
      </x:c>
    </x:row>
    <x:row r="11">
      <x:c r="A11" s="47" t="str">
        <x:v>RUN-TRF-128-20260830T123919186876Z</x:v>
      </x:c>
      <x:c r="B11" s="47" t="str">
        <x:v>TRF-128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1bd775f43df89248638fb8c943c904968250534347688d6de8b9da04d2ed7545</x:v>
      </x:c>
      <x:c r="G11" s="59" t="n">
        <x:v>4321</x:v>
      </x:c>
    </x:row>
    <x:row r="12">
      <x:c r="A12" s="47" t="str">
        <x:v>RUN-TRF-128-20260830T123919186876Z</x:v>
      </x:c>
      <x:c r="B12" s="47" t="str">
        <x:v>TRF-128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0cf3f4ed18df9b59107a37fcc1b1c4d4b039ad597150a0e128a6e23183880875</x:v>
      </x:c>
      <x:c r="G12" s="59" t="n">
        <x:v>3068</x:v>
      </x:c>
    </x:row>
    <x:row r="13">
      <x:c r="A13" s="47" t="str">
        <x:v>RUN-TRF-128-20260830T123919186876Z</x:v>
      </x:c>
      <x:c r="B13" s="47" t="str">
        <x:v>TRF-128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81906f6fab2d289d2bf92fc2a3a03661606844c13acd001c1d8603b5c9e5eec7</x:v>
      </x:c>
      <x:c r="G13" s="59" t="n">
        <x:v>4327</x:v>
      </x:c>
    </x:row>
    <x:row r="14">
      <x:c r="A14" s="47" t="str">
        <x:v>RUN-TRF-128-20260830T123919186876Z</x:v>
      </x:c>
      <x:c r="B14" s="47" t="str">
        <x:v>TRF-128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48643ce07de1cf0508d39dce7c4850b1c85b51a3e394b4b6c5d51d6fd5cf303e</x:v>
      </x:c>
      <x:c r="G14" s="59" t="n">
        <x:v>3084</x:v>
      </x:c>
    </x:row>
    <x:row r="15">
      <x:c r="A15" s="47" t="str">
        <x:v>RUN-TRF-128-20260830T123919186876Z</x:v>
      </x:c>
      <x:c r="B15" s="47" t="str">
        <x:v>TRF-128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06486e29d899f80075ba6094fdebf9a6da8139729428e40b6ce17d20c3aa8193</x:v>
      </x:c>
      <x:c r="G15" s="59" t="n">
        <x:v>3059</x:v>
      </x:c>
    </x:row>
    <x:row r="16">
      <x:c r="A16" s="49" t="str">
        <x:v>RUN-TRF-128-20260830T123919186876Z</x:v>
      </x:c>
      <x:c r="B16" s="49" t="str">
        <x:v>TRF-128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75b5a7651af864a7b99263177098d8affa4e121c19e8935b3d3a7b028c60646b</x:v>
      </x:c>
      <x:c r="G16" s="60" t="n">
        <x:v>595</x:v>
      </x:c>
    </x:row>
  </x:sheetData>
  <x:pageMargins left="0.7" right="0.7" top="0.75" bottom="0.75" header="0.3" footer="0.3"/>
  <x:tableParts count="1">
    <x:tablePart xmlns:r="http://schemas.openxmlformats.org/officeDocument/2006/relationships" r:id="Rb43ff8d9ecfc45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RUN-TRF-128-20260830T123919186876Z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RUN-TRF-128-20260830T123919186876Z</x:v>
      </x:c>
      <x:c r="B5" s="69" t="str">
        <x:v>TRF-128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89 of &lt;&gt;:
Bad syntax (EOF found when expected verb in property list) at ^ in:
"...b' ;\n        ]\n    ) .\n&lt;/urn:nltl:generated-shape:TRF128Shape&gt;'^b'\n'"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daa847e1594c2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RUN-TRF-128-20260830T123919186876Z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