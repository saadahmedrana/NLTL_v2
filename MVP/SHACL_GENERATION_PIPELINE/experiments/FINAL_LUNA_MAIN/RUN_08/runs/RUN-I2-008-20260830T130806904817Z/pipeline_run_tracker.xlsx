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b9cfa3a11af47a6" /></Relationships>
</file>

<file path=xl/workbook.xml><?xml version="1.0" encoding="utf-8"?>
<x:workbook xmlns:x="http://schemas.openxmlformats.org/spreadsheetml/2006/main">
  <x:sheets>
    <x:sheet xmlns:r="http://schemas.openxmlformats.org/officeDocument/2006/relationships" name="SUMMARY" sheetId="1" r:id="R7346ce5674354856"/>
    <x:sheet xmlns:r="http://schemas.openxmlformats.org/officeDocument/2006/relationships" name="README" sheetId="2" r:id="R1ecadc3d069743d8"/>
    <x:sheet xmlns:r="http://schemas.openxmlformats.org/officeDocument/2006/relationships" name="REGULATION_QUEUE" sheetId="3" r:id="R025c8d976f424170"/>
    <x:sheet xmlns:r="http://schemas.openxmlformats.org/officeDocument/2006/relationships" name="RUNS" sheetId="4" r:id="R83c6df6e8a0c4f18"/>
    <x:sheet xmlns:r="http://schemas.openxmlformats.org/officeDocument/2006/relationships" name="ITERATIONS" sheetId="5" r:id="R6e9064d0c5804d33"/>
    <x:sheet xmlns:r="http://schemas.openxmlformats.org/officeDocument/2006/relationships" name="API_CALLS" sheetId="6" r:id="R6f07c7f1359a4721"/>
    <x:sheet xmlns:r="http://schemas.openxmlformats.org/officeDocument/2006/relationships" name="TERM_RETRIEVAL" sheetId="7" r:id="Rdbec55f72abe42da"/>
    <x:sheet xmlns:r="http://schemas.openxmlformats.org/officeDocument/2006/relationships" name="FEW_SHOT_SELECTION" sheetId="8" r:id="Rc8d79aa6e80d4b15"/>
    <x:sheet xmlns:r="http://schemas.openxmlformats.org/officeDocument/2006/relationships" name="VALIDATION" sheetId="9" r:id="R51b6f6dc675e4911"/>
    <x:sheet xmlns:r="http://schemas.openxmlformats.org/officeDocument/2006/relationships" name="VOCAB_MATCHES" sheetId="10" r:id="R2319bf2b4fc34211"/>
    <x:sheet xmlns:r="http://schemas.openxmlformats.org/officeDocument/2006/relationships" name="ARTIFACTS" sheetId="11" r:id="R6fefc78f6a1d4003"/>
    <x:sheet xmlns:r="http://schemas.openxmlformats.org/officeDocument/2006/relationships" name="UNRESOLVED" sheetId="12" r:id="Re818f2f4df474101"/>
    <x:sheet xmlns:r="http://schemas.openxmlformats.org/officeDocument/2006/relationships" name="RDF_TEST_QUEUE" sheetId="13" r:id="R48e08540cdf34dd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075cbf9d86d43c7" /><Relationship Type="http://schemas.openxmlformats.org/officeDocument/2006/relationships/theme" Target="/xl/theme/theme1.xml" Id="R47a6a9b667a04e74" /><Relationship Type="http://schemas.microsoft.com/office/2022/11/relationships/FeaturePropertyBag" Target="/xl/featurePropertyBag/featurePropertyBag.xml" Id="R0e4a364de2db45e6" /><Relationship Type="http://schemas.openxmlformats.org/officeDocument/2006/relationships/sharedStrings" Target="/xl/sharedStrings.xml" Id="Ref940f3298374913" /><Relationship Type="http://schemas.openxmlformats.org/officeDocument/2006/relationships/worksheet" Target="/xl/worksheets/sheet1.xml" Id="R7346ce5674354856" /><Relationship Type="http://schemas.openxmlformats.org/officeDocument/2006/relationships/worksheet" Target="/xl/worksheets/sheet2.xml" Id="R1ecadc3d069743d8" /><Relationship Type="http://schemas.openxmlformats.org/officeDocument/2006/relationships/worksheet" Target="/xl/worksheets/sheet3.xml" Id="R025c8d976f424170" /><Relationship Type="http://schemas.openxmlformats.org/officeDocument/2006/relationships/worksheet" Target="/xl/worksheets/sheet4.xml" Id="R83c6df6e8a0c4f18" /><Relationship Type="http://schemas.openxmlformats.org/officeDocument/2006/relationships/worksheet" Target="/xl/worksheets/sheet5.xml" Id="R6e9064d0c5804d33" /><Relationship Type="http://schemas.openxmlformats.org/officeDocument/2006/relationships/worksheet" Target="/xl/worksheets/sheet6.xml" Id="R6f07c7f1359a4721" /><Relationship Type="http://schemas.openxmlformats.org/officeDocument/2006/relationships/worksheet" Target="/xl/worksheets/sheet7.xml" Id="Rdbec55f72abe42da" /><Relationship Type="http://schemas.openxmlformats.org/officeDocument/2006/relationships/worksheet" Target="/xl/worksheets/sheet8.xml" Id="Rc8d79aa6e80d4b15" /><Relationship Type="http://schemas.openxmlformats.org/officeDocument/2006/relationships/worksheet" Target="/xl/worksheets/sheet9.xml" Id="R51b6f6dc675e4911" /><Relationship Type="http://schemas.openxmlformats.org/officeDocument/2006/relationships/worksheet" Target="/xl/worksheets/sheet10.xml" Id="R2319bf2b4fc34211" /><Relationship Type="http://schemas.openxmlformats.org/officeDocument/2006/relationships/worksheet" Target="/xl/worksheets/sheet11.xml" Id="R6fefc78f6a1d4003" /><Relationship Type="http://schemas.openxmlformats.org/officeDocument/2006/relationships/worksheet" Target="/xl/worksheets/sheet12.xml" Id="Re818f2f4df474101" /><Relationship Type="http://schemas.openxmlformats.org/officeDocument/2006/relationships/worksheet" Target="/xl/worksheets/sheet13.xml" Id="R48e08540cdf34dd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b4f0e16047b453b" /></Relationships>
</file>

<file path=xl/worksheets/_rels/sheet3.xml.rels>&#65279;<?xml version="1.0" encoding="utf-8"?><Relationships xmlns="http://schemas.openxmlformats.org/package/2006/relationships"><Relationship Type="http://schemas.openxmlformats.org/officeDocument/2006/relationships/table" Target="/xl/tables/table2.xml" Id="Re78c1d240a064040" /></Relationships>
</file>

<file path=xl/worksheets/_rels/sheet4.xml.rels>&#65279;<?xml version="1.0" encoding="utf-8"?><Relationships xmlns="http://schemas.openxmlformats.org/package/2006/relationships"><Relationship Type="http://schemas.openxmlformats.org/officeDocument/2006/relationships/table" Target="/xl/tables/table3.xml" Id="R3da65b7fb37a477a" /></Relationships>
</file>

<file path=xl/worksheets/_rels/sheet5.xml.rels>&#65279;<?xml version="1.0" encoding="utf-8"?><Relationships xmlns="http://schemas.openxmlformats.org/package/2006/relationships"><Relationship Type="http://schemas.openxmlformats.org/officeDocument/2006/relationships/table" Target="/xl/tables/table4.xml" Id="R8f31e10e7bf34933" /></Relationships>
</file>

<file path=xl/worksheets/_rels/sheet6.xml.rels>&#65279;<?xml version="1.0" encoding="utf-8"?><Relationships xmlns="http://schemas.openxmlformats.org/package/2006/relationships"><Relationship Type="http://schemas.openxmlformats.org/officeDocument/2006/relationships/table" Target="/xl/tables/table5.xml" Id="Rdcf7269ea6c04ea8" /></Relationships>
</file>

<file path=xl/worksheets/_rels/sheet7.xml.rels>&#65279;<?xml version="1.0" encoding="utf-8"?><Relationships xmlns="http://schemas.openxmlformats.org/package/2006/relationships"><Relationship Type="http://schemas.openxmlformats.org/officeDocument/2006/relationships/table" Target="/xl/tables/table6.xml" Id="R9adfa2f45bd84559" /></Relationships>
</file>

<file path=xl/worksheets/_rels/sheet8.xml.rels>&#65279;<?xml version="1.0" encoding="utf-8"?><Relationships xmlns="http://schemas.openxmlformats.org/package/2006/relationships"><Relationship Type="http://schemas.openxmlformats.org/officeDocument/2006/relationships/table" Target="/xl/tables/table7.xml" Id="Rec5ec2f733ea4264" /></Relationships>
</file>

<file path=xl/worksheets/_rels/sheet9.xml.rels>&#65279;<?xml version="1.0" encoding="utf-8"?><Relationships xmlns="http://schemas.openxmlformats.org/package/2006/relationships"><Relationship Type="http://schemas.openxmlformats.org/officeDocument/2006/relationships/table" Target="/xl/tables/table8.xml" Id="Rbda9e2ee12044ece" /></Relationships>
</file>

<file path=xl/worksheets/_rels/sheet11.xml.rels>&#65279;<?xml version="1.0" encoding="utf-8"?><Relationships xmlns="http://schemas.openxmlformats.org/package/2006/relationships"><Relationship Type="http://schemas.openxmlformats.org/officeDocument/2006/relationships/table" Target="/xl/tables/table9.xml" Id="R4bfa37a2278a4cb8" /></Relationships>
</file>

<file path=xl/worksheets/_rels/sheet13.xml.rels>&#65279;<?xml version="1.0" encoding="utf-8"?><Relationships xmlns="http://schemas.openxmlformats.org/package/2006/relationships"><Relationship Type="http://schemas.openxmlformats.org/officeDocument/2006/relationships/table" Target="/xl/tables/table10.xml" Id="R459427f3aaa84a3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RUN-I2-008-20260830T130806904817Z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COUNTA('API_CALLS'!$A$5:$A$10)</x:f>
        <x:v>6</x:v>
      </x:c>
      <x:c r="C9" s="21"/>
      <x:c r="D9" s="21"/>
    </x:row>
    <x:row r="10">
      <x:c r="A10" s="27" t="str">
        <x:v>Mean API/LLM elapsed ms</x:v>
      </x:c>
      <x:c r="B10" s="28" t="n">
        <x:f>IFERROR(AVERAGE('API_CALLS'!$K$5:$K$10),0)</x:f>
        <x:v>25646.593333333334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RUN-I2-008-20260830T130806904817Z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b4f0e16047b453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RUN-I2-008-20260830T130806904817Z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GENERATION_ACCEPTED</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78c1d240a06404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RUN-I2-008-20260830T130806904817Z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RUN-I2-008-20260830T130806904817Z</x:v>
      </x:c>
      <x:c r="C5" s="69" t="str">
        <x:v>I2-008</x:v>
      </x:c>
      <x:c r="D5" s="70" t="n">
        <x:v>46264.5473021412</x:v>
      </x:c>
      <x:c r="E5" s="70" t="n">
        <x:v>46264.548195613424</x:v>
      </x:c>
      <x:c r="F5" s="69" t="str">
        <x:v>final-luna-main-run08</x:v>
      </x:c>
      <x:c r="G5" s="69" t="str">
        <x:v>VOCAB-LOCK-2026-08-22-R13</x:v>
      </x:c>
      <x:c r="H5" s="71" t="n">
        <x:v>1</x:v>
      </x:c>
      <x:c r="I5" s="69" t="str">
        <x:v>GENERATION_ACCEPTED</x:v>
      </x:c>
      <x:c r="J5" s="72" t="b">
        <x:v>1</x:v>
      </x:c>
      <x:c r="K5" s="69" t="str">
        <x:v>final/final_shape.ttl</x:v>
      </x:c>
      <x:c r="L5" s="73" t="str">
        <x:v>Candidate is semantically faithful for COMPLEX_READINESS: it targets the supplied ship owner, encodes the declared polarClass applicability and bow-subregion relationship, includes every declared operand and result term, and uses the verified datatypes and units. No formula execution, comparison, method, or evidence structure is required because those contract categories are empty and formulaExecutionRequired is false.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da65b7fb37a477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RUN-I2-008-20260830T130806904817Z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RUN-I2-008-20260830T130806904817Z</x:v>
      </x:c>
      <x:c r="B5" s="69" t="str">
        <x:v>I2-008</x:v>
      </x:c>
      <x:c r="C5" s="71" t="n">
        <x:v>1</x:v>
      </x:c>
      <x:c r="D5" s="72" t="b">
        <x:v>1</x:v>
      </x:c>
      <x:c r="E5" s="72" t="b">
        <x:v>1</x:v>
      </x:c>
      <x:c r="F5" s="72" t="b">
        <x:v>0</x:v>
      </x:c>
      <x:c r="G5" s="69" t="str">
        <x:v>ACCEPT</x:v>
      </x:c>
      <x:c r="H5" s="73" t="str">
        <x:v>Candidate is semantically faithful for COMPLEX_READINESS: it targets the supplied ship owner, encodes the declared polarClass applicability and bow-subregion relationship, includes every declared operand and result term, and uses the verified datatypes and units. No formula execution, comparison, method, or evidence structure is required because those contract categories are empty and formulaExecutionRequired is false. Deterministic validation is valid.</x:v>
      </x:c>
      <x:c r="I5" s="75" t="n">
        <x:v>30089.684</x:v>
      </x:c>
      <x:c r="J5" s="75" t="n">
        <x:v>8872.437</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f31e10e7bf3493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RUN-I2-008-20260830T130806904817Z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EVT-000036</x:v>
      </x:c>
      <x:c r="B5" s="45" t="str">
        <x:v>RUN-I2-008-20260830T130806904817Z</x:v>
      </x:c>
      <x:c r="C5" s="45" t="str">
        <x:v>I2-008</x:v>
      </x:c>
      <x:c r="D5" s="88" t="n">
        <x:v>46264.547650416665</x:v>
      </x:c>
      <x:c r="E5" s="45" t="str">
        <x:v>generator</x:v>
      </x:c>
      <x:c r="F5" s="45" t="str">
        <x:v>gpt-5.6-luna-2026-07-09</x:v>
      </x:c>
      <x:c r="G5" s="45" t="n">
        <x:v>1</x:v>
      </x:c>
      <x:c r="H5" s="45" t="n">
        <x:v>200</x:v>
      </x:c>
      <x:c r="I5" s="45" t="str">
        <x:v>Ocp-Apim-Subscription-Key</x:v>
      </x:c>
      <x:c r="J5" s="89" t="n">
        <x:v>0</x:v>
      </x:c>
      <x:c r="K5" s="89" t="n">
        <x:v>30088.155</x:v>
      </x:c>
      <x:c r="L5" s="90" t="b">
        <x:v>0</x:v>
      </x:c>
      <x:c r="M5" s="45" t="str"/>
      <x:c r="N5" s="58" t="str"/>
      <x:c r="O5" s="58" t="str"/>
      <x:c r="P5" s="58" t="str"/>
    </x:row>
    <x:row r="6">
      <x:c r="A6" s="47" t="str">
        <x:v>EVT-000037</x:v>
      </x:c>
      <x:c r="B6" s="47" t="str">
        <x:v>RUN-I2-008-20260830T130806904817Z</x:v>
      </x:c>
      <x:c r="C6" s="47" t="str">
        <x:v>I2-008</x:v>
      </x:c>
      <x:c r="D6" s="91" t="n">
        <x:v>46264.54765043982</x:v>
      </x:c>
      <x:c r="E6" s="47" t="str">
        <x:v>generator</x:v>
      </x:c>
      <x:c r="F6" s="47" t="str">
        <x:v>gpt-5.6-luna-2026-07-09</x:v>
      </x:c>
      <x:c r="G6" s="47" t="n">
        <x:v>1</x:v>
      </x:c>
      <x:c r="H6" s="47" t="str">
        <x:v>COMPLETED</x:v>
      </x:c>
      <x:c r="I6" s="47" t="str"/>
      <x:c r="J6" s="92" t="n">
        <x:v>0</x:v>
      </x:c>
      <x:c r="K6" s="92" t="n">
        <x:v>30089.684</x:v>
      </x:c>
      <x:c r="L6" s="93" t="b">
        <x:v>0</x:v>
      </x:c>
      <x:c r="M6" s="47" t="str">
        <x:v>resp_0393cea1c9c0891b006a942b372a488194ab1875fa51436930</x:v>
      </x:c>
      <x:c r="N6" s="59" t="n">
        <x:v>13031</x:v>
      </x:c>
      <x:c r="O6" s="59" t="n">
        <x:v>2925</x:v>
      </x:c>
      <x:c r="P6" s="59" t="n">
        <x:v>15956</x:v>
      </x:c>
    </x:row>
    <x:row r="7">
      <x:c r="A7" s="47" t="str">
        <x:v>EVT-000042</x:v>
      </x:c>
      <x:c r="B7" s="47" t="str">
        <x:v>RUN-I2-008-20260830T130806904817Z</x:v>
      </x:c>
      <x:c r="C7" s="47" t="str">
        <x:v>I2-008</x:v>
      </x:c>
      <x:c r="D7" s="91" t="n">
        <x:v>46264.54809009259</x:v>
      </x:c>
      <x:c r="E7" s="47" t="str">
        <x:v>syntax_repair</x:v>
      </x:c>
      <x:c r="F7" s="47" t="str">
        <x:v>gpt-5.6-luna-2026-07-09</x:v>
      </x:c>
      <x:c r="G7" s="47" t="n">
        <x:v>1</x:v>
      </x:c>
      <x:c r="H7" s="47" t="n">
        <x:v>200</x:v>
      </x:c>
      <x:c r="I7" s="47" t="str">
        <x:v>Ocp-Apim-Subscription-Key</x:v>
      </x:c>
      <x:c r="J7" s="92" t="n">
        <x:v>0</x:v>
      </x:c>
      <x:c r="K7" s="92" t="n">
        <x:v>37978.314</x:v>
      </x:c>
      <x:c r="L7" s="93" t="b">
        <x:v>0</x:v>
      </x:c>
      <x:c r="M7" s="47" t="str"/>
      <x:c r="N7" s="59" t="str"/>
      <x:c r="O7" s="59" t="str"/>
      <x:c r="P7" s="59" t="str"/>
    </x:row>
    <x:row r="8">
      <x:c r="A8" s="47" t="str">
        <x:v>EVT-000043</x:v>
      </x:c>
      <x:c r="B8" s="47" t="str">
        <x:v>RUN-I2-008-20260830T130806904817Z</x:v>
      </x:c>
      <x:c r="C8" s="47" t="str">
        <x:v>I2-008</x:v>
      </x:c>
      <x:c r="D8" s="91" t="n">
        <x:v>46264.54809010417</x:v>
      </x:c>
      <x:c r="E8" s="47" t="str">
        <x:v>syntax_repair</x:v>
      </x:c>
      <x:c r="F8" s="47" t="str">
        <x:v>gpt-5.6-luna-2026-07-09</x:v>
      </x:c>
      <x:c r="G8" s="47" t="n">
        <x:v>1</x:v>
      </x:c>
      <x:c r="H8" s="47" t="str">
        <x:v>COMPLETED</x:v>
      </x:c>
      <x:c r="I8" s="47" t="str"/>
      <x:c r="J8" s="92" t="n">
        <x:v>0</x:v>
      </x:c>
      <x:c r="K8" s="92" t="n">
        <x:v>37980.026</x:v>
      </x:c>
      <x:c r="L8" s="93" t="b">
        <x:v>0</x:v>
      </x:c>
      <x:c r="M8" s="47" t="str">
        <x:v>resp_01976c5882b0c3e2006a942b55a65481958e25906b191cc22a</x:v>
      </x:c>
      <x:c r="N8" s="59" t="n">
        <x:v>2343</x:v>
      </x:c>
      <x:c r="O8" s="59" t="n">
        <x:v>1900</x:v>
      </x:c>
      <x:c r="P8" s="59" t="n">
        <x:v>4243</x:v>
      </x:c>
    </x:row>
    <x:row r="9">
      <x:c r="A9" s="47" t="str">
        <x:v>EVT-000051</x:v>
      </x:c>
      <x:c r="B9" s="47" t="str">
        <x:v>RUN-I2-008-20260830T130806904817Z</x:v>
      </x:c>
      <x:c r="C9" s="47" t="str">
        <x:v>I2-008</x:v>
      </x:c>
      <x:c r="D9" s="91" t="n">
        <x:v>46264.54819555556</x:v>
      </x:c>
      <x:c r="E9" s="47" t="str">
        <x:v>validator</x:v>
      </x:c>
      <x:c r="F9" s="47" t="str">
        <x:v>gpt-5.6-luna-2026-07-09</x:v>
      </x:c>
      <x:c r="G9" s="47" t="n">
        <x:v>1</x:v>
      </x:c>
      <x:c r="H9" s="47" t="n">
        <x:v>200</x:v>
      </x:c>
      <x:c r="I9" s="47" t="str">
        <x:v>Ocp-Apim-Subscription-Key</x:v>
      </x:c>
      <x:c r="J9" s="92" t="n">
        <x:v>0</x:v>
      </x:c>
      <x:c r="K9" s="92" t="n">
        <x:v>8870.944</x:v>
      </x:c>
      <x:c r="L9" s="93" t="b">
        <x:v>0</x:v>
      </x:c>
      <x:c r="M9" s="47" t="str"/>
      <x:c r="N9" s="59" t="str"/>
      <x:c r="O9" s="59" t="str"/>
      <x:c r="P9" s="59" t="str"/>
    </x:row>
    <x:row r="10">
      <x:c r="A10" s="49" t="str">
        <x:v>EVT-000052</x:v>
      </x:c>
      <x:c r="B10" s="49" t="str">
        <x:v>RUN-I2-008-20260830T130806904817Z</x:v>
      </x:c>
      <x:c r="C10" s="49" t="str">
        <x:v>I2-008</x:v>
      </x:c>
      <x:c r="D10" s="94" t="n">
        <x:v>46264.5481955787</x:v>
      </x:c>
      <x:c r="E10" s="49" t="str">
        <x:v>validator</x:v>
      </x:c>
      <x:c r="F10" s="49" t="str">
        <x:v>gpt-5.6-luna-2026-07-09</x:v>
      </x:c>
      <x:c r="G10" s="49" t="n">
        <x:v>1</x:v>
      </x:c>
      <x:c r="H10" s="49" t="str">
        <x:v>COMPLETED</x:v>
      </x:c>
      <x:c r="I10" s="49" t="str"/>
      <x:c r="J10" s="95" t="n">
        <x:v>0</x:v>
      </x:c>
      <x:c r="K10" s="95" t="n">
        <x:v>8872.437</x:v>
      </x:c>
      <x:c r="L10" s="96" t="b">
        <x:v>0</x:v>
      </x:c>
      <x:c r="M10" s="49" t="str">
        <x:v>resp_0e01ec65aad7bbbc006a942b7c0df48196879f5ac24dacb4a6</x:v>
      </x:c>
      <x:c r="N10" s="60" t="n">
        <x:v>14967</x:v>
      </x:c>
      <x:c r="O10" s="60" t="n">
        <x:v>618</x:v>
      </x:c>
      <x:c r="P10" s="60" t="n">
        <x:v>15585</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cf7269ea6c04ea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RUN-I2-008-20260830T130806904817Z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RUN-I2-008-20260830T130806904817Z</x:v>
      </x:c>
      <x:c r="B5" s="45" t="str">
        <x:v>I2-008</x:v>
      </x:c>
      <x:c r="C5" s="45" t="str">
        <x:v>averageIcePressure</x:v>
      </x:c>
      <x:c r="D5" s="46" t="str">
        <x:v>https://w3id.org/nltl/vocab#averageIcePressure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RUN-I2-008-20260830T130806904817Z</x:v>
      </x:c>
      <x:c r="B6" s="47" t="str">
        <x:v>I2-008</x:v>
      </x:c>
      <x:c r="C6" s="47" t="str">
        <x:v>benchmarkEntity</x:v>
      </x:c>
      <x:c r="D6" s="48" t="str">
        <x:v>https://w3id.org/nltl/vocab#benchmarkEntity</x:v>
      </x:c>
      <x:c r="E6" s="47" t="str">
        <x:v>Class</x:v>
      </x:c>
      <x:c r="F6" s="47" t="str"/>
      <x:c r="G6" s="47" t="str"/>
      <x:c r="H6" s="47" t="str"/>
      <x:c r="I6" s="48" t="str">
        <x:v>baseline target infrastructure; domain dependency of averageIcePressure; domain dependency of bowShape; domain dependency of hullArea; domain dependency of lineLoad; domain dependency of loadPatchHeight; domain dependency of loadPatchLength; domain dependency of localIcePressure; domain dependency of polarClass; domain dependency of shapeCoefficient; domain dependency of totalGlancingImpactForce</x:v>
      </x:c>
      <x:c r="J6" s="47" t="n">
        <x:v>0</x:v>
      </x:c>
    </x:row>
    <x:row r="7">
      <x:c r="A7" s="47" t="str">
        <x:v>RUN-I2-008-20260830T130806904817Z</x:v>
      </x:c>
      <x:c r="B7" s="47" t="str">
        <x:v>I2-008</x:v>
      </x:c>
      <x:c r="C7" s="47" t="str">
        <x:v>bowShape</x:v>
      </x:c>
      <x:c r="D7" s="48" t="str">
        <x:v>https://w3id.org/nltl/vocab#bowShape</x:v>
      </x:c>
      <x:c r="E7" s="47" t="str">
        <x:v>DatatypeProperty</x:v>
      </x:c>
      <x:c r="F7" s="47" t="str">
        <x:v>xsd:string</x:v>
      </x:c>
      <x:c r="G7" s="47" t="str">
        <x:v>http://www.w3.org/2001/XMLSchema#string</x:v>
      </x:c>
      <x:c r="H7" s="47" t="str"/>
      <x:c r="I7" s="48" t="str">
        <x:v>linked by the locked 313-requirement index</x:v>
      </x:c>
      <x:c r="J7" s="47" t="n">
        <x:v>0</x:v>
      </x:c>
    </x:row>
    <x:row r="8">
      <x:c r="A8" s="47" t="str">
        <x:v>RUN-I2-008-20260830T130806904817Z</x:v>
      </x:c>
      <x:c r="B8" s="47" t="str">
        <x:v>I2-008</x:v>
      </x:c>
      <x:c r="C8" s="47" t="str">
        <x:v>bowShapeCoefficient</x:v>
      </x:c>
      <x:c r="D8" s="48" t="str">
        <x:v>https://w3id.org/nltl/vocab#bowShapeCoefficient</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RUN-I2-008-20260830T130806904817Z</x:v>
      </x:c>
      <x:c r="B9" s="47" t="str">
        <x:v>I2-008</x:v>
      </x:c>
      <x:c r="C9" s="47" t="str">
        <x:v>bowSubregionCalculationCase</x:v>
      </x:c>
      <x:c r="D9" s="48" t="str">
        <x:v>https://w3id.org/nltl/vocab#bowSubregionCalculationCase</x:v>
      </x:c>
      <x:c r="E9" s="47" t="str">
        <x:v>Class</x:v>
      </x:c>
      <x:c r="F9" s="47" t="str"/>
      <x:c r="G9" s="47" t="str">
        <x:v>https://w3id.org/nltl/vocab#calculationCase</x:v>
      </x:c>
      <x:c r="H9" s="47" t="str"/>
      <x:c r="I9" s="48" t="str">
        <x:v>authoritative required owner class; domain dependency of bowShapeCoefficient; domain dependency of glancingImpactLineLoad; domain dependency of glancingImpactPressure; linked by the locked 313-requirement index; range dependency of hasBowSubregionCalculationCase</x:v>
      </x:c>
      <x:c r="J9" s="47" t="n">
        <x:v>0</x:v>
      </x:c>
    </x:row>
    <x:row r="10">
      <x:c r="A10" s="47" t="str">
        <x:v>RUN-I2-008-20260830T130806904817Z</x:v>
      </x:c>
      <x:c r="B10" s="47" t="str">
        <x:v>I2-008</x:v>
      </x:c>
      <x:c r="C10" s="47" t="str">
        <x:v>calculationCase</x:v>
      </x:c>
      <x:c r="D10" s="48" t="str">
        <x:v>https://w3id.org/nltl/vocab#calculationCase</x:v>
      </x:c>
      <x:c r="E10" s="47" t="str">
        <x:v>Class</x:v>
      </x:c>
      <x:c r="F10" s="47" t="str"/>
      <x:c r="G10" s="47" t="str">
        <x:v>https://w3id.org/nltl/vocab#benchmarkEntity</x:v>
      </x:c>
      <x:c r="H10" s="47" t="str"/>
      <x:c r="I10" s="48" t="str">
        <x:v>range dependency of bowSubregionCalculationCase</x:v>
      </x:c>
      <x:c r="J10" s="47" t="n">
        <x:v>0</x:v>
      </x:c>
    </x:row>
    <x:row r="11">
      <x:c r="A11" s="47" t="str">
        <x:v>RUN-I2-008-20260830T130806904817Z</x:v>
      </x:c>
      <x:c r="B11" s="47" t="str">
        <x:v>I2-008</x:v>
      </x:c>
      <x:c r="C11" s="47" t="str">
        <x:v>glancingImpactLineLoad</x:v>
      </x:c>
      <x:c r="D11" s="48" t="str">
        <x:v>https://w3id.org/nltl/vocab#glancingImpactLineLoad</x:v>
      </x:c>
      <x:c r="E11" s="47" t="str">
        <x:v>QuantityProperty</x:v>
      </x:c>
      <x:c r="F11" s="47" t="str"/>
      <x:c r="G11" s="47" t="str">
        <x:v>http://qudt.org/schema/qudt/QuantityValue</x:v>
      </x:c>
      <x:c r="H11" s="47" t="str">
        <x:v>http://qudt.org/vocab/unit/MegaN-M-PER-M2</x:v>
      </x:c>
      <x:c r="I11" s="48" t="str">
        <x:v>linked by the locked 313-requirement index</x:v>
      </x:c>
      <x:c r="J11" s="47" t="n">
        <x:v>0</x:v>
      </x:c>
    </x:row>
    <x:row r="12">
      <x:c r="A12" s="47" t="str">
        <x:v>RUN-I2-008-20260830T130806904817Z</x:v>
      </x:c>
      <x:c r="B12" s="47" t="str">
        <x:v>I2-008</x:v>
      </x:c>
      <x:c r="C12" s="47" t="str">
        <x:v>glancingImpactPressure</x:v>
      </x:c>
      <x:c r="D12" s="48" t="str">
        <x:v>https://w3id.org/nltl/vocab#glancingImpactPressure</x:v>
      </x:c>
      <x:c r="E12" s="47" t="str">
        <x:v>QuantityProperty</x:v>
      </x:c>
      <x:c r="F12" s="47" t="str"/>
      <x:c r="G12" s="47" t="str">
        <x:v>http://qudt.org/schema/qudt/QuantityValue</x:v>
      </x:c>
      <x:c r="H12" s="47" t="str">
        <x:v>http://qudt.org/vocab/unit/MegaPA</x:v>
      </x:c>
      <x:c r="I12" s="48" t="str">
        <x:v>linked by the locked 313-requirement index</x:v>
      </x:c>
      <x:c r="J12" s="47" t="n">
        <x:v>0</x:v>
      </x:c>
    </x:row>
    <x:row r="13">
      <x:c r="A13" s="47" t="str">
        <x:v>RUN-I2-008-20260830T130806904817Z</x:v>
      </x:c>
      <x:c r="B13" s="47" t="str">
        <x:v>I2-008</x:v>
      </x:c>
      <x:c r="C13" s="47" t="str">
        <x:v>hasBowSubregionCalculationCase</x:v>
      </x:c>
      <x:c r="D13" s="48" t="str">
        <x:v>https://w3id.org/nltl/vocab#hasBowSubregionCalculationCase</x:v>
      </x:c>
      <x:c r="E13" s="47" t="str">
        <x:v>ObjectProperty</x:v>
      </x:c>
      <x:c r="F13" s="47" t="str"/>
      <x:c r="G13" s="47" t="str">
        <x:v>https://w3id.org/nltl/vocab#bowSubregionCalculationCase</x:v>
      </x:c>
      <x:c r="H13" s="47" t="str"/>
      <x:c r="I13" s="48" t="str">
        <x:v>canonical path from target owner ship to required owner bowSubregionCalculationCase; linked by the locked 313-requirement index</x:v>
      </x:c>
      <x:c r="J13" s="47" t="n">
        <x:v>0</x:v>
      </x:c>
    </x:row>
    <x:row r="14">
      <x:c r="A14" s="47" t="str">
        <x:v>RUN-I2-008-20260830T130806904817Z</x:v>
      </x:c>
      <x:c r="B14" s="47" t="str">
        <x:v>I2-008</x:v>
      </x:c>
      <x:c r="C14" s="47" t="str">
        <x:v>hasComponent</x:v>
      </x:c>
      <x:c r="D14" s="48" t="str">
        <x:v>https://w3id.org/nltl/vocab#hasComponent</x:v>
      </x:c>
      <x:c r="E14" s="47" t="str">
        <x:v>ObjectProperty</x:v>
      </x:c>
      <x:c r="F14" s="47" t="str"/>
      <x:c r="G14" s="47" t="str">
        <x:v>https://w3id.org/nltl/vocab#shipComponent</x:v>
      </x:c>
      <x:c r="H14" s="47" t="str"/>
      <x:c r="I14" s="48" t="str">
        <x:v>component-path dependency inferred from the linked term module</x:v>
      </x:c>
      <x:c r="J14" s="47" t="n">
        <x:v>0</x:v>
      </x:c>
    </x:row>
    <x:row r="15">
      <x:c r="A15" s="47" t="str">
        <x:v>RUN-I2-008-20260830T130806904817Z</x:v>
      </x:c>
      <x:c r="B15" s="47" t="str">
        <x:v>I2-008</x:v>
      </x:c>
      <x:c r="C15" s="47" t="str">
        <x:v>hullArea</x:v>
      </x:c>
      <x:c r="D15" s="48" t="str">
        <x:v>https://w3id.org/nltl/vocab#hullArea</x:v>
      </x:c>
      <x:c r="E15" s="47" t="str">
        <x:v>DatatypeProperty</x:v>
      </x:c>
      <x:c r="F15" s="47" t="str">
        <x:v>xsd:string</x:v>
      </x:c>
      <x:c r="G15" s="47" t="str">
        <x:v>http://www.w3.org/2001/XMLSchema#string</x:v>
      </x:c>
      <x:c r="H15" s="47" t="str"/>
      <x:c r="I15" s="48" t="str">
        <x:v>linked by the locked 313-requirement index</x:v>
      </x:c>
      <x:c r="J15" s="47" t="n">
        <x:v>0</x:v>
      </x:c>
    </x:row>
    <x:row r="16">
      <x:c r="A16" s="47" t="str">
        <x:v>RUN-I2-008-20260830T130806904817Z</x:v>
      </x:c>
      <x:c r="B16" s="47" t="str">
        <x:v>I2-008</x:v>
      </x:c>
      <x:c r="C16" s="47" t="str">
        <x:v>lineLoad</x:v>
      </x:c>
      <x:c r="D16" s="48" t="str">
        <x:v>https://w3id.org/nltl/vocab#lineLoad</x:v>
      </x:c>
      <x:c r="E16" s="47" t="str">
        <x:v>QuantityProperty</x:v>
      </x:c>
      <x:c r="F16" s="47" t="str"/>
      <x:c r="G16" s="47" t="str">
        <x:v>http://qudt.org/schema/qudt/QuantityValue</x:v>
      </x:c>
      <x:c r="H16" s="47" t="str">
        <x:v>http://qudt.org/vocab/unit/KiloN-PER-M</x:v>
      </x:c>
      <x:c r="I16" s="48" t="str">
        <x:v>linked by the locked 313-requirement index</x:v>
      </x:c>
      <x:c r="J16" s="47" t="n">
        <x:v>0</x:v>
      </x:c>
    </x:row>
    <x:row r="17">
      <x:c r="A17" s="47" t="str">
        <x:v>RUN-I2-008-20260830T130806904817Z</x:v>
      </x:c>
      <x:c r="B17" s="47" t="str">
        <x:v>I2-008</x:v>
      </x:c>
      <x:c r="C17" s="47" t="str">
        <x:v>loadPatchHeight</x:v>
      </x:c>
      <x:c r="D17" s="48" t="str">
        <x:v>https://w3id.org/nltl/vocab#loadPatchHeight</x:v>
      </x:c>
      <x:c r="E17" s="47" t="str">
        <x:v>QuantityProperty</x:v>
      </x:c>
      <x:c r="F17" s="47" t="str"/>
      <x:c r="G17" s="47" t="str">
        <x:v>http://qudt.org/schema/qudt/QuantityValue</x:v>
      </x:c>
      <x:c r="H17" s="47" t="str">
        <x:v>http://qudt.org/vocab/unit/M</x:v>
      </x:c>
      <x:c r="I17" s="48" t="str">
        <x:v>linked by the locked 313-requirement index</x:v>
      </x:c>
      <x:c r="J17" s="47" t="n">
        <x:v>0</x:v>
      </x:c>
    </x:row>
    <x:row r="18">
      <x:c r="A18" s="47" t="str">
        <x:v>RUN-I2-008-20260830T130806904817Z</x:v>
      </x:c>
      <x:c r="B18" s="47" t="str">
        <x:v>I2-008</x:v>
      </x:c>
      <x:c r="C18" s="47" t="str">
        <x:v>loadPatchLength</x:v>
      </x:c>
      <x:c r="D18" s="48" t="str">
        <x:v>https://w3id.org/nltl/vocab#loadPatchLength</x:v>
      </x:c>
      <x:c r="E18" s="47" t="str">
        <x:v>QuantityProperty</x:v>
      </x:c>
      <x:c r="F18" s="47" t="str"/>
      <x:c r="G18" s="47" t="str">
        <x:v>http://qudt.org/schema/qudt/QuantityValue</x:v>
      </x:c>
      <x:c r="H18" s="47" t="str">
        <x:v>http://qudt.org/vocab/unit/M</x:v>
      </x:c>
      <x:c r="I18" s="48" t="str">
        <x:v>linked by the locked 313-requirement index</x:v>
      </x:c>
      <x:c r="J18" s="47" t="n">
        <x:v>0</x:v>
      </x:c>
    </x:row>
    <x:row r="19">
      <x:c r="A19" s="47" t="str">
        <x:v>RUN-I2-008-20260830T130806904817Z</x:v>
      </x:c>
      <x:c r="B19" s="47" t="str">
        <x:v>I2-008</x:v>
      </x:c>
      <x:c r="C19" s="47" t="str">
        <x:v>localIcePressure</x:v>
      </x:c>
      <x:c r="D19" s="48" t="str">
        <x:v>https://w3id.org/nltl/vocab#localIcePressure</x:v>
      </x:c>
      <x:c r="E19" s="47" t="str">
        <x:v>QuantityProperty</x:v>
      </x:c>
      <x:c r="F19" s="47" t="str"/>
      <x:c r="G19" s="47" t="str">
        <x:v>http://qudt.org/schema/qudt/QuantityValue</x:v>
      </x:c>
      <x:c r="H19" s="47" t="str">
        <x:v>http://qudt.org/vocab/unit/MegaPA</x:v>
      </x:c>
      <x:c r="I19" s="48" t="str">
        <x:v>linked by the locked 313-requirement index</x:v>
      </x:c>
      <x:c r="J19" s="47" t="n">
        <x:v>0</x:v>
      </x:c>
    </x:row>
    <x:row r="20">
      <x:c r="A20" s="47" t="str">
        <x:v>RUN-I2-008-20260830T130806904817Z</x:v>
      </x:c>
      <x:c r="B20" s="47" t="str">
        <x:v>I2-008</x:v>
      </x:c>
      <x:c r="C20" s="47" t="str">
        <x:v>polarClass</x:v>
      </x:c>
      <x:c r="D20" s="48" t="str">
        <x:v>https://w3id.org/nltl/vocab#polarClass</x:v>
      </x:c>
      <x:c r="E20" s="47" t="str">
        <x:v>ObjectProperty</x:v>
      </x:c>
      <x:c r="F20" s="47" t="str"/>
      <x:c r="G20" s="47" t="str">
        <x:v>https://w3id.org/nltl/vocab#polarClassValue</x:v>
      </x:c>
      <x:c r="H20" s="47" t="str"/>
      <x:c r="I20" s="48" t="str">
        <x:v>linked by the locked 313-requirement index</x:v>
      </x:c>
      <x:c r="J20" s="47" t="n">
        <x:v>0</x:v>
      </x:c>
    </x:row>
    <x:row r="21">
      <x:c r="A21" s="47" t="str">
        <x:v>RUN-I2-008-20260830T130806904817Z</x:v>
      </x:c>
      <x:c r="B21" s="47" t="str">
        <x:v>I2-008</x:v>
      </x:c>
      <x:c r="C21" s="47" t="str">
        <x:v>polarClassPc1</x:v>
      </x:c>
      <x:c r="D21" s="48" t="str">
        <x:v>https://w3id.org/nltl/vocab#polarClassPc1</x:v>
      </x:c>
      <x:c r="E21" s="47" t="str">
        <x:v>NamedIndividual</x:v>
      </x:c>
      <x:c r="F21" s="47" t="str"/>
      <x:c r="G21" s="47" t="str">
        <x:v>https://w3id.org/nltl/vocab#polarClassValue</x:v>
      </x:c>
      <x:c r="H21" s="47" t="str"/>
      <x:c r="I21" s="48" t="str">
        <x:v>controlled value permitted by the range of polarClass</x:v>
      </x:c>
      <x:c r="J21" s="47" t="n">
        <x:v>0</x:v>
      </x:c>
    </x:row>
    <x:row r="22">
      <x:c r="A22" s="47" t="str">
        <x:v>RUN-I2-008-20260830T130806904817Z</x:v>
      </x:c>
      <x:c r="B22" s="47" t="str">
        <x:v>I2-008</x:v>
      </x:c>
      <x:c r="C22" s="47" t="str">
        <x:v>polarClassPc2</x:v>
      </x:c>
      <x:c r="D22" s="48" t="str">
        <x:v>https://w3id.org/nltl/vocab#polarClassPc2</x:v>
      </x:c>
      <x:c r="E22" s="47" t="str">
        <x:v>NamedIndividual</x:v>
      </x:c>
      <x:c r="F22" s="47" t="str"/>
      <x:c r="G22" s="47" t="str">
        <x:v>https://w3id.org/nltl/vocab#polarClassValue</x:v>
      </x:c>
      <x:c r="H22" s="47" t="str"/>
      <x:c r="I22" s="48" t="str">
        <x:v>controlled value permitted by the range of polarClass</x:v>
      </x:c>
      <x:c r="J22" s="47" t="n">
        <x:v>0</x:v>
      </x:c>
    </x:row>
    <x:row r="23">
      <x:c r="A23" s="47" t="str">
        <x:v>RUN-I2-008-20260830T130806904817Z</x:v>
      </x:c>
      <x:c r="B23" s="47" t="str">
        <x:v>I2-008</x:v>
      </x:c>
      <x:c r="C23" s="47" t="str">
        <x:v>polarClassPc3</x:v>
      </x:c>
      <x:c r="D23" s="48" t="str">
        <x:v>https://w3id.org/nltl/vocab#polarClassPc3</x:v>
      </x:c>
      <x:c r="E23" s="47" t="str">
        <x:v>NamedIndividual</x:v>
      </x:c>
      <x:c r="F23" s="47" t="str"/>
      <x:c r="G23" s="47" t="str">
        <x:v>https://w3id.org/nltl/vocab#polarClassValue</x:v>
      </x:c>
      <x:c r="H23" s="47" t="str"/>
      <x:c r="I23" s="48" t="str">
        <x:v>controlled value permitted by the range of polarClass</x:v>
      </x:c>
      <x:c r="J23" s="47" t="n">
        <x:v>0</x:v>
      </x:c>
    </x:row>
    <x:row r="24">
      <x:c r="A24" s="47" t="str">
        <x:v>RUN-I2-008-20260830T130806904817Z</x:v>
      </x:c>
      <x:c r="B24" s="47" t="str">
        <x:v>I2-008</x:v>
      </x:c>
      <x:c r="C24" s="47" t="str">
        <x:v>polarClassPc4</x:v>
      </x:c>
      <x:c r="D24" s="48" t="str">
        <x:v>https://w3id.org/nltl/vocab#polarClassPc4</x:v>
      </x:c>
      <x:c r="E24" s="47" t="str">
        <x:v>NamedIndividual</x:v>
      </x:c>
      <x:c r="F24" s="47" t="str"/>
      <x:c r="G24" s="47" t="str">
        <x:v>https://w3id.org/nltl/vocab#polarClassValue</x:v>
      </x:c>
      <x:c r="H24" s="47" t="str"/>
      <x:c r="I24" s="48" t="str">
        <x:v>controlled value permitted by the range of polarClass</x:v>
      </x:c>
      <x:c r="J24" s="47" t="n">
        <x:v>0</x:v>
      </x:c>
    </x:row>
    <x:row r="25">
      <x:c r="A25" s="47" t="str">
        <x:v>RUN-I2-008-20260830T130806904817Z</x:v>
      </x:c>
      <x:c r="B25" s="47" t="str">
        <x:v>I2-008</x:v>
      </x:c>
      <x:c r="C25" s="47" t="str">
        <x:v>polarClassPc5</x:v>
      </x:c>
      <x:c r="D25" s="48" t="str">
        <x:v>https://w3id.org/nltl/vocab#polarClassPc5</x:v>
      </x:c>
      <x:c r="E25" s="47" t="str">
        <x:v>NamedIndividual</x:v>
      </x:c>
      <x:c r="F25" s="47" t="str"/>
      <x:c r="G25" s="47" t="str">
        <x:v>https://w3id.org/nltl/vocab#polarClassValue</x:v>
      </x:c>
      <x:c r="H25" s="47" t="str"/>
      <x:c r="I25" s="48" t="str">
        <x:v>controlled value permitted by the range of polarClass</x:v>
      </x:c>
      <x:c r="J25" s="47" t="n">
        <x:v>0</x:v>
      </x:c>
    </x:row>
    <x:row r="26">
      <x:c r="A26" s="47" t="str">
        <x:v>RUN-I2-008-20260830T130806904817Z</x:v>
      </x:c>
      <x:c r="B26" s="47" t="str">
        <x:v>I2-008</x:v>
      </x:c>
      <x:c r="C26" s="47" t="str">
        <x:v>polarClassPc6</x:v>
      </x:c>
      <x:c r="D26" s="48" t="str">
        <x:v>https://w3id.org/nltl/vocab#polarClassPc6</x:v>
      </x:c>
      <x:c r="E26" s="47" t="str">
        <x:v>NamedIndividual</x:v>
      </x:c>
      <x:c r="F26" s="47" t="str"/>
      <x:c r="G26" s="47" t="str">
        <x:v>https://w3id.org/nltl/vocab#polarClassValue</x:v>
      </x:c>
      <x:c r="H26" s="47" t="str"/>
      <x:c r="I26" s="48" t="str">
        <x:v>controlled value permitted by the range of polarClass</x:v>
      </x:c>
      <x:c r="J26" s="47" t="n">
        <x:v>0</x:v>
      </x:c>
    </x:row>
    <x:row r="27">
      <x:c r="A27" s="47" t="str">
        <x:v>RUN-I2-008-20260830T130806904817Z</x:v>
      </x:c>
      <x:c r="B27" s="47" t="str">
        <x:v>I2-008</x:v>
      </x:c>
      <x:c r="C27" s="47" t="str">
        <x:v>polarClassPc7</x:v>
      </x:c>
      <x:c r="D27" s="48" t="str">
        <x:v>https://w3id.org/nltl/vocab#polarClassPc7</x:v>
      </x:c>
      <x:c r="E27" s="47" t="str">
        <x:v>NamedIndividual</x:v>
      </x:c>
      <x:c r="F27" s="47" t="str"/>
      <x:c r="G27" s="47" t="str">
        <x:v>https://w3id.org/nltl/vocab#polarClassValue</x:v>
      </x:c>
      <x:c r="H27" s="47" t="str"/>
      <x:c r="I27" s="48" t="str">
        <x:v>controlled value permitted by the range of polarClass</x:v>
      </x:c>
      <x:c r="J27" s="47" t="n">
        <x:v>0</x:v>
      </x:c>
    </x:row>
    <x:row r="28">
      <x:c r="A28" s="47" t="str">
        <x:v>RUN-I2-008-20260830T130806904817Z</x:v>
      </x:c>
      <x:c r="B28" s="47" t="str">
        <x:v>I2-008</x:v>
      </x:c>
      <x:c r="C28" s="47" t="str">
        <x:v>polarClassValue</x:v>
      </x:c>
      <x:c r="D28" s="48" t="str">
        <x:v>https://w3id.org/nltl/vocab#polarClassValue</x:v>
      </x:c>
      <x:c r="E28" s="47" t="str">
        <x:v>Class</x:v>
      </x:c>
      <x:c r="F28" s="47" t="str"/>
      <x:c r="G28" s="47" t="str"/>
      <x:c r="H28" s="47" t="str"/>
      <x:c r="I28" s="48" t="str">
        <x:v>range dependency of polarClass</x:v>
      </x:c>
      <x:c r="J28" s="47" t="n">
        <x:v>0</x:v>
      </x:c>
    </x:row>
    <x:row r="29">
      <x:c r="A29" s="47" t="str">
        <x:v>RUN-I2-008-20260830T130806904817Z</x:v>
      </x:c>
      <x:c r="B29" s="47" t="str">
        <x:v>I2-008</x:v>
      </x:c>
      <x:c r="C29" s="47" t="str">
        <x:v>shapeCoefficient</x:v>
      </x:c>
      <x:c r="D29" s="48" t="str">
        <x:v>https://w3id.org/nltl/vocab#shapeCoefficient</x:v>
      </x:c>
      <x:c r="E29" s="47" t="str">
        <x:v>QuantityProperty</x:v>
      </x:c>
      <x:c r="F29" s="47" t="str"/>
      <x:c r="G29" s="47" t="str">
        <x:v>http://qudt.org/schema/qudt/QuantityValue</x:v>
      </x:c>
      <x:c r="H29" s="47" t="str">
        <x:v>http://qudt.org/vocab/unit/UNITLESS</x:v>
      </x:c>
      <x:c r="I29" s="48" t="str">
        <x:v>linked by the locked 313-requirement index</x:v>
      </x:c>
      <x:c r="J29" s="47" t="n">
        <x:v>0</x:v>
      </x:c>
    </x:row>
    <x:row r="30">
      <x:c r="A30" s="47" t="str">
        <x:v>RUN-I2-008-20260830T130806904817Z</x:v>
      </x:c>
      <x:c r="B30" s="47" t="str">
        <x:v>I2-008</x:v>
      </x:c>
      <x:c r="C30" s="47" t="str">
        <x:v>ship</x:v>
      </x:c>
      <x:c r="D30" s="48" t="str">
        <x:v>https://w3id.org/nltl/vocab#ship</x:v>
      </x:c>
      <x:c r="E30" s="47" t="str">
        <x:v>Class</x:v>
      </x:c>
      <x:c r="F30" s="47" t="str"/>
      <x:c r="G30" s="47" t="str"/>
      <x:c r="H30" s="47" t="str"/>
      <x:c r="I30" s="48" t="str">
        <x:v>authoritative required owner class; authoritative requirement target owner; baseline target infrastructure; domain dependency of hasBowSubregionCalculationCase</x:v>
      </x:c>
      <x:c r="J30" s="47" t="n">
        <x:v>0</x:v>
      </x:c>
    </x:row>
    <x:row r="31">
      <x:c r="A31" s="47" t="str">
        <x:v>RUN-I2-008-20260830T130806904817Z</x:v>
      </x:c>
      <x:c r="B31" s="47" t="str">
        <x:v>I2-008</x:v>
      </x:c>
      <x:c r="C31" s="47" t="str">
        <x:v>shipComponent</x:v>
      </x:c>
      <x:c r="D31" s="48" t="str">
        <x:v>https://w3id.org/nltl/vocab#shipComponent</x:v>
      </x:c>
      <x:c r="E31" s="47" t="str">
        <x:v>Class</x:v>
      </x:c>
      <x:c r="F31" s="47" t="str"/>
      <x:c r="G31" s="47" t="str"/>
      <x:c r="H31" s="47" t="str"/>
      <x:c r="I31" s="48" t="str">
        <x:v>component-path dependency inferred from the linked term module</x:v>
      </x:c>
      <x:c r="J31" s="47" t="n">
        <x:v>0</x:v>
      </x:c>
    </x:row>
    <x:row r="32">
      <x:c r="A32" s="49" t="str">
        <x:v>RUN-I2-008-20260830T130806904817Z</x:v>
      </x:c>
      <x:c r="B32" s="49" t="str">
        <x:v>I2-008</x:v>
      </x:c>
      <x:c r="C32" s="49" t="str">
        <x:v>totalGlancingImpactForce</x:v>
      </x:c>
      <x:c r="D32" s="50" t="str">
        <x:v>https://w3id.org/nltl/vocab#totalGlancingImpactForce</x:v>
      </x:c>
      <x:c r="E32" s="49" t="str">
        <x:v>QuantityProperty</x:v>
      </x:c>
      <x:c r="F32" s="49" t="str"/>
      <x:c r="G32" s="49" t="str">
        <x:v>http://qudt.org/schema/qudt/QuantityValue</x:v>
      </x:c>
      <x:c r="H32" s="49" t="str">
        <x:v>http://qudt.org/vocab/unit/KiloN</x:v>
      </x:c>
      <x:c r="I32" s="50" t="str">
        <x:v>linked by the locked 313-requirement index</x:v>
      </x:c>
      <x:c r="J32" s="49" t="n">
        <x:v>0</x:v>
      </x:c>
    </x:row>
  </x:sheetData>
  <x:pageMargins left="0.7" right="0.7" top="0.75" bottom="0.75" header="0.3" footer="0.3"/>
  <x:tableParts count="1">
    <x:tablePart xmlns:r="http://schemas.openxmlformats.org/officeDocument/2006/relationships" r:id="R9adfa2f45bd8455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RUN-I2-008-20260830T130806904817Z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RUN-I2-008-20260830T130806904817Z</x:v>
      </x:c>
      <x:c r="B5" s="45" t="str">
        <x:v>I2-008</x:v>
      </x:c>
      <x:c r="C5" s="45" t="str">
        <x:v>FS-COMPLEX-READINESS-01</x:v>
      </x:c>
      <x:c r="D5" s="45" t="str">
        <x:v>complex_readiness_external_calculation</x:v>
      </x:c>
      <x:c r="E5" s="99" t="n">
        <x:v>2.126984</x:v>
      </x:c>
      <x:c r="F5" s="45" t="str">
        <x:v>calculation | complex | engineering | evidence | external | inputs | readiness | results</x:v>
      </x:c>
      <x:c r="G5" s="45" t="str">
        <x:v>synthetic-few-shot-not-benchmark-ground-truth</x:v>
      </x:c>
    </x:row>
    <x:row r="6">
      <x:c r="A6" s="49" t="str">
        <x:v>RUN-I2-008-20260830T130806904817Z</x:v>
      </x:c>
      <x:c r="B6" s="49" t="str">
        <x:v>I2-008</x:v>
      </x:c>
      <x:c r="C6" s="49" t="str">
        <x:v>FS-COMPLEX-READINESS-02</x:v>
      </x:c>
      <x:c r="D6" s="49" t="str">
        <x:v>complex_readiness_with_direct_residual_check</x:v>
      </x:c>
      <x:c r="E6" s="100" t="n">
        <x:v>2.057971</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c5ec2f733ea426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RUN-I2-008-20260830T130806904817Z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RUN-I2-008-20260830T130806904817Z</x:v>
      </x:c>
      <x:c r="B5" s="69" t="str">
        <x:v>I2-008</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https://w3id.org/nltl/vocab#averageIcePressure | https://w3id.org/nltl/vocab#bowShape | https://w3id.org/nltl/vocab#bowShapeCoefficient | https://w3id.org/nltl/vocab#bowSubregionCalculationCase | https://w3id.org/nltl/vocab#glancingImpactLineLoad | https://w3id.org/nltl/vocab#glancingImpactPressure | https://w3id.org/nltl/vocab#hasBowSubregionCalculationCase | https://w3id.org/nltl/vocab#lineLoad | https://w3id.org/nltl/vocab#loadPatchHeight | https://w3id.org/nltl/vocab#loadPatchLength | https://w3id.org/nltl/vocab#localIcePressure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https://w3id.org/nltl/vocab#polarClassValue | https://w3id.org/nltl/vocab#shapeCoefficient | https://w3id.org/nltl/vocab#ship | https://w3id.org/nltl/vocab#totalGlancingImpactForce</x:v>
      </x:c>
      <x:c r="O5" s="73" t="str"/>
      <x:c r="P5" s="73" t="str"/>
      <x:c r="Q5" s="73" t="str"/>
    </x:row>
  </x:sheetData>
  <x:pageMargins left="0.7" right="0.7" top="0.75" bottom="0.75" header="0.3" footer="0.3"/>
  <x:tableParts count="1">
    <x:tablePart xmlns:r="http://schemas.openxmlformats.org/officeDocument/2006/relationships" r:id="Rbda9e2ee12044ece"/>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RUN-I2-008-20260830T130806904817Z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RUN-I2-008-20260830T130806904817Z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RUN-I2-008-20260830T130806904817Z</x:v>
      </x:c>
      <x:c r="B5" s="45" t="str">
        <x:v>I2-008</x:v>
      </x:c>
      <x:c r="C5" s="58"/>
      <x:c r="D5" s="45" t="str">
        <x:v>initial_context_pack</x:v>
      </x:c>
      <x:c r="E5" s="46" t="str">
        <x:v>artifacts/context_pack_initial.json</x:v>
      </x:c>
      <x:c r="F5" s="45" t="str">
        <x:v>326e9eddd68b738c7ff837428df3dc60f4f12769589d3e5af4dbac4a946077e9</x:v>
      </x:c>
      <x:c r="G5" s="58" t="n">
        <x:v>34720</x:v>
      </x:c>
    </x:row>
    <x:row r="6">
      <x:c r="A6" s="47" t="str">
        <x:v>RUN-I2-008-20260830T130806904817Z</x:v>
      </x:c>
      <x:c r="B6" s="47" t="str">
        <x:v>I2-008</x:v>
      </x:c>
      <x:c r="C6" s="59"/>
      <x:c r="D6" s="47" t="str">
        <x:v>few_shot_selection</x:v>
      </x:c>
      <x:c r="E6" s="48" t="str">
        <x:v>artifacts/few_shots_selected.json</x:v>
      </x:c>
      <x:c r="F6" s="47" t="str">
        <x:v>427ca474c4ad78315555acb1da6f621b8ef1e8a7cf151a49b1e07fd346dcb37b</x:v>
      </x:c>
      <x:c r="G6" s="59" t="n">
        <x:v>6555</x:v>
      </x:c>
    </x:row>
    <x:row r="7">
      <x:c r="A7" s="47" t="str">
        <x:v>RUN-I2-008-20260830T130806904817Z</x:v>
      </x:c>
      <x:c r="B7" s="47" t="str">
        <x:v>I2-008</x:v>
      </x:c>
      <x:c r="C7" s="59" t="n">
        <x:v>1</x:v>
      </x:c>
      <x:c r="D7" s="47" t="str">
        <x:v>generator_prompt</x:v>
      </x:c>
      <x:c r="E7" s="48" t="str">
        <x:v>artifacts/attempt_01/generator_prompt.txt</x:v>
      </x:c>
      <x:c r="F7" s="47" t="str">
        <x:v>2479093dd165b7d310b2438ea9fd14edad2274989ced1148a7b759521eab579f</x:v>
      </x:c>
      <x:c r="G7" s="59" t="n">
        <x:v>52919</x:v>
      </x:c>
    </x:row>
    <x:row r="8">
      <x:c r="A8" s="47" t="str">
        <x:v>RUN-I2-008-20260830T130806904817Z</x:v>
      </x:c>
      <x:c r="B8" s="47" t="str">
        <x:v>I2-008</x:v>
      </x:c>
      <x:c r="C8" s="59" t="n">
        <x:v>1</x:v>
      </x:c>
      <x:c r="D8" s="47" t="str">
        <x:v>generator_raw_response</x:v>
      </x:c>
      <x:c r="E8" s="48" t="str">
        <x:v>artifacts/attempt_01/generator_raw.txt</x:v>
      </x:c>
      <x:c r="F8" s="47" t="str">
        <x:v>90677ad6542182bb5ddbd152bcd71c5355f3d4bcc3f8c73fc5dad44a79ecff16</x:v>
      </x:c>
      <x:c r="G8" s="59" t="n">
        <x:v>6003</x:v>
      </x:c>
    </x:row>
    <x:row r="9">
      <x:c r="A9" s="47" t="str">
        <x:v>RUN-I2-008-20260830T130806904817Z</x:v>
      </x:c>
      <x:c r="B9" s="47" t="str">
        <x:v>I2-008</x:v>
      </x:c>
      <x:c r="C9" s="59" t="n">
        <x:v>1</x:v>
      </x:c>
      <x:c r="D9" s="47" t="str">
        <x:v>syntax_repair_prompt</x:v>
      </x:c>
      <x:c r="E9" s="48" t="str">
        <x:v>artifacts/attempt_01/syntax_repair_prompt_01.txt</x:v>
      </x:c>
      <x:c r="F9" s="47" t="str">
        <x:v>9f85cc424c3c7545258b527ca1269064194c0622135d6e9cc4986f7915506a02</x:v>
      </x:c>
      <x:c r="G9" s="59" t="n">
        <x:v>7445</x:v>
      </x:c>
    </x:row>
    <x:row r="10">
      <x:c r="A10" s="47" t="str">
        <x:v>RUN-I2-008-20260830T130806904817Z</x:v>
      </x:c>
      <x:c r="B10" s="47" t="str">
        <x:v>I2-008</x:v>
      </x:c>
      <x:c r="C10" s="59" t="n">
        <x:v>1</x:v>
      </x:c>
      <x:c r="D10" s="47" t="str">
        <x:v>syntax_repair_raw_response</x:v>
      </x:c>
      <x:c r="E10" s="48" t="str">
        <x:v>artifacts/attempt_01/syntax_repair_raw_01.txt</x:v>
      </x:c>
      <x:c r="F10" s="47" t="str">
        <x:v>39e56e07dd5d7bf31571a11c0c17620a05b877f936920500cffb3ff45c16e5f5</x:v>
      </x:c>
      <x:c r="G10" s="59" t="n">
        <x:v>6054</x:v>
      </x:c>
    </x:row>
    <x:row r="11">
      <x:c r="A11" s="47" t="str">
        <x:v>RUN-I2-008-20260830T130806904817Z</x:v>
      </x:c>
      <x:c r="B11" s="47" t="str">
        <x:v>I2-008</x:v>
      </x:c>
      <x:c r="C11" s="59" t="n">
        <x:v>1</x:v>
      </x:c>
      <x:c r="D11" s="47" t="str">
        <x:v>candidate_shape</x:v>
      </x:c>
      <x:c r="E11" s="48" t="str">
        <x:v>artifacts/attempt_01/candidate_shape.ttl</x:v>
      </x:c>
      <x:c r="F11" s="47" t="str">
        <x:v>b360702761d2587feae4202afa316e52840e2cddb52283c331cb81daf4c9db48</x:v>
      </x:c>
      <x:c r="G11" s="59" t="n">
        <x:v>6029</x:v>
      </x:c>
    </x:row>
    <x:row r="12">
      <x:c r="A12" s="47" t="str">
        <x:v>RUN-I2-008-20260830T130806904817Z</x:v>
      </x:c>
      <x:c r="B12" s="47" t="str">
        <x:v>I2-008</x:v>
      </x:c>
      <x:c r="C12" s="59" t="n">
        <x:v>1</x:v>
      </x:c>
      <x:c r="D12" s="47" t="str">
        <x:v>deterministic_validation</x:v>
      </x:c>
      <x:c r="E12" s="48" t="str">
        <x:v>artifacts/attempt_01/deterministic_validation.json</x:v>
      </x:c>
      <x:c r="F12" s="47" t="str">
        <x:v>4885c9e75ea1c83cdc275520b8b32799bfff00b228ab13e2605157ad78767845</x:v>
      </x:c>
      <x:c r="G12" s="59" t="n">
        <x:v>1577</x:v>
      </x:c>
    </x:row>
    <x:row r="13">
      <x:c r="A13" s="47" t="str">
        <x:v>RUN-I2-008-20260830T130806904817Z</x:v>
      </x:c>
      <x:c r="B13" s="47" t="str">
        <x:v>I2-008</x:v>
      </x:c>
      <x:c r="C13" s="59" t="n">
        <x:v>1</x:v>
      </x:c>
      <x:c r="D13" s="47" t="str">
        <x:v>validator_prompt</x:v>
      </x:c>
      <x:c r="E13" s="48" t="str">
        <x:v>artifacts/attempt_01/validator_prompt_01.txt</x:v>
      </x:c>
      <x:c r="F13" s="47" t="str">
        <x:v>907175ccea1975abaf268ae3b9c777777349d75c0aea142d52c3c7692d3e81ff</x:v>
      </x:c>
      <x:c r="G13" s="59" t="n">
        <x:v>56992</x:v>
      </x:c>
    </x:row>
    <x:row r="14">
      <x:c r="A14" s="47" t="str">
        <x:v>RUN-I2-008-20260830T130806904817Z</x:v>
      </x:c>
      <x:c r="B14" s="47" t="str">
        <x:v>I2-008</x:v>
      </x:c>
      <x:c r="C14" s="59" t="n">
        <x:v>1</x:v>
      </x:c>
      <x:c r="D14" s="47" t="str">
        <x:v>validator_raw_response</x:v>
      </x:c>
      <x:c r="E14" s="48" t="str">
        <x:v>artifacts/attempt_01/validator_raw_01.txt</x:v>
      </x:c>
      <x:c r="F14" s="47" t="str">
        <x:v>1681b52f3073187c615e068152662de86b9f58512db6db71f8120dfee589cc4c</x:v>
      </x:c>
      <x:c r="G14" s="59" t="n">
        <x:v>520</x:v>
      </x:c>
    </x:row>
    <x:row r="15">
      <x:c r="A15" s="49" t="str">
        <x:v>RUN-I2-008-20260830T130806904817Z</x:v>
      </x:c>
      <x:c r="B15" s="49" t="str">
        <x:v>I2-008</x:v>
      </x:c>
      <x:c r="C15" s="60" t="n">
        <x:v>1</x:v>
      </x:c>
      <x:c r="D15" s="49" t="str">
        <x:v>final_accepted_shape</x:v>
      </x:c>
      <x:c r="E15" s="50" t="str">
        <x:v>final/final_shape.ttl</x:v>
      </x:c>
      <x:c r="F15" s="49" t="str">
        <x:v>b360702761d2587feae4202afa316e52840e2cddb52283c331cb81daf4c9db48</x:v>
      </x:c>
      <x:c r="G15" s="60" t="n">
        <x:v>6029</x:v>
      </x:c>
    </x:row>
  </x:sheetData>
  <x:pageMargins left="0.7" right="0.7" top="0.75" bottom="0.75" header="0.3" footer="0.3"/>
  <x:tableParts count="1">
    <x:tablePart xmlns:r="http://schemas.openxmlformats.org/officeDocument/2006/relationships" r:id="R4bfa37a2278a4cb8"/>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RUN-I2-008-20260830T130806904817Z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RUN-I2-008-20260830T130806904817Z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RUN-I2-008-20260830T130806904817Z</x:v>
      </x:c>
      <x:c r="B5" s="69" t="str">
        <x:v>I2-008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459427f3aaa84a38"/>
  </x:tableParts>
</x:worksheet>
</file>