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26469ad90b4c9a" /></Relationships>
</file>

<file path=xl/workbook.xml><?xml version="1.0" encoding="utf-8"?>
<x:workbook xmlns:x="http://schemas.openxmlformats.org/spreadsheetml/2006/main">
  <x:sheets>
    <x:sheet xmlns:r="http://schemas.openxmlformats.org/officeDocument/2006/relationships" name="SUMMARY" sheetId="1" r:id="Rb66012bf638f464e"/>
    <x:sheet xmlns:r="http://schemas.openxmlformats.org/officeDocument/2006/relationships" name="README" sheetId="2" r:id="R5710764d6147430a"/>
    <x:sheet xmlns:r="http://schemas.openxmlformats.org/officeDocument/2006/relationships" name="REGULATION_QUEUE" sheetId="3" r:id="R95b84b61f8da4a21"/>
    <x:sheet xmlns:r="http://schemas.openxmlformats.org/officeDocument/2006/relationships" name="RUNS" sheetId="4" r:id="R9ef6adbf471b46f3"/>
    <x:sheet xmlns:r="http://schemas.openxmlformats.org/officeDocument/2006/relationships" name="ITERATIONS" sheetId="5" r:id="R3e25fac168464b7a"/>
    <x:sheet xmlns:r="http://schemas.openxmlformats.org/officeDocument/2006/relationships" name="API_CALLS" sheetId="6" r:id="Rf46ccfda5d1e43ac"/>
    <x:sheet xmlns:r="http://schemas.openxmlformats.org/officeDocument/2006/relationships" name="TERM_RETRIEVAL" sheetId="7" r:id="Re896a6abc13f4293"/>
    <x:sheet xmlns:r="http://schemas.openxmlformats.org/officeDocument/2006/relationships" name="FEW_SHOT_SELECTION" sheetId="8" r:id="R865715cf5f8e4741"/>
    <x:sheet xmlns:r="http://schemas.openxmlformats.org/officeDocument/2006/relationships" name="VALIDATION" sheetId="9" r:id="Re89e34a9f8f140d5"/>
    <x:sheet xmlns:r="http://schemas.openxmlformats.org/officeDocument/2006/relationships" name="VOCAB_MATCHES" sheetId="10" r:id="R92d17fb6790e42e8"/>
    <x:sheet xmlns:r="http://schemas.openxmlformats.org/officeDocument/2006/relationships" name="ARTIFACTS" sheetId="11" r:id="R36aed4a2f3bb425f"/>
    <x:sheet xmlns:r="http://schemas.openxmlformats.org/officeDocument/2006/relationships" name="UNRESOLVED" sheetId="12" r:id="Reb39872ee8e44a0b"/>
    <x:sheet xmlns:r="http://schemas.openxmlformats.org/officeDocument/2006/relationships" name="RDF_TEST_QUEUE" sheetId="13" r:id="Ra3516868d6914bd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a1c236e674435c" /><Relationship Type="http://schemas.openxmlformats.org/officeDocument/2006/relationships/theme" Target="/xl/theme/theme1.xml" Id="Rd4753bfa88c343a0" /><Relationship Type="http://schemas.microsoft.com/office/2022/11/relationships/FeaturePropertyBag" Target="/xl/featurePropertyBag/featurePropertyBag.xml" Id="R934671b3ef9a4bf8" /><Relationship Type="http://schemas.openxmlformats.org/officeDocument/2006/relationships/sharedStrings" Target="/xl/sharedStrings.xml" Id="R1d5213ce2fb84baf" /><Relationship Type="http://schemas.openxmlformats.org/officeDocument/2006/relationships/worksheet" Target="/xl/worksheets/sheet1.xml" Id="Rb66012bf638f464e" /><Relationship Type="http://schemas.openxmlformats.org/officeDocument/2006/relationships/worksheet" Target="/xl/worksheets/sheet2.xml" Id="R5710764d6147430a" /><Relationship Type="http://schemas.openxmlformats.org/officeDocument/2006/relationships/worksheet" Target="/xl/worksheets/sheet3.xml" Id="R95b84b61f8da4a21" /><Relationship Type="http://schemas.openxmlformats.org/officeDocument/2006/relationships/worksheet" Target="/xl/worksheets/sheet4.xml" Id="R9ef6adbf471b46f3" /><Relationship Type="http://schemas.openxmlformats.org/officeDocument/2006/relationships/worksheet" Target="/xl/worksheets/sheet5.xml" Id="R3e25fac168464b7a" /><Relationship Type="http://schemas.openxmlformats.org/officeDocument/2006/relationships/worksheet" Target="/xl/worksheets/sheet6.xml" Id="Rf46ccfda5d1e43ac" /><Relationship Type="http://schemas.openxmlformats.org/officeDocument/2006/relationships/worksheet" Target="/xl/worksheets/sheet7.xml" Id="Re896a6abc13f4293" /><Relationship Type="http://schemas.openxmlformats.org/officeDocument/2006/relationships/worksheet" Target="/xl/worksheets/sheet8.xml" Id="R865715cf5f8e4741" /><Relationship Type="http://schemas.openxmlformats.org/officeDocument/2006/relationships/worksheet" Target="/xl/worksheets/sheet9.xml" Id="Re89e34a9f8f140d5" /><Relationship Type="http://schemas.openxmlformats.org/officeDocument/2006/relationships/worksheet" Target="/xl/worksheets/sheet10.xml" Id="R92d17fb6790e42e8" /><Relationship Type="http://schemas.openxmlformats.org/officeDocument/2006/relationships/worksheet" Target="/xl/worksheets/sheet11.xml" Id="R36aed4a2f3bb425f" /><Relationship Type="http://schemas.openxmlformats.org/officeDocument/2006/relationships/worksheet" Target="/xl/worksheets/sheet12.xml" Id="Reb39872ee8e44a0b" /><Relationship Type="http://schemas.openxmlformats.org/officeDocument/2006/relationships/worksheet" Target="/xl/worksheets/sheet13.xml" Id="Ra3516868d6914bd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1"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d7bf97d99a49d4" /></Relationships>
</file>

<file path=xl/worksheets/_rels/sheet3.xml.rels>&#65279;<?xml version="1.0" encoding="utf-8"?><Relationships xmlns="http://schemas.openxmlformats.org/package/2006/relationships"><Relationship Type="http://schemas.openxmlformats.org/officeDocument/2006/relationships/table" Target="/xl/tables/table2.xml" Id="Rd8bd7a53de8443de" /></Relationships>
</file>

<file path=xl/worksheets/_rels/sheet4.xml.rels>&#65279;<?xml version="1.0" encoding="utf-8"?><Relationships xmlns="http://schemas.openxmlformats.org/package/2006/relationships"><Relationship Type="http://schemas.openxmlformats.org/officeDocument/2006/relationships/table" Target="/xl/tables/table3.xml" Id="R4c1c1e3c529f418d" /></Relationships>
</file>

<file path=xl/worksheets/_rels/sheet5.xml.rels>&#65279;<?xml version="1.0" encoding="utf-8"?><Relationships xmlns="http://schemas.openxmlformats.org/package/2006/relationships"><Relationship Type="http://schemas.openxmlformats.org/officeDocument/2006/relationships/table" Target="/xl/tables/table4.xml" Id="Rfab0e45fb30b4307" /></Relationships>
</file>

<file path=xl/worksheets/_rels/sheet6.xml.rels>&#65279;<?xml version="1.0" encoding="utf-8"?><Relationships xmlns="http://schemas.openxmlformats.org/package/2006/relationships"><Relationship Type="http://schemas.openxmlformats.org/officeDocument/2006/relationships/table" Target="/xl/tables/table5.xml" Id="R91a44fa2636a4874" /></Relationships>
</file>

<file path=xl/worksheets/_rels/sheet7.xml.rels>&#65279;<?xml version="1.0" encoding="utf-8"?><Relationships xmlns="http://schemas.openxmlformats.org/package/2006/relationships"><Relationship Type="http://schemas.openxmlformats.org/officeDocument/2006/relationships/table" Target="/xl/tables/table6.xml" Id="R6756146c20eb4ad0" /></Relationships>
</file>

<file path=xl/worksheets/_rels/sheet8.xml.rels>&#65279;<?xml version="1.0" encoding="utf-8"?><Relationships xmlns="http://schemas.openxmlformats.org/package/2006/relationships"><Relationship Type="http://schemas.openxmlformats.org/officeDocument/2006/relationships/table" Target="/xl/tables/table7.xml" Id="Rfcf9f0d3d4e74392" /></Relationships>
</file>

<file path=xl/worksheets/_rels/sheet9.xml.rels>&#65279;<?xml version="1.0" encoding="utf-8"?><Relationships xmlns="http://schemas.openxmlformats.org/package/2006/relationships"><Relationship Type="http://schemas.openxmlformats.org/officeDocument/2006/relationships/table" Target="/xl/tables/table8.xml" Id="R0be613d220f54d49" /></Relationships>
</file>

<file path=xl/worksheets/_rels/sheet11.xml.rels>&#65279;<?xml version="1.0" encoding="utf-8"?><Relationships xmlns="http://schemas.openxmlformats.org/package/2006/relationships"><Relationship Type="http://schemas.openxmlformats.org/officeDocument/2006/relationships/table" Target="/xl/tables/table9.xml" Id="R83eb72057fb442d5" /></Relationships>
</file>

<file path=xl/worksheets/_rels/sheet12.xml.rels>&#65279;<?xml version="1.0" encoding="utf-8"?><Relationships xmlns="http://schemas.openxmlformats.org/package/2006/relationships"><Relationship Type="http://schemas.openxmlformats.org/officeDocument/2006/relationships/table" Target="/xl/tables/table10.xml" Id="R6c7661337eb9493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RUN-I2-014-20260830T131551385651Z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COUNTA('API_CALLS'!$A$5:$A$21)</x:f>
        <x:v>17</x:v>
      </x:c>
      <x:c r="C9" s="21"/>
      <x:c r="D9" s="21"/>
    </x:row>
    <x:row r="10">
      <x:c r="A10" s="27" t="str">
        <x:v>Mean API/LLM elapsed ms</x:v>
      </x:c>
      <x:c r="B10" s="28" t="n">
        <x:f>IFERROR(AVERAGE('API_CALLS'!$K$5:$K$21),0)</x:f>
        <x:v>23507.61476470588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RUN-I2-014-20260830T131551385651Z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0d7bf97d99a49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RUN-I2-014-20260830T131551385651Z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MAX_ATTEMPTS_REACHED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8bd7a53de8443d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RUN-I2-014-20260830T131551385651Z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RUN-I2-014-20260830T131551385651Z</x:v>
      </x:c>
      <x:c r="C5" s="69" t="str">
        <x:v>I2-014</x:v>
      </x:c>
      <x:c r="D5" s="70" t="n">
        <x:v>46264.552678078704</x:v>
      </x:c>
      <x:c r="E5" s="70" t="n">
        <x:v>46264.55504398148</x:v>
      </x:c>
      <x:c r="F5" s="69" t="str">
        <x:v>final-luna-main-run08</x:v>
      </x:c>
      <x:c r="G5" s="69" t="str">
        <x:v>VOCAB-LOCK-2026-08-22-R13</x:v>
      </x:c>
      <x:c r="H5" s="71" t="n">
        <x:v>4</x:v>
      </x:c>
      <x:c r="I5" s="69" t="str">
        <x:v>MAX_ATTEMPTS_REACHED</x:v>
      </x:c>
      <x:c r="J5" s="72" t="b">
        <x:v>0</x:v>
      </x:c>
      <x:c r="K5" s="69" t="str"/>
      <x:c r="L5" s="73" t="str">
        <x:v>Preserve the prior equal-subdivision and true-maximum repairs, but replace the four midpoint FILTER NOT EXISTS blocks: each currently requires every case midpoint to lie within the same one of L/8, 3L/8, 5L/8, or 7L/8, so the required four-way assignment cannot pass. Use one bounded DIRECT_CALCULATION check that explicitly assigns four distinct case nodes collectively to those four expected midpoints, with inclusive tolerance scaled from each expected midpoint. Retain the maximum checks with selected &gt;= every reported F/Q/P value and inclusive tolerance around the derived maximum result, and keep all four per-case AR, F, Q, P values and evidence mandatory.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c1c1e3c529f41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RUN-I2-014-20260830T131551385651Z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RUN-I2-014-20260830T131551385651Z</x:v>
      </x:c>
      <x:c r="B5" s="45" t="str">
        <x:v>I2-014</x:v>
      </x:c>
      <x:c r="C5" s="58" t="n">
        <x:v>1</x:v>
      </x:c>
      <x:c r="D5" s="83" t="b">
        <x:v>1</x:v>
      </x:c>
      <x:c r="E5" s="83" t="b">
        <x:v>0</x:v>
      </x:c>
      <x:c r="F5" s="83" t="b">
        <x:v>0</x:v>
      </x:c>
      <x:c r="G5" s="45" t="str">
        <x:v>REVISE</x:v>
      </x:c>
      <x:c r="H5" s="46" t="str">
        <x:v>Repair the missing equal-subdivision semantics: include the supplied ship-owned nltl:bowLength input and constrain the four bow subregion cases and their nltl:bowSubregionMidLengthPosition values to represent four equal-length subdivisions of that length, rather than merely requiring four cases with present midpoint values. Also tighten each selected maximum so it is an actual maximum of the corresponding four reported values (equal to one reported maximum and not less than any reported value); the current &gt;=-only checks allow an arbitrarily inflated selected value and therefore permit an accidental pass.</x:v>
      </x:c>
      <x:c r="I5" s="84" t="n">
        <x:v>37799.152</x:v>
      </x:c>
      <x:c r="J5" s="84" t="n">
        <x:v>14890.407</x:v>
      </x:c>
    </x:row>
    <x:row r="6">
      <x:c r="A6" s="47" t="str">
        <x:v>RUN-I2-014-20260830T131551385651Z</x:v>
      </x:c>
      <x:c r="B6" s="47" t="str">
        <x:v>I2-014</x:v>
      </x:c>
      <x:c r="C6" s="59" t="n">
        <x:v>2</x:v>
      </x:c>
      <x:c r="D6" s="85" t="b">
        <x:v>1</x:v>
      </x:c>
      <x:c r="E6" s="85" t="b">
        <x:v>0</x:v>
      </x:c>
      <x:c r="F6" s="85" t="b">
        <x:v>0</x:v>
      </x:c>
      <x:c r="G6" s="47" t="str">
        <x:v>REVISE</x:v>
      </x:c>
      <x:c r="H6" s="48" t="str">
        <x:v>Preserve the prior equal-subdivision and true-maximum repairs, but replace the midpoint SPARQL arithmetic that relies on ABS with supported bounded comparisons using only the registered DIRECT_CALCULATION operations (+, -, *, /, comparisons, and constants); apply the tolerance scaled from each expected midpoint. The current ABS expressions are outside the permitted calculation fragment. Also verify that the line-load unit IRI is the canonical force-per-length unit (the supplied metadata labels it MN/m while the candidate uses MegaN-M-PER-M2); correct it if that IRI denotes force per area.</x:v>
      </x:c>
      <x:c r="I6" s="86" t="n">
        <x:v>39006.756</x:v>
      </x:c>
      <x:c r="J6" s="86" t="n">
        <x:v>8707.309</x:v>
      </x:c>
    </x:row>
    <x:row r="7">
      <x:c r="A7" s="47" t="str">
        <x:v>RUN-I2-014-20260830T131551385651Z</x:v>
      </x:c>
      <x:c r="B7" s="47" t="str">
        <x:v>I2-014</x:v>
      </x:c>
      <x:c r="C7" s="59" t="n">
        <x:v>3</x:v>
      </x:c>
      <x:c r="D7" s="85" t="b">
        <x:v>1</x:v>
      </x:c>
      <x:c r="E7" s="85" t="b">
        <x:v>0</x:v>
      </x:c>
      <x:c r="F7" s="85" t="b">
        <x:v>0</x:v>
      </x:c>
      <x:c r="G7" s="47" t="str">
        <x:v>REVISE</x:v>
      </x:c>
      <x:c r="H7" s="48" t="str">
        <x:v>Preserve the prior equal-subdivision and true-maximum repairs, but fix the midpoint logic: the first query checks only c1 and c2 and even permits them to occupy the same expected midpoint, while the second query permits duplicate midpoint assignments and does not require all four positions (e.g., 1/8, 1/8, 3/8, 5/8 can pass while 7/8 is missing). Replace this with one bounded DIRECT_CALCULATION check that enforces four distinct case assignments collectively covering L/8, 3L/8, 5L/8, and 7L/8, with tolerance scaled from each expected midpoint. Also replace exact equality for each selected maximum with inclusive tolerance around the expected maximum derived from the four corresponding reported values; retain selected &gt;= every reported value and ensure the selected value is within that derived-result tolerance, rather than comparing exact decimals.</x:v>
      </x:c>
      <x:c r="I7" s="86" t="n">
        <x:v>37982.401</x:v>
      </x:c>
      <x:c r="J7" s="86" t="n">
        <x:v>17897.335</x:v>
      </x:c>
    </x:row>
    <x:row r="8">
      <x:c r="A8" s="49" t="str">
        <x:v>RUN-I2-014-20260830T131551385651Z</x:v>
      </x:c>
      <x:c r="B8" s="49" t="str">
        <x:v>I2-014</x:v>
      </x:c>
      <x:c r="C8" s="60" t="n">
        <x:v>4</x:v>
      </x:c>
      <x:c r="D8" s="87" t="b">
        <x:v>1</x:v>
      </x:c>
      <x:c r="E8" s="87" t="b">
        <x:v>0</x:v>
      </x:c>
      <x:c r="F8" s="87" t="b">
        <x:v>0</x:v>
      </x:c>
      <x:c r="G8" s="49" t="str">
        <x:v>REVISE</x:v>
      </x:c>
      <x:c r="H8" s="50" t="str">
        <x:v>Preserve the prior equal-subdivision and true-maximum repairs, but replace the four midpoint FILTER NOT EXISTS blocks: each currently requires every case midpoint to lie within the same one of L/8, 3L/8, 5L/8, or 7L/8, so the required four-way assignment cannot pass. Use one bounded DIRECT_CALCULATION check that explicitly assigns four distinct case nodes collectively to those four expected midpoints, with inclusive tolerance scaled from each expected midpoint. Retain the maximum checks with selected &gt;= every reported F/Q/P value and inclusive tolerance around the derived maximum result, and keep all four per-case AR, F, Q, P values and evidence mandatory.</x:v>
      </x:c>
      <x:c r="I8" s="88" t="n">
        <x:v>37110.099</x:v>
      </x:c>
      <x:c r="J8" s="88" t="n">
        <x:v>9170.42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ab0e45fb30b430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RUN-I2-014-20260830T131551385651Z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RUN-I2-014-20260830T131551385651Z</x:v>
      </x:c>
      <x:c r="C5" s="45" t="str">
        <x:v>I2-014</x:v>
      </x:c>
      <x:c r="D5" s="92" t="n">
        <x:v>46264.55268886574</x:v>
      </x:c>
      <x:c r="E5" s="45" t="str">
        <x:v>generator</x:v>
      </x:c>
      <x:c r="F5" s="45" t="str">
        <x:v>gpt-5.6-luna-2026-07-09</x:v>
      </x:c>
      <x:c r="G5" s="45" t="n">
        <x:v>1</x:v>
      </x:c>
      <x:c r="H5" s="45" t="n">
        <x:v>500</x:v>
      </x:c>
      <x:c r="I5" s="45" t="str">
        <x:v>Ocp-Apim-Subscription-Key</x:v>
      </x:c>
      <x:c r="J5" s="84" t="n">
        <x:v>0</x:v>
      </x:c>
      <x:c r="K5" s="84" t="n">
        <x:v>929.311</x:v>
      </x:c>
      <x:c r="L5" s="83" t="b">
        <x:v>1</x:v>
      </x:c>
      <x:c r="M5" s="45" t="str"/>
      <x:c r="N5" s="58" t="str"/>
      <x:c r="O5" s="58" t="str"/>
      <x:c r="P5" s="58" t="str"/>
    </x:row>
    <x:row r="6">
      <x:c r="A6" s="47" t="str">
        <x:v>EVT-000036</x:v>
      </x:c>
      <x:c r="B6" s="47" t="str">
        <x:v>RUN-I2-014-20260830T131551385651Z</x:v>
      </x:c>
      <x:c r="C6" s="47" t="str">
        <x:v>I2-014</x:v>
      </x:c>
      <x:c r="D6" s="93" t="n">
        <x:v>46264.55311559028</x:v>
      </x:c>
      <x:c r="E6" s="47" t="str">
        <x:v>generator</x:v>
      </x:c>
      <x:c r="F6" s="47" t="str">
        <x:v>gpt-5.6-luna-2026-07-09</x:v>
      </x:c>
      <x:c r="G6" s="47" t="n">
        <x:v>2</x:v>
      </x:c>
      <x:c r="H6" s="47" t="n">
        <x:v>200</x:v>
      </x:c>
      <x:c r="I6" s="47" t="str">
        <x:v>Ocp-Apim-Subscription-Key</x:v>
      </x:c>
      <x:c r="J6" s="86" t="n">
        <x:v>0</x:v>
      </x:c>
      <x:c r="K6" s="86" t="n">
        <x:v>31379.099</x:v>
      </x:c>
      <x:c r="L6" s="85" t="b">
        <x:v>0</x:v>
      </x:c>
      <x:c r="M6" s="47" t="str"/>
      <x:c r="N6" s="59" t="str"/>
      <x:c r="O6" s="59" t="str"/>
      <x:c r="P6" s="59" t="str"/>
    </x:row>
    <x:row r="7">
      <x:c r="A7" s="47" t="str">
        <x:v>EVT-000037</x:v>
      </x:c>
      <x:c r="B7" s="47" t="str">
        <x:v>RUN-I2-014-20260830T131551385651Z</x:v>
      </x:c>
      <x:c r="C7" s="47" t="str">
        <x:v>I2-014</x:v>
      </x:c>
      <x:c r="D7" s="93" t="n">
        <x:v>46264.553115613424</x:v>
      </x:c>
      <x:c r="E7" s="47" t="str">
        <x:v>generator</x:v>
      </x:c>
      <x:c r="F7" s="47" t="str">
        <x:v>gpt-5.6-luna-2026-07-09</x:v>
      </x:c>
      <x:c r="G7" s="47" t="n">
        <x:v>2</x:v>
      </x:c>
      <x:c r="H7" s="47" t="str">
        <x:v>COMPLETED</x:v>
      </x:c>
      <x:c r="I7" s="47" t="str"/>
      <x:c r="J7" s="86" t="n">
        <x:v>0</x:v>
      </x:c>
      <x:c r="K7" s="86" t="n">
        <x:v>37799.152</x:v>
      </x:c>
      <x:c r="L7" s="85" t="b">
        <x:v>0</x:v>
      </x:c>
      <x:c r="M7" s="47" t="str">
        <x:v>resp_06b07062a32fa68d006a942d0e16d081939406da40353ddff0</x:v>
      </x:c>
      <x:c r="N7" s="59" t="n">
        <x:v>12332</x:v>
      </x:c>
      <x:c r="O7" s="59" t="n">
        <x:v>3268</x:v>
      </x:c>
      <x:c r="P7" s="59" t="n">
        <x:v>15600</x:v>
      </x:c>
    </x:row>
    <x:row r="8">
      <x:c r="A8" s="47" t="str">
        <x:v>EVT-000044</x:v>
      </x:c>
      <x:c r="B8" s="47" t="str">
        <x:v>RUN-I2-014-20260830T131551385651Z</x:v>
      </x:c>
      <x:c r="C8" s="47" t="str">
        <x:v>I2-014</x:v>
      </x:c>
      <x:c r="D8" s="93" t="n">
        <x:v>46264.553291006945</x:v>
      </x:c>
      <x:c r="E8" s="47" t="str">
        <x:v>validator</x:v>
      </x:c>
      <x:c r="F8" s="47" t="str">
        <x:v>gpt-5.6-luna-2026-07-09</x:v>
      </x:c>
      <x:c r="G8" s="47" t="n">
        <x:v>1</x:v>
      </x:c>
      <x:c r="H8" s="47" t="n">
        <x:v>200</x:v>
      </x:c>
      <x:c r="I8" s="47" t="str">
        <x:v>Ocp-Apim-Subscription-Key</x:v>
      </x:c>
      <x:c r="J8" s="86" t="n">
        <x:v>0</x:v>
      </x:c>
      <x:c r="K8" s="86" t="n">
        <x:v>14889.56</x:v>
      </x:c>
      <x:c r="L8" s="85" t="b">
        <x:v>0</x:v>
      </x:c>
      <x:c r="M8" s="47" t="str"/>
      <x:c r="N8" s="59" t="str"/>
      <x:c r="O8" s="59" t="str"/>
      <x:c r="P8" s="59" t="str"/>
    </x:row>
    <x:row r="9">
      <x:c r="A9" s="47" t="str">
        <x:v>EVT-000045</x:v>
      </x:c>
      <x:c r="B9" s="47" t="str">
        <x:v>RUN-I2-014-20260830T131551385651Z</x:v>
      </x:c>
      <x:c r="C9" s="47" t="str">
        <x:v>I2-014</x:v>
      </x:c>
      <x:c r="D9" s="93" t="n">
        <x:v>46264.55329101852</x:v>
      </x:c>
      <x:c r="E9" s="47" t="str">
        <x:v>validator</x:v>
      </x:c>
      <x:c r="F9" s="47" t="str">
        <x:v>gpt-5.6-luna-2026-07-09</x:v>
      </x:c>
      <x:c r="G9" s="47" t="n">
        <x:v>1</x:v>
      </x:c>
      <x:c r="H9" s="47" t="str">
        <x:v>COMPLETED</x:v>
      </x:c>
      <x:c r="I9" s="47" t="str"/>
      <x:c r="J9" s="86" t="n">
        <x:v>0</x:v>
      </x:c>
      <x:c r="K9" s="86" t="n">
        <x:v>14890.407</x:v>
      </x:c>
      <x:c r="L9" s="85" t="b">
        <x:v>0</x:v>
      </x:c>
      <x:c r="M9" s="47" t="str">
        <x:v>resp_00fdd1553f3f42ea006a942d2da534819493b388f493ba8b7c</x:v>
      </x:c>
      <x:c r="N9" s="59" t="n">
        <x:v>13730</x:v>
      </x:c>
      <x:c r="O9" s="59" t="n">
        <x:v>1168</x:v>
      </x:c>
      <x:c r="P9" s="59" t="n">
        <x:v>14898</x:v>
      </x:c>
    </x:row>
    <x:row r="10">
      <x:c r="A10" s="47" t="str">
        <x:v>EVT-000050</x:v>
      </x:c>
      <x:c r="B10" s="47" t="str">
        <x:v>RUN-I2-014-20260830T131551385651Z</x:v>
      </x:c>
      <x:c r="C10" s="47" t="str">
        <x:v>I2-014</x:v>
      </x:c>
      <x:c r="D10" s="93" t="n">
        <x:v>46264.553742523145</x:v>
      </x:c>
      <x:c r="E10" s="47" t="str">
        <x:v>generator</x:v>
      </x:c>
      <x:c r="F10" s="47" t="str">
        <x:v>gpt-5.6-luna-2026-07-09</x:v>
      </x:c>
      <x:c r="G10" s="47" t="n">
        <x:v>1</x:v>
      </x:c>
      <x:c r="H10" s="47" t="n">
        <x:v>200</x:v>
      </x:c>
      <x:c r="I10" s="47" t="str">
        <x:v>Ocp-Apim-Subscription-Key</x:v>
      </x:c>
      <x:c r="J10" s="86" t="n">
        <x:v>0</x:v>
      </x:c>
      <x:c r="K10" s="86" t="n">
        <x:v>39005.554</x:v>
      </x:c>
      <x:c r="L10" s="85" t="b">
        <x:v>0</x:v>
      </x:c>
      <x:c r="M10" s="47" t="str"/>
      <x:c r="N10" s="59" t="str"/>
      <x:c r="O10" s="59" t="str"/>
      <x:c r="P10" s="59" t="str"/>
    </x:row>
    <x:row r="11">
      <x:c r="A11" s="47" t="str">
        <x:v>EVT-000051</x:v>
      </x:c>
      <x:c r="B11" s="47" t="str">
        <x:v>RUN-I2-014-20260830T131551385651Z</x:v>
      </x:c>
      <x:c r="C11" s="47" t="str">
        <x:v>I2-014</x:v>
      </x:c>
      <x:c r="D11" s="93" t="n">
        <x:v>46264.55374253472</x:v>
      </x:c>
      <x:c r="E11" s="47" t="str">
        <x:v>generator</x:v>
      </x:c>
      <x:c r="F11" s="47" t="str">
        <x:v>gpt-5.6-luna-2026-07-09</x:v>
      </x:c>
      <x:c r="G11" s="47" t="n">
        <x:v>1</x:v>
      </x:c>
      <x:c r="H11" s="47" t="str">
        <x:v>COMPLETED</x:v>
      </x:c>
      <x:c r="I11" s="47" t="str"/>
      <x:c r="J11" s="86" t="n">
        <x:v>0</x:v>
      </x:c>
      <x:c r="K11" s="86" t="n">
        <x:v>39006.756</x:v>
      </x:c>
      <x:c r="L11" s="85" t="b">
        <x:v>0</x:v>
      </x:c>
      <x:c r="M11" s="47" t="str">
        <x:v>resp_0fbeb65c46c01c1e006a942d3c8aec8197840db4259a1fa73d</x:v>
      </x:c>
      <x:c r="N11" s="59" t="n">
        <x:v>12445</x:v>
      </x:c>
      <x:c r="O11" s="59" t="n">
        <x:v>5242</x:v>
      </x:c>
      <x:c r="P11" s="59" t="n">
        <x:v>17687</x:v>
      </x:c>
    </x:row>
    <x:row r="12">
      <x:c r="A12" s="47" t="str">
        <x:v>EVT-000058</x:v>
      </x:c>
      <x:c r="B12" s="47" t="str">
        <x:v>RUN-I2-014-20260830T131551385651Z</x:v>
      </x:c>
      <x:c r="C12" s="47" t="str">
        <x:v>I2-014</x:v>
      </x:c>
      <x:c r="D12" s="93" t="n">
        <x:v>46264.553847650466</x:v>
      </x:c>
      <x:c r="E12" s="47" t="str">
        <x:v>validator</x:v>
      </x:c>
      <x:c r="F12" s="47" t="str">
        <x:v>gpt-5.6-luna-2026-07-09</x:v>
      </x:c>
      <x:c r="G12" s="47" t="n">
        <x:v>1</x:v>
      </x:c>
      <x:c r="H12" s="47" t="n">
        <x:v>200</x:v>
      </x:c>
      <x:c r="I12" s="47" t="str">
        <x:v>Ocp-Apim-Subscription-Key</x:v>
      </x:c>
      <x:c r="J12" s="86" t="n">
        <x:v>0</x:v>
      </x:c>
      <x:c r="K12" s="86" t="n">
        <x:v>8706.092</x:v>
      </x:c>
      <x:c r="L12" s="85" t="b">
        <x:v>0</x:v>
      </x:c>
      <x:c r="M12" s="47" t="str"/>
      <x:c r="N12" s="59" t="str"/>
      <x:c r="O12" s="59" t="str"/>
      <x:c r="P12" s="59" t="str"/>
    </x:row>
    <x:row r="13">
      <x:c r="A13" s="47" t="str">
        <x:v>EVT-000059</x:v>
      </x:c>
      <x:c r="B13" s="47" t="str">
        <x:v>RUN-I2-014-20260830T131551385651Z</x:v>
      </x:c>
      <x:c r="C13" s="47" t="str">
        <x:v>I2-014</x:v>
      </x:c>
      <x:c r="D13" s="93" t="n">
        <x:v>46264.553847662035</x:v>
      </x:c>
      <x:c r="E13" s="47" t="str">
        <x:v>validator</x:v>
      </x:c>
      <x:c r="F13" s="47" t="str">
        <x:v>gpt-5.6-luna-2026-07-09</x:v>
      </x:c>
      <x:c r="G13" s="47" t="n">
        <x:v>1</x:v>
      </x:c>
      <x:c r="H13" s="47" t="str">
        <x:v>COMPLETED</x:v>
      </x:c>
      <x:c r="I13" s="47" t="str"/>
      <x:c r="J13" s="86" t="n">
        <x:v>0</x:v>
      </x:c>
      <x:c r="K13" s="86" t="n">
        <x:v>8707.309</x:v>
      </x:c>
      <x:c r="L13" s="85" t="b">
        <x:v>0</x:v>
      </x:c>
      <x:c r="M13" s="47" t="str">
        <x:v>resp_035e456f7dcb0b73006a942d6406cc81969f9114b3913b3c6a</x:v>
      </x:c>
      <x:c r="N13" s="59" t="n">
        <x:v>16121</x:v>
      </x:c>
      <x:c r="O13" s="59" t="n">
        <x:v>653</x:v>
      </x:c>
      <x:c r="P13" s="59" t="n">
        <x:v>16774</x:v>
      </x:c>
    </x:row>
    <x:row r="14">
      <x:c r="A14" s="47" t="str">
        <x:v>EVT-000064</x:v>
      </x:c>
      <x:c r="B14" s="47" t="str">
        <x:v>RUN-I2-014-20260830T131551385651Z</x:v>
      </x:c>
      <x:c r="C14" s="47" t="str">
        <x:v>I2-014</x:v>
      </x:c>
      <x:c r="D14" s="93" t="n">
        <x:v>46264.55428732639</x:v>
      </x:c>
      <x:c r="E14" s="47" t="str">
        <x:v>generator</x:v>
      </x:c>
      <x:c r="F14" s="47" t="str">
        <x:v>gpt-5.6-luna-2026-07-09</x:v>
      </x:c>
      <x:c r="G14" s="47" t="n">
        <x:v>1</x:v>
      </x:c>
      <x:c r="H14" s="47" t="n">
        <x:v>200</x:v>
      </x:c>
      <x:c r="I14" s="47" t="str">
        <x:v>Ocp-Apim-Subscription-Key</x:v>
      </x:c>
      <x:c r="J14" s="86" t="n">
        <x:v>0</x:v>
      </x:c>
      <x:c r="K14" s="86" t="n">
        <x:v>37981.287</x:v>
      </x:c>
      <x:c r="L14" s="85" t="b">
        <x:v>0</x:v>
      </x:c>
      <x:c r="M14" s="47" t="str"/>
      <x:c r="N14" s="59" t="str"/>
      <x:c r="O14" s="59" t="str"/>
      <x:c r="P14" s="59" t="str"/>
    </x:row>
    <x:row r="15">
      <x:c r="A15" s="47" t="str">
        <x:v>EVT-000065</x:v>
      </x:c>
      <x:c r="B15" s="47" t="str">
        <x:v>RUN-I2-014-20260830T131551385651Z</x:v>
      </x:c>
      <x:c r="C15" s="47" t="str">
        <x:v>I2-014</x:v>
      </x:c>
      <x:c r="D15" s="93" t="n">
        <x:v>46264.55428733796</x:v>
      </x:c>
      <x:c r="E15" s="47" t="str">
        <x:v>generator</x:v>
      </x:c>
      <x:c r="F15" s="47" t="str">
        <x:v>gpt-5.6-luna-2026-07-09</x:v>
      </x:c>
      <x:c r="G15" s="47" t="n">
        <x:v>1</x:v>
      </x:c>
      <x:c r="H15" s="47" t="str">
        <x:v>COMPLETED</x:v>
      </x:c>
      <x:c r="I15" s="47" t="str"/>
      <x:c r="J15" s="86" t="n">
        <x:v>0</x:v>
      </x:c>
      <x:c r="K15" s="86" t="n">
        <x:v>37982.401</x:v>
      </x:c>
      <x:c r="L15" s="85" t="b">
        <x:v>0</x:v>
      </x:c>
      <x:c r="M15" s="47" t="str">
        <x:v>resp_071636054ba487f6006a942d6c9f0c8196af19a7a757271ee7</x:v>
      </x:c>
      <x:c r="N15" s="59" t="n">
        <x:v>12564</x:v>
      </x:c>
      <x:c r="O15" s="59" t="n">
        <x:v>5212</x:v>
      </x:c>
      <x:c r="P15" s="59" t="n">
        <x:v>17776</x:v>
      </x:c>
    </x:row>
    <x:row r="16">
      <x:c r="A16" s="47" t="str">
        <x:v>EVT-000072</x:v>
      </x:c>
      <x:c r="B16" s="47" t="str">
        <x:v>RUN-I2-014-20260830T131551385651Z</x:v>
      </x:c>
      <x:c r="C16" s="47" t="str">
        <x:v>I2-014</x:v>
      </x:c>
      <x:c r="D16" s="93" t="n">
        <x:v>46264.554500578706</x:v>
      </x:c>
      <x:c r="E16" s="47" t="str">
        <x:v>validator</x:v>
      </x:c>
      <x:c r="F16" s="47" t="str">
        <x:v>gpt-5.6-luna-2026-07-09</x:v>
      </x:c>
      <x:c r="G16" s="47" t="n">
        <x:v>1</x:v>
      </x:c>
      <x:c r="H16" s="47" t="n">
        <x:v>200</x:v>
      </x:c>
      <x:c r="I16" s="47" t="str">
        <x:v>Ocp-Apim-Subscription-Key</x:v>
      </x:c>
      <x:c r="J16" s="86" t="n">
        <x:v>0</x:v>
      </x:c>
      <x:c r="K16" s="86" t="n">
        <x:v>17896.67</x:v>
      </x:c>
      <x:c r="L16" s="85" t="b">
        <x:v>0</x:v>
      </x:c>
      <x:c r="M16" s="47" t="str"/>
      <x:c r="N16" s="59" t="str"/>
      <x:c r="O16" s="59" t="str"/>
      <x:c r="P16" s="59" t="str"/>
    </x:row>
    <x:row r="17">
      <x:c r="A17" s="47" t="str">
        <x:v>EVT-000073</x:v>
      </x:c>
      <x:c r="B17" s="47" t="str">
        <x:v>RUN-I2-014-20260830T131551385651Z</x:v>
      </x:c>
      <x:c r="C17" s="47" t="str">
        <x:v>I2-014</x:v>
      </x:c>
      <x:c r="D17" s="93" t="n">
        <x:v>46264.554500590275</x:v>
      </x:c>
      <x:c r="E17" s="47" t="str">
        <x:v>validator</x:v>
      </x:c>
      <x:c r="F17" s="47" t="str">
        <x:v>gpt-5.6-luna-2026-07-09</x:v>
      </x:c>
      <x:c r="G17" s="47" t="n">
        <x:v>1</x:v>
      </x:c>
      <x:c r="H17" s="47" t="str">
        <x:v>COMPLETED</x:v>
      </x:c>
      <x:c r="I17" s="47" t="str"/>
      <x:c r="J17" s="86" t="n">
        <x:v>0</x:v>
      </x:c>
      <x:c r="K17" s="86" t="n">
        <x:v>17897.335</x:v>
      </x:c>
      <x:c r="L17" s="85" t="b">
        <x:v>0</x:v>
      </x:c>
      <x:c r="M17" s="47" t="str">
        <x:v>resp_0951a2e75a0bcb8e006a942d9322688190a4c7d4726d87d96a</x:v>
      </x:c>
      <x:c r="N17" s="59" t="n">
        <x:v>16149</x:v>
      </x:c>
      <x:c r="O17" s="59" t="n">
        <x:v>1240</x:v>
      </x:c>
      <x:c r="P17" s="59" t="n">
        <x:v>17389</x:v>
      </x:c>
    </x:row>
    <x:row r="18">
      <x:c r="A18" s="47" t="str">
        <x:v>EVT-000078</x:v>
      </x:c>
      <x:c r="B18" s="47" t="str">
        <x:v>RUN-I2-014-20260830T131551385651Z</x:v>
      </x:c>
      <x:c r="C18" s="47" t="str">
        <x:v>I2-014</x:v>
      </x:c>
      <x:c r="D18" s="93" t="n">
        <x:v>46264.554930115744</x:v>
      </x:c>
      <x:c r="E18" s="47" t="str">
        <x:v>generator</x:v>
      </x:c>
      <x:c r="F18" s="47" t="str">
        <x:v>gpt-5.6-luna-2026-07-09</x:v>
      </x:c>
      <x:c r="G18" s="47" t="n">
        <x:v>1</x:v>
      </x:c>
      <x:c r="H18" s="47" t="n">
        <x:v>200</x:v>
      </x:c>
      <x:c r="I18" s="47" t="str">
        <x:v>Ocp-Apim-Subscription-Key</x:v>
      </x:c>
      <x:c r="J18" s="86" t="n">
        <x:v>0</x:v>
      </x:c>
      <x:c r="K18" s="86" t="n">
        <x:v>37108.893</x:v>
      </x:c>
      <x:c r="L18" s="85" t="b">
        <x:v>0</x:v>
      </x:c>
      <x:c r="M18" s="47" t="str"/>
      <x:c r="N18" s="59" t="str"/>
      <x:c r="O18" s="59" t="str"/>
      <x:c r="P18" s="59" t="str"/>
    </x:row>
    <x:row r="19">
      <x:c r="A19" s="47" t="str">
        <x:v>EVT-000079</x:v>
      </x:c>
      <x:c r="B19" s="47" t="str">
        <x:v>RUN-I2-014-20260830T131551385651Z</x:v>
      </x:c>
      <x:c r="C19" s="47" t="str">
        <x:v>I2-014</x:v>
      </x:c>
      <x:c r="D19" s="93" t="n">
        <x:v>46264.55493013889</x:v>
      </x:c>
      <x:c r="E19" s="47" t="str">
        <x:v>generator</x:v>
      </x:c>
      <x:c r="F19" s="47" t="str">
        <x:v>gpt-5.6-luna-2026-07-09</x:v>
      </x:c>
      <x:c r="G19" s="47" t="n">
        <x:v>1</x:v>
      </x:c>
      <x:c r="H19" s="47" t="str">
        <x:v>COMPLETED</x:v>
      </x:c>
      <x:c r="I19" s="47" t="str"/>
      <x:c r="J19" s="86" t="n">
        <x:v>0</x:v>
      </x:c>
      <x:c r="K19" s="86" t="n">
        <x:v>37110.099</x:v>
      </x:c>
      <x:c r="L19" s="85" t="b">
        <x:v>0</x:v>
      </x:c>
      <x:c r="M19" s="47" t="str">
        <x:v>resp_07a1cc5717bf81c2006a942da50b34819794a5f4259eab45ab</x:v>
      </x:c>
      <x:c r="N19" s="59" t="n">
        <x:v>12752</x:v>
      </x:c>
      <x:c r="O19" s="59" t="n">
        <x:v>5148</x:v>
      </x:c>
      <x:c r="P19" s="59" t="n">
        <x:v>17900</x:v>
      </x:c>
    </x:row>
    <x:row r="20">
      <x:c r="A20" s="47" t="str">
        <x:v>EVT-000086</x:v>
      </x:c>
      <x:c r="B20" s="47" t="str">
        <x:v>RUN-I2-014-20260830T131551385651Z</x:v>
      </x:c>
      <x:c r="C20" s="47" t="str">
        <x:v>I2-014</x:v>
      </x:c>
      <x:c r="D20" s="93" t="n">
        <x:v>46264.555043912034</x:v>
      </x:c>
      <x:c r="E20" s="47" t="str">
        <x:v>validator</x:v>
      </x:c>
      <x:c r="F20" s="47" t="str">
        <x:v>gpt-5.6-luna-2026-07-09</x:v>
      </x:c>
      <x:c r="G20" s="47" t="n">
        <x:v>1</x:v>
      </x:c>
      <x:c r="H20" s="47" t="n">
        <x:v>200</x:v>
      </x:c>
      <x:c r="I20" s="47" t="str">
        <x:v>Ocp-Apim-Subscription-Key</x:v>
      </x:c>
      <x:c r="J20" s="86" t="n">
        <x:v>0</x:v>
      </x:c>
      <x:c r="K20" s="86" t="n">
        <x:v>9169.106</x:v>
      </x:c>
      <x:c r="L20" s="85" t="b">
        <x:v>0</x:v>
      </x:c>
      <x:c r="M20" s="47" t="str"/>
      <x:c r="N20" s="59" t="str"/>
      <x:c r="O20" s="59" t="str"/>
      <x:c r="P20" s="59" t="str"/>
    </x:row>
    <x:row r="21">
      <x:c r="A21" s="49" t="str">
        <x:v>EVT-000087</x:v>
      </x:c>
      <x:c r="B21" s="49" t="str">
        <x:v>RUN-I2-014-20260830T131551385651Z</x:v>
      </x:c>
      <x:c r="C21" s="49" t="str">
        <x:v>I2-014</x:v>
      </x:c>
      <x:c r="D21" s="94" t="n">
        <x:v>46264.55504393519</x:v>
      </x:c>
      <x:c r="E21" s="49" t="str">
        <x:v>validator</x:v>
      </x:c>
      <x:c r="F21" s="49" t="str">
        <x:v>gpt-5.6-luna-2026-07-09</x:v>
      </x:c>
      <x:c r="G21" s="49" t="n">
        <x:v>1</x:v>
      </x:c>
      <x:c r="H21" s="49" t="str">
        <x:v>COMPLETED</x:v>
      </x:c>
      <x:c r="I21" s="49" t="str"/>
      <x:c r="J21" s="88" t="n">
        <x:v>0</x:v>
      </x:c>
      <x:c r="K21" s="88" t="n">
        <x:v>9170.42</x:v>
      </x:c>
      <x:c r="L21" s="87" t="b">
        <x:v>0</x:v>
      </x:c>
      <x:c r="M21" s="49" t="str">
        <x:v>resp_0a06e9fc85173fad006a942dcae1b88190801ebc4aa13a8f70</x:v>
      </x:c>
      <x:c r="N21" s="60" t="n">
        <x:v>16363</x:v>
      </x:c>
      <x:c r="O21" s="60" t="n">
        <x:v>678</x:v>
      </x:c>
      <x:c r="P21" s="60" t="n">
        <x:v>17041</x:v>
      </x:c>
    </x:row>
  </x:sheetData>
  <x:conditionalFormatting sqref="H5:H21">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1a44fa2636a4874"/>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RUN-I2-014-20260830T131551385651Z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RUN-I2-014-20260830T131551385651Z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RUN-I2-014-20260830T131551385651Z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RUN-I2-014-20260830T131551385651Z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RUN-I2-014-20260830T131551385651Z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RUN-I2-014-20260830T131551385651Z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RUN-I2-014-20260830T131551385651Z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RUN-I2-014-20260830T131551385651Z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RUN-I2-014-20260830T131551385651Z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RUN-I2-014-20260830T131551385651Z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RUN-I2-014-20260830T131551385651Z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RUN-I2-014-20260830T131551385651Z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RUN-I2-014-20260830T131551385651Z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RUN-I2-014-20260830T131551385651Z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RUN-I2-014-20260830T131551385651Z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RUN-I2-014-20260830T131551385651Z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RUN-I2-014-20260830T131551385651Z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RUN-I2-014-20260830T131551385651Z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RUN-I2-014-20260830T131551385651Z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RUN-I2-014-20260830T131551385651Z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RUN-I2-014-20260830T131551385651Z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RUN-I2-014-20260830T131551385651Z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RUN-I2-014-20260830T131551385651Z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RUN-I2-014-20260830T131551385651Z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RUN-I2-014-20260830T131551385651Z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RUN-I2-014-20260830T131551385651Z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6756146c20eb4ad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RUN-I2-014-20260830T131551385651Z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RUN-I2-014-20260830T131551385651Z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RUN-I2-014-20260830T131551385651Z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cf9f0d3d4e7439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RUN-I2-014-20260830T131551385651Z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RUN-I2-014-20260830T131551385651Z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RUN-I2-014-20260830T131551385651Z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7" t="str">
        <x:v>RUN-I2-014-20260830T131551385651Z</x:v>
      </x:c>
      <x:c r="B7" s="47" t="str">
        <x:v>I2-014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48" t="str"/>
      <x:c r="P7" s="48" t="str"/>
      <x:c r="Q7" s="48" t="str"/>
    </x:row>
    <x:row r="8">
      <x:c r="A8" s="49" t="str">
        <x:v>RUN-I2-014-20260830T131551385651Z</x:v>
      </x:c>
      <x:c r="B8" s="49" t="str">
        <x:v>I2-014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8" s="50" t="str"/>
      <x:c r="P8" s="50" t="str"/>
      <x:c r="Q8" s="50" t="str"/>
    </x:row>
  </x:sheetData>
  <x:pageMargins left="0.7" right="0.7" top="0.75" bottom="0.75" header="0.3" footer="0.3"/>
  <x:tableParts count="1">
    <x:tablePart xmlns:r="http://schemas.openxmlformats.org/officeDocument/2006/relationships" r:id="R0be613d220f54d4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RUN-I2-014-20260830T131551385651Z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RUN-I2-014-20260830T131551385651Z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RUN-I2-014-20260830T131551385651Z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RUN-I2-014-20260830T131551385651Z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RUN-I2-014-20260830T131551385651Z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RUN-I2-014-20260830T131551385651Z</x:v>
      </x:c>
      <x:c r="B8" s="47" t="str">
        <x:v>I2-014</x:v>
      </x:c>
      <x:c r="C8" s="59" t="n">
        <x:v>1</x:v>
      </x:c>
      <x:c r="D8" s="47" t="str">
        <x:v>generator_raw_response</x:v>
      </x:c>
      <x:c r="E8" s="48" t="str">
        <x:v>artifacts/attempt_01/generator_raw.txt</x:v>
      </x:c>
      <x:c r="F8" s="47" t="str">
        <x:v>c20c292bd83061e66e04768d5b88dc1b1277caf18850ed93251ce747196edcf0</x:v>
      </x:c>
      <x:c r="G8" s="59" t="n">
        <x:v>7750</x:v>
      </x:c>
    </x:row>
    <x:row r="9">
      <x:c r="A9" s="47" t="str">
        <x:v>RUN-I2-014-20260830T131551385651Z</x:v>
      </x:c>
      <x:c r="B9" s="47" t="str">
        <x:v>I2-014</x:v>
      </x:c>
      <x:c r="C9" s="59" t="n">
        <x:v>1</x:v>
      </x:c>
      <x:c r="D9" s="47" t="str">
        <x:v>candidate_shape</x:v>
      </x:c>
      <x:c r="E9" s="48" t="str">
        <x:v>artifacts/attempt_01/candidate_shape.ttl</x:v>
      </x:c>
      <x:c r="F9" s="47" t="str">
        <x:v>71d4e696115d2cd46279363aa776a6341e8d0b94e011c2cc2c5e49737f365121</x:v>
      </x:c>
      <x:c r="G9" s="59" t="n">
        <x:v>7725</x:v>
      </x:c>
    </x:row>
    <x:row r="10">
      <x:c r="A10" s="47" t="str">
        <x:v>RUN-I2-014-20260830T131551385651Z</x:v>
      </x:c>
      <x:c r="B10" s="47" t="str">
        <x:v>I2-014</x:v>
      </x:c>
      <x:c r="C10" s="59" t="n">
        <x:v>1</x:v>
      </x:c>
      <x:c r="D10" s="47" t="str">
        <x:v>deterministic_validation</x:v>
      </x:c>
      <x:c r="E10" s="48" t="str">
        <x:v>artifacts/attempt_01/deterministic_validation.json</x:v>
      </x:c>
      <x:c r="F10" s="47" t="str">
        <x:v>0c58707bd113d7ce5cfdb2938687c4d255e954a07d3e4d69b22a9baf69bf1ac5</x:v>
      </x:c>
      <x:c r="G10" s="59" t="n">
        <x:v>1232</x:v>
      </x:c>
    </x:row>
    <x:row r="11">
      <x:c r="A11" s="47" t="str">
        <x:v>RUN-I2-014-20260830T131551385651Z</x:v>
      </x:c>
      <x:c r="B11" s="47" t="str">
        <x:v>I2-014</x:v>
      </x:c>
      <x:c r="C11" s="59" t="n">
        <x:v>1</x:v>
      </x:c>
      <x:c r="D11" s="47" t="str">
        <x:v>validator_prompt</x:v>
      </x:c>
      <x:c r="E11" s="48" t="str">
        <x:v>artifacts/attempt_01/validator_prompt_01.txt</x:v>
      </x:c>
      <x:c r="F11" s="47" t="str">
        <x:v>28a2fddc900efd103b536666cdf776db538b9878a694807bc1518a48b7e48c4a</x:v>
      </x:c>
      <x:c r="G11" s="59" t="n">
        <x:v>54404</x:v>
      </x:c>
    </x:row>
    <x:row r="12">
      <x:c r="A12" s="47" t="str">
        <x:v>RUN-I2-014-20260830T131551385651Z</x:v>
      </x:c>
      <x:c r="B12" s="47" t="str">
        <x:v>I2-014</x:v>
      </x:c>
      <x:c r="C12" s="59" t="n">
        <x:v>1</x:v>
      </x:c>
      <x:c r="D12" s="47" t="str">
        <x:v>validator_raw_response</x:v>
      </x:c>
      <x:c r="E12" s="48" t="str">
        <x:v>artifacts/attempt_01/validator_raw_01.txt</x:v>
      </x:c>
      <x:c r="F12" s="47" t="str">
        <x:v>6f36f2a55cda5937c300533a6a76a69957690c83f434cc305b067c9a5aeb37b8</x:v>
      </x:c>
      <x:c r="G12" s="59" t="n">
        <x:v>676</x:v>
      </x:c>
    </x:row>
    <x:row r="13">
      <x:c r="A13" s="47" t="str">
        <x:v>RUN-I2-014-20260830T131551385651Z</x:v>
      </x:c>
      <x:c r="B13" s="47" t="str">
        <x:v>I2-014</x:v>
      </x:c>
      <x:c r="C13" s="59" t="n">
        <x:v>2</x:v>
      </x:c>
      <x:c r="D13" s="47" t="str">
        <x:v>generator_prompt</x:v>
      </x:c>
      <x:c r="E13" s="48" t="str">
        <x:v>artifacts/attempt_02/generator_prompt.txt</x:v>
      </x:c>
      <x:c r="F13" s="47" t="str">
        <x:v>acef1fba94d7b33b550f746472ee85dcb4e3b7fda17c6372b396794b1a6c0d8b</x:v>
      </x:c>
      <x:c r="G13" s="59" t="n">
        <x:v>50954</x:v>
      </x:c>
    </x:row>
    <x:row r="14">
      <x:c r="A14" s="47" t="str">
        <x:v>RUN-I2-014-20260830T131551385651Z</x:v>
      </x:c>
      <x:c r="B14" s="47" t="str">
        <x:v>I2-014</x:v>
      </x:c>
      <x:c r="C14" s="59" t="n">
        <x:v>2</x:v>
      </x:c>
      <x:c r="D14" s="47" t="str">
        <x:v>generator_raw_response</x:v>
      </x:c>
      <x:c r="E14" s="48" t="str">
        <x:v>artifacts/attempt_02/generator_raw.txt</x:v>
      </x:c>
      <x:c r="F14" s="47" t="str">
        <x:v>a446414c461c595c8bd8a06a0802d4b2654028a5d391365d658ba06182cee3bf</x:v>
      </x:c>
      <x:c r="G14" s="59" t="n">
        <x:v>16281</x:v>
      </x:c>
    </x:row>
    <x:row r="15">
      <x:c r="A15" s="47" t="str">
        <x:v>RUN-I2-014-20260830T131551385651Z</x:v>
      </x:c>
      <x:c r="B15" s="47" t="str">
        <x:v>I2-014</x:v>
      </x:c>
      <x:c r="C15" s="59" t="n">
        <x:v>2</x:v>
      </x:c>
      <x:c r="D15" s="47" t="str">
        <x:v>candidate_shape</x:v>
      </x:c>
      <x:c r="E15" s="48" t="str">
        <x:v>artifacts/attempt_02/candidate_shape.ttl</x:v>
      </x:c>
      <x:c r="F15" s="47" t="str">
        <x:v>9121821c9b8b96976ac5fab13421b7cdf2a4ea7fd5f06dc617d294529c5cbb55</x:v>
      </x:c>
      <x:c r="G15" s="59" t="n">
        <x:v>16256</x:v>
      </x:c>
    </x:row>
    <x:row r="16">
      <x:c r="A16" s="47" t="str">
        <x:v>RUN-I2-014-20260830T131551385651Z</x:v>
      </x:c>
      <x:c r="B16" s="47" t="str">
        <x:v>I2-014</x:v>
      </x:c>
      <x:c r="C16" s="59" t="n">
        <x:v>2</x:v>
      </x:c>
      <x:c r="D16" s="47" t="str">
        <x:v>deterministic_validation</x:v>
      </x:c>
      <x:c r="E16" s="48" t="str">
        <x:v>artifacts/attempt_02/deterministic_validation.json</x:v>
      </x:c>
      <x:c r="F16" s="47" t="str">
        <x:v>df49ff3e3dc12fb2781ce1636029f7a2e592c457d42c30e5242b6cc6265d890b</x:v>
      </x:c>
      <x:c r="G16" s="59" t="n">
        <x:v>1224</x:v>
      </x:c>
    </x:row>
    <x:row r="17">
      <x:c r="A17" s="47" t="str">
        <x:v>RUN-I2-014-20260830T131551385651Z</x:v>
      </x:c>
      <x:c r="B17" s="47" t="str">
        <x:v>I2-014</x:v>
      </x:c>
      <x:c r="C17" s="59" t="n">
        <x:v>2</x:v>
      </x:c>
      <x:c r="D17" s="47" t="str">
        <x:v>validator_prompt</x:v>
      </x:c>
      <x:c r="E17" s="48" t="str">
        <x:v>artifacts/attempt_02/validator_prompt_01.txt</x:v>
      </x:c>
      <x:c r="F17" s="47" t="str">
        <x:v>6752366d2fcf3788ab60eecdb6b02a5e458201b889a7e57265a5d93e659b0c0e</x:v>
      </x:c>
      <x:c r="G17" s="59" t="n">
        <x:v>63818</x:v>
      </x:c>
    </x:row>
    <x:row r="18">
      <x:c r="A18" s="47" t="str">
        <x:v>RUN-I2-014-20260830T131551385651Z</x:v>
      </x:c>
      <x:c r="B18" s="47" t="str">
        <x:v>I2-014</x:v>
      </x:c>
      <x:c r="C18" s="59" t="n">
        <x:v>2</x:v>
      </x:c>
      <x:c r="D18" s="47" t="str">
        <x:v>validator_raw_response</x:v>
      </x:c>
      <x:c r="E18" s="48" t="str">
        <x:v>artifacts/attempt_02/validator_raw_01.txt</x:v>
      </x:c>
      <x:c r="F18" s="47" t="str">
        <x:v>4d51a1599ea4c6aad226a37cdfa07bdec3615b44a907de283f8ff1c92a2e4c12</x:v>
      </x:c>
      <x:c r="G18" s="59" t="n">
        <x:v>659</x:v>
      </x:c>
    </x:row>
    <x:row r="19">
      <x:c r="A19" s="47" t="str">
        <x:v>RUN-I2-014-20260830T131551385651Z</x:v>
      </x:c>
      <x:c r="B19" s="47" t="str">
        <x:v>I2-014</x:v>
      </x:c>
      <x:c r="C19" s="59" t="n">
        <x:v>3</x:v>
      </x:c>
      <x:c r="D19" s="47" t="str">
        <x:v>generator_prompt</x:v>
      </x:c>
      <x:c r="E19" s="48" t="str">
        <x:v>artifacts/attempt_03/generator_prompt.txt</x:v>
      </x:c>
      <x:c r="F19" s="47" t="str">
        <x:v>08e9821188a019845d2f8e951617dae38517f37cc9fe9d1bdf25a9a91fcc5c5d</x:v>
      </x:c>
      <x:c r="G19" s="59" t="n">
        <x:v>51556</x:v>
      </x:c>
    </x:row>
    <x:row r="20">
      <x:c r="A20" s="47" t="str">
        <x:v>RUN-I2-014-20260830T131551385651Z</x:v>
      </x:c>
      <x:c r="B20" s="47" t="str">
        <x:v>I2-014</x:v>
      </x:c>
      <x:c r="C20" s="59" t="n">
        <x:v>3</x:v>
      </x:c>
      <x:c r="D20" s="47" t="str">
        <x:v>generator_raw_response</x:v>
      </x:c>
      <x:c r="E20" s="48" t="str">
        <x:v>artifacts/attempt_03/generator_raw.txt</x:v>
      </x:c>
      <x:c r="F20" s="47" t="str">
        <x:v>5da03b4bccc918c36ffbedfef5681a9bf596c3cafa8360583eaca8314f49e744</x:v>
      </x:c>
      <x:c r="G20" s="59" t="n">
        <x:v>13163</x:v>
      </x:c>
    </x:row>
    <x:row r="21">
      <x:c r="A21" s="47" t="str">
        <x:v>RUN-I2-014-20260830T131551385651Z</x:v>
      </x:c>
      <x:c r="B21" s="47" t="str">
        <x:v>I2-014</x:v>
      </x:c>
      <x:c r="C21" s="59" t="n">
        <x:v>3</x:v>
      </x:c>
      <x:c r="D21" s="47" t="str">
        <x:v>candidate_shape</x:v>
      </x:c>
      <x:c r="E21" s="48" t="str">
        <x:v>artifacts/attempt_03/candidate_shape.ttl</x:v>
      </x:c>
      <x:c r="F21" s="47" t="str">
        <x:v>1099a97e64229ca2b0f2045f575c7d834ff6ad950e8118c8e5c7640e88241a5a</x:v>
      </x:c>
      <x:c r="G21" s="59" t="n">
        <x:v>13138</x:v>
      </x:c>
    </x:row>
    <x:row r="22">
      <x:c r="A22" s="47" t="str">
        <x:v>RUN-I2-014-20260830T131551385651Z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RUN-I2-014-20260830T131551385651Z</x:v>
      </x:c>
      <x:c r="B23" s="47" t="str">
        <x:v>I2-014</x:v>
      </x:c>
      <x:c r="C23" s="59" t="n">
        <x:v>3</x:v>
      </x:c>
      <x:c r="D23" s="47" t="str">
        <x:v>validator_prompt</x:v>
      </x:c>
      <x:c r="E23" s="48" t="str">
        <x:v>artifacts/attempt_03/validator_prompt_01.txt</x:v>
      </x:c>
      <x:c r="F23" s="47" t="str">
        <x:v>c6d3f5fa9453a0883ef1bea79b4e284f04bdbf237473fe88e51be953fed72555</x:v>
      </x:c>
      <x:c r="G23" s="59" t="n">
        <x:v>61570</x:v>
      </x:c>
    </x:row>
    <x:row r="24">
      <x:c r="A24" s="47" t="str">
        <x:v>RUN-I2-014-20260830T131551385651Z</x:v>
      </x:c>
      <x:c r="B24" s="47" t="str">
        <x:v>I2-014</x:v>
      </x:c>
      <x:c r="C24" s="59" t="n">
        <x:v>3</x:v>
      </x:c>
      <x:c r="D24" s="47" t="str">
        <x:v>validator_raw_response</x:v>
      </x:c>
      <x:c r="E24" s="48" t="str">
        <x:v>artifacts/attempt_03/validator_raw_01.txt</x:v>
      </x:c>
      <x:c r="F24" s="47" t="str">
        <x:v>c6dbf7d48a3ae69cd4981d8bf34aaa221ef905a2ddc84c69c855b028b5d70c80</x:v>
      </x:c>
      <x:c r="G24" s="59" t="n">
        <x:v>921</x:v>
      </x:c>
    </x:row>
    <x:row r="25">
      <x:c r="A25" s="47" t="str">
        <x:v>RUN-I2-014-20260830T131551385651Z</x:v>
      </x:c>
      <x:c r="B25" s="47" t="str">
        <x:v>I2-014</x:v>
      </x:c>
      <x:c r="C25" s="59" t="n">
        <x:v>4</x:v>
      </x:c>
      <x:c r="D25" s="47" t="str">
        <x:v>generator_prompt</x:v>
      </x:c>
      <x:c r="E25" s="48" t="str">
        <x:v>artifacts/attempt_04/generator_prompt.txt</x:v>
      </x:c>
      <x:c r="F25" s="47" t="str">
        <x:v>8c4d0bc8ec93bbcba0bd6373bd664286465dadf153b19ef5d362ac98e103249b</x:v>
      </x:c>
      <x:c r="G25" s="59" t="n">
        <x:v>52420</x:v>
      </x:c>
    </x:row>
    <x:row r="26">
      <x:c r="A26" s="47" t="str">
        <x:v>RUN-I2-014-20260830T131551385651Z</x:v>
      </x:c>
      <x:c r="B26" s="47" t="str">
        <x:v>I2-014</x:v>
      </x:c>
      <x:c r="C26" s="59" t="n">
        <x:v>4</x:v>
      </x:c>
      <x:c r="D26" s="47" t="str">
        <x:v>generator_raw_response</x:v>
      </x:c>
      <x:c r="E26" s="48" t="str">
        <x:v>artifacts/attempt_04/generator_raw.txt</x:v>
      </x:c>
      <x:c r="F26" s="47" t="str">
        <x:v>03f77b68b531d5cd45a8601dfac6828def3a9cdf42b6fcd83ff584c5e2839990</x:v>
      </x:c>
      <x:c r="G26" s="59" t="n">
        <x:v>14578</x:v>
      </x:c>
    </x:row>
    <x:row r="27">
      <x:c r="A27" s="47" t="str">
        <x:v>RUN-I2-014-20260830T131551385651Z</x:v>
      </x:c>
      <x:c r="B27" s="47" t="str">
        <x:v>I2-014</x:v>
      </x:c>
      <x:c r="C27" s="59" t="n">
        <x:v>4</x:v>
      </x:c>
      <x:c r="D27" s="47" t="str">
        <x:v>candidate_shape</x:v>
      </x:c>
      <x:c r="E27" s="48" t="str">
        <x:v>artifacts/attempt_04/candidate_shape.ttl</x:v>
      </x:c>
      <x:c r="F27" s="47" t="str">
        <x:v>ce811ff36342b2300e91517dfe42c17ff55a170b8783c60f1fb43675065b96cd</x:v>
      </x:c>
      <x:c r="G27" s="59" t="n">
        <x:v>14553</x:v>
      </x:c>
    </x:row>
    <x:row r="28">
      <x:c r="A28" s="47" t="str">
        <x:v>RUN-I2-014-20260830T131551385651Z</x:v>
      </x:c>
      <x:c r="B28" s="47" t="str">
        <x:v>I2-014</x:v>
      </x:c>
      <x:c r="C28" s="59" t="n">
        <x:v>4</x:v>
      </x:c>
      <x:c r="D28" s="47" t="str">
        <x:v>deterministic_validation</x:v>
      </x:c>
      <x:c r="E28" s="48" t="str">
        <x:v>artifacts/attempt_04/deterministic_validation.json</x:v>
      </x:c>
      <x:c r="F28" s="47" t="str">
        <x:v>8fc2c1ab6002ee8907b0042de5b09d0f17bf9b65ede7a7c5fbee74b6b5d7f194</x:v>
      </x:c>
      <x:c r="G28" s="59" t="n">
        <x:v>1277</x:v>
      </x:c>
    </x:row>
    <x:row r="29">
      <x:c r="A29" s="47" t="str">
        <x:v>RUN-I2-014-20260830T131551385651Z</x:v>
      </x:c>
      <x:c r="B29" s="47" t="str">
        <x:v>I2-014</x:v>
      </x:c>
      <x:c r="C29" s="59" t="n">
        <x:v>4</x:v>
      </x:c>
      <x:c r="D29" s="47" t="str">
        <x:v>validator_prompt</x:v>
      </x:c>
      <x:c r="E29" s="48" t="str">
        <x:v>artifacts/attempt_04/validator_prompt_01.txt</x:v>
      </x:c>
      <x:c r="F29" s="47" t="str">
        <x:v>96844d09f07c6216132b80829e0a1972baed5984bcb54c1f70297a4193511290</x:v>
      </x:c>
      <x:c r="G29" s="59" t="n">
        <x:v>63829</x:v>
      </x:c>
    </x:row>
    <x:row r="30">
      <x:c r="A30" s="49" t="str">
        <x:v>RUN-I2-014-20260830T131551385651Z</x:v>
      </x:c>
      <x:c r="B30" s="49" t="str">
        <x:v>I2-014</x:v>
      </x:c>
      <x:c r="C30" s="60" t="n">
        <x:v>4</x:v>
      </x:c>
      <x:c r="D30" s="49" t="str">
        <x:v>validator_raw_response</x:v>
      </x:c>
      <x:c r="E30" s="50" t="str">
        <x:v>artifacts/attempt_04/validator_raw_01.txt</x:v>
      </x:c>
      <x:c r="F30" s="49" t="str">
        <x:v>c31d1afb05a5c708ea2439cfce88f85aaa13c4a0f06284eb311fa36f4a2fd830</x:v>
      </x:c>
      <x:c r="G30" s="60" t="n">
        <x:v>728</x:v>
      </x:c>
    </x:row>
  </x:sheetData>
  <x:pageMargins left="0.7" right="0.7" top="0.75" bottom="0.75" header="0.3" footer="0.3"/>
  <x:tableParts count="1">
    <x:tablePart xmlns:r="http://schemas.openxmlformats.org/officeDocument/2006/relationships" r:id="R83eb72057fb442d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RUN-I2-014-20260830T131551385651Z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RUN-I2-014-20260830T131551385651Z</x:v>
      </x:c>
      <x:c r="B5" s="69" t="str">
        <x:v>I2-014</x:v>
      </x:c>
      <x:c r="C5" s="71" t="n">
        <x:v>4</x:v>
      </x:c>
      <x:c r="D5" s="69" t="str">
        <x:v>MAX_ATTEMPTS_REACHED</x:v>
      </x:c>
      <x:c r="E5" s="73" t="str">
        <x:v>Preserve the prior equal-subdivision and true-maximum repairs, but replace the four midpoint FILTER NOT EXISTS blocks: each currently requires every case midpoint to lie within the same one of L/8, 3L/8, 5L/8, or 7L/8, so the required four-way assignment cannot pass. Use one bounded DIRECT_CALCULATION check that explicitly assigns four distinct case nodes collectively to those four expected midpoints, with inclusive tolerance scaled from each expected midpoint. Retain the maximum checks with selected &gt;= every reported F/Q/P value and inclusive tolerance around the derived maximum result, and keep all four per-case AR, F, Q, P values and evidence mandatory.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c7661337eb9493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RUN-I2-014-20260830T131551385651Z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