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1907a0b384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48e1aec9d7497a"/>
    <x:sheet xmlns:r="http://schemas.openxmlformats.org/officeDocument/2006/relationships" name="README" sheetId="2" r:id="Rf937e623c8e34d09"/>
    <x:sheet xmlns:r="http://schemas.openxmlformats.org/officeDocument/2006/relationships" name="REGULATION_QUEUE" sheetId="3" r:id="Rdd5d733301894a18"/>
    <x:sheet xmlns:r="http://schemas.openxmlformats.org/officeDocument/2006/relationships" name="RUNS" sheetId="4" r:id="Rda80bc2edc1a4240"/>
    <x:sheet xmlns:r="http://schemas.openxmlformats.org/officeDocument/2006/relationships" name="ITERATIONS" sheetId="5" r:id="R5d577ab9fefa4108"/>
    <x:sheet xmlns:r="http://schemas.openxmlformats.org/officeDocument/2006/relationships" name="API_CALLS" sheetId="6" r:id="R55076f8ded634adf"/>
    <x:sheet xmlns:r="http://schemas.openxmlformats.org/officeDocument/2006/relationships" name="TERM_RETRIEVAL" sheetId="7" r:id="R9354bfd506ed44da"/>
    <x:sheet xmlns:r="http://schemas.openxmlformats.org/officeDocument/2006/relationships" name="FEW_SHOT_SELECTION" sheetId="8" r:id="Rfd081d7057f74cce"/>
    <x:sheet xmlns:r="http://schemas.openxmlformats.org/officeDocument/2006/relationships" name="VALIDATION" sheetId="9" r:id="R805842f4303e43e2"/>
    <x:sheet xmlns:r="http://schemas.openxmlformats.org/officeDocument/2006/relationships" name="VOCAB_MATCHES" sheetId="10" r:id="Rd3a4a497360641e1"/>
    <x:sheet xmlns:r="http://schemas.openxmlformats.org/officeDocument/2006/relationships" name="ARTIFACTS" sheetId="11" r:id="R1203fea4139a45c7"/>
    <x:sheet xmlns:r="http://schemas.openxmlformats.org/officeDocument/2006/relationships" name="UNRESOLVED" sheetId="12" r:id="Rc1fc953aeba84621"/>
    <x:sheet xmlns:r="http://schemas.openxmlformats.org/officeDocument/2006/relationships" name="RDF_TEST_QUEUE" sheetId="13" r:id="R53eb6fc082c44f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12272729fc4609" /><Relationship Type="http://schemas.openxmlformats.org/officeDocument/2006/relationships/theme" Target="/xl/theme/theme1.xml" Id="R9868b2051aaa4f2a" /><Relationship Type="http://schemas.microsoft.com/office/2022/11/relationships/FeaturePropertyBag" Target="/xl/featurePropertyBag/featurePropertyBag.xml" Id="Ra4346c4af687451b" /><Relationship Type="http://schemas.openxmlformats.org/officeDocument/2006/relationships/sharedStrings" Target="/xl/sharedStrings.xml" Id="Rc419474bf8bb4ec3" /><Relationship Type="http://schemas.openxmlformats.org/officeDocument/2006/relationships/worksheet" Target="/xl/worksheets/sheet1.xml" Id="R6d48e1aec9d7497a" /><Relationship Type="http://schemas.openxmlformats.org/officeDocument/2006/relationships/worksheet" Target="/xl/worksheets/sheet2.xml" Id="Rf937e623c8e34d09" /><Relationship Type="http://schemas.openxmlformats.org/officeDocument/2006/relationships/worksheet" Target="/xl/worksheets/sheet3.xml" Id="Rdd5d733301894a18" /><Relationship Type="http://schemas.openxmlformats.org/officeDocument/2006/relationships/worksheet" Target="/xl/worksheets/sheet4.xml" Id="Rda80bc2edc1a4240" /><Relationship Type="http://schemas.openxmlformats.org/officeDocument/2006/relationships/worksheet" Target="/xl/worksheets/sheet5.xml" Id="R5d577ab9fefa4108" /><Relationship Type="http://schemas.openxmlformats.org/officeDocument/2006/relationships/worksheet" Target="/xl/worksheets/sheet6.xml" Id="R55076f8ded634adf" /><Relationship Type="http://schemas.openxmlformats.org/officeDocument/2006/relationships/worksheet" Target="/xl/worksheets/sheet7.xml" Id="R9354bfd506ed44da" /><Relationship Type="http://schemas.openxmlformats.org/officeDocument/2006/relationships/worksheet" Target="/xl/worksheets/sheet8.xml" Id="Rfd081d7057f74cce" /><Relationship Type="http://schemas.openxmlformats.org/officeDocument/2006/relationships/worksheet" Target="/xl/worksheets/sheet9.xml" Id="R805842f4303e43e2" /><Relationship Type="http://schemas.openxmlformats.org/officeDocument/2006/relationships/worksheet" Target="/xl/worksheets/sheet10.xml" Id="Rd3a4a497360641e1" /><Relationship Type="http://schemas.openxmlformats.org/officeDocument/2006/relationships/worksheet" Target="/xl/worksheets/sheet11.xml" Id="R1203fea4139a45c7" /><Relationship Type="http://schemas.openxmlformats.org/officeDocument/2006/relationships/worksheet" Target="/xl/worksheets/sheet12.xml" Id="Rc1fc953aeba84621" /><Relationship Type="http://schemas.openxmlformats.org/officeDocument/2006/relationships/worksheet" Target="/xl/worksheets/sheet13.xml" Id="R53eb6fc082c44f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704abe515f4b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8a7a07f8804e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c757a01da54c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e27f99c8aa45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94f86623b949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52134945d5f403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49daced1fd41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e2a0f24df60463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840b2009e404c8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55f6cadb7c0413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RUN-I2-024-20260830T133201067955Z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17977.3465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RUN-I2-024-20260830T133201067955Z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704abe515f4b0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RUN-I2-024-20260830T133201067955Z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GENERATION_ACCEPTED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8a7a07f8804ea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RUN-I2-024-20260830T133201067955Z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RUN-I2-024-20260830T133201067955Z</x:v>
      </x:c>
      <x:c r="C5" s="69" t="str">
        <x:v>I2-024</x:v>
      </x:c>
      <x:c r="D5" s="70" t="n">
        <x:v>46264.56390126157</x:v>
      </x:c>
      <x:c r="E5" s="70" t="n">
        <x:v>46264.56515674768</x:v>
      </x:c>
      <x:c r="F5" s="69" t="str">
        <x:v>final-luna-main-run08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implements the COMPLETE COMPLEX_READINESS contract: it preserves ship-to-oblique-case applicability, the strict 20–70 degree framing-angle boundary, both interpolation endpoints with coordinates and results, the interpolated thickness result, and the required calculation-case relationship and longitudinal/transverse thickness operands with declared units. It does not execute the informational formula or add unsupported evidence, applicability, or formula requirements.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c757a01da54c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RUN-I2-024-20260830T133201067955Z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RUN-I2-024-20260830T133201067955Z</x:v>
      </x:c>
      <x:c r="B5" s="45" t="str">
        <x:v>I2-024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separately required hasCalculationCase branch and its longitudinalFramingNetPlateThickness/transverseFramingNetPlateThickness checks: these operands and relationship are not part of the verified I2.4.2 semantic obligations or the COMPLETE contract modelPaths/relationshipTerms, and the source requirement only requires readiness for the oblique interpolation case. Retain the ship-to-oblique-case path, the 20 deg &lt; framingAngle &lt; 70 deg applicability boundary, both interpolation endpoint relationships, endpoint coordinates/results, and the interpolatedNetPlateThickness result with the declared datatypes and units. Do not add formula execution or a convenience applicability boolean because COMPLEX_READINESS makes the formula informational and the angle bounds determine applicability.</x:v>
      </x:c>
      <x:c r="I5" s="84" t="n">
        <x:v>19930.673</x:v>
      </x:c>
      <x:c r="J5" s="84" t="n">
        <x:v>15302.278</x:v>
      </x:c>
    </x:row>
    <x:row r="6">
      <x:c r="A6" s="47" t="str">
        <x:v>RUN-I2-024-20260830T133201067955Z</x:v>
      </x:c>
      <x:c r="B6" s="47" t="str">
        <x:v>I2-024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COMPLEX_READINESS required input(s) absent from candidate: longitudinalFramingNetPlateThickness, transverseFramingNetPlateThickness
Semantic validator feedback: REVERSAL: The newly supplied COMPLETE dependency contract explicitly declares longitudinalFramingNetPlateThickness and transverseFramingNetPlateThickness as required operandTerms, overriding the earlier stale-diagnostic instruction to omit them. Add the canonical ship-to-calculationCase relationship hasCalculationCase and represent both operands on that declared calculationCase owner with xsd:decimal quantity values and the canonical MilliM unit. Preserve the existing oblique-case path, angle applicability bounds, endpoint relationships, endpoint coordinates/results, interpolatedNetPlateThickness result, and COMPLEX_READINESS boundary; do not add formula execution or a convenience applicability boolean.</x:v>
      </x:c>
      <x:c r="I6" s="86" t="n">
        <x:v>18022.545</x:v>
      </x:c>
      <x:c r="J6" s="86" t="n">
        <x:v>8195.15</x:v>
      </x:c>
    </x:row>
    <x:row r="7">
      <x:c r="A7" s="49" t="str">
        <x:v>RUN-I2-024-20260830T133201067955Z</x:v>
      </x:c>
      <x:c r="B7" s="49" t="str">
        <x:v>I2-024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implements the COMPLETE COMPLEX_READINESS contract: it preserves ship-to-oblique-case applicability, the strict 20–70 degree framing-angle boundary, both interpolation endpoints with coordinates and results, the interpolated thickness result, and the required calculation-case relationship and longitudinal/transverse thickness operands with declared units. It does not execute the informational formula or add unsupported evidence, applicability, or formula requirements.</x:v>
      </x:c>
      <x:c r="I7" s="88" t="n">
        <x:v>33991.715</x:v>
      </x:c>
      <x:c r="J7" s="88" t="n">
        <x:v>12425.376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e27f99c8aa45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RUN-I2-024-20260830T133201067955Z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RUN-I2-024-20260830T133201067955Z</x:v>
      </x:c>
      <x:c r="C5" s="45" t="str">
        <x:v>I2-024</x:v>
      </x:c>
      <x:c r="D5" s="92" t="n">
        <x:v>46264.56413194445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19929.02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RUN-I2-024-20260830T133201067955Z</x:v>
      </x:c>
      <x:c r="C6" s="47" t="str">
        <x:v>I2-024</x:v>
      </x:c>
      <x:c r="D6" s="93" t="n">
        <x:v>46264.56413196759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19930.673</x:v>
      </x:c>
      <x:c r="L6" s="85" t="b">
        <x:v>0</x:v>
      </x:c>
      <x:c r="M6" s="47" t="str">
        <x:v>resp_07c207b5e0b97ac6006a9430d1442c81979eb7e76a7dfd5226</x:v>
      </x:c>
      <x:c r="N6" s="59" t="n">
        <x:v>10556</x:v>
      </x:c>
      <x:c r="O6" s="59" t="n">
        <x:v>2206</x:v>
      </x:c>
      <x:c r="P6" s="59" t="n">
        <x:v>12762</x:v>
      </x:c>
    </x:row>
    <x:row r="7">
      <x:c r="A7" s="47" t="str">
        <x:v>EVT-000034</x:v>
      </x:c>
      <x:c r="B7" s="47" t="str">
        <x:v>RUN-I2-024-20260830T133201067955Z</x:v>
      </x:c>
      <x:c r="C7" s="47" t="str">
        <x:v>I2-024</x:v>
      </x:c>
      <x:c r="D7" s="93" t="n">
        <x:v>46264.56431144676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15301.281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RUN-I2-024-20260830T133201067955Z</x:v>
      </x:c>
      <x:c r="C8" s="47" t="str">
        <x:v>I2-024</x:v>
      </x:c>
      <x:c r="D8" s="93" t="n">
        <x:v>46264.564311458336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15302.278</x:v>
      </x:c>
      <x:c r="L8" s="85" t="b">
        <x:v>0</x:v>
      </x:c>
      <x:c r="M8" s="47" t="str">
        <x:v>resp_0aa71be90bdd7728006a9430e560448193a9c1a874fcffdcc6</x:v>
      </x:c>
      <x:c r="N8" s="59" t="n">
        <x:v>10999</x:v>
      </x:c>
      <x:c r="O8" s="59" t="n">
        <x:v>1197</x:v>
      </x:c>
      <x:c r="P8" s="59" t="n">
        <x:v>12196</x:v>
      </x:c>
    </x:row>
    <x:row r="9">
      <x:c r="A9" s="47" t="str">
        <x:v>EVT-000040</x:v>
      </x:c>
      <x:c r="B9" s="47" t="str">
        <x:v>RUN-I2-024-20260830T133201067955Z</x:v>
      </x:c>
      <x:c r="C9" s="47" t="str">
        <x:v>I2-024</x:v>
      </x:c>
      <x:c r="D9" s="93" t="n">
        <x:v>46264.56452005787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18021.049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RUN-I2-024-20260830T133201067955Z</x:v>
      </x:c>
      <x:c r="C10" s="47" t="str">
        <x:v>I2-024</x:v>
      </x:c>
      <x:c r="D10" s="93" t="n">
        <x:v>46264.56452008102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18022.545</x:v>
      </x:c>
      <x:c r="L10" s="85" t="b">
        <x:v>0</x:v>
      </x:c>
      <x:c r="M10" s="47" t="str">
        <x:v>resp_0465b0296ca991a9006a9430f4e7408194ad347511fb72c3f5</x:v>
      </x:c>
      <x:c r="N10" s="59" t="n">
        <x:v>10698</x:v>
      </x:c>
      <x:c r="O10" s="59" t="n">
        <x:v>1975</x:v>
      </x:c>
      <x:c r="P10" s="59" t="n">
        <x:v>12673</x:v>
      </x:c>
    </x:row>
    <x:row r="11">
      <x:c r="A11" s="47" t="str">
        <x:v>EVT-000048</x:v>
      </x:c>
      <x:c r="B11" s="47" t="str">
        <x:v>RUN-I2-024-20260830T133201067955Z</x:v>
      </x:c>
      <x:c r="C11" s="47" t="str">
        <x:v>I2-024</x:v>
      </x:c>
      <x:c r="D11" s="93" t="n">
        <x:v>46264.56461667824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8194.078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EVT-000049</x:v>
      </x:c>
      <x:c r="B12" s="47" t="str">
        <x:v>RUN-I2-024-20260830T133201067955Z</x:v>
      </x:c>
      <x:c r="C12" s="47" t="str">
        <x:v>I2-024</x:v>
      </x:c>
      <x:c r="D12" s="93" t="n">
        <x:v>46264.564616689815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8195.15</x:v>
      </x:c>
      <x:c r="L12" s="85" t="b">
        <x:v>0</x:v>
      </x:c>
      <x:c r="M12" s="47" t="str">
        <x:v>resp_0f70865008225d7c006a943106e7488195970f99c96b39f343</x:v>
      </x:c>
      <x:c r="N12" s="59" t="n">
        <x:v>10210</x:v>
      </x:c>
      <x:c r="O12" s="59" t="n">
        <x:v>616</x:v>
      </x:c>
      <x:c r="P12" s="59" t="n">
        <x:v>10826</x:v>
      </x:c>
    </x:row>
    <x:row r="13">
      <x:c r="A13" s="47" t="str">
        <x:v>EVT-000054</x:v>
      </x:c>
      <x:c r="B13" s="47" t="str">
        <x:v>RUN-I2-024-20260830T133201067955Z</x:v>
      </x:c>
      <x:c r="C13" s="47" t="str">
        <x:v>I2-024</x:v>
      </x:c>
      <x:c r="D13" s="93" t="n">
        <x:v>46264.565010150465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33991.219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RUN-I2-024-20260830T133201067955Z</x:v>
      </x:c>
      <x:c r="C14" s="47" t="str">
        <x:v>I2-024</x:v>
      </x:c>
      <x:c r="D14" s="93" t="n">
        <x:v>46264.565010162034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33991.715</x:v>
      </x:c>
      <x:c r="L14" s="85" t="b">
        <x:v>0</x:v>
      </x:c>
      <x:c r="M14" s="47" t="str">
        <x:v>resp_074b3497597ec4cd006a94310f1e14819089a2b4503a827962</x:v>
      </x:c>
      <x:c r="N14" s="59" t="n">
        <x:v>10862</x:v>
      </x:c>
      <x:c r="O14" s="59" t="n">
        <x:v>2228</x:v>
      </x:c>
      <x:c r="P14" s="59" t="n">
        <x:v>13090</x:v>
      </x:c>
    </x:row>
    <x:row r="15">
      <x:c r="A15" s="47" t="str">
        <x:v>EVT-000062</x:v>
      </x:c>
      <x:c r="B15" s="47" t="str">
        <x:v>RUN-I2-024-20260830T133201067955Z</x:v>
      </x:c>
      <x:c r="C15" s="47" t="str">
        <x:v>I2-024</x:v>
      </x:c>
      <x:c r="D15" s="93" t="n">
        <x:v>46264.565156655095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12423.774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EVT-000063</x:v>
      </x:c>
      <x:c r="B16" s="49" t="str">
        <x:v>RUN-I2-024-20260830T133201067955Z</x:v>
      </x:c>
      <x:c r="C16" s="49" t="str">
        <x:v>I2-024</x:v>
      </x:c>
      <x:c r="D16" s="94" t="n">
        <x:v>46264.56515667824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12425.376</x:v>
      </x:c>
      <x:c r="L16" s="87" t="b">
        <x:v>0</x:v>
      </x:c>
      <x:c r="M16" s="49" t="str">
        <x:v>resp_0a73e076142205ed006a9431315d288194be101359f8d7c34e</x:v>
      </x:c>
      <x:c r="N16" s="60" t="n">
        <x:v>11418</x:v>
      </x:c>
      <x:c r="O16" s="60" t="n">
        <x:v>1027</x:v>
      </x:c>
      <x:c r="P16" s="60" t="n">
        <x:v>12445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94f86623b949b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RUN-I2-024-20260830T133201067955Z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RUN-I2-024-20260830T133201067955Z</x:v>
      </x:c>
      <x:c r="B5" s="45" t="str">
        <x:v>I2-024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framingAngle; domain dependency of interpolatedShellPlateRequirement</x:v>
      </x:c>
      <x:c r="J5" s="45" t="n">
        <x:v>0</x:v>
      </x:c>
    </x:row>
    <x:row r="6">
      <x:c r="A6" s="47" t="str">
        <x:v>RUN-I2-024-20260830T133201067955Z</x:v>
      </x:c>
      <x:c r="B6" s="47" t="str">
        <x:v>I2-024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interpolationLowerEndpoint; domain dependency of interpolationUpperEndpoint; domain dependency of longitudinalFramingNetPlateThickness; domain dependency of transverseFramingNetPlateThickness; range dependency of hasCalculationCase; range dependency of interpolationPoint; range dependency of obliquePlatingInterpolationCase</x:v>
      </x:c>
      <x:c r="J6" s="47" t="n">
        <x:v>0</x:v>
      </x:c>
    </x:row>
    <x:row r="7">
      <x:c r="A7" s="47" t="str">
        <x:v>RUN-I2-024-20260830T133201067955Z</x:v>
      </x:c>
      <x:c r="B7" s="47" t="str">
        <x:v>I2-024</x:v>
      </x:c>
      <x:c r="C7" s="47" t="str">
        <x:v>framingAngle</x:v>
      </x:c>
      <x:c r="D7" s="48" t="str">
        <x:v>https://w3id.org/nltl/vocab#framingAngle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RUN-I2-024-20260830T133201067955Z</x:v>
      </x:c>
      <x:c r="B8" s="47" t="str">
        <x:v>I2-024</x:v>
      </x:c>
      <x:c r="C8" s="47" t="str">
        <x:v>hasCalculationCase</x:v>
      </x:c>
      <x:c r="D8" s="48" t="str">
        <x:v>https://w3id.org/nltl/vocab#hasCalculationCase</x:v>
      </x:c>
      <x:c r="E8" s="47" t="str">
        <x:v>ObjectProperty</x:v>
      </x:c>
      <x:c r="F8" s="47" t="str"/>
      <x:c r="G8" s="47" t="str">
        <x:v>https://w3id.org/nltl/vocab#calculationCase</x:v>
      </x:c>
      <x:c r="H8" s="47" t="str"/>
      <x:c r="I8" s="48" t="str">
        <x:v>canonical path from target owner ship to required owner calculationCase; linked by the locked 313-requirement index</x:v>
      </x:c>
      <x:c r="J8" s="47" t="n">
        <x:v>0</x:v>
      </x:c>
    </x:row>
    <x:row r="9">
      <x:c r="A9" s="47" t="str">
        <x:v>RUN-I2-024-20260830T133201067955Z</x:v>
      </x:c>
      <x:c r="B9" s="47" t="str">
        <x:v>I2-024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RUN-I2-024-20260830T133201067955Z</x:v>
      </x:c>
      <x:c r="B10" s="47" t="str">
        <x:v>I2-024</x:v>
      </x:c>
      <x:c r="C10" s="47" t="str">
        <x:v>hasObliquePlatingInterpolationCase</x:v>
      </x:c>
      <x:c r="D10" s="48" t="str">
        <x:v>https://w3id.org/nltl/vocab#hasObliquePlatingInterpolationCase</x:v>
      </x:c>
      <x:c r="E10" s="47" t="str">
        <x:v>ObjectProperty</x:v>
      </x:c>
      <x:c r="F10" s="47" t="str"/>
      <x:c r="G10" s="47" t="str">
        <x:v>https://w3id.org/nltl/vocab#obliquePlatingInterpolationCase</x:v>
      </x:c>
      <x:c r="H10" s="47" t="str"/>
      <x:c r="I10" s="48" t="str">
        <x:v>canonical path from target owner ship to required owner obliquePlatingInterpolationCase; linked by the locked 313-requirement index</x:v>
      </x:c>
      <x:c r="J10" s="47" t="n">
        <x:v>0</x:v>
      </x:c>
    </x:row>
    <x:row r="11">
      <x:c r="A11" s="47" t="str">
        <x:v>RUN-I2-024-20260830T133201067955Z</x:v>
      </x:c>
      <x:c r="B11" s="47" t="str">
        <x:v>I2-024</x:v>
      </x:c>
      <x:c r="C11" s="47" t="str">
        <x:v>interpolatedNetPlateThickness</x:v>
      </x:c>
      <x:c r="D11" s="48" t="str">
        <x:v>https://w3id.org/nltl/vocab#interpolatedNetPlateThickness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http://qudt.org/vocab/unit/MilliM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RUN-I2-024-20260830T133201067955Z</x:v>
      </x:c>
      <x:c r="B12" s="47" t="str">
        <x:v>I2-024</x:v>
      </x:c>
      <x:c r="C12" s="47" t="str">
        <x:v>interpolatedShellPlateRequirement</x:v>
      </x:c>
      <x:c r="D12" s="48" t="str">
        <x:v>https://w3id.org/nltl/vocab#interpolatedShellPlateRequirement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RUN-I2-024-20260830T133201067955Z</x:v>
      </x:c>
      <x:c r="B13" s="47" t="str">
        <x:v>I2-024</x:v>
      </x:c>
      <x:c r="C13" s="47" t="str">
        <x:v>interpolationLowerEndpoint</x:v>
      </x:c>
      <x:c r="D13" s="48" t="str">
        <x:v>https://w3id.org/nltl/vocab#interpolationLowerEndpoint</x:v>
      </x:c>
      <x:c r="E13" s="47" t="str">
        <x:v>ObjectProperty</x:v>
      </x:c>
      <x:c r="F13" s="47" t="str"/>
      <x:c r="G13" s="47" t="str">
        <x:v>https://w3id.org/nltl/vocab#interpolationPoint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RUN-I2-024-20260830T133201067955Z</x:v>
      </x:c>
      <x:c r="B14" s="47" t="str">
        <x:v>I2-024</x:v>
      </x:c>
      <x:c r="C14" s="47" t="str">
        <x:v>interpolationPoint</x:v>
      </x:c>
      <x:c r="D14" s="48" t="str">
        <x:v>https://w3id.org/nltl/vocab#interpolationPoint</x:v>
      </x:c>
      <x:c r="E14" s="47" t="str">
        <x:v>Class</x:v>
      </x:c>
      <x:c r="F14" s="47" t="str"/>
      <x:c r="G14" s="47" t="str">
        <x:v>https://w3id.org/nltl/vocab#calculationCase</x:v>
      </x:c>
      <x:c r="H14" s="47" t="str"/>
      <x:c r="I14" s="48" t="str">
        <x:v>authoritative required owner class; domain dependency of interpolationPointCoordinate; domain dependency of interpolationPointResult; linked by the locked 313-requirement index; range dependency of interpolationLowerEndpoint; range dependency of interpolationUpperEndpoint</x:v>
      </x:c>
      <x:c r="J14" s="47" t="n">
        <x:v>0</x:v>
      </x:c>
    </x:row>
    <x:row r="15">
      <x:c r="A15" s="47" t="str">
        <x:v>RUN-I2-024-20260830T133201067955Z</x:v>
      </x:c>
      <x:c r="B15" s="47" t="str">
        <x:v>I2-024</x:v>
      </x:c>
      <x:c r="C15" s="47" t="str">
        <x:v>interpolationPointCoordinate</x:v>
      </x:c>
      <x:c r="D15" s="48" t="str">
        <x:v>https://w3id.org/nltl/vocab#interpolationPointCoordinate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RUN-I2-024-20260830T133201067955Z</x:v>
      </x:c>
      <x:c r="B16" s="47" t="str">
        <x:v>I2-024</x:v>
      </x:c>
      <x:c r="C16" s="47" t="str">
        <x:v>interpolationPointResult</x:v>
      </x:c>
      <x:c r="D16" s="48" t="str">
        <x:v>https://w3id.org/nltl/vocab#interpolationPointResult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RUN-I2-024-20260830T133201067955Z</x:v>
      </x:c>
      <x:c r="B17" s="47" t="str">
        <x:v>I2-024</x:v>
      </x:c>
      <x:c r="C17" s="47" t="str">
        <x:v>interpolationUpperEndpoint</x:v>
      </x:c>
      <x:c r="D17" s="48" t="str">
        <x:v>https://w3id.org/nltl/vocab#interpolationUpperEndpoint</x:v>
      </x:c>
      <x:c r="E17" s="47" t="str">
        <x:v>ObjectProperty</x:v>
      </x:c>
      <x:c r="F17" s="47" t="str"/>
      <x:c r="G17" s="47" t="str">
        <x:v>https://w3id.org/nltl/vocab#interpolationPoint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RUN-I2-024-20260830T133201067955Z</x:v>
      </x:c>
      <x:c r="B18" s="47" t="str">
        <x:v>I2-024</x:v>
      </x:c>
      <x:c r="C18" s="47" t="str">
        <x:v>longitudinalFramingNetPlateThickness</x:v>
      </x:c>
      <x:c r="D18" s="48" t="str">
        <x:v>https://w3id.org/nltl/vocab#longitudinalFramingNetPlateThickness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RUN-I2-024-20260830T133201067955Z</x:v>
      </x:c>
      <x:c r="B19" s="47" t="str">
        <x:v>I2-024</x:v>
      </x:c>
      <x:c r="C19" s="47" t="str">
        <x:v>obliquePlatingInterpolationCase</x:v>
      </x:c>
      <x:c r="D19" s="48" t="str">
        <x:v>https://w3id.org/nltl/vocab#obliquePlatingInterpolationCase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interpolatedNetPlateThickness; linked by the locked 313-requirement index; range dependency of hasObliquePlatingInterpolationCase</x:v>
      </x:c>
      <x:c r="J19" s="47" t="n">
        <x:v>0</x:v>
      </x:c>
    </x:row>
    <x:row r="20">
      <x:c r="A20" s="47" t="str">
        <x:v>RUN-I2-024-20260830T133201067955Z</x:v>
      </x:c>
      <x:c r="B20" s="47" t="str">
        <x:v>I2-024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hasCalculationCase; domain dependency of hasObliquePlatingInterpolationCase</x:v>
      </x:c>
      <x:c r="J20" s="47" t="n">
        <x:v>0</x:v>
      </x:c>
    </x:row>
    <x:row r="21">
      <x:c r="A21" s="47" t="str">
        <x:v>RUN-I2-024-20260830T133201067955Z</x:v>
      </x:c>
      <x:c r="B21" s="47" t="str">
        <x:v>I2-024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9" t="str">
        <x:v>RUN-I2-024-20260830T133201067955Z</x:v>
      </x:c>
      <x:c r="B22" s="49" t="str">
        <x:v>I2-024</x:v>
      </x:c>
      <x:c r="C22" s="49" t="str">
        <x:v>transverseFramingNetPlateThickness</x:v>
      </x:c>
      <x:c r="D22" s="50" t="str">
        <x:v>https://w3id.org/nltl/vocab#transverseFramingNetPlateThickness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http://qudt.org/vocab/unit/MilliM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52134945d5f403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RUN-I2-024-20260830T133201067955Z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RUN-I2-024-20260830T133201067955Z</x:v>
      </x:c>
      <x:c r="B5" s="45" t="str">
        <x:v>I2-024</x:v>
      </x:c>
      <x:c r="C5" s="45" t="str">
        <x:v>FS-COMPLEX-READINESS-01</x:v>
      </x:c>
      <x:c r="D5" s="45" t="str">
        <x:v>complex_readiness_external_calculation</x:v>
      </x:c>
      <x:c r="E5" s="97" t="n">
        <x:v>2.222222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RUN-I2-024-20260830T133201067955Z</x:v>
      </x:c>
      <x:c r="B6" s="49" t="str">
        <x:v>I2-024</x:v>
      </x:c>
      <x:c r="C6" s="49" t="str">
        <x:v>FS-COMPLEX-READINESS-02</x:v>
      </x:c>
      <x:c r="D6" s="49" t="str">
        <x:v>complex_readiness_with_direct_residual_check</x:v>
      </x:c>
      <x:c r="E6" s="98" t="n">
        <x:v>2.095238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49daced1fd41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RUN-I2-024-20260830T133201067955Z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RUN-I2-024-20260830T133201067955Z</x:v>
      </x:c>
      <x:c r="B5" s="45" t="str">
        <x:v>I2-024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https://w3id.org/nltl/vocab#calculationCase | https://w3id.org/nltl/vocab#framingAngle | https://w3id.org/nltl/vocab#hasCalculationCase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5" s="46" t="str"/>
      <x:c r="P5" s="46" t="str"/>
      <x:c r="Q5" s="46" t="str"/>
    </x:row>
    <x:row r="6">
      <x:c r="A6" s="47" t="str">
        <x:v>RUN-I2-024-20260830T133201067955Z</x:v>
      </x:c>
      <x:c r="B6" s="47" t="str">
        <x:v>I2-024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>
        <x:v>COMPLEX_READINESS required input(s) absent from candidate: longitudinalFramingNetPlateThickness, transverseFramingNetPlateThickness</x:v>
      </x:c>
      <x:c r="M6" s="48" t="str"/>
      <x:c r="N6" s="48" t="str">
        <x:v>https://w3id.org/nltl/vocab#framingAngle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https://w3id.org/nltl/vocab#obliquePlatingInterpolationCase | https://w3id.org/nltl/vocab#ship</x:v>
      </x:c>
      <x:c r="O6" s="48" t="str"/>
      <x:c r="P6" s="48" t="str"/>
      <x:c r="Q6" s="48" t="str"/>
    </x:row>
    <x:row r="7">
      <x:c r="A7" s="49" t="str">
        <x:v>RUN-I2-024-20260830T133201067955Z</x:v>
      </x:c>
      <x:c r="B7" s="49" t="str">
        <x:v>I2-024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https://w3id.org/nltl/vocab#calculationCase | https://w3id.org/nltl/vocab#framingAngle | https://w3id.org/nltl/vocab#hasCalculationCase | https://w3id.org/nltl/vocab#hasObliquePlatingInterpolationCase | https://w3id.org/nltl/vocab#interpolatedNetPlateThickness | https://w3id.org/nltl/vocab#interpolationLowerEndpoint | https://w3id.org/nltl/vocab#interpolationPoint | https://w3id.org/nltl/vocab#interpolationPointCoordinate | https://w3id.org/nltl/vocab#interpolationPointResult | https://w3id.org/nltl/vocab#interpolationUpperEndpoint | https://w3id.org/nltl/vocab#longitudinalFramingNetPlateThickness | https://w3id.org/nltl/vocab#obliquePlatingInterpolationCase | https://w3id.org/nltl/vocab#ship | https://w3id.org/nltl/vocab#transverseFramingNetPlateThickness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e2a0f24df60463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RUN-I2-024-20260830T133201067955Z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RUN-I2-024-20260830T133201067955Z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RUN-I2-024-20260830T133201067955Z</x:v>
      </x:c>
      <x:c r="B5" s="45" t="str">
        <x:v>I2-024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f53bb6673827fde3dc0f5148933fd7748dccd243bebc3eeebd66907b95de4a5e</x:v>
      </x:c>
      <x:c r="G5" s="58" t="n">
        <x:v>26286</x:v>
      </x:c>
    </x:row>
    <x:row r="6">
      <x:c r="A6" s="47" t="str">
        <x:v>RUN-I2-024-20260830T133201067955Z</x:v>
      </x:c>
      <x:c r="B6" s="47" t="str">
        <x:v>I2-024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5e463a89d839d5efbed8f16c9ff28dbdca783e489344270940052d3c6ff6e435</x:v>
      </x:c>
      <x:c r="G6" s="59" t="n">
        <x:v>6555</x:v>
      </x:c>
    </x:row>
    <x:row r="7">
      <x:c r="A7" s="47" t="str">
        <x:v>RUN-I2-024-20260830T133201067955Z</x:v>
      </x:c>
      <x:c r="B7" s="47" t="str">
        <x:v>I2-024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f88dee93d5becc817d4fb2bcd4b6031e61ef149fa11772d6007433fb8a9bdd13</x:v>
      </x:c>
      <x:c r="G7" s="59" t="n">
        <x:v>44485</x:v>
      </x:c>
    </x:row>
    <x:row r="8">
      <x:c r="A8" s="47" t="str">
        <x:v>RUN-I2-024-20260830T133201067955Z</x:v>
      </x:c>
      <x:c r="B8" s="47" t="str">
        <x:v>I2-024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a167e7e42c51a5f5584a9f5368481435d534226c21abac8989c7d7ce5baf51a6</x:v>
      </x:c>
      <x:c r="G8" s="59" t="n">
        <x:v>5364</x:v>
      </x:c>
    </x:row>
    <x:row r="9">
      <x:c r="A9" s="47" t="str">
        <x:v>RUN-I2-024-20260830T133201067955Z</x:v>
      </x:c>
      <x:c r="B9" s="47" t="str">
        <x:v>I2-024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6d388066df8eb88092bc8ec99a37b638a2c56eda8d5a8d4f80484979dfce98c1</x:v>
      </x:c>
      <x:c r="G9" s="59" t="n">
        <x:v>5339</x:v>
      </x:c>
    </x:row>
    <x:row r="10">
      <x:c r="A10" s="47" t="str">
        <x:v>RUN-I2-024-20260830T133201067955Z</x:v>
      </x:c>
      <x:c r="B10" s="47" t="str">
        <x:v>I2-024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9842818e4c6b85226829458e42210970d6a0a4f055ba85de7a9c8239c5b1b559</x:v>
      </x:c>
      <x:c r="G10" s="59" t="n">
        <x:v>1228</x:v>
      </x:c>
    </x:row>
    <x:row r="11">
      <x:c r="A11" s="47" t="str">
        <x:v>RUN-I2-024-20260830T133201067955Z</x:v>
      </x:c>
      <x:c r="B11" s="47" t="str">
        <x:v>I2-024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ef288d47aee54c2c292bd05ad9624db51c7cce4572c9bdbbb592e36b20710b0e</x:v>
      </x:c>
      <x:c r="G11" s="59" t="n">
        <x:v>44537</x:v>
      </x:c>
    </x:row>
    <x:row r="12">
      <x:c r="A12" s="47" t="str">
        <x:v>RUN-I2-024-20260830T133201067955Z</x:v>
      </x:c>
      <x:c r="B12" s="47" t="str">
        <x:v>I2-024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6cc6397bdb7a190ed4a61256355faf9faff48bdbb81baf2da6daae5a5b8f10e2</x:v>
      </x:c>
      <x:c r="G12" s="59" t="n">
        <x:v>865</x:v>
      </x:c>
    </x:row>
    <x:row r="13">
      <x:c r="A13" s="47" t="str">
        <x:v>RUN-I2-024-20260830T133201067955Z</x:v>
      </x:c>
      <x:c r="B13" s="47" t="str">
        <x:v>I2-024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be71055e6b18df95773b9d23f3a66d6401e4a670e695106cb182b72f2e109a23</x:v>
      </x:c>
      <x:c r="G13" s="59" t="n">
        <x:v>45285</x:v>
      </x:c>
    </x:row>
    <x:row r="14">
      <x:c r="A14" s="47" t="str">
        <x:v>RUN-I2-024-20260830T133201067955Z</x:v>
      </x:c>
      <x:c r="B14" s="47" t="str">
        <x:v>I2-024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7a11b2dc7730bcdf49c85ae401711f27db7ab799a3909c78eff91eccb5f0a612</x:v>
      </x:c>
      <x:c r="G14" s="59" t="n">
        <x:v>3080</x:v>
      </x:c>
    </x:row>
    <x:row r="15">
      <x:c r="A15" s="47" t="str">
        <x:v>RUN-I2-024-20260830T133201067955Z</x:v>
      </x:c>
      <x:c r="B15" s="47" t="str">
        <x:v>I2-024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d2f8b69d0fa9e9e22d29c0a646ec898638bbb7841a13a6974573ebe5b7d6e051</x:v>
      </x:c>
      <x:c r="G15" s="59" t="n">
        <x:v>3055</x:v>
      </x:c>
    </x:row>
    <x:row r="16">
      <x:c r="A16" s="47" t="str">
        <x:v>RUN-I2-024-20260830T133201067955Z</x:v>
      </x:c>
      <x:c r="B16" s="47" t="str">
        <x:v>I2-024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bacaaa0456c166fb5c9407e4a15c15918565ba70a93d7fd8c9a972bf8e2f1357</x:v>
      </x:c>
      <x:c r="G16" s="59" t="n">
        <x:v>1123</x:v>
      </x:c>
    </x:row>
    <x:row r="17">
      <x:c r="A17" s="47" t="str">
        <x:v>RUN-I2-024-20260830T133201067955Z</x:v>
      </x:c>
      <x:c r="B17" s="47" t="str">
        <x:v>I2-024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9a5e7b124f9ea882d8480a5e53a63982d8ac13dd5f87aa263030b072092ba6e3</x:v>
      </x:c>
      <x:c r="G17" s="59" t="n">
        <x:v>41445</x:v>
      </x:c>
    </x:row>
    <x:row r="18">
      <x:c r="A18" s="47" t="str">
        <x:v>RUN-I2-024-20260830T133201067955Z</x:v>
      </x:c>
      <x:c r="B18" s="47" t="str">
        <x:v>I2-024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122e8e3e7db774df20e8c4d76281a37b297ece8a3762a0a2a37ff64b4dd3a5df</x:v>
      </x:c>
      <x:c r="G18" s="59" t="n">
        <x:v>776</x:v>
      </x:c>
    </x:row>
    <x:row r="19">
      <x:c r="A19" s="47" t="str">
        <x:v>RUN-I2-024-20260830T133201067955Z</x:v>
      </x:c>
      <x:c r="B19" s="47" t="str">
        <x:v>I2-024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5a53657a9192c38d3684ba3365bc90d338518f1480997ddf629efad6ae969331</x:v>
      </x:c>
      <x:c r="G19" s="59" t="n">
        <x:v>46217</x:v>
      </x:c>
    </x:row>
    <x:row r="20">
      <x:c r="A20" s="47" t="str">
        <x:v>RUN-I2-024-20260830T133201067955Z</x:v>
      </x:c>
      <x:c r="B20" s="47" t="str">
        <x:v>I2-024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e4722775727bed4d95d7135881e97e22923a138751479ff8596d06d6fac53882</x:v>
      </x:c>
      <x:c r="G20" s="59" t="n">
        <x:v>7327</x:v>
      </x:c>
    </x:row>
    <x:row r="21">
      <x:c r="A21" s="47" t="str">
        <x:v>RUN-I2-024-20260830T133201067955Z</x:v>
      </x:c>
      <x:c r="B21" s="47" t="str">
        <x:v>I2-024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7654fe0624174739b2dfd188528c2ba5b794a012f5d9b3f82304379051bc51d3</x:v>
      </x:c>
      <x:c r="G21" s="59" t="n">
        <x:v>7302</x:v>
      </x:c>
    </x:row>
    <x:row r="22">
      <x:c r="A22" s="47" t="str">
        <x:v>RUN-I2-024-20260830T133201067955Z</x:v>
      </x:c>
      <x:c r="B22" s="47" t="str">
        <x:v>I2-024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9842818e4c6b85226829458e42210970d6a0a4f055ba85de7a9c8239c5b1b559</x:v>
      </x:c>
      <x:c r="G22" s="59" t="n">
        <x:v>1228</x:v>
      </x:c>
    </x:row>
    <x:row r="23">
      <x:c r="A23" s="47" t="str">
        <x:v>RUN-I2-024-20260830T133201067955Z</x:v>
      </x:c>
      <x:c r="B23" s="47" t="str">
        <x:v>I2-024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1ed0da6a0e916b353d1922c9a75b840852531e0c9f0df005b3d46c3297f6f363</x:v>
      </x:c>
      <x:c r="G23" s="59" t="n">
        <x:v>48257</x:v>
      </x:c>
    </x:row>
    <x:row r="24">
      <x:c r="A24" s="47" t="str">
        <x:v>RUN-I2-024-20260830T133201067955Z</x:v>
      </x:c>
      <x:c r="B24" s="47" t="str">
        <x:v>I2-024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391ce1866386676da370f552bd9369a1a2564220b4907e3e4b4ea7168fc2a550</x:v>
      </x:c>
      <x:c r="G24" s="59" t="n">
        <x:v>558</x:v>
      </x:c>
    </x:row>
    <x:row r="25">
      <x:c r="A25" s="49" t="str">
        <x:v>RUN-I2-024-20260830T133201067955Z</x:v>
      </x:c>
      <x:c r="B25" s="49" t="str">
        <x:v>I2-024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7654fe0624174739b2dfd188528c2ba5b794a012f5d9b3f82304379051bc51d3</x:v>
      </x:c>
      <x:c r="G25" s="60" t="n">
        <x:v>7302</x:v>
      </x:c>
    </x:row>
  </x:sheetData>
  <x:pageMargins left="0.7" right="0.7" top="0.75" bottom="0.75" header="0.3" footer="0.3"/>
  <x:tableParts count="1">
    <x:tablePart xmlns:r="http://schemas.openxmlformats.org/officeDocument/2006/relationships" r:id="R9840b2009e404c8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RUN-I2-024-20260830T133201067955Z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RUN-I2-024-20260830T133201067955Z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RUN-I2-024-20260830T133201067955Z</x:v>
      </x:c>
      <x:c r="B5" s="69" t="str">
        <x:v>I2-024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5f6cadb7c04131"/>
  </x:tableParts>
</x:worksheet>
</file>