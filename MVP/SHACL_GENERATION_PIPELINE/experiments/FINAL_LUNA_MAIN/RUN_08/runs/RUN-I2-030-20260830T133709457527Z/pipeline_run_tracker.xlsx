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35d878da879444e" /></Relationships>
</file>

<file path=xl/workbook.xml><?xml version="1.0" encoding="utf-8"?>
<x:workbook xmlns:x="http://schemas.openxmlformats.org/spreadsheetml/2006/main">
  <x:sheets>
    <x:sheet xmlns:r="http://schemas.openxmlformats.org/officeDocument/2006/relationships" name="SUMMARY" sheetId="1" r:id="R45b0417d17ca440a"/>
    <x:sheet xmlns:r="http://schemas.openxmlformats.org/officeDocument/2006/relationships" name="README" sheetId="2" r:id="Rcc6c17c7134e40d3"/>
    <x:sheet xmlns:r="http://schemas.openxmlformats.org/officeDocument/2006/relationships" name="REGULATION_QUEUE" sheetId="3" r:id="Rae406e49d76f4dda"/>
    <x:sheet xmlns:r="http://schemas.openxmlformats.org/officeDocument/2006/relationships" name="RUNS" sheetId="4" r:id="R9d6374ff510141c8"/>
    <x:sheet xmlns:r="http://schemas.openxmlformats.org/officeDocument/2006/relationships" name="ITERATIONS" sheetId="5" r:id="Rbb2f41c588014581"/>
    <x:sheet xmlns:r="http://schemas.openxmlformats.org/officeDocument/2006/relationships" name="API_CALLS" sheetId="6" r:id="Rff6b6c45864f429f"/>
    <x:sheet xmlns:r="http://schemas.openxmlformats.org/officeDocument/2006/relationships" name="TERM_RETRIEVAL" sheetId="7" r:id="R1efa8c846ea444b8"/>
    <x:sheet xmlns:r="http://schemas.openxmlformats.org/officeDocument/2006/relationships" name="FEW_SHOT_SELECTION" sheetId="8" r:id="Ra6a4c2bd91584b7e"/>
    <x:sheet xmlns:r="http://schemas.openxmlformats.org/officeDocument/2006/relationships" name="VALIDATION" sheetId="9" r:id="R8542fdeddf354001"/>
    <x:sheet xmlns:r="http://schemas.openxmlformats.org/officeDocument/2006/relationships" name="VOCAB_MATCHES" sheetId="10" r:id="R1dd7002fb38f445a"/>
    <x:sheet xmlns:r="http://schemas.openxmlformats.org/officeDocument/2006/relationships" name="ARTIFACTS" sheetId="11" r:id="R00575ae27b4f431a"/>
    <x:sheet xmlns:r="http://schemas.openxmlformats.org/officeDocument/2006/relationships" name="UNRESOLVED" sheetId="12" r:id="Rfb7612529a0d4390"/>
    <x:sheet xmlns:r="http://schemas.openxmlformats.org/officeDocument/2006/relationships" name="RDF_TEST_QUEUE" sheetId="13" r:id="R060f7be15f574bd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8f4bf10f46f4f62" /><Relationship Type="http://schemas.openxmlformats.org/officeDocument/2006/relationships/theme" Target="/xl/theme/theme1.xml" Id="R0982e4a4f5064be7" /><Relationship Type="http://schemas.microsoft.com/office/2022/11/relationships/FeaturePropertyBag" Target="/xl/featurePropertyBag/featurePropertyBag.xml" Id="R2faf47699a6f4ea4" /><Relationship Type="http://schemas.openxmlformats.org/officeDocument/2006/relationships/sharedStrings" Target="/xl/sharedStrings.xml" Id="R35166c4c5b894b86" /><Relationship Type="http://schemas.openxmlformats.org/officeDocument/2006/relationships/worksheet" Target="/xl/worksheets/sheet1.xml" Id="R45b0417d17ca440a" /><Relationship Type="http://schemas.openxmlformats.org/officeDocument/2006/relationships/worksheet" Target="/xl/worksheets/sheet2.xml" Id="Rcc6c17c7134e40d3" /><Relationship Type="http://schemas.openxmlformats.org/officeDocument/2006/relationships/worksheet" Target="/xl/worksheets/sheet3.xml" Id="Rae406e49d76f4dda" /><Relationship Type="http://schemas.openxmlformats.org/officeDocument/2006/relationships/worksheet" Target="/xl/worksheets/sheet4.xml" Id="R9d6374ff510141c8" /><Relationship Type="http://schemas.openxmlformats.org/officeDocument/2006/relationships/worksheet" Target="/xl/worksheets/sheet5.xml" Id="Rbb2f41c588014581" /><Relationship Type="http://schemas.openxmlformats.org/officeDocument/2006/relationships/worksheet" Target="/xl/worksheets/sheet6.xml" Id="Rff6b6c45864f429f" /><Relationship Type="http://schemas.openxmlformats.org/officeDocument/2006/relationships/worksheet" Target="/xl/worksheets/sheet7.xml" Id="R1efa8c846ea444b8" /><Relationship Type="http://schemas.openxmlformats.org/officeDocument/2006/relationships/worksheet" Target="/xl/worksheets/sheet8.xml" Id="Ra6a4c2bd91584b7e" /><Relationship Type="http://schemas.openxmlformats.org/officeDocument/2006/relationships/worksheet" Target="/xl/worksheets/sheet9.xml" Id="R8542fdeddf354001" /><Relationship Type="http://schemas.openxmlformats.org/officeDocument/2006/relationships/worksheet" Target="/xl/worksheets/sheet10.xml" Id="R1dd7002fb38f445a" /><Relationship Type="http://schemas.openxmlformats.org/officeDocument/2006/relationships/worksheet" Target="/xl/worksheets/sheet11.xml" Id="R00575ae27b4f431a" /><Relationship Type="http://schemas.openxmlformats.org/officeDocument/2006/relationships/worksheet" Target="/xl/worksheets/sheet12.xml" Id="Rfb7612529a0d4390" /><Relationship Type="http://schemas.openxmlformats.org/officeDocument/2006/relationships/worksheet" Target="/xl/worksheets/sheet13.xml" Id="R060f7be15f574bd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3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4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d578a9817d249f6" /></Relationships>
</file>

<file path=xl/worksheets/_rels/sheet3.xml.rels>&#65279;<?xml version="1.0" encoding="utf-8"?><Relationships xmlns="http://schemas.openxmlformats.org/package/2006/relationships"><Relationship Type="http://schemas.openxmlformats.org/officeDocument/2006/relationships/table" Target="/xl/tables/table2.xml" Id="R693033a89ac64a9c" /></Relationships>
</file>

<file path=xl/worksheets/_rels/sheet4.xml.rels>&#65279;<?xml version="1.0" encoding="utf-8"?><Relationships xmlns="http://schemas.openxmlformats.org/package/2006/relationships"><Relationship Type="http://schemas.openxmlformats.org/officeDocument/2006/relationships/table" Target="/xl/tables/table3.xml" Id="R53ec6a0b2d5844da" /></Relationships>
</file>

<file path=xl/worksheets/_rels/sheet5.xml.rels>&#65279;<?xml version="1.0" encoding="utf-8"?><Relationships xmlns="http://schemas.openxmlformats.org/package/2006/relationships"><Relationship Type="http://schemas.openxmlformats.org/officeDocument/2006/relationships/table" Target="/xl/tables/table4.xml" Id="R2626c9c656994db3" /></Relationships>
</file>

<file path=xl/worksheets/_rels/sheet6.xml.rels>&#65279;<?xml version="1.0" encoding="utf-8"?><Relationships xmlns="http://schemas.openxmlformats.org/package/2006/relationships"><Relationship Type="http://schemas.openxmlformats.org/officeDocument/2006/relationships/table" Target="/xl/tables/table5.xml" Id="R92c579902b804af8" /></Relationships>
</file>

<file path=xl/worksheets/_rels/sheet7.xml.rels>&#65279;<?xml version="1.0" encoding="utf-8"?><Relationships xmlns="http://schemas.openxmlformats.org/package/2006/relationships"><Relationship Type="http://schemas.openxmlformats.org/officeDocument/2006/relationships/table" Target="/xl/tables/table6.xml" Id="Red312db632374100" /></Relationships>
</file>

<file path=xl/worksheets/_rels/sheet8.xml.rels>&#65279;<?xml version="1.0" encoding="utf-8"?><Relationships xmlns="http://schemas.openxmlformats.org/package/2006/relationships"><Relationship Type="http://schemas.openxmlformats.org/officeDocument/2006/relationships/table" Target="/xl/tables/table7.xml" Id="Rd87658bcd2d44f9b" /></Relationships>
</file>

<file path=xl/worksheets/_rels/sheet9.xml.rels>&#65279;<?xml version="1.0" encoding="utf-8"?><Relationships xmlns="http://schemas.openxmlformats.org/package/2006/relationships"><Relationship Type="http://schemas.openxmlformats.org/officeDocument/2006/relationships/table" Target="/xl/tables/table8.xml" Id="R4a34a51f3a7845ce" /></Relationships>
</file>

<file path=xl/worksheets/_rels/sheet10.xml.rels>&#65279;<?xml version="1.0" encoding="utf-8"?><Relationships xmlns="http://schemas.openxmlformats.org/package/2006/relationships"><Relationship Type="http://schemas.openxmlformats.org/officeDocument/2006/relationships/table" Target="/xl/tables/table9.xml" Id="R4f3602674e0345bf" /></Relationships>
</file>

<file path=xl/worksheets/_rels/sheet11.xml.rels>&#65279;<?xml version="1.0" encoding="utf-8"?><Relationships xmlns="http://schemas.openxmlformats.org/package/2006/relationships"><Relationship Type="http://schemas.openxmlformats.org/officeDocument/2006/relationships/table" Target="/xl/tables/table10.xml" Id="R8fa43e66b776443e" /></Relationships>
</file>

<file path=xl/worksheets/_rels/sheet12.xml.rels>&#65279;<?xml version="1.0" encoding="utf-8"?><Relationships xmlns="http://schemas.openxmlformats.org/package/2006/relationships"><Relationship Type="http://schemas.openxmlformats.org/officeDocument/2006/relationships/table" Target="/xl/tables/table11.xml" Id="Rb9cffe4a40f54f2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RUN-I2-030-20260830T133709457527Z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COUNTA('API_CALLS'!$A$5:$A$32)</x:f>
        <x:v>28</x:v>
      </x:c>
      <x:c r="C9" s="21"/>
      <x:c r="D9" s="21"/>
    </x:row>
    <x:row r="10">
      <x:c r="A10" s="27" t="str">
        <x:v>Mean API/LLM elapsed ms</x:v>
      </x:c>
      <x:c r="B10" s="28" t="n">
        <x:f>IFERROR(AVERAGE('API_CALLS'!$K$5:$K$32),0)</x:f>
        <x:v>21752.962392857145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RUN-I2-030-20260830T133709457527Z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d578a9817d249f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RUN-I2-030-20260830T133709457527Z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MAX_ATTEMPTS_REACHED</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93033a89ac64a9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RUN-I2-030-20260830T133709457527Z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RUN-I2-030-20260830T133709457527Z</x:v>
      </x:c>
      <x:c r="C5" s="69" t="str">
        <x:v>I2-030</x:v>
      </x:c>
      <x:c r="D5" s="70" t="n">
        <x:v>46264.56747059028</x:v>
      </x:c>
      <x:c r="E5" s="70" t="n">
        <x:v>46264.57103630787</x:v>
      </x:c>
      <x:c r="F5" s="69" t="str">
        <x:v>final-luna-main-run08</x:v>
      </x:c>
      <x:c r="G5" s="69" t="str">
        <x:v>VOCAB-LOCK-2026-08-22-R13</x:v>
      </x:c>
      <x:c r="H5" s="71" t="n">
        <x:v>4</x:v>
      </x:c>
      <x:c r="I5" s="69" t="str">
        <x:v>MAX_ATTEMPTS_REACHED</x:v>
      </x:c>
      <x:c r="J5" s="72" t="b">
        <x:v>0</x:v>
      </x:c>
      <x:c r="K5" s="69" t="str"/>
      <x:c r="L5" s="73" t="str">
        <x:v>Reject: the conditional SPARQL branches still bind an arbitrary structural member on the ship, so applicability for plasticNeutralAxisHeight and both interpolation endpoints is not paired to the relevant calculation case and its local-frame section case/member. Preserve the prior owner corrections, COMPLEX_READINESS boundary, exact area comparison (100*A_fn &gt; 1000*t_pn*s), and strict oblique interval 20 &lt; framingAngleOmega &lt; 70. Add or locate a canonical cross-owner path that identifies the structural member/local-frame case associated with the current calculation case, then bind every applicability query through that path; do not allow unrelated ship members to satisfy the non-applicability branch.</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3ec6a0b2d5844d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RUN-I2-030-20260830T133709457527Z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RUN-I2-030-20260830T133709457527Z</x:v>
      </x:c>
      <x:c r="B5" s="45" t="str">
        <x:v>I2-030</x:v>
      </x:c>
      <x:c r="C5" s="58" t="n">
        <x:v>1</x:v>
      </x:c>
      <x:c r="D5" s="83" t="b">
        <x:v>1</x:v>
      </x:c>
      <x:c r="E5" s="83" t="b">
        <x:v>0</x:v>
      </x:c>
      <x:c r="F5" s="83" t="b">
        <x:v>0</x:v>
      </x:c>
      <x:c r="G5" s="45" t="str">
        <x:v>REVISE</x:v>
      </x:c>
      <x:c r="H5" s="46" t="str">
        <x:v>Reject: the graph is only presence-oriented and does not faithfully encode the declared applicability and alternatives. Add the conditional branch requiring netLocalFrameFlangeArea to exceed the attached-plate-flange area represented by netAttachedShellPlateThickness and frameSpacing, and represent the oblique-framing alternative only when 20° &lt; framingAngleOmega &lt; 70°; do not make interpolationLowerEndpoint and interpolationUpperEndpoint unconditionally mandatory for every case. Preserve all declared operand/result ownership and relationships, and keep the COMPLEX_READINESS boundary without inventing execution of the source formula.</x:v>
      </x:c>
      <x:c r="I5" s="84" t="n">
        <x:v>23775.761</x:v>
      </x:c>
      <x:c r="J5" s="84" t="n">
        <x:v>13283.768</x:v>
      </x:c>
    </x:row>
    <x:row r="6">
      <x:c r="A6" s="47" t="str">
        <x:v>RUN-I2-030-20260830T133709457527Z</x:v>
      </x:c>
      <x:c r="B6" s="47" t="str">
        <x:v>I2-030</x:v>
      </x:c>
      <x:c r="C6" s="59" t="n">
        <x:v>2</x:v>
      </x:c>
      <x:c r="D6" s="85" t="b">
        <x:v>1</x:v>
      </x:c>
      <x:c r="E6" s="85" t="b">
        <x:v>0</x:v>
      </x:c>
      <x:c r="F6" s="85" t="b">
        <x:v>0</x:v>
      </x:c>
      <x:c r="G6" s="47" t="str">
        <x:v>REVISE</x:v>
      </x:c>
      <x:c r="H6" s="48" t="str">
        <x:v>Preserve the conditional applicability and oblique-framing alternative: require plasticNeutralAxisHeight only when 100*netLocalFrameFlangeArea &gt; 1000*netAttachedShellPlateThickness*frameSpacing, and require both interpolationLowerEndpoint and interpolationUpperEndpoint only when 20 &lt; framingAngleOmega &lt; 70; do not make either alternative unconditional. Correct the owner structure: netEffectivePlasticSectionModulus has requiredOwner structuralMember, so move that constraint from CalculationCaseShape to StructuralMemberShape. sectionCalculationCaseStructuralMember has requiredOwner localFrameSectionCalculationCase, so move it from CalculationCaseShape to LocalFrameSectionCaseShape, where it must link to the structural member. Preserve all declared operands, result terms, relationships, paths, datatypes, units, and the COMPLEX_READINESS boundary without inventing formula execution or evidence.</x:v>
      </x:c>
      <x:c r="I6" s="86" t="n">
        <x:v>42697.513</x:v>
      </x:c>
      <x:c r="J6" s="86" t="n">
        <x:v>13108.776</x:v>
      </x:c>
    </x:row>
    <x:row r="7">
      <x:c r="A7" s="47" t="str">
        <x:v>RUN-I2-030-20260830T133709457527Z</x:v>
      </x:c>
      <x:c r="B7" s="47" t="str">
        <x:v>I2-030</x:v>
      </x:c>
      <x:c r="C7" s="59" t="n">
        <x:v>3</x:v>
      </x:c>
      <x:c r="D7" s="85" t="b">
        <x:v>1</x:v>
      </x:c>
      <x:c r="E7" s="85" t="b">
        <x:v>0</x:v>
      </x:c>
      <x:c r="F7" s="85" t="b">
        <x:v>0</x:v>
      </x:c>
      <x:c r="G7" s="47" t="str">
        <x:v>REVISE</x:v>
      </x:c>
      <x:c r="H7" s="48" t="str">
        <x:v>Preserve the prior owner corrections and COMPLEX_READINESS boundary, but repair the conditional alternatives: each sh:or currently makes the result property unconditionally mandatory because its presence branch passes independently of applicability. For plasticNeutralAxisHeight, encode either the property being present or a non-applicability branch, so absence is allowed when 100*netLocalFrameFlangeArea &lt;= 1000*netAttachedShellPlateThickness*frameSpacing and required otherwise. Apply the same pattern to both interpolationLowerEndpoint and interpolationUpperEndpoint: endpoints must be optional outside 20 &lt; framingAngleOmega &lt; 70, while both are required inside that interval; do not allow missing branch-selection evidence to pass. Bind each applicability test to the relevant paired calculation/local-frame case and structural member rather than any unrelated member on the ship. Keep all declared operands, result terms, relationships, owners, datatypes, units, and the readiness boundary.</x:v>
      </x:c>
      <x:c r="I7" s="86" t="n">
        <x:v>42198.914</x:v>
      </x:c>
      <x:c r="J7" s="86" t="n">
        <x:v>14729.669</x:v>
      </x:c>
    </x:row>
    <x:row r="8">
      <x:c r="A8" s="49" t="str">
        <x:v>RUN-I2-030-20260830T133709457527Z</x:v>
      </x:c>
      <x:c r="B8" s="49" t="str">
        <x:v>I2-030</x:v>
      </x:c>
      <x:c r="C8" s="60" t="n">
        <x:v>4</x:v>
      </x:c>
      <x:c r="D8" s="87" t="b">
        <x:v>1</x:v>
      </x:c>
      <x:c r="E8" s="87" t="b">
        <x:v>0</x:v>
      </x:c>
      <x:c r="F8" s="87" t="b">
        <x:v>1</x:v>
      </x:c>
      <x:c r="G8" s="49" t="str">
        <x:v>REVISE_WITH_MATCH</x:v>
      </x:c>
      <x:c r="H8" s="50" t="str">
        <x:v>Reject: the conditional SPARQL branches still bind an arbitrary structural member on the ship, so applicability for plasticNeutralAxisHeight and both interpolation endpoints is not paired to the relevant calculation case and its local-frame section case/member. Preserve the prior owner corrections, COMPLEX_READINESS boundary, exact area comparison (100*A_fn &gt; 1000*t_pn*s), and strict oblique interval 20 &lt; framingAngleOmega &lt; 70. Add or locate a canonical cross-owner path that identifies the structural member/local-frame case associated with the current calculation case, then bind every applicability query through that path; do not allow unrelated ship members to satisfy the non-applicability branch.</x:v>
      </x:c>
      <x:c r="I8" s="88" t="n">
        <x:v>35556.849</x:v>
      </x:c>
      <x:c r="J8" s="88" t="n">
        <x:v>18813.556</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626c9c656994db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RUN-I2-030-20260830T133709457527Z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EVT-000039</x:v>
      </x:c>
      <x:c r="B5" s="45" t="str">
        <x:v>RUN-I2-030-20260830T133709457527Z</x:v>
      </x:c>
      <x:c r="C5" s="45" t="str">
        <x:v>I2-030</x:v>
      </x:c>
      <x:c r="D5" s="92" t="n">
        <x:v>46264.56774578704</x:v>
      </x:c>
      <x:c r="E5" s="45" t="str">
        <x:v>generator</x:v>
      </x:c>
      <x:c r="F5" s="45" t="str">
        <x:v>gpt-5.6-luna-2026-07-09</x:v>
      </x:c>
      <x:c r="G5" s="45" t="n">
        <x:v>1</x:v>
      </x:c>
      <x:c r="H5" s="45" t="n">
        <x:v>200</x:v>
      </x:c>
      <x:c r="I5" s="45" t="str">
        <x:v>Ocp-Apim-Subscription-Key</x:v>
      </x:c>
      <x:c r="J5" s="84" t="n">
        <x:v>0</x:v>
      </x:c>
      <x:c r="K5" s="84" t="n">
        <x:v>23774.122</x:v>
      </x:c>
      <x:c r="L5" s="83" t="b">
        <x:v>0</x:v>
      </x:c>
      <x:c r="M5" s="45" t="str"/>
      <x:c r="N5" s="58" t="str"/>
      <x:c r="O5" s="58" t="str"/>
      <x:c r="P5" s="58" t="str"/>
    </x:row>
    <x:row r="6">
      <x:c r="A6" s="47" t="str">
        <x:v>EVT-000040</x:v>
      </x:c>
      <x:c r="B6" s="47" t="str">
        <x:v>RUN-I2-030-20260830T133709457527Z</x:v>
      </x:c>
      <x:c r="C6" s="47" t="str">
        <x:v>I2-030</x:v>
      </x:c>
      <x:c r="D6" s="93" t="n">
        <x:v>46264.567745810185</x:v>
      </x:c>
      <x:c r="E6" s="47" t="str">
        <x:v>generator</x:v>
      </x:c>
      <x:c r="F6" s="47" t="str">
        <x:v>gpt-5.6-luna-2026-07-09</x:v>
      </x:c>
      <x:c r="G6" s="47" t="n">
        <x:v>1</x:v>
      </x:c>
      <x:c r="H6" s="47" t="str">
        <x:v>COMPLETED</x:v>
      </x:c>
      <x:c r="I6" s="47" t="str"/>
      <x:c r="J6" s="86" t="n">
        <x:v>0</x:v>
      </x:c>
      <x:c r="K6" s="86" t="n">
        <x:v>23775.761</x:v>
      </x:c>
      <x:c r="L6" s="85" t="b">
        <x:v>0</x:v>
      </x:c>
      <x:c r="M6" s="47" t="str">
        <x:v>resp_06a9caeab17df9e6006a943205b0ec8190bf7a26346d6ef556</x:v>
      </x:c>
      <x:c r="N6" s="59" t="n">
        <x:v>15728</x:v>
      </x:c>
      <x:c r="O6" s="59" t="n">
        <x:v>2808</x:v>
      </x:c>
      <x:c r="P6" s="59" t="n">
        <x:v>18536</x:v>
      </x:c>
    </x:row>
    <x:row r="7">
      <x:c r="A7" s="47" t="str">
        <x:v>EVT-000045</x:v>
      </x:c>
      <x:c r="B7" s="47" t="str">
        <x:v>RUN-I2-030-20260830T133709457527Z</x:v>
      </x:c>
      <x:c r="C7" s="47" t="str">
        <x:v>I2-030</x:v>
      </x:c>
      <x:c r="D7" s="93" t="n">
        <x:v>46264.56787803241</x:v>
      </x:c>
      <x:c r="E7" s="47" t="str">
        <x:v>syntax_repair</x:v>
      </x:c>
      <x:c r="F7" s="47" t="str">
        <x:v>gpt-5.6-luna-2026-07-09</x:v>
      </x:c>
      <x:c r="G7" s="47" t="n">
        <x:v>1</x:v>
      </x:c>
      <x:c r="H7" s="47" t="n">
        <x:v>200</x:v>
      </x:c>
      <x:c r="I7" s="47" t="str">
        <x:v>Ocp-Apim-Subscription-Key</x:v>
      </x:c>
      <x:c r="J7" s="86" t="n">
        <x:v>0</x:v>
      </x:c>
      <x:c r="K7" s="86" t="n">
        <x:v>11418.906</x:v>
      </x:c>
      <x:c r="L7" s="85" t="b">
        <x:v>0</x:v>
      </x:c>
      <x:c r="M7" s="47" t="str"/>
      <x:c r="N7" s="59" t="str"/>
      <x:c r="O7" s="59" t="str"/>
      <x:c r="P7" s="59" t="str"/>
    </x:row>
    <x:row r="8">
      <x:c r="A8" s="47" t="str">
        <x:v>EVT-000046</x:v>
      </x:c>
      <x:c r="B8" s="47" t="str">
        <x:v>RUN-I2-030-20260830T133709457527Z</x:v>
      </x:c>
      <x:c r="C8" s="47" t="str">
        <x:v>I2-030</x:v>
      </x:c>
      <x:c r="D8" s="93" t="n">
        <x:v>46264.567878043985</x:v>
      </x:c>
      <x:c r="E8" s="47" t="str">
        <x:v>syntax_repair</x:v>
      </x:c>
      <x:c r="F8" s="47" t="str">
        <x:v>gpt-5.6-luna-2026-07-09</x:v>
      </x:c>
      <x:c r="G8" s="47" t="n">
        <x:v>1</x:v>
      </x:c>
      <x:c r="H8" s="47" t="str">
        <x:v>COMPLETED</x:v>
      </x:c>
      <x:c r="I8" s="47" t="str"/>
      <x:c r="J8" s="86" t="n">
        <x:v>0</x:v>
      </x:c>
      <x:c r="K8" s="86" t="n">
        <x:v>11420.416</x:v>
      </x:c>
      <x:c r="L8" s="85" t="b">
        <x:v>0</x:v>
      </x:c>
      <x:c r="M8" s="47" t="str">
        <x:v>resp_0917a57715f28f85006a94321d58e081909cc0b717d78619f9</x:v>
      </x:c>
      <x:c r="N8" s="59" t="n">
        <x:v>2204</x:v>
      </x:c>
      <x:c r="O8" s="59" t="n">
        <x:v>1735</x:v>
      </x:c>
      <x:c r="P8" s="59" t="n">
        <x:v>3939</x:v>
      </x:c>
    </x:row>
    <x:row r="9">
      <x:c r="A9" s="47" t="str">
        <x:v>EVT-000054</x:v>
      </x:c>
      <x:c r="B9" s="47" t="str">
        <x:v>RUN-I2-030-20260830T133709457527Z</x:v>
      </x:c>
      <x:c r="C9" s="47" t="str">
        <x:v>I2-030</x:v>
      </x:c>
      <x:c r="D9" s="93" t="n">
        <x:v>46264.56803476852</x:v>
      </x:c>
      <x:c r="E9" s="47" t="str">
        <x:v>validator</x:v>
      </x:c>
      <x:c r="F9" s="47" t="str">
        <x:v>gpt-5.6-luna-2026-07-09</x:v>
      </x:c>
      <x:c r="G9" s="47" t="n">
        <x:v>1</x:v>
      </x:c>
      <x:c r="H9" s="47" t="n">
        <x:v>200</x:v>
      </x:c>
      <x:c r="I9" s="47" t="str">
        <x:v>Ocp-Apim-Subscription-Key</x:v>
      </x:c>
      <x:c r="J9" s="86" t="n">
        <x:v>0</x:v>
      </x:c>
      <x:c r="K9" s="86" t="n">
        <x:v>13282.258</x:v>
      </x:c>
      <x:c r="L9" s="85" t="b">
        <x:v>0</x:v>
      </x:c>
      <x:c r="M9" s="47" t="str"/>
      <x:c r="N9" s="59" t="str"/>
      <x:c r="O9" s="59" t="str"/>
      <x:c r="P9" s="59" t="str"/>
    </x:row>
    <x:row r="10">
      <x:c r="A10" s="47" t="str">
        <x:v>EVT-000055</x:v>
      </x:c>
      <x:c r="B10" s="47" t="str">
        <x:v>RUN-I2-030-20260830T133709457527Z</x:v>
      </x:c>
      <x:c r="C10" s="47" t="str">
        <x:v>I2-030</x:v>
      </x:c>
      <x:c r="D10" s="93" t="n">
        <x:v>46264.568034791664</x:v>
      </x:c>
      <x:c r="E10" s="47" t="str">
        <x:v>validator</x:v>
      </x:c>
      <x:c r="F10" s="47" t="str">
        <x:v>gpt-5.6-luna-2026-07-09</x:v>
      </x:c>
      <x:c r="G10" s="47" t="n">
        <x:v>1</x:v>
      </x:c>
      <x:c r="H10" s="47" t="str">
        <x:v>COMPLETED</x:v>
      </x:c>
      <x:c r="I10" s="47" t="str"/>
      <x:c r="J10" s="86" t="n">
        <x:v>0</x:v>
      </x:c>
      <x:c r="K10" s="86" t="n">
        <x:v>13283.768</x:v>
      </x:c>
      <x:c r="L10" s="85" t="b">
        <x:v>0</x:v>
      </x:c>
      <x:c r="M10" s="47" t="str">
        <x:v>resp_052040d140a04d99006a943229436c8197a82a2b54bdbbe39b</x:v>
      </x:c>
      <x:c r="N10" s="59" t="n">
        <x:v>18002</x:v>
      </x:c>
      <x:c r="O10" s="59" t="n">
        <x:v>1110</x:v>
      </x:c>
      <x:c r="P10" s="59" t="n">
        <x:v>19112</x:v>
      </x:c>
    </x:row>
    <x:row r="11">
      <x:c r="A11" s="47" t="str">
        <x:v>EVT-000060</x:v>
      </x:c>
      <x:c r="B11" s="47" t="str">
        <x:v>RUN-I2-030-20260830T133709457527Z</x:v>
      </x:c>
      <x:c r="C11" s="47" t="str">
        <x:v>I2-030</x:v>
      </x:c>
      <x:c r="D11" s="93" t="n">
        <x:v>46264.56852898148</x:v>
      </x:c>
      <x:c r="E11" s="47" t="str">
        <x:v>generator</x:v>
      </x:c>
      <x:c r="F11" s="47" t="str">
        <x:v>gpt-5.6-luna-2026-07-09</x:v>
      </x:c>
      <x:c r="G11" s="47" t="n">
        <x:v>1</x:v>
      </x:c>
      <x:c r="H11" s="47" t="n">
        <x:v>200</x:v>
      </x:c>
      <x:c r="I11" s="47" t="str">
        <x:v>Ocp-Apim-Subscription-Key</x:v>
      </x:c>
      <x:c r="J11" s="86" t="n">
        <x:v>0</x:v>
      </x:c>
      <x:c r="K11" s="86" t="n">
        <x:v>42695.719</x:v>
      </x:c>
      <x:c r="L11" s="85" t="b">
        <x:v>0</x:v>
      </x:c>
      <x:c r="M11" s="47" t="str"/>
      <x:c r="N11" s="59" t="str"/>
      <x:c r="O11" s="59" t="str"/>
      <x:c r="P11" s="59" t="str"/>
    </x:row>
    <x:row r="12">
      <x:c r="A12" s="47" t="str">
        <x:v>EVT-000061</x:v>
      </x:c>
      <x:c r="B12" s="47" t="str">
        <x:v>RUN-I2-030-20260830T133709457527Z</x:v>
      </x:c>
      <x:c r="C12" s="47" t="str">
        <x:v>I2-030</x:v>
      </x:c>
      <x:c r="D12" s="93" t="n">
        <x:v>46264.56852900463</x:v>
      </x:c>
      <x:c r="E12" s="47" t="str">
        <x:v>generator</x:v>
      </x:c>
      <x:c r="F12" s="47" t="str">
        <x:v>gpt-5.6-luna-2026-07-09</x:v>
      </x:c>
      <x:c r="G12" s="47" t="n">
        <x:v>1</x:v>
      </x:c>
      <x:c r="H12" s="47" t="str">
        <x:v>COMPLETED</x:v>
      </x:c>
      <x:c r="I12" s="47" t="str"/>
      <x:c r="J12" s="86" t="n">
        <x:v>0</x:v>
      </x:c>
      <x:c r="K12" s="86" t="n">
        <x:v>42697.513</x:v>
      </x:c>
      <x:c r="L12" s="85" t="b">
        <x:v>0</x:v>
      </x:c>
      <x:c r="M12" s="47" t="str">
        <x:v>resp_0604040b18c875cb006a943236875881968d63947b52cb0433</x:v>
      </x:c>
      <x:c r="N12" s="59" t="n">
        <x:v>15849</x:v>
      </x:c>
      <x:c r="O12" s="59" t="n">
        <x:v>4901</x:v>
      </x:c>
      <x:c r="P12" s="59" t="n">
        <x:v>20750</x:v>
      </x:c>
    </x:row>
    <x:row r="13">
      <x:c r="A13" s="47" t="str">
        <x:v>EVT-000068</x:v>
      </x:c>
      <x:c r="B13" s="47" t="str">
        <x:v>RUN-I2-030-20260830T133709457527Z</x:v>
      </x:c>
      <x:c r="C13" s="47" t="str">
        <x:v>I2-030</x:v>
      </x:c>
      <x:c r="D13" s="93" t="n">
        <x:v>46264.568685300925</x:v>
      </x:c>
      <x:c r="E13" s="47" t="str">
        <x:v>validator</x:v>
      </x:c>
      <x:c r="F13" s="47" t="str">
        <x:v>gpt-5.6-luna-2026-07-09</x:v>
      </x:c>
      <x:c r="G13" s="47" t="n">
        <x:v>1</x:v>
      </x:c>
      <x:c r="H13" s="47" t="n">
        <x:v>200</x:v>
      </x:c>
      <x:c r="I13" s="47" t="str">
        <x:v>Ocp-Apim-Subscription-Key</x:v>
      </x:c>
      <x:c r="J13" s="86" t="n">
        <x:v>0</x:v>
      </x:c>
      <x:c r="K13" s="86" t="n">
        <x:v>13107.277</x:v>
      </x:c>
      <x:c r="L13" s="85" t="b">
        <x:v>0</x:v>
      </x:c>
      <x:c r="M13" s="47" t="str"/>
      <x:c r="N13" s="59" t="str"/>
      <x:c r="O13" s="59" t="str"/>
      <x:c r="P13" s="59" t="str"/>
    </x:row>
    <x:row r="14">
      <x:c r="A14" s="47" t="str">
        <x:v>EVT-000069</x:v>
      </x:c>
      <x:c r="B14" s="47" t="str">
        <x:v>RUN-I2-030-20260830T133709457527Z</x:v>
      </x:c>
      <x:c r="C14" s="47" t="str">
        <x:v>I2-030</x:v>
      </x:c>
      <x:c r="D14" s="93" t="n">
        <x:v>46264.56868532408</x:v>
      </x:c>
      <x:c r="E14" s="47" t="str">
        <x:v>validator</x:v>
      </x:c>
      <x:c r="F14" s="47" t="str">
        <x:v>gpt-5.6-luna-2026-07-09</x:v>
      </x:c>
      <x:c r="G14" s="47" t="n">
        <x:v>1</x:v>
      </x:c>
      <x:c r="H14" s="47" t="str">
        <x:v>COMPLETED</x:v>
      </x:c>
      <x:c r="I14" s="47" t="str"/>
      <x:c r="J14" s="86" t="n">
        <x:v>0</x:v>
      </x:c>
      <x:c r="K14" s="86" t="n">
        <x:v>13108.776</x:v>
      </x:c>
      <x:c r="L14" s="85" t="b">
        <x:v>0</x:v>
      </x:c>
      <x:c r="M14" s="47" t="str">
        <x:v>resp_07b43fbe42f69291006a943261b9148197ac895ed23b6a1903</x:v>
      </x:c>
      <x:c r="N14" s="59" t="n">
        <x:v>19506</x:v>
      </x:c>
      <x:c r="O14" s="59" t="n">
        <x:v>1225</x:v>
      </x:c>
      <x:c r="P14" s="59" t="n">
        <x:v>20731</x:v>
      </x:c>
    </x:row>
    <x:row r="15">
      <x:c r="A15" s="47" t="str">
        <x:v>EVT-000075</x:v>
      </x:c>
      <x:c r="B15" s="47" t="str">
        <x:v>RUN-I2-030-20260830T133709457527Z</x:v>
      </x:c>
      <x:c r="C15" s="47" t="str">
        <x:v>I2-030</x:v>
      </x:c>
      <x:c r="D15" s="93" t="n">
        <x:v>46264.56917371528</x:v>
      </x:c>
      <x:c r="E15" s="47" t="str">
        <x:v>generator</x:v>
      </x:c>
      <x:c r="F15" s="47" t="str">
        <x:v>gpt-5.6-luna-2026-07-09</x:v>
      </x:c>
      <x:c r="G15" s="47" t="n">
        <x:v>1</x:v>
      </x:c>
      <x:c r="H15" s="47" t="n">
        <x:v>200</x:v>
      </x:c>
      <x:c r="I15" s="47" t="str">
        <x:v>Ocp-Apim-Subscription-Key</x:v>
      </x:c>
      <x:c r="J15" s="86" t="n">
        <x:v>0</x:v>
      </x:c>
      <x:c r="K15" s="86" t="n">
        <x:v>42197.312</x:v>
      </x:c>
      <x:c r="L15" s="85" t="b">
        <x:v>0</x:v>
      </x:c>
      <x:c r="M15" s="47" t="str"/>
      <x:c r="N15" s="59" t="str"/>
      <x:c r="O15" s="59" t="str"/>
      <x:c r="P15" s="59" t="str"/>
    </x:row>
    <x:row r="16">
      <x:c r="A16" s="47" t="str">
        <x:v>EVT-000076</x:v>
      </x:c>
      <x:c r="B16" s="47" t="str">
        <x:v>RUN-I2-030-20260830T133709457527Z</x:v>
      </x:c>
      <x:c r="C16" s="47" t="str">
        <x:v>I2-030</x:v>
      </x:c>
      <x:c r="D16" s="93" t="n">
        <x:v>46264.56917372685</x:v>
      </x:c>
      <x:c r="E16" s="47" t="str">
        <x:v>generator</x:v>
      </x:c>
      <x:c r="F16" s="47" t="str">
        <x:v>gpt-5.6-luna-2026-07-09</x:v>
      </x:c>
      <x:c r="G16" s="47" t="n">
        <x:v>1</x:v>
      </x:c>
      <x:c r="H16" s="47" t="str">
        <x:v>COMPLETED</x:v>
      </x:c>
      <x:c r="I16" s="47" t="str"/>
      <x:c r="J16" s="86" t="n">
        <x:v>0</x:v>
      </x:c>
      <x:c r="K16" s="86" t="n">
        <x:v>42198.914</x:v>
      </x:c>
      <x:c r="L16" s="85" t="b">
        <x:v>0</x:v>
      </x:c>
      <x:c r="M16" s="47" t="str">
        <x:v>resp_06e6898c07948a91006a94326f0e608190b0369ca25011b722</x:v>
      </x:c>
      <x:c r="N16" s="59" t="n">
        <x:v>16022</x:v>
      </x:c>
      <x:c r="O16" s="59" t="n">
        <x:v>4703</x:v>
      </x:c>
      <x:c r="P16" s="59" t="n">
        <x:v>20725</x:v>
      </x:c>
    </x:row>
    <x:row r="17">
      <x:c r="A17" s="47" t="str">
        <x:v>EVT-000081</x:v>
      </x:c>
      <x:c r="B17" s="47" t="str">
        <x:v>RUN-I2-030-20260830T133709457527Z</x:v>
      </x:c>
      <x:c r="C17" s="47" t="str">
        <x:v>I2-030</x:v>
      </x:c>
      <x:c r="D17" s="93" t="n">
        <x:v>46264.56937856482</x:v>
      </x:c>
      <x:c r="E17" s="47" t="str">
        <x:v>syntax_repair</x:v>
      </x:c>
      <x:c r="F17" s="47" t="str">
        <x:v>gpt-5.6-luna-2026-07-09</x:v>
      </x:c>
      <x:c r="G17" s="47" t="n">
        <x:v>1</x:v>
      </x:c>
      <x:c r="H17" s="47" t="n">
        <x:v>200</x:v>
      </x:c>
      <x:c r="I17" s="47" t="str">
        <x:v>Ocp-Apim-Subscription-Key</x:v>
      </x:c>
      <x:c r="J17" s="86" t="n">
        <x:v>0</x:v>
      </x:c>
      <x:c r="K17" s="86" t="n">
        <x:v>17685.98</x:v>
      </x:c>
      <x:c r="L17" s="85" t="b">
        <x:v>0</x:v>
      </x:c>
      <x:c r="M17" s="47" t="str"/>
      <x:c r="N17" s="59" t="str"/>
      <x:c r="O17" s="59" t="str"/>
      <x:c r="P17" s="59" t="str"/>
    </x:row>
    <x:row r="18">
      <x:c r="A18" s="47" t="str">
        <x:v>EVT-000082</x:v>
      </x:c>
      <x:c r="B18" s="47" t="str">
        <x:v>RUN-I2-030-20260830T133709457527Z</x:v>
      </x:c>
      <x:c r="C18" s="47" t="str">
        <x:v>I2-030</x:v>
      </x:c>
      <x:c r="D18" s="93" t="n">
        <x:v>46264.56937857639</x:v>
      </x:c>
      <x:c r="E18" s="47" t="str">
        <x:v>syntax_repair</x:v>
      </x:c>
      <x:c r="F18" s="47" t="str">
        <x:v>gpt-5.6-luna-2026-07-09</x:v>
      </x:c>
      <x:c r="G18" s="47" t="n">
        <x:v>1</x:v>
      </x:c>
      <x:c r="H18" s="47" t="str">
        <x:v>COMPLETED</x:v>
      </x:c>
      <x:c r="I18" s="47" t="str"/>
      <x:c r="J18" s="86" t="n">
        <x:v>0</x:v>
      </x:c>
      <x:c r="K18" s="86" t="n">
        <x:v>17687.347</x:v>
      </x:c>
      <x:c r="L18" s="85" t="b">
        <x:v>0</x:v>
      </x:c>
      <x:c r="M18" s="47" t="str">
        <x:v>resp_0989fac78f17affe006a943298c1e08197a3243d821b049b63</x:v>
      </x:c>
      <x:c r="N18" s="59" t="n">
        <x:v>3942</x:v>
      </x:c>
      <x:c r="O18" s="59" t="n">
        <x:v>3278</x:v>
      </x:c>
      <x:c r="P18" s="59" t="n">
        <x:v>7220</x:v>
      </x:c>
    </x:row>
    <x:row r="19">
      <x:c r="A19" s="47" t="str">
        <x:v>EVT-000088</x:v>
      </x:c>
      <x:c r="B19" s="47" t="str">
        <x:v>RUN-I2-030-20260830T133709457527Z</x:v>
      </x:c>
      <x:c r="C19" s="47" t="str">
        <x:v>I2-030</x:v>
      </x:c>
      <x:c r="D19" s="93" t="n">
        <x:v>46264.569679733795</x:v>
      </x:c>
      <x:c r="E19" s="47" t="str">
        <x:v>syntax_repair</x:v>
      </x:c>
      <x:c r="F19" s="47" t="str">
        <x:v>gpt-5.6-luna-2026-07-09</x:v>
      </x:c>
      <x:c r="G19" s="47" t="n">
        <x:v>1</x:v>
      </x:c>
      <x:c r="H19" s="47" t="n">
        <x:v>200</x:v>
      </x:c>
      <x:c r="I19" s="47" t="str">
        <x:v>Ocp-Apim-Subscription-Key</x:v>
      </x:c>
      <x:c r="J19" s="86" t="n">
        <x:v>0</x:v>
      </x:c>
      <x:c r="K19" s="86" t="n">
        <x:v>25568.239</x:v>
      </x:c>
      <x:c r="L19" s="85" t="b">
        <x:v>0</x:v>
      </x:c>
      <x:c r="M19" s="47" t="str"/>
      <x:c r="N19" s="59" t="str"/>
      <x:c r="O19" s="59" t="str"/>
      <x:c r="P19" s="59" t="str"/>
    </x:row>
    <x:row r="20">
      <x:c r="A20" s="47" t="str">
        <x:v>EVT-000089</x:v>
      </x:c>
      <x:c r="B20" s="47" t="str">
        <x:v>RUN-I2-030-20260830T133709457527Z</x:v>
      </x:c>
      <x:c r="C20" s="47" t="str">
        <x:v>I2-030</x:v>
      </x:c>
      <x:c r="D20" s="93" t="n">
        <x:v>46264.56967974537</x:v>
      </x:c>
      <x:c r="E20" s="47" t="str">
        <x:v>syntax_repair</x:v>
      </x:c>
      <x:c r="F20" s="47" t="str">
        <x:v>gpt-5.6-luna-2026-07-09</x:v>
      </x:c>
      <x:c r="G20" s="47" t="n">
        <x:v>1</x:v>
      </x:c>
      <x:c r="H20" s="47" t="str">
        <x:v>COMPLETED</x:v>
      </x:c>
      <x:c r="I20" s="47" t="str"/>
      <x:c r="J20" s="86" t="n">
        <x:v>0</x:v>
      </x:c>
      <x:c r="K20" s="86" t="n">
        <x:v>25569.147</x:v>
      </x:c>
      <x:c r="L20" s="85" t="b">
        <x:v>0</x:v>
      </x:c>
      <x:c r="M20" s="47" t="str">
        <x:v>resp_0c12c2f9cbe702ef006a9432aaf038819487504d09abb3ec0d</x:v>
      </x:c>
      <x:c r="N20" s="59" t="n">
        <x:v>10310</x:v>
      </x:c>
      <x:c r="O20" s="59" t="n">
        <x:v>3994</x:v>
      </x:c>
      <x:c r="P20" s="59" t="n">
        <x:v>14304</x:v>
      </x:c>
    </x:row>
    <x:row r="21">
      <x:c r="A21" s="47" t="str">
        <x:v>EVT-000097</x:v>
      </x:c>
      <x:c r="B21" s="47" t="str">
        <x:v>RUN-I2-030-20260830T133709457527Z</x:v>
      </x:c>
      <x:c r="C21" s="47" t="str">
        <x:v>I2-030</x:v>
      </x:c>
      <x:c r="D21" s="93" t="n">
        <x:v>46264.569855625</x:v>
      </x:c>
      <x:c r="E21" s="47" t="str">
        <x:v>validator</x:v>
      </x:c>
      <x:c r="F21" s="47" t="str">
        <x:v>gpt-5.6-luna-2026-07-09</x:v>
      </x:c>
      <x:c r="G21" s="47" t="n">
        <x:v>1</x:v>
      </x:c>
      <x:c r="H21" s="47" t="n">
        <x:v>200</x:v>
      </x:c>
      <x:c r="I21" s="47" t="str">
        <x:v>Ocp-Apim-Subscription-Key</x:v>
      </x:c>
      <x:c r="J21" s="86" t="n">
        <x:v>0</x:v>
      </x:c>
      <x:c r="K21" s="86" t="n">
        <x:v>14728.241</x:v>
      </x:c>
      <x:c r="L21" s="85" t="b">
        <x:v>0</x:v>
      </x:c>
      <x:c r="M21" s="47" t="str"/>
      <x:c r="N21" s="59" t="str"/>
      <x:c r="O21" s="59" t="str"/>
      <x:c r="P21" s="59" t="str"/>
    </x:row>
    <x:row r="22">
      <x:c r="A22" s="47" t="str">
        <x:v>EVT-000098</x:v>
      </x:c>
      <x:c r="B22" s="47" t="str">
        <x:v>RUN-I2-030-20260830T133709457527Z</x:v>
      </x:c>
      <x:c r="C22" s="47" t="str">
        <x:v>I2-030</x:v>
      </x:c>
      <x:c r="D22" s="93" t="n">
        <x:v>46264.569855636575</x:v>
      </x:c>
      <x:c r="E22" s="47" t="str">
        <x:v>validator</x:v>
      </x:c>
      <x:c r="F22" s="47" t="str">
        <x:v>gpt-5.6-luna-2026-07-09</x:v>
      </x:c>
      <x:c r="G22" s="47" t="n">
        <x:v>1</x:v>
      </x:c>
      <x:c r="H22" s="47" t="str">
        <x:v>COMPLETED</x:v>
      </x:c>
      <x:c r="I22" s="47" t="str"/>
      <x:c r="J22" s="86" t="n">
        <x:v>0</x:v>
      </x:c>
      <x:c r="K22" s="86" t="n">
        <x:v>14729.669</x:v>
      </x:c>
      <x:c r="L22" s="85" t="b">
        <x:v>0</x:v>
      </x:c>
      <x:c r="M22" s="47" t="str">
        <x:v>resp_0d6741f883f73c5e006a9432c51b30819687d45cbcb208bab7</x:v>
      </x:c>
      <x:c r="N22" s="59" t="n">
        <x:v>20061</x:v>
      </x:c>
      <x:c r="O22" s="59" t="n">
        <x:v>1239</x:v>
      </x:c>
      <x:c r="P22" s="59" t="n">
        <x:v>21300</x:v>
      </x:c>
    </x:row>
    <x:row r="23">
      <x:c r="A23" s="47" t="str">
        <x:v>EVT-000104</x:v>
      </x:c>
      <x:c r="B23" s="47" t="str">
        <x:v>RUN-I2-030-20260830T133709457527Z</x:v>
      </x:c>
      <x:c r="C23" s="47" t="str">
        <x:v>I2-030</x:v>
      </x:c>
      <x:c r="D23" s="93" t="n">
        <x:v>46264.57026721065</x:v>
      </x:c>
      <x:c r="E23" s="47" t="str">
        <x:v>generator</x:v>
      </x:c>
      <x:c r="F23" s="47" t="str">
        <x:v>gpt-5.6-luna-2026-07-09</x:v>
      </x:c>
      <x:c r="G23" s="47" t="n">
        <x:v>1</x:v>
      </x:c>
      <x:c r="H23" s="47" t="n">
        <x:v>200</x:v>
      </x:c>
      <x:c r="I23" s="47" t="str">
        <x:v>Ocp-Apim-Subscription-Key</x:v>
      </x:c>
      <x:c r="J23" s="86" t="n">
        <x:v>0</x:v>
      </x:c>
      <x:c r="K23" s="86" t="n">
        <x:v>35555.311</x:v>
      </x:c>
      <x:c r="L23" s="85" t="b">
        <x:v>0</x:v>
      </x:c>
      <x:c r="M23" s="47" t="str"/>
      <x:c r="N23" s="59" t="str"/>
      <x:c r="O23" s="59" t="str"/>
      <x:c r="P23" s="59" t="str"/>
    </x:row>
    <x:row r="24">
      <x:c r="A24" s="47" t="str">
        <x:v>EVT-000105</x:v>
      </x:c>
      <x:c r="B24" s="47" t="str">
        <x:v>RUN-I2-030-20260830T133709457527Z</x:v>
      </x:c>
      <x:c r="C24" s="47" t="str">
        <x:v>I2-030</x:v>
      </x:c>
      <x:c r="D24" s="93" t="n">
        <x:v>46264.570267233794</x:v>
      </x:c>
      <x:c r="E24" s="47" t="str">
        <x:v>generator</x:v>
      </x:c>
      <x:c r="F24" s="47" t="str">
        <x:v>gpt-5.6-luna-2026-07-09</x:v>
      </x:c>
      <x:c r="G24" s="47" t="n">
        <x:v>1</x:v>
      </x:c>
      <x:c r="H24" s="47" t="str">
        <x:v>COMPLETED</x:v>
      </x:c>
      <x:c r="I24" s="47" t="str"/>
      <x:c r="J24" s="86" t="n">
        <x:v>0</x:v>
      </x:c>
      <x:c r="K24" s="86" t="n">
        <x:v>35556.849</x:v>
      </x:c>
      <x:c r="L24" s="85" t="b">
        <x:v>0</x:v>
      </x:c>
      <x:c r="M24" s="47" t="str">
        <x:v>resp_013157d0276d311b006a9432d3b9ec81979f53dfbc2eceeb45</x:v>
      </x:c>
      <x:c r="N24" s="59" t="n">
        <x:v>16209</x:v>
      </x:c>
      <x:c r="O24" s="59" t="n">
        <x:v>4160</x:v>
      </x:c>
      <x:c r="P24" s="59" t="n">
        <x:v>20369</x:v>
      </x:c>
    </x:row>
    <x:row r="25">
      <x:c r="A25" s="47" t="str">
        <x:v>EVT-000110</x:v>
      </x:c>
      <x:c r="B25" s="47" t="str">
        <x:v>RUN-I2-030-20260830T133709457527Z</x:v>
      </x:c>
      <x:c r="C25" s="47" t="str">
        <x:v>I2-030</x:v>
      </x:c>
      <x:c r="D25" s="93" t="n">
        <x:v>46264.5704124537</x:v>
      </x:c>
      <x:c r="E25" s="47" t="str">
        <x:v>syntax_repair</x:v>
      </x:c>
      <x:c r="F25" s="47" t="str">
        <x:v>gpt-5.6-luna-2026-07-09</x:v>
      </x:c>
      <x:c r="G25" s="47" t="n">
        <x:v>1</x:v>
      </x:c>
      <x:c r="H25" s="47" t="n">
        <x:v>200</x:v>
      </x:c>
      <x:c r="I25" s="47" t="str">
        <x:v>Ocp-Apim-Subscription-Key</x:v>
      </x:c>
      <x:c r="J25" s="86" t="n">
        <x:v>0</x:v>
      </x:c>
      <x:c r="K25" s="86" t="n">
        <x:v>12542.543</x:v>
      </x:c>
      <x:c r="L25" s="85" t="b">
        <x:v>0</x:v>
      </x:c>
      <x:c r="M25" s="47" t="str"/>
      <x:c r="N25" s="59" t="str"/>
      <x:c r="O25" s="59" t="str"/>
      <x:c r="P25" s="59" t="str"/>
    </x:row>
    <x:row r="26">
      <x:c r="A26" s="47" t="str">
        <x:v>EVT-000111</x:v>
      </x:c>
      <x:c r="B26" s="47" t="str">
        <x:v>RUN-I2-030-20260830T133709457527Z</x:v>
      </x:c>
      <x:c r="C26" s="47" t="str">
        <x:v>I2-030</x:v>
      </x:c>
      <x:c r="D26" s="93" t="n">
        <x:v>46264.57041246528</x:v>
      </x:c>
      <x:c r="E26" s="47" t="str">
        <x:v>syntax_repair</x:v>
      </x:c>
      <x:c r="F26" s="47" t="str">
        <x:v>gpt-5.6-luna-2026-07-09</x:v>
      </x:c>
      <x:c r="G26" s="47" t="n">
        <x:v>1</x:v>
      </x:c>
      <x:c r="H26" s="47" t="str">
        <x:v>COMPLETED</x:v>
      </x:c>
      <x:c r="I26" s="47" t="str"/>
      <x:c r="J26" s="86" t="n">
        <x:v>0</x:v>
      </x:c>
      <x:c r="K26" s="86" t="n">
        <x:v>12543.977</x:v>
      </x:c>
      <x:c r="L26" s="85" t="b">
        <x:v>0</x:v>
      </x:c>
      <x:c r="M26" s="47" t="str">
        <x:v>resp_041a0941dbae0c34006a9432f738a08190b5e1ae74ca217654</x:v>
      </x:c>
      <x:c r="N26" s="59" t="n">
        <x:v>3216</x:v>
      </x:c>
      <x:c r="O26" s="59" t="n">
        <x:v>2549</x:v>
      </x:c>
      <x:c r="P26" s="59" t="n">
        <x:v>5765</x:v>
      </x:c>
    </x:row>
    <x:row r="27">
      <x:c r="A27" s="47" t="str">
        <x:v>EVT-000117</x:v>
      </x:c>
      <x:c r="B27" s="47" t="str">
        <x:v>RUN-I2-030-20260830T133709457527Z</x:v>
      </x:c>
      <x:c r="C27" s="47" t="str">
        <x:v>I2-030</x:v>
      </x:c>
      <x:c r="D27" s="93" t="n">
        <x:v>46264.57076405093</x:v>
      </x:c>
      <x:c r="E27" s="47" t="str">
        <x:v>syntax_repair</x:v>
      </x:c>
      <x:c r="F27" s="47" t="str">
        <x:v>gpt-5.6-luna-2026-07-09</x:v>
      </x:c>
      <x:c r="G27" s="47" t="n">
        <x:v>1</x:v>
      </x:c>
      <x:c r="H27" s="47" t="n">
        <x:v>200</x:v>
      </x:c>
      <x:c r="I27" s="47" t="str">
        <x:v>Ocp-Apim-Subscription-Key</x:v>
      </x:c>
      <x:c r="J27" s="86" t="n">
        <x:v>0</x:v>
      </x:c>
      <x:c r="K27" s="86" t="n">
        <x:v>30031.44</x:v>
      </x:c>
      <x:c r="L27" s="85" t="b">
        <x:v>0</x:v>
      </x:c>
      <x:c r="M27" s="47" t="str"/>
      <x:c r="N27" s="59" t="str"/>
      <x:c r="O27" s="59" t="str"/>
      <x:c r="P27" s="59" t="str"/>
    </x:row>
    <x:row r="28">
      <x:c r="A28" s="47" t="str">
        <x:v>EVT-000118</x:v>
      </x:c>
      <x:c r="B28" s="47" t="str">
        <x:v>RUN-I2-030-20260830T133709457527Z</x:v>
      </x:c>
      <x:c r="C28" s="47" t="str">
        <x:v>I2-030</x:v>
      </x:c>
      <x:c r="D28" s="93" t="n">
        <x:v>46264.57076407407</x:v>
      </x:c>
      <x:c r="E28" s="47" t="str">
        <x:v>syntax_repair</x:v>
      </x:c>
      <x:c r="F28" s="47" t="str">
        <x:v>gpt-5.6-luna-2026-07-09</x:v>
      </x:c>
      <x:c r="G28" s="47" t="n">
        <x:v>1</x:v>
      </x:c>
      <x:c r="H28" s="47" t="str">
        <x:v>COMPLETED</x:v>
      </x:c>
      <x:c r="I28" s="47" t="str"/>
      <x:c r="J28" s="86" t="n">
        <x:v>0</x:v>
      </x:c>
      <x:c r="K28" s="86" t="n">
        <x:v>30032.935</x:v>
      </x:c>
      <x:c r="L28" s="85" t="b">
        <x:v>0</x:v>
      </x:c>
      <x:c r="M28" s="47" t="str">
        <x:v>resp_0cdacd9675d371ac006a9433043a4c81978a1cdeb3822352c2</x:v>
      </x:c>
      <x:c r="N28" s="59" t="n">
        <x:v>7823</x:v>
      </x:c>
      <x:c r="O28" s="59" t="n">
        <x:v>3975</x:v>
      </x:c>
      <x:c r="P28" s="59" t="n">
        <x:v>11798</x:v>
      </x:c>
    </x:row>
    <x:row r="29">
      <x:c r="A29" s="47" t="str">
        <x:v>EVT-000126</x:v>
      </x:c>
      <x:c r="B29" s="47" t="str">
        <x:v>RUN-I2-030-20260830T133709457527Z</x:v>
      </x:c>
      <x:c r="C29" s="47" t="str">
        <x:v>I2-030</x:v>
      </x:c>
      <x:c r="D29" s="93" t="n">
        <x:v>46264.57098586806</x:v>
      </x:c>
      <x:c r="E29" s="47" t="str">
        <x:v>validator</x:v>
      </x:c>
      <x:c r="F29" s="47" t="str">
        <x:v>gpt-5.6-luna-2026-07-09</x:v>
      </x:c>
      <x:c r="G29" s="47" t="n">
        <x:v>1</x:v>
      </x:c>
      <x:c r="H29" s="47" t="n">
        <x:v>200</x:v>
      </x:c>
      <x:c r="I29" s="47" t="str">
        <x:v>Ocp-Apim-Subscription-Key</x:v>
      </x:c>
      <x:c r="J29" s="86" t="n">
        <x:v>0</x:v>
      </x:c>
      <x:c r="K29" s="86" t="n">
        <x:v>18812.027</x:v>
      </x:c>
      <x:c r="L29" s="85" t="b">
        <x:v>0</x:v>
      </x:c>
      <x:c r="M29" s="47" t="str"/>
      <x:c r="N29" s="59" t="str"/>
      <x:c r="O29" s="59" t="str"/>
      <x:c r="P29" s="59" t="str"/>
    </x:row>
    <x:row r="30">
      <x:c r="A30" s="47" t="str">
        <x:v>EVT-000127</x:v>
      </x:c>
      <x:c r="B30" s="47" t="str">
        <x:v>RUN-I2-030-20260830T133709457527Z</x:v>
      </x:c>
      <x:c r="C30" s="47" t="str">
        <x:v>I2-030</x:v>
      </x:c>
      <x:c r="D30" s="93" t="n">
        <x:v>46264.57098587963</x:v>
      </x:c>
      <x:c r="E30" s="47" t="str">
        <x:v>validator</x:v>
      </x:c>
      <x:c r="F30" s="47" t="str">
        <x:v>gpt-5.6-luna-2026-07-09</x:v>
      </x:c>
      <x:c r="G30" s="47" t="n">
        <x:v>1</x:v>
      </x:c>
      <x:c r="H30" s="47" t="str">
        <x:v>COMPLETED</x:v>
      </x:c>
      <x:c r="I30" s="47" t="str"/>
      <x:c r="J30" s="86" t="n">
        <x:v>0</x:v>
      </x:c>
      <x:c r="K30" s="86" t="n">
        <x:v>18813.556</x:v>
      </x:c>
      <x:c r="L30" s="85" t="b">
        <x:v>0</x:v>
      </x:c>
      <x:c r="M30" s="47" t="str">
        <x:v>resp_0d8aa195bce5dc60006a943323945881978366924aa9aaa417</x:v>
      </x:c>
      <x:c r="N30" s="59" t="n">
        <x:v>19540</x:v>
      </x:c>
      <x:c r="O30" s="59" t="n">
        <x:v>1708</x:v>
      </x:c>
      <x:c r="P30" s="59" t="n">
        <x:v>21248</x:v>
      </x:c>
    </x:row>
    <x:row r="31">
      <x:c r="A31" s="47" t="str">
        <x:v>EVT-000134</x:v>
      </x:c>
      <x:c r="B31" s="47" t="str">
        <x:v>RUN-I2-030-20260830T133709457527Z</x:v>
      </x:c>
      <x:c r="C31" s="47" t="str">
        <x:v>I2-030</x:v>
      </x:c>
      <x:c r="D31" s="93" t="n">
        <x:v>46264.57103625</x:v>
      </x:c>
      <x:c r="E31" s="47" t="str">
        <x:v>vocabulary_matcher</x:v>
      </x:c>
      <x:c r="F31" s="47" t="str">
        <x:v>gpt-5.6-luna-2026-07-09</x:v>
      </x:c>
      <x:c r="G31" s="47" t="n">
        <x:v>1</x:v>
      </x:c>
      <x:c r="H31" s="47" t="n">
        <x:v>200</x:v>
      </x:c>
      <x:c r="I31" s="47" t="str">
        <x:v>Ocp-Apim-Subscription-Key</x:v>
      </x:c>
      <x:c r="J31" s="86" t="n">
        <x:v>0</x:v>
      </x:c>
      <x:c r="K31" s="86" t="n">
        <x:v>3131.758</x:v>
      </x:c>
      <x:c r="L31" s="85" t="b">
        <x:v>0</x:v>
      </x:c>
      <x:c r="M31" s="47" t="str"/>
      <x:c r="N31" s="59" t="str"/>
      <x:c r="O31" s="59" t="str"/>
      <x:c r="P31" s="59" t="str"/>
    </x:row>
    <x:row r="32">
      <x:c r="A32" s="49" t="str">
        <x:v>EVT-000135</x:v>
      </x:c>
      <x:c r="B32" s="49" t="str">
        <x:v>RUN-I2-030-20260830T133709457527Z</x:v>
      </x:c>
      <x:c r="C32" s="49" t="str">
        <x:v>I2-030</x:v>
      </x:c>
      <x:c r="D32" s="94" t="n">
        <x:v>46264.57103627315</x:v>
      </x:c>
      <x:c r="E32" s="49" t="str">
        <x:v>vocabulary_matcher</x:v>
      </x:c>
      <x:c r="F32" s="49" t="str">
        <x:v>gpt-5.6-luna-2026-07-09</x:v>
      </x:c>
      <x:c r="G32" s="49" t="n">
        <x:v>1</x:v>
      </x:c>
      <x:c r="H32" s="49" t="str">
        <x:v>COMPLETED</x:v>
      </x:c>
      <x:c r="I32" s="49" t="str"/>
      <x:c r="J32" s="88" t="n">
        <x:v>0</x:v>
      </x:c>
      <x:c r="K32" s="88" t="n">
        <x:v>3133.186</x:v>
      </x:c>
      <x:c r="L32" s="87" t="b">
        <x:v>0</x:v>
      </x:c>
      <x:c r="M32" s="49" t="str">
        <x:v>resp_0ac1ea8fa65aedff006a943336865081939b18243c5553578b</x:v>
      </x:c>
      <x:c r="N32" s="60" t="n">
        <x:v>3978</x:v>
      </x:c>
      <x:c r="O32" s="60" t="n">
        <x:v>298</x:v>
      </x:c>
      <x:c r="P32" s="60" t="n">
        <x:v>4276</x:v>
      </x:c>
    </x:row>
  </x:sheetData>
  <x:conditionalFormatting sqref="H5:H3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2c579902b804af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RUN-I2-030-20260830T133709457527Z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RUN-I2-030-20260830T133709457527Z</x:v>
      </x:c>
      <x:c r="B5" s="45" t="str">
        <x:v>I2-030</x:v>
      </x:c>
      <x:c r="C5" s="45" t="str">
        <x:v>benchmarkEntity</x:v>
      </x:c>
      <x:c r="D5" s="46" t="str">
        <x:v>https://w3id.org/nltl/vocab#benchmarkEntity</x:v>
      </x:c>
      <x:c r="E5" s="45" t="str">
        <x:v>Class</x:v>
      </x:c>
      <x:c r="F5" s="45" t="str"/>
      <x:c r="G5" s="45" t="str"/>
      <x:c r="H5" s="45" t="str"/>
      <x:c r="I5" s="46" t="str">
        <x:v>baseline target infrastructure; domain dependency of sectionModulus</x:v>
      </x:c>
      <x:c r="J5" s="45" t="n">
        <x:v>0</x:v>
      </x:c>
    </x:row>
    <x:row r="6">
      <x:c r="A6" s="47" t="str">
        <x:v>RUN-I2-030-20260830T133709457527Z</x:v>
      </x:c>
      <x:c r="B6" s="47" t="str">
        <x:v>I2-030</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interpolationLowerEndpoint; domain dependency of interpolationUpperEndpoint; domain dependency of plasticNeutralAxisHeight; domain dependency of sectionCalculationCaseStructuralMember; range dependency of hasCalculationCase; range dependency of localFrameSectionCalculationCase</x:v>
      </x:c>
      <x:c r="J6" s="47" t="n">
        <x:v>0</x:v>
      </x:c>
    </x:row>
    <x:row r="7">
      <x:c r="A7" s="47" t="str">
        <x:v>RUN-I2-030-20260830T133709457527Z</x:v>
      </x:c>
      <x:c r="B7" s="47" t="str">
        <x:v>I2-030</x:v>
      </x:c>
      <x:c r="C7" s="47" t="str">
        <x:v>frameSpacing</x:v>
      </x:c>
      <x:c r="D7" s="48" t="str">
        <x:v>https://w3id.org/nltl/vocab#frameSpacing</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RUN-I2-030-20260830T133709457527Z</x:v>
      </x:c>
      <x:c r="B8" s="47" t="str">
        <x:v>I2-030</x:v>
      </x:c>
      <x:c r="C8" s="47" t="str">
        <x:v>framingAngleOmega</x:v>
      </x:c>
      <x:c r="D8" s="48" t="str">
        <x:v>https://w3id.org/nltl/vocab#framingAngleOmega</x:v>
      </x:c>
      <x:c r="E8" s="47" t="str">
        <x:v>QuantityProperty</x:v>
      </x:c>
      <x:c r="F8" s="47" t="str"/>
      <x:c r="G8" s="47" t="str">
        <x:v>http://qudt.org/schema/qudt/QuantityValue</x:v>
      </x:c>
      <x:c r="H8" s="47" t="str">
        <x:v>http://qudt.org/vocab/unit/DEG</x:v>
      </x:c>
      <x:c r="I8" s="48" t="str">
        <x:v>linked by the locked 313-requirement index</x:v>
      </x:c>
      <x:c r="J8" s="47" t="n">
        <x:v>0</x:v>
      </x:c>
    </x:row>
    <x:row r="9">
      <x:c r="A9" s="47" t="str">
        <x:v>RUN-I2-030-20260830T133709457527Z</x:v>
      </x:c>
      <x:c r="B9" s="47" t="str">
        <x:v>I2-030</x:v>
      </x:c>
      <x:c r="C9" s="47" t="str">
        <x:v>hasCalculationCase</x:v>
      </x:c>
      <x:c r="D9" s="48" t="str">
        <x:v>https://w3id.org/nltl/vocab#hasCalculationCase</x:v>
      </x:c>
      <x:c r="E9" s="47" t="str">
        <x:v>ObjectProperty</x:v>
      </x:c>
      <x:c r="F9" s="47" t="str"/>
      <x:c r="G9" s="47" t="str">
        <x:v>https://w3id.org/nltl/vocab#calculationCase</x:v>
      </x:c>
      <x:c r="H9" s="47" t="str"/>
      <x:c r="I9" s="48" t="str">
        <x:v>canonical path from target owner ship to required owner calculationCase; linked by the locked 313-requirement index</x:v>
      </x:c>
      <x:c r="J9" s="47" t="n">
        <x:v>0</x:v>
      </x:c>
    </x:row>
    <x:row r="10">
      <x:c r="A10" s="47" t="str">
        <x:v>RUN-I2-030-20260830T133709457527Z</x:v>
      </x:c>
      <x:c r="B10" s="47" t="str">
        <x:v>I2-030</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RUN-I2-030-20260830T133709457527Z</x:v>
      </x:c>
      <x:c r="B11" s="47" t="str">
        <x:v>I2-030</x:v>
      </x:c>
      <x:c r="C11" s="47" t="str">
        <x:v>hasLocalFrameSectionCalculationCase</x:v>
      </x:c>
      <x:c r="D11" s="48" t="str">
        <x:v>https://w3id.org/nltl/vocab#hasLocalFrameSectionCalculationCase</x:v>
      </x:c>
      <x:c r="E11" s="47" t="str">
        <x:v>ObjectProperty</x:v>
      </x:c>
      <x:c r="F11" s="47" t="str"/>
      <x:c r="G11" s="47" t="str">
        <x:v>https://w3id.org/nltl/vocab#localFrameSectionCalculationCase</x:v>
      </x:c>
      <x:c r="H11" s="47" t="str"/>
      <x:c r="I11" s="48" t="str">
        <x:v>linked by the locked 313-requirement index</x:v>
      </x:c>
      <x:c r="J11" s="47" t="n">
        <x:v>0</x:v>
      </x:c>
    </x:row>
    <x:row r="12">
      <x:c r="A12" s="47" t="str">
        <x:v>RUN-I2-030-20260830T133709457527Z</x:v>
      </x:c>
      <x:c r="B12" s="47" t="str">
        <x:v>I2-030</x:v>
      </x:c>
      <x:c r="C12" s="47" t="str">
        <x:v>hasPlating</x:v>
      </x:c>
      <x:c r="D12" s="48" t="str">
        <x:v>https://w3id.org/nltl/vocab#hasPlating</x:v>
      </x:c>
      <x:c r="E12" s="47" t="str">
        <x:v>ObjectProperty</x:v>
      </x:c>
      <x:c r="F12" s="47" t="str"/>
      <x:c r="G12" s="47" t="str">
        <x:v>https://w3id.org/nltl/vocab#plating</x:v>
      </x:c>
      <x:c r="H12" s="47" t="str"/>
      <x:c r="I12" s="48" t="str">
        <x:v>canonical path from target owner ship to required owner plating</x:v>
      </x:c>
      <x:c r="J12" s="47" t="n">
        <x:v>0</x:v>
      </x:c>
    </x:row>
    <x:row r="13">
      <x:c r="A13" s="47" t="str">
        <x:v>RUN-I2-030-20260830T133709457527Z</x:v>
      </x:c>
      <x:c r="B13" s="47" t="str">
        <x:v>I2-030</x:v>
      </x:c>
      <x:c r="C13" s="47" t="str">
        <x:v>hasStructuralMember</x:v>
      </x:c>
      <x:c r="D13" s="48" t="str">
        <x:v>https://w3id.org/nltl/vocab#hasStructuralMember</x:v>
      </x:c>
      <x:c r="E13" s="47" t="str">
        <x:v>ObjectProperty</x:v>
      </x:c>
      <x:c r="F13" s="47" t="str"/>
      <x:c r="G13" s="47" t="str">
        <x:v>https://w3id.org/nltl/vocab#structuralMember</x:v>
      </x:c>
      <x:c r="H13" s="47" t="str"/>
      <x:c r="I13" s="48" t="str">
        <x:v>canonical path from target owner ship to required owner structuralMember</x:v>
      </x:c>
      <x:c r="J13" s="47" t="n">
        <x:v>0</x:v>
      </x:c>
    </x:row>
    <x:row r="14">
      <x:c r="A14" s="47" t="str">
        <x:v>RUN-I2-030-20260830T133709457527Z</x:v>
      </x:c>
      <x:c r="B14" s="47" t="str">
        <x:v>I2-030</x:v>
      </x:c>
      <x:c r="C14" s="47" t="str">
        <x:v>interpolationLowerEndpoint</x:v>
      </x:c>
      <x:c r="D14" s="48" t="str">
        <x:v>https://w3id.org/nltl/vocab#interpolationLowerEndpoint</x:v>
      </x:c>
      <x:c r="E14" s="47" t="str">
        <x:v>ObjectProperty</x:v>
      </x:c>
      <x:c r="F14" s="47" t="str"/>
      <x:c r="G14" s="47" t="str">
        <x:v>https://w3id.org/nltl/vocab#interpolationPoint</x:v>
      </x:c>
      <x:c r="H14" s="47" t="str"/>
      <x:c r="I14" s="48" t="str">
        <x:v>linked by the locked 313-requirement index</x:v>
      </x:c>
      <x:c r="J14" s="47" t="n">
        <x:v>0</x:v>
      </x:c>
    </x:row>
    <x:row r="15">
      <x:c r="A15" s="47" t="str">
        <x:v>RUN-I2-030-20260830T133709457527Z</x:v>
      </x:c>
      <x:c r="B15" s="47" t="str">
        <x:v>I2-030</x:v>
      </x:c>
      <x:c r="C15" s="47" t="str">
        <x:v>interpolationPoint</x:v>
      </x:c>
      <x:c r="D15" s="48" t="str">
        <x:v>https://w3id.org/nltl/vocab#interpolationPoint</x:v>
      </x:c>
      <x:c r="E15" s="47" t="str">
        <x:v>Class</x:v>
      </x:c>
      <x:c r="F15" s="47" t="str"/>
      <x:c r="G15" s="47" t="str">
        <x:v>https://w3id.org/nltl/vocab#calculationCase</x:v>
      </x:c>
      <x:c r="H15" s="47" t="str"/>
      <x:c r="I15" s="48" t="str">
        <x:v>authoritative required owner class; domain dependency of interpolationPointCoordinate; domain dependency of interpolationPointResult; range dependency of interpolationLowerEndpoint; range dependency of interpolationUpperEndpoint</x:v>
      </x:c>
      <x:c r="J15" s="47" t="n">
        <x:v>0</x:v>
      </x:c>
    </x:row>
    <x:row r="16">
      <x:c r="A16" s="47" t="str">
        <x:v>RUN-I2-030-20260830T133709457527Z</x:v>
      </x:c>
      <x:c r="B16" s="47" t="str">
        <x:v>I2-030</x:v>
      </x:c>
      <x:c r="C16" s="47" t="str">
        <x:v>interpolationPointCoordinate</x:v>
      </x:c>
      <x:c r="D16" s="48" t="str">
        <x:v>https://w3id.org/nltl/vocab#interpolationPointCoordinate</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RUN-I2-030-20260830T133709457527Z</x:v>
      </x:c>
      <x:c r="B17" s="47" t="str">
        <x:v>I2-030</x:v>
      </x:c>
      <x:c r="C17" s="47" t="str">
        <x:v>interpolationPointResult</x:v>
      </x:c>
      <x:c r="D17" s="48" t="str">
        <x:v>https://w3id.org/nltl/vocab#interpolationPointResult</x:v>
      </x:c>
      <x:c r="E17" s="47" t="str">
        <x:v>QuantityProperty</x:v>
      </x:c>
      <x:c r="F17" s="47" t="str"/>
      <x:c r="G17" s="47" t="str">
        <x:v>http://qudt.org/schema/qudt/QuantityValue</x:v>
      </x:c>
      <x:c r="H17" s="47" t="str"/>
      <x:c r="I17" s="48" t="str">
        <x:v>linked by the locked 313-requirement index</x:v>
      </x:c>
      <x:c r="J17" s="47" t="n">
        <x:v>0</x:v>
      </x:c>
    </x:row>
    <x:row r="18">
      <x:c r="A18" s="47" t="str">
        <x:v>RUN-I2-030-20260830T133709457527Z</x:v>
      </x:c>
      <x:c r="B18" s="47" t="str">
        <x:v>I2-030</x:v>
      </x:c>
      <x:c r="C18" s="47" t="str">
        <x:v>interpolationUpperEndpoint</x:v>
      </x:c>
      <x:c r="D18" s="48" t="str">
        <x:v>https://w3id.org/nltl/vocab#interpolationUpperEndpoint</x:v>
      </x:c>
      <x:c r="E18" s="47" t="str">
        <x:v>ObjectProperty</x:v>
      </x:c>
      <x:c r="F18" s="47" t="str"/>
      <x:c r="G18" s="47" t="str">
        <x:v>https://w3id.org/nltl/vocab#interpolationPoint</x:v>
      </x:c>
      <x:c r="H18" s="47" t="str"/>
      <x:c r="I18" s="48" t="str">
        <x:v>linked by the locked 313-requirement index</x:v>
      </x:c>
      <x:c r="J18" s="47" t="n">
        <x:v>0</x:v>
      </x:c>
    </x:row>
    <x:row r="19">
      <x:c r="A19" s="47" t="str">
        <x:v>RUN-I2-030-20260830T133709457527Z</x:v>
      </x:c>
      <x:c r="B19" s="47" t="str">
        <x:v>I2-030</x:v>
      </x:c>
      <x:c r="C19" s="47" t="str">
        <x:v>localFrameFlangeCentreHeight</x:v>
      </x:c>
      <x:c r="D19" s="48" t="str">
        <x:v>https://w3id.org/nltl/vocab#localFrameFlangeCentreHeight</x:v>
      </x:c>
      <x:c r="E19" s="47" t="str">
        <x:v>QuantityProperty</x:v>
      </x:c>
      <x:c r="F19" s="47" t="str"/>
      <x:c r="G19" s="47" t="str">
        <x:v>http://qudt.org/schema/qudt/QuantityValue</x:v>
      </x:c>
      <x:c r="H19" s="47" t="str">
        <x:v>http://qudt.org/vocab/unit/MilliM</x:v>
      </x:c>
      <x:c r="I19" s="48" t="str">
        <x:v>linked by the locked 313-requirement index</x:v>
      </x:c>
      <x:c r="J19" s="47" t="n">
        <x:v>0</x:v>
      </x:c>
    </x:row>
    <x:row r="20">
      <x:c r="A20" s="47" t="str">
        <x:v>RUN-I2-030-20260830T133709457527Z</x:v>
      </x:c>
      <x:c r="B20" s="47" t="str">
        <x:v>I2-030</x:v>
      </x:c>
      <x:c r="C20" s="47" t="str">
        <x:v>localFrameSectionCalculationCase</x:v>
      </x:c>
      <x:c r="D20" s="48" t="str">
        <x:v>https://w3id.org/nltl/vocab#localFrameSectionCalculationCase</x:v>
      </x:c>
      <x:c r="E20" s="47" t="str">
        <x:v>Class</x:v>
      </x:c>
      <x:c r="F20" s="47" t="str"/>
      <x:c r="G20" s="47" t="str">
        <x:v>https://w3id.org/nltl/vocab#calculationCase</x:v>
      </x:c>
      <x:c r="H20" s="47" t="str"/>
      <x:c r="I20" s="48" t="str">
        <x:v>authoritative required owner class; domain dependency of sectionCalculationCasePlating; linked by the locked 313-requirement index; range dependency of hasLocalFrameSectionCalculationCase</x:v>
      </x:c>
      <x:c r="J20" s="47" t="n">
        <x:v>0</x:v>
      </x:c>
    </x:row>
    <x:row r="21">
      <x:c r="A21" s="47" t="str">
        <x:v>RUN-I2-030-20260830T133709457527Z</x:v>
      </x:c>
      <x:c r="B21" s="47" t="str">
        <x:v>I2-030</x:v>
      </x:c>
      <x:c r="C21" s="47" t="str">
        <x:v>netAttachedShellPlateThickness</x:v>
      </x:c>
      <x:c r="D21" s="48" t="str">
        <x:v>https://w3id.org/nltl/vocab#netAttachedShellPlateThickness</x:v>
      </x:c>
      <x:c r="E21" s="47" t="str">
        <x:v>QuantityProperty</x:v>
      </x:c>
      <x:c r="F21" s="47" t="str"/>
      <x:c r="G21" s="47" t="str">
        <x:v>http://qudt.org/schema/qudt/QuantityValue</x:v>
      </x:c>
      <x:c r="H21" s="47" t="str">
        <x:v>http://qudt.org/vocab/unit/MilliM</x:v>
      </x:c>
      <x:c r="I21" s="48" t="str">
        <x:v>linked by the locked 313-requirement index</x:v>
      </x:c>
      <x:c r="J21" s="47" t="n">
        <x:v>0</x:v>
      </x:c>
    </x:row>
    <x:row r="22">
      <x:c r="A22" s="47" t="str">
        <x:v>RUN-I2-030-20260830T133709457527Z</x:v>
      </x:c>
      <x:c r="B22" s="47" t="str">
        <x:v>I2-030</x:v>
      </x:c>
      <x:c r="C22" s="47" t="str">
        <x:v>netEffectivePlasticSectionModulus</x:v>
      </x:c>
      <x:c r="D22" s="48" t="str">
        <x:v>https://w3id.org/nltl/vocab#netEffectivePlasticSectionModulus</x:v>
      </x:c>
      <x:c r="E22" s="47" t="str">
        <x:v>QuantityProperty</x:v>
      </x:c>
      <x:c r="F22" s="47" t="str"/>
      <x:c r="G22" s="47" t="str">
        <x:v>http://qudt.org/schema/qudt/QuantityValue</x:v>
      </x:c>
      <x:c r="H22" s="47" t="str">
        <x:v>http://qudt.org/vocab/unit/CentiM3</x:v>
      </x:c>
      <x:c r="I22" s="48" t="str">
        <x:v>linked by the locked 313-requirement index</x:v>
      </x:c>
      <x:c r="J22" s="47" t="n">
        <x:v>0</x:v>
      </x:c>
    </x:row>
    <x:row r="23">
      <x:c r="A23" s="47" t="str">
        <x:v>RUN-I2-030-20260830T133709457527Z</x:v>
      </x:c>
      <x:c r="B23" s="47" t="str">
        <x:v>I2-030</x:v>
      </x:c>
      <x:c r="C23" s="47" t="str">
        <x:v>netLocalFrameFlangeArea</x:v>
      </x:c>
      <x:c r="D23" s="48" t="str">
        <x:v>https://w3id.org/nltl/vocab#netLocalFrameFlangeArea</x:v>
      </x:c>
      <x:c r="E23" s="47" t="str">
        <x:v>QuantityProperty</x:v>
      </x:c>
      <x:c r="F23" s="47" t="str"/>
      <x:c r="G23" s="47" t="str">
        <x:v>http://qudt.org/schema/qudt/QuantityValue</x:v>
      </x:c>
      <x:c r="H23" s="47" t="str">
        <x:v>http://qudt.org/vocab/unit/CentiM2</x:v>
      </x:c>
      <x:c r="I23" s="48" t="str">
        <x:v>linked by the locked 313-requirement index</x:v>
      </x:c>
      <x:c r="J23" s="47" t="n">
        <x:v>0</x:v>
      </x:c>
    </x:row>
    <x:row r="24">
      <x:c r="A24" s="47" t="str">
        <x:v>RUN-I2-030-20260830T133709457527Z</x:v>
      </x:c>
      <x:c r="B24" s="47" t="str">
        <x:v>I2-030</x:v>
      </x:c>
      <x:c r="C24" s="47" t="str">
        <x:v>netWebThickness</x:v>
      </x:c>
      <x:c r="D24" s="48" t="str">
        <x:v>https://w3id.org/nltl/vocab#netWebThickness</x:v>
      </x:c>
      <x:c r="E24" s="47" t="str">
        <x:v>QuantityProperty</x:v>
      </x:c>
      <x:c r="F24" s="47" t="str"/>
      <x:c r="G24" s="47" t="str">
        <x:v>http://qudt.org/schema/qudt/QuantityValue</x:v>
      </x:c>
      <x:c r="H24" s="47" t="str">
        <x:v>http://qudt.org/vocab/unit/MilliM</x:v>
      </x:c>
      <x:c r="I24" s="48" t="str">
        <x:v>linked by the locked 313-requirement index</x:v>
      </x:c>
      <x:c r="J24" s="47" t="n">
        <x:v>0</x:v>
      </x:c>
    </x:row>
    <x:row r="25">
      <x:c r="A25" s="47" t="str">
        <x:v>RUN-I2-030-20260830T133709457527Z</x:v>
      </x:c>
      <x:c r="B25" s="47" t="str">
        <x:v>I2-030</x:v>
      </x:c>
      <x:c r="C25" s="47" t="str">
        <x:v>plasticNeutralAxisHeight</x:v>
      </x:c>
      <x:c r="D25" s="48" t="str">
        <x:v>https://w3id.org/nltl/vocab#plasticNeutralAxisHeight</x:v>
      </x:c>
      <x:c r="E25" s="47" t="str">
        <x:v>QuantityProperty</x:v>
      </x:c>
      <x:c r="F25" s="47" t="str"/>
      <x:c r="G25" s="47" t="str">
        <x:v>http://qudt.org/schema/qudt/QuantityValue</x:v>
      </x:c>
      <x:c r="H25" s="47" t="str">
        <x:v>http://qudt.org/vocab/unit/MilliM</x:v>
      </x:c>
      <x:c r="I25" s="48" t="str">
        <x:v>linked by the locked 313-requirement index</x:v>
      </x:c>
      <x:c r="J25" s="47" t="n">
        <x:v>0</x:v>
      </x:c>
    </x:row>
    <x:row r="26">
      <x:c r="A26" s="47" t="str">
        <x:v>RUN-I2-030-20260830T133709457527Z</x:v>
      </x:c>
      <x:c r="B26" s="47" t="str">
        <x:v>I2-030</x:v>
      </x:c>
      <x:c r="C26" s="47" t="str">
        <x:v>plating</x:v>
      </x:c>
      <x:c r="D26" s="48" t="str">
        <x:v>https://w3id.org/nltl/vocab#plating</x:v>
      </x:c>
      <x:c r="E26" s="47" t="str">
        <x:v>Class</x:v>
      </x:c>
      <x:c r="F26" s="47" t="str"/>
      <x:c r="G26" s="47" t="str">
        <x:v>https://w3id.org/nltl/vocab#hullStructure</x:v>
      </x:c>
      <x:c r="H26" s="47" t="str"/>
      <x:c r="I26" s="48" t="str">
        <x:v>authoritative required owner class; domain dependency of framingAngleOmega; range dependency of sectionCalculationCasePlating</x:v>
      </x:c>
      <x:c r="J26" s="47" t="n">
        <x:v>0</x:v>
      </x:c>
    </x:row>
    <x:row r="27">
      <x:c r="A27" s="47" t="str">
        <x:v>RUN-I2-030-20260830T133709457527Z</x:v>
      </x:c>
      <x:c r="B27" s="47" t="str">
        <x:v>I2-030</x:v>
      </x:c>
      <x:c r="C27" s="47" t="str">
        <x:v>sectionCalculationCasePlating</x:v>
      </x:c>
      <x:c r="D27" s="48" t="str">
        <x:v>https://w3id.org/nltl/vocab#sectionCalculationCasePlating</x:v>
      </x:c>
      <x:c r="E27" s="47" t="str">
        <x:v>ObjectProperty</x:v>
      </x:c>
      <x:c r="F27" s="47" t="str"/>
      <x:c r="G27" s="47" t="str">
        <x:v>https://w3id.org/nltl/vocab#plating</x:v>
      </x:c>
      <x:c r="H27" s="47" t="str"/>
      <x:c r="I27" s="48" t="str">
        <x:v>linked by the locked 313-requirement index</x:v>
      </x:c>
      <x:c r="J27" s="47" t="n">
        <x:v>0</x:v>
      </x:c>
    </x:row>
    <x:row r="28">
      <x:c r="A28" s="47" t="str">
        <x:v>RUN-I2-030-20260830T133709457527Z</x:v>
      </x:c>
      <x:c r="B28" s="47" t="str">
        <x:v>I2-030</x:v>
      </x:c>
      <x:c r="C28" s="47" t="str">
        <x:v>sectionCalculationCaseStructuralMember</x:v>
      </x:c>
      <x:c r="D28" s="48" t="str">
        <x:v>https://w3id.org/nltl/vocab#sectionCalculationCaseStructuralMember</x:v>
      </x:c>
      <x:c r="E28" s="47" t="str">
        <x:v>ObjectProperty</x:v>
      </x:c>
      <x:c r="F28" s="47" t="str"/>
      <x:c r="G28" s="47" t="str">
        <x:v>https://w3id.org/nltl/vocab#structuralMember</x:v>
      </x:c>
      <x:c r="H28" s="47" t="str"/>
      <x:c r="I28" s="48" t="str">
        <x:v>linked by the locked 313-requirement index</x:v>
      </x:c>
      <x:c r="J28" s="47" t="n">
        <x:v>0</x:v>
      </x:c>
    </x:row>
    <x:row r="29">
      <x:c r="A29" s="47" t="str">
        <x:v>RUN-I2-030-20260830T133709457527Z</x:v>
      </x:c>
      <x:c r="B29" s="47" t="str">
        <x:v>I2-030</x:v>
      </x:c>
      <x:c r="C29" s="47" t="str">
        <x:v>sectionModulus</x:v>
      </x:c>
      <x:c r="D29" s="48" t="str">
        <x:v>https://w3id.org/nltl/vocab#sectionModulus</x:v>
      </x:c>
      <x:c r="E29" s="47" t="str">
        <x:v>QuantityProperty</x:v>
      </x:c>
      <x:c r="F29" s="47" t="str"/>
      <x:c r="G29" s="47" t="str">
        <x:v>http://qudt.org/schema/qudt/QuantityValue</x:v>
      </x:c>
      <x:c r="H29" s="47" t="str">
        <x:v>http://qudt.org/vocab/unit/CentiM3</x:v>
      </x:c>
      <x:c r="I29" s="48" t="str">
        <x:v>linked by the locked 313-requirement index</x:v>
      </x:c>
      <x:c r="J29" s="47" t="n">
        <x:v>0</x:v>
      </x:c>
    </x:row>
    <x:row r="30">
      <x:c r="A30" s="47" t="str">
        <x:v>RUN-I2-030-20260830T133709457527Z</x:v>
      </x:c>
      <x:c r="B30" s="47" t="str">
        <x:v>I2-030</x:v>
      </x:c>
      <x:c r="C30" s="47" t="str">
        <x:v>ship</x:v>
      </x:c>
      <x:c r="D30" s="48" t="str">
        <x:v>https://w3id.org/nltl/vocab#ship</x:v>
      </x:c>
      <x:c r="E30" s="47" t="str">
        <x:v>Class</x:v>
      </x:c>
      <x:c r="F30" s="47" t="str"/>
      <x:c r="G30" s="47" t="str"/>
      <x:c r="H30" s="47" t="str"/>
      <x:c r="I30" s="48" t="str">
        <x:v>authoritative required owner class; authoritative requirement target owner; baseline target infrastructure; domain dependency of hasCalculationCase</x:v>
      </x:c>
      <x:c r="J30" s="47" t="n">
        <x:v>0</x:v>
      </x:c>
    </x:row>
    <x:row r="31">
      <x:c r="A31" s="47" t="str">
        <x:v>RUN-I2-030-20260830T133709457527Z</x:v>
      </x:c>
      <x:c r="B31" s="47" t="str">
        <x:v>I2-030</x:v>
      </x:c>
      <x:c r="C31" s="47" t="str">
        <x:v>shipComponent</x:v>
      </x:c>
      <x:c r="D31" s="48" t="str">
        <x:v>https://w3id.org/nltl/vocab#shipComponent</x:v>
      </x:c>
      <x:c r="E31" s="47" t="str">
        <x:v>Class</x:v>
      </x:c>
      <x:c r="F31" s="47" t="str"/>
      <x:c r="G31" s="47" t="str"/>
      <x:c r="H31" s="47" t="str"/>
      <x:c r="I31" s="48" t="str">
        <x:v>component-path dependency inferred from the linked term module</x:v>
      </x:c>
      <x:c r="J31" s="47" t="n">
        <x:v>0</x:v>
      </x:c>
    </x:row>
    <x:row r="32">
      <x:c r="A32" s="47" t="str">
        <x:v>RUN-I2-030-20260830T133709457527Z</x:v>
      </x:c>
      <x:c r="B32" s="47" t="str">
        <x:v>I2-030</x:v>
      </x:c>
      <x:c r="C32" s="47" t="str">
        <x:v>structuralMember</x:v>
      </x:c>
      <x:c r="D32" s="48" t="str">
        <x:v>https://w3id.org/nltl/vocab#structuralMember</x:v>
      </x:c>
      <x:c r="E32" s="47" t="str">
        <x:v>Class</x:v>
      </x:c>
      <x:c r="F32" s="47" t="str"/>
      <x:c r="G32" s="47" t="str">
        <x:v>https://w3id.org/nltl/vocab#hullStructure</x:v>
      </x:c>
      <x:c r="H32" s="47" t="str"/>
      <x:c r="I32" s="48" t="str">
        <x:v>authoritative required owner class; domain dependency of frameSpacing; domain dependency of hasLocalFrameSectionCalculationCase; domain dependency of localFrameFlangeCentreHeight; domain dependency of netAttachedShellPlateThickness; domain dependency of netEffectivePlasticSectionModulus; domain dependency of netLocalFrameFlangeArea; domain dependency of netWebThickness; domain dependency of webAngleToShellPlate; domain dependency of webHeight; domain dependency of webToFlangeCentreDistance; range dependency of sectionCalculationCaseStructuralMember</x:v>
      </x:c>
      <x:c r="J32" s="47" t="n">
        <x:v>0</x:v>
      </x:c>
    </x:row>
    <x:row r="33">
      <x:c r="A33" s="47" t="str">
        <x:v>RUN-I2-030-20260830T133709457527Z</x:v>
      </x:c>
      <x:c r="B33" s="47" t="str">
        <x:v>I2-030</x:v>
      </x:c>
      <x:c r="C33" s="47" t="str">
        <x:v>webAngleToShellPlate</x:v>
      </x:c>
      <x:c r="D33" s="48" t="str">
        <x:v>https://w3id.org/nltl/vocab#webAngleToShellPlate</x:v>
      </x:c>
      <x:c r="E33" s="47" t="str">
        <x:v>QuantityProperty</x:v>
      </x:c>
      <x:c r="F33" s="47" t="str"/>
      <x:c r="G33" s="47" t="str">
        <x:v>http://qudt.org/schema/qudt/QuantityValue</x:v>
      </x:c>
      <x:c r="H33" s="47" t="str">
        <x:v>http://qudt.org/vocab/unit/DEG</x:v>
      </x:c>
      <x:c r="I33" s="48" t="str">
        <x:v>linked by the locked 313-requirement index</x:v>
      </x:c>
      <x:c r="J33" s="47" t="n">
        <x:v>0</x:v>
      </x:c>
    </x:row>
    <x:row r="34">
      <x:c r="A34" s="47" t="str">
        <x:v>RUN-I2-030-20260830T133709457527Z</x:v>
      </x:c>
      <x:c r="B34" s="47" t="str">
        <x:v>I2-030</x:v>
      </x:c>
      <x:c r="C34" s="47" t="str">
        <x:v>webHeight</x:v>
      </x:c>
      <x:c r="D34" s="48" t="str">
        <x:v>https://w3id.org/nltl/vocab#webHeight</x:v>
      </x:c>
      <x:c r="E34" s="47" t="str">
        <x:v>QuantityProperty</x:v>
      </x:c>
      <x:c r="F34" s="47" t="str"/>
      <x:c r="G34" s="47" t="str">
        <x:v>http://qudt.org/schema/qudt/QuantityValue</x:v>
      </x:c>
      <x:c r="H34" s="47" t="str">
        <x:v>http://qudt.org/vocab/unit/MilliM</x:v>
      </x:c>
      <x:c r="I34" s="48" t="str">
        <x:v>linked by the locked 313-requirement index</x:v>
      </x:c>
      <x:c r="J34" s="47" t="n">
        <x:v>0</x:v>
      </x:c>
    </x:row>
    <x:row r="35">
      <x:c r="A35" s="49" t="str">
        <x:v>RUN-I2-030-20260830T133709457527Z</x:v>
      </x:c>
      <x:c r="B35" s="49" t="str">
        <x:v>I2-030</x:v>
      </x:c>
      <x:c r="C35" s="49" t="str">
        <x:v>webToFlangeCentreDistance</x:v>
      </x:c>
      <x:c r="D35" s="50" t="str">
        <x:v>https://w3id.org/nltl/vocab#webToFlangeCentreDistance</x:v>
      </x:c>
      <x:c r="E35" s="49" t="str">
        <x:v>QuantityProperty</x:v>
      </x:c>
      <x:c r="F35" s="49" t="str"/>
      <x:c r="G35" s="49" t="str">
        <x:v>http://qudt.org/schema/qudt/QuantityValue</x:v>
      </x:c>
      <x:c r="H35" s="49" t="str">
        <x:v>http://qudt.org/vocab/unit/MilliM</x:v>
      </x:c>
      <x:c r="I35" s="50" t="str">
        <x:v>linked by the locked 313-requirement index</x:v>
      </x:c>
      <x:c r="J35" s="49" t="n">
        <x:v>0</x:v>
      </x:c>
    </x:row>
  </x:sheetData>
  <x:pageMargins left="0.7" right="0.7" top="0.75" bottom="0.75" header="0.3" footer="0.3"/>
  <x:tableParts count="1">
    <x:tablePart xmlns:r="http://schemas.openxmlformats.org/officeDocument/2006/relationships" r:id="Red312db63237410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RUN-I2-030-20260830T133709457527Z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RUN-I2-030-20260830T133709457527Z</x:v>
      </x:c>
      <x:c r="B5" s="45" t="str">
        <x:v>I2-030</x:v>
      </x:c>
      <x:c r="C5" s="45" t="str">
        <x:v>FS-COMPLEX-READINESS-01</x:v>
      </x:c>
      <x:c r="D5" s="45" t="str">
        <x:v>complex_readiness_external_calculation</x:v>
      </x:c>
      <x:c r="E5" s="97" t="n">
        <x:v>2.108108</x:v>
      </x:c>
      <x:c r="F5" s="45" t="str">
        <x:v>calculation | complex | engineering | evidence | external | inputs | readiness | results</x:v>
      </x:c>
      <x:c r="G5" s="45" t="str">
        <x:v>synthetic-few-shot-not-benchmark-ground-truth</x:v>
      </x:c>
    </x:row>
    <x:row r="6">
      <x:c r="A6" s="49" t="str">
        <x:v>RUN-I2-030-20260830T133709457527Z</x:v>
      </x:c>
      <x:c r="B6" s="49" t="str">
        <x:v>I2-030</x:v>
      </x:c>
      <x:c r="C6" s="49" t="str">
        <x:v>FS-COMPLEX-READINESS-02</x:v>
      </x:c>
      <x:c r="D6" s="49" t="str">
        <x:v>complex_readiness_with_direct_residual_check</x:v>
      </x:c>
      <x:c r="E6" s="98" t="n">
        <x:v>2.05</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87658bcd2d44f9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RUN-I2-030-20260830T133709457527Z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RUN-I2-030-20260830T133709457527Z</x:v>
      </x:c>
      <x:c r="B5" s="45" t="str">
        <x:v>I2-030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https://w3id.org/nltl/vocab#calculationCase | https://w3id.org/nltl/vocab#frameSpacing | https://w3id.org/nltl/vocab#framingAngleOmega | https://w3id.org/nltl/vocab#hasCalculationCase | https://w3id.org/nltl/vocab#hasLocalFrameSectionCalculationCase | https://w3id.org/nltl/vocab#hasStructuralMember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5" s="46" t="str"/>
      <x:c r="P5" s="46" t="str"/>
      <x:c r="Q5" s="46" t="str"/>
    </x:row>
    <x:row r="6">
      <x:c r="A6" s="47" t="str">
        <x:v>RUN-I2-030-20260830T133709457527Z</x:v>
      </x:c>
      <x:c r="B6" s="47" t="str">
        <x:v>I2-030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https://w3id.org/nltl/vocab#calculationCase | https://w3id.org/nltl/vocab#frameSpacing | https://w3id.org/nltl/vocab#framingAngleOmega | https://w3id.org/nltl/vocab#hasCalculationCase | https://w3id.org/nltl/vocab#hasLocalFrameSectionCalculationCase | https://w3id.org/nltl/vocab#hasPlating | https://w3id.org/nltl/vocab#hasStructuralMember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6" s="48" t="str"/>
      <x:c r="P6" s="48" t="str"/>
      <x:c r="Q6" s="48" t="str"/>
    </x:row>
    <x:row r="7">
      <x:c r="A7" s="47" t="str">
        <x:v>RUN-I2-030-20260830T133709457527Z</x:v>
      </x:c>
      <x:c r="B7" s="47" t="str">
        <x:v>I2-030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https://w3id.org/nltl/vocab#calculationCase | https://w3id.org/nltl/vocab#frameSpacing | https://w3id.org/nltl/vocab#framingAngleOmega | https://w3id.org/nltl/vocab#hasCalculationCase | https://w3id.org/nltl/vocab#hasLocalFrameSectionCalculationCase | https://w3id.org/nltl/vocab#hasStructuralMember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7" s="48" t="str"/>
      <x:c r="P7" s="48" t="str"/>
      <x:c r="Q7" s="48" t="str"/>
    </x:row>
    <x:row r="8">
      <x:c r="A8" s="49" t="str">
        <x:v>RUN-I2-030-20260830T133709457527Z</x:v>
      </x:c>
      <x:c r="B8" s="49" t="str">
        <x:v>I2-030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https://w3id.org/nltl/vocab#calculationCase | https://w3id.org/nltl/vocab#frameSpacing | https://w3id.org/nltl/vocab#framingAngleOmega | https://w3id.org/nltl/vocab#hasCalculationCase | https://w3id.org/nltl/vocab#hasLocalFrameSectionCalculationCase | https://w3id.org/nltl/vocab#hasStructuralMember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8" s="50" t="str"/>
      <x:c r="P8" s="50" t="str"/>
      <x:c r="Q8" s="50" t="str"/>
    </x:row>
  </x:sheetData>
  <x:pageMargins left="0.7" right="0.7" top="0.75" bottom="0.75" header="0.3" footer="0.3"/>
  <x:tableParts count="1">
    <x:tablePart xmlns:r="http://schemas.openxmlformats.org/officeDocument/2006/relationships" r:id="R4a34a51f3a7845ce"/>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RUN-I2-030-20260830T133709457527Z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RUN-I2-030-20260830T133709457527Z</x:v>
      </x:c>
      <x:c r="B5" s="45" t="str">
        <x:v>I2-030</x:v>
      </x:c>
      <x:c r="C5" s="58" t="n">
        <x:v>4</x:v>
      </x:c>
      <x:c r="D5" s="45" t="str">
        <x:v>matcher_search</x:v>
      </x:c>
      <x:c r="E5" s="46" t="str">
        <x:v>Reject: the conditional SPARQL branches still bind an arbitrary structural member on the ship, so applicability for plasticNeutralAxisHeight and both interpolation endpoints is not paired to the relevant calculation case and its local-frame section case/member. Preserve the prior owner corrections, COMPLEX_READINESS boundary, exact area comparison (100*A_fn &gt; 1000*t_pn*s), and strict oblique interval 20 &lt; framingAngleOmega &lt; 70. Add or locate a canonical cross-owner path that identifies the structural member/local-frame case associated with the current calculation case, then bind every applicability query through that path; do not allow unrelated ship members to satisfy the non-applicability branch.</x:v>
      </x:c>
      <x:c r="F5" s="58" t="n">
        <x:v>9</x:v>
      </x:c>
      <x:c r="G5" s="45" t="str"/>
      <x:c r="H5" s="45" t="str"/>
      <x:c r="I5" s="46" t="str"/>
      <x:c r="J5" s="46" t="str"/>
    </x:row>
    <x:row r="6">
      <x:c r="A6" s="49" t="str">
        <x:v>RUN-I2-030-20260830T133709457527Z</x:v>
      </x:c>
      <x:c r="B6" s="49" t="str">
        <x:v>I2-030</x:v>
      </x:c>
      <x:c r="C6" s="60" t="n">
        <x:v>4</x:v>
      </x:c>
      <x:c r="D6" s="49" t="str">
        <x:v>matcher_decision</x:v>
      </x:c>
      <x:c r="E6" s="50" t="str"/>
      <x:c r="F6" s="60" t="str"/>
      <x:c r="G6" s="87" t="b">
        <x:v>1</x:v>
      </x:c>
      <x:c r="H6" s="49" t="str">
        <x:v>structuralMember</x:v>
      </x:c>
      <x:c r="I6" s="50" t="str">
        <x:v>https://w3id.org/nltl/vocab#structuralMember</x:v>
      </x:c>
      <x:c r="J6" s="50" t="str">
        <x:v>Use this exact term because the feedback requires binding the relevant structural member and its associated local-frame section calculation case to the current calculation case, preventing unrelated ship members from satisfying applicability branches.</x:v>
      </x:c>
    </x:row>
  </x:sheetData>
  <x:pageMargins left="0.7" right="0.7" top="0.75" bottom="0.75" header="0.3" footer="0.3"/>
  <x:tableParts count="1">
    <x:tablePart xmlns:r="http://schemas.openxmlformats.org/officeDocument/2006/relationships" r:id="R4f3602674e0345b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RUN-I2-030-20260830T133709457527Z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RUN-I2-030-20260830T133709457527Z</x:v>
      </x:c>
      <x:c r="B5" s="45" t="str">
        <x:v>I2-030</x:v>
      </x:c>
      <x:c r="C5" s="58"/>
      <x:c r="D5" s="45" t="str">
        <x:v>initial_context_pack</x:v>
      </x:c>
      <x:c r="E5" s="46" t="str">
        <x:v>artifacts/context_pack_initial.json</x:v>
      </x:c>
      <x:c r="F5" s="45" t="str">
        <x:v>da257c130b33de34413e737616cff64f2e4ce13480186768c345c9efab92a767</x:v>
      </x:c>
      <x:c r="G5" s="58" t="n">
        <x:v>44615</x:v>
      </x:c>
    </x:row>
    <x:row r="6">
      <x:c r="A6" s="47" t="str">
        <x:v>RUN-I2-030-20260830T133709457527Z</x:v>
      </x:c>
      <x:c r="B6" s="47" t="str">
        <x:v>I2-030</x:v>
      </x:c>
      <x:c r="C6" s="59"/>
      <x:c r="D6" s="47" t="str">
        <x:v>few_shot_selection</x:v>
      </x:c>
      <x:c r="E6" s="48" t="str">
        <x:v>artifacts/few_shots_selected.json</x:v>
      </x:c>
      <x:c r="F6" s="47" t="str">
        <x:v>8a3fc4028f8c2d8d5de4457aadfe836ee27a86a06ac2e96632b1fa610a786ef0</x:v>
      </x:c>
      <x:c r="G6" s="59" t="n">
        <x:v>6551</x:v>
      </x:c>
    </x:row>
    <x:row r="7">
      <x:c r="A7" s="47" t="str">
        <x:v>RUN-I2-030-20260830T133709457527Z</x:v>
      </x:c>
      <x:c r="B7" s="47" t="str">
        <x:v>I2-030</x:v>
      </x:c>
      <x:c r="C7" s="59" t="n">
        <x:v>1</x:v>
      </x:c>
      <x:c r="D7" s="47" t="str">
        <x:v>generator_prompt</x:v>
      </x:c>
      <x:c r="E7" s="48" t="str">
        <x:v>artifacts/attempt_01/generator_prompt.txt</x:v>
      </x:c>
      <x:c r="F7" s="47" t="str">
        <x:v>25e50e00b2ebfe85c3b214fc68e5a49d5828a9c52724cefd41ae5739d94d5e1a</x:v>
      </x:c>
      <x:c r="G7" s="59" t="n">
        <x:v>62810</x:v>
      </x:c>
    </x:row>
    <x:row r="8">
      <x:c r="A8" s="47" t="str">
        <x:v>RUN-I2-030-20260830T133709457527Z</x:v>
      </x:c>
      <x:c r="B8" s="47" t="str">
        <x:v>I2-030</x:v>
      </x:c>
      <x:c r="C8" s="59" t="n">
        <x:v>1</x:v>
      </x:c>
      <x:c r="D8" s="47" t="str">
        <x:v>generator_raw_response</x:v>
      </x:c>
      <x:c r="E8" s="48" t="str">
        <x:v>artifacts/attempt_01/generator_raw.txt</x:v>
      </x:c>
      <x:c r="F8" s="47" t="str">
        <x:v>09c08ea1d803199084f0e4ee9d4185219e78e0ef6bf001197514c98090059977</x:v>
      </x:c>
      <x:c r="G8" s="59" t="n">
        <x:v>5596</x:v>
      </x:c>
    </x:row>
    <x:row r="9">
      <x:c r="A9" s="47" t="str">
        <x:v>RUN-I2-030-20260830T133709457527Z</x:v>
      </x:c>
      <x:c r="B9" s="47" t="str">
        <x:v>I2-030</x:v>
      </x:c>
      <x:c r="C9" s="59" t="n">
        <x:v>1</x:v>
      </x:c>
      <x:c r="D9" s="47" t="str">
        <x:v>syntax_repair_prompt</x:v>
      </x:c>
      <x:c r="E9" s="48" t="str">
        <x:v>artifacts/attempt_01/syntax_repair_prompt_01.txt</x:v>
      </x:c>
      <x:c r="F9" s="47" t="str">
        <x:v>9513beb2c0df544be32720a720d952352bc18ac69e494c42b88cfd4530f96048</x:v>
      </x:c>
      <x:c r="G9" s="59" t="n">
        <x:v>6845</x:v>
      </x:c>
    </x:row>
    <x:row r="10">
      <x:c r="A10" s="47" t="str">
        <x:v>RUN-I2-030-20260830T133709457527Z</x:v>
      </x:c>
      <x:c r="B10" s="47" t="str">
        <x:v>I2-030</x:v>
      </x:c>
      <x:c r="C10" s="59" t="n">
        <x:v>1</x:v>
      </x:c>
      <x:c r="D10" s="47" t="str">
        <x:v>syntax_repair_raw_response</x:v>
      </x:c>
      <x:c r="E10" s="48" t="str">
        <x:v>artifacts/attempt_01/syntax_repair_raw_01.txt</x:v>
      </x:c>
      <x:c r="F10" s="47" t="str">
        <x:v>048988fd0f377932cfeb580400ac284d8c2993b165a5f9ac0f8f7f1400cae7be</x:v>
      </x:c>
      <x:c r="G10" s="59" t="n">
        <x:v>5594</x:v>
      </x:c>
    </x:row>
    <x:row r="11">
      <x:c r="A11" s="47" t="str">
        <x:v>RUN-I2-030-20260830T133709457527Z</x:v>
      </x:c>
      <x:c r="B11" s="47" t="str">
        <x:v>I2-030</x:v>
      </x:c>
      <x:c r="C11" s="59" t="n">
        <x:v>1</x:v>
      </x:c>
      <x:c r="D11" s="47" t="str">
        <x:v>candidate_shape</x:v>
      </x:c>
      <x:c r="E11" s="48" t="str">
        <x:v>artifacts/attempt_01/candidate_shape.ttl</x:v>
      </x:c>
      <x:c r="F11" s="47" t="str">
        <x:v>fc5320a7b5c48374c2b08f840d8b6fc7edde82ed2a0181d1b0beb74711063952</x:v>
      </x:c>
      <x:c r="G11" s="59" t="n">
        <x:v>5569</x:v>
      </x:c>
    </x:row>
    <x:row r="12">
      <x:c r="A12" s="47" t="str">
        <x:v>RUN-I2-030-20260830T133709457527Z</x:v>
      </x:c>
      <x:c r="B12" s="47" t="str">
        <x:v>I2-030</x:v>
      </x:c>
      <x:c r="C12" s="59" t="n">
        <x:v>1</x:v>
      </x:c>
      <x:c r="D12" s="47" t="str">
        <x:v>deterministic_validation</x:v>
      </x:c>
      <x:c r="E12" s="48" t="str">
        <x:v>artifacts/attempt_01/deterministic_validation.json</x:v>
      </x:c>
      <x:c r="F12" s="47" t="str">
        <x:v>e5c2bf67e8a2a8844b8cb06fe3d495640ca3d522f303672fae43deecc1fc864b</x:v>
      </x:c>
      <x:c r="G12" s="59" t="n">
        <x:v>1896</x:v>
      </x:c>
    </x:row>
    <x:row r="13">
      <x:c r="A13" s="47" t="str">
        <x:v>RUN-I2-030-20260830T133709457527Z</x:v>
      </x:c>
      <x:c r="B13" s="47" t="str">
        <x:v>I2-030</x:v>
      </x:c>
      <x:c r="C13" s="59" t="n">
        <x:v>1</x:v>
      </x:c>
      <x:c r="D13" s="47" t="str">
        <x:v>validator_prompt</x:v>
      </x:c>
      <x:c r="E13" s="48" t="str">
        <x:v>artifacts/attempt_01/validator_prompt_01.txt</x:v>
      </x:c>
      <x:c r="F13" s="47" t="str">
        <x:v>b5e8262a739ac328329f088ce66d918d42288391f4f0dccdc858a6bc7d98a156</x:v>
      </x:c>
      <x:c r="G13" s="59" t="n">
        <x:v>68350</x:v>
      </x:c>
    </x:row>
    <x:row r="14">
      <x:c r="A14" s="47" t="str">
        <x:v>RUN-I2-030-20260830T133709457527Z</x:v>
      </x:c>
      <x:c r="B14" s="47" t="str">
        <x:v>I2-030</x:v>
      </x:c>
      <x:c r="C14" s="59" t="n">
        <x:v>1</x:v>
      </x:c>
      <x:c r="D14" s="47" t="str">
        <x:v>validator_raw_response</x:v>
      </x:c>
      <x:c r="E14" s="48" t="str">
        <x:v>artifacts/attempt_01/validator_raw_01.txt</x:v>
      </x:c>
      <x:c r="F14" s="47" t="str">
        <x:v>8e96ce8ac4411b61fe4cb449eb45ae57b3aee379a34930277bb028ed40afaeba</x:v>
      </x:c>
      <x:c r="G14" s="59" t="n">
        <x:v>707</x:v>
      </x:c>
    </x:row>
    <x:row r="15">
      <x:c r="A15" s="47" t="str">
        <x:v>RUN-I2-030-20260830T133709457527Z</x:v>
      </x:c>
      <x:c r="B15" s="47" t="str">
        <x:v>I2-030</x:v>
      </x:c>
      <x:c r="C15" s="59" t="n">
        <x:v>2</x:v>
      </x:c>
      <x:c r="D15" s="47" t="str">
        <x:v>generator_prompt</x:v>
      </x:c>
      <x:c r="E15" s="48" t="str">
        <x:v>artifacts/attempt_02/generator_prompt.txt</x:v>
      </x:c>
      <x:c r="F15" s="47" t="str">
        <x:v>e06f18151a463004448a3f709c6916a502776a45c95bd245d07b7ca676349a82</x:v>
      </x:c>
      <x:c r="G15" s="59" t="n">
        <x:v>63460</x:v>
      </x:c>
    </x:row>
    <x:row r="16">
      <x:c r="A16" s="47" t="str">
        <x:v>RUN-I2-030-20260830T133709457527Z</x:v>
      </x:c>
      <x:c r="B16" s="47" t="str">
        <x:v>I2-030</x:v>
      </x:c>
      <x:c r="C16" s="59" t="n">
        <x:v>2</x:v>
      </x:c>
      <x:c r="D16" s="47" t="str">
        <x:v>generator_raw_response</x:v>
      </x:c>
      <x:c r="E16" s="48" t="str">
        <x:v>artifacts/attempt_02/generator_raw.txt</x:v>
      </x:c>
      <x:c r="F16" s="47" t="str">
        <x:v>55b348c6774bbf662c7fbea2f2258a1defd26f54902815d38f1fa240ff9cc3fb</x:v>
      </x:c>
      <x:c r="G16" s="59" t="n">
        <x:v>10634</x:v>
      </x:c>
    </x:row>
    <x:row r="17">
      <x:c r="A17" s="47" t="str">
        <x:v>RUN-I2-030-20260830T133709457527Z</x:v>
      </x:c>
      <x:c r="B17" s="47" t="str">
        <x:v>I2-030</x:v>
      </x:c>
      <x:c r="C17" s="59" t="n">
        <x:v>2</x:v>
      </x:c>
      <x:c r="D17" s="47" t="str">
        <x:v>candidate_shape</x:v>
      </x:c>
      <x:c r="E17" s="48" t="str">
        <x:v>artifacts/attempt_02/candidate_shape.ttl</x:v>
      </x:c>
      <x:c r="F17" s="47" t="str">
        <x:v>f7ed48b87635966ed0cbae1cf3f3adc27a56add16d2ca6d41553e3d26ace4eaf</x:v>
      </x:c>
      <x:c r="G17" s="59" t="n">
        <x:v>10608</x:v>
      </x:c>
    </x:row>
    <x:row r="18">
      <x:c r="A18" s="47" t="str">
        <x:v>RUN-I2-030-20260830T133709457527Z</x:v>
      </x:c>
      <x:c r="B18" s="47" t="str">
        <x:v>I2-030</x:v>
      </x:c>
      <x:c r="C18" s="59" t="n">
        <x:v>2</x:v>
      </x:c>
      <x:c r="D18" s="47" t="str">
        <x:v>deterministic_validation</x:v>
      </x:c>
      <x:c r="E18" s="48" t="str">
        <x:v>artifacts/attempt_02/deterministic_validation.json</x:v>
      </x:c>
      <x:c r="F18" s="47" t="str">
        <x:v>e933f13c824011fab58f68ea0e7dd3b20e74b35c94412c07b46a5cc8df27fad7</x:v>
      </x:c>
      <x:c r="G18" s="59" t="n">
        <x:v>1942</x:v>
      </x:c>
    </x:row>
    <x:row r="19">
      <x:c r="A19" s="47" t="str">
        <x:v>RUN-I2-030-20260830T133709457527Z</x:v>
      </x:c>
      <x:c r="B19" s="47" t="str">
        <x:v>I2-030</x:v>
      </x:c>
      <x:c r="C19" s="59" t="n">
        <x:v>2</x:v>
      </x:c>
      <x:c r="D19" s="47" t="str">
        <x:v>validator_prompt</x:v>
      </x:c>
      <x:c r="E19" s="48" t="str">
        <x:v>artifacts/attempt_02/validator_prompt_01.txt</x:v>
      </x:c>
      <x:c r="F19" s="47" t="str">
        <x:v>258002b3ebfaadd5ce44633f816e8ca8c682dc82c0dda22ab01fc8acafdc6191</x:v>
      </x:c>
      <x:c r="G19" s="59" t="n">
        <x:v>74554</x:v>
      </x:c>
    </x:row>
    <x:row r="20">
      <x:c r="A20" s="47" t="str">
        <x:v>RUN-I2-030-20260830T133709457527Z</x:v>
      </x:c>
      <x:c r="B20" s="47" t="str">
        <x:v>I2-030</x:v>
      </x:c>
      <x:c r="C20" s="59" t="n">
        <x:v>2</x:v>
      </x:c>
      <x:c r="D20" s="47" t="str">
        <x:v>validator_raw_response</x:v>
      </x:c>
      <x:c r="E20" s="48" t="str">
        <x:v>artifacts/attempt_02/validator_raw_01.txt</x:v>
      </x:c>
      <x:c r="F20" s="47" t="str">
        <x:v>e52bd36cc73d29b8373c30c5c34d7d93507e14b90eecf2e4c095f619ee1b5a7f</x:v>
      </x:c>
      <x:c r="G20" s="59" t="n">
        <x:v>967</x:v>
      </x:c>
    </x:row>
    <x:row r="21">
      <x:c r="A21" s="47" t="str">
        <x:v>RUN-I2-030-20260830T133709457527Z</x:v>
      </x:c>
      <x:c r="B21" s="47" t="str">
        <x:v>I2-030</x:v>
      </x:c>
      <x:c r="C21" s="59" t="n">
        <x:v>3</x:v>
      </x:c>
      <x:c r="D21" s="47" t="str">
        <x:v>generator_prompt</x:v>
      </x:c>
      <x:c r="E21" s="48" t="str">
        <x:v>artifacts/attempt_03/generator_prompt.txt</x:v>
      </x:c>
      <x:c r="F21" s="47" t="str">
        <x:v>7e996cefe717bd77c6febe65134de19286846418e3a640759e3d3a625ed58d9e</x:v>
      </x:c>
      <x:c r="G21" s="59" t="n">
        <x:v>64370</x:v>
      </x:c>
    </x:row>
    <x:row r="22">
      <x:c r="A22" s="47" t="str">
        <x:v>RUN-I2-030-20260830T133709457527Z</x:v>
      </x:c>
      <x:c r="B22" s="47" t="str">
        <x:v>I2-030</x:v>
      </x:c>
      <x:c r="C22" s="59" t="n">
        <x:v>3</x:v>
      </x:c>
      <x:c r="D22" s="47" t="str">
        <x:v>generator_raw_response</x:v>
      </x:c>
      <x:c r="E22" s="48" t="str">
        <x:v>artifacts/attempt_03/generator_raw.txt</x:v>
      </x:c>
      <x:c r="F22" s="47" t="str">
        <x:v>56cb5e06c9ecac4adc568a677ba0afb9c7e5ab2bb0ec72841e873d096ea14dcc</x:v>
      </x:c>
      <x:c r="G22" s="59" t="n">
        <x:v>12888</x:v>
      </x:c>
    </x:row>
    <x:row r="23">
      <x:c r="A23" s="47" t="str">
        <x:v>RUN-I2-030-20260830T133709457527Z</x:v>
      </x:c>
      <x:c r="B23" s="47" t="str">
        <x:v>I2-030</x:v>
      </x:c>
      <x:c r="C23" s="59" t="n">
        <x:v>3</x:v>
      </x:c>
      <x:c r="D23" s="47" t="str">
        <x:v>syntax_repair_prompt</x:v>
      </x:c>
      <x:c r="E23" s="48" t="str">
        <x:v>artifacts/attempt_03/syntax_repair_prompt_01.txt</x:v>
      </x:c>
      <x:c r="F23" s="47" t="str">
        <x:v>30ed5b8bbf841b89ddca687a5bc69fb61e04632b8f202bbd439a441df8544775</x:v>
      </x:c>
      <x:c r="G23" s="59" t="n">
        <x:v>14498</x:v>
      </x:c>
    </x:row>
    <x:row r="24">
      <x:c r="A24" s="47" t="str">
        <x:v>RUN-I2-030-20260830T133709457527Z</x:v>
      </x:c>
      <x:c r="B24" s="47" t="str">
        <x:v>I2-030</x:v>
      </x:c>
      <x:c r="C24" s="59" t="n">
        <x:v>3</x:v>
      </x:c>
      <x:c r="D24" s="47" t="str">
        <x:v>syntax_repair_raw_response</x:v>
      </x:c>
      <x:c r="E24" s="48" t="str">
        <x:v>artifacts/attempt_03/syntax_repair_raw_01.txt</x:v>
      </x:c>
      <x:c r="F24" s="47" t="str">
        <x:v>d3b8a49930ac7e5d48488803380bce7ef14545dc76345182311c11ded75cd8c2</x:v>
      </x:c>
      <x:c r="G24" s="59" t="n">
        <x:v>12888</x:v>
      </x:c>
    </x:row>
    <x:row r="25">
      <x:c r="A25" s="47" t="str">
        <x:v>RUN-I2-030-20260830T133709457527Z</x:v>
      </x:c>
      <x:c r="B25" s="47" t="str">
        <x:v>I2-030</x:v>
      </x:c>
      <x:c r="C25" s="59" t="n">
        <x:v>3</x:v>
      </x:c>
      <x:c r="D25" s="47" t="str">
        <x:v>syntax_repair_prompt</x:v>
      </x:c>
      <x:c r="E25" s="48" t="str">
        <x:v>artifacts/attempt_03/syntax_repair_prompt_02.txt</x:v>
      </x:c>
      <x:c r="F25" s="47" t="str">
        <x:v>c6b5b8b5b30124b0ade1f3f09656c4e4e626f0027bcb267358e265380828a058</x:v>
      </x:c>
      <x:c r="G25" s="59" t="n">
        <x:v>38313</x:v>
      </x:c>
    </x:row>
    <x:row r="26">
      <x:c r="A26" s="47" t="str">
        <x:v>RUN-I2-030-20260830T133709457527Z</x:v>
      </x:c>
      <x:c r="B26" s="47" t="str">
        <x:v>I2-030</x:v>
      </x:c>
      <x:c r="C26" s="59" t="n">
        <x:v>3</x:v>
      </x:c>
      <x:c r="D26" s="47" t="str">
        <x:v>syntax_repair_raw_response</x:v>
      </x:c>
      <x:c r="E26" s="48" t="str">
        <x:v>artifacts/attempt_03/syntax_repair_raw_02.txt</x:v>
      </x:c>
      <x:c r="F26" s="47" t="str">
        <x:v>c3946224a4b9f3f1d44ddbbc9e5de6948f0cb9fe3ed736ab679a15a7c9be1618</x:v>
      </x:c>
      <x:c r="G26" s="59" t="n">
        <x:v>13232</x:v>
      </x:c>
    </x:row>
    <x:row r="27">
      <x:c r="A27" s="47" t="str">
        <x:v>RUN-I2-030-20260830T133709457527Z</x:v>
      </x:c>
      <x:c r="B27" s="47" t="str">
        <x:v>I2-030</x:v>
      </x:c>
      <x:c r="C27" s="59" t="n">
        <x:v>3</x:v>
      </x:c>
      <x:c r="D27" s="47" t="str">
        <x:v>candidate_shape</x:v>
      </x:c>
      <x:c r="E27" s="48" t="str">
        <x:v>artifacts/attempt_03/candidate_shape.ttl</x:v>
      </x:c>
      <x:c r="F27" s="47" t="str">
        <x:v>3deaf2e6110b04df724401ae803fa774d6f9caf9f14e2ba37ded886e06225f68</x:v>
      </x:c>
      <x:c r="G27" s="59" t="n">
        <x:v>13207</x:v>
      </x:c>
    </x:row>
    <x:row r="28">
      <x:c r="A28" s="47" t="str">
        <x:v>RUN-I2-030-20260830T133709457527Z</x:v>
      </x:c>
      <x:c r="B28" s="47" t="str">
        <x:v>I2-030</x:v>
      </x:c>
      <x:c r="C28" s="59" t="n">
        <x:v>3</x:v>
      </x:c>
      <x:c r="D28" s="47" t="str">
        <x:v>deterministic_validation</x:v>
      </x:c>
      <x:c r="E28" s="48" t="str">
        <x:v>artifacts/attempt_03/deterministic_validation.json</x:v>
      </x:c>
      <x:c r="F28" s="47" t="str">
        <x:v>e5c2bf67e8a2a8844b8cb06fe3d495640ca3d522f303672fae43deecc1fc864b</x:v>
      </x:c>
      <x:c r="G28" s="59" t="n">
        <x:v>1896</x:v>
      </x:c>
    </x:row>
    <x:row r="29">
      <x:c r="A29" s="47" t="str">
        <x:v>RUN-I2-030-20260830T133709457527Z</x:v>
      </x:c>
      <x:c r="B29" s="47" t="str">
        <x:v>I2-030</x:v>
      </x:c>
      <x:c r="C29" s="59" t="n">
        <x:v>3</x:v>
      </x:c>
      <x:c r="D29" s="47" t="str">
        <x:v>validator_prompt</x:v>
      </x:c>
      <x:c r="E29" s="48" t="str">
        <x:v>artifacts/attempt_03/validator_prompt_01.txt</x:v>
      </x:c>
      <x:c r="F29" s="47" t="str">
        <x:v>29a15f3277aec88ffa3bbbc0e7b7f677b2a372e75ddaba78ec67be0ed92f53bd</x:v>
      </x:c>
      <x:c r="G29" s="59" t="n">
        <x:v>77774</x:v>
      </x:c>
    </x:row>
    <x:row r="30">
      <x:c r="A30" s="47" t="str">
        <x:v>RUN-I2-030-20260830T133709457527Z</x:v>
      </x:c>
      <x:c r="B30" s="47" t="str">
        <x:v>I2-030</x:v>
      </x:c>
      <x:c r="C30" s="59" t="n">
        <x:v>3</x:v>
      </x:c>
      <x:c r="D30" s="47" t="str">
        <x:v>validator_raw_response</x:v>
      </x:c>
      <x:c r="E30" s="48" t="str">
        <x:v>artifacts/attempt_03/validator_raw_01.txt</x:v>
      </x:c>
      <x:c r="F30" s="47" t="str">
        <x:v>7cc5a27f26b7a04a6fba50fa504c55553141036567d0d3a0f02537d2a2e2c42e</x:v>
      </x:c>
      <x:c r="G30" s="59" t="n">
        <x:v>1062</x:v>
      </x:c>
    </x:row>
    <x:row r="31">
      <x:c r="A31" s="47" t="str">
        <x:v>RUN-I2-030-20260830T133709457527Z</x:v>
      </x:c>
      <x:c r="B31" s="47" t="str">
        <x:v>I2-030</x:v>
      </x:c>
      <x:c r="C31" s="59" t="n">
        <x:v>4</x:v>
      </x:c>
      <x:c r="D31" s="47" t="str">
        <x:v>generator_prompt</x:v>
      </x:c>
      <x:c r="E31" s="48" t="str">
        <x:v>artifacts/attempt_04/generator_prompt.txt</x:v>
      </x:c>
      <x:c r="F31" s="47" t="str">
        <x:v>c092650468e2b99ded231469b2fd713641b1c26e2887901f55271143a34a76cb</x:v>
      </x:c>
      <x:c r="G31" s="59" t="n">
        <x:v>65375</x:v>
      </x:c>
    </x:row>
    <x:row r="32">
      <x:c r="A32" s="47" t="str">
        <x:v>RUN-I2-030-20260830T133709457527Z</x:v>
      </x:c>
      <x:c r="B32" s="47" t="str">
        <x:v>I2-030</x:v>
      </x:c>
      <x:c r="C32" s="59" t="n">
        <x:v>4</x:v>
      </x:c>
      <x:c r="D32" s="47" t="str">
        <x:v>generator_raw_response</x:v>
      </x:c>
      <x:c r="E32" s="48" t="str">
        <x:v>artifacts/attempt_04/generator_raw.txt</x:v>
      </x:c>
      <x:c r="F32" s="47" t="str">
        <x:v>daf65b72d57c64968ed9af37f602dd315b924809e14eb4427b4abc208d9a1d4d</x:v>
      </x:c>
      <x:c r="G32" s="59" t="n">
        <x:v>9651</x:v>
      </x:c>
    </x:row>
    <x:row r="33">
      <x:c r="A33" s="47" t="str">
        <x:v>RUN-I2-030-20260830T133709457527Z</x:v>
      </x:c>
      <x:c r="B33" s="47" t="str">
        <x:v>I2-030</x:v>
      </x:c>
      <x:c r="C33" s="59" t="n">
        <x:v>4</x:v>
      </x:c>
      <x:c r="D33" s="47" t="str">
        <x:v>syntax_repair_prompt</x:v>
      </x:c>
      <x:c r="E33" s="48" t="str">
        <x:v>artifacts/attempt_04/syntax_repair_prompt_01.txt</x:v>
      </x:c>
      <x:c r="F33" s="47" t="str">
        <x:v>ca96ba8ec5239d6e3caa0d46c9cbbe708692541350356ce105c001f97211fcbb</x:v>
      </x:c>
      <x:c r="G33" s="59" t="n">
        <x:v>11034</x:v>
      </x:c>
    </x:row>
    <x:row r="34">
      <x:c r="A34" s="47" t="str">
        <x:v>RUN-I2-030-20260830T133709457527Z</x:v>
      </x:c>
      <x:c r="B34" s="47" t="str">
        <x:v>I2-030</x:v>
      </x:c>
      <x:c r="C34" s="59" t="n">
        <x:v>4</x:v>
      </x:c>
      <x:c r="D34" s="47" t="str">
        <x:v>syntax_repair_raw_response</x:v>
      </x:c>
      <x:c r="E34" s="48" t="str">
        <x:v>artifacts/attempt_04/syntax_repair_raw_01.txt</x:v>
      </x:c>
      <x:c r="F34" s="47" t="str">
        <x:v>766a6c12a1b554fc04dde8e0a7285c4fbbe4651557a21150e1015204b64058fa</x:v>
      </x:c>
      <x:c r="G34" s="59" t="n">
        <x:v>9650</x:v>
      </x:c>
    </x:row>
    <x:row r="35">
      <x:c r="A35" s="47" t="str">
        <x:v>RUN-I2-030-20260830T133709457527Z</x:v>
      </x:c>
      <x:c r="B35" s="47" t="str">
        <x:v>I2-030</x:v>
      </x:c>
      <x:c r="C35" s="59" t="n">
        <x:v>4</x:v>
      </x:c>
      <x:c r="D35" s="47" t="str">
        <x:v>syntax_repair_prompt</x:v>
      </x:c>
      <x:c r="E35" s="48" t="str">
        <x:v>artifacts/attempt_04/syntax_repair_prompt_02.txt</x:v>
      </x:c>
      <x:c r="F35" s="47" t="str">
        <x:v>f7860bf4d354a99b61e1778e386fd2e10ee16d24393dbfd3ba9eefa19faa4737</x:v>
      </x:c>
      <x:c r="G35" s="59" t="n">
        <x:v>28614</x:v>
      </x:c>
    </x:row>
    <x:row r="36">
      <x:c r="A36" s="47" t="str">
        <x:v>RUN-I2-030-20260830T133709457527Z</x:v>
      </x:c>
      <x:c r="B36" s="47" t="str">
        <x:v>I2-030</x:v>
      </x:c>
      <x:c r="C36" s="59" t="n">
        <x:v>4</x:v>
      </x:c>
      <x:c r="D36" s="47" t="str">
        <x:v>syntax_repair_raw_response</x:v>
      </x:c>
      <x:c r="E36" s="48" t="str">
        <x:v>artifacts/attempt_04/syntax_repair_raw_02.txt</x:v>
      </x:c>
      <x:c r="F36" s="47" t="str">
        <x:v>4b284cebb37beccaa2db2f77a2ac038e94abd43cf69cb3d82743e31b4abc6dc5</x:v>
      </x:c>
      <x:c r="G36" s="59" t="n">
        <x:v>9822</x:v>
      </x:c>
    </x:row>
    <x:row r="37">
      <x:c r="A37" s="47" t="str">
        <x:v>RUN-I2-030-20260830T133709457527Z</x:v>
      </x:c>
      <x:c r="B37" s="47" t="str">
        <x:v>I2-030</x:v>
      </x:c>
      <x:c r="C37" s="59" t="n">
        <x:v>4</x:v>
      </x:c>
      <x:c r="D37" s="47" t="str">
        <x:v>candidate_shape</x:v>
      </x:c>
      <x:c r="E37" s="48" t="str">
        <x:v>artifacts/attempt_04/candidate_shape.ttl</x:v>
      </x:c>
      <x:c r="F37" s="47" t="str">
        <x:v>2a5d32c2710ad181abe812ac8c8b9fc8a98e914c8a9333f3358c076e8ad39249</x:v>
      </x:c>
      <x:c r="G37" s="59" t="n">
        <x:v>9797</x:v>
      </x:c>
    </x:row>
    <x:row r="38">
      <x:c r="A38" s="47" t="str">
        <x:v>RUN-I2-030-20260830T133709457527Z</x:v>
      </x:c>
      <x:c r="B38" s="47" t="str">
        <x:v>I2-030</x:v>
      </x:c>
      <x:c r="C38" s="59" t="n">
        <x:v>4</x:v>
      </x:c>
      <x:c r="D38" s="47" t="str">
        <x:v>deterministic_validation</x:v>
      </x:c>
      <x:c r="E38" s="48" t="str">
        <x:v>artifacts/attempt_04/deterministic_validation.json</x:v>
      </x:c>
      <x:c r="F38" s="47" t="str">
        <x:v>e5c2bf67e8a2a8844b8cb06fe3d495640ca3d522f303672fae43deecc1fc864b</x:v>
      </x:c>
      <x:c r="G38" s="59" t="n">
        <x:v>1896</x:v>
      </x:c>
    </x:row>
    <x:row r="39">
      <x:c r="A39" s="47" t="str">
        <x:v>RUN-I2-030-20260830T133709457527Z</x:v>
      </x:c>
      <x:c r="B39" s="47" t="str">
        <x:v>I2-030</x:v>
      </x:c>
      <x:c r="C39" s="59" t="n">
        <x:v>4</x:v>
      </x:c>
      <x:c r="D39" s="47" t="str">
        <x:v>validator_prompt</x:v>
      </x:c>
      <x:c r="E39" s="48" t="str">
        <x:v>artifacts/attempt_04/validator_prompt_01.txt</x:v>
      </x:c>
      <x:c r="F39" s="47" t="str">
        <x:v>06e9288af5a1c53e57970f8f15bc23fe89a076def142126b72351508c798b4ab</x:v>
      </x:c>
      <x:c r="G39" s="59" t="n">
        <x:v>75294</x:v>
      </x:c>
    </x:row>
    <x:row r="40">
      <x:c r="A40" s="47" t="str">
        <x:v>RUN-I2-030-20260830T133709457527Z</x:v>
      </x:c>
      <x:c r="B40" s="47" t="str">
        <x:v>I2-030</x:v>
      </x:c>
      <x:c r="C40" s="59" t="n">
        <x:v>4</x:v>
      </x:c>
      <x:c r="D40" s="47" t="str">
        <x:v>validator_raw_response</x:v>
      </x:c>
      <x:c r="E40" s="48" t="str">
        <x:v>artifacts/attempt_04/validator_raw_01.txt</x:v>
      </x:c>
      <x:c r="F40" s="47" t="str">
        <x:v>4e7cb93ea51efc983bf5f4da4cac0451b413040eccf310275c1169ea29136dee</x:v>
      </x:c>
      <x:c r="G40" s="59" t="n">
        <x:v>771</x:v>
      </x:c>
    </x:row>
    <x:row r="41">
      <x:c r="A41" s="47" t="str">
        <x:v>RUN-I2-030-20260830T133709457527Z</x:v>
      </x:c>
      <x:c r="B41" s="47" t="str">
        <x:v>I2-030</x:v>
      </x:c>
      <x:c r="C41" s="59" t="n">
        <x:v>4</x:v>
      </x:c>
      <x:c r="D41" s="47" t="str">
        <x:v>matcher_candidates</x:v>
      </x:c>
      <x:c r="E41" s="48" t="str">
        <x:v>artifacts/attempt_04/matcher_candidates.json</x:v>
      </x:c>
      <x:c r="F41" s="47" t="str">
        <x:v>aecbe6927f247fadfb044615355a03d24314b955dfa3c957cf79e5f57e9a0956</x:v>
      </x:c>
      <x:c r="G41" s="59" t="n">
        <x:v>5996</x:v>
      </x:c>
    </x:row>
    <x:row r="42">
      <x:c r="A42" s="47" t="str">
        <x:v>RUN-I2-030-20260830T133709457527Z</x:v>
      </x:c>
      <x:c r="B42" s="47" t="str">
        <x:v>I2-030</x:v>
      </x:c>
      <x:c r="C42" s="59" t="n">
        <x:v>4</x:v>
      </x:c>
      <x:c r="D42" s="47" t="str">
        <x:v>vocabulary_matcher_prompt</x:v>
      </x:c>
      <x:c r="E42" s="48" t="str">
        <x:v>artifacts/attempt_04/vocabulary_matcher_prompt_01.txt</x:v>
      </x:c>
      <x:c r="F42" s="47" t="str">
        <x:v>442982ff7e4adf52b4410092bb63bc9397952f8e4a0aba97615b1bdb2408ce7b</x:v>
      </x:c>
      <x:c r="G42" s="59" t="n">
        <x:v>15133</x:v>
      </x:c>
    </x:row>
    <x:row r="43">
      <x:c r="A43" s="49" t="str">
        <x:v>RUN-I2-030-20260830T133709457527Z</x:v>
      </x:c>
      <x:c r="B43" s="49" t="str">
        <x:v>I2-030</x:v>
      </x:c>
      <x:c r="C43" s="60" t="n">
        <x:v>4</x:v>
      </x:c>
      <x:c r="D43" s="49" t="str">
        <x:v>vocabulary_matcher_raw_response</x:v>
      </x:c>
      <x:c r="E43" s="50" t="str">
        <x:v>artifacts/attempt_04/vocabulary_matcher_raw_01.txt</x:v>
      </x:c>
      <x:c r="F43" s="49" t="str">
        <x:v>6e81aa7f8f937b2ab316fd4c5c7b94b6ed2f87781415ad5504c216b47b695cbf</x:v>
      </x:c>
      <x:c r="G43" s="60" t="n">
        <x:v>399</x:v>
      </x:c>
    </x:row>
  </x:sheetData>
  <x:pageMargins left="0.7" right="0.7" top="0.75" bottom="0.75" header="0.3" footer="0.3"/>
  <x:tableParts count="1">
    <x:tablePart xmlns:r="http://schemas.openxmlformats.org/officeDocument/2006/relationships" r:id="R8fa43e66b776443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RUN-I2-030-20260830T133709457527Z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RUN-I2-030-20260830T133709457527Z</x:v>
      </x:c>
      <x:c r="B5" s="69" t="str">
        <x:v>I2-030</x:v>
      </x:c>
      <x:c r="C5" s="71" t="n">
        <x:v>4</x:v>
      </x:c>
      <x:c r="D5" s="69" t="str">
        <x:v>MAX_ATTEMPTS_REACHED</x:v>
      </x:c>
      <x:c r="E5" s="73" t="str">
        <x:v>Reject: the conditional SPARQL branches still bind an arbitrary structural member on the ship, so applicability for plasticNeutralAxisHeight and both interpolation endpoints is not paired to the relevant calculation case and its local-frame section case/member. Preserve the prior owner corrections, COMPLEX_READINESS boundary, exact area comparison (100*A_fn &gt; 1000*t_pn*s), and strict oblique interval 20 &lt; framingAngleOmega &lt; 70. Add or locate a canonical cross-owner path that identifies the structural member/local-frame case associated with the current calculation case, then bind every applicability query through that path; do not allow unrelated ship members to satisfy the non-applicability branch.</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b9cffe4a40f54f29"/>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RUN-I2-030-20260830T133709457527Z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