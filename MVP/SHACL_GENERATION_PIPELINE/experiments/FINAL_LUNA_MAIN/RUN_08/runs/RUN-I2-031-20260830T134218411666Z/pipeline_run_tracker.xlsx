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a94cad67c144dae" /></Relationships>
</file>

<file path=xl/workbook.xml><?xml version="1.0" encoding="utf-8"?>
<x:workbook xmlns:x="http://schemas.openxmlformats.org/spreadsheetml/2006/main">
  <x:sheets>
    <x:sheet xmlns:r="http://schemas.openxmlformats.org/officeDocument/2006/relationships" name="SUMMARY" sheetId="1" r:id="R0830577d1c2047f2"/>
    <x:sheet xmlns:r="http://schemas.openxmlformats.org/officeDocument/2006/relationships" name="README" sheetId="2" r:id="Rd87facbbdb4c4fbf"/>
    <x:sheet xmlns:r="http://schemas.openxmlformats.org/officeDocument/2006/relationships" name="REGULATION_QUEUE" sheetId="3" r:id="R2843829bca8c4600"/>
    <x:sheet xmlns:r="http://schemas.openxmlformats.org/officeDocument/2006/relationships" name="RUNS" sheetId="4" r:id="Rbf5b0bf2c851481f"/>
    <x:sheet xmlns:r="http://schemas.openxmlformats.org/officeDocument/2006/relationships" name="ITERATIONS" sheetId="5" r:id="R83af0a93d7ce497e"/>
    <x:sheet xmlns:r="http://schemas.openxmlformats.org/officeDocument/2006/relationships" name="API_CALLS" sheetId="6" r:id="R062a474586da41c9"/>
    <x:sheet xmlns:r="http://schemas.openxmlformats.org/officeDocument/2006/relationships" name="TERM_RETRIEVAL" sheetId="7" r:id="Rbb189d17c2ee4d2d"/>
    <x:sheet xmlns:r="http://schemas.openxmlformats.org/officeDocument/2006/relationships" name="FEW_SHOT_SELECTION" sheetId="8" r:id="R4af3aad0d8b94066"/>
    <x:sheet xmlns:r="http://schemas.openxmlformats.org/officeDocument/2006/relationships" name="VALIDATION" sheetId="9" r:id="Re6e527d5e63b4a42"/>
    <x:sheet xmlns:r="http://schemas.openxmlformats.org/officeDocument/2006/relationships" name="VOCAB_MATCHES" sheetId="10" r:id="R34334d06969c428f"/>
    <x:sheet xmlns:r="http://schemas.openxmlformats.org/officeDocument/2006/relationships" name="ARTIFACTS" sheetId="11" r:id="R861156e80fb34b50"/>
    <x:sheet xmlns:r="http://schemas.openxmlformats.org/officeDocument/2006/relationships" name="UNRESOLVED" sheetId="12" r:id="R5107b5fbaf0c47f0"/>
    <x:sheet xmlns:r="http://schemas.openxmlformats.org/officeDocument/2006/relationships" name="RDF_TEST_QUEUE" sheetId="13" r:id="Re253547ff41d45f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0a3e39936234178" /><Relationship Type="http://schemas.openxmlformats.org/officeDocument/2006/relationships/theme" Target="/xl/theme/theme1.xml" Id="R1dd66d8be02d4268" /><Relationship Type="http://schemas.microsoft.com/office/2022/11/relationships/FeaturePropertyBag" Target="/xl/featurePropertyBag/featurePropertyBag.xml" Id="R13cba6ba808f44b0" /><Relationship Type="http://schemas.openxmlformats.org/officeDocument/2006/relationships/sharedStrings" Target="/xl/sharedStrings.xml" Id="Rbb51317f154f40aa" /><Relationship Type="http://schemas.openxmlformats.org/officeDocument/2006/relationships/worksheet" Target="/xl/worksheets/sheet1.xml" Id="R0830577d1c2047f2" /><Relationship Type="http://schemas.openxmlformats.org/officeDocument/2006/relationships/worksheet" Target="/xl/worksheets/sheet2.xml" Id="Rd87facbbdb4c4fbf" /><Relationship Type="http://schemas.openxmlformats.org/officeDocument/2006/relationships/worksheet" Target="/xl/worksheets/sheet3.xml" Id="R2843829bca8c4600" /><Relationship Type="http://schemas.openxmlformats.org/officeDocument/2006/relationships/worksheet" Target="/xl/worksheets/sheet4.xml" Id="Rbf5b0bf2c851481f" /><Relationship Type="http://schemas.openxmlformats.org/officeDocument/2006/relationships/worksheet" Target="/xl/worksheets/sheet5.xml" Id="R83af0a93d7ce497e" /><Relationship Type="http://schemas.openxmlformats.org/officeDocument/2006/relationships/worksheet" Target="/xl/worksheets/sheet6.xml" Id="R062a474586da41c9" /><Relationship Type="http://schemas.openxmlformats.org/officeDocument/2006/relationships/worksheet" Target="/xl/worksheets/sheet7.xml" Id="Rbb189d17c2ee4d2d" /><Relationship Type="http://schemas.openxmlformats.org/officeDocument/2006/relationships/worksheet" Target="/xl/worksheets/sheet8.xml" Id="R4af3aad0d8b94066" /><Relationship Type="http://schemas.openxmlformats.org/officeDocument/2006/relationships/worksheet" Target="/xl/worksheets/sheet9.xml" Id="Re6e527d5e63b4a42" /><Relationship Type="http://schemas.openxmlformats.org/officeDocument/2006/relationships/worksheet" Target="/xl/worksheets/sheet10.xml" Id="R34334d06969c428f" /><Relationship Type="http://schemas.openxmlformats.org/officeDocument/2006/relationships/worksheet" Target="/xl/worksheets/sheet11.xml" Id="R861156e80fb34b50" /><Relationship Type="http://schemas.openxmlformats.org/officeDocument/2006/relationships/worksheet" Target="/xl/worksheets/sheet12.xml" Id="R5107b5fbaf0c47f0" /><Relationship Type="http://schemas.openxmlformats.org/officeDocument/2006/relationships/worksheet" Target="/xl/worksheets/sheet13.xml" Id="Re253547ff41d45f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557254ab87b42e9" /></Relationships>
</file>

<file path=xl/worksheets/_rels/sheet3.xml.rels>&#65279;<?xml version="1.0" encoding="utf-8"?><Relationships xmlns="http://schemas.openxmlformats.org/package/2006/relationships"><Relationship Type="http://schemas.openxmlformats.org/officeDocument/2006/relationships/table" Target="/xl/tables/table2.xml" Id="R049d619b7b664303" /></Relationships>
</file>

<file path=xl/worksheets/_rels/sheet4.xml.rels>&#65279;<?xml version="1.0" encoding="utf-8"?><Relationships xmlns="http://schemas.openxmlformats.org/package/2006/relationships"><Relationship Type="http://schemas.openxmlformats.org/officeDocument/2006/relationships/table" Target="/xl/tables/table3.xml" Id="R005e387f92344393" /></Relationships>
</file>

<file path=xl/worksheets/_rels/sheet5.xml.rels>&#65279;<?xml version="1.0" encoding="utf-8"?><Relationships xmlns="http://schemas.openxmlformats.org/package/2006/relationships"><Relationship Type="http://schemas.openxmlformats.org/officeDocument/2006/relationships/table" Target="/xl/tables/table4.xml" Id="R4c6003d6d77e4650" /></Relationships>
</file>

<file path=xl/worksheets/_rels/sheet6.xml.rels>&#65279;<?xml version="1.0" encoding="utf-8"?><Relationships xmlns="http://schemas.openxmlformats.org/package/2006/relationships"><Relationship Type="http://schemas.openxmlformats.org/officeDocument/2006/relationships/table" Target="/xl/tables/table5.xml" Id="Rb11ee3c818e34ee4" /></Relationships>
</file>

<file path=xl/worksheets/_rels/sheet7.xml.rels>&#65279;<?xml version="1.0" encoding="utf-8"?><Relationships xmlns="http://schemas.openxmlformats.org/package/2006/relationships"><Relationship Type="http://schemas.openxmlformats.org/officeDocument/2006/relationships/table" Target="/xl/tables/table6.xml" Id="R37d72e06c5a04886" /></Relationships>
</file>

<file path=xl/worksheets/_rels/sheet8.xml.rels>&#65279;<?xml version="1.0" encoding="utf-8"?><Relationships xmlns="http://schemas.openxmlformats.org/package/2006/relationships"><Relationship Type="http://schemas.openxmlformats.org/officeDocument/2006/relationships/table" Target="/xl/tables/table7.xml" Id="R47479bcda9ec493f" /></Relationships>
</file>

<file path=xl/worksheets/_rels/sheet9.xml.rels>&#65279;<?xml version="1.0" encoding="utf-8"?><Relationships xmlns="http://schemas.openxmlformats.org/package/2006/relationships"><Relationship Type="http://schemas.openxmlformats.org/officeDocument/2006/relationships/table" Target="/xl/tables/table8.xml" Id="R99605e4582014f1b" /></Relationships>
</file>

<file path=xl/worksheets/_rels/sheet10.xml.rels>&#65279;<?xml version="1.0" encoding="utf-8"?><Relationships xmlns="http://schemas.openxmlformats.org/package/2006/relationships"><Relationship Type="http://schemas.openxmlformats.org/officeDocument/2006/relationships/table" Target="/xl/tables/table9.xml" Id="R1dbbeee70a16422f" /></Relationships>
</file>

<file path=xl/worksheets/_rels/sheet11.xml.rels>&#65279;<?xml version="1.0" encoding="utf-8"?><Relationships xmlns="http://schemas.openxmlformats.org/package/2006/relationships"><Relationship Type="http://schemas.openxmlformats.org/officeDocument/2006/relationships/table" Target="/xl/tables/table10.xml" Id="Ra90a33a30be94017" /></Relationships>
</file>

<file path=xl/worksheets/_rels/sheet12.xml.rels>&#65279;<?xml version="1.0" encoding="utf-8"?><Relationships xmlns="http://schemas.openxmlformats.org/package/2006/relationships"><Relationship Type="http://schemas.openxmlformats.org/officeDocument/2006/relationships/table" Target="/xl/tables/table11.xml" Id="R4d64012ea868417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RUN-I2-031-20260830T134218411666Z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COUNTA('API_CALLS'!$A$5:$A$18)</x:f>
        <x:v>14</x:v>
      </x:c>
      <x:c r="C9" s="21"/>
      <x:c r="D9" s="21"/>
    </x:row>
    <x:row r="10">
      <x:c r="A10" s="27" t="str">
        <x:v>Mean API/LLM elapsed ms</x:v>
      </x:c>
      <x:c r="B10" s="28" t="n">
        <x:f>IFERROR(AVERAGE('API_CALLS'!$K$5:$K$18),0)</x:f>
        <x:v>22373.467214285713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RUN-I2-031-20260830T134218411666Z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1557254ab87b42e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RUN-I2-031-20260830T134218411666Z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TERM_RESOLUTION_UNRESOLVED</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49d619b7b66430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RUN-I2-031-20260830T134218411666Z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SESSION-BATCH-20260830T130455733132Z</x:v>
      </x:c>
      <x:c r="B5" s="69" t="str">
        <x:v>RUN-I2-031-20260830T134218411666Z</x:v>
      </x:c>
      <x:c r="C5" s="69" t="str">
        <x:v>I2-031</x:v>
      </x:c>
      <x:c r="D5" s="70" t="n">
        <x:v>46264.571046446756</x:v>
      </x:c>
      <x:c r="E5" s="70" t="n">
        <x:v>46264.572892523145</x:v>
      </x:c>
      <x:c r="F5" s="69" t="str">
        <x:v>final-luna-main-run08</x:v>
      </x:c>
      <x:c r="G5" s="69" t="str">
        <x:v>VOCAB-LOCK-2026-08-22-R13</x:v>
      </x:c>
      <x:c r="H5" s="71" t="n">
        <x:v>3</x:v>
      </x:c>
      <x:c r="I5" s="69" t="str">
        <x:v>TERM_RESOLUTION_UNRESOLVED</x:v>
      </x:c>
      <x:c r="J5" s="72" t="b">
        <x:v>0</x:v>
      </x:c>
      <x:c r="K5" s="69" t="str"/>
      <x:c r="L5" s="73" t="str">
        <x:v>No supplied candidate is a verified canonical relationship or evidence term for linking the member midspanPlasticCollapseLoad definition to the ship-owned plasticCollapseMechanism.</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05e387f9234439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RUN-I2-031-20260830T134218411666Z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RUN-I2-031-20260830T134218411666Z</x:v>
      </x:c>
      <x:c r="B5" s="45" t="str">
        <x:v>I2-031</x:v>
      </x:c>
      <x:c r="C5" s="58" t="n">
        <x:v>1</x:v>
      </x:c>
      <x:c r="D5" s="83" t="b">
        <x:v>1</x:v>
      </x:c>
      <x:c r="E5" s="83" t="b">
        <x:v>0</x:v>
      </x:c>
      <x:c r="F5" s="83" t="b">
        <x:v>0</x:v>
      </x:c>
      <x:c r="G5" s="45" t="str">
        <x:v>REVISE</x:v>
      </x:c>
      <x:c r="H5" s="46" t="str">
        <x:v>Although deterministic validation is valid, the graph is not semantically complete. Remove the guessed xsd:decimal datatype and KiloN unit constraints from combinedShearAndBendingDemand (canonical metadata declares neither); do not impose them through the shared quantity shape unless declared metadata supports them. Encode the declared definition linking plasticStrength to the midspanPlasticCollapseLoad that produces the plastic collapse mechanism; merely requiring both quantities and a free-form plasticCollapseMechanism string is a presence-only approximation and the comparison query omits midspanPlasticCollapseLoad. Also constrain the side-structure alternative to transverse local frames using the supplied nltl:transverseFrameOrientation term, as the requirement applies to transverse local frames in side structures, not arbitrary side members. Preserve the demand &lt;= plasticStrength comparison and bottom-only orientation alternative.</x:v>
      </x:c>
      <x:c r="I5" s="84" t="n">
        <x:v>30283.728</x:v>
      </x:c>
      <x:c r="J5" s="84" t="n">
        <x:v>19160.169</x:v>
      </x:c>
    </x:row>
    <x:row r="6">
      <x:c r="A6" s="47" t="str">
        <x:v>RUN-I2-031-20260830T134218411666Z</x:v>
      </x:c>
      <x:c r="B6" s="47" t="str">
        <x:v>I2-031</x:v>
      </x:c>
      <x:c r="C6" s="59" t="n">
        <x:v>2</x:v>
      </x:c>
      <x:c r="D6" s="85" t="b">
        <x:v>1</x:v>
      </x:c>
      <x:c r="E6" s="85" t="b">
        <x:v>0</x:v>
      </x:c>
      <x:c r="F6" s="85" t="b">
        <x:v>0</x:v>
      </x:c>
      <x:c r="G6" s="47" t="str">
        <x:v>REVISE</x:v>
      </x:c>
      <x:c r="H6" s="48" t="str">
        <x:v>Deterministic validation is valid, but the graph remains semantically incomplete. Preserve the prior instructions: remove the guessed xsd:decimal constraint from the shared quantity shape (canonical metadata declares no numericValue datatype); do not impose datatype or KiloN unit constraints on combinedShearAndBendingDemand, whose canonical metadata declares neither. The plastic-strength definition is still only approximated: the tolerance query compares plasticStrength with midspanPlasticCollapseLoad, but plasticCollapseMechanism remains an unrelated free-form ship string and is not encoded as the mechanism produced by that midspan load. Add the available canonical relationship/evidence structure needed to bind the midspan collapse load to the plastic collapse mechanism, or otherwise encode that declared linkage without inventing a term. Retain the demand &lt;= plasticStrength direction and the bottom-orientation and transverse-side applicability alternatives.</x:v>
      </x:c>
      <x:c r="I6" s="86" t="n">
        <x:v>37063.956</x:v>
      </x:c>
      <x:c r="J6" s="86" t="n">
        <x:v>19984.468</x:v>
      </x:c>
    </x:row>
    <x:row r="7">
      <x:c r="A7" s="49" t="str">
        <x:v>RUN-I2-031-20260830T134218411666Z</x:v>
      </x:c>
      <x:c r="B7" s="49" t="str">
        <x:v>I2-031</x:v>
      </x:c>
      <x:c r="C7" s="60" t="n">
        <x:v>3</x:v>
      </x:c>
      <x:c r="D7" s="87" t="b">
        <x:v>0</x:v>
      </x:c>
      <x:c r="E7" s="87" t="b">
        <x:v>0</x:v>
      </x:c>
      <x:c r="F7" s="87" t="b">
        <x:v>1</x:v>
      </x:c>
      <x:c r="G7" s="49" t="str">
        <x:v>STOP_TERM_RESOLUTION</x:v>
      </x:c>
      <x:c r="H7" s="50" t="str">
        <x:v>Deterministic validation prevents acceptance. Fix: COMPLETE dependency relationship(s) absent from candidate: frameProfileType
Semantic validator feedback: Preserve the prior instructions: retain the bottom-orientation versus transverse-side applicability alternatives, the demand &lt;= member plasticStrength direction, and the declared datatypes/units only where canonical metadata supports them. Add the COMPLETE dependency relationship nltl:frameProfileType on the supplied ship owner with appropriate cardinality and range structure; do not relocate it. Remove the ship-level nltl:plasticStrength and nltl:midspanPlasticCollapseLoad paths from the SPARQL query, because both properties belong to each structuralMember and those paths create needless indirection and accidental pass logic. Compare each member's combinedShearAndBendingDemand from its load case against that same member's plasticStrength, and bind the member midspanPlasticCollapseLoad definition to the ship-owned plasticCollapseMechanism rather than treating the mechanism as an unrelated presence-only string. Locate a canonical relationship or evidence term for that collapse-mechanism linkage; do not invent one. Replace unsupported ABS() with a bounded DIRECT_STATIC-compatible tolerance expression, scaled from the expected midspan formula result, while preserving non-exact derived-value comparison. Add the canonical KiloN unit constraint to patchLoad if constraining that declared recommended unit, but do not impose a datatype or unit on combinedShearAndBendingDemand.</x:v>
      </x:c>
      <x:c r="I7" s="88" t="n">
        <x:v>27956.98</x:v>
      </x:c>
      <x:c r="J7" s="88" t="n">
        <x:v>19985.668</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4c6003d6d77e465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RUN-I2-031-20260830T134218411666Z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EVT-000038</x:v>
      </x:c>
      <x:c r="B5" s="45" t="str">
        <x:v>RUN-I2-031-20260830T134218411666Z</x:v>
      </x:c>
      <x:c r="C5" s="45" t="str">
        <x:v>I2-031</x:v>
      </x:c>
      <x:c r="D5" s="92" t="n">
        <x:v>46264.57139695602</x:v>
      </x:c>
      <x:c r="E5" s="45" t="str">
        <x:v>generator</x:v>
      </x:c>
      <x:c r="F5" s="45" t="str">
        <x:v>gpt-5.6-luna-2026-07-09</x:v>
      </x:c>
      <x:c r="G5" s="45" t="n">
        <x:v>1</x:v>
      </x:c>
      <x:c r="H5" s="45" t="n">
        <x:v>200</x:v>
      </x:c>
      <x:c r="I5" s="45" t="str">
        <x:v>Ocp-Apim-Subscription-Key</x:v>
      </x:c>
      <x:c r="J5" s="84" t="n">
        <x:v>0</x:v>
      </x:c>
      <x:c r="K5" s="84" t="n">
        <x:v>30282.19</x:v>
      </x:c>
      <x:c r="L5" s="83" t="b">
        <x:v>0</x:v>
      </x:c>
      <x:c r="M5" s="45" t="str"/>
      <x:c r="N5" s="58" t="str"/>
      <x:c r="O5" s="58" t="str"/>
      <x:c r="P5" s="58" t="str"/>
    </x:row>
    <x:row r="6">
      <x:c r="A6" s="47" t="str">
        <x:v>EVT-000039</x:v>
      </x:c>
      <x:c r="B6" s="47" t="str">
        <x:v>RUN-I2-031-20260830T134218411666Z</x:v>
      </x:c>
      <x:c r="C6" s="47" t="str">
        <x:v>I2-031</x:v>
      </x:c>
      <x:c r="D6" s="93" t="n">
        <x:v>46264.57139697917</x:v>
      </x:c>
      <x:c r="E6" s="47" t="str">
        <x:v>generator</x:v>
      </x:c>
      <x:c r="F6" s="47" t="str">
        <x:v>gpt-5.6-luna-2026-07-09</x:v>
      </x:c>
      <x:c r="G6" s="47" t="n">
        <x:v>1</x:v>
      </x:c>
      <x:c r="H6" s="47" t="str">
        <x:v>COMPLETED</x:v>
      </x:c>
      <x:c r="I6" s="47" t="str"/>
      <x:c r="J6" s="86" t="n">
        <x:v>0</x:v>
      </x:c>
      <x:c r="K6" s="86" t="n">
        <x:v>30283.728</x:v>
      </x:c>
      <x:c r="L6" s="85" t="b">
        <x:v>0</x:v>
      </x:c>
      <x:c r="M6" s="47" t="str">
        <x:v>resp_03089ef6948fcb86006a94333ad970819389158b7ecbc214b0</x:v>
      </x:c>
      <x:c r="N6" s="59" t="n">
        <x:v>12990</x:v>
      </x:c>
      <x:c r="O6" s="59" t="n">
        <x:v>3388</x:v>
      </x:c>
      <x:c r="P6" s="59" t="n">
        <x:v>16378</x:v>
      </x:c>
    </x:row>
    <x:row r="7">
      <x:c r="A7" s="47" t="str">
        <x:v>EVT-000046</x:v>
      </x:c>
      <x:c r="B7" s="47" t="str">
        <x:v>RUN-I2-031-20260830T134218411666Z</x:v>
      </x:c>
      <x:c r="C7" s="47" t="str">
        <x:v>I2-031</x:v>
      </x:c>
      <x:c r="D7" s="93" t="n">
        <x:v>46264.57162094907</x:v>
      </x:c>
      <x:c r="E7" s="47" t="str">
        <x:v>validator</x:v>
      </x:c>
      <x:c r="F7" s="47" t="str">
        <x:v>gpt-5.6-luna-2026-07-09</x:v>
      </x:c>
      <x:c r="G7" s="47" t="n">
        <x:v>1</x:v>
      </x:c>
      <x:c r="H7" s="47" t="n">
        <x:v>200</x:v>
      </x:c>
      <x:c r="I7" s="47" t="str">
        <x:v>Ocp-Apim-Subscription-Key</x:v>
      </x:c>
      <x:c r="J7" s="86" t="n">
        <x:v>0</x:v>
      </x:c>
      <x:c r="K7" s="86" t="n">
        <x:v>19158.642</x:v>
      </x:c>
      <x:c r="L7" s="85" t="b">
        <x:v>0</x:v>
      </x:c>
      <x:c r="M7" s="47" t="str"/>
      <x:c r="N7" s="59" t="str"/>
      <x:c r="O7" s="59" t="str"/>
      <x:c r="P7" s="59" t="str"/>
    </x:row>
    <x:row r="8">
      <x:c r="A8" s="47" t="str">
        <x:v>EVT-000047</x:v>
      </x:c>
      <x:c r="B8" s="47" t="str">
        <x:v>RUN-I2-031-20260830T134218411666Z</x:v>
      </x:c>
      <x:c r="C8" s="47" t="str">
        <x:v>I2-031</x:v>
      </x:c>
      <x:c r="D8" s="93" t="n">
        <x:v>46264.57162096065</x:v>
      </x:c>
      <x:c r="E8" s="47" t="str">
        <x:v>validator</x:v>
      </x:c>
      <x:c r="F8" s="47" t="str">
        <x:v>gpt-5.6-luna-2026-07-09</x:v>
      </x:c>
      <x:c r="G8" s="47" t="n">
        <x:v>1</x:v>
      </x:c>
      <x:c r="H8" s="47" t="str">
        <x:v>COMPLETED</x:v>
      </x:c>
      <x:c r="I8" s="47" t="str"/>
      <x:c r="J8" s="86" t="n">
        <x:v>0</x:v>
      </x:c>
      <x:c r="K8" s="86" t="n">
        <x:v>19160.169</x:v>
      </x:c>
      <x:c r="L8" s="85" t="b">
        <x:v>0</x:v>
      </x:c>
      <x:c r="M8" s="47" t="str">
        <x:v>resp_02e89d31ff4bfa13006a94335918148196a580cde8e4679db3</x:v>
      </x:c>
      <x:c r="N8" s="59" t="n">
        <x:v>14595</x:v>
      </x:c>
      <x:c r="O8" s="59" t="n">
        <x:v>1720</x:v>
      </x:c>
      <x:c r="P8" s="59" t="n">
        <x:v>16315</x:v>
      </x:c>
    </x:row>
    <x:row r="9">
      <x:c r="A9" s="47" t="str">
        <x:v>EVT-000052</x:v>
      </x:c>
      <x:c r="B9" s="47" t="str">
        <x:v>RUN-I2-031-20260830T134218411666Z</x:v>
      </x:c>
      <x:c r="C9" s="47" t="str">
        <x:v>I2-031</x:v>
      </x:c>
      <x:c r="D9" s="93" t="n">
        <x:v>46264.57204997685</x:v>
      </x:c>
      <x:c r="E9" s="47" t="str">
        <x:v>generator</x:v>
      </x:c>
      <x:c r="F9" s="47" t="str">
        <x:v>gpt-5.6-luna-2026-07-09</x:v>
      </x:c>
      <x:c r="G9" s="47" t="n">
        <x:v>1</x:v>
      </x:c>
      <x:c r="H9" s="47" t="n">
        <x:v>200</x:v>
      </x:c>
      <x:c r="I9" s="47" t="str">
        <x:v>Ocp-Apim-Subscription-Key</x:v>
      </x:c>
      <x:c r="J9" s="86" t="n">
        <x:v>0</x:v>
      </x:c>
      <x:c r="K9" s="86" t="n">
        <x:v>37062.244</x:v>
      </x:c>
      <x:c r="L9" s="85" t="b">
        <x:v>0</x:v>
      </x:c>
      <x:c r="M9" s="47" t="str"/>
      <x:c r="N9" s="59" t="str"/>
      <x:c r="O9" s="59" t="str"/>
      <x:c r="P9" s="59" t="str"/>
    </x:row>
    <x:row r="10">
      <x:c r="A10" s="47" t="str">
        <x:v>EVT-000053</x:v>
      </x:c>
      <x:c r="B10" s="47" t="str">
        <x:v>RUN-I2-031-20260830T134218411666Z</x:v>
      </x:c>
      <x:c r="C10" s="47" t="str">
        <x:v>I2-031</x:v>
      </x:c>
      <x:c r="D10" s="93" t="n">
        <x:v>46264.57205</x:v>
      </x:c>
      <x:c r="E10" s="47" t="str">
        <x:v>generator</x:v>
      </x:c>
      <x:c r="F10" s="47" t="str">
        <x:v>gpt-5.6-luna-2026-07-09</x:v>
      </x:c>
      <x:c r="G10" s="47" t="n">
        <x:v>1</x:v>
      </x:c>
      <x:c r="H10" s="47" t="str">
        <x:v>COMPLETED</x:v>
      </x:c>
      <x:c r="I10" s="47" t="str"/>
      <x:c r="J10" s="86" t="n">
        <x:v>0</x:v>
      </x:c>
      <x:c r="K10" s="86" t="n">
        <x:v>37063.956</x:v>
      </x:c>
      <x:c r="L10" s="85" t="b">
        <x:v>0</x:v>
      </x:c>
      <x:c r="M10" s="47" t="str">
        <x:v>resp_05f297c9238b01cc006a94336c402c8193a6c9f3c86efa3ad7</x:v>
      </x:c>
      <x:c r="N10" s="59" t="n">
        <x:v>13152</x:v>
      </x:c>
      <x:c r="O10" s="59" t="n">
        <x:v>3949</x:v>
      </x:c>
      <x:c r="P10" s="59" t="n">
        <x:v>17101</x:v>
      </x:c>
    </x:row>
    <x:row r="11">
      <x:c r="A11" s="47" t="str">
        <x:v>EVT-000060</x:v>
      </x:c>
      <x:c r="B11" s="47" t="str">
        <x:v>RUN-I2-031-20260830T134218411666Z</x:v>
      </x:c>
      <x:c r="C11" s="47" t="str">
        <x:v>I2-031</x:v>
      </x:c>
      <x:c r="D11" s="93" t="n">
        <x:v>46264.57228344907</x:v>
      </x:c>
      <x:c r="E11" s="47" t="str">
        <x:v>validator</x:v>
      </x:c>
      <x:c r="F11" s="47" t="str">
        <x:v>gpt-5.6-luna-2026-07-09</x:v>
      </x:c>
      <x:c r="G11" s="47" t="n">
        <x:v>1</x:v>
      </x:c>
      <x:c r="H11" s="47" t="n">
        <x:v>200</x:v>
      </x:c>
      <x:c r="I11" s="47" t="str">
        <x:v>Ocp-Apim-Subscription-Key</x:v>
      </x:c>
      <x:c r="J11" s="86" t="n">
        <x:v>0</x:v>
      </x:c>
      <x:c r="K11" s="86" t="n">
        <x:v>19983.952</x:v>
      </x:c>
      <x:c r="L11" s="85" t="b">
        <x:v>0</x:v>
      </x:c>
      <x:c r="M11" s="47" t="str"/>
      <x:c r="N11" s="59" t="str"/>
      <x:c r="O11" s="59" t="str"/>
      <x:c r="P11" s="59" t="str"/>
    </x:row>
    <x:row r="12">
      <x:c r="A12" s="47" t="str">
        <x:v>EVT-000061</x:v>
      </x:c>
      <x:c r="B12" s="47" t="str">
        <x:v>RUN-I2-031-20260830T134218411666Z</x:v>
      </x:c>
      <x:c r="C12" s="47" t="str">
        <x:v>I2-031</x:v>
      </x:c>
      <x:c r="D12" s="93" t="n">
        <x:v>46264.57228346065</x:v>
      </x:c>
      <x:c r="E12" s="47" t="str">
        <x:v>validator</x:v>
      </x:c>
      <x:c r="F12" s="47" t="str">
        <x:v>gpt-5.6-luna-2026-07-09</x:v>
      </x:c>
      <x:c r="G12" s="47" t="n">
        <x:v>1</x:v>
      </x:c>
      <x:c r="H12" s="47" t="str">
        <x:v>COMPLETED</x:v>
      </x:c>
      <x:c r="I12" s="47" t="str"/>
      <x:c r="J12" s="86" t="n">
        <x:v>0</x:v>
      </x:c>
      <x:c r="K12" s="86" t="n">
        <x:v>19984.468</x:v>
      </x:c>
      <x:c r="L12" s="85" t="b">
        <x:v>0</x:v>
      </x:c>
      <x:c r="M12" s="47" t="str">
        <x:v>resp_0adfd80006887fe5006a94339181c48193bc21a05b27c6e1bf</x:v>
      </x:c>
      <x:c r="N12" s="59" t="n">
        <x:v>15068</x:v>
      </x:c>
      <x:c r="O12" s="59" t="n">
        <x:v>1705</x:v>
      </x:c>
      <x:c r="P12" s="59" t="n">
        <x:v>16773</x:v>
      </x:c>
    </x:row>
    <x:row r="13">
      <x:c r="A13" s="47" t="str">
        <x:v>EVT-000067</x:v>
      </x:c>
      <x:c r="B13" s="47" t="str">
        <x:v>RUN-I2-031-20260830T134218411666Z</x:v>
      </x:c>
      <x:c r="C13" s="47" t="str">
        <x:v>I2-031</x:v>
      </x:c>
      <x:c r="D13" s="93" t="n">
        <x:v>46264.57260704861</x:v>
      </x:c>
      <x:c r="E13" s="47" t="str">
        <x:v>generator</x:v>
      </x:c>
      <x:c r="F13" s="47" t="str">
        <x:v>gpt-5.6-luna-2026-07-09</x:v>
      </x:c>
      <x:c r="G13" s="47" t="n">
        <x:v>1</x:v>
      </x:c>
      <x:c r="H13" s="47" t="n">
        <x:v>200</x:v>
      </x:c>
      <x:c r="I13" s="47" t="str">
        <x:v>Ocp-Apim-Subscription-Key</x:v>
      </x:c>
      <x:c r="J13" s="86" t="n">
        <x:v>0</x:v>
      </x:c>
      <x:c r="K13" s="86" t="n">
        <x:v>27955.288</x:v>
      </x:c>
      <x:c r="L13" s="85" t="b">
        <x:v>0</x:v>
      </x:c>
      <x:c r="M13" s="47" t="str"/>
      <x:c r="N13" s="59" t="str"/>
      <x:c r="O13" s="59" t="str"/>
      <x:c r="P13" s="59" t="str"/>
    </x:row>
    <x:row r="14">
      <x:c r="A14" s="47" t="str">
        <x:v>EVT-000068</x:v>
      </x:c>
      <x:c r="B14" s="47" t="str">
        <x:v>RUN-I2-031-20260830T134218411666Z</x:v>
      </x:c>
      <x:c r="C14" s="47" t="str">
        <x:v>I2-031</x:v>
      </x:c>
      <x:c r="D14" s="93" t="n">
        <x:v>46264.57260707176</x:v>
      </x:c>
      <x:c r="E14" s="47" t="str">
        <x:v>generator</x:v>
      </x:c>
      <x:c r="F14" s="47" t="str">
        <x:v>gpt-5.6-luna-2026-07-09</x:v>
      </x:c>
      <x:c r="G14" s="47" t="n">
        <x:v>1</x:v>
      </x:c>
      <x:c r="H14" s="47" t="str">
        <x:v>COMPLETED</x:v>
      </x:c>
      <x:c r="I14" s="47" t="str"/>
      <x:c r="J14" s="86" t="n">
        <x:v>0</x:v>
      </x:c>
      <x:c r="K14" s="86" t="n">
        <x:v>27956.98</x:v>
      </x:c>
      <x:c r="L14" s="85" t="b">
        <x:v>0</x:v>
      </x:c>
      <x:c r="M14" s="47" t="str">
        <x:v>resp_07c93b52a158797b006a9433a57f648194aeca1eaeba138c2f</x:v>
      </x:c>
      <x:c r="N14" s="59" t="n">
        <x:v>13325</x:v>
      </x:c>
      <x:c r="O14" s="59" t="n">
        <x:v>3320</x:v>
      </x:c>
      <x:c r="P14" s="59" t="n">
        <x:v>16645</x:v>
      </x:c>
    </x:row>
    <x:row r="15">
      <x:c r="A15" s="47" t="str">
        <x:v>EVT-000075</x:v>
      </x:c>
      <x:c r="B15" s="47" t="str">
        <x:v>RUN-I2-031-20260830T134218411666Z</x:v>
      </x:c>
      <x:c r="C15" s="47" t="str">
        <x:v>I2-031</x:v>
      </x:c>
      <x:c r="D15" s="93" t="n">
        <x:v>46264.57284042824</x:v>
      </x:c>
      <x:c r="E15" s="47" t="str">
        <x:v>validator</x:v>
      </x:c>
      <x:c r="F15" s="47" t="str">
        <x:v>gpt-5.6-luna-2026-07-09</x:v>
      </x:c>
      <x:c r="G15" s="47" t="n">
        <x:v>1</x:v>
      </x:c>
      <x:c r="H15" s="47" t="n">
        <x:v>200</x:v>
      </x:c>
      <x:c r="I15" s="47" t="str">
        <x:v>Ocp-Apim-Subscription-Key</x:v>
      </x:c>
      <x:c r="J15" s="86" t="n">
        <x:v>0</x:v>
      </x:c>
      <x:c r="K15" s="86" t="n">
        <x:v>19984.695</x:v>
      </x:c>
      <x:c r="L15" s="85" t="b">
        <x:v>0</x:v>
      </x:c>
      <x:c r="M15" s="47" t="str"/>
      <x:c r="N15" s="59" t="str"/>
      <x:c r="O15" s="59" t="str"/>
      <x:c r="P15" s="59" t="str"/>
    </x:row>
    <x:row r="16">
      <x:c r="A16" s="47" t="str">
        <x:v>EVT-000076</x:v>
      </x:c>
      <x:c r="B16" s="47" t="str">
        <x:v>RUN-I2-031-20260830T134218411666Z</x:v>
      </x:c>
      <x:c r="C16" s="47" t="str">
        <x:v>I2-031</x:v>
      </x:c>
      <x:c r="D16" s="93" t="n">
        <x:v>46264.57284043982</x:v>
      </x:c>
      <x:c r="E16" s="47" t="str">
        <x:v>validator</x:v>
      </x:c>
      <x:c r="F16" s="47" t="str">
        <x:v>gpt-5.6-luna-2026-07-09</x:v>
      </x:c>
      <x:c r="G16" s="47" t="n">
        <x:v>1</x:v>
      </x:c>
      <x:c r="H16" s="47" t="str">
        <x:v>COMPLETED</x:v>
      </x:c>
      <x:c r="I16" s="47" t="str"/>
      <x:c r="J16" s="86" t="n">
        <x:v>0</x:v>
      </x:c>
      <x:c r="K16" s="86" t="n">
        <x:v>19985.668</x:v>
      </x:c>
      <x:c r="L16" s="85" t="b">
        <x:v>0</x:v>
      </x:c>
      <x:c r="M16" s="47" t="str">
        <x:v>resp_0cae79d073ec0189006a9433c1a8648197a2e0b2e5e1ec13f6</x:v>
      </x:c>
      <x:c r="N16" s="59" t="n">
        <x:v>14527</x:v>
      </x:c>
      <x:c r="O16" s="59" t="n">
        <x:v>1830</x:v>
      </x:c>
      <x:c r="P16" s="59" t="n">
        <x:v>16357</x:v>
      </x:c>
    </x:row>
    <x:row r="17">
      <x:c r="A17" s="47" t="str">
        <x:v>EVT-000083</x:v>
      </x:c>
      <x:c r="B17" s="47" t="str">
        <x:v>RUN-I2-031-20260830T134218411666Z</x:v>
      </x:c>
      <x:c r="C17" s="47" t="str">
        <x:v>I2-031</x:v>
      </x:c>
      <x:c r="D17" s="93" t="n">
        <x:v>46264.57289246528</x:v>
      </x:c>
      <x:c r="E17" s="47" t="str">
        <x:v>vocabulary_matcher</x:v>
      </x:c>
      <x:c r="F17" s="47" t="str">
        <x:v>gpt-5.6-luna-2026-07-09</x:v>
      </x:c>
      <x:c r="G17" s="47" t="n">
        <x:v>1</x:v>
      </x:c>
      <x:c r="H17" s="47" t="n">
        <x:v>200</x:v>
      </x:c>
      <x:c r="I17" s="47" t="str">
        <x:v>Ocp-Apim-Subscription-Key</x:v>
      </x:c>
      <x:c r="J17" s="86" t="n">
        <x:v>0</x:v>
      </x:c>
      <x:c r="K17" s="86" t="n">
        <x:v>2182.572</x:v>
      </x:c>
      <x:c r="L17" s="85" t="b">
        <x:v>0</x:v>
      </x:c>
      <x:c r="M17" s="47" t="str"/>
      <x:c r="N17" s="59" t="str"/>
      <x:c r="O17" s="59" t="str"/>
      <x:c r="P17" s="59" t="str"/>
    </x:row>
    <x:row r="18">
      <x:c r="A18" s="49" t="str">
        <x:v>EVT-000084</x:v>
      </x:c>
      <x:c r="B18" s="49" t="str">
        <x:v>RUN-I2-031-20260830T134218411666Z</x:v>
      </x:c>
      <x:c r="C18" s="49" t="str">
        <x:v>I2-031</x:v>
      </x:c>
      <x:c r="D18" s="94" t="n">
        <x:v>46264.572892476855</x:v>
      </x:c>
      <x:c r="E18" s="49" t="str">
        <x:v>vocabulary_matcher</x:v>
      </x:c>
      <x:c r="F18" s="49" t="str">
        <x:v>gpt-5.6-luna-2026-07-09</x:v>
      </x:c>
      <x:c r="G18" s="49" t="n">
        <x:v>1</x:v>
      </x:c>
      <x:c r="H18" s="49" t="str">
        <x:v>COMPLETED</x:v>
      </x:c>
      <x:c r="I18" s="49" t="str"/>
      <x:c r="J18" s="88" t="n">
        <x:v>0</x:v>
      </x:c>
      <x:c r="K18" s="88" t="n">
        <x:v>2183.989</x:v>
      </x:c>
      <x:c r="L18" s="87" t="b">
        <x:v>0</x:v>
      </x:c>
      <x:c r="M18" s="49" t="str">
        <x:v>resp_0b257eb33512eac5006a9433d7d7d48193b37002f14c995890</x:v>
      </x:c>
      <x:c r="N18" s="60" t="n">
        <x:v>4040</x:v>
      </x:c>
      <x:c r="O18" s="60" t="n">
        <x:v>186</x:v>
      </x:c>
      <x:c r="P18" s="60" t="n">
        <x:v>4226</x:v>
      </x:c>
    </x:row>
  </x:sheetData>
  <x:conditionalFormatting sqref="H5:H1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11ee3c818e34ee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RUN-I2-031-20260830T134218411666Z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RUN-I2-031-20260830T134218411666Z</x:v>
      </x:c>
      <x:c r="B5" s="45" t="str">
        <x:v>I2-031</x:v>
      </x:c>
      <x:c r="C5" s="45" t="str">
        <x:v>benchmarkEntity</x:v>
      </x:c>
      <x:c r="D5" s="46" t="str">
        <x:v>https://w3id.org/nltl/vocab#benchmarkEntity</x:v>
      </x:c>
      <x:c r="E5" s="45" t="str">
        <x:v>Class</x:v>
      </x:c>
      <x:c r="F5" s="45" t="str"/>
      <x:c r="G5" s="45" t="str"/>
      <x:c r="H5" s="45" t="str"/>
      <x:c r="I5" s="46" t="str">
        <x:v>baseline target infrastructure; domain dependency of combinedShearBendingEffect; domain dependency of frameProfileType; domain dependency of patchLoad; domain dependency of plasticCollapseMechanism; range dependency of loadPatchOrientationValue; range dependency of structuralLocationValue</x:v>
      </x:c>
      <x:c r="J5" s="45" t="n">
        <x:v>0</x:v>
      </x:c>
    </x:row>
    <x:row r="6">
      <x:c r="A6" s="47" t="str">
        <x:v>RUN-I2-031-20260830T134218411666Z</x:v>
      </x:c>
      <x:c r="B6" s="47" t="str">
        <x:v>I2-031</x:v>
      </x:c>
      <x:c r="C6" s="47" t="str">
        <x:v>bottomStructureLocation</x:v>
      </x:c>
      <x:c r="D6" s="48" t="str">
        <x:v>https://w3id.org/nltl/vocab#bottomStructureLocation</x:v>
      </x:c>
      <x:c r="E6" s="47" t="str">
        <x:v>NamedIndividual</x:v>
      </x:c>
      <x:c r="F6" s="47" t="str"/>
      <x:c r="G6" s="47" t="str">
        <x:v>https://w3id.org/nltl/vocab#structuralLocationValue</x:v>
      </x:c>
      <x:c r="H6" s="47" t="str"/>
      <x:c r="I6" s="48" t="str">
        <x:v>controlled value permitted by the range of bottomStructureLocation; controlled value permitted by the range of sideStructureLocation; controlled value permitted by the range of structuralLocation; linked by the locked 313-requirement index</x:v>
      </x:c>
      <x:c r="J6" s="47" t="n">
        <x:v>0</x:v>
      </x:c>
    </x:row>
    <x:row r="7">
      <x:c r="A7" s="47" t="str">
        <x:v>RUN-I2-031-20260830T134218411666Z</x:v>
      </x:c>
      <x:c r="B7" s="47" t="str">
        <x:v>I2-031</x:v>
      </x:c>
      <x:c r="C7" s="47" t="str">
        <x:v>combinedShearAndBendingDemand</x:v>
      </x:c>
      <x:c r="D7" s="48" t="str">
        <x:v>https://w3id.org/nltl/vocab#combinedShearAndBendingDemand</x:v>
      </x:c>
      <x:c r="E7" s="47" t="str">
        <x:v>QuantityProperty</x:v>
      </x:c>
      <x:c r="F7" s="47" t="str"/>
      <x:c r="G7" s="47" t="str">
        <x:v>http://qudt.org/schema/qudt/QuantityValue</x:v>
      </x:c>
      <x:c r="H7" s="47" t="str"/>
      <x:c r="I7" s="48" t="str">
        <x:v>linked by the locked 313-requirement index</x:v>
      </x:c>
      <x:c r="J7" s="47" t="n">
        <x:v>0</x:v>
      </x:c>
    </x:row>
    <x:row r="8">
      <x:c r="A8" s="47" t="str">
        <x:v>RUN-I2-031-20260830T134218411666Z</x:v>
      </x:c>
      <x:c r="B8" s="47" t="str">
        <x:v>I2-031</x:v>
      </x:c>
      <x:c r="C8" s="47" t="str">
        <x:v>combinedShearBendingEffect</x:v>
      </x:c>
      <x:c r="D8" s="48" t="str">
        <x:v>https://w3id.org/nltl/vocab#combinedShearBendingEffect</x:v>
      </x:c>
      <x:c r="E8" s="47" t="str">
        <x:v>DatatypeProperty</x:v>
      </x:c>
      <x:c r="F8" s="47" t="str">
        <x:v>xsd:string</x:v>
      </x:c>
      <x:c r="G8" s="47" t="str">
        <x:v>http://www.w3.org/2001/XMLSchema#string</x:v>
      </x:c>
      <x:c r="H8" s="47" t="str"/>
      <x:c r="I8" s="48" t="str">
        <x:v>linked by the locked 313-requirement index</x:v>
      </x:c>
      <x:c r="J8" s="47" t="n">
        <x:v>0</x:v>
      </x:c>
    </x:row>
    <x:row r="9">
      <x:c r="A9" s="47" t="str">
        <x:v>RUN-I2-031-20260830T134218411666Z</x:v>
      </x:c>
      <x:c r="B9" s="47" t="str">
        <x:v>I2-031</x:v>
      </x:c>
      <x:c r="C9" s="47" t="str">
        <x:v>flatBarSection</x:v>
      </x:c>
      <x:c r="D9" s="48" t="str">
        <x:v>https://w3id.org/nltl/vocab#flatBarSection</x:v>
      </x:c>
      <x:c r="E9" s="47" t="str">
        <x:v>NamedIndividual</x:v>
      </x:c>
      <x:c r="F9" s="47" t="str"/>
      <x:c r="G9" s="47" t="str">
        <x:v>https://w3id.org/nltl/vocab#frameProfileTypeValue</x:v>
      </x:c>
      <x:c r="H9" s="47" t="str"/>
      <x:c r="I9" s="48" t="str">
        <x:v>controlled value permitted by the range of frameProfileType</x:v>
      </x:c>
      <x:c r="J9" s="47" t="n">
        <x:v>0</x:v>
      </x:c>
    </x:row>
    <x:row r="10">
      <x:c r="A10" s="47" t="str">
        <x:v>RUN-I2-031-20260830T134218411666Z</x:v>
      </x:c>
      <x:c r="B10" s="47" t="str">
        <x:v>I2-031</x:v>
      </x:c>
      <x:c r="C10" s="47" t="str">
        <x:v>frameProfileType</x:v>
      </x:c>
      <x:c r="D10" s="48" t="str">
        <x:v>https://w3id.org/nltl/vocab#frameProfileType</x:v>
      </x:c>
      <x:c r="E10" s="47" t="str">
        <x:v>ObjectProperty</x:v>
      </x:c>
      <x:c r="F10" s="47" t="str"/>
      <x:c r="G10" s="47" t="str">
        <x:v>https://w3id.org/nltl/vocab#frameProfileTypeValue</x:v>
      </x:c>
      <x:c r="H10" s="47" t="str"/>
      <x:c r="I10" s="48" t="str">
        <x:v>linked by the locked 313-requirement index</x:v>
      </x:c>
      <x:c r="J10" s="47" t="n">
        <x:v>0</x:v>
      </x:c>
    </x:row>
    <x:row r="11">
      <x:c r="A11" s="47" t="str">
        <x:v>RUN-I2-031-20260830T134218411666Z</x:v>
      </x:c>
      <x:c r="B11" s="47" t="str">
        <x:v>I2-031</x:v>
      </x:c>
      <x:c r="C11" s="47" t="str">
        <x:v>frameProfileTypeValue</x:v>
      </x:c>
      <x:c r="D11" s="48" t="str">
        <x:v>https://w3id.org/nltl/vocab#frameProfileTypeValue</x:v>
      </x:c>
      <x:c r="E11" s="47" t="str">
        <x:v>Class</x:v>
      </x:c>
      <x:c r="F11" s="47" t="str"/>
      <x:c r="G11" s="47" t="str">
        <x:v>https://w3id.org/nltl/vocab#benchmarkEntity</x:v>
      </x:c>
      <x:c r="H11" s="47" t="str"/>
      <x:c r="I11" s="48" t="str">
        <x:v>range dependency of frameProfileType</x:v>
      </x:c>
      <x:c r="J11" s="47" t="n">
        <x:v>0</x:v>
      </x:c>
    </x:row>
    <x:row r="12">
      <x:c r="A12" s="47" t="str">
        <x:v>RUN-I2-031-20260830T134218411666Z</x:v>
      </x:c>
      <x:c r="B12" s="47" t="str">
        <x:v>I2-031</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0</x:v>
      </x:c>
    </x:row>
    <x:row r="13">
      <x:c r="A13" s="47" t="str">
        <x:v>RUN-I2-031-20260830T134218411666Z</x:v>
      </x:c>
      <x:c r="B13" s="47" t="str">
        <x:v>I2-031</x:v>
      </x:c>
      <x:c r="C13" s="47" t="str">
        <x:v>hasLoadCase</x:v>
      </x:c>
      <x:c r="D13" s="48" t="str">
        <x:v>https://w3id.org/nltl/vocab#hasLoadCase</x:v>
      </x:c>
      <x:c r="E13" s="47" t="str">
        <x:v>ObjectProperty</x:v>
      </x:c>
      <x:c r="F13" s="47" t="str"/>
      <x:c r="G13" s="47" t="str">
        <x:v>https://w3id.org/nltl/vocab#loadCase</x:v>
      </x:c>
      <x:c r="H13" s="47" t="str"/>
      <x:c r="I13" s="48" t="str">
        <x:v>canonical path from target owner ship to required owner loadCase</x:v>
      </x:c>
      <x:c r="J13" s="47" t="n">
        <x:v>0</x:v>
      </x:c>
    </x:row>
    <x:row r="14">
      <x:c r="A14" s="47" t="str">
        <x:v>RUN-I2-031-20260830T134218411666Z</x:v>
      </x:c>
      <x:c r="B14" s="47" t="str">
        <x:v>I2-031</x:v>
      </x:c>
      <x:c r="C14" s="47" t="str">
        <x:v>hasPropulsionLoadCase</x:v>
      </x:c>
      <x:c r="D14" s="48" t="str">
        <x:v>https://w3id.org/nltl/vocab#hasPropulsionLoadCase</x:v>
      </x:c>
      <x:c r="E14" s="47" t="str">
        <x:v>ObjectProperty</x:v>
      </x:c>
      <x:c r="F14" s="47" t="str"/>
      <x:c r="G14" s="47" t="str">
        <x:v>https://w3id.org/nltl/vocab#loadCase</x:v>
      </x:c>
      <x:c r="H14" s="47" t="str"/>
      <x:c r="I14" s="48" t="str">
        <x:v>canonical path from target owner ship to required owner loadCase</x:v>
      </x:c>
      <x:c r="J14" s="47" t="n">
        <x:v>0</x:v>
      </x:c>
    </x:row>
    <x:row r="15">
      <x:c r="A15" s="47" t="str">
        <x:v>RUN-I2-031-20260830T134218411666Z</x:v>
      </x:c>
      <x:c r="B15" s="47" t="str">
        <x:v>I2-031</x:v>
      </x:c>
      <x:c r="C15" s="47" t="str">
        <x:v>hasStructuralMember</x:v>
      </x:c>
      <x:c r="D15" s="48" t="str">
        <x:v>https://w3id.org/nltl/vocab#hasStructuralMember</x:v>
      </x:c>
      <x:c r="E15" s="47" t="str">
        <x:v>ObjectProperty</x:v>
      </x:c>
      <x:c r="F15" s="47" t="str"/>
      <x:c r="G15" s="47" t="str">
        <x:v>https://w3id.org/nltl/vocab#structuralMember</x:v>
      </x:c>
      <x:c r="H15" s="47" t="str"/>
      <x:c r="I15" s="48" t="str">
        <x:v>canonical path from target owner ship to required owner structuralMember; linked by the locked 313-requirement index</x:v>
      </x:c>
      <x:c r="J15" s="47" t="n">
        <x:v>0</x:v>
      </x:c>
    </x:row>
    <x:row r="16">
      <x:c r="A16" s="47" t="str">
        <x:v>RUN-I2-031-20260830T134218411666Z</x:v>
      </x:c>
      <x:c r="B16" s="47" t="str">
        <x:v>I2-031</x:v>
      </x:c>
      <x:c r="C16" s="47" t="str">
        <x:v>hasStructuralMemberLoadCase</x:v>
      </x:c>
      <x:c r="D16" s="48" t="str">
        <x:v>https://w3id.org/nltl/vocab#hasStructuralMemberLoadCase</x:v>
      </x:c>
      <x:c r="E16" s="47" t="str">
        <x:v>ObjectProperty</x:v>
      </x:c>
      <x:c r="F16" s="47" t="str"/>
      <x:c r="G16" s="47" t="str">
        <x:v>https://w3id.org/nltl/vocab#loadCase</x:v>
      </x:c>
      <x:c r="H16" s="47" t="str"/>
      <x:c r="I16" s="48" t="str">
        <x:v>linked by the locked 313-requirement index</x:v>
      </x:c>
      <x:c r="J16" s="47" t="n">
        <x:v>0</x:v>
      </x:c>
    </x:row>
    <x:row r="17">
      <x:c r="A17" s="47" t="str">
        <x:v>RUN-I2-031-20260830T134218411666Z</x:v>
      </x:c>
      <x:c r="B17" s="47" t="str">
        <x:v>I2-031</x:v>
      </x:c>
      <x:c r="C17" s="47" t="str">
        <x:v>hullStructure</x:v>
      </x:c>
      <x:c r="D17" s="48" t="str">
        <x:v>https://w3id.org/nltl/vocab#hullStructure</x:v>
      </x:c>
      <x:c r="E17" s="47" t="str">
        <x:v>Class</x:v>
      </x:c>
      <x:c r="F17" s="47" t="str"/>
      <x:c r="G17" s="47" t="str"/>
      <x:c r="H17" s="47" t="str"/>
      <x:c r="I17" s="48" t="str">
        <x:v>range dependency of localFrame; range dependency of structuralMember</x:v>
      </x:c>
      <x:c r="J17" s="47" t="n">
        <x:v>0</x:v>
      </x:c>
    </x:row>
    <x:row r="18">
      <x:c r="A18" s="47" t="str">
        <x:v>RUN-I2-031-20260830T134218411666Z</x:v>
      </x:c>
      <x:c r="B18" s="47" t="str">
        <x:v>I2-031</x:v>
      </x:c>
      <x:c r="C18" s="47" t="str">
        <x:v>loadCase</x:v>
      </x:c>
      <x:c r="D18" s="48" t="str">
        <x:v>https://w3id.org/nltl/vocab#loadCase</x:v>
      </x:c>
      <x:c r="E18" s="47" t="str">
        <x:v>Class</x:v>
      </x:c>
      <x:c r="F18" s="47" t="str"/>
      <x:c r="G18" s="47" t="str">
        <x:v>https://w3id.org/nltl/vocab#calculationCase</x:v>
      </x:c>
      <x:c r="H18" s="47" t="str"/>
      <x:c r="I18" s="48" t="str">
        <x:v>authoritative required owner class; domain dependency of combinedShearAndBendingDemand; domain dependency of loadPatchOrientation; range dependency of hasStructuralMemberLoadCase</x:v>
      </x:c>
      <x:c r="J18" s="47" t="n">
        <x:v>0</x:v>
      </x:c>
    </x:row>
    <x:row r="19">
      <x:c r="A19" s="47" t="str">
        <x:v>RUN-I2-031-20260830T134218411666Z</x:v>
      </x:c>
      <x:c r="B19" s="47" t="str">
        <x:v>I2-031</x:v>
      </x:c>
      <x:c r="C19" s="47" t="str">
        <x:v>loadPatchHeightParallelToFrame</x:v>
      </x:c>
      <x:c r="D19" s="48" t="str">
        <x:v>https://w3id.org/nltl/vocab#loadPatchHeightParallelToFrame</x:v>
      </x:c>
      <x:c r="E19" s="47" t="str">
        <x:v>NamedIndividual</x:v>
      </x:c>
      <x:c r="F19" s="47" t="str"/>
      <x:c r="G19" s="47" t="str">
        <x:v>https://w3id.org/nltl/vocab#loadPatchOrientationValue</x:v>
      </x:c>
      <x:c r="H19" s="47" t="str"/>
      <x:c r="I19" s="48" t="str">
        <x:v>controlled value permitted by the range of loadPatchHeightParallelToFrame; controlled value permitted by the range of loadPatchOrientation; linked by the locked 313-requirement index</x:v>
      </x:c>
      <x:c r="J19" s="47" t="n">
        <x:v>0</x:v>
      </x:c>
    </x:row>
    <x:row r="20">
      <x:c r="A20" s="47" t="str">
        <x:v>RUN-I2-031-20260830T134218411666Z</x:v>
      </x:c>
      <x:c r="B20" s="47" t="str">
        <x:v>I2-031</x:v>
      </x:c>
      <x:c r="C20" s="47" t="str">
        <x:v>loadPatchOrientation</x:v>
      </x:c>
      <x:c r="D20" s="48" t="str">
        <x:v>https://w3id.org/nltl/vocab#loadPatchOrientation</x:v>
      </x:c>
      <x:c r="E20" s="47" t="str">
        <x:v>ObjectProperty</x:v>
      </x:c>
      <x:c r="F20" s="47" t="str"/>
      <x:c r="G20" s="47" t="str">
        <x:v>https://w3id.org/nltl/vocab#loadPatchOrientationValue</x:v>
      </x:c>
      <x:c r="H20" s="47" t="str"/>
      <x:c r="I20" s="48" t="str">
        <x:v>linked by the locked 313-requirement index</x:v>
      </x:c>
      <x:c r="J20" s="47" t="n">
        <x:v>0</x:v>
      </x:c>
    </x:row>
    <x:row r="21">
      <x:c r="A21" s="47" t="str">
        <x:v>RUN-I2-031-20260830T134218411666Z</x:v>
      </x:c>
      <x:c r="B21" s="47" t="str">
        <x:v>I2-031</x:v>
      </x:c>
      <x:c r="C21" s="47" t="str">
        <x:v>loadPatchOrientationValue</x:v>
      </x:c>
      <x:c r="D21" s="48" t="str">
        <x:v>https://w3id.org/nltl/vocab#loadPatchOrientationValue</x:v>
      </x:c>
      <x:c r="E21" s="47" t="str">
        <x:v>Class</x:v>
      </x:c>
      <x:c r="F21" s="47" t="str"/>
      <x:c r="G21" s="47" t="str">
        <x:v>https://w3id.org/nltl/vocab#benchmarkEntity</x:v>
      </x:c>
      <x:c r="H21" s="47" t="str"/>
      <x:c r="I21" s="48" t="str">
        <x:v>linked by the locked 313-requirement index; range dependency of loadPatchHeightParallelToFrame; range dependency of loadPatchOrientation</x:v>
      </x:c>
      <x:c r="J21" s="47" t="n">
        <x:v>0</x:v>
      </x:c>
    </x:row>
    <x:row r="22">
      <x:c r="A22" s="47" t="str">
        <x:v>RUN-I2-031-20260830T134218411666Z</x:v>
      </x:c>
      <x:c r="B22" s="47" t="str">
        <x:v>I2-031</x:v>
      </x:c>
      <x:c r="C22" s="47" t="str">
        <x:v>localFrame</x:v>
      </x:c>
      <x:c r="D22" s="48" t="str">
        <x:v>https://w3id.org/nltl/vocab#localFrame</x:v>
      </x:c>
      <x:c r="E22" s="47" t="str">
        <x:v>Class</x:v>
      </x:c>
      <x:c r="F22" s="47" t="str"/>
      <x:c r="G22" s="47" t="str">
        <x:v>https://w3id.org/nltl/vocab#hullStructure</x:v>
      </x:c>
      <x:c r="H22" s="47" t="str"/>
      <x:c r="I22" s="48" t="str">
        <x:v>linked by the locked 313-requirement index</x:v>
      </x:c>
      <x:c r="J22" s="47" t="n">
        <x:v>0</x:v>
      </x:c>
    </x:row>
    <x:row r="23">
      <x:c r="A23" s="47" t="str">
        <x:v>RUN-I2-031-20260830T134218411666Z</x:v>
      </x:c>
      <x:c r="B23" s="47" t="str">
        <x:v>I2-031</x:v>
      </x:c>
      <x:c r="C23" s="47" t="str">
        <x:v>midspanPlasticCollapseLoad</x:v>
      </x:c>
      <x:c r="D23" s="48" t="str">
        <x:v>https://w3id.org/nltl/vocab#midspanPlasticCollapseLoad</x:v>
      </x:c>
      <x:c r="E23" s="47" t="str">
        <x:v>QuantityProperty</x:v>
      </x:c>
      <x:c r="F23" s="47" t="str"/>
      <x:c r="G23" s="47" t="str">
        <x:v>http://qudt.org/schema/qudt/QuantityValue</x:v>
      </x:c>
      <x:c r="H23" s="47" t="str">
        <x:v>http://qudt.org/vocab/unit/KiloN</x:v>
      </x:c>
      <x:c r="I23" s="48" t="str">
        <x:v>linked by the locked 313-requirement index</x:v>
      </x:c>
      <x:c r="J23" s="47" t="n">
        <x:v>0</x:v>
      </x:c>
    </x:row>
    <x:row r="24">
      <x:c r="A24" s="47" t="str">
        <x:v>RUN-I2-031-20260830T134218411666Z</x:v>
      </x:c>
      <x:c r="B24" s="47" t="str">
        <x:v>I2-031</x:v>
      </x:c>
      <x:c r="C24" s="47" t="str">
        <x:v>patchLoad</x:v>
      </x:c>
      <x:c r="D24" s="48" t="str">
        <x:v>https://w3id.org/nltl/vocab#patchLoad</x:v>
      </x:c>
      <x:c r="E24" s="47" t="str">
        <x:v>QuantityProperty</x:v>
      </x:c>
      <x:c r="F24" s="47" t="str"/>
      <x:c r="G24" s="47" t="str">
        <x:v>http://qudt.org/schema/qudt/QuantityValue</x:v>
      </x:c>
      <x:c r="H24" s="47" t="str">
        <x:v>http://qudt.org/vocab/unit/KiloN</x:v>
      </x:c>
      <x:c r="I24" s="48" t="str">
        <x:v>linked by the locked 313-requirement index</x:v>
      </x:c>
      <x:c r="J24" s="47" t="n">
        <x:v>0</x:v>
      </x:c>
    </x:row>
    <x:row r="25">
      <x:c r="A25" s="47" t="str">
        <x:v>RUN-I2-031-20260830T134218411666Z</x:v>
      </x:c>
      <x:c r="B25" s="47" t="str">
        <x:v>I2-031</x:v>
      </x:c>
      <x:c r="C25" s="47" t="str">
        <x:v>plasticCollapseMechanism</x:v>
      </x:c>
      <x:c r="D25" s="48" t="str">
        <x:v>https://w3id.org/nltl/vocab#plasticCollapseMechanism</x:v>
      </x:c>
      <x:c r="E25" s="47" t="str">
        <x:v>DatatypeProperty</x:v>
      </x:c>
      <x:c r="F25" s="47" t="str">
        <x:v>xsd:string</x:v>
      </x:c>
      <x:c r="G25" s="47" t="str">
        <x:v>http://www.w3.org/2001/XMLSchema#string</x:v>
      </x:c>
      <x:c r="H25" s="47" t="str"/>
      <x:c r="I25" s="48" t="str">
        <x:v>linked by the locked 313-requirement index</x:v>
      </x:c>
      <x:c r="J25" s="47" t="n">
        <x:v>0</x:v>
      </x:c>
    </x:row>
    <x:row r="26">
      <x:c r="A26" s="47" t="str">
        <x:v>RUN-I2-031-20260830T134218411666Z</x:v>
      </x:c>
      <x:c r="B26" s="47" t="str">
        <x:v>I2-031</x:v>
      </x:c>
      <x:c r="C26" s="47" t="str">
        <x:v>plasticStrength</x:v>
      </x:c>
      <x:c r="D26" s="48" t="str">
        <x:v>https://w3id.org/nltl/vocab#plasticStrength</x:v>
      </x:c>
      <x:c r="E26" s="47" t="str">
        <x:v>QuantityProperty</x:v>
      </x:c>
      <x:c r="F26" s="47" t="str"/>
      <x:c r="G26" s="47" t="str">
        <x:v>http://qudt.org/schema/qudt/QuantityValue</x:v>
      </x:c>
      <x:c r="H26" s="47" t="str">
        <x:v>http://qudt.org/vocab/unit/KiloN</x:v>
      </x:c>
      <x:c r="I26" s="48" t="str">
        <x:v>linked by the locked 313-requirement index</x:v>
      </x:c>
      <x:c r="J26" s="47" t="n">
        <x:v>0</x:v>
      </x:c>
    </x:row>
    <x:row r="27">
      <x:c r="A27" s="47" t="str">
        <x:v>RUN-I2-031-20260830T134218411666Z</x:v>
      </x:c>
      <x:c r="B27" s="47" t="str">
        <x:v>I2-031</x:v>
      </x:c>
      <x:c r="C27" s="47" t="str">
        <x:v>profileSection</x:v>
      </x:c>
      <x:c r="D27" s="48" t="str">
        <x:v>https://w3id.org/nltl/vocab#profileSection</x:v>
      </x:c>
      <x:c r="E27" s="47" t="str">
        <x:v>NamedIndividual</x:v>
      </x:c>
      <x:c r="F27" s="47" t="str"/>
      <x:c r="G27" s="47" t="str">
        <x:v>https://w3id.org/nltl/vocab#frameProfileTypeValue</x:v>
      </x:c>
      <x:c r="H27" s="47" t="str"/>
      <x:c r="I27" s="48" t="str">
        <x:v>controlled value permitted by the range of frameProfileType</x:v>
      </x:c>
      <x:c r="J27" s="47" t="n">
        <x:v>0</x:v>
      </x:c>
    </x:row>
    <x:row r="28">
      <x:c r="A28" s="47" t="str">
        <x:v>RUN-I2-031-20260830T134218411666Z</x:v>
      </x:c>
      <x:c r="B28" s="47" t="str">
        <x:v>I2-031</x:v>
      </x:c>
      <x:c r="C28" s="47" t="str">
        <x:v>ship</x:v>
      </x:c>
      <x:c r="D28" s="48" t="str">
        <x:v>https://w3id.org/nltl/vocab#ship</x:v>
      </x:c>
      <x:c r="E28" s="47" t="str">
        <x:v>Class</x:v>
      </x:c>
      <x:c r="F28" s="47" t="str"/>
      <x:c r="G28" s="47" t="str"/>
      <x:c r="H28" s="47" t="str"/>
      <x:c r="I28" s="48" t="str">
        <x:v>authoritative required owner class; authoritative requirement target owner; baseline target infrastructure; domain dependency of hasStructuralMember</x:v>
      </x:c>
      <x:c r="J28" s="47" t="n">
        <x:v>0</x:v>
      </x:c>
    </x:row>
    <x:row r="29">
      <x:c r="A29" s="47" t="str">
        <x:v>RUN-I2-031-20260830T134218411666Z</x:v>
      </x:c>
      <x:c r="B29" s="47" t="str">
        <x:v>I2-031</x:v>
      </x:c>
      <x:c r="C29" s="47" t="str">
        <x:v>shipComponent</x:v>
      </x:c>
      <x:c r="D29" s="48" t="str">
        <x:v>https://w3id.org/nltl/vocab#shipComponent</x:v>
      </x:c>
      <x:c r="E29" s="47" t="str">
        <x:v>Class</x:v>
      </x:c>
      <x:c r="F29" s="47" t="str"/>
      <x:c r="G29" s="47" t="str"/>
      <x:c r="H29" s="47" t="str"/>
      <x:c r="I29" s="48" t="str">
        <x:v>component-path dependency inferred from the linked term module</x:v>
      </x:c>
      <x:c r="J29" s="47" t="n">
        <x:v>0</x:v>
      </x:c>
    </x:row>
    <x:row r="30">
      <x:c r="A30" s="47" t="str">
        <x:v>RUN-I2-031-20260830T134218411666Z</x:v>
      </x:c>
      <x:c r="B30" s="47" t="str">
        <x:v>I2-031</x:v>
      </x:c>
      <x:c r="C30" s="47" t="str">
        <x:v>sideStructureLocation</x:v>
      </x:c>
      <x:c r="D30" s="48" t="str">
        <x:v>https://w3id.org/nltl/vocab#sideStructureLocation</x:v>
      </x:c>
      <x:c r="E30" s="47" t="str">
        <x:v>NamedIndividual</x:v>
      </x:c>
      <x:c r="F30" s="47" t="str"/>
      <x:c r="G30" s="47" t="str">
        <x:v>https://w3id.org/nltl/vocab#structuralLocationValue</x:v>
      </x:c>
      <x:c r="H30" s="47" t="str"/>
      <x:c r="I30" s="48" t="str">
        <x:v>controlled value permitted by the range of bottomStructureLocation; controlled value permitted by the range of sideStructureLocation; controlled value permitted by the range of structuralLocation; linked by the locked 313-requirement index</x:v>
      </x:c>
      <x:c r="J30" s="47" t="n">
        <x:v>0</x:v>
      </x:c>
    </x:row>
    <x:row r="31">
      <x:c r="A31" s="47" t="str">
        <x:v>RUN-I2-031-20260830T134218411666Z</x:v>
      </x:c>
      <x:c r="B31" s="47" t="str">
        <x:v>I2-031</x:v>
      </x:c>
      <x:c r="C31" s="47" t="str">
        <x:v>structuralLocation</x:v>
      </x:c>
      <x:c r="D31" s="48" t="str">
        <x:v>https://w3id.org/nltl/vocab#structuralLocation</x:v>
      </x:c>
      <x:c r="E31" s="47" t="str">
        <x:v>ObjectProperty</x:v>
      </x:c>
      <x:c r="F31" s="47" t="str"/>
      <x:c r="G31" s="47" t="str">
        <x:v>https://w3id.org/nltl/vocab#structuralLocationValue</x:v>
      </x:c>
      <x:c r="H31" s="47" t="str"/>
      <x:c r="I31" s="48" t="str">
        <x:v>linked by the locked 313-requirement index</x:v>
      </x:c>
      <x:c r="J31" s="47" t="n">
        <x:v>0</x:v>
      </x:c>
    </x:row>
    <x:row r="32">
      <x:c r="A32" s="47" t="str">
        <x:v>RUN-I2-031-20260830T134218411666Z</x:v>
      </x:c>
      <x:c r="B32" s="47" t="str">
        <x:v>I2-031</x:v>
      </x:c>
      <x:c r="C32" s="47" t="str">
        <x:v>structuralLocationValue</x:v>
      </x:c>
      <x:c r="D32" s="48" t="str">
        <x:v>https://w3id.org/nltl/vocab#structuralLocationValue</x:v>
      </x:c>
      <x:c r="E32" s="47" t="str">
        <x:v>Class</x:v>
      </x:c>
      <x:c r="F32" s="47" t="str"/>
      <x:c r="G32" s="47" t="str">
        <x:v>https://w3id.org/nltl/vocab#benchmarkEntity</x:v>
      </x:c>
      <x:c r="H32" s="47" t="str"/>
      <x:c r="I32" s="48" t="str">
        <x:v>linked by the locked 313-requirement index; range dependency of bottomStructureLocation; range dependency of sideStructureLocation; range dependency of structuralLocation</x:v>
      </x:c>
      <x:c r="J32" s="47" t="n">
        <x:v>0</x:v>
      </x:c>
    </x:row>
    <x:row r="33">
      <x:c r="A33" s="47" t="str">
        <x:v>RUN-I2-031-20260830T134218411666Z</x:v>
      </x:c>
      <x:c r="B33" s="47" t="str">
        <x:v>I2-031</x:v>
      </x:c>
      <x:c r="C33" s="47" t="str">
        <x:v>structuralMember</x:v>
      </x:c>
      <x:c r="D33" s="48" t="str">
        <x:v>https://w3id.org/nltl/vocab#structuralMember</x:v>
      </x:c>
      <x:c r="E33" s="47" t="str">
        <x:v>Class</x:v>
      </x:c>
      <x:c r="F33" s="47" t="str"/>
      <x:c r="G33" s="47" t="str">
        <x:v>https://w3id.org/nltl/vocab#hullStructure</x:v>
      </x:c>
      <x:c r="H33" s="47" t="str"/>
      <x:c r="I33" s="48" t="str">
        <x:v>authoritative required owner class; domain dependency of hasStructuralMemberLoadCase; domain dependency of midspanPlasticCollapseLoad; domain dependency of plasticStrength; domain dependency of structuralLocation; domain dependency of transverseFrameOrientation; linked by the locked 313-requirement index; range dependency of hasStructuralMember</x:v>
      </x:c>
      <x:c r="J33" s="47" t="n">
        <x:v>0</x:v>
      </x:c>
    </x:row>
    <x:row r="34">
      <x:c r="A34" s="49" t="str">
        <x:v>RUN-I2-031-20260830T134218411666Z</x:v>
      </x:c>
      <x:c r="B34" s="49" t="str">
        <x:v>I2-031</x:v>
      </x:c>
      <x:c r="C34" s="49" t="str">
        <x:v>transverseFrameOrientation</x:v>
      </x:c>
      <x:c r="D34" s="50" t="str">
        <x:v>https://w3id.org/nltl/vocab#transverseFrameOrientation</x:v>
      </x:c>
      <x:c r="E34" s="49" t="str">
        <x:v>DatatypeProperty</x:v>
      </x:c>
      <x:c r="F34" s="49" t="str">
        <x:v>xsd:boolean</x:v>
      </x:c>
      <x:c r="G34" s="49" t="str">
        <x:v>http://www.w3.org/2001/XMLSchema#boolean</x:v>
      </x:c>
      <x:c r="H34" s="49" t="str"/>
      <x:c r="I34" s="50" t="str">
        <x:v>linked by the locked 313-requirement index</x:v>
      </x:c>
      <x:c r="J34" s="49" t="n">
        <x:v>0</x:v>
      </x:c>
    </x:row>
  </x:sheetData>
  <x:pageMargins left="0.7" right="0.7" top="0.75" bottom="0.75" header="0.3" footer="0.3"/>
  <x:tableParts count="1">
    <x:tablePart xmlns:r="http://schemas.openxmlformats.org/officeDocument/2006/relationships" r:id="R37d72e06c5a0488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RUN-I2-031-20260830T134218411666Z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RUN-I2-031-20260830T134218411666Z</x:v>
      </x:c>
      <x:c r="B5" s="45" t="str">
        <x:v>I2-031</x:v>
      </x:c>
      <x:c r="C5" s="45" t="str">
        <x:v>FS-BOOL-01</x:v>
      </x:c>
      <x:c r="D5" s="45" t="str">
        <x:v>boolean_state</x:v>
      </x:c>
      <x:c r="E5" s="97" t="n">
        <x:v>0.042857</x:v>
      </x:c>
      <x:c r="F5" s="45" t="str">
        <x:v>boolean | required | value</x:v>
      </x:c>
      <x:c r="G5" s="45" t="str">
        <x:v>synthetic-few-shot-not-benchmark-ground-truth</x:v>
      </x:c>
    </x:row>
    <x:row r="6">
      <x:c r="A6" s="49" t="str">
        <x:v>RUN-I2-031-20260830T134218411666Z</x:v>
      </x:c>
      <x:c r="B6" s="49" t="str">
        <x:v>I2-031</x:v>
      </x:c>
      <x:c r="C6" s="49" t="str">
        <x:v>FS-BOOL-02</x:v>
      </x:c>
      <x:c r="D6" s="49" t="str">
        <x:v>boolean_state</x:v>
      </x:c>
      <x:c r="E6" s="98" t="n">
        <x:v>0.042857</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7479bcda9ec493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RUN-I2-031-20260830T134218411666Z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RUN-I2-031-20260830T134218411666Z</x:v>
      </x:c>
      <x:c r="B5" s="45" t="str">
        <x:v>I2-031</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https://w3id.org/nltl/vocab#bottomStructureLocation | https://w3id.org/nltl/vocab#combinedShearAndBendingDemand | https://w3id.org/nltl/vocab#flatBarSection | https://w3id.org/nltl/vocab#frameProfileType | https://w3id.org/nltl/vocab#hasStructuralMember | https://w3id.org/nltl/vocab#hasStructuralMemberLoadCase | https://w3id.org/nltl/vocab#loadPatchHeightParallelToFrame | https://w3id.org/nltl/vocab#loadPatchOrientation | https://w3id.org/nltl/vocab#midspanPlasticCollapseLoad | https://w3id.org/nltl/vocab#patchLoad | https://w3id.org/nltl/vocab#plasticCollapseMechanism | https://w3id.org/nltl/vocab#plasticStrength | https://w3id.org/nltl/vocab#profileSection | https://w3id.org/nltl/vocab#ship | https://w3id.org/nltl/vocab#sideStructureLocation | https://w3id.org/nltl/vocab#structuralLocation</x:v>
      </x:c>
      <x:c r="O5" s="46" t="str"/>
      <x:c r="P5" s="46" t="str"/>
      <x:c r="Q5" s="46" t="str"/>
    </x:row>
    <x:row r="6">
      <x:c r="A6" s="47" t="str">
        <x:v>RUN-I2-031-20260830T134218411666Z</x:v>
      </x:c>
      <x:c r="B6" s="47" t="str">
        <x:v>I2-031</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https://w3id.org/nltl/vocab#bottomStructureLocation | https://w3id.org/nltl/vocab#combinedShearAndBendingDemand | https://w3id.org/nltl/vocab#flatBarSection | https://w3id.org/nltl/vocab#frameProfileType | https://w3id.org/nltl/vocab#hasStructuralMember | https://w3id.org/nltl/vocab#hasStructuralMemberLoadCase | https://w3id.org/nltl/vocab#loadPatchHeightParallelToFrame | https://w3id.org/nltl/vocab#loadPatchOrientation | https://w3id.org/nltl/vocab#loadPatchOrientationValue | https://w3id.org/nltl/vocab#midspanPlasticCollapseLoad | https://w3id.org/nltl/vocab#patchLoad | https://w3id.org/nltl/vocab#plasticCollapseMechanism | https://w3id.org/nltl/vocab#plasticStrength | https://w3id.org/nltl/vocab#profileSection | https://w3id.org/nltl/vocab#ship | https://w3id.org/nltl/vocab#sideStructureLocation | https://w3id.org/nltl/vocab#structuralLocation | https://w3id.org/nltl/vocab#transverseFrameOrientation</x:v>
      </x:c>
      <x:c r="O6" s="48" t="str"/>
      <x:c r="P6" s="48" t="str"/>
      <x:c r="Q6" s="48" t="str"/>
    </x:row>
    <x:row r="7">
      <x:c r="A7" s="49" t="str">
        <x:v>RUN-I2-031-20260830T134218411666Z</x:v>
      </x:c>
      <x:c r="B7" s="49" t="str">
        <x:v>I2-031</x:v>
      </x:c>
      <x:c r="C7" s="60" t="n">
        <x:v>3</x:v>
      </x:c>
      <x:c r="D7" s="87" t="b">
        <x:v>0</x:v>
      </x:c>
      <x:c r="E7" s="87" t="b">
        <x:v>1</x:v>
      </x:c>
      <x:c r="F7" s="87" t="b">
        <x:v>1</x:v>
      </x:c>
      <x:c r="G7" s="87" t="b">
        <x:v>1</x:v>
      </x:c>
      <x:c r="H7" s="87" t="b">
        <x:v>1</x:v>
      </x:c>
      <x:c r="I7" s="87" t="b">
        <x:v>1</x:v>
      </x:c>
      <x:c r="J7" s="87" t="b">
        <x:v>1</x:v>
      </x:c>
      <x:c r="K7" s="104" t="b">
        <x:v>1</x:v>
      </x:c>
      <x:c r="L7" s="50" t="str">
        <x:v>COMPLETE dependency relationship(s) absent from candidate: frameProfileType</x:v>
      </x:c>
      <x:c r="M7" s="50" t="str"/>
      <x:c r="N7" s="50" t="str">
        <x:v>https://w3id.org/nltl/vocab#bottomStructureLocation | https://w3id.org/nltl/vocab#combinedShearAndBendingDemand | https://w3id.org/nltl/vocab#hasStructuralMember | https://w3id.org/nltl/vocab#hasStructuralMemberLoadCase | https://w3id.org/nltl/vocab#loadPatchHeightParallelToFrame | https://w3id.org/nltl/vocab#loadPatchOrientation | https://w3id.org/nltl/vocab#midspanPlasticCollapseLoad | https://w3id.org/nltl/vocab#patchLoad | https://w3id.org/nltl/vocab#plasticCollapseMechanism | https://w3id.org/nltl/vocab#plasticStrength | https://w3id.org/nltl/vocab#ship | https://w3id.org/nltl/vocab#sideStructureLocation | https://w3id.org/nltl/vocab#structuralLocation | https://w3id.org/nltl/vocab#transverseFrameOrientation</x:v>
      </x:c>
      <x:c r="O7" s="50" t="str"/>
      <x:c r="P7" s="50" t="str"/>
      <x:c r="Q7" s="50" t="str"/>
    </x:row>
  </x:sheetData>
  <x:pageMargins left="0.7" right="0.7" top="0.75" bottom="0.75" header="0.3" footer="0.3"/>
  <x:tableParts count="1">
    <x:tablePart xmlns:r="http://schemas.openxmlformats.org/officeDocument/2006/relationships" r:id="R99605e4582014f1b"/>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RUN-I2-031-20260830T134218411666Z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RUN-I2-031-20260830T134218411666Z</x:v>
      </x:c>
      <x:c r="B5" s="45" t="str">
        <x:v>I2-031</x:v>
      </x:c>
      <x:c r="C5" s="58" t="n">
        <x:v>3</x:v>
      </x:c>
      <x:c r="D5" s="45" t="str">
        <x:v>matcher_search</x:v>
      </x:c>
      <x:c r="E5" s="46" t="str">
        <x:v>Deterministic validation prevents acceptance. Fix: COMPLETE dependency relationship(s) absent from candidate: frameProfileType
Semantic validator feedback: Preserve the prior instructions: retain the bottom-orientation versus transverse-side applicability alternatives, the demand &lt;= member plasticStrength direction, and the declared datatypes/units only where canonical metadata supports them. Add the COMPLETE dependency relationship nltl:frameProfileType on the supplied ship owner with appropriate cardinality and range structure; do not relocate it. Remove the ship-level nltl:plasticStrength and nltl:midspanPlasticCollapseLoad paths from the SPARQL query, because both properties belong to each structuralMember and those paths create needless indirection and accidental pass logic. Compare each member's combinedShearAndBendingDemand from its load case against that same member's plasticStrength, and bind the member midspanPlasticCollapseLoad definition to the ship-owned plasticCollapseMechanism rather than treating the mechanism as an unrelated presence-only string. Locate a canonical relationship or evidence term for that collapse-mechanism linkage; do not invent one. Replace unsupported ABS() with a bounded DIRECT_STATIC-compatible tolerance expression, scaled from the expected midspan formula result, while preserving non-exact derived-value comparison. Add the canonical KiloN unit constraint to patchLoad if constraining that declared recommended unit, but do not impose a datatype or unit on combinedShearAndBendingDemand.</x:v>
      </x:c>
      <x:c r="F5" s="58" t="n">
        <x:v>12</x:v>
      </x:c>
      <x:c r="G5" s="45" t="str"/>
      <x:c r="H5" s="45" t="str"/>
      <x:c r="I5" s="46" t="str"/>
      <x:c r="J5" s="46" t="str"/>
    </x:row>
    <x:row r="6">
      <x:c r="A6" s="49" t="str">
        <x:v>RUN-I2-031-20260830T134218411666Z</x:v>
      </x:c>
      <x:c r="B6" s="49" t="str">
        <x:v>I2-031</x:v>
      </x:c>
      <x:c r="C6" s="60" t="n">
        <x:v>3</x:v>
      </x:c>
      <x:c r="D6" s="49" t="str">
        <x:v>matcher_decision</x:v>
      </x:c>
      <x:c r="E6" s="50" t="str"/>
      <x:c r="F6" s="60" t="str"/>
      <x:c r="G6" s="87" t="b">
        <x:v>0</x:v>
      </x:c>
      <x:c r="H6" s="49" t="str"/>
      <x:c r="I6" s="50" t="str"/>
      <x:c r="J6" s="50" t="str">
        <x:v>No supplied candidate is a verified canonical relationship or evidence term for linking the member midspanPlasticCollapseLoad definition to the ship-owned plasticCollapseMechanism.</x:v>
      </x:c>
    </x:row>
  </x:sheetData>
  <x:pageMargins left="0.7" right="0.7" top="0.75" bottom="0.75" header="0.3" footer="0.3"/>
  <x:tableParts count="1">
    <x:tablePart xmlns:r="http://schemas.openxmlformats.org/officeDocument/2006/relationships" r:id="R1dbbeee70a16422f"/>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RUN-I2-031-20260830T134218411666Z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RUN-I2-031-20260830T134218411666Z</x:v>
      </x:c>
      <x:c r="B5" s="45" t="str">
        <x:v>I2-031</x:v>
      </x:c>
      <x:c r="C5" s="58"/>
      <x:c r="D5" s="45" t="str">
        <x:v>initial_context_pack</x:v>
      </x:c>
      <x:c r="E5" s="46" t="str">
        <x:v>artifacts/context_pack_initial.json</x:v>
      </x:c>
      <x:c r="F5" s="45" t="str">
        <x:v>04240c4da88c14ef2d663a050f2304526205562f600f0b74991de1adce564a0d</x:v>
      </x:c>
      <x:c r="G5" s="58" t="n">
        <x:v>39549</x:v>
      </x:c>
    </x:row>
    <x:row r="6">
      <x:c r="A6" s="47" t="str">
        <x:v>RUN-I2-031-20260830T134218411666Z</x:v>
      </x:c>
      <x:c r="B6" s="47" t="str">
        <x:v>I2-031</x:v>
      </x:c>
      <x:c r="C6" s="59"/>
      <x:c r="D6" s="47" t="str">
        <x:v>few_shot_selection</x:v>
      </x:c>
      <x:c r="E6" s="48" t="str">
        <x:v>artifacts/few_shots_selected.json</x:v>
      </x:c>
      <x:c r="F6" s="47" t="str">
        <x:v>34804d0d7dd84dde9a5596972c425f787c9a54884651c8e2c85d3c9f96a1f944</x:v>
      </x:c>
      <x:c r="G6" s="59" t="n">
        <x:v>3110</x:v>
      </x:c>
    </x:row>
    <x:row r="7">
      <x:c r="A7" s="47" t="str">
        <x:v>RUN-I2-031-20260830T134218411666Z</x:v>
      </x:c>
      <x:c r="B7" s="47" t="str">
        <x:v>I2-031</x:v>
      </x:c>
      <x:c r="C7" s="59" t="n">
        <x:v>1</x:v>
      </x:c>
      <x:c r="D7" s="47" t="str">
        <x:v>generator_prompt</x:v>
      </x:c>
      <x:c r="E7" s="48" t="str">
        <x:v>artifacts/attempt_01/generator_prompt.txt</x:v>
      </x:c>
      <x:c r="F7" s="47" t="str">
        <x:v>0efa660bf087d578b87ff8bcd7eed605376f1c31b4c02d8d548d13c7122ac345</x:v>
      </x:c>
      <x:c r="G7" s="59" t="n">
        <x:v>54173</x:v>
      </x:c>
    </x:row>
    <x:row r="8">
      <x:c r="A8" s="47" t="str">
        <x:v>RUN-I2-031-20260830T134218411666Z</x:v>
      </x:c>
      <x:c r="B8" s="47" t="str">
        <x:v>I2-031</x:v>
      </x:c>
      <x:c r="C8" s="59" t="n">
        <x:v>1</x:v>
      </x:c>
      <x:c r="D8" s="47" t="str">
        <x:v>generator_raw_response</x:v>
      </x:c>
      <x:c r="E8" s="48" t="str">
        <x:v>artifacts/attempt_01/generator_raw.txt</x:v>
      </x:c>
      <x:c r="F8" s="47" t="str">
        <x:v>9b17e7e03bbbb1d06cb26d72afac2cb92a4dac76e3ce7c0d29d868afc4d262fd</x:v>
      </x:c>
      <x:c r="G8" s="59" t="n">
        <x:v>5264</x:v>
      </x:c>
    </x:row>
    <x:row r="9">
      <x:c r="A9" s="47" t="str">
        <x:v>RUN-I2-031-20260830T134218411666Z</x:v>
      </x:c>
      <x:c r="B9" s="47" t="str">
        <x:v>I2-031</x:v>
      </x:c>
      <x:c r="C9" s="59" t="n">
        <x:v>1</x:v>
      </x:c>
      <x:c r="D9" s="47" t="str">
        <x:v>candidate_shape</x:v>
      </x:c>
      <x:c r="E9" s="48" t="str">
        <x:v>artifacts/attempt_01/candidate_shape.ttl</x:v>
      </x:c>
      <x:c r="F9" s="47" t="str">
        <x:v>029e72224fd9111b92ecd9538c10a8899367e0bf9432a79de095d9761ef390aa</x:v>
      </x:c>
      <x:c r="G9" s="59" t="n">
        <x:v>5239</x:v>
      </x:c>
    </x:row>
    <x:row r="10">
      <x:c r="A10" s="47" t="str">
        <x:v>RUN-I2-031-20260830T134218411666Z</x:v>
      </x:c>
      <x:c r="B10" s="47" t="str">
        <x:v>I2-031</x:v>
      </x:c>
      <x:c r="C10" s="59" t="n">
        <x:v>1</x:v>
      </x:c>
      <x:c r="D10" s="47" t="str">
        <x:v>deterministic_validation</x:v>
      </x:c>
      <x:c r="E10" s="48" t="str">
        <x:v>artifacts/attempt_01/deterministic_validation.json</x:v>
      </x:c>
      <x:c r="F10" s="47" t="str">
        <x:v>c9a103e2399b7c63456e61a1961e034570e63670adc5bdd8f72b426d2bf3ea3c</x:v>
      </x:c>
      <x:c r="G10" s="59" t="n">
        <x:v>1274</x:v>
      </x:c>
    </x:row>
    <x:row r="11">
      <x:c r="A11" s="47" t="str">
        <x:v>RUN-I2-031-20260830T134218411666Z</x:v>
      </x:c>
      <x:c r="B11" s="47" t="str">
        <x:v>I2-031</x:v>
      </x:c>
      <x:c r="C11" s="59" t="n">
        <x:v>1</x:v>
      </x:c>
      <x:c r="D11" s="47" t="str">
        <x:v>validator_prompt</x:v>
      </x:c>
      <x:c r="E11" s="48" t="str">
        <x:v>artifacts/attempt_01/validator_prompt_01.txt</x:v>
      </x:c>
      <x:c r="F11" s="47" t="str">
        <x:v>54e60e7b205f1aeae63023d0a1b79400c27727bd87803cfc86838e8df737ada8</x:v>
      </x:c>
      <x:c r="G11" s="59" t="n">
        <x:v>58290</x:v>
      </x:c>
    </x:row>
    <x:row r="12">
      <x:c r="A12" s="47" t="str">
        <x:v>RUN-I2-031-20260830T134218411666Z</x:v>
      </x:c>
      <x:c r="B12" s="47" t="str">
        <x:v>I2-031</x:v>
      </x:c>
      <x:c r="C12" s="59" t="n">
        <x:v>1</x:v>
      </x:c>
      <x:c r="D12" s="47" t="str">
        <x:v>validator_raw_response</x:v>
      </x:c>
      <x:c r="E12" s="48" t="str">
        <x:v>artifacts/attempt_01/validator_raw_01.txt</x:v>
      </x:c>
      <x:c r="F12" s="47" t="str">
        <x:v>3a026075de823996393ae1dca07d6269cc6643278fa1f85fd00e5a20aab9dd6d</x:v>
      </x:c>
      <x:c r="G12" s="59" t="n">
        <x:v>1012</x:v>
      </x:c>
    </x:row>
    <x:row r="13">
      <x:c r="A13" s="47" t="str">
        <x:v>RUN-I2-031-20260830T134218411666Z</x:v>
      </x:c>
      <x:c r="B13" s="47" t="str">
        <x:v>I2-031</x:v>
      </x:c>
      <x:c r="C13" s="59" t="n">
        <x:v>2</x:v>
      </x:c>
      <x:c r="D13" s="47" t="str">
        <x:v>generator_prompt</x:v>
      </x:c>
      <x:c r="E13" s="48" t="str">
        <x:v>artifacts/attempt_02/generator_prompt.txt</x:v>
      </x:c>
      <x:c r="F13" s="47" t="str">
        <x:v>7cc652d538645998f8a4b3121b084b0bd1e0f5da28782fc1fa2c20dd3f69c204</x:v>
      </x:c>
      <x:c r="G13" s="59" t="n">
        <x:v>55120</x:v>
      </x:c>
    </x:row>
    <x:row r="14">
      <x:c r="A14" s="47" t="str">
        <x:v>RUN-I2-031-20260830T134218411666Z</x:v>
      </x:c>
      <x:c r="B14" s="47" t="str">
        <x:v>I2-031</x:v>
      </x:c>
      <x:c r="C14" s="59" t="n">
        <x:v>2</x:v>
      </x:c>
      <x:c r="D14" s="47" t="str">
        <x:v>generator_raw_response</x:v>
      </x:c>
      <x:c r="E14" s="48" t="str">
        <x:v>artifacts/attempt_02/generator_raw.txt</x:v>
      </x:c>
      <x:c r="F14" s="47" t="str">
        <x:v>6f227a76da9ad8660a4757346a72fc0d3c48373378748c0c8cca1de1f25587f8</x:v>
      </x:c>
      <x:c r="G14" s="59" t="n">
        <x:v>5608</x:v>
      </x:c>
    </x:row>
    <x:row r="15">
      <x:c r="A15" s="47" t="str">
        <x:v>RUN-I2-031-20260830T134218411666Z</x:v>
      </x:c>
      <x:c r="B15" s="47" t="str">
        <x:v>I2-031</x:v>
      </x:c>
      <x:c r="C15" s="59" t="n">
        <x:v>2</x:v>
      </x:c>
      <x:c r="D15" s="47" t="str">
        <x:v>candidate_shape</x:v>
      </x:c>
      <x:c r="E15" s="48" t="str">
        <x:v>artifacts/attempt_02/candidate_shape.ttl</x:v>
      </x:c>
      <x:c r="F15" s="47" t="str">
        <x:v>6e2a156136c9e7be78816ee57005fd94a45cb3d97323b3986885eedd064a7331</x:v>
      </x:c>
      <x:c r="G15" s="59" t="n">
        <x:v>5583</x:v>
      </x:c>
    </x:row>
    <x:row r="16">
      <x:c r="A16" s="47" t="str">
        <x:v>RUN-I2-031-20260830T134218411666Z</x:v>
      </x:c>
      <x:c r="B16" s="47" t="str">
        <x:v>I2-031</x:v>
      </x:c>
      <x:c r="C16" s="59" t="n">
        <x:v>2</x:v>
      </x:c>
      <x:c r="D16" s="47" t="str">
        <x:v>deterministic_validation</x:v>
      </x:c>
      <x:c r="E16" s="48" t="str">
        <x:v>artifacts/attempt_02/deterministic_validation.json</x:v>
      </x:c>
      <x:c r="F16" s="47" t="str">
        <x:v>e920755f5b105766e02fd742ec3c78896479ca64f16836c5eecd1355c35d5f5c</x:v>
      </x:c>
      <x:c r="G16" s="59" t="n">
        <x:v>1397</x:v>
      </x:c>
    </x:row>
    <x:row r="17">
      <x:c r="A17" s="47" t="str">
        <x:v>RUN-I2-031-20260830T134218411666Z</x:v>
      </x:c>
      <x:c r="B17" s="47" t="str">
        <x:v>I2-031</x:v>
      </x:c>
      <x:c r="C17" s="59" t="n">
        <x:v>2</x:v>
      </x:c>
      <x:c r="D17" s="47" t="str">
        <x:v>validator_prompt</x:v>
      </x:c>
      <x:c r="E17" s="48" t="str">
        <x:v>artifacts/attempt_02/validator_prompt_01.txt</x:v>
      </x:c>
      <x:c r="F17" s="47" t="str">
        <x:v>1bcd368743fa44d4fea22918d1a31ce53b30fe38b48d31090f9b195fc9ee9b17</x:v>
      </x:c>
      <x:c r="G17" s="59" t="n">
        <x:v>60442</x:v>
      </x:c>
    </x:row>
    <x:row r="18">
      <x:c r="A18" s="47" t="str">
        <x:v>RUN-I2-031-20260830T134218411666Z</x:v>
      </x:c>
      <x:c r="B18" s="47" t="str">
        <x:v>I2-031</x:v>
      </x:c>
      <x:c r="C18" s="59" t="n">
        <x:v>2</x:v>
      </x:c>
      <x:c r="D18" s="47" t="str">
        <x:v>validator_raw_response</x:v>
      </x:c>
      <x:c r="E18" s="48" t="str">
        <x:v>artifacts/attempt_02/validator_raw_01.txt</x:v>
      </x:c>
      <x:c r="F18" s="47" t="str">
        <x:v>4a975f404a87ad467877d3d2f20a16406549a15d69c26c07403198aac688014b</x:v>
      </x:c>
      <x:c r="G18" s="59" t="n">
        <x:v>1036</x:v>
      </x:c>
    </x:row>
    <x:row r="19">
      <x:c r="A19" s="47" t="str">
        <x:v>RUN-I2-031-20260830T134218411666Z</x:v>
      </x:c>
      <x:c r="B19" s="47" t="str">
        <x:v>I2-031</x:v>
      </x:c>
      <x:c r="C19" s="59" t="n">
        <x:v>3</x:v>
      </x:c>
      <x:c r="D19" s="47" t="str">
        <x:v>generator_prompt</x:v>
      </x:c>
      <x:c r="E19" s="48" t="str">
        <x:v>artifacts/attempt_03/generator_prompt.txt</x:v>
      </x:c>
      <x:c r="F19" s="47" t="str">
        <x:v>a28c722be9a0a2f582ba96ff04fa687bc0baf1eaebe059d463dcc5eb710ca92e</x:v>
      </x:c>
      <x:c r="G19" s="59" t="n">
        <x:v>56099</x:v>
      </x:c>
    </x:row>
    <x:row r="20">
      <x:c r="A20" s="47" t="str">
        <x:v>RUN-I2-031-20260830T134218411666Z</x:v>
      </x:c>
      <x:c r="B20" s="47" t="str">
        <x:v>I2-031</x:v>
      </x:c>
      <x:c r="C20" s="59" t="n">
        <x:v>3</x:v>
      </x:c>
      <x:c r="D20" s="47" t="str">
        <x:v>generator_raw_response</x:v>
      </x:c>
      <x:c r="E20" s="48" t="str">
        <x:v>artifacts/attempt_03/generator_raw.txt</x:v>
      </x:c>
      <x:c r="F20" s="47" t="str">
        <x:v>e77ba4311d784dc7c2c085b11e93cfb40b58b31679871ceca60f2a5767ec3fcd</x:v>
      </x:c>
      <x:c r="G20" s="59" t="n">
        <x:v>4499</x:v>
      </x:c>
    </x:row>
    <x:row r="21">
      <x:c r="A21" s="47" t="str">
        <x:v>RUN-I2-031-20260830T134218411666Z</x:v>
      </x:c>
      <x:c r="B21" s="47" t="str">
        <x:v>I2-031</x:v>
      </x:c>
      <x:c r="C21" s="59" t="n">
        <x:v>3</x:v>
      </x:c>
      <x:c r="D21" s="47" t="str">
        <x:v>candidate_shape</x:v>
      </x:c>
      <x:c r="E21" s="48" t="str">
        <x:v>artifacts/attempt_03/candidate_shape.ttl</x:v>
      </x:c>
      <x:c r="F21" s="47" t="str">
        <x:v>cc57e373914254e260e5a59796da9da8c83cf25601f9dc6e840d353272094c19</x:v>
      </x:c>
      <x:c r="G21" s="59" t="n">
        <x:v>4474</x:v>
      </x:c>
    </x:row>
    <x:row r="22">
      <x:c r="A22" s="47" t="str">
        <x:v>RUN-I2-031-20260830T134218411666Z</x:v>
      </x:c>
      <x:c r="B22" s="47" t="str">
        <x:v>I2-031</x:v>
      </x:c>
      <x:c r="C22" s="59" t="n">
        <x:v>3</x:v>
      </x:c>
      <x:c r="D22" s="47" t="str">
        <x:v>deterministic_validation</x:v>
      </x:c>
      <x:c r="E22" s="48" t="str">
        <x:v>artifacts/attempt_03/deterministic_validation.json</x:v>
      </x:c>
      <x:c r="F22" s="47" t="str">
        <x:v>3bf56c7eb03448481a94e682c2370be393fedd4e51cae486d36e2f4386467610</x:v>
      </x:c>
      <x:c r="G22" s="59" t="n">
        <x:v>1270</x:v>
      </x:c>
    </x:row>
    <x:row r="23">
      <x:c r="A23" s="47" t="str">
        <x:v>RUN-I2-031-20260830T134218411666Z</x:v>
      </x:c>
      <x:c r="B23" s="47" t="str">
        <x:v>I2-031</x:v>
      </x:c>
      <x:c r="C23" s="59" t="n">
        <x:v>3</x:v>
      </x:c>
      <x:c r="D23" s="47" t="str">
        <x:v>validator_prompt</x:v>
      </x:c>
      <x:c r="E23" s="48" t="str">
        <x:v>artifacts/attempt_03/validator_prompt_01.txt</x:v>
      </x:c>
      <x:c r="F23" s="47" t="str">
        <x:v>e68bc375ebdbd933af49c69c1c72c2557c6c10862e90318f890c42757da2e1d5</x:v>
      </x:c>
      <x:c r="G23" s="59" t="n">
        <x:v>58835</x:v>
      </x:c>
    </x:row>
    <x:row r="24">
      <x:c r="A24" s="47" t="str">
        <x:v>RUN-I2-031-20260830T134218411666Z</x:v>
      </x:c>
      <x:c r="B24" s="47" t="str">
        <x:v>I2-031</x:v>
      </x:c>
      <x:c r="C24" s="59" t="n">
        <x:v>3</x:v>
      </x:c>
      <x:c r="D24" s="47" t="str">
        <x:v>validator_raw_response</x:v>
      </x:c>
      <x:c r="E24" s="48" t="str">
        <x:v>artifacts/attempt_03/validator_raw_01.txt</x:v>
      </x:c>
      <x:c r="F24" s="47" t="str">
        <x:v>798e5b766c5ccdd00520762a8c9b0184de41dc1f7ccf01b8329bf3b732e8e52a</x:v>
      </x:c>
      <x:c r="G24" s="59" t="n">
        <x:v>1453</x:v>
      </x:c>
    </x:row>
    <x:row r="25">
      <x:c r="A25" s="47" t="str">
        <x:v>RUN-I2-031-20260830T134218411666Z</x:v>
      </x:c>
      <x:c r="B25" s="47" t="str">
        <x:v>I2-031</x:v>
      </x:c>
      <x:c r="C25" s="59" t="n">
        <x:v>3</x:v>
      </x:c>
      <x:c r="D25" s="47" t="str">
        <x:v>matcher_candidates</x:v>
      </x:c>
      <x:c r="E25" s="48" t="str">
        <x:v>artifacts/attempt_03/matcher_candidates.json</x:v>
      </x:c>
      <x:c r="F25" s="47" t="str">
        <x:v>5439ff3978ce9d8c5edc93f0eb1d6b1fda1690d66fc9f478a50a59ababfa84b8</x:v>
      </x:c>
      <x:c r="G25" s="59" t="n">
        <x:v>7771</x:v>
      </x:c>
    </x:row>
    <x:row r="26">
      <x:c r="A26" s="47" t="str">
        <x:v>RUN-I2-031-20260830T134218411666Z</x:v>
      </x:c>
      <x:c r="B26" s="47" t="str">
        <x:v>I2-031</x:v>
      </x:c>
      <x:c r="C26" s="59" t="n">
        <x:v>3</x:v>
      </x:c>
      <x:c r="D26" s="47" t="str">
        <x:v>vocabulary_matcher_prompt</x:v>
      </x:c>
      <x:c r="E26" s="48" t="str">
        <x:v>artifacts/attempt_03/vocabulary_matcher_prompt_01.txt</x:v>
      </x:c>
      <x:c r="F26" s="47" t="str">
        <x:v>714224e325d740a526e685970049286a48974620fb3926a9e606089c53e0b57c</x:v>
      </x:c>
      <x:c r="G26" s="59" t="n">
        <x:v>16144</x:v>
      </x:c>
    </x:row>
    <x:row r="27">
      <x:c r="A27" s="49" t="str">
        <x:v>RUN-I2-031-20260830T134218411666Z</x:v>
      </x:c>
      <x:c r="B27" s="49" t="str">
        <x:v>I2-031</x:v>
      </x:c>
      <x:c r="C27" s="60" t="n">
        <x:v>3</x:v>
      </x:c>
      <x:c r="D27" s="49" t="str">
        <x:v>vocabulary_matcher_raw_response</x:v>
      </x:c>
      <x:c r="E27" s="50" t="str">
        <x:v>artifacts/attempt_03/vocabulary_matcher_raw_01.txt</x:v>
      </x:c>
      <x:c r="F27" s="49" t="str">
        <x:v>324ac9e251a4188e79b75d9dc69db6867d1a27531dc7b2ab3b0295e26860eac4</x:v>
      </x:c>
      <x:c r="G27" s="60" t="n">
        <x:v>269</x:v>
      </x:c>
    </x:row>
  </x:sheetData>
  <x:pageMargins left="0.7" right="0.7" top="0.75" bottom="0.75" header="0.3" footer="0.3"/>
  <x:tableParts count="1">
    <x:tablePart xmlns:r="http://schemas.openxmlformats.org/officeDocument/2006/relationships" r:id="Ra90a33a30be94017"/>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RUN-I2-031-20260830T134218411666Z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RUN-I2-031-20260830T134218411666Z</x:v>
      </x:c>
      <x:c r="B5" s="69" t="str">
        <x:v>I2-031</x:v>
      </x:c>
      <x:c r="C5" s="71" t="n">
        <x:v>3</x:v>
      </x:c>
      <x:c r="D5" s="69" t="str">
        <x:v>TERM_RESOLUTION_UNRESOLVED</x:v>
      </x:c>
      <x:c r="E5" s="73" t="str">
        <x:v>No supplied candidate is a verified canonical relationship or evidence term for linking the member midspanPlasticCollapseLoad definition to the ship-owned plasticCollapseMechanism.</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4d64012ea868417b"/>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RUN-I2-031-20260830T134218411666Z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