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270b3c3a1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bf64b862eb4385"/>
    <x:sheet xmlns:r="http://schemas.openxmlformats.org/officeDocument/2006/relationships" name="README" sheetId="2" r:id="R3d34c3a952ff442a"/>
    <x:sheet xmlns:r="http://schemas.openxmlformats.org/officeDocument/2006/relationships" name="REGULATION_QUEUE" sheetId="3" r:id="Rd57b602390924504"/>
    <x:sheet xmlns:r="http://schemas.openxmlformats.org/officeDocument/2006/relationships" name="RUNS" sheetId="4" r:id="Rf4b2a4083c7545bf"/>
    <x:sheet xmlns:r="http://schemas.openxmlformats.org/officeDocument/2006/relationships" name="ITERATIONS" sheetId="5" r:id="R93da34ede3eb46ac"/>
    <x:sheet xmlns:r="http://schemas.openxmlformats.org/officeDocument/2006/relationships" name="API_CALLS" sheetId="6" r:id="R680ad18a3a294718"/>
    <x:sheet xmlns:r="http://schemas.openxmlformats.org/officeDocument/2006/relationships" name="TERM_RETRIEVAL" sheetId="7" r:id="R5c63f0f122f2419a"/>
    <x:sheet xmlns:r="http://schemas.openxmlformats.org/officeDocument/2006/relationships" name="FEW_SHOT_SELECTION" sheetId="8" r:id="R289d6428976d46bf"/>
    <x:sheet xmlns:r="http://schemas.openxmlformats.org/officeDocument/2006/relationships" name="VALIDATION" sheetId="9" r:id="R6b0b1d97f54f458a"/>
    <x:sheet xmlns:r="http://schemas.openxmlformats.org/officeDocument/2006/relationships" name="VOCAB_MATCHES" sheetId="10" r:id="R14ed7a2f93cc4250"/>
    <x:sheet xmlns:r="http://schemas.openxmlformats.org/officeDocument/2006/relationships" name="ARTIFACTS" sheetId="11" r:id="R0e12a932f4234406"/>
    <x:sheet xmlns:r="http://schemas.openxmlformats.org/officeDocument/2006/relationships" name="UNRESOLVED" sheetId="12" r:id="R529212438c3d4dfa"/>
    <x:sheet xmlns:r="http://schemas.openxmlformats.org/officeDocument/2006/relationships" name="RDF_TEST_QUEUE" sheetId="13" r:id="Raf5afb4d786e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abafc5f5d4700" /><Relationship Type="http://schemas.openxmlformats.org/officeDocument/2006/relationships/theme" Target="/xl/theme/theme1.xml" Id="R1f5fe87679174c35" /><Relationship Type="http://schemas.microsoft.com/office/2022/11/relationships/FeaturePropertyBag" Target="/xl/featurePropertyBag/featurePropertyBag.xml" Id="R4e069a3279384619" /><Relationship Type="http://schemas.openxmlformats.org/officeDocument/2006/relationships/sharedStrings" Target="/xl/sharedStrings.xml" Id="Rdba8307014124798" /><Relationship Type="http://schemas.openxmlformats.org/officeDocument/2006/relationships/worksheet" Target="/xl/worksheets/sheet1.xml" Id="Rdebf64b862eb4385" /><Relationship Type="http://schemas.openxmlformats.org/officeDocument/2006/relationships/worksheet" Target="/xl/worksheets/sheet2.xml" Id="R3d34c3a952ff442a" /><Relationship Type="http://schemas.openxmlformats.org/officeDocument/2006/relationships/worksheet" Target="/xl/worksheets/sheet3.xml" Id="Rd57b602390924504" /><Relationship Type="http://schemas.openxmlformats.org/officeDocument/2006/relationships/worksheet" Target="/xl/worksheets/sheet4.xml" Id="Rf4b2a4083c7545bf" /><Relationship Type="http://schemas.openxmlformats.org/officeDocument/2006/relationships/worksheet" Target="/xl/worksheets/sheet5.xml" Id="R93da34ede3eb46ac" /><Relationship Type="http://schemas.openxmlformats.org/officeDocument/2006/relationships/worksheet" Target="/xl/worksheets/sheet6.xml" Id="R680ad18a3a294718" /><Relationship Type="http://schemas.openxmlformats.org/officeDocument/2006/relationships/worksheet" Target="/xl/worksheets/sheet7.xml" Id="R5c63f0f122f2419a" /><Relationship Type="http://schemas.openxmlformats.org/officeDocument/2006/relationships/worksheet" Target="/xl/worksheets/sheet8.xml" Id="R289d6428976d46bf" /><Relationship Type="http://schemas.openxmlformats.org/officeDocument/2006/relationships/worksheet" Target="/xl/worksheets/sheet9.xml" Id="R6b0b1d97f54f458a" /><Relationship Type="http://schemas.openxmlformats.org/officeDocument/2006/relationships/worksheet" Target="/xl/worksheets/sheet10.xml" Id="R14ed7a2f93cc4250" /><Relationship Type="http://schemas.openxmlformats.org/officeDocument/2006/relationships/worksheet" Target="/xl/worksheets/sheet11.xml" Id="R0e12a932f4234406" /><Relationship Type="http://schemas.openxmlformats.org/officeDocument/2006/relationships/worksheet" Target="/xl/worksheets/sheet12.xml" Id="R529212438c3d4dfa" /><Relationship Type="http://schemas.openxmlformats.org/officeDocument/2006/relationships/worksheet" Target="/xl/worksheets/sheet13.xml" Id="Raf5afb4d786e4e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8bdf85e9e6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e9d0f1c6a0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be53dbed984a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c5202deb57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5f743c086e45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b72c0397a14c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b75996c74942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cb37d9b3a844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fba2acaf8c43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da95ae7f6f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RUN-I2-035-20260830T135035940207Z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20574.286916666668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RUN-I2-035-20260830T135035940207Z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8bdf85e9e640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9d0f1c6a049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RUN-I2-035-20260830T135035940207Z</x:v>
      </x:c>
      <x:c r="C5" s="69" t="str">
        <x:v>I2-035</x:v>
      </x:c>
      <x:c r="D5" s="70" t="n">
        <x:v>46264.57680487268</x:v>
      </x:c>
      <x:c r="E5" s="70" t="n">
        <x:v>46264.57824299768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all declared operands and the result use the authoritative owners and paths, units are correctly represented and converted, the piecewise formula is correct, the derived result uses expected-value-scaled tolerance, and A_w &gt;= A_L is enforced with the correct direction. Prior ABS and structural-member cardinality repairs are preserved, and no nested target class or unsupported function remains.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e53dbed984a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RUN-I2-035-20260830T135035940207Z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DIRECT_CALCULATION SPARQL constraint to remove the unsupported ABS function. Replace ABS(?al - ?expected) and ABS(?expected) with permitted arithmetic and simple piecewise branches (or equivalent two-sided direct comparisons), while retaining the scaled tolerance based on the expected formula result, the derived-result tolerance check, the A_w &gt;= A_L comparison, all current operand paths, owner structure, and unit conversions.</x:v>
      </x:c>
      <x:c r="I5" s="84" t="n">
        <x:v>29052.648</x:v>
      </x:c>
      <x:c r="J5" s="84" t="n">
        <x:v>14660.573</x:v>
      </x:c>
    </x:row>
    <x:row r="6">
      <x:c r="A6" s="47" t="str">
        <x:v>RUN-I2-035-20260830T135035940207Z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DIRECT_CALCULATION constraint's unit comparison: shearArea is declared in M2 while requiredLongitudinalFrameShearArea and the computed expected result are in CentiM2, so do not compare ?aw directly with ?al. Convert ?aw to cm2 (for example, BIND(10000 * ?aw AS ?awCm2)) and enforce ?awCm2 &gt;= ?al, while retaining the formula-result tolerance scaled from ?expected. The ABS repair is correctly preserved with permitted piecewise arithmetic. Also add sh:minCount 1 to nltl:hasStructuralMember so a missing member cannot make the required-member formula query return no rows and pass; remove the nested shape's sh:targetClass if it is intended only as the path constraint, to avoid imposing these member requirements globally on unrelated structural members.</x:v>
      </x:c>
      <x:c r="I6" s="86" t="n">
        <x:v>25339.889</x:v>
      </x:c>
      <x:c r="J6" s="86" t="n">
        <x:v>19974.721</x:v>
      </x:c>
    </x:row>
    <x:row r="7">
      <x:c r="A7" s="49" t="str">
        <x:v>RUN-I2-035-20260830T135035940207Z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DIRECT_CALCULATION requirement: all declared operands and the result use the authoritative owners and paths, units are correctly represented and converted, the piecewise formula is correct, the derived result uses expected-value-scaled tolerance, and A_w &gt;= A_L is enforced with the correct direction. Prior ABS and structural-member cardinality repairs are preserved, and no nested target class or unsupported function remains.</x:v>
      </x:c>
      <x:c r="I7" s="88" t="n">
        <x:v>23496.128</x:v>
      </x:c>
      <x:c r="J7" s="88" t="n">
        <x:v>10926.883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5202deb5740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RUN-I2-035-20260830T135035940207Z</x:v>
      </x:c>
      <x:c r="C5" s="45" t="str">
        <x:v>I2-035</x:v>
      </x:c>
      <x:c r="D5" s="92" t="n">
        <x:v>46264.57714112269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29051.052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RUN-I2-035-20260830T135035940207Z</x:v>
      </x:c>
      <x:c r="C6" s="47" t="str">
        <x:v>I2-035</x:v>
      </x:c>
      <x:c r="D6" s="93" t="n">
        <x:v>46264.57714114583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29052.648</x:v>
      </x:c>
      <x:c r="L6" s="85" t="b">
        <x:v>0</x:v>
      </x:c>
      <x:c r="M6" s="47" t="str">
        <x:v>resp_052d84c3183911df006a94352c27b08195938f154c1f6a5c71</x:v>
      </x:c>
      <x:c r="N6" s="59" t="n">
        <x:v>10691</x:v>
      </x:c>
      <x:c r="O6" s="59" t="n">
        <x:v>3555</x:v>
      </x:c>
      <x:c r="P6" s="59" t="n">
        <x:v>14246</x:v>
      </x:c>
    </x:row>
    <x:row r="7">
      <x:c r="A7" s="47" t="str">
        <x:v>EVT-000033</x:v>
      </x:c>
      <x:c r="B7" s="47" t="str">
        <x:v>RUN-I2-035-20260830T135035940207Z</x:v>
      </x:c>
      <x:c r="C7" s="47" t="str">
        <x:v>I2-035</x:v>
      </x:c>
      <x:c r="D7" s="93" t="n">
        <x:v>46264.57731341435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14658.315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RUN-I2-035-20260830T135035940207Z</x:v>
      </x:c>
      <x:c r="C8" s="47" t="str">
        <x:v>I2-035</x:v>
      </x:c>
      <x:c r="D8" s="93" t="n">
        <x:v>46264.5773134375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14660.573</x:v>
      </x:c>
      <x:c r="L8" s="85" t="b">
        <x:v>0</x:v>
      </x:c>
      <x:c r="M8" s="47" t="str">
        <x:v>resp_041f3d173697a92a006a94354968b48190b2f5534245a9cc65</x:v>
      </x:c>
      <x:c r="N8" s="59" t="n">
        <x:v>11506</x:v>
      </x:c>
      <x:c r="O8" s="59" t="n">
        <x:v>1047</x:v>
      </x:c>
      <x:c r="P8" s="59" t="n">
        <x:v>12553</x:v>
      </x:c>
    </x:row>
    <x:row r="9">
      <x:c r="A9" s="47" t="str">
        <x:v>EVT-000039</x:v>
      </x:c>
      <x:c r="B9" s="47" t="str">
        <x:v>RUN-I2-035-20260830T135035940207Z</x:v>
      </x:c>
      <x:c r="C9" s="47" t="str">
        <x:v>I2-035</x:v>
      </x:c>
      <x:c r="D9" s="93" t="n">
        <x:v>46264.57760675926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25338.504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RUN-I2-035-20260830T135035940207Z</x:v>
      </x:c>
      <x:c r="C10" s="47" t="str">
        <x:v>I2-035</x:v>
      </x:c>
      <x:c r="D10" s="93" t="n">
        <x:v>46264.577606770836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25339.889</x:v>
      </x:c>
      <x:c r="L10" s="85" t="b">
        <x:v>0</x:v>
      </x:c>
      <x:c r="M10" s="47" t="str">
        <x:v>resp_02442d4806c19400006a9435580b948190956b93f2169f458e</x:v>
      </x:c>
      <x:c r="N10" s="59" t="n">
        <x:v>10775</x:v>
      </x:c>
      <x:c r="O10" s="59" t="n">
        <x:v>3304</x:v>
      </x:c>
      <x:c r="P10" s="59" t="n">
        <x:v>14079</x:v>
      </x:c>
    </x:row>
    <x:row r="11">
      <x:c r="A11" s="47" t="str">
        <x:v>EVT-000047</x:v>
      </x:c>
      <x:c r="B11" s="47" t="str">
        <x:v>RUN-I2-035-20260830T135035940207Z</x:v>
      </x:c>
      <x:c r="C11" s="47" t="str">
        <x:v>I2-035</x:v>
      </x:c>
      <x:c r="D11" s="93" t="n">
        <x:v>46264.57784125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19972.488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RUN-I2-035-20260830T135035940207Z</x:v>
      </x:c>
      <x:c r="C12" s="47" t="str">
        <x:v>I2-035</x:v>
      </x:c>
      <x:c r="D12" s="93" t="n">
        <x:v>46264.577841273145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19974.721</x:v>
      </x:c>
      <x:c r="L12" s="85" t="b">
        <x:v>0</x:v>
      </x:c>
      <x:c r="M12" s="47" t="str">
        <x:v>resp_0fb0f90f9f1bd397006a943571cadc81948103cb3550478a3b</x:v>
      </x:c>
      <x:c r="N12" s="59" t="n">
        <x:v>11934</x:v>
      </x:c>
      <x:c r="O12" s="59" t="n">
        <x:v>1697</x:v>
      </x:c>
      <x:c r="P12" s="59" t="n">
        <x:v>13631</x:v>
      </x:c>
    </x:row>
    <x:row r="13">
      <x:c r="A13" s="47" t="str">
        <x:v>EVT-000053</x:v>
      </x:c>
      <x:c r="B13" s="47" t="str">
        <x:v>RUN-I2-035-20260830T135035940207Z</x:v>
      </x:c>
      <x:c r="C13" s="47" t="str">
        <x:v>I2-035</x:v>
      </x:c>
      <x:c r="D13" s="93" t="n">
        <x:v>46264.57811326389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23494.804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RUN-I2-035-20260830T135035940207Z</x:v>
      </x:c>
      <x:c r="C14" s="47" t="str">
        <x:v>I2-035</x:v>
      </x:c>
      <x:c r="D14" s="93" t="n">
        <x:v>46264.57811328704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23496.128</x:v>
      </x:c>
      <x:c r="L14" s="85" t="b">
        <x:v>0</x:v>
      </x:c>
      <x:c r="M14" s="47" t="str">
        <x:v>resp_048a6103b082e8bd006a943585a674819587c6d225d981c25f</x:v>
      </x:c>
      <x:c r="N14" s="59" t="n">
        <x:v>10949</x:v>
      </x:c>
      <x:c r="O14" s="59" t="n">
        <x:v>2662</x:v>
      </x:c>
      <x:c r="P14" s="59" t="n">
        <x:v>13611</x:v>
      </x:c>
    </x:row>
    <x:row r="15">
      <x:c r="A15" s="47" t="str">
        <x:v>EVT-000061</x:v>
      </x:c>
      <x:c r="B15" s="47" t="str">
        <x:v>RUN-I2-035-20260830T135035940207Z</x:v>
      </x:c>
      <x:c r="C15" s="47" t="str">
        <x:v>I2-035</x:v>
      </x:c>
      <x:c r="D15" s="93" t="n">
        <x:v>46264.578242916665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10925.438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RUN-I2-035-20260830T135035940207Z</x:v>
      </x:c>
      <x:c r="C16" s="49" t="str">
        <x:v>I2-035</x:v>
      </x:c>
      <x:c r="D16" s="94" t="n">
        <x:v>46264.57824293982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10926.883</x:v>
      </x:c>
      <x:c r="L16" s="87" t="b">
        <x:v>0</x:v>
      </x:c>
      <x:c r="M16" s="49" t="str">
        <x:v>resp_03355019bd448ded006a94359d7828819786790e8e217f5d0a</x:v>
      </x:c>
      <x:c r="N16" s="60" t="n">
        <x:v>11912</x:v>
      </x:c>
      <x:c r="O16" s="60" t="n">
        <x:v>788</x:v>
      </x:c>
      <x:c r="P16" s="60" t="n">
        <x:v>12700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f743c086e45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RUN-I2-035-20260830T135035940207Z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RUN-I2-035-20260830T135035940207Z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RUN-I2-035-20260830T135035940207Z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RUN-I2-035-20260830T135035940207Z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RUN-I2-035-20260830T135035940207Z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RUN-I2-035-20260830T135035940207Z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RUN-I2-035-20260830T135035940207Z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RUN-I2-035-20260830T135035940207Z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RUN-I2-035-20260830T135035940207Z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RUN-I2-035-20260830T135035940207Z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RUN-I2-035-20260830T135035940207Z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RUN-I2-035-20260830T135035940207Z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RUN-I2-035-20260830T135035940207Z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RUN-I2-035-20260830T135035940207Z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RUN-I2-035-20260830T135035940207Z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RUN-I2-035-20260830T135035940207Z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RUN-I2-035-20260830T135035940207Z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b72c0397a14c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RUN-I2-035-20260830T135035940207Z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RUN-I2-035-20260830T135035940207Z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RUN-I2-035-20260830T135035940207Z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75996c74942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RUN-I2-035-20260830T135035940207Z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RUN-I2-035-20260830T135035940207Z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RUN-I2-035-20260830T135035940207Z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bcb37d9b3a844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RUN-I2-035-20260830T135035940207Z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RUN-I2-035-20260830T135035940207Z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RUN-I2-035-20260830T135035940207Z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RUN-I2-035-20260830T135035940207Z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RUN-I2-035-20260830T135035940207Z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RUN-I2-035-20260830T135035940207Z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ab2356fada357009e8105bbac0e8b30efb67db56c84a6c9e87306a8a588dfa4a</x:v>
      </x:c>
      <x:c r="G8" s="59" t="n">
        <x:v>5495</x:v>
      </x:c>
    </x:row>
    <x:row r="9">
      <x:c r="A9" s="47" t="str">
        <x:v>RUN-I2-035-20260830T135035940207Z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142a5a3e2cb11de96d330c0827203a761cd8aab892a4946ee81698c1812dd588</x:v>
      </x:c>
      <x:c r="G9" s="59" t="n">
        <x:v>5470</x:v>
      </x:c>
    </x:row>
    <x:row r="10">
      <x:c r="A10" s="47" t="str">
        <x:v>RUN-I2-035-20260830T135035940207Z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2ce6159a240235bfd7ef5c9668516aad7a9b4aa23ab9303fb58f8f1a0018ceb3</x:v>
      </x:c>
      <x:c r="G10" s="59" t="n">
        <x:v>1010</x:v>
      </x:c>
    </x:row>
    <x:row r="11">
      <x:c r="A11" s="47" t="str">
        <x:v>RUN-I2-035-20260830T135035940207Z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d5a964e15176bc8819c00caab49170c095a193c0ffeb1057dae67c9fc08ca3a9</x:v>
      </x:c>
      <x:c r="G11" s="59" t="n">
        <x:v>41692</x:v>
      </x:c>
    </x:row>
    <x:row r="12">
      <x:c r="A12" s="47" t="str">
        <x:v>RUN-I2-035-20260830T135035940207Z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5521540549264d512441ebc7a91c9d534eb194e9c8de91c5ac970791f0898c2d</x:v>
      </x:c>
      <x:c r="G12" s="59" t="n">
        <x:v>505</x:v>
      </x:c>
    </x:row>
    <x:row r="13">
      <x:c r="A13" s="47" t="str">
        <x:v>RUN-I2-035-20260830T135035940207Z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af25a242a6160da0818996d0a9ac62997c6100c1867914d8af4647e52a359cc6</x:v>
      </x:c>
      <x:c r="G13" s="59" t="n">
        <x:v>41237</x:v>
      </x:c>
    </x:row>
    <x:row r="14">
      <x:c r="A14" s="47" t="str">
        <x:v>RUN-I2-035-20260830T135035940207Z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1251c442362566172dca82c6b1af794a61f4b6b428bc13dacd50031300564c19</x:v>
      </x:c>
      <x:c r="G14" s="59" t="n">
        <x:v>8089</x:v>
      </x:c>
    </x:row>
    <x:row r="15">
      <x:c r="A15" s="47" t="str">
        <x:v>RUN-I2-035-20260830T135035940207Z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fd0c28ad47fa090ef491649e81741b3babbbb561c79e35fbf9ac967cc94b096d</x:v>
      </x:c>
      <x:c r="G15" s="59" t="n">
        <x:v>8064</x:v>
      </x:c>
    </x:row>
    <x:row r="16">
      <x:c r="A16" s="47" t="str">
        <x:v>RUN-I2-035-20260830T135035940207Z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1e3fdd6557237843001c9d90ba5b637bb7a915ce5aaae5261d2741fdb31e27bf</x:v>
      </x:c>
      <x:c r="G16" s="59" t="n">
        <x:v>959</x:v>
      </x:c>
    </x:row>
    <x:row r="17">
      <x:c r="A17" s="47" t="str">
        <x:v>RUN-I2-035-20260830T135035940207Z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e82c535969b80f0f0c5c1b54418c0497b94d624473d3609137a33bca78c9d16e</x:v>
      </x:c>
      <x:c r="G17" s="59" t="n">
        <x:v>44350</x:v>
      </x:c>
    </x:row>
    <x:row r="18">
      <x:c r="A18" s="47" t="str">
        <x:v>RUN-I2-035-20260830T135035940207Z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4739dfcdecc1259ccf110afc8327d8f3ac108b8f3bed3dbc4270a3025a55f757</x:v>
      </x:c>
      <x:c r="G18" s="59" t="n">
        <x:v>830</x:v>
      </x:c>
    </x:row>
    <x:row r="19">
      <x:c r="A19" s="47" t="str">
        <x:v>RUN-I2-035-20260830T135035940207Z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c535954b5696d17410f7f834d526c57b6274a2dc670296c14b0caadbed854fbd</x:v>
      </x:c>
      <x:c r="G19" s="59" t="n">
        <x:v>42010</x:v>
      </x:c>
    </x:row>
    <x:row r="20">
      <x:c r="A20" s="47" t="str">
        <x:v>RUN-I2-035-20260830T135035940207Z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1780ce22dd678724cd3697b0fec334bc5d904971860d4d3aba9fa6bcf7c6667e</x:v>
      </x:c>
      <x:c r="G20" s="59" t="n">
        <x:v>7396</x:v>
      </x:c>
    </x:row>
    <x:row r="21">
      <x:c r="A21" s="47" t="str">
        <x:v>RUN-I2-035-20260830T135035940207Z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f0365cf070a80bd9540fc46d099a858504c127fefd9b1dcad86131cb2869ab4d</x:v>
      </x:c>
      <x:c r="G21" s="59" t="n">
        <x:v>7371</x:v>
      </x:c>
    </x:row>
    <x:row r="22">
      <x:c r="A22" s="47" t="str">
        <x:v>RUN-I2-035-20260830T135035940207Z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1e3fdd6557237843001c9d90ba5b637bb7a915ce5aaae5261d2741fdb31e27bf</x:v>
      </x:c>
      <x:c r="G22" s="59" t="n">
        <x:v>959</x:v>
      </x:c>
    </x:row>
    <x:row r="23">
      <x:c r="A23" s="47" t="str">
        <x:v>RUN-I2-035-20260830T135035940207Z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e814e781b426617098ad47e7290149becb290f7f16b56912dffeee21531eef0a</x:v>
      </x:c>
      <x:c r="G23" s="59" t="n">
        <x:v>44421</x:v>
      </x:c>
    </x:row>
    <x:row r="24">
      <x:c r="A24" s="47" t="str">
        <x:v>RUN-I2-035-20260830T135035940207Z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3b27a7f11b2d56e8c5760fbd36cdf41446371ded4df27bffad6e87c82f671631</x:v>
      </x:c>
      <x:c r="G24" s="59" t="n">
        <x:v>528</x:v>
      </x:c>
    </x:row>
    <x:row r="25">
      <x:c r="A25" s="49" t="str">
        <x:v>RUN-I2-035-20260830T135035940207Z</x:v>
      </x:c>
      <x:c r="B25" s="49" t="str">
        <x:v>I2-035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f0365cf070a80bd9540fc46d099a858504c127fefd9b1dcad86131cb2869ab4d</x:v>
      </x:c>
      <x:c r="G25" s="60" t="n">
        <x:v>7371</x:v>
      </x:c>
    </x:row>
  </x:sheetData>
  <x:pageMargins left="0.7" right="0.7" top="0.75" bottom="0.75" header="0.3" footer="0.3"/>
  <x:tableParts count="1">
    <x:tablePart xmlns:r="http://schemas.openxmlformats.org/officeDocument/2006/relationships" r:id="R38fba2acaf8c43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RUN-I2-035-20260830T135035940207Z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RUN-I2-035-20260830T135035940207Z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RUN-I2-035-20260830T135035940207Z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a95ae7f6f4f1f"/>
  </x:tableParts>
</x:worksheet>
</file>