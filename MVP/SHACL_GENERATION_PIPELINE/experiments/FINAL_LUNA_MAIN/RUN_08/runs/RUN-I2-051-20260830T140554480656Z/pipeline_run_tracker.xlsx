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15af7380dc495c" /></Relationships>
</file>

<file path=xl/workbook.xml><?xml version="1.0" encoding="utf-8"?>
<x:workbook xmlns:x="http://schemas.openxmlformats.org/spreadsheetml/2006/main">
  <x:sheets>
    <x:sheet xmlns:r="http://schemas.openxmlformats.org/officeDocument/2006/relationships" name="SUMMARY" sheetId="1" r:id="Rc106283afd184153"/>
    <x:sheet xmlns:r="http://schemas.openxmlformats.org/officeDocument/2006/relationships" name="README" sheetId="2" r:id="R63c1bf95f9444944"/>
    <x:sheet xmlns:r="http://schemas.openxmlformats.org/officeDocument/2006/relationships" name="REGULATION_QUEUE" sheetId="3" r:id="R2e373bb196a74c91"/>
    <x:sheet xmlns:r="http://schemas.openxmlformats.org/officeDocument/2006/relationships" name="RUNS" sheetId="4" r:id="R981d5fde5e2f494f"/>
    <x:sheet xmlns:r="http://schemas.openxmlformats.org/officeDocument/2006/relationships" name="ITERATIONS" sheetId="5" r:id="R447177e2cad8496f"/>
    <x:sheet xmlns:r="http://schemas.openxmlformats.org/officeDocument/2006/relationships" name="API_CALLS" sheetId="6" r:id="Rd750621b8bf64015"/>
    <x:sheet xmlns:r="http://schemas.openxmlformats.org/officeDocument/2006/relationships" name="TERM_RETRIEVAL" sheetId="7" r:id="R2d5c109f2af04302"/>
    <x:sheet xmlns:r="http://schemas.openxmlformats.org/officeDocument/2006/relationships" name="FEW_SHOT_SELECTION" sheetId="8" r:id="R3b6fb5c3b5494404"/>
    <x:sheet xmlns:r="http://schemas.openxmlformats.org/officeDocument/2006/relationships" name="VALIDATION" sheetId="9" r:id="R4870d04beb704097"/>
    <x:sheet xmlns:r="http://schemas.openxmlformats.org/officeDocument/2006/relationships" name="VOCAB_MATCHES" sheetId="10" r:id="Reaa09d7d49294293"/>
    <x:sheet xmlns:r="http://schemas.openxmlformats.org/officeDocument/2006/relationships" name="ARTIFACTS" sheetId="11" r:id="Re3f93b25e53b46df"/>
    <x:sheet xmlns:r="http://schemas.openxmlformats.org/officeDocument/2006/relationships" name="UNRESOLVED" sheetId="12" r:id="R5e7e979c5b1742d6"/>
    <x:sheet xmlns:r="http://schemas.openxmlformats.org/officeDocument/2006/relationships" name="RDF_TEST_QUEUE" sheetId="13" r:id="R2144144e6f8a4c2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e7f6f7ac2b4f22" /><Relationship Type="http://schemas.openxmlformats.org/officeDocument/2006/relationships/theme" Target="/xl/theme/theme1.xml" Id="R7acdeecebb2f4452" /><Relationship Type="http://schemas.microsoft.com/office/2022/11/relationships/FeaturePropertyBag" Target="/xl/featurePropertyBag/featurePropertyBag.xml" Id="R8d0691d269704e0f" /><Relationship Type="http://schemas.openxmlformats.org/officeDocument/2006/relationships/sharedStrings" Target="/xl/sharedStrings.xml" Id="R8b30748dcbbf466f" /><Relationship Type="http://schemas.openxmlformats.org/officeDocument/2006/relationships/worksheet" Target="/xl/worksheets/sheet1.xml" Id="Rc106283afd184153" /><Relationship Type="http://schemas.openxmlformats.org/officeDocument/2006/relationships/worksheet" Target="/xl/worksheets/sheet2.xml" Id="R63c1bf95f9444944" /><Relationship Type="http://schemas.openxmlformats.org/officeDocument/2006/relationships/worksheet" Target="/xl/worksheets/sheet3.xml" Id="R2e373bb196a74c91" /><Relationship Type="http://schemas.openxmlformats.org/officeDocument/2006/relationships/worksheet" Target="/xl/worksheets/sheet4.xml" Id="R981d5fde5e2f494f" /><Relationship Type="http://schemas.openxmlformats.org/officeDocument/2006/relationships/worksheet" Target="/xl/worksheets/sheet5.xml" Id="R447177e2cad8496f" /><Relationship Type="http://schemas.openxmlformats.org/officeDocument/2006/relationships/worksheet" Target="/xl/worksheets/sheet6.xml" Id="Rd750621b8bf64015" /><Relationship Type="http://schemas.openxmlformats.org/officeDocument/2006/relationships/worksheet" Target="/xl/worksheets/sheet7.xml" Id="R2d5c109f2af04302" /><Relationship Type="http://schemas.openxmlformats.org/officeDocument/2006/relationships/worksheet" Target="/xl/worksheets/sheet8.xml" Id="R3b6fb5c3b5494404" /><Relationship Type="http://schemas.openxmlformats.org/officeDocument/2006/relationships/worksheet" Target="/xl/worksheets/sheet9.xml" Id="R4870d04beb704097" /><Relationship Type="http://schemas.openxmlformats.org/officeDocument/2006/relationships/worksheet" Target="/xl/worksheets/sheet10.xml" Id="Reaa09d7d49294293" /><Relationship Type="http://schemas.openxmlformats.org/officeDocument/2006/relationships/worksheet" Target="/xl/worksheets/sheet11.xml" Id="Re3f93b25e53b46df" /><Relationship Type="http://schemas.openxmlformats.org/officeDocument/2006/relationships/worksheet" Target="/xl/worksheets/sheet12.xml" Id="R5e7e979c5b1742d6" /><Relationship Type="http://schemas.openxmlformats.org/officeDocument/2006/relationships/worksheet" Target="/xl/worksheets/sheet13.xml" Id="R2144144e6f8a4c2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5"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65f091a7f344ed" /></Relationships>
</file>

<file path=xl/worksheets/_rels/sheet3.xml.rels>&#65279;<?xml version="1.0" encoding="utf-8"?><Relationships xmlns="http://schemas.openxmlformats.org/package/2006/relationships"><Relationship Type="http://schemas.openxmlformats.org/officeDocument/2006/relationships/table" Target="/xl/tables/table2.xml" Id="Ra9a9e933d1274532" /></Relationships>
</file>

<file path=xl/worksheets/_rels/sheet4.xml.rels>&#65279;<?xml version="1.0" encoding="utf-8"?><Relationships xmlns="http://schemas.openxmlformats.org/package/2006/relationships"><Relationship Type="http://schemas.openxmlformats.org/officeDocument/2006/relationships/table" Target="/xl/tables/table3.xml" Id="Raf03dce576a04c26" /></Relationships>
</file>

<file path=xl/worksheets/_rels/sheet5.xml.rels>&#65279;<?xml version="1.0" encoding="utf-8"?><Relationships xmlns="http://schemas.openxmlformats.org/package/2006/relationships"><Relationship Type="http://schemas.openxmlformats.org/officeDocument/2006/relationships/table" Target="/xl/tables/table4.xml" Id="R397610f6bce845a0" /></Relationships>
</file>

<file path=xl/worksheets/_rels/sheet6.xml.rels>&#65279;<?xml version="1.0" encoding="utf-8"?><Relationships xmlns="http://schemas.openxmlformats.org/package/2006/relationships"><Relationship Type="http://schemas.openxmlformats.org/officeDocument/2006/relationships/table" Target="/xl/tables/table5.xml" Id="R92a9aad70b524a65" /></Relationships>
</file>

<file path=xl/worksheets/_rels/sheet7.xml.rels>&#65279;<?xml version="1.0" encoding="utf-8"?><Relationships xmlns="http://schemas.openxmlformats.org/package/2006/relationships"><Relationship Type="http://schemas.openxmlformats.org/officeDocument/2006/relationships/table" Target="/xl/tables/table6.xml" Id="Rb8d38e0de28541a0" /></Relationships>
</file>

<file path=xl/worksheets/_rels/sheet8.xml.rels>&#65279;<?xml version="1.0" encoding="utf-8"?><Relationships xmlns="http://schemas.openxmlformats.org/package/2006/relationships"><Relationship Type="http://schemas.openxmlformats.org/officeDocument/2006/relationships/table" Target="/xl/tables/table7.xml" Id="R84994cf1eacb4c92" /></Relationships>
</file>

<file path=xl/worksheets/_rels/sheet9.xml.rels>&#65279;<?xml version="1.0" encoding="utf-8"?><Relationships xmlns="http://schemas.openxmlformats.org/package/2006/relationships"><Relationship Type="http://schemas.openxmlformats.org/officeDocument/2006/relationships/table" Target="/xl/tables/table8.xml" Id="R1844010d8a5747f0" /></Relationships>
</file>

<file path=xl/worksheets/_rels/sheet11.xml.rels>&#65279;<?xml version="1.0" encoding="utf-8"?><Relationships xmlns="http://schemas.openxmlformats.org/package/2006/relationships"><Relationship Type="http://schemas.openxmlformats.org/officeDocument/2006/relationships/table" Target="/xl/tables/table9.xml" Id="Raf43e49be8214ad9" /></Relationships>
</file>

<file path=xl/worksheets/_rels/sheet12.xml.rels>&#65279;<?xml version="1.0" encoding="utf-8"?><Relationships xmlns="http://schemas.openxmlformats.org/package/2006/relationships"><Relationship Type="http://schemas.openxmlformats.org/officeDocument/2006/relationships/table" Target="/xl/tables/table10.xml" Id="Re54c8e34dd9048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RUN-I2-051-20260830T140554480656Z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COUNTA('API_CALLS'!$A$5:$A$25)</x:f>
        <x:v>21</x:v>
      </x:c>
      <x:c r="C9" s="21"/>
      <x:c r="D9" s="21"/>
    </x:row>
    <x:row r="10">
      <x:c r="A10" s="27" t="str">
        <x:v>Mean API/LLM elapsed ms</x:v>
      </x:c>
      <x:c r="B10" s="28" t="n">
        <x:f>IFERROR(AVERAGE('API_CALLS'!$K$5:$K$25),0)</x:f>
        <x:v>22659.21485714286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RUN-I2-051-20260830T140554480656Z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65f091a7f344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RUN-I2-051-20260830T140554480656Z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MAX_ATTEMPTS_REACHED</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9a9e933d127453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RUN-I2-051-20260830T140554480656Z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RUN-I2-051-20260830T140554480656Z</x:v>
      </x:c>
      <x:c r="C5" s="69" t="str">
        <x:v>I2-051</x:v>
      </x:c>
      <x:c r="D5" s="70" t="n">
        <x:v>46264.58743612269</x:v>
      </x:c>
      <x:c r="E5" s="70" t="n">
        <x:v>46264.59023570602</x:v>
      </x:c>
      <x:c r="F5" s="69" t="str">
        <x:v>final-luna-main-run08</x:v>
      </x:c>
      <x:c r="G5" s="69" t="str">
        <x:v>VOCAB-LOCK-2026-08-22-R13</x:v>
      </x:c>
      <x:c r="H5" s="71" t="n">
        <x:v>4</x:v>
      </x:c>
      <x:c r="I5" s="69" t="str">
        <x:v>MAX_ATTEMPTS_REACHED</x:v>
      </x:c>
      <x:c r="J5" s="72" t="b">
        <x:v>0</x:v>
      </x:c>
      <x:c r="K5" s="69" t="str"/>
      <x:c r="L5" s="73" t="str">
        <x:v>Preserve the previously repaired inclusive Cf alternatives, positive-shear position intervals, supplied owners, units, calculation-case direction, MN-to-kN conversion, and expected-result-scaled tolerance. Repair the DIRECT_CALCULATION SPARQL because it uses ABS(), which is not an allowed registered operation; replace both ABS-based tolerance expressions with equivalent comparisons using only permitted arithmetic and direct comparisons. Ensure the derived-force check remains tolerance-based and formula-scaled rather than becoming exact equality.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03dce576a04c2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RUN-I2-051-20260830T140554480656Z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RUN-I2-051-20260830T140554480656Z</x:v>
      </x:c>
      <x:c r="B5" s="45" t="str">
        <x:v>I2-051</x:v>
      </x:c>
      <x:c r="C5" s="58" t="n">
        <x:v>1</x:v>
      </x:c>
      <x:c r="D5" s="83" t="b">
        <x:v>1</x:v>
      </x:c>
      <x:c r="E5" s="83" t="b">
        <x:v>0</x:v>
      </x:c>
      <x:c r="F5" s="83" t="b">
        <x:v>0</x:v>
      </x:c>
      <x:c r="G5" s="45" t="str">
        <x:v>REVISE</x:v>
      </x:c>
      <x:c r="H5" s="46" t="str">
        <x:v>Repair the positive-shear alternative checks so the regulatory constants Cf = 0.0 and Cf = 1.0 are encoded with equal inclusive bounds (branch-specific sh:minInclusive and sh:maxInclusive, or an equivalent bounded alternative), rather than only SPARQL `?cf != 0.0` and `?cf != 1.0` violation tests. Preserve the inclusive position intervals, formula tolerance scaled from the expected result, supplied owners, units, and calculation-case direction constraint.</x:v>
      </x:c>
      <x:c r="I5" s="84" t="n">
        <x:v>28248.014</x:v>
      </x:c>
      <x:c r="J5" s="84" t="n">
        <x:v>16486.302</x:v>
      </x:c>
    </x:row>
    <x:row r="6">
      <x:c r="A6" s="47" t="str">
        <x:v>RUN-I2-051-20260830T140554480656Z</x:v>
      </x:c>
      <x:c r="B6" s="47" t="str">
        <x:v>I2-051</x:v>
      </x:c>
      <x:c r="C6" s="59" t="n">
        <x:v>2</x:v>
      </x:c>
      <x:c r="D6" s="85" t="b">
        <x:v>1</x:v>
      </x:c>
      <x:c r="E6" s="85" t="b">
        <x:v>0</x:v>
      </x:c>
      <x:c r="F6" s="85" t="b">
        <x:v>0</x:v>
      </x:c>
      <x:c r="G6" s="47" t="str">
        <x:v>REVISE</x:v>
      </x:c>
      <x:c r="H6" s="48" t="str">
        <x:v>Repair the positive-shear alternatives. The first branch currently permits every nonnegative position and the second permits nonpositive positions; enforce the inclusive intervals 0 &lt;= position &lt;= 0.6*LUI and 0.9*LUI &lt;= position &lt;= LUI, respectively, using paired calculation-case position and ship LUI values. Enforce Cf as exactly 0.0 in the first applicable branch and exactly 1.0 in the second with equal inclusive bounds (or an equivalent bounded conditional constraint), rather than relying only on non-equality violation filters. Preserve the supplied owners, direction selector, units, and required relationship. Also make the derived-force tolerance solely scaled from the expected result (1e-6*ABS(expected)); remove the additive absolute tolerance floor.</x:v>
      </x:c>
      <x:c r="I6" s="86" t="n">
        <x:v>40546.509</x:v>
      </x:c>
      <x:c r="J6" s="86" t="n">
        <x:v>21084.35</x:v>
      </x:c>
    </x:row>
    <x:row r="7">
      <x:c r="A7" s="47" t="str">
        <x:v>RUN-I2-051-20260830T140554480656Z</x:v>
      </x:c>
      <x:c r="B7" s="47" t="str">
        <x:v>I2-051</x:v>
      </x:c>
      <x:c r="C7" s="59" t="n">
        <x:v>3</x:v>
      </x:c>
      <x:c r="D7" s="85" t="b">
        <x:v>1</x:v>
      </x:c>
      <x:c r="E7" s="85" t="b">
        <x:v>0</x:v>
      </x:c>
      <x:c r="F7" s="85" t="b">
        <x:v>0</x:v>
      </x:c>
      <x:c r="G7" s="47" t="str">
        <x:v>REVISE</x:v>
      </x:c>
      <x:c r="H7" s="48" t="str">
        <x:v>Preserve the repaired inclusive Cf alternatives, positive-shear position intervals, supplied owners, direction relationship, units, and expected-result-scaled tolerance. Repair the derived-force formula for the declared units: designVerticalIceForceAtBow is in MN while designVerticalIceShearForce is in kN, so compare the reported shear-force numeric value with Cf * FIB * 1000 (or otherwise perform an explicit MN-to-kN conversion). The current raw comparison Cf * FIB is dimensionally incorrect and does not faithfully encode FI = Cf * FIB with the supplied canonical units.</x:v>
      </x:c>
      <x:c r="I7" s="86" t="n">
        <x:v>28951.168</x:v>
      </x:c>
      <x:c r="J7" s="86" t="n">
        <x:v>8131.637</x:v>
      </x:c>
    </x:row>
    <x:row r="8">
      <x:c r="A8" s="49" t="str">
        <x:v>RUN-I2-051-20260830T140554480656Z</x:v>
      </x:c>
      <x:c r="B8" s="49" t="str">
        <x:v>I2-051</x:v>
      </x:c>
      <x:c r="C8" s="60" t="n">
        <x:v>4</x:v>
      </x:c>
      <x:c r="D8" s="87" t="b">
        <x:v>1</x:v>
      </x:c>
      <x:c r="E8" s="87" t="b">
        <x:v>0</x:v>
      </x:c>
      <x:c r="F8" s="87" t="b">
        <x:v>0</x:v>
      </x:c>
      <x:c r="G8" s="49" t="str">
        <x:v>REVISE</x:v>
      </x:c>
      <x:c r="H8" s="50" t="str">
        <x:v>Preserve the previously repaired inclusive Cf alternatives, positive-shear position intervals, supplied owners, units, calculation-case direction, MN-to-kN conversion, and expected-result-scaled tolerance. Repair the DIRECT_CALCULATION SPARQL because it uses ABS(), which is not an allowed registered operation; replace both ABS-based tolerance expressions with equivalent comparisons using only permitted arithmetic and direct comparisons. Ensure the derived-force check remains tolerance-based and formula-scaled rather than becoming exact equality.</x:v>
      </x:c>
      <x:c r="I8" s="88" t="n">
        <x:v>41848.245</x:v>
      </x:c>
      <x:c r="J8" s="88" t="n">
        <x:v>22684.791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7610f6bce845a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RUN-I2-051-20260830T140554480656Z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RUN-I2-051-20260830T140554480656Z</x:v>
      </x:c>
      <x:c r="C5" s="45" t="str">
        <x:v>I2-051</x:v>
      </x:c>
      <x:c r="D5" s="92" t="n">
        <x:v>46264.58776307871</x:v>
      </x:c>
      <x:c r="E5" s="45" t="str">
        <x:v>generator</x:v>
      </x:c>
      <x:c r="F5" s="45" t="str">
        <x:v>gpt-5.6-luna-2026-07-09</x:v>
      </x:c>
      <x:c r="G5" s="45" t="n">
        <x:v>1</x:v>
      </x:c>
      <x:c r="H5" s="45" t="n">
        <x:v>200</x:v>
      </x:c>
      <x:c r="I5" s="45" t="str">
        <x:v>Ocp-Apim-Subscription-Key</x:v>
      </x:c>
      <x:c r="J5" s="84" t="n">
        <x:v>0</x:v>
      </x:c>
      <x:c r="K5" s="84" t="n">
        <x:v>28246.475</x:v>
      </x:c>
      <x:c r="L5" s="83" t="b">
        <x:v>0</x:v>
      </x:c>
      <x:c r="M5" s="45" t="str"/>
      <x:c r="N5" s="58" t="str"/>
      <x:c r="O5" s="58" t="str"/>
      <x:c r="P5" s="58" t="str"/>
    </x:row>
    <x:row r="6">
      <x:c r="A6" s="47" t="str">
        <x:v>EVT-000024</x:v>
      </x:c>
      <x:c r="B6" s="47" t="str">
        <x:v>RUN-I2-051-20260830T140554480656Z</x:v>
      </x:c>
      <x:c r="C6" s="47" t="str">
        <x:v>I2-051</x:v>
      </x:c>
      <x:c r="D6" s="93" t="n">
        <x:v>46264.587763090276</x:v>
      </x:c>
      <x:c r="E6" s="47" t="str">
        <x:v>generator</x:v>
      </x:c>
      <x:c r="F6" s="47" t="str">
        <x:v>gpt-5.6-luna-2026-07-09</x:v>
      </x:c>
      <x:c r="G6" s="47" t="n">
        <x:v>1</x:v>
      </x:c>
      <x:c r="H6" s="47" t="str">
        <x:v>COMPLETED</x:v>
      </x:c>
      <x:c r="I6" s="47" t="str"/>
      <x:c r="J6" s="86" t="n">
        <x:v>0</x:v>
      </x:c>
      <x:c r="K6" s="86" t="n">
        <x:v>28248.014</x:v>
      </x:c>
      <x:c r="L6" s="85" t="b">
        <x:v>0</x:v>
      </x:c>
      <x:c r="M6" s="47" t="str">
        <x:v>resp_0b192a25eec68d32006a9438c2ab7881909ef98f13ecede68b</x:v>
      </x:c>
      <x:c r="N6" s="59" t="n">
        <x:v>9384</x:v>
      </x:c>
      <x:c r="O6" s="59" t="n">
        <x:v>2826</x:v>
      </x:c>
      <x:c r="P6" s="59" t="n">
        <x:v>12210</x:v>
      </x:c>
    </x:row>
    <x:row r="7">
      <x:c r="A7" s="47" t="str">
        <x:v>EVT-000031</x:v>
      </x:c>
      <x:c r="B7" s="47" t="str">
        <x:v>RUN-I2-051-20260830T140554480656Z</x:v>
      </x:c>
      <x:c r="C7" s="47" t="str">
        <x:v>I2-051</x:v>
      </x:c>
      <x:c r="D7" s="93" t="n">
        <x:v>46264.58795625</x:v>
      </x:c>
      <x:c r="E7" s="47" t="str">
        <x:v>validator</x:v>
      </x:c>
      <x:c r="F7" s="47" t="str">
        <x:v>gpt-5.6-luna-2026-07-09</x:v>
      </x:c>
      <x:c r="G7" s="47" t="n">
        <x:v>1</x:v>
      </x:c>
      <x:c r="H7" s="47" t="n">
        <x:v>200</x:v>
      </x:c>
      <x:c r="I7" s="47" t="str">
        <x:v>Ocp-Apim-Subscription-Key</x:v>
      </x:c>
      <x:c r="J7" s="86" t="n">
        <x:v>0</x:v>
      </x:c>
      <x:c r="K7" s="86" t="n">
        <x:v>16484.758</x:v>
      </x:c>
      <x:c r="L7" s="85" t="b">
        <x:v>0</x:v>
      </x:c>
      <x:c r="M7" s="47" t="str"/>
      <x:c r="N7" s="59" t="str"/>
      <x:c r="O7" s="59" t="str"/>
      <x:c r="P7" s="59" t="str"/>
    </x:row>
    <x:row r="8">
      <x:c r="A8" s="47" t="str">
        <x:v>EVT-000032</x:v>
      </x:c>
      <x:c r="B8" s="47" t="str">
        <x:v>RUN-I2-051-20260830T140554480656Z</x:v>
      </x:c>
      <x:c r="C8" s="47" t="str">
        <x:v>I2-051</x:v>
      </x:c>
      <x:c r="D8" s="93" t="n">
        <x:v>46264.58795627315</x:v>
      </x:c>
      <x:c r="E8" s="47" t="str">
        <x:v>validator</x:v>
      </x:c>
      <x:c r="F8" s="47" t="str">
        <x:v>gpt-5.6-luna-2026-07-09</x:v>
      </x:c>
      <x:c r="G8" s="47" t="n">
        <x:v>1</x:v>
      </x:c>
      <x:c r="H8" s="47" t="str">
        <x:v>COMPLETED</x:v>
      </x:c>
      <x:c r="I8" s="47" t="str"/>
      <x:c r="J8" s="86" t="n">
        <x:v>0</x:v>
      </x:c>
      <x:c r="K8" s="86" t="n">
        <x:v>16486.302</x:v>
      </x:c>
      <x:c r="L8" s="85" t="b">
        <x:v>0</x:v>
      </x:c>
      <x:c r="M8" s="47" t="str">
        <x:v>resp_088ac75087c46ee9006a9438df1b548196a27a58093ee4969c</x:v>
      </x:c>
      <x:c r="N8" s="59" t="n">
        <x:v>9797</x:v>
      </x:c>
      <x:c r="O8" s="59" t="n">
        <x:v>1155</x:v>
      </x:c>
      <x:c r="P8" s="59" t="n">
        <x:v>10952</x:v>
      </x:c>
    </x:row>
    <x:row r="9">
      <x:c r="A9" s="47" t="str">
        <x:v>EVT-000037</x:v>
      </x:c>
      <x:c r="B9" s="47" t="str">
        <x:v>RUN-I2-051-20260830T140554480656Z</x:v>
      </x:c>
      <x:c r="C9" s="47" t="str">
        <x:v>I2-051</x:v>
      </x:c>
      <x:c r="D9" s="93" t="n">
        <x:v>46264.588425601854</x:v>
      </x:c>
      <x:c r="E9" s="47" t="str">
        <x:v>generator</x:v>
      </x:c>
      <x:c r="F9" s="47" t="str">
        <x:v>gpt-5.6-luna-2026-07-09</x:v>
      </x:c>
      <x:c r="G9" s="47" t="n">
        <x:v>1</x:v>
      </x:c>
      <x:c r="H9" s="47" t="n">
        <x:v>200</x:v>
      </x:c>
      <x:c r="I9" s="47" t="str">
        <x:v>Ocp-Apim-Subscription-Key</x:v>
      </x:c>
      <x:c r="J9" s="86" t="n">
        <x:v>0</x:v>
      </x:c>
      <x:c r="K9" s="86" t="n">
        <x:v>40545.081</x:v>
      </x:c>
      <x:c r="L9" s="85" t="b">
        <x:v>0</x:v>
      </x:c>
      <x:c r="M9" s="47" t="str"/>
      <x:c r="N9" s="59" t="str"/>
      <x:c r="O9" s="59" t="str"/>
      <x:c r="P9" s="59" t="str"/>
    </x:row>
    <x:row r="10">
      <x:c r="A10" s="47" t="str">
        <x:v>EVT-000038</x:v>
      </x:c>
      <x:c r="B10" s="47" t="str">
        <x:v>RUN-I2-051-20260830T140554480656Z</x:v>
      </x:c>
      <x:c r="C10" s="47" t="str">
        <x:v>I2-051</x:v>
      </x:c>
      <x:c r="D10" s="93" t="n">
        <x:v>46264.58842561342</x:v>
      </x:c>
      <x:c r="E10" s="47" t="str">
        <x:v>generator</x:v>
      </x:c>
      <x:c r="F10" s="47" t="str">
        <x:v>gpt-5.6-luna-2026-07-09</x:v>
      </x:c>
      <x:c r="G10" s="47" t="n">
        <x:v>1</x:v>
      </x:c>
      <x:c r="H10" s="47" t="str">
        <x:v>COMPLETED</x:v>
      </x:c>
      <x:c r="I10" s="47" t="str"/>
      <x:c r="J10" s="86" t="n">
        <x:v>0</x:v>
      </x:c>
      <x:c r="K10" s="86" t="n">
        <x:v>40546.509</x:v>
      </x:c>
      <x:c r="L10" s="85" t="b">
        <x:v>0</x:v>
      </x:c>
      <x:c r="M10" s="47" t="str">
        <x:v>resp_0b32b88161cbf9c6006a9438ef9e1081909695f6cc42b16604</x:v>
      </x:c>
      <x:c r="N10" s="59" t="n">
        <x:v>9484</x:v>
      </x:c>
      <x:c r="O10" s="59" t="n">
        <x:v>4064</x:v>
      </x:c>
      <x:c r="P10" s="59" t="n">
        <x:v>13548</x:v>
      </x:c>
    </x:row>
    <x:row r="11">
      <x:c r="A11" s="47" t="str">
        <x:v>EVT-000045</x:v>
      </x:c>
      <x:c r="B11" s="47" t="str">
        <x:v>RUN-I2-051-20260830T140554480656Z</x:v>
      </x:c>
      <x:c r="C11" s="47" t="str">
        <x:v>I2-051</x:v>
      </x:c>
      <x:c r="D11" s="93" t="n">
        <x:v>46264.58867255787</x:v>
      </x:c>
      <x:c r="E11" s="47" t="str">
        <x:v>validator</x:v>
      </x:c>
      <x:c r="F11" s="47" t="str">
        <x:v>gpt-5.6-luna-2026-07-09</x:v>
      </x:c>
      <x:c r="G11" s="47" t="n">
        <x:v>1</x:v>
      </x:c>
      <x:c r="H11" s="47" t="n">
        <x:v>200</x:v>
      </x:c>
      <x:c r="I11" s="47" t="str">
        <x:v>Ocp-Apim-Subscription-Key</x:v>
      </x:c>
      <x:c r="J11" s="86" t="n">
        <x:v>0</x:v>
      </x:c>
      <x:c r="K11" s="86" t="n">
        <x:v>21082.901</x:v>
      </x:c>
      <x:c r="L11" s="85" t="b">
        <x:v>0</x:v>
      </x:c>
      <x:c r="M11" s="47" t="str"/>
      <x:c r="N11" s="59" t="str"/>
      <x:c r="O11" s="59" t="str"/>
      <x:c r="P11" s="59" t="str"/>
    </x:row>
    <x:row r="12">
      <x:c r="A12" s="47" t="str">
        <x:v>EVT-000046</x:v>
      </x:c>
      <x:c r="B12" s="47" t="str">
        <x:v>RUN-I2-051-20260830T140554480656Z</x:v>
      </x:c>
      <x:c r="C12" s="47" t="str">
        <x:v>I2-051</x:v>
      </x:c>
      <x:c r="D12" s="93" t="n">
        <x:v>46264.58867258102</x:v>
      </x:c>
      <x:c r="E12" s="47" t="str">
        <x:v>validator</x:v>
      </x:c>
      <x:c r="F12" s="47" t="str">
        <x:v>gpt-5.6-luna-2026-07-09</x:v>
      </x:c>
      <x:c r="G12" s="47" t="n">
        <x:v>1</x:v>
      </x:c>
      <x:c r="H12" s="47" t="str">
        <x:v>COMPLETED</x:v>
      </x:c>
      <x:c r="I12" s="47" t="str"/>
      <x:c r="J12" s="86" t="n">
        <x:v>0</x:v>
      </x:c>
      <x:c r="K12" s="86" t="n">
        <x:v>21084.35</x:v>
      </x:c>
      <x:c r="L12" s="85" t="b">
        <x:v>0</x:v>
      </x:c>
      <x:c r="M12" s="47" t="str">
        <x:v>resp_0fd6ea78936ade78006a9439186ef8819088b8771c39fd7e1f</x:v>
      </x:c>
      <x:c r="N12" s="59" t="n">
        <x:v>10709</x:v>
      </x:c>
      <x:c r="O12" s="59" t="n">
        <x:v>1706</x:v>
      </x:c>
      <x:c r="P12" s="59" t="n">
        <x:v>12415</x:v>
      </x:c>
    </x:row>
    <x:row r="13">
      <x:c r="A13" s="47" t="str">
        <x:v>EVT-000051</x:v>
      </x:c>
      <x:c r="B13" s="47" t="str">
        <x:v>RUN-I2-051-20260830T140554480656Z</x:v>
      </x:c>
      <x:c r="C13" s="47" t="str">
        <x:v>I2-051</x:v>
      </x:c>
      <x:c r="D13" s="93" t="n">
        <x:v>46264.58900769676</x:v>
      </x:c>
      <x:c r="E13" s="47" t="str">
        <x:v>generator</x:v>
      </x:c>
      <x:c r="F13" s="47" t="str">
        <x:v>gpt-5.6-luna-2026-07-09</x:v>
      </x:c>
      <x:c r="G13" s="47" t="n">
        <x:v>1</x:v>
      </x:c>
      <x:c r="H13" s="47" t="n">
        <x:v>200</x:v>
      </x:c>
      <x:c r="I13" s="47" t="str">
        <x:v>Ocp-Apim-Subscription-Key</x:v>
      </x:c>
      <x:c r="J13" s="86" t="n">
        <x:v>0</x:v>
      </x:c>
      <x:c r="K13" s="86" t="n">
        <x:v>28950.01</x:v>
      </x:c>
      <x:c r="L13" s="85" t="b">
        <x:v>0</x:v>
      </x:c>
      <x:c r="M13" s="47" t="str"/>
      <x:c r="N13" s="59" t="str"/>
      <x:c r="O13" s="59" t="str"/>
      <x:c r="P13" s="59" t="str"/>
    </x:row>
    <x:row r="14">
      <x:c r="A14" s="47" t="str">
        <x:v>EVT-000052</x:v>
      </x:c>
      <x:c r="B14" s="47" t="str">
        <x:v>RUN-I2-051-20260830T140554480656Z</x:v>
      </x:c>
      <x:c r="C14" s="47" t="str">
        <x:v>I2-051</x:v>
      </x:c>
      <x:c r="D14" s="93" t="n">
        <x:v>46264.58900771991</x:v>
      </x:c>
      <x:c r="E14" s="47" t="str">
        <x:v>generator</x:v>
      </x:c>
      <x:c r="F14" s="47" t="str">
        <x:v>gpt-5.6-luna-2026-07-09</x:v>
      </x:c>
      <x:c r="G14" s="47" t="n">
        <x:v>1</x:v>
      </x:c>
      <x:c r="H14" s="47" t="str">
        <x:v>COMPLETED</x:v>
      </x:c>
      <x:c r="I14" s="47" t="str"/>
      <x:c r="J14" s="86" t="n">
        <x:v>0</x:v>
      </x:c>
      <x:c r="K14" s="86" t="n">
        <x:v>28951.168</x:v>
      </x:c>
      <x:c r="L14" s="85" t="b">
        <x:v>0</x:v>
      </x:c>
      <x:c r="M14" s="47" t="str">
        <x:v>resp_04126f6fc81bb87a006a94392d87dc8190a4405282dfae074b</x:v>
      </x:c>
      <x:c r="N14" s="59" t="n">
        <x:v>9643</x:v>
      </x:c>
      <x:c r="O14" s="59" t="n">
        <x:v>3257</x:v>
      </x:c>
      <x:c r="P14" s="59" t="n">
        <x:v>12900</x:v>
      </x:c>
    </x:row>
    <x:row r="15">
      <x:c r="A15" s="47" t="str">
        <x:v>EVT-000057</x:v>
      </x:c>
      <x:c r="B15" s="47" t="str">
        <x:v>RUN-I2-051-20260830T140554480656Z</x:v>
      </x:c>
      <x:c r="C15" s="47" t="str">
        <x:v>I2-051</x:v>
      </x:c>
      <x:c r="D15" s="93" t="n">
        <x:v>46264.589018715276</x:v>
      </x:c>
      <x:c r="E15" s="47" t="str">
        <x:v>syntax_repair</x:v>
      </x:c>
      <x:c r="F15" s="47" t="str">
        <x:v>gpt-5.6-luna-2026-07-09</x:v>
      </x:c>
      <x:c r="G15" s="47" t="n">
        <x:v>1</x:v>
      </x:c>
      <x:c r="H15" s="47" t="n">
        <x:v>500</x:v>
      </x:c>
      <x:c r="I15" s="47" t="str">
        <x:v>Ocp-Apim-Subscription-Key</x:v>
      </x:c>
      <x:c r="J15" s="86" t="n">
        <x:v>0</x:v>
      </x:c>
      <x:c r="K15" s="86" t="n">
        <x:v>738.842</x:v>
      </x:c>
      <x:c r="L15" s="85" t="b">
        <x:v>1</x:v>
      </x:c>
      <x:c r="M15" s="47" t="str"/>
      <x:c r="N15" s="59" t="str"/>
      <x:c r="O15" s="59" t="str"/>
      <x:c r="P15" s="59" t="str"/>
    </x:row>
    <x:row r="16">
      <x:c r="A16" s="47" t="str">
        <x:v>EVT-000060</x:v>
      </x:c>
      <x:c r="B16" s="47" t="str">
        <x:v>RUN-I2-051-20260830T140554480656Z</x:v>
      </x:c>
      <x:c r="C16" s="47" t="str">
        <x:v>I2-051</x:v>
      </x:c>
      <x:c r="D16" s="93" t="n">
        <x:v>46264.5892615625</x:v>
      </x:c>
      <x:c r="E16" s="47" t="str">
        <x:v>syntax_repair</x:v>
      </x:c>
      <x:c r="F16" s="47" t="str">
        <x:v>gpt-5.6-luna-2026-07-09</x:v>
      </x:c>
      <x:c r="G16" s="47" t="n">
        <x:v>2</x:v>
      </x:c>
      <x:c r="H16" s="47" t="n">
        <x:v>200</x:v>
      </x:c>
      <x:c r="I16" s="47" t="str">
        <x:v>Ocp-Apim-Subscription-Key</x:v>
      </x:c>
      <x:c r="J16" s="86" t="n">
        <x:v>0</x:v>
      </x:c>
      <x:c r="K16" s="86" t="n">
        <x:v>15481.462</x:v>
      </x:c>
      <x:c r="L16" s="85" t="b">
        <x:v>0</x:v>
      </x:c>
      <x:c r="M16" s="47" t="str"/>
      <x:c r="N16" s="59" t="str"/>
      <x:c r="O16" s="59" t="str"/>
      <x:c r="P16" s="59" t="str"/>
    </x:row>
    <x:row r="17">
      <x:c r="A17" s="47" t="str">
        <x:v>EVT-000061</x:v>
      </x:c>
      <x:c r="B17" s="47" t="str">
        <x:v>RUN-I2-051-20260830T140554480656Z</x:v>
      </x:c>
      <x:c r="C17" s="47" t="str">
        <x:v>I2-051</x:v>
      </x:c>
      <x:c r="D17" s="93" t="n">
        <x:v>46264.589261574074</x:v>
      </x:c>
      <x:c r="E17" s="47" t="str">
        <x:v>syntax_repair</x:v>
      </x:c>
      <x:c r="F17" s="47" t="str">
        <x:v>gpt-5.6-luna-2026-07-09</x:v>
      </x:c>
      <x:c r="G17" s="47" t="n">
        <x:v>2</x:v>
      </x:c>
      <x:c r="H17" s="47" t="str">
        <x:v>COMPLETED</x:v>
      </x:c>
      <x:c r="I17" s="47" t="str"/>
      <x:c r="J17" s="86" t="n">
        <x:v>0</x:v>
      </x:c>
      <x:c r="K17" s="86" t="n">
        <x:v>21721.594</x:v>
      </x:c>
      <x:c r="L17" s="85" t="b">
        <x:v>0</x:v>
      </x:c>
      <x:c r="M17" s="47" t="str">
        <x:v>resp_06d000bd34d9fd35006a943950dbd4819390bcc6ba54ed76ca</x:v>
      </x:c>
      <x:c r="N17" s="59" t="n">
        <x:v>2694</x:v>
      </x:c>
      <x:c r="O17" s="59" t="n">
        <x:v>2191</x:v>
      </x:c>
      <x:c r="P17" s="59" t="n">
        <x:v>4885</x:v>
      </x:c>
    </x:row>
    <x:row r="18">
      <x:c r="A18" s="47" t="str">
        <x:v>EVT-000069</x:v>
      </x:c>
      <x:c r="B18" s="47" t="str">
        <x:v>RUN-I2-051-20260830T140554480656Z</x:v>
      </x:c>
      <x:c r="C18" s="47" t="str">
        <x:v>I2-051</x:v>
      </x:c>
      <x:c r="D18" s="93" t="n">
        <x:v>46264.58935832176</x:v>
      </x:c>
      <x:c r="E18" s="47" t="str">
        <x:v>validator</x:v>
      </x:c>
      <x:c r="F18" s="47" t="str">
        <x:v>gpt-5.6-luna-2026-07-09</x:v>
      </x:c>
      <x:c r="G18" s="47" t="n">
        <x:v>1</x:v>
      </x:c>
      <x:c r="H18" s="47" t="n">
        <x:v>200</x:v>
      </x:c>
      <x:c r="I18" s="47" t="str">
        <x:v>Ocp-Apim-Subscription-Key</x:v>
      </x:c>
      <x:c r="J18" s="86" t="n">
        <x:v>0</x:v>
      </x:c>
      <x:c r="K18" s="86" t="n">
        <x:v>8130.275</x:v>
      </x:c>
      <x:c r="L18" s="85" t="b">
        <x:v>0</x:v>
      </x:c>
      <x:c r="M18" s="47" t="str"/>
      <x:c r="N18" s="59" t="str"/>
      <x:c r="O18" s="59" t="str"/>
      <x:c r="P18" s="59" t="str"/>
    </x:row>
    <x:row r="19">
      <x:c r="A19" s="47" t="str">
        <x:v>EVT-000070</x:v>
      </x:c>
      <x:c r="B19" s="47" t="str">
        <x:v>RUN-I2-051-20260830T140554480656Z</x:v>
      </x:c>
      <x:c r="C19" s="47" t="str">
        <x:v>I2-051</x:v>
      </x:c>
      <x:c r="D19" s="93" t="n">
        <x:v>46264.58935833333</x:v>
      </x:c>
      <x:c r="E19" s="47" t="str">
        <x:v>validator</x:v>
      </x:c>
      <x:c r="F19" s="47" t="str">
        <x:v>gpt-5.6-luna-2026-07-09</x:v>
      </x:c>
      <x:c r="G19" s="47" t="n">
        <x:v>1</x:v>
      </x:c>
      <x:c r="H19" s="47" t="str">
        <x:v>COMPLETED</x:v>
      </x:c>
      <x:c r="I19" s="47" t="str"/>
      <x:c r="J19" s="86" t="n">
        <x:v>0</x:v>
      </x:c>
      <x:c r="K19" s="86" t="n">
        <x:v>8131.637</x:v>
      </x:c>
      <x:c r="L19" s="85" t="b">
        <x:v>0</x:v>
      </x:c>
      <x:c r="M19" s="47" t="str">
        <x:v>resp_01738d3102350b7d006a9439609a408195922f17d79f8bb33c</x:v>
      </x:c>
      <x:c r="N19" s="59" t="n">
        <x:v>10474</x:v>
      </x:c>
      <x:c r="O19" s="59" t="n">
        <x:v>655</x:v>
      </x:c>
      <x:c r="P19" s="59" t="n">
        <x:v>11129</x:v>
      </x:c>
    </x:row>
    <x:row r="20">
      <x:c r="A20" s="47" t="str">
        <x:v>EVT-000075</x:v>
      </x:c>
      <x:c r="B20" s="47" t="str">
        <x:v>RUN-I2-051-20260830T140554480656Z</x:v>
      </x:c>
      <x:c r="C20" s="47" t="str">
        <x:v>I2-051</x:v>
      </x:c>
      <x:c r="D20" s="93" t="n">
        <x:v>46264.58984273148</x:v>
      </x:c>
      <x:c r="E20" s="47" t="str">
        <x:v>generator</x:v>
      </x:c>
      <x:c r="F20" s="47" t="str">
        <x:v>gpt-5.6-luna-2026-07-09</x:v>
      </x:c>
      <x:c r="G20" s="47" t="n">
        <x:v>1</x:v>
      </x:c>
      <x:c r="H20" s="47" t="n">
        <x:v>200</x:v>
      </x:c>
      <x:c r="I20" s="47" t="str">
        <x:v>Ocp-Apim-Subscription-Key</x:v>
      </x:c>
      <x:c r="J20" s="86" t="n">
        <x:v>0</x:v>
      </x:c>
      <x:c r="K20" s="86" t="n">
        <x:v>41846.674</x:v>
      </x:c>
      <x:c r="L20" s="85" t="b">
        <x:v>0</x:v>
      </x:c>
      <x:c r="M20" s="47" t="str"/>
      <x:c r="N20" s="59" t="str"/>
      <x:c r="O20" s="59" t="str"/>
      <x:c r="P20" s="59" t="str"/>
    </x:row>
    <x:row r="21">
      <x:c r="A21" s="47" t="str">
        <x:v>EVT-000076</x:v>
      </x:c>
      <x:c r="B21" s="47" t="str">
        <x:v>RUN-I2-051-20260830T140554480656Z</x:v>
      </x:c>
      <x:c r="C21" s="47" t="str">
        <x:v>I2-051</x:v>
      </x:c>
      <x:c r="D21" s="93" t="n">
        <x:v>46264.58984274306</x:v>
      </x:c>
      <x:c r="E21" s="47" t="str">
        <x:v>generator</x:v>
      </x:c>
      <x:c r="F21" s="47" t="str">
        <x:v>gpt-5.6-luna-2026-07-09</x:v>
      </x:c>
      <x:c r="G21" s="47" t="n">
        <x:v>1</x:v>
      </x:c>
      <x:c r="H21" s="47" t="str">
        <x:v>COMPLETED</x:v>
      </x:c>
      <x:c r="I21" s="47" t="str"/>
      <x:c r="J21" s="86" t="n">
        <x:v>0</x:v>
      </x:c>
      <x:c r="K21" s="86" t="n">
        <x:v>41848.245</x:v>
      </x:c>
      <x:c r="L21" s="85" t="b">
        <x:v>0</x:v>
      </x:c>
      <x:c r="M21" s="47" t="str">
        <x:v>resp_0d01da3d17c280ea006a943968bedc819496a99d1a53472d15</x:v>
      </x:c>
      <x:c r="N21" s="59" t="n">
        <x:v>9764</x:v>
      </x:c>
      <x:c r="O21" s="59" t="n">
        <x:v>3903</x:v>
      </x:c>
      <x:c r="P21" s="59" t="n">
        <x:v>13667</x:v>
      </x:c>
    </x:row>
    <x:row r="22">
      <x:c r="A22" s="47" t="str">
        <x:v>EVT-000081</x:v>
      </x:c>
      <x:c r="B22" s="47" t="str">
        <x:v>RUN-I2-051-20260830T140554480656Z</x:v>
      </x:c>
      <x:c r="C22" s="47" t="str">
        <x:v>I2-051</x:v>
      </x:c>
      <x:c r="D22" s="93" t="n">
        <x:v>46264.589969872686</x:v>
      </x:c>
      <x:c r="E22" s="47" t="str">
        <x:v>syntax_repair</x:v>
      </x:c>
      <x:c r="F22" s="47" t="str">
        <x:v>gpt-5.6-luna-2026-07-09</x:v>
      </x:c>
      <x:c r="G22" s="47" t="n">
        <x:v>1</x:v>
      </x:c>
      <x:c r="H22" s="47" t="n">
        <x:v>200</x:v>
      </x:c>
      <x:c r="I22" s="47" t="str">
        <x:v>Ocp-Apim-Subscription-Key</x:v>
      </x:c>
      <x:c r="J22" s="86" t="n">
        <x:v>0</x:v>
      </x:c>
      <x:c r="K22" s="86" t="n">
        <x:v>10974.736</x:v>
      </x:c>
      <x:c r="L22" s="85" t="b">
        <x:v>0</x:v>
      </x:c>
      <x:c r="M22" s="47" t="str"/>
      <x:c r="N22" s="59" t="str"/>
      <x:c r="O22" s="59" t="str"/>
      <x:c r="P22" s="59" t="str"/>
    </x:row>
    <x:row r="23">
      <x:c r="A23" s="47" t="str">
        <x:v>EVT-000082</x:v>
      </x:c>
      <x:c r="B23" s="47" t="str">
        <x:v>RUN-I2-051-20260830T140554480656Z</x:v>
      </x:c>
      <x:c r="C23" s="47" t="str">
        <x:v>I2-051</x:v>
      </x:c>
      <x:c r="D23" s="93" t="n">
        <x:v>46264.58996989583</x:v>
      </x:c>
      <x:c r="E23" s="47" t="str">
        <x:v>syntax_repair</x:v>
      </x:c>
      <x:c r="F23" s="47" t="str">
        <x:v>gpt-5.6-luna-2026-07-09</x:v>
      </x:c>
      <x:c r="G23" s="47" t="n">
        <x:v>1</x:v>
      </x:c>
      <x:c r="H23" s="47" t="str">
        <x:v>COMPLETED</x:v>
      </x:c>
      <x:c r="I23" s="47" t="str"/>
      <x:c r="J23" s="86" t="n">
        <x:v>0</x:v>
      </x:c>
      <x:c r="K23" s="86" t="n">
        <x:v>10976.033</x:v>
      </x:c>
      <x:c r="L23" s="85" t="b">
        <x:v>0</x:v>
      </x:c>
      <x:c r="M23" s="47" t="str">
        <x:v>resp_0773a3f0ddf91e42006a9439928ffc8190b5f53553975b20e4</x:v>
      </x:c>
      <x:c r="N23" s="59" t="n">
        <x:v>2535</x:v>
      </x:c>
      <x:c r="O23" s="59" t="n">
        <x:v>1889</x:v>
      </x:c>
      <x:c r="P23" s="59" t="n">
        <x:v>4424</x:v>
      </x:c>
    </x:row>
    <x:row r="24">
      <x:c r="A24" s="47" t="str">
        <x:v>EVT-000090</x:v>
      </x:c>
      <x:c r="B24" s="47" t="str">
        <x:v>RUN-I2-051-20260830T140554480656Z</x:v>
      </x:c>
      <x:c r="C24" s="47" t="str">
        <x:v>I2-051</x:v>
      </x:c>
      <x:c r="D24" s="93" t="n">
        <x:v>46264.5902356713</x:v>
      </x:c>
      <x:c r="E24" s="47" t="str">
        <x:v>validator</x:v>
      </x:c>
      <x:c r="F24" s="47" t="str">
        <x:v>gpt-5.6-luna-2026-07-09</x:v>
      </x:c>
      <x:c r="G24" s="47" t="n">
        <x:v>1</x:v>
      </x:c>
      <x:c r="H24" s="47" t="n">
        <x:v>200</x:v>
      </x:c>
      <x:c r="I24" s="47" t="str">
        <x:v>Ocp-Apim-Subscription-Key</x:v>
      </x:c>
      <x:c r="J24" s="86" t="n">
        <x:v>0</x:v>
      </x:c>
      <x:c r="K24" s="86" t="n">
        <x:v>22683.655</x:v>
      </x:c>
      <x:c r="L24" s="85" t="b">
        <x:v>0</x:v>
      </x:c>
      <x:c r="M24" s="47" t="str"/>
      <x:c r="N24" s="59" t="str"/>
      <x:c r="O24" s="59" t="str"/>
      <x:c r="P24" s="59" t="str"/>
    </x:row>
    <x:row r="25">
      <x:c r="A25" s="49" t="str">
        <x:v>EVT-000091</x:v>
      </x:c>
      <x:c r="B25" s="49" t="str">
        <x:v>RUN-I2-051-20260830T140554480656Z</x:v>
      </x:c>
      <x:c r="C25" s="49" t="str">
        <x:v>I2-051</x:v>
      </x:c>
      <x:c r="D25" s="94" t="n">
        <x:v>46264.590235682874</x:v>
      </x:c>
      <x:c r="E25" s="49" t="str">
        <x:v>validator</x:v>
      </x:c>
      <x:c r="F25" s="49" t="str">
        <x:v>gpt-5.6-luna-2026-07-09</x:v>
      </x:c>
      <x:c r="G25" s="49" t="n">
        <x:v>1</x:v>
      </x:c>
      <x:c r="H25" s="49" t="str">
        <x:v>COMPLETED</x:v>
      </x:c>
      <x:c r="I25" s="49" t="str"/>
      <x:c r="J25" s="88" t="n">
        <x:v>0</x:v>
      </x:c>
      <x:c r="K25" s="88" t="n">
        <x:v>22684.791</x:v>
      </x:c>
      <x:c r="L25" s="87" t="b">
        <x:v>0</x:v>
      </x:c>
      <x:c r="M25" s="49" t="str">
        <x:v>resp_0ac95db70851c855006a94399ddaf48197b98dd108bff03f30</x:v>
      </x:c>
      <x:c r="N25" s="60" t="n">
        <x:v>10704</x:v>
      </x:c>
      <x:c r="O25" s="60" t="n">
        <x:v>1667</x:v>
      </x:c>
      <x:c r="P25" s="60" t="n">
        <x:v>12371</x:v>
      </x:c>
    </x:row>
  </x:sheetData>
  <x:conditionalFormatting sqref="H5:H25">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a9aad70b524a6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RUN-I2-051-20260830T140554480656Z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RUN-I2-051-20260830T140554480656Z</x:v>
      </x:c>
      <x:c r="B5" s="45" t="str">
        <x:v>I2-051</x:v>
      </x:c>
      <x:c r="C5" s="45" t="str">
        <x:v>benchmarkEntity</x:v>
      </x:c>
      <x:c r="D5" s="46" t="str">
        <x:v>https://w3id.org/nltl/vocab#benchmarkEntity</x:v>
      </x:c>
      <x:c r="E5" s="45" t="str">
        <x:v>Class</x:v>
      </x:c>
      <x:c r="F5" s="45" t="str"/>
      <x:c r="G5" s="45" t="str"/>
      <x:c r="H5" s="45" t="str"/>
      <x:c r="I5" s="46" t="str">
        <x:v>baseline target infrastructure; domain dependency of designVerticalIceShearForce; domain dependency of hullGirderPosition; domain dependency of longitudinalDistributionFactor; range dependency of shearForceDirectionValue</x:v>
      </x:c>
      <x:c r="J5" s="45" t="n">
        <x:v>0</x:v>
      </x:c>
    </x:row>
    <x:row r="6">
      <x:c r="A6" s="47" t="str">
        <x:v>RUN-I2-051-20260830T140554480656Z</x:v>
      </x:c>
      <x:c r="B6" s="47" t="str">
        <x:v>I2-051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hullGirderLongitudinalPositionFromAft; domain dependency of shearForceDirection; range dependency of hasCalculationCase</x:v>
      </x:c>
      <x:c r="J6" s="47" t="n">
        <x:v>0</x:v>
      </x:c>
    </x:row>
    <x:row r="7">
      <x:c r="A7" s="47" t="str">
        <x:v>RUN-I2-051-20260830T140554480656Z</x:v>
      </x:c>
      <x:c r="B7" s="47" t="str">
        <x:v>I2-051</x:v>
      </x:c>
      <x:c r="C7" s="47" t="str">
        <x:v>designVerticalIceForceAtBow</x:v>
      </x:c>
      <x:c r="D7" s="48" t="str">
        <x:v>https://w3id.org/nltl/vocab#designVerticalIceForceAtBow</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RUN-I2-051-20260830T140554480656Z</x:v>
      </x:c>
      <x:c r="B8" s="47" t="str">
        <x:v>I2-051</x:v>
      </x:c>
      <x:c r="C8" s="47" t="str">
        <x:v>designVerticalIceShearForce</x:v>
      </x:c>
      <x:c r="D8" s="48" t="str">
        <x:v>https://w3id.org/nltl/vocab#designVerticalIceShearForce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RUN-I2-051-20260830T140554480656Z</x:v>
      </x:c>
      <x:c r="B9" s="47" t="str">
        <x:v>I2-051</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RUN-I2-051-20260830T140554480656Z</x:v>
      </x:c>
      <x:c r="B10" s="47" t="str">
        <x:v>I2-051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RUN-I2-051-20260830T140554480656Z</x:v>
      </x:c>
      <x:c r="B11" s="47" t="str">
        <x:v>I2-051</x:v>
      </x:c>
      <x:c r="C11" s="47" t="str">
        <x:v>hullGirderLongitudinalPositionFromAft</x:v>
      </x:c>
      <x:c r="D11" s="48" t="str">
        <x:v>https://w3id.org/nltl/vocab#hullGirderLongitudinalPositionFromAft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RUN-I2-051-20260830T140554480656Z</x:v>
      </x:c>
      <x:c r="B12" s="47" t="str">
        <x:v>I2-051</x:v>
      </x:c>
      <x:c r="C12" s="47" t="str">
        <x:v>hullGirderPosition</x:v>
      </x:c>
      <x:c r="D12" s="48" t="str">
        <x:v>https://w3id.org/nltl/vocab#hullGirderPosition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RUN-I2-051-20260830T140554480656Z</x:v>
      </x:c>
      <x:c r="B13" s="47" t="str">
        <x:v>I2-051</x:v>
      </x:c>
      <x:c r="C13" s="47" t="str">
        <x:v>longitudinalDistributionFactor</x:v>
      </x:c>
      <x:c r="D13" s="48" t="str">
        <x:v>https://w3id.org/nltl/vocab#longitudinalDistributionFactor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RUN-I2-051-20260830T140554480656Z</x:v>
      </x:c>
      <x:c r="B14" s="47" t="str">
        <x:v>I2-051</x:v>
      </x:c>
      <x:c r="C14" s="47" t="str">
        <x:v>positiveShearForce</x:v>
      </x:c>
      <x:c r="D14" s="48" t="str">
        <x:v>https://w3id.org/nltl/vocab#positiveShearForce</x:v>
      </x:c>
      <x:c r="E14" s="47" t="str">
        <x:v>NamedIndividual</x:v>
      </x:c>
      <x:c r="F14" s="47" t="str"/>
      <x:c r="G14" s="47" t="str">
        <x:v>https://w3id.org/nltl/vocab#shearForceDirectionValue</x:v>
      </x:c>
      <x:c r="H14" s="47" t="str"/>
      <x:c r="I14" s="48" t="str">
        <x:v>controlled value permitted by the range of positiveShearForce; controlled value permitted by the range of shearForceDirection; linked by the locked 313-requirement index</x:v>
      </x:c>
      <x:c r="J14" s="47" t="n">
        <x:v>0</x:v>
      </x:c>
    </x:row>
    <x:row r="15">
      <x:c r="A15" s="47" t="str">
        <x:v>RUN-I2-051-20260830T140554480656Z</x:v>
      </x:c>
      <x:c r="B15" s="47" t="str">
        <x:v>I2-051</x:v>
      </x:c>
      <x:c r="C15" s="47" t="str">
        <x:v>shearForceDirection</x:v>
      </x:c>
      <x:c r="D15" s="48" t="str">
        <x:v>https://w3id.org/nltl/vocab#shearForceDirection</x:v>
      </x:c>
      <x:c r="E15" s="47" t="str">
        <x:v>ObjectProperty</x:v>
      </x:c>
      <x:c r="F15" s="47" t="str"/>
      <x:c r="G15" s="47" t="str">
        <x:v>https://w3id.org/nltl/vocab#shearForceDirectionValue</x:v>
      </x:c>
      <x:c r="H15" s="47" t="str"/>
      <x:c r="I15" s="48" t="str">
        <x:v>linked by the locked 313-requirement index</x:v>
      </x:c>
      <x:c r="J15" s="47" t="n">
        <x:v>0</x:v>
      </x:c>
    </x:row>
    <x:row r="16">
      <x:c r="A16" s="47" t="str">
        <x:v>RUN-I2-051-20260830T140554480656Z</x:v>
      </x:c>
      <x:c r="B16" s="47" t="str">
        <x:v>I2-051</x:v>
      </x:c>
      <x:c r="C16" s="47" t="str">
        <x:v>shearForceDirectionValue</x:v>
      </x:c>
      <x:c r="D16" s="48" t="str">
        <x:v>https://w3id.org/nltl/vocab#shearForceDirectionValue</x:v>
      </x:c>
      <x:c r="E16" s="47" t="str">
        <x:v>Class</x:v>
      </x:c>
      <x:c r="F16" s="47" t="str"/>
      <x:c r="G16" s="47" t="str">
        <x:v>https://w3id.org/nltl/vocab#benchmarkEntity</x:v>
      </x:c>
      <x:c r="H16" s="47" t="str"/>
      <x:c r="I16" s="48" t="str">
        <x:v>linked by the locked 313-requirement index; range dependency of positiveShearForce; range dependency of shearForceDirection</x:v>
      </x:c>
      <x:c r="J16" s="47" t="n">
        <x:v>0</x:v>
      </x:c>
    </x:row>
    <x:row r="17">
      <x:c r="A17" s="47" t="str">
        <x:v>RUN-I2-051-20260830T140554480656Z</x:v>
      </x:c>
      <x:c r="B17" s="47" t="str">
        <x:v>I2-051</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designVerticalIceForceAtBow; domain dependency of hasCalculationCase; domain dependency of upperIceWaterlineLengthLUI</x:v>
      </x:c>
      <x:c r="J17" s="47" t="n">
        <x:v>0</x:v>
      </x:c>
    </x:row>
    <x:row r="18">
      <x:c r="A18" s="47" t="str">
        <x:v>RUN-I2-051-20260830T140554480656Z</x:v>
      </x:c>
      <x:c r="B18" s="47" t="str">
        <x:v>I2-051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9" t="str">
        <x:v>RUN-I2-051-20260830T140554480656Z</x:v>
      </x:c>
      <x:c r="B19" s="49" t="str">
        <x:v>I2-051</x:v>
      </x:c>
      <x:c r="C19" s="49" t="str">
        <x:v>upperIceWaterlineLengthLUI</x:v>
      </x:c>
      <x:c r="D19" s="50" t="str">
        <x:v>https://w3id.org/nltl/vocab#upperIceWaterlineLengthLUI</x:v>
      </x:c>
      <x:c r="E19" s="49" t="str">
        <x:v>QuantityProperty</x:v>
      </x:c>
      <x:c r="F19" s="49" t="str"/>
      <x:c r="G19" s="49" t="str">
        <x:v>http://qudt.org/schema/qudt/QuantityValue</x:v>
      </x:c>
      <x:c r="H19" s="49" t="str">
        <x:v>http://qudt.org/vocab/unit/M</x:v>
      </x:c>
      <x:c r="I19" s="50" t="str">
        <x:v>linked by the locked 313-requirement index</x:v>
      </x:c>
      <x:c r="J19" s="49" t="n">
        <x:v>0</x:v>
      </x:c>
    </x:row>
  </x:sheetData>
  <x:pageMargins left="0.7" right="0.7" top="0.75" bottom="0.75" header="0.3" footer="0.3"/>
  <x:tableParts count="1">
    <x:tablePart xmlns:r="http://schemas.openxmlformats.org/officeDocument/2006/relationships" r:id="Rb8d38e0de28541a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RUN-I2-051-20260830T140554480656Z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RUN-I2-051-20260830T140554480656Z</x:v>
      </x:c>
      <x:c r="B5" s="45" t="str">
        <x:v>I2-051</x:v>
      </x:c>
      <x:c r="C5" s="45" t="str">
        <x:v>FS-CALC-02</x:v>
      </x:c>
      <x:c r="D5" s="45" t="str">
        <x:v>comparison_calculation</x:v>
      </x:c>
      <x:c r="E5" s="97" t="n">
        <x:v>0.075472</x:v>
      </x:c>
      <x:c r="F5" s="45" t="str">
        <x:v>calculation | comparison | formula | sparql</x:v>
      </x:c>
      <x:c r="G5" s="45" t="str">
        <x:v>synthetic-few-shot-not-benchmark-ground-truth</x:v>
      </x:c>
    </x:row>
    <x:row r="6">
      <x:c r="A6" s="49" t="str">
        <x:v>RUN-I2-051-20260830T140554480656Z</x:v>
      </x:c>
      <x:c r="B6" s="49" t="str">
        <x:v>I2-051</x:v>
      </x:c>
      <x:c r="C6" s="49" t="str">
        <x:v>FS-QTY-01</x:v>
      </x:c>
      <x:c r="D6" s="49" t="str">
        <x:v>qudt_quantity</x:v>
      </x:c>
      <x:c r="E6" s="98" t="n">
        <x:v>0.037037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4994cf1eacb4c9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RUN-I2-051-20260830T140554480656Z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RUN-I2-051-20260830T140554480656Z</x:v>
      </x:c>
      <x:c r="B5" s="45" t="str">
        <x:v>I2-051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5" s="46" t="str"/>
      <x:c r="P5" s="46" t="str"/>
      <x:c r="Q5" s="46" t="str"/>
    </x:row>
    <x:row r="6">
      <x:c r="A6" s="47" t="str">
        <x:v>RUN-I2-051-20260830T140554480656Z</x:v>
      </x:c>
      <x:c r="B6" s="47" t="str">
        <x:v>I2-051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6" s="48" t="str"/>
      <x:c r="P6" s="48" t="str"/>
      <x:c r="Q6" s="48" t="str"/>
    </x:row>
    <x:row r="7">
      <x:c r="A7" s="47" t="str">
        <x:v>RUN-I2-051-20260830T140554480656Z</x:v>
      </x:c>
      <x:c r="B7" s="47" t="str">
        <x:v>I2-051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7" s="48" t="str"/>
      <x:c r="P7" s="48" t="str"/>
      <x:c r="Q7" s="48" t="str"/>
    </x:row>
    <x:row r="8">
      <x:c r="A8" s="49" t="str">
        <x:v>RUN-I2-051-20260830T140554480656Z</x:v>
      </x:c>
      <x:c r="B8" s="49" t="str">
        <x:v>I2-051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https://w3id.org/nltl/vocab#designVerticalIceForceAtBow | https://w3id.org/nltl/vocab#designVerticalIceShearForce | https://w3id.org/nltl/vocab#hasCalculationCase | https://w3id.org/nltl/vocab#hullGirderLongitudinalPositionFromAft | https://w3id.org/nltl/vocab#longitudinalDistributionFactor | https://w3id.org/nltl/vocab#positiveShearForce | https://w3id.org/nltl/vocab#shearForceDirection | https://w3id.org/nltl/vocab#ship | https://w3id.org/nltl/vocab#upperIceWaterlineLengthLUI</x:v>
      </x:c>
      <x:c r="O8" s="50" t="str"/>
      <x:c r="P8" s="50" t="str"/>
      <x:c r="Q8" s="50" t="str"/>
    </x:row>
  </x:sheetData>
  <x:pageMargins left="0.7" right="0.7" top="0.75" bottom="0.75" header="0.3" footer="0.3"/>
  <x:tableParts count="1">
    <x:tablePart xmlns:r="http://schemas.openxmlformats.org/officeDocument/2006/relationships" r:id="R1844010d8a5747f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RUN-I2-051-20260830T140554480656Z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RUN-I2-051-20260830T140554480656Z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RUN-I2-051-20260830T140554480656Z</x:v>
      </x:c>
      <x:c r="B5" s="45" t="str">
        <x:v>I2-051</x:v>
      </x:c>
      <x:c r="C5" s="58"/>
      <x:c r="D5" s="45" t="str">
        <x:v>initial_context_pack</x:v>
      </x:c>
      <x:c r="E5" s="46" t="str">
        <x:v>artifacts/context_pack_initial.json</x:v>
      </x:c>
      <x:c r="F5" s="45" t="str">
        <x:v>c92f82a9e442b59397099b887be1eeceb2469f72fe13645f95a05fb2ddf999da</x:v>
      </x:c>
      <x:c r="G5" s="58" t="n">
        <x:v>21835</x:v>
      </x:c>
    </x:row>
    <x:row r="6">
      <x:c r="A6" s="47" t="str">
        <x:v>RUN-I2-051-20260830T140554480656Z</x:v>
      </x:c>
      <x:c r="B6" s="47" t="str">
        <x:v>I2-051</x:v>
      </x:c>
      <x:c r="C6" s="59"/>
      <x:c r="D6" s="47" t="str">
        <x:v>few_shot_selection</x:v>
      </x:c>
      <x:c r="E6" s="48" t="str">
        <x:v>artifacts/few_shots_selected.json</x:v>
      </x:c>
      <x:c r="F6" s="47" t="str">
        <x:v>179bfa542ee43f724e855976a181bcc7e14f99fa0cd7f690a60064057c9d0ad2</x:v>
      </x:c>
      <x:c r="G6" s="59" t="n">
        <x:v>5255</x:v>
      </x:c>
    </x:row>
    <x:row r="7">
      <x:c r="A7" s="47" t="str">
        <x:v>RUN-I2-051-20260830T140554480656Z</x:v>
      </x:c>
      <x:c r="B7" s="47" t="str">
        <x:v>I2-051</x:v>
      </x:c>
      <x:c r="C7" s="59" t="n">
        <x:v>1</x:v>
      </x:c>
      <x:c r="D7" s="47" t="str">
        <x:v>generator_prompt</x:v>
      </x:c>
      <x:c r="E7" s="48" t="str">
        <x:v>artifacts/attempt_01/generator_prompt.txt</x:v>
      </x:c>
      <x:c r="F7" s="47" t="str">
        <x:v>700a24fd20bf122a40ef0942ed302cb69c12c2fa6fed06f7f36b4205275093db</x:v>
      </x:c>
      <x:c r="G7" s="59" t="n">
        <x:v>38644</x:v>
      </x:c>
    </x:row>
    <x:row r="8">
      <x:c r="A8" s="47" t="str">
        <x:v>RUN-I2-051-20260830T140554480656Z</x:v>
      </x:c>
      <x:c r="B8" s="47" t="str">
        <x:v>I2-051</x:v>
      </x:c>
      <x:c r="C8" s="59" t="n">
        <x:v>1</x:v>
      </x:c>
      <x:c r="D8" s="47" t="str">
        <x:v>generator_raw_response</x:v>
      </x:c>
      <x:c r="E8" s="48" t="str">
        <x:v>artifacts/attempt_01/generator_raw.txt</x:v>
      </x:c>
      <x:c r="F8" s="47" t="str">
        <x:v>496fc974d9dbf34e0d11dcb0364eedc7683f169019f3f59ed4cff8a9c3ce448b</x:v>
      </x:c>
      <x:c r="G8" s="59" t="n">
        <x:v>5848</x:v>
      </x:c>
    </x:row>
    <x:row r="9">
      <x:c r="A9" s="47" t="str">
        <x:v>RUN-I2-051-20260830T140554480656Z</x:v>
      </x:c>
      <x:c r="B9" s="47" t="str">
        <x:v>I2-051</x:v>
      </x:c>
      <x:c r="C9" s="59" t="n">
        <x:v>1</x:v>
      </x:c>
      <x:c r="D9" s="47" t="str">
        <x:v>candidate_shape</x:v>
      </x:c>
      <x:c r="E9" s="48" t="str">
        <x:v>artifacts/attempt_01/candidate_shape.ttl</x:v>
      </x:c>
      <x:c r="F9" s="47" t="str">
        <x:v>03610c4523a6ef8ce79bf205f45b595df11434b905099660cf2ee60a21455d78</x:v>
      </x:c>
      <x:c r="G9" s="59" t="n">
        <x:v>5823</x:v>
      </x:c>
    </x:row>
    <x:row r="10">
      <x:c r="A10" s="47" t="str">
        <x:v>RUN-I2-051-20260830T140554480656Z</x:v>
      </x:c>
      <x:c r="B10" s="47" t="str">
        <x:v>I2-051</x:v>
      </x:c>
      <x:c r="C10" s="59" t="n">
        <x:v>1</x:v>
      </x:c>
      <x:c r="D10" s="47" t="str">
        <x:v>deterministic_validation</x:v>
      </x:c>
      <x:c r="E10" s="48" t="str">
        <x:v>artifacts/attempt_01/deterministic_validation.json</x:v>
      </x:c>
      <x:c r="F10" s="47" t="str">
        <x:v>86eaf62fee5695c6f11600891e5155502e74bebdbd7e8e60ef7c083aaa65bc75</x:v>
      </x:c>
      <x:c r="G10" s="59" t="n">
        <x:v>970</x:v>
      </x:c>
    </x:row>
    <x:row r="11">
      <x:c r="A11" s="47" t="str">
        <x:v>RUN-I2-051-20260830T140554480656Z</x:v>
      </x:c>
      <x:c r="B11" s="47" t="str">
        <x:v>I2-051</x:v>
      </x:c>
      <x:c r="C11" s="59" t="n">
        <x:v>1</x:v>
      </x:c>
      <x:c r="D11" s="47" t="str">
        <x:v>validator_prompt</x:v>
      </x:c>
      <x:c r="E11" s="48" t="str">
        <x:v>artifacts/attempt_01/validator_prompt_01.txt</x:v>
      </x:c>
      <x:c r="F11" s="47" t="str">
        <x:v>d2d88b6f197283e0be6374d53f38b869a953d20f7ddbdbc9b04e3015697a2b92</x:v>
      </x:c>
      <x:c r="G11" s="59" t="n">
        <x:v>39031</x:v>
      </x:c>
    </x:row>
    <x:row r="12">
      <x:c r="A12" s="47" t="str">
        <x:v>RUN-I2-051-20260830T140554480656Z</x:v>
      </x:c>
      <x:c r="B12" s="47" t="str">
        <x:v>I2-051</x:v>
      </x:c>
      <x:c r="C12" s="59" t="n">
        <x:v>1</x:v>
      </x:c>
      <x:c r="D12" s="47" t="str">
        <x:v>validator_raw_response</x:v>
      </x:c>
      <x:c r="E12" s="48" t="str">
        <x:v>artifacts/attempt_01/validator_raw_01.txt</x:v>
      </x:c>
      <x:c r="F12" s="47" t="str">
        <x:v>d2454790488453b3008525660a811fe08d900af8b0e7e8c2eb3bb52e29278294</x:v>
      </x:c>
      <x:c r="G12" s="59" t="n">
        <x:v>523</x:v>
      </x:c>
    </x:row>
    <x:row r="13">
      <x:c r="A13" s="47" t="str">
        <x:v>RUN-I2-051-20260830T140554480656Z</x:v>
      </x:c>
      <x:c r="B13" s="47" t="str">
        <x:v>I2-051</x:v>
      </x:c>
      <x:c r="C13" s="59" t="n">
        <x:v>2</x:v>
      </x:c>
      <x:c r="D13" s="47" t="str">
        <x:v>generator_prompt</x:v>
      </x:c>
      <x:c r="E13" s="48" t="str">
        <x:v>artifacts/attempt_02/generator_prompt.txt</x:v>
      </x:c>
      <x:c r="F13" s="47" t="str">
        <x:v>c23cf45c32459a4b02301a658cd7db7704df1ddec5ac2801cee3e620f8c55f08</x:v>
      </x:c>
      <x:c r="G13" s="59" t="n">
        <x:v>39102</x:v>
      </x:c>
    </x:row>
    <x:row r="14">
      <x:c r="A14" s="47" t="str">
        <x:v>RUN-I2-051-20260830T140554480656Z</x:v>
      </x:c>
      <x:c r="B14" s="47" t="str">
        <x:v>I2-051</x:v>
      </x:c>
      <x:c r="C14" s="59" t="n">
        <x:v>2</x:v>
      </x:c>
      <x:c r="D14" s="47" t="str">
        <x:v>generator_raw_response</x:v>
      </x:c>
      <x:c r="E14" s="48" t="str">
        <x:v>artifacts/attempt_02/generator_raw.txt</x:v>
      </x:c>
      <x:c r="F14" s="47" t="str">
        <x:v>57a5732827fc6abb8d18019e024b2201997c31570e3c51762c23e6dde726e633</x:v>
      </x:c>
      <x:c r="G14" s="59" t="n">
        <x:v>10025</x:v>
      </x:c>
    </x:row>
    <x:row r="15">
      <x:c r="A15" s="47" t="str">
        <x:v>RUN-I2-051-20260830T140554480656Z</x:v>
      </x:c>
      <x:c r="B15" s="47" t="str">
        <x:v>I2-051</x:v>
      </x:c>
      <x:c r="C15" s="59" t="n">
        <x:v>2</x:v>
      </x:c>
      <x:c r="D15" s="47" t="str">
        <x:v>candidate_shape</x:v>
      </x:c>
      <x:c r="E15" s="48" t="str">
        <x:v>artifacts/attempt_02/candidate_shape.ttl</x:v>
      </x:c>
      <x:c r="F15" s="47" t="str">
        <x:v>b05ac4c955221f25fcbd8181d37f8649de4876a00de7cf4c4d305f6e43344572</x:v>
      </x:c>
      <x:c r="G15" s="59" t="n">
        <x:v>10000</x:v>
      </x:c>
    </x:row>
    <x:row r="16">
      <x:c r="A16" s="47" t="str">
        <x:v>RUN-I2-051-20260830T140554480656Z</x:v>
      </x:c>
      <x:c r="B16" s="47" t="str">
        <x:v>I2-051</x:v>
      </x:c>
      <x:c r="C16" s="59" t="n">
        <x:v>2</x:v>
      </x:c>
      <x:c r="D16" s="47" t="str">
        <x:v>deterministic_validation</x:v>
      </x:c>
      <x:c r="E16" s="48" t="str">
        <x:v>artifacts/attempt_02/deterministic_validation.json</x:v>
      </x:c>
      <x:c r="F16" s="47" t="str">
        <x:v>86eaf62fee5695c6f11600891e5155502e74bebdbd7e8e60ef7c083aaa65bc75</x:v>
      </x:c>
      <x:c r="G16" s="59" t="n">
        <x:v>970</x:v>
      </x:c>
    </x:row>
    <x:row r="17">
      <x:c r="A17" s="47" t="str">
        <x:v>RUN-I2-051-20260830T140554480656Z</x:v>
      </x:c>
      <x:c r="B17" s="47" t="str">
        <x:v>I2-051</x:v>
      </x:c>
      <x:c r="C17" s="59" t="n">
        <x:v>2</x:v>
      </x:c>
      <x:c r="D17" s="47" t="str">
        <x:v>validator_prompt</x:v>
      </x:c>
      <x:c r="E17" s="48" t="str">
        <x:v>artifacts/attempt_02/validator_prompt_01.txt</x:v>
      </x:c>
      <x:c r="F17" s="47" t="str">
        <x:v>88b5f753b0def1367cd16db495d2ff4cf26fa6070f76425182c9f459a3a96f98</x:v>
      </x:c>
      <x:c r="G17" s="59" t="n">
        <x:v>43787</x:v>
      </x:c>
    </x:row>
    <x:row r="18">
      <x:c r="A18" s="47" t="str">
        <x:v>RUN-I2-051-20260830T140554480656Z</x:v>
      </x:c>
      <x:c r="B18" s="47" t="str">
        <x:v>I2-051</x:v>
      </x:c>
      <x:c r="C18" s="59" t="n">
        <x:v>2</x:v>
      </x:c>
      <x:c r="D18" s="47" t="str">
        <x:v>validator_raw_response</x:v>
      </x:c>
      <x:c r="E18" s="48" t="str">
        <x:v>artifacts/attempt_02/validator_raw_01.txt</x:v>
      </x:c>
      <x:c r="F18" s="47" t="str">
        <x:v>3cd5625e908ccd8bfaea7980b0e8cbc4fc1fe972e2510b070e28b7dcc8082806</x:v>
      </x:c>
      <x:c r="G18" s="59" t="n">
        <x:v>829</x:v>
      </x:c>
    </x:row>
    <x:row r="19">
      <x:c r="A19" s="47" t="str">
        <x:v>RUN-I2-051-20260830T140554480656Z</x:v>
      </x:c>
      <x:c r="B19" s="47" t="str">
        <x:v>I2-051</x:v>
      </x:c>
      <x:c r="C19" s="59" t="n">
        <x:v>3</x:v>
      </x:c>
      <x:c r="D19" s="47" t="str">
        <x:v>generator_prompt</x:v>
      </x:c>
      <x:c r="E19" s="48" t="str">
        <x:v>artifacts/attempt_03/generator_prompt.txt</x:v>
      </x:c>
      <x:c r="F19" s="47" t="str">
        <x:v>338ddb64aa72b91209e5a334d5bd0705cf5a0d7f4e359f2ef9afd0a7ca3f054e</x:v>
      </x:c>
      <x:c r="G19" s="59" t="n">
        <x:v>39874</x:v>
      </x:c>
    </x:row>
    <x:row r="20">
      <x:c r="A20" s="47" t="str">
        <x:v>RUN-I2-051-20260830T140554480656Z</x:v>
      </x:c>
      <x:c r="B20" s="47" t="str">
        <x:v>I2-051</x:v>
      </x:c>
      <x:c r="C20" s="59" t="n">
        <x:v>3</x:v>
      </x:c>
      <x:c r="D20" s="47" t="str">
        <x:v>generator_raw_response</x:v>
      </x:c>
      <x:c r="E20" s="48" t="str">
        <x:v>artifacts/attempt_03/generator_raw.txt</x:v>
      </x:c>
      <x:c r="F20" s="47" t="str">
        <x:v>b17c615134bd5ad2f100e6039bf55eff02264bb0aaf67c7f606e7fa757e9155b</x:v>
      </x:c>
      <x:c r="G20" s="59" t="n">
        <x:v>7538</x:v>
      </x:c>
    </x:row>
    <x:row r="21">
      <x:c r="A21" s="47" t="str">
        <x:v>RUN-I2-051-20260830T140554480656Z</x:v>
      </x:c>
      <x:c r="B21" s="47" t="str">
        <x:v>I2-051</x:v>
      </x:c>
      <x:c r="C21" s="59" t="n">
        <x:v>3</x:v>
      </x:c>
      <x:c r="D21" s="47" t="str">
        <x:v>syntax_repair_prompt</x:v>
      </x:c>
      <x:c r="E21" s="48" t="str">
        <x:v>artifacts/attempt_03/syntax_repair_prompt_01.txt</x:v>
      </x:c>
      <x:c r="F21" s="47" t="str">
        <x:v>c922bfaaafcc8c3ea33b5ec87da9b9afec4264d15dc38c78d1260208d6197159</x:v>
      </x:c>
      <x:c r="G21" s="59" t="n">
        <x:v>9928</x:v>
      </x:c>
    </x:row>
    <x:row r="22">
      <x:c r="A22" s="47" t="str">
        <x:v>RUN-I2-051-20260830T140554480656Z</x:v>
      </x:c>
      <x:c r="B22" s="47" t="str">
        <x:v>I2-051</x:v>
      </x:c>
      <x:c r="C22" s="59" t="n">
        <x:v>3</x:v>
      </x:c>
      <x:c r="D22" s="47" t="str">
        <x:v>syntax_repair_raw_response</x:v>
      </x:c>
      <x:c r="E22" s="48" t="str">
        <x:v>artifacts/attempt_03/syntax_repair_raw_01.txt</x:v>
      </x:c>
      <x:c r="F22" s="47" t="str">
        <x:v>3f1b73f1103668cdc20e2c1b167c0620e9324c1e1595f09ad6ecca95ae46f372</x:v>
      </x:c>
      <x:c r="G22" s="59" t="n">
        <x:v>7542</x:v>
      </x:c>
    </x:row>
    <x:row r="23">
      <x:c r="A23" s="47" t="str">
        <x:v>RUN-I2-051-20260830T140554480656Z</x:v>
      </x:c>
      <x:c r="B23" s="47" t="str">
        <x:v>I2-051</x:v>
      </x:c>
      <x:c r="C23" s="59" t="n">
        <x:v>3</x:v>
      </x:c>
      <x:c r="D23" s="47" t="str">
        <x:v>candidate_shape</x:v>
      </x:c>
      <x:c r="E23" s="48" t="str">
        <x:v>artifacts/attempt_03/candidate_shape.ttl</x:v>
      </x:c>
      <x:c r="F23" s="47" t="str">
        <x:v>590fedbceaa378d71861c57bae9f38157852f42192e302c2d3012dcf68a98acf</x:v>
      </x:c>
      <x:c r="G23" s="59" t="n">
        <x:v>7517</x:v>
      </x:c>
    </x:row>
    <x:row r="24">
      <x:c r="A24" s="47" t="str">
        <x:v>RUN-I2-051-20260830T140554480656Z</x:v>
      </x:c>
      <x:c r="B24" s="47" t="str">
        <x:v>I2-051</x:v>
      </x:c>
      <x:c r="C24" s="59" t="n">
        <x:v>3</x:v>
      </x:c>
      <x:c r="D24" s="47" t="str">
        <x:v>deterministic_validation</x:v>
      </x:c>
      <x:c r="E24" s="48" t="str">
        <x:v>artifacts/attempt_03/deterministic_validation.json</x:v>
      </x:c>
      <x:c r="F24" s="47" t="str">
        <x:v>86eaf62fee5695c6f11600891e5155502e74bebdbd7e8e60ef7c083aaa65bc75</x:v>
      </x:c>
      <x:c r="G24" s="59" t="n">
        <x:v>970</x:v>
      </x:c>
    </x:row>
    <x:row r="25">
      <x:c r="A25" s="47" t="str">
        <x:v>RUN-I2-051-20260830T140554480656Z</x:v>
      </x:c>
      <x:c r="B25" s="47" t="str">
        <x:v>I2-051</x:v>
      </x:c>
      <x:c r="C25" s="59" t="n">
        <x:v>3</x:v>
      </x:c>
      <x:c r="D25" s="47" t="str">
        <x:v>validator_prompt</x:v>
      </x:c>
      <x:c r="E25" s="48" t="str">
        <x:v>artifacts/attempt_03/validator_prompt_01.txt</x:v>
      </x:c>
      <x:c r="F25" s="47" t="str">
        <x:v>bcafd57948b7385556c5085c5cf8b7ef22bf2d87adee733d5ef1fc37f40f9497</x:v>
      </x:c>
      <x:c r="G25" s="59" t="n">
        <x:v>42028</x:v>
      </x:c>
    </x:row>
    <x:row r="26">
      <x:c r="A26" s="47" t="str">
        <x:v>RUN-I2-051-20260830T140554480656Z</x:v>
      </x:c>
      <x:c r="B26" s="47" t="str">
        <x:v>I2-051</x:v>
      </x:c>
      <x:c r="C26" s="59" t="n">
        <x:v>3</x:v>
      </x:c>
      <x:c r="D26" s="47" t="str">
        <x:v>validator_raw_response</x:v>
      </x:c>
      <x:c r="E26" s="48" t="str">
        <x:v>artifacts/attempt_03/validator_raw_01.txt</x:v>
      </x:c>
      <x:c r="F26" s="47" t="str">
        <x:v>b29f22ec6898fe98b2e51832f44058d9912553e096c81372f00e8d6cc545ce8d</x:v>
      </x:c>
      <x:c r="G26" s="59" t="n">
        <x:v>641</x:v>
      </x:c>
    </x:row>
    <x:row r="27">
      <x:c r="A27" s="47" t="str">
        <x:v>RUN-I2-051-20260830T140554480656Z</x:v>
      </x:c>
      <x:c r="B27" s="47" t="str">
        <x:v>I2-051</x:v>
      </x:c>
      <x:c r="C27" s="59" t="n">
        <x:v>4</x:v>
      </x:c>
      <x:c r="D27" s="47" t="str">
        <x:v>generator_prompt</x:v>
      </x:c>
      <x:c r="E27" s="48" t="str">
        <x:v>artifacts/attempt_04/generator_prompt.txt</x:v>
      </x:c>
      <x:c r="F27" s="47" t="str">
        <x:v>a36b15ab524654bb29eccbf0f91a30b63d09538ae3a08e2c00250ed12dceab84</x:v>
      </x:c>
      <x:c r="G27" s="59" t="n">
        <x:v>40458</x:v>
      </x:c>
    </x:row>
    <x:row r="28">
      <x:c r="A28" s="47" t="str">
        <x:v>RUN-I2-051-20260830T140554480656Z</x:v>
      </x:c>
      <x:c r="B28" s="47" t="str">
        <x:v>I2-051</x:v>
      </x:c>
      <x:c r="C28" s="59" t="n">
        <x:v>4</x:v>
      </x:c>
      <x:c r="D28" s="47" t="str">
        <x:v>generator_raw_response</x:v>
      </x:c>
      <x:c r="E28" s="48" t="str">
        <x:v>artifacts/attempt_04/generator_raw.txt</x:v>
      </x:c>
      <x:c r="F28" s="47" t="str">
        <x:v>d5b7347753f49e3f49eb3ea41485303987c6ac6e7972606525e12d93a376084d</x:v>
      </x:c>
      <x:c r="G28" s="59" t="n">
        <x:v>7550</x:v>
      </x:c>
    </x:row>
    <x:row r="29">
      <x:c r="A29" s="47" t="str">
        <x:v>RUN-I2-051-20260830T140554480656Z</x:v>
      </x:c>
      <x:c r="B29" s="47" t="str">
        <x:v>I2-051</x:v>
      </x:c>
      <x:c r="C29" s="59" t="n">
        <x:v>4</x:v>
      </x:c>
      <x:c r="D29" s="47" t="str">
        <x:v>syntax_repair_prompt</x:v>
      </x:c>
      <x:c r="E29" s="48" t="str">
        <x:v>artifacts/attempt_04/syntax_repair_prompt_01.txt</x:v>
      </x:c>
      <x:c r="F29" s="47" t="str">
        <x:v>63664e2d8b2a8fcb6782e36607c0b50d432c9e598dbbdf9d9ab185b340ce2ace</x:v>
      </x:c>
      <x:c r="G29" s="59" t="n">
        <x:v>8993</x:v>
      </x:c>
    </x:row>
    <x:row r="30">
      <x:c r="A30" s="47" t="str">
        <x:v>RUN-I2-051-20260830T140554480656Z</x:v>
      </x:c>
      <x:c r="B30" s="47" t="str">
        <x:v>I2-051</x:v>
      </x:c>
      <x:c r="C30" s="59" t="n">
        <x:v>4</x:v>
      </x:c>
      <x:c r="D30" s="47" t="str">
        <x:v>syntax_repair_raw_response</x:v>
      </x:c>
      <x:c r="E30" s="48" t="str">
        <x:v>artifacts/attempt_04/syntax_repair_raw_01.txt</x:v>
      </x:c>
      <x:c r="F30" s="47" t="str">
        <x:v>952c4bf64afa9838e6fe58d00c79a856f281434a6466a56df3517e72b0f2e755</x:v>
      </x:c>
      <x:c r="G30" s="59" t="n">
        <x:v>7552</x:v>
      </x:c>
    </x:row>
    <x:row r="31">
      <x:c r="A31" s="47" t="str">
        <x:v>RUN-I2-051-20260830T140554480656Z</x:v>
      </x:c>
      <x:c r="B31" s="47" t="str">
        <x:v>I2-051</x:v>
      </x:c>
      <x:c r="C31" s="59" t="n">
        <x:v>4</x:v>
      </x:c>
      <x:c r="D31" s="47" t="str">
        <x:v>candidate_shape</x:v>
      </x:c>
      <x:c r="E31" s="48" t="str">
        <x:v>artifacts/attempt_04/candidate_shape.ttl</x:v>
      </x:c>
      <x:c r="F31" s="47" t="str">
        <x:v>7b3af392582db1e0a284f633e99cef7e9e7baac2827916c13ac3f2cbe531d349</x:v>
      </x:c>
      <x:c r="G31" s="59" t="n">
        <x:v>7527</x:v>
      </x:c>
    </x:row>
    <x:row r="32">
      <x:c r="A32" s="47" t="str">
        <x:v>RUN-I2-051-20260830T140554480656Z</x:v>
      </x:c>
      <x:c r="B32" s="47" t="str">
        <x:v>I2-051</x:v>
      </x:c>
      <x:c r="C32" s="59" t="n">
        <x:v>4</x:v>
      </x:c>
      <x:c r="D32" s="47" t="str">
        <x:v>deterministic_validation</x:v>
      </x:c>
      <x:c r="E32" s="48" t="str">
        <x:v>artifacts/attempt_04/deterministic_validation.json</x:v>
      </x:c>
      <x:c r="F32" s="47" t="str">
        <x:v>86eaf62fee5695c6f11600891e5155502e74bebdbd7e8e60ef7c083aaa65bc75</x:v>
      </x:c>
      <x:c r="G32" s="59" t="n">
        <x:v>970</x:v>
      </x:c>
    </x:row>
    <x:row r="33">
      <x:c r="A33" s="47" t="str">
        <x:v>RUN-I2-051-20260830T140554480656Z</x:v>
      </x:c>
      <x:c r="B33" s="47" t="str">
        <x:v>I2-051</x:v>
      </x:c>
      <x:c r="C33" s="59" t="n">
        <x:v>4</x:v>
      </x:c>
      <x:c r="D33" s="47" t="str">
        <x:v>validator_prompt</x:v>
      </x:c>
      <x:c r="E33" s="48" t="str">
        <x:v>artifacts/attempt_04/validator_prompt_01.txt</x:v>
      </x:c>
      <x:c r="F33" s="47" t="str">
        <x:v>6f124e038921ad248b416567e2eae09795fcddbb776e512e38b6aa8adf32afd9</x:v>
      </x:c>
      <x:c r="G33" s="59" t="n">
        <x:v>42636</x:v>
      </x:c>
    </x:row>
    <x:row r="34">
      <x:c r="A34" s="49" t="str">
        <x:v>RUN-I2-051-20260830T140554480656Z</x:v>
      </x:c>
      <x:c r="B34" s="49" t="str">
        <x:v>I2-051</x:v>
      </x:c>
      <x:c r="C34" s="60" t="n">
        <x:v>4</x:v>
      </x:c>
      <x:c r="D34" s="49" t="str">
        <x:v>validator_raw_response</x:v>
      </x:c>
      <x:c r="E34" s="50" t="str">
        <x:v>artifacts/attempt_04/validator_raw_01.txt</x:v>
      </x:c>
      <x:c r="F34" s="49" t="str">
        <x:v>c3b6ece5da7fa7393d7d1a35087acc69ad9f6351b6e2a2e01e51759fdfc0bf5d</x:v>
      </x:c>
      <x:c r="G34" s="60" t="n">
        <x:v>615</x:v>
      </x:c>
    </x:row>
  </x:sheetData>
  <x:pageMargins left="0.7" right="0.7" top="0.75" bottom="0.75" header="0.3" footer="0.3"/>
  <x:tableParts count="1">
    <x:tablePart xmlns:r="http://schemas.openxmlformats.org/officeDocument/2006/relationships" r:id="Raf43e49be8214ad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RUN-I2-051-20260830T140554480656Z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RUN-I2-051-20260830T140554480656Z</x:v>
      </x:c>
      <x:c r="B5" s="69" t="str">
        <x:v>I2-051</x:v>
      </x:c>
      <x:c r="C5" s="71" t="n">
        <x:v>4</x:v>
      </x:c>
      <x:c r="D5" s="69" t="str">
        <x:v>MAX_ATTEMPTS_REACHED</x:v>
      </x:c>
      <x:c r="E5" s="73" t="str">
        <x:v>Preserve the previously repaired inclusive Cf alternatives, positive-shear position intervals, supplied owners, units, calculation-case direction, MN-to-kN conversion, and expected-result-scaled tolerance. Repair the DIRECT_CALCULATION SPARQL because it uses ABS(), which is not an allowed registered operation; replace both ABS-based tolerance expressions with equivalent comparisons using only permitted arithmetic and direct comparisons. Ensure the derived-force check remains tolerance-based and formula-scaled rather than becoming exact equality.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54c8e34dd90484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RUN-I2-051-20260830T140554480656Z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