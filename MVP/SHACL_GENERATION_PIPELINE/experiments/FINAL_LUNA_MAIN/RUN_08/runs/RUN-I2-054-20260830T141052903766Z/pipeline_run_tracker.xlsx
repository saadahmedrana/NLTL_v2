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25177af35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a8656ccd5444eae"/>
    <x:sheet xmlns:r="http://schemas.openxmlformats.org/officeDocument/2006/relationships" name="README" sheetId="2" r:id="R4a5b8ceb420a48ad"/>
    <x:sheet xmlns:r="http://schemas.openxmlformats.org/officeDocument/2006/relationships" name="REGULATION_QUEUE" sheetId="3" r:id="Rc318e298c86d4588"/>
    <x:sheet xmlns:r="http://schemas.openxmlformats.org/officeDocument/2006/relationships" name="RUNS" sheetId="4" r:id="R0bf83995f8e54d3f"/>
    <x:sheet xmlns:r="http://schemas.openxmlformats.org/officeDocument/2006/relationships" name="ITERATIONS" sheetId="5" r:id="R90f14058057d4c81"/>
    <x:sheet xmlns:r="http://schemas.openxmlformats.org/officeDocument/2006/relationships" name="API_CALLS" sheetId="6" r:id="R756de65720a14982"/>
    <x:sheet xmlns:r="http://schemas.openxmlformats.org/officeDocument/2006/relationships" name="TERM_RETRIEVAL" sheetId="7" r:id="R778f328535764fa0"/>
    <x:sheet xmlns:r="http://schemas.openxmlformats.org/officeDocument/2006/relationships" name="FEW_SHOT_SELECTION" sheetId="8" r:id="R9f6c6a69aaac4800"/>
    <x:sheet xmlns:r="http://schemas.openxmlformats.org/officeDocument/2006/relationships" name="VALIDATION" sheetId="9" r:id="R19184f16284f4a76"/>
    <x:sheet xmlns:r="http://schemas.openxmlformats.org/officeDocument/2006/relationships" name="VOCAB_MATCHES" sheetId="10" r:id="Rbe7858d4a436443d"/>
    <x:sheet xmlns:r="http://schemas.openxmlformats.org/officeDocument/2006/relationships" name="ARTIFACTS" sheetId="11" r:id="R79e04c8fca6e49ce"/>
    <x:sheet xmlns:r="http://schemas.openxmlformats.org/officeDocument/2006/relationships" name="UNRESOLVED" sheetId="12" r:id="Rd72a03559b684797"/>
    <x:sheet xmlns:r="http://schemas.openxmlformats.org/officeDocument/2006/relationships" name="RDF_TEST_QUEUE" sheetId="13" r:id="R59d58fbdde6648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2931f9176e4da6" /><Relationship Type="http://schemas.openxmlformats.org/officeDocument/2006/relationships/theme" Target="/xl/theme/theme1.xml" Id="Rfb6d172429554a3c" /><Relationship Type="http://schemas.microsoft.com/office/2022/11/relationships/FeaturePropertyBag" Target="/xl/featurePropertyBag/featurePropertyBag.xml" Id="R3bd98e7171934ce4" /><Relationship Type="http://schemas.openxmlformats.org/officeDocument/2006/relationships/sharedStrings" Target="/xl/sharedStrings.xml" Id="Rc772cadda64d44d3" /><Relationship Type="http://schemas.openxmlformats.org/officeDocument/2006/relationships/worksheet" Target="/xl/worksheets/sheet1.xml" Id="R7a8656ccd5444eae" /><Relationship Type="http://schemas.openxmlformats.org/officeDocument/2006/relationships/worksheet" Target="/xl/worksheets/sheet2.xml" Id="R4a5b8ceb420a48ad" /><Relationship Type="http://schemas.openxmlformats.org/officeDocument/2006/relationships/worksheet" Target="/xl/worksheets/sheet3.xml" Id="Rc318e298c86d4588" /><Relationship Type="http://schemas.openxmlformats.org/officeDocument/2006/relationships/worksheet" Target="/xl/worksheets/sheet4.xml" Id="R0bf83995f8e54d3f" /><Relationship Type="http://schemas.openxmlformats.org/officeDocument/2006/relationships/worksheet" Target="/xl/worksheets/sheet5.xml" Id="R90f14058057d4c81" /><Relationship Type="http://schemas.openxmlformats.org/officeDocument/2006/relationships/worksheet" Target="/xl/worksheets/sheet6.xml" Id="R756de65720a14982" /><Relationship Type="http://schemas.openxmlformats.org/officeDocument/2006/relationships/worksheet" Target="/xl/worksheets/sheet7.xml" Id="R778f328535764fa0" /><Relationship Type="http://schemas.openxmlformats.org/officeDocument/2006/relationships/worksheet" Target="/xl/worksheets/sheet8.xml" Id="R9f6c6a69aaac4800" /><Relationship Type="http://schemas.openxmlformats.org/officeDocument/2006/relationships/worksheet" Target="/xl/worksheets/sheet9.xml" Id="R19184f16284f4a76" /><Relationship Type="http://schemas.openxmlformats.org/officeDocument/2006/relationships/worksheet" Target="/xl/worksheets/sheet10.xml" Id="Rbe7858d4a436443d" /><Relationship Type="http://schemas.openxmlformats.org/officeDocument/2006/relationships/worksheet" Target="/xl/worksheets/sheet11.xml" Id="R79e04c8fca6e49ce" /><Relationship Type="http://schemas.openxmlformats.org/officeDocument/2006/relationships/worksheet" Target="/xl/worksheets/sheet12.xml" Id="Rd72a03559b684797" /><Relationship Type="http://schemas.openxmlformats.org/officeDocument/2006/relationships/worksheet" Target="/xl/worksheets/sheet13.xml" Id="R59d58fbdde6648d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dc1e95df2642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47caa838d9b4b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0a8e1ba50b41b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b9d7986ea1a496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3cf6a6088446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84f6956d1643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64af55d296f43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a9731429bc44e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0b4bac19d394c3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32cde0f531e4ee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496d120a64744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RUN-I2-054-20260830T141052903766Z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13015.402399999999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RUN-I2-054-20260830T141052903766Z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dc1e95df2642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RUN-I2-054-20260830T141052903766Z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TERM_RESOLUTION_UNRESOLVED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7caa838d9b4b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RUN-I2-054-20260830T141052903766Z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RUN-I2-054-20260830T141052903766Z</x:v>
      </x:c>
      <x:c r="C5" s="69" t="str">
        <x:v>I2-054</x:v>
      </x:c>
      <x:c r="D5" s="70" t="n">
        <x:v>46264.59089010417</x:v>
      </x:c>
      <x:c r="E5" s="70" t="n">
        <x:v>46264.5916658912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canonical cross-owner relationship linking calculationCase to hullGirderBendingMomentCalculationCase; the available candidates are classes or quantity properties and cannot satisfy the requested relationship context.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0a8e1ba50b41b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RUN-I2-054-20260830T141052903766Z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RUN-I2-054-20260830T141052903766Z</x:v>
      </x:c>
      <x:c r="B5" s="45" t="str">
        <x:v>I2-054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Reject: the readiness graph only requires one interpolation point and therefore does not faithfully encode the mandatory C_m profile: 0.0 at aft, 1.0 at 0.5*L_UI and 0.7*L_UI, 0.3 at 0.95*L_UI, 0.0 at forward, with intermediate values determined by linear interpolation. Add the required bounded interpolation points, their position/result pairing, and constraints or structured evidence identifying the prescribed endpoints and interpolation method; a single presence-only point is insufficient for this formula-derived requirement. Preserve the existing authoritative owners and paths.</x:v>
      </x:c>
      <x:c r="I5" s="81" t="n">
        <x:v>12038.557</x:v>
      </x:c>
      <x:c r="J5" s="81" t="n">
        <x:v>7024.954</x:v>
      </x:c>
    </x:row>
    <x:row r="6">
      <x:c r="A6" s="49" t="str">
        <x:v>RUN-I2-054-20260830T141052903766Z</x:v>
      </x:c>
      <x:c r="B6" s="49" t="str">
        <x:v>I2-054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five paired interpolation points now address the earlier presence-only defect, but the graph still does not bind them to the hull-girder calculation case whose required operands and result are caseHullGirderLongitudinalPositionFromAft, caseBendingMomentDistributionFactor, and caseDesignVerticalIceBendingMoment. The separately nested calculationCase and hullGirderBendingMomentCalculationCase have no canonical relationship, so the formula inputs, C_m profile, and result are not a single linked case. Add or locate the canonical cross-owner relationship, then constrain the interpolation coordinates to the prescribed positions relative to L_UI (0, 0.5, 0.7, 0.95, and 1.0) and bind the C_m interpolation profile to the caseBendingMomentDistributionFactor context. Preserve the existing owners and paths; do not relocate the case properties to the ship.</x:v>
      </x:c>
      <x:c r="I6" s="83" t="n">
        <x:v>27136.578</x:v>
      </x:c>
      <x:c r="J6" s="83" t="n">
        <x:v>17403.237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9d7986ea1a496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RUN-I2-054-20260830T141052903766Z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RUN-I2-054-20260830T141052903766Z</x:v>
      </x:c>
      <x:c r="C5" s="45" t="str">
        <x:v>I2-054</x:v>
      </x:c>
      <x:c r="D5" s="90" t="n">
        <x:v>46264.59102943287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12036.695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RUN-I2-054-20260830T141052903766Z</x:v>
      </x:c>
      <x:c r="C6" s="47" t="str">
        <x:v>I2-054</x:v>
      </x:c>
      <x:c r="D6" s="91" t="n">
        <x:v>46264.591029456016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12038.557</x:v>
      </x:c>
      <x:c r="L6" s="93" t="b">
        <x:v>0</x:v>
      </x:c>
      <x:c r="M6" s="47" t="str">
        <x:v>resp_0e544b36febca5ee006a9439ed2e2c8194b7b3a6369329244d</x:v>
      </x:c>
      <x:c r="N6" s="59" t="n">
        <x:v>12016</x:v>
      </x:c>
      <x:c r="O6" s="59" t="n">
        <x:v>1845</x:v>
      </x:c>
      <x:c r="P6" s="59" t="n">
        <x:v>13861</x:v>
      </x:c>
    </x:row>
    <x:row r="7">
      <x:c r="A7" s="47" t="str">
        <x:v>EVT-000037</x:v>
      </x:c>
      <x:c r="B7" s="47" t="str">
        <x:v>RUN-I2-054-20260830T141052903766Z</x:v>
      </x:c>
      <x:c r="C7" s="47" t="str">
        <x:v>I2-054</x:v>
      </x:c>
      <x:c r="D7" s="91" t="n">
        <x:v>46264.59111357639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7024.191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RUN-I2-054-20260830T141052903766Z</x:v>
      </x:c>
      <x:c r="C8" s="47" t="str">
        <x:v>I2-054</x:v>
      </x:c>
      <x:c r="D8" s="91" t="n">
        <x:v>46264.591113587965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7024.954</x:v>
      </x:c>
      <x:c r="L8" s="93" t="b">
        <x:v>0</x:v>
      </x:c>
      <x:c r="M8" s="47" t="str">
        <x:v>resp_0ad59845223e063d006a9439f965788190958d21c4c501f05a</x:v>
      </x:c>
      <x:c r="N8" s="59" t="n">
        <x:v>12754</x:v>
      </x:c>
      <x:c r="O8" s="59" t="n">
        <x:v>661</x:v>
      </x:c>
      <x:c r="P8" s="59" t="n">
        <x:v>13415</x:v>
      </x:c>
    </x:row>
    <x:row r="9">
      <x:c r="A9" s="47" t="str">
        <x:v>EVT-000043</x:v>
      </x:c>
      <x:c r="B9" s="47" t="str">
        <x:v>RUN-I2-054-20260830T141052903766Z</x:v>
      </x:c>
      <x:c r="C9" s="47" t="str">
        <x:v>I2-054</x:v>
      </x:c>
      <x:c r="D9" s="91" t="n">
        <x:v>46264.59142767361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27134.998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RUN-I2-054-20260830T141052903766Z</x:v>
      </x:c>
      <x:c r="C10" s="47" t="str">
        <x:v>I2-054</x:v>
      </x:c>
      <x:c r="D10" s="91" t="n">
        <x:v>46264.59142769676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27136.578</x:v>
      </x:c>
      <x:c r="L10" s="93" t="b">
        <x:v>0</x:v>
      </x:c>
      <x:c r="M10" s="47" t="str">
        <x:v>resp_03b07de2a9f7db62006a943a006f78819598eb60004e1281ba</x:v>
      </x:c>
      <x:c r="N10" s="59" t="n">
        <x:v>12140</x:v>
      </x:c>
      <x:c r="O10" s="59" t="n">
        <x:v>3811</x:v>
      </x:c>
      <x:c r="P10" s="59" t="n">
        <x:v>15951</x:v>
      </x:c>
    </x:row>
    <x:row r="11">
      <x:c r="A11" s="47" t="str">
        <x:v>EVT-000051</x:v>
      </x:c>
      <x:c r="B11" s="47" t="str">
        <x:v>RUN-I2-054-20260830T141052903766Z</x:v>
      </x:c>
      <x:c r="C11" s="47" t="str">
        <x:v>I2-054</x:v>
      </x:c>
      <x:c r="D11" s="91" t="n">
        <x:v>46264.59163225695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17401.75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RUN-I2-054-20260830T141052903766Z</x:v>
      </x:c>
      <x:c r="C12" s="47" t="str">
        <x:v>I2-054</x:v>
      </x:c>
      <x:c r="D12" s="91" t="n">
        <x:v>46264.59163228009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17403.237</x:v>
      </x:c>
      <x:c r="L12" s="93" t="b">
        <x:v>0</x:v>
      </x:c>
      <x:c r="M12" s="47" t="str">
        <x:v>resp_0d28fea0bf251755006a943a1bf68881949c765e6f859aebe4</x:v>
      </x:c>
      <x:c r="N12" s="59" t="n">
        <x:v>13681</x:v>
      </x:c>
      <x:c r="O12" s="59" t="n">
        <x:v>1568</x:v>
      </x:c>
      <x:c r="P12" s="59" t="n">
        <x:v>15249</x:v>
      </x:c>
    </x:row>
    <x:row r="13">
      <x:c r="A13" s="47" t="str">
        <x:v>EVT-000058</x:v>
      </x:c>
      <x:c r="B13" s="47" t="str">
        <x:v>RUN-I2-054-20260830T141052903766Z</x:v>
      </x:c>
      <x:c r="C13" s="47" t="str">
        <x:v>I2-054</x:v>
      </x:c>
      <x:c r="D13" s="91" t="n">
        <x:v>46264.59166586806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1476.179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RUN-I2-054-20260830T141052903766Z</x:v>
      </x:c>
      <x:c r="C14" s="49" t="str">
        <x:v>I2-054</x:v>
      </x:c>
      <x:c r="D14" s="94" t="n">
        <x:v>46264.59166586806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1476.885</x:v>
      </x:c>
      <x:c r="L14" s="82" t="b">
        <x:v>0</x:v>
      </x:c>
      <x:c r="M14" s="49" t="str">
        <x:v>resp_02d2bf4f4d8ad7ae006a943a2e992c81949e669d97ed43adb4</x:v>
      </x:c>
      <x:c r="N14" s="60" t="n">
        <x:v>4462</x:v>
      </x:c>
      <x:c r="O14" s="60" t="n">
        <x:v>106</x:v>
      </x:c>
      <x:c r="P14" s="60" t="n">
        <x:v>4568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3cf6a6088446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RUN-I2-054-20260830T141052903766Z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RUN-I2-054-20260830T141052903766Z</x:v>
      </x:c>
      <x:c r="B5" s="45" t="str">
        <x:v>I2-054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stemAngle</x:v>
      </x:c>
      <x:c r="J5" s="45" t="n">
        <x:v>0</x:v>
      </x:c>
    </x:row>
    <x:row r="6">
      <x:c r="A6" s="47" t="str">
        <x:v>RUN-I2-054-20260830T141052903766Z</x:v>
      </x:c>
      <x:c r="B6" s="47" t="str">
        <x:v>I2-054</x:v>
      </x:c>
      <x:c r="C6" s="47" t="str">
        <x:v>bendingMomentDistributionFactor</x:v>
      </x:c>
      <x:c r="D6" s="48" t="str">
        <x:v>https://w3id.org/nltl/vocab#bendingMomentDistributionFactor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RUN-I2-054-20260830T141052903766Z</x:v>
      </x:c>
      <x:c r="B7" s="47" t="str">
        <x:v>I2-054</x:v>
      </x:c>
      <x:c r="C7" s="47" t="str">
        <x:v>calculationCase</x:v>
      </x:c>
      <x:c r="D7" s="48" t="str">
        <x:v>https://w3id.org/nltl/vocab#calculationCase</x:v>
      </x:c>
      <x:c r="E7" s="47" t="str">
        <x:v>Class</x:v>
      </x:c>
      <x:c r="F7" s="47" t="str"/>
      <x:c r="G7" s="47" t="str">
        <x:v>https://w3id.org/nltl/vocab#benchmarkEntity</x:v>
      </x:c>
      <x:c r="H7" s="47" t="str"/>
      <x:c r="I7" s="48" t="str">
        <x:v>authoritative required owner class; domain dependency of bendingMomentDistributionFactor; domain dependency of hasInterpolationPoint; domain dependency of hullGirderLongitudinalPositionFromAft; range dependency of hasCalculationCase; range dependency of hullGirderBendingMomentCalculationCase; range dependency of interpolationPoint</x:v>
      </x:c>
      <x:c r="J7" s="47" t="n">
        <x:v>0</x:v>
      </x:c>
    </x:row>
    <x:row r="8">
      <x:c r="A8" s="47" t="str">
        <x:v>RUN-I2-054-20260830T141052903766Z</x:v>
      </x:c>
      <x:c r="B8" s="47" t="str">
        <x:v>I2-054</x:v>
      </x:c>
      <x:c r="C8" s="47" t="str">
        <x:v>caseBendingMomentDistributionFactor</x:v>
      </x:c>
      <x:c r="D8" s="48" t="str">
        <x:v>https://w3id.org/nltl/vocab#caseBendingMomentDistributionFactor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RUN-I2-054-20260830T141052903766Z</x:v>
      </x:c>
      <x:c r="B9" s="47" t="str">
        <x:v>I2-054</x:v>
      </x:c>
      <x:c r="C9" s="47" t="str">
        <x:v>caseDesignVerticalIceBendingMoment</x:v>
      </x:c>
      <x:c r="D9" s="48" t="str">
        <x:v>https://w3id.org/nltl/vocab#caseDesignVerticalIceBendingMoment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http://qudt.org/vocab/unit/MegaN-M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RUN-I2-054-20260830T141052903766Z</x:v>
      </x:c>
      <x:c r="B10" s="47" t="str">
        <x:v>I2-054</x:v>
      </x:c>
      <x:c r="C10" s="47" t="str">
        <x:v>caseHullGirderLongitudinalPositionFromAft</x:v>
      </x:c>
      <x:c r="D10" s="48" t="str">
        <x:v>https://w3id.org/nltl/vocab#caseHullGirderLongitudinalPositionFromAft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RUN-I2-054-20260830T141052903766Z</x:v>
      </x:c>
      <x:c r="B11" s="47" t="str">
        <x:v>I2-054</x:v>
      </x:c>
      <x:c r="C11" s="47" t="str">
        <x:v>designVerticalIceBendingMoment</x:v>
      </x:c>
      <x:c r="D11" s="48" t="str">
        <x:v>https://w3id.org/nltl/vocab#designVerticalIceBendingMoment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http://qudt.org/vocab/unit/MegaN-M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RUN-I2-054-20260830T141052903766Z</x:v>
      </x:c>
      <x:c r="B12" s="47" t="str">
        <x:v>I2-054</x:v>
      </x:c>
      <x:c r="C12" s="47" t="str">
        <x:v>designVerticalIceForceAtBow</x:v>
      </x:c>
      <x:c r="D12" s="48" t="str">
        <x:v>https://w3id.org/nltl/vocab#designVerticalIceForceAtBow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http://qudt.org/vocab/unit/MegaN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RUN-I2-054-20260830T141052903766Z</x:v>
      </x:c>
      <x:c r="B13" s="47" t="str">
        <x:v>I2-054</x:v>
      </x:c>
      <x:c r="C13" s="47" t="str">
        <x:v>hasCalculationCase</x:v>
      </x:c>
      <x:c r="D13" s="48" t="str">
        <x:v>https://w3id.org/nltl/vocab#hasCalculationCase</x:v>
      </x:c>
      <x:c r="E13" s="47" t="str">
        <x:v>ObjectProperty</x:v>
      </x:c>
      <x:c r="F13" s="47" t="str"/>
      <x:c r="G13" s="47" t="str">
        <x:v>https://w3id.org/nltl/vocab#calculationCase</x:v>
      </x:c>
      <x:c r="H13" s="47" t="str"/>
      <x:c r="I13" s="48" t="str">
        <x:v>canonical path from target owner ship to required owner calculationCase; linked by the locked 313-requirement index</x:v>
      </x:c>
      <x:c r="J13" s="47" t="n">
        <x:v>0</x:v>
      </x:c>
    </x:row>
    <x:row r="14">
      <x:c r="A14" s="47" t="str">
        <x:v>RUN-I2-054-20260830T141052903766Z</x:v>
      </x:c>
      <x:c r="B14" s="47" t="str">
        <x:v>I2-054</x:v>
      </x:c>
      <x:c r="C14" s="47" t="str">
        <x:v>hasComponent</x:v>
      </x:c>
      <x:c r="D14" s="48" t="str">
        <x:v>https://w3id.org/nltl/vocab#hasComponent</x:v>
      </x:c>
      <x:c r="E14" s="47" t="str">
        <x:v>ObjectProperty</x:v>
      </x:c>
      <x:c r="F14" s="47" t="str"/>
      <x:c r="G14" s="47" t="str">
        <x:v>https://w3id.org/nltl/vocab#shipComponent</x:v>
      </x:c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RUN-I2-054-20260830T141052903766Z</x:v>
      </x:c>
      <x:c r="B15" s="47" t="str">
        <x:v>I2-054</x:v>
      </x:c>
      <x:c r="C15" s="47" t="str">
        <x:v>hasHullGirderBendingMomentCalculationCase</x:v>
      </x:c>
      <x:c r="D15" s="48" t="str">
        <x:v>https://w3id.org/nltl/vocab#hasHullGirderBendingMomentCalculationCase</x:v>
      </x:c>
      <x:c r="E15" s="47" t="str">
        <x:v>ObjectProperty</x:v>
      </x:c>
      <x:c r="F15" s="47" t="str"/>
      <x:c r="G15" s="47" t="str">
        <x:v>https://w3id.org/nltl/vocab#hullGirderBendingMomentCalculationCase</x:v>
      </x:c>
      <x:c r="H15" s="47" t="str"/>
      <x:c r="I15" s="48" t="str">
        <x:v>canonical path from target owner ship to required owner hullGirderBendingMomentCalculationCase; linked by the locked 313-requirement index</x:v>
      </x:c>
      <x:c r="J15" s="47" t="n">
        <x:v>0</x:v>
      </x:c>
    </x:row>
    <x:row r="16">
      <x:c r="A16" s="47" t="str">
        <x:v>RUN-I2-054-20260830T141052903766Z</x:v>
      </x:c>
      <x:c r="B16" s="47" t="str">
        <x:v>I2-054</x:v>
      </x:c>
      <x:c r="C16" s="47" t="str">
        <x:v>hasInterpolationPoint</x:v>
      </x:c>
      <x:c r="D16" s="48" t="str">
        <x:v>https://w3id.org/nltl/vocab#hasInterpolationPoint</x:v>
      </x:c>
      <x:c r="E16" s="47" t="str">
        <x:v>ObjectProperty</x:v>
      </x:c>
      <x:c r="F16" s="47" t="str"/>
      <x:c r="G16" s="47" t="str">
        <x:v>https://w3id.org/nltl/vocab#interpolationPoint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RUN-I2-054-20260830T141052903766Z</x:v>
      </x:c>
      <x:c r="B17" s="47" t="str">
        <x:v>I2-054</x:v>
      </x:c>
      <x:c r="C17" s="47" t="str">
        <x:v>hullGirderBendingMomentCalculationCase</x:v>
      </x:c>
      <x:c r="D17" s="48" t="str">
        <x:v>https://w3id.org/nltl/vocab#hullGirderBendingMomentCalculationCase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caseBendingMomentDistributionFactor; domain dependency of caseDesignVerticalIceBendingMoment; domain dependency of caseHullGirderLongitudinalPositionFromAft; linked by the locked 313-requirement index; range dependency of hasHullGirderBendingMomentCalculationCase</x:v>
      </x:c>
      <x:c r="J17" s="47" t="n">
        <x:v>0</x:v>
      </x:c>
    </x:row>
    <x:row r="18">
      <x:c r="A18" s="47" t="str">
        <x:v>RUN-I2-054-20260830T141052903766Z</x:v>
      </x:c>
      <x:c r="B18" s="47" t="str">
        <x:v>I2-054</x:v>
      </x:c>
      <x:c r="C18" s="47" t="str">
        <x:v>hullGirderLongitudinalPositionFromAft</x:v>
      </x:c>
      <x:c r="D18" s="48" t="str">
        <x:v>https://w3id.org/nltl/vocab#hullGirderLongitudinalPositionFromAft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RUN-I2-054-20260830T141052903766Z</x:v>
      </x:c>
      <x:c r="B19" s="47" t="str">
        <x:v>I2-054</x:v>
      </x:c>
      <x:c r="C19" s="47" t="str">
        <x:v>interpolationPoint</x:v>
      </x:c>
      <x:c r="D19" s="48" t="str">
        <x:v>https://w3id.org/nltl/vocab#interpolationPoint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interpolationPointCoordinate; domain dependency of interpolationPointResult; linked by the locked 313-requirement index; range dependency of hasInterpolationPoint</x:v>
      </x:c>
      <x:c r="J19" s="47" t="n">
        <x:v>0</x:v>
      </x:c>
    </x:row>
    <x:row r="20">
      <x:c r="A20" s="47" t="str">
        <x:v>RUN-I2-054-20260830T141052903766Z</x:v>
      </x:c>
      <x:c r="B20" s="47" t="str">
        <x:v>I2-054</x:v>
      </x:c>
      <x:c r="C20" s="47" t="str">
        <x:v>interpolationPointCoordinate</x:v>
      </x:c>
      <x:c r="D20" s="48" t="str">
        <x:v>https://w3id.org/nltl/vocab#interpolationPointCoordinate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RUN-I2-054-20260830T141052903766Z</x:v>
      </x:c>
      <x:c r="B21" s="47" t="str">
        <x:v>I2-054</x:v>
      </x:c>
      <x:c r="C21" s="47" t="str">
        <x:v>interpolationPointResult</x:v>
      </x:c>
      <x:c r="D21" s="48" t="str">
        <x:v>https://w3id.org/nltl/vocab#interpolationPointResult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RUN-I2-054-20260830T141052903766Z</x:v>
      </x:c>
      <x:c r="B22" s="47" t="str">
        <x:v>I2-054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designVerticalIceBendingMoment; domain dependency of designVerticalIceForceAtBow; domain dependency of hasCalculationCase; domain dependency of hasHullGirderBendingMomentCalculationCase; domain dependency of upperIceWaterlineLengthLUI</x:v>
      </x:c>
      <x:c r="J22" s="47" t="n">
        <x:v>0</x:v>
      </x:c>
    </x:row>
    <x:row r="23">
      <x:c r="A23" s="47" t="str">
        <x:v>RUN-I2-054-20260830T141052903766Z</x:v>
      </x:c>
      <x:c r="B23" s="47" t="str">
        <x:v>I2-054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RUN-I2-054-20260830T141052903766Z</x:v>
      </x:c>
      <x:c r="B24" s="47" t="str">
        <x:v>I2-054</x:v>
      </x:c>
      <x:c r="C24" s="47" t="str">
        <x:v>stemAngle</x:v>
      </x:c>
      <x:c r="D24" s="48" t="str">
        <x:v>https://w3id.org/nltl/vocab#stemAngle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9" t="str">
        <x:v>RUN-I2-054-20260830T141052903766Z</x:v>
      </x:c>
      <x:c r="B25" s="49" t="str">
        <x:v>I2-054</x:v>
      </x:c>
      <x:c r="C25" s="49" t="str">
        <x:v>upperIceWaterlineLengthLUI</x:v>
      </x:c>
      <x:c r="D25" s="50" t="str">
        <x:v>https://w3id.org/nltl/vocab#upperIceWaterlineLengthLUI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http://qudt.org/vocab/unit/M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84f6956d1643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RUN-I2-054-20260830T141052903766Z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RUN-I2-054-20260830T141052903766Z</x:v>
      </x:c>
      <x:c r="B5" s="45" t="str">
        <x:v>I2-054</x:v>
      </x:c>
      <x:c r="C5" s="45" t="str">
        <x:v>FS-COMPLEX-READINESS-01</x:v>
      </x:c>
      <x:c r="D5" s="45" t="str">
        <x:v>complex_readiness_external_calculation</x:v>
      </x:c>
      <x:c r="E5" s="97" t="n">
        <x:v>2.123077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RUN-I2-054-20260830T141052903766Z</x:v>
      </x:c>
      <x:c r="B6" s="49" t="str">
        <x:v>I2-054</x:v>
      </x:c>
      <x:c r="C6" s="49" t="str">
        <x:v>FS-COMPLEX-READINESS-02</x:v>
      </x:c>
      <x:c r="D6" s="49" t="str">
        <x:v>complex_readiness_with_direct_residual_check</x:v>
      </x:c>
      <x:c r="E6" s="98" t="n">
        <x:v>2.056338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4af55d296f43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RUN-I2-054-20260830T141052903766Z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RUN-I2-054-20260830T141052903766Z</x:v>
      </x:c>
      <x:c r="B5" s="45" t="str">
        <x:v>I2-054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5" s="46" t="str"/>
      <x:c r="P5" s="46" t="str"/>
      <x:c r="Q5" s="46" t="str"/>
    </x:row>
    <x:row r="6">
      <x:c r="A6" s="49" t="str">
        <x:v>RUN-I2-054-20260830T141052903766Z</x:v>
      </x:c>
      <x:c r="B6" s="49" t="str">
        <x:v>I2-054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https://w3id.org/nltl/vocab#calculationCase | https://w3id.org/nltl/vocab#caseBendingMomentDistributionFactor | https://w3id.org/nltl/vocab#caseDesignVerticalIceBendingMoment | https://w3id.org/nltl/vocab#caseHullGirderLongitudinalPositionFromAft | https://w3id.org/nltl/vocab#designVerticalIceForceAtBow | https://w3id.org/nltl/vocab#hasCalculationCase | https://w3id.org/nltl/vocab#hasHullGirderBendingMomentCalculationCase | https://w3id.org/nltl/vocab#hasInterpolationPoint | https://w3id.org/nltl/vocab#hullGirderBendingMomentCalculationCase | https://w3id.org/nltl/vocab#interpolationPoint | https://w3id.org/nltl/vocab#interpolationPointCoordinate | https://w3id.org/nltl/vocab#interpolationPointResult | https://w3id.org/nltl/vocab#ship | https://w3id.org/nltl/vocab#stemAngle | https://w3id.org/nltl/vocab#upperIceWaterlineLengthLUI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9a9731429bc44e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RUN-I2-054-20260830T141052903766Z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RUN-I2-054-20260830T141052903766Z</x:v>
      </x:c>
      <x:c r="B5" s="45" t="str">
        <x:v>I2-054</x:v>
      </x:c>
      <x:c r="C5" s="58" t="n">
        <x:v>2</x:v>
      </x:c>
      <x:c r="D5" s="45" t="str">
        <x:v>matcher_search</x:v>
      </x:c>
      <x:c r="E5" s="46" t="str">
        <x:v>The five paired interpolation points now address the earlier presence-only defect, but the graph still does not bind them to the hull-girder calculation case whose required operands and result are caseHullGirderLongitudinalPositionFromAft, caseBendingMomentDistributionFactor, and caseDesignVerticalIceBendingMoment. The separately nested calculationCase and hullGirderBendingMomentCalculationCase have no canonical relationship, so the formula inputs, C_m profile, and result are not a single linked case. Add or locate the canonical cross-owner relationship, then constrain the interpolation coordinates to the prescribed positions relative to L_UI (0, 0.5, 0.7, 0.95, and 1.0) and bind the C_m interpolation profile to the caseBendingMomentDistributionFactor context. Preserve the existing owners and paths; do not relocate the case properties to the ship.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RUN-I2-054-20260830T141052903766Z</x:v>
      </x:c>
      <x:c r="B6" s="49" t="str">
        <x:v>I2-054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canonical cross-owner relationship linking calculationCase to hullGirderBendingMomentCalculationCase; the available candidates are classes or quantity properties and cannot satisfy the requested relationship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00b4bac19d394c3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RUN-I2-054-20260830T141052903766Z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RUN-I2-054-20260830T141052903766Z</x:v>
      </x:c>
      <x:c r="B5" s="45" t="str">
        <x:v>I2-054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42dd41b7a158297acc17aac575680b11177f4a3a4b9561fd91f1b66810ed67b5</x:v>
      </x:c>
      <x:c r="G5" s="58" t="n">
        <x:v>30953</x:v>
      </x:c>
    </x:row>
    <x:row r="6">
      <x:c r="A6" s="47" t="str">
        <x:v>RUN-I2-054-20260830T141052903766Z</x:v>
      </x:c>
      <x:c r="B6" s="47" t="str">
        <x:v>I2-054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52783c96921fe912c75a90294786edd0e0982ab0bfa4336968fbea10be08bad8</x:v>
      </x:c>
      <x:c r="G6" s="59" t="n">
        <x:v>6555</x:v>
      </x:c>
    </x:row>
    <x:row r="7">
      <x:c r="A7" s="47" t="str">
        <x:v>RUN-I2-054-20260830T141052903766Z</x:v>
      </x:c>
      <x:c r="B7" s="47" t="str">
        <x:v>I2-054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12eae74bc4b8aecc65b6add23160a7f0596469d121bec8875a4745e5fbd259a4</x:v>
      </x:c>
      <x:c r="G7" s="59" t="n">
        <x:v>49152</x:v>
      </x:c>
    </x:row>
    <x:row r="8">
      <x:c r="A8" s="47" t="str">
        <x:v>RUN-I2-054-20260830T141052903766Z</x:v>
      </x:c>
      <x:c r="B8" s="47" t="str">
        <x:v>I2-054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9c7c6b4c8cbc77c381040e7a76719a38b750783decdf48757429f0c627ae1297</x:v>
      </x:c>
      <x:c r="G8" s="59" t="n">
        <x:v>6423</x:v>
      </x:c>
    </x:row>
    <x:row r="9">
      <x:c r="A9" s="47" t="str">
        <x:v>RUN-I2-054-20260830T141052903766Z</x:v>
      </x:c>
      <x:c r="B9" s="47" t="str">
        <x:v>I2-054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9c17eec09deeb677d314162a126f9a60913c678989980bf435f96bee0e22d43d</x:v>
      </x:c>
      <x:c r="G9" s="59" t="n">
        <x:v>6398</x:v>
      </x:c>
    </x:row>
    <x:row r="10">
      <x:c r="A10" s="47" t="str">
        <x:v>RUN-I2-054-20260830T141052903766Z</x:v>
      </x:c>
      <x:c r="B10" s="47" t="str">
        <x:v>I2-054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7f7bcc281cd8d8886ffdeca6f44620b016338e65d153c7ebbe0dbd2b556bc360</x:v>
      </x:c>
      <x:c r="G10" s="59" t="n">
        <x:v>1308</x:v>
      </x:c>
    </x:row>
    <x:row r="11">
      <x:c r="A11" s="47" t="str">
        <x:v>RUN-I2-054-20260830T141052903766Z</x:v>
      </x:c>
      <x:c r="B11" s="47" t="str">
        <x:v>I2-054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dff2c612e8c44f70b78abdce12f4385f53d51d101a6bda62c993d4871c232e35</x:v>
      </x:c>
      <x:c r="G11" s="59" t="n">
        <x:v>51043</x:v>
      </x:c>
    </x:row>
    <x:row r="12">
      <x:c r="A12" s="47" t="str">
        <x:v>RUN-I2-054-20260830T141052903766Z</x:v>
      </x:c>
      <x:c r="B12" s="47" t="str">
        <x:v>I2-054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5705889373375bfefa9ef43630a72eaedd7eff6f188a6288b3bba689ab9a2890</x:v>
      </x:c>
      <x:c r="G12" s="59" t="n">
        <x:v>651</x:v>
      </x:c>
    </x:row>
    <x:row r="13">
      <x:c r="A13" s="47" t="str">
        <x:v>RUN-I2-054-20260830T141052903766Z</x:v>
      </x:c>
      <x:c r="B13" s="47" t="str">
        <x:v>I2-054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5dd12ff40a3b676681308c4a45f659d6a6f94039a2915ad38c9ccf00379467cc</x:v>
      </x:c>
      <x:c r="G13" s="59" t="n">
        <x:v>49738</x:v>
      </x:c>
    </x:row>
    <x:row r="14">
      <x:c r="A14" s="47" t="str">
        <x:v>RUN-I2-054-20260830T141052903766Z</x:v>
      </x:c>
      <x:c r="B14" s="47" t="str">
        <x:v>I2-054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135c960422a7d1d2a6732669e811eaa508b7a0842e035bd989dddce91fd7ba97</x:v>
      </x:c>
      <x:c r="G14" s="59" t="n">
        <x:v>9649</x:v>
      </x:c>
    </x:row>
    <x:row r="15">
      <x:c r="A15" s="47" t="str">
        <x:v>RUN-I2-054-20260830T141052903766Z</x:v>
      </x:c>
      <x:c r="B15" s="47" t="str">
        <x:v>I2-054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44da962b3021a34088f6d50aa77e99f92a75e22ea0652c8ac7a35fe533cf43a1</x:v>
      </x:c>
      <x:c r="G15" s="59" t="n">
        <x:v>9623</x:v>
      </x:c>
    </x:row>
    <x:row r="16">
      <x:c r="A16" s="47" t="str">
        <x:v>RUN-I2-054-20260830T141052903766Z</x:v>
      </x:c>
      <x:c r="B16" s="47" t="str">
        <x:v>I2-054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7f7bcc281cd8d8886ffdeca6f44620b016338e65d153c7ebbe0dbd2b556bc360</x:v>
      </x:c>
      <x:c r="G16" s="59" t="n">
        <x:v>1308</x:v>
      </x:c>
    </x:row>
    <x:row r="17">
      <x:c r="A17" s="47" t="str">
        <x:v>RUN-I2-054-20260830T141052903766Z</x:v>
      </x:c>
      <x:c r="B17" s="47" t="str">
        <x:v>I2-054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3a8384f38252ea163768f864c079edf688ab7dab38ae00e7ac03a7714befde2b</x:v>
      </x:c>
      <x:c r="G17" s="59" t="n">
        <x:v>54929</x:v>
      </x:c>
    </x:row>
    <x:row r="18">
      <x:c r="A18" s="47" t="str">
        <x:v>RUN-I2-054-20260830T141052903766Z</x:v>
      </x:c>
      <x:c r="B18" s="47" t="str">
        <x:v>I2-054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c2781f22d3b29041cc6d218927ff436bdb3649c025cf0d95777e0bd4d0a04bf5</x:v>
      </x:c>
      <x:c r="G18" s="59" t="n">
        <x:v>922</x:v>
      </x:c>
    </x:row>
    <x:row r="19">
      <x:c r="A19" s="47" t="str">
        <x:v>RUN-I2-054-20260830T141052903766Z</x:v>
      </x:c>
      <x:c r="B19" s="47" t="str">
        <x:v>I2-054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bbd153939c5f10eb5ed7d2c3c84b1bdf9d2905a574375aa28dffb101d7c31266</x:v>
      </x:c>
      <x:c r="G19" s="59" t="n">
        <x:v>9270</x:v>
      </x:c>
    </x:row>
    <x:row r="20">
      <x:c r="A20" s="47" t="str">
        <x:v>RUN-I2-054-20260830T141052903766Z</x:v>
      </x:c>
      <x:c r="B20" s="47" t="str">
        <x:v>I2-054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dc1fc1204f445dc1ce1f32fc3a9a7fa82cd90921003215adfc619dad3d347cdb</x:v>
      </x:c>
      <x:c r="G20" s="59" t="n">
        <x:v>16704</x:v>
      </x:c>
    </x:row>
    <x:row r="21">
      <x:c r="A21" s="49" t="str">
        <x:v>RUN-I2-054-20260830T141052903766Z</x:v>
      </x:c>
      <x:c r="B21" s="49" t="str">
        <x:v>I2-054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105706acea7d863a711123af3c299fcf6179ae473a6af73116686262c672a204</x:v>
      </x:c>
      <x:c r="G21" s="60" t="n">
        <x:v>332</x:v>
      </x:c>
    </x:row>
  </x:sheetData>
  <x:pageMargins left="0.7" right="0.7" top="0.75" bottom="0.75" header="0.3" footer="0.3"/>
  <x:tableParts count="1">
    <x:tablePart xmlns:r="http://schemas.openxmlformats.org/officeDocument/2006/relationships" r:id="Rf32cde0f531e4e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RUN-I2-054-20260830T141052903766Z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RUN-I2-054-20260830T141052903766Z</x:v>
      </x:c>
      <x:c r="B5" s="69" t="str">
        <x:v>I2-054</x:v>
      </x:c>
      <x:c r="C5" s="71" t="n">
        <x:v>2</x:v>
      </x:c>
      <x:c r="D5" s="69" t="str">
        <x:v>TERM_RESOLUTION_UNRESOLVED</x:v>
      </x:c>
      <x:c r="E5" s="73" t="str">
        <x:v>No supplied candidate is a canonical cross-owner relationship linking calculationCase to hullGirderBendingMomentCalculationCase; the available candidates are classes or quantity properties and cannot satisfy the requested relationship context.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6d120a6474410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RUN-I2-054-20260830T141052903766Z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