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53bfea284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37c0fca5e544cd"/>
    <x:sheet xmlns:r="http://schemas.openxmlformats.org/officeDocument/2006/relationships" name="README" sheetId="2" r:id="R74ab88baf6b1428d"/>
    <x:sheet xmlns:r="http://schemas.openxmlformats.org/officeDocument/2006/relationships" name="REGULATION_QUEUE" sheetId="3" r:id="Rfada770d51f64b2b"/>
    <x:sheet xmlns:r="http://schemas.openxmlformats.org/officeDocument/2006/relationships" name="RUNS" sheetId="4" r:id="R081e6396f4924929"/>
    <x:sheet xmlns:r="http://schemas.openxmlformats.org/officeDocument/2006/relationships" name="ITERATIONS" sheetId="5" r:id="R1a516f3e10c6427d"/>
    <x:sheet xmlns:r="http://schemas.openxmlformats.org/officeDocument/2006/relationships" name="API_CALLS" sheetId="6" r:id="R3816efe257b7415c"/>
    <x:sheet xmlns:r="http://schemas.openxmlformats.org/officeDocument/2006/relationships" name="TERM_RETRIEVAL" sheetId="7" r:id="R5ea75de2f1864c92"/>
    <x:sheet xmlns:r="http://schemas.openxmlformats.org/officeDocument/2006/relationships" name="FEW_SHOT_SELECTION" sheetId="8" r:id="Ra6609d570d634296"/>
    <x:sheet xmlns:r="http://schemas.openxmlformats.org/officeDocument/2006/relationships" name="VALIDATION" sheetId="9" r:id="R3b785a3b25d74de0"/>
    <x:sheet xmlns:r="http://schemas.openxmlformats.org/officeDocument/2006/relationships" name="VOCAB_MATCHES" sheetId="10" r:id="Ra291745ad5e2463b"/>
    <x:sheet xmlns:r="http://schemas.openxmlformats.org/officeDocument/2006/relationships" name="ARTIFACTS" sheetId="11" r:id="Rf7ab66cd9ba34258"/>
    <x:sheet xmlns:r="http://schemas.openxmlformats.org/officeDocument/2006/relationships" name="UNRESOLVED" sheetId="12" r:id="Re4988661ee28455b"/>
    <x:sheet xmlns:r="http://schemas.openxmlformats.org/officeDocument/2006/relationships" name="RDF_TEST_QUEUE" sheetId="13" r:id="R3e330bfb0b93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0c899db8f4205" /><Relationship Type="http://schemas.openxmlformats.org/officeDocument/2006/relationships/theme" Target="/xl/theme/theme1.xml" Id="R20275af33c5b4aa6" /><Relationship Type="http://schemas.microsoft.com/office/2022/11/relationships/FeaturePropertyBag" Target="/xl/featurePropertyBag/featurePropertyBag.xml" Id="R8c08b37dd42c440e" /><Relationship Type="http://schemas.openxmlformats.org/officeDocument/2006/relationships/sharedStrings" Target="/xl/sharedStrings.xml" Id="Rbd66f96ffa0c4b4e" /><Relationship Type="http://schemas.openxmlformats.org/officeDocument/2006/relationships/worksheet" Target="/xl/worksheets/sheet1.xml" Id="R6537c0fca5e544cd" /><Relationship Type="http://schemas.openxmlformats.org/officeDocument/2006/relationships/worksheet" Target="/xl/worksheets/sheet2.xml" Id="R74ab88baf6b1428d" /><Relationship Type="http://schemas.openxmlformats.org/officeDocument/2006/relationships/worksheet" Target="/xl/worksheets/sheet3.xml" Id="Rfada770d51f64b2b" /><Relationship Type="http://schemas.openxmlformats.org/officeDocument/2006/relationships/worksheet" Target="/xl/worksheets/sheet4.xml" Id="R081e6396f4924929" /><Relationship Type="http://schemas.openxmlformats.org/officeDocument/2006/relationships/worksheet" Target="/xl/worksheets/sheet5.xml" Id="R1a516f3e10c6427d" /><Relationship Type="http://schemas.openxmlformats.org/officeDocument/2006/relationships/worksheet" Target="/xl/worksheets/sheet6.xml" Id="R3816efe257b7415c" /><Relationship Type="http://schemas.openxmlformats.org/officeDocument/2006/relationships/worksheet" Target="/xl/worksheets/sheet7.xml" Id="R5ea75de2f1864c92" /><Relationship Type="http://schemas.openxmlformats.org/officeDocument/2006/relationships/worksheet" Target="/xl/worksheets/sheet8.xml" Id="Ra6609d570d634296" /><Relationship Type="http://schemas.openxmlformats.org/officeDocument/2006/relationships/worksheet" Target="/xl/worksheets/sheet9.xml" Id="R3b785a3b25d74de0" /><Relationship Type="http://schemas.openxmlformats.org/officeDocument/2006/relationships/worksheet" Target="/xl/worksheets/sheet10.xml" Id="Ra291745ad5e2463b" /><Relationship Type="http://schemas.openxmlformats.org/officeDocument/2006/relationships/worksheet" Target="/xl/worksheets/sheet11.xml" Id="Rf7ab66cd9ba34258" /><Relationship Type="http://schemas.openxmlformats.org/officeDocument/2006/relationships/worksheet" Target="/xl/worksheets/sheet12.xml" Id="Re4988661ee28455b" /><Relationship Type="http://schemas.openxmlformats.org/officeDocument/2006/relationships/worksheet" Target="/xl/worksheets/sheet13.xml" Id="R3e330bfb0b934f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895afa83834c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9e8368ca124e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d124e5a1b84a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786e503f2147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b72ee83bce4a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097b1f179646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e41a59237c44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a7a08f83f04e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4a38724d2e49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51bb4a39804b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RUN-I2-064-20260830T141638065354Z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58684.34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RUN-I2-064-20260830T141638065354Z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895afa83834c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RUN-I2-064-20260830T141638065354Z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GENERATION_ACCEPTED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e8368ca124e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RUN-I2-064-20260830T141638065354Z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RUN-I2-064-20260830T141638065354Z</x:v>
      </x:c>
      <x:c r="C5" s="69" t="str">
        <x:v>I2-064</x:v>
      </x:c>
      <x:c r="D5" s="70" t="n">
        <x:v>46264.59488502315</x:v>
      </x:c>
      <x:c r="E5" s="70" t="n">
        <x:v>46264.597615555555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uses the canonical namespace, preserves linear-method applicability, targets yield strength on the ship and stresses and buckling evidence on the applicable web/flange hull-structure nodes, enforces MPa quantities and required datatypes, and encodes both direct strict-less-than formula checks with the declared operands.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124e5a1b84a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RUN-I2-064-20260830T141638065354Z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RUN-I2-064-20260830T141638065354Z</x:v>
      </x:c>
      <x:c r="B5" s="45" t="str">
        <x:v>I2-064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https://w3id.org/nltl/vocab#I2_064_CalculationCaseShape, https://w3id.org/nltl/vocab#I2_064_FlangeShape, https://w3id.org/nltl/vocab#I2_064_ShipShape, https://w3id.org/nltl/vocab#I2_064_StressShape, https://w3id.org/nltl/vocab#I2_064_StructuralMemberShape, https://w3id.org/nltl/vocab#I2_064_WebShape, https://w3id.org/nltl/vocab#I2_064_YieldStrengthShape
Semantic validator feedback: Replace the seven invented I2_064_*Shape IRIs in the project vocabulary namespace with blank-node or otherwise non-vocabulary SHACL shapes; they are unknown canonical IRIs and no canonical term needs to be located. Also move the bucklingCriteriaSatisfied constraint off structuralMember: its supplied requiredOwner and canonical domain are hullStructure, so constrain the applicable web/flange hullStructure nodes (or use owner-correct paths/shapes) rather than placing the property on a structuralMember. Preserve the linear-method applicability and both direct strict-less-than checks, including MPa units and the declared operands/results.</x:v>
      </x:c>
      <x:c r="I5" s="81" t="n">
        <x:v>99105.085</x:v>
      </x:c>
      <x:c r="J5" s="81" t="n">
        <x:v>19587.239</x:v>
      </x:c>
    </x:row>
    <x:row r="6">
      <x:c r="A6" s="49" t="str">
        <x:v>RUN-I2-064-20260830T141638065354Z</x:v>
      </x:c>
      <x:c r="B6" s="49" t="str">
        <x:v>I2-064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uses the canonical namespace, preserves linear-method applicability, targets yield strength on the ship and stresses and buckling evidence on the applicable web/flange hull-structure nodes, enforces MPa quantities and required datatypes, and encodes both direct strict-less-than formula checks with the declared operands.</x:v>
      </x:c>
      <x:c r="I6" s="83" t="n">
        <x:v>34897.001</x:v>
      </x:c>
      <x:c r="J6" s="83" t="n">
        <x:v>81150.485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86e503f2147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RUN-I2-064-20260830T141638065354Z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RUN-I2-064-20260830T141638065354Z</x:v>
      </x:c>
      <x:c r="C5" s="45" t="str">
        <x:v>I2-064</x:v>
      </x:c>
      <x:c r="D5" s="90" t="n">
        <x:v>46264.59603208333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99103.732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RUN-I2-064-20260830T141638065354Z</x:v>
      </x:c>
      <x:c r="C6" s="47" t="str">
        <x:v>I2-064</x:v>
      </x:c>
      <x:c r="D6" s="91" t="n">
        <x:v>46264.59603209491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99105.085</x:v>
      </x:c>
      <x:c r="L6" s="93" t="b">
        <x:v>0</x:v>
      </x:c>
      <x:c r="M6" s="47" t="str">
        <x:v>resp_0c189de0b7766aa7006a943b4654c48195919077664f85814d</x:v>
      </x:c>
      <x:c r="N6" s="59" t="n">
        <x:v>12292</x:v>
      </x:c>
      <x:c r="O6" s="59" t="n">
        <x:v>3257</x:v>
      </x:c>
      <x:c r="P6" s="59" t="n">
        <x:v>15549</x:v>
      </x:c>
    </x:row>
    <x:row r="7">
      <x:c r="A7" s="47" t="str">
        <x:v>EVT-000039</x:v>
      </x:c>
      <x:c r="B7" s="47" t="str">
        <x:v>RUN-I2-064-20260830T141638065354Z</x:v>
      </x:c>
      <x:c r="C7" s="47" t="str">
        <x:v>I2-064</x:v>
      </x:c>
      <x:c r="D7" s="91" t="n">
        <x:v>46264.596270243055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19585.702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RUN-I2-064-20260830T141638065354Z</x:v>
      </x:c>
      <x:c r="C8" s="47" t="str">
        <x:v>I2-064</x:v>
      </x:c>
      <x:c r="D8" s="91" t="n">
        <x:v>46264.59627025463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19587.239</x:v>
      </x:c>
      <x:c r="L8" s="93" t="b">
        <x:v>0</x:v>
      </x:c>
      <x:c r="M8" s="47" t="str">
        <x:v>resp_069099fd7313375b006a943baad70c8194910f0d044ac5f482</x:v>
      </x:c>
      <x:c r="N8" s="59" t="n">
        <x:v>14490</x:v>
      </x:c>
      <x:c r="O8" s="59" t="n">
        <x:v>1175</x:v>
      </x:c>
      <x:c r="P8" s="59" t="n">
        <x:v>15665</x:v>
      </x:c>
    </x:row>
    <x:row r="9">
      <x:c r="A9" s="47" t="str">
        <x:v>EVT-000045</x:v>
      </x:c>
      <x:c r="B9" s="47" t="str">
        <x:v>RUN-I2-064-20260830T141638065354Z</x:v>
      </x:c>
      <x:c r="C9" s="47" t="str">
        <x:v>I2-064</x:v>
      </x:c>
      <x:c r="D9" s="91" t="n">
        <x:v>46264.59667421296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34896.483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RUN-I2-064-20260830T141638065354Z</x:v>
      </x:c>
      <x:c r="C10" s="47" t="str">
        <x:v>I2-064</x:v>
      </x:c>
      <x:c r="D10" s="91" t="n">
        <x:v>46264.59667421296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34897.001</x:v>
      </x:c>
      <x:c r="L10" s="93" t="b">
        <x:v>0</x:v>
      </x:c>
      <x:c r="M10" s="47" t="str">
        <x:v>resp_02d29a7a6c83d352006a943bbe05148195b9184fb3d625851d</x:v>
      </x:c>
      <x:c r="N10" s="59" t="n">
        <x:v>12576</x:v>
      </x:c>
      <x:c r="O10" s="59" t="n">
        <x:v>2687</x:v>
      </x:c>
      <x:c r="P10" s="59" t="n">
        <x:v>15263</x:v>
      </x:c>
    </x:row>
    <x:row r="11">
      <x:c r="A11" s="47" t="str">
        <x:v>EVT-000053</x:v>
      </x:c>
      <x:c r="B11" s="47" t="str">
        <x:v>RUN-I2-064-20260830T141638065354Z</x:v>
      </x:c>
      <x:c r="C11" s="47" t="str">
        <x:v>I2-064</x:v>
      </x:c>
      <x:c r="D11" s="91" t="n">
        <x:v>46264.59761548611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81148.993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EVT-000054</x:v>
      </x:c>
      <x:c r="B12" s="49" t="str">
        <x:v>RUN-I2-064-20260830T141638065354Z</x:v>
      </x:c>
      <x:c r="C12" s="49" t="str">
        <x:v>I2-064</x:v>
      </x:c>
      <x:c r="D12" s="94" t="n">
        <x:v>46264.59761550926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81150.485</x:v>
      </x:c>
      <x:c r="L12" s="82" t="b">
        <x:v>0</x:v>
      </x:c>
      <x:c r="M12" s="49" t="str">
        <x:v>resp_024f891f17f2f37f006a943be10e3081939eec44ac3469a88f</x:v>
      </x:c>
      <x:c r="N12" s="60" t="n">
        <x:v>13114</x:v>
      </x:c>
      <x:c r="O12" s="60" t="n">
        <x:v>1126</x:v>
      </x:c>
      <x:c r="P12" s="60" t="n">
        <x:v>14240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72ee83bce4a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RUN-I2-064-20260830T141638065354Z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RUN-I2-064-20260830T141638065354Z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RUN-I2-064-20260830T141638065354Z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RUN-I2-064-20260830T141638065354Z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RUN-I2-064-20260830T141638065354Z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RUN-I2-064-20260830T141638065354Z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RUN-I2-064-20260830T141638065354Z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RUN-I2-064-20260830T141638065354Z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RUN-I2-064-20260830T141638065354Z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RUN-I2-064-20260830T141638065354Z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RUN-I2-064-20260830T141638065354Z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RUN-I2-064-20260830T141638065354Z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RUN-I2-064-20260830T141638065354Z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RUN-I2-064-20260830T141638065354Z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RUN-I2-064-20260830T141638065354Z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RUN-I2-064-20260830T141638065354Z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RUN-I2-064-20260830T141638065354Z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RUN-I2-064-20260830T141638065354Z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RUN-I2-064-20260830T141638065354Z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RUN-I2-064-20260830T141638065354Z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RUN-I2-064-20260830T141638065354Z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RUN-I2-064-20260830T141638065354Z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RUN-I2-064-20260830T141638065354Z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RUN-I2-064-20260830T141638065354Z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097b1f179646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RUN-I2-064-20260830T141638065354Z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RUN-I2-064-20260830T141638065354Z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RUN-I2-064-20260830T141638065354Z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41a59237c44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RUN-I2-064-20260830T141638065354Z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RUN-I2-064-20260830T141638065354Z</x:v>
      </x:c>
      <x:c r="B5" s="45" t="str">
        <x:v>I2-064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https://w3id.org/nltl/vocab#I2_064_CalculationCaseShape, https://w3id.org/nltl/vocab#I2_064_FlangeShape, https://w3id.org/nltl/vocab#I2_064_ShipShape, https://w3id.org/nltl/vocab#I2_064_StressShape, https://w3id.org/nltl/vocab#I2_064_StructuralMemberShape, https://w3id.org/nltl/vocab#I2_064_WebShape, https://w3id.org/nltl/vocab#I2_064_YieldStrengthShape</x:v>
      </x:c>
      <x:c r="M5" s="46" t="str"/>
      <x:c r="N5" s="46" t="str">
        <x:v>https://w3id.org/nltl/vocab#I2_064_CalculationCaseShape | https://w3id.org/nltl/vocab#I2_064_FlangeShape | https://w3id.org/nltl/vocab#I2_064_ShipShape | https://w3id.org/nltl/vocab#I2_064_StressShape | https://w3id.org/nltl/vocab#I2_064_StructuralMemberShape | https://w3id.org/nltl/vocab#I2_064_WebShape | https://w3id.org/nltl/vocab#I2_064_YieldStrengthShape | 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46" t="str">
        <x:v>https://w3id.org/nltl/vocab#I2_064_CalculationCaseShape | https://w3id.org/nltl/vocab#I2_064_FlangeShape | https://w3id.org/nltl/vocab#I2_064_ShipShape | https://w3id.org/nltl/vocab#I2_064_StressShape | https://w3id.org/nltl/vocab#I2_064_StructuralMemberShape | https://w3id.org/nltl/vocab#I2_064_WebShape | https://w3id.org/nltl/vocab#I2_064_YieldStrengthShape</x:v>
      </x:c>
      <x:c r="P5" s="46" t="str"/>
      <x:c r="Q5" s="46" t="str"/>
    </x:row>
    <x:row r="6">
      <x:c r="A6" s="49" t="str">
        <x:v>RUN-I2-064-20260830T141638065354Z</x:v>
      </x:c>
      <x:c r="B6" s="49" t="str">
        <x:v>I2-064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4a7a08f83f04e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RUN-I2-064-20260830T141638065354Z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RUN-I2-064-20260830T141638065354Z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RUN-I2-064-20260830T141638065354Z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RUN-I2-064-20260830T141638065354Z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RUN-I2-064-20260830T141638065354Z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RUN-I2-064-20260830T141638065354Z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78dc1ee4fa7236831bf1f15cb92269d8ca3e035a1a5bb968d725825810a93c1f</x:v>
      </x:c>
      <x:c r="G8" s="59" t="n">
        <x:v>5119</x:v>
      </x:c>
    </x:row>
    <x:row r="9">
      <x:c r="A9" s="47" t="str">
        <x:v>RUN-I2-064-20260830T141638065354Z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24d6fd02de180b403519f0d09edaf10a27f1568665bc3fe5f47ab8e77e0fe9d3</x:v>
      </x:c>
      <x:c r="G9" s="59" t="n">
        <x:v>5094</x:v>
      </x:c>
    </x:row>
    <x:row r="10">
      <x:c r="A10" s="47" t="str">
        <x:v>RUN-I2-064-20260830T141638065354Z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a56fd5f04f4ccadc6096b9e5b99db0f0671f30459d5e2d975039fa17ba28d19a</x:v>
      </x:c>
      <x:c r="G10" s="59" t="n">
        <x:v>2420</x:v>
      </x:c>
    </x:row>
    <x:row r="11">
      <x:c r="A11" s="47" t="str">
        <x:v>RUN-I2-064-20260830T141638065354Z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175dcd70700c0607b6430b5ac5b40c48adb887d2002292de7c5b3a8d2353bd73</x:v>
      </x:c>
      <x:c r="G11" s="59" t="n">
        <x:v>55715</x:v>
      </x:c>
    </x:row>
    <x:row r="12">
      <x:c r="A12" s="47" t="str">
        <x:v>RUN-I2-064-20260830T141638065354Z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9530239397e0044cfeccc59d0e31e74a5420612cb7589b16faff14dbb841a7bf</x:v>
      </x:c>
      <x:c r="G12" s="59" t="n">
        <x:v>706</x:v>
      </x:c>
    </x:row>
    <x:row r="13">
      <x:c r="A13" s="47" t="str">
        <x:v>RUN-I2-064-20260830T141638065354Z</x:v>
      </x:c>
      <x:c r="B13" s="47" t="str">
        <x:v>I2-064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0dbd4d963326e73444bbc039f98fd2abab0d1364f3b6d0dc329797b281761c67</x:v>
      </x:c>
      <x:c r="G13" s="59" t="n">
        <x:v>52173</x:v>
      </x:c>
    </x:row>
    <x:row r="14">
      <x:c r="A14" s="47" t="str">
        <x:v>RUN-I2-064-20260830T141638065354Z</x:v>
      </x:c>
      <x:c r="B14" s="47" t="str">
        <x:v>I2-064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4b0e9bc24a1f57802a3bdde4065d1ec191865926d2fe00571d31b3a29679d6b0</x:v>
      </x:c>
      <x:c r="G14" s="59" t="n">
        <x:v>6223</x:v>
      </x:c>
    </x:row>
    <x:row r="15">
      <x:c r="A15" s="47" t="str">
        <x:v>RUN-I2-064-20260830T141638065354Z</x:v>
      </x:c>
      <x:c r="B15" s="47" t="str">
        <x:v>I2-064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b7931c0ad54a2daa7a0f726ae02a4ffe4adae15bdb01e7648aa111a190ce5ff3</x:v>
      </x:c>
      <x:c r="G15" s="59" t="n">
        <x:v>6198</x:v>
      </x:c>
    </x:row>
    <x:row r="16">
      <x:c r="A16" s="47" t="str">
        <x:v>RUN-I2-064-20260830T141638065354Z</x:v>
      </x:c>
      <x:c r="B16" s="47" t="str">
        <x:v>I2-064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3532e2beb9308dc6c5c9ff55bbb7f7b23b7846d3ab13d78dbb62df5a270f1362</x:v>
      </x:c>
      <x:c r="G16" s="59" t="n">
        <x:v>1217</x:v>
      </x:c>
    </x:row>
    <x:row r="17">
      <x:c r="A17" s="47" t="str">
        <x:v>RUN-I2-064-20260830T141638065354Z</x:v>
      </x:c>
      <x:c r="B17" s="47" t="str">
        <x:v>I2-064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ae995c72af8ef3f2d4997c2d653f04a4be0d04fc4c4239818fec4a0de584be9d</x:v>
      </x:c>
      <x:c r="G17" s="59" t="n">
        <x:v>53205</x:v>
      </x:c>
    </x:row>
    <x:row r="18">
      <x:c r="A18" s="47" t="str">
        <x:v>RUN-I2-064-20260830T141638065354Z</x:v>
      </x:c>
      <x:c r="B18" s="47" t="str">
        <x:v>I2-064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95aa5a6c8bf84bbae1cba0faa8fa1ba3659acab1fc008670c7c0414d6c4e0113</x:v>
      </x:c>
      <x:c r="G18" s="59" t="n">
        <x:v>465</x:v>
      </x:c>
    </x:row>
    <x:row r="19">
      <x:c r="A19" s="49" t="str">
        <x:v>RUN-I2-064-20260830T141638065354Z</x:v>
      </x:c>
      <x:c r="B19" s="49" t="str">
        <x:v>I2-064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b7931c0ad54a2daa7a0f726ae02a4ffe4adae15bdb01e7648aa111a190ce5ff3</x:v>
      </x:c>
      <x:c r="G19" s="60" t="n">
        <x:v>6198</x:v>
      </x:c>
    </x:row>
  </x:sheetData>
  <x:pageMargins left="0.7" right="0.7" top="0.75" bottom="0.75" header="0.3" footer="0.3"/>
  <x:tableParts count="1">
    <x:tablePart xmlns:r="http://schemas.openxmlformats.org/officeDocument/2006/relationships" r:id="Rdb4a38724d2e49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RUN-I2-064-20260830T141638065354Z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RUN-I2-064-20260830T141638065354Z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RUN-I2-064-20260830T141638065354Z</x:v>
      </x:c>
      <x:c r="B5" s="69" t="str">
        <x:v>I2-064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1bb4a39804b95"/>
  </x:tableParts>
</x:worksheet>
</file>