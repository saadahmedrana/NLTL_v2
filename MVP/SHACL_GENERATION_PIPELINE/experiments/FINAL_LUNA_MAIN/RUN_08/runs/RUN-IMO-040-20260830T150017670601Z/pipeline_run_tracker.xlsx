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8b249b63ba44b8" /></Relationships>
</file>

<file path=xl/workbook.xml><?xml version="1.0" encoding="utf-8"?>
<x:workbook xmlns:x="http://schemas.openxmlformats.org/spreadsheetml/2006/main">
  <x:sheets>
    <x:sheet xmlns:r="http://schemas.openxmlformats.org/officeDocument/2006/relationships" name="SUMMARY" sheetId="1" r:id="R1b5d5fde900044e5"/>
    <x:sheet xmlns:r="http://schemas.openxmlformats.org/officeDocument/2006/relationships" name="README" sheetId="2" r:id="Rcc04b32ca05f4cc1"/>
    <x:sheet xmlns:r="http://schemas.openxmlformats.org/officeDocument/2006/relationships" name="REGULATION_QUEUE" sheetId="3" r:id="R1d72531375f145da"/>
    <x:sheet xmlns:r="http://schemas.openxmlformats.org/officeDocument/2006/relationships" name="RUNS" sheetId="4" r:id="R2903031f3c844f40"/>
    <x:sheet xmlns:r="http://schemas.openxmlformats.org/officeDocument/2006/relationships" name="ITERATIONS" sheetId="5" r:id="Ra8d3212b00b34531"/>
    <x:sheet xmlns:r="http://schemas.openxmlformats.org/officeDocument/2006/relationships" name="API_CALLS" sheetId="6" r:id="R5903ffc996b54c0f"/>
    <x:sheet xmlns:r="http://schemas.openxmlformats.org/officeDocument/2006/relationships" name="TERM_RETRIEVAL" sheetId="7" r:id="R90f9aa592f804a18"/>
    <x:sheet xmlns:r="http://schemas.openxmlformats.org/officeDocument/2006/relationships" name="FEW_SHOT_SELECTION" sheetId="8" r:id="R1b88fc52cc4a4fe1"/>
    <x:sheet xmlns:r="http://schemas.openxmlformats.org/officeDocument/2006/relationships" name="VALIDATION" sheetId="9" r:id="R563bc3167e6e41b4"/>
    <x:sheet xmlns:r="http://schemas.openxmlformats.org/officeDocument/2006/relationships" name="VOCAB_MATCHES" sheetId="10" r:id="R2bf85b5fe65c4a8e"/>
    <x:sheet xmlns:r="http://schemas.openxmlformats.org/officeDocument/2006/relationships" name="ARTIFACTS" sheetId="11" r:id="R0e9c76423db34aaf"/>
    <x:sheet xmlns:r="http://schemas.openxmlformats.org/officeDocument/2006/relationships" name="UNRESOLVED" sheetId="12" r:id="Rae7c3e1c1a9e40a9"/>
    <x:sheet xmlns:r="http://schemas.openxmlformats.org/officeDocument/2006/relationships" name="RDF_TEST_QUEUE" sheetId="13" r:id="R316085cd098048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092fff69f6430d" /><Relationship Type="http://schemas.openxmlformats.org/officeDocument/2006/relationships/theme" Target="/xl/theme/theme1.xml" Id="Rf91eba6beae845e5" /><Relationship Type="http://schemas.microsoft.com/office/2022/11/relationships/FeaturePropertyBag" Target="/xl/featurePropertyBag/featurePropertyBag.xml" Id="Raa0463de51ac494a" /><Relationship Type="http://schemas.openxmlformats.org/officeDocument/2006/relationships/sharedStrings" Target="/xl/sharedStrings.xml" Id="R56c92ee244a846cc" /><Relationship Type="http://schemas.openxmlformats.org/officeDocument/2006/relationships/worksheet" Target="/xl/worksheets/sheet1.xml" Id="R1b5d5fde900044e5" /><Relationship Type="http://schemas.openxmlformats.org/officeDocument/2006/relationships/worksheet" Target="/xl/worksheets/sheet2.xml" Id="Rcc04b32ca05f4cc1" /><Relationship Type="http://schemas.openxmlformats.org/officeDocument/2006/relationships/worksheet" Target="/xl/worksheets/sheet3.xml" Id="R1d72531375f145da" /><Relationship Type="http://schemas.openxmlformats.org/officeDocument/2006/relationships/worksheet" Target="/xl/worksheets/sheet4.xml" Id="R2903031f3c844f40" /><Relationship Type="http://schemas.openxmlformats.org/officeDocument/2006/relationships/worksheet" Target="/xl/worksheets/sheet5.xml" Id="Ra8d3212b00b34531" /><Relationship Type="http://schemas.openxmlformats.org/officeDocument/2006/relationships/worksheet" Target="/xl/worksheets/sheet6.xml" Id="R5903ffc996b54c0f" /><Relationship Type="http://schemas.openxmlformats.org/officeDocument/2006/relationships/worksheet" Target="/xl/worksheets/sheet7.xml" Id="R90f9aa592f804a18" /><Relationship Type="http://schemas.openxmlformats.org/officeDocument/2006/relationships/worksheet" Target="/xl/worksheets/sheet8.xml" Id="R1b88fc52cc4a4fe1" /><Relationship Type="http://schemas.openxmlformats.org/officeDocument/2006/relationships/worksheet" Target="/xl/worksheets/sheet9.xml" Id="R563bc3167e6e41b4" /><Relationship Type="http://schemas.openxmlformats.org/officeDocument/2006/relationships/worksheet" Target="/xl/worksheets/sheet10.xml" Id="R2bf85b5fe65c4a8e" /><Relationship Type="http://schemas.openxmlformats.org/officeDocument/2006/relationships/worksheet" Target="/xl/worksheets/sheet11.xml" Id="R0e9c76423db34aaf" /><Relationship Type="http://schemas.openxmlformats.org/officeDocument/2006/relationships/worksheet" Target="/xl/worksheets/sheet12.xml" Id="Rae7c3e1c1a9e40a9" /><Relationship Type="http://schemas.openxmlformats.org/officeDocument/2006/relationships/worksheet" Target="/xl/worksheets/sheet13.xml" Id="R316085cd098048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71eda24cbf24310" /></Relationships>
</file>

<file path=xl/worksheets/_rels/sheet3.xml.rels>&#65279;<?xml version="1.0" encoding="utf-8"?><Relationships xmlns="http://schemas.openxmlformats.org/package/2006/relationships"><Relationship Type="http://schemas.openxmlformats.org/officeDocument/2006/relationships/table" Target="/xl/tables/table2.xml" Id="Rd11da5cfddbb4625" /></Relationships>
</file>

<file path=xl/worksheets/_rels/sheet4.xml.rels>&#65279;<?xml version="1.0" encoding="utf-8"?><Relationships xmlns="http://schemas.openxmlformats.org/package/2006/relationships"><Relationship Type="http://schemas.openxmlformats.org/officeDocument/2006/relationships/table" Target="/xl/tables/table3.xml" Id="R07fca762570a470f" /></Relationships>
</file>

<file path=xl/worksheets/_rels/sheet5.xml.rels>&#65279;<?xml version="1.0" encoding="utf-8"?><Relationships xmlns="http://schemas.openxmlformats.org/package/2006/relationships"><Relationship Type="http://schemas.openxmlformats.org/officeDocument/2006/relationships/table" Target="/xl/tables/table4.xml" Id="Rea4af51ccd9f45f4" /></Relationships>
</file>

<file path=xl/worksheets/_rels/sheet6.xml.rels>&#65279;<?xml version="1.0" encoding="utf-8"?><Relationships xmlns="http://schemas.openxmlformats.org/package/2006/relationships"><Relationship Type="http://schemas.openxmlformats.org/officeDocument/2006/relationships/table" Target="/xl/tables/table5.xml" Id="Rb3fd5c8150bb4193" /></Relationships>
</file>

<file path=xl/worksheets/_rels/sheet7.xml.rels>&#65279;<?xml version="1.0" encoding="utf-8"?><Relationships xmlns="http://schemas.openxmlformats.org/package/2006/relationships"><Relationship Type="http://schemas.openxmlformats.org/officeDocument/2006/relationships/table" Target="/xl/tables/table6.xml" Id="R35961f3499274fec" /></Relationships>
</file>

<file path=xl/worksheets/_rels/sheet8.xml.rels>&#65279;<?xml version="1.0" encoding="utf-8"?><Relationships xmlns="http://schemas.openxmlformats.org/package/2006/relationships"><Relationship Type="http://schemas.openxmlformats.org/officeDocument/2006/relationships/table" Target="/xl/tables/table7.xml" Id="R893f981487554f33" /></Relationships>
</file>

<file path=xl/worksheets/_rels/sheet9.xml.rels>&#65279;<?xml version="1.0" encoding="utf-8"?><Relationships xmlns="http://schemas.openxmlformats.org/package/2006/relationships"><Relationship Type="http://schemas.openxmlformats.org/officeDocument/2006/relationships/table" Target="/xl/tables/table8.xml" Id="R6a4053452ae44684" /></Relationships>
</file>

<file path=xl/worksheets/_rels/sheet11.xml.rels>&#65279;<?xml version="1.0" encoding="utf-8"?><Relationships xmlns="http://schemas.openxmlformats.org/package/2006/relationships"><Relationship Type="http://schemas.openxmlformats.org/officeDocument/2006/relationships/table" Target="/xl/tables/table9.xml" Id="R6f3c6f989ebd483e" /></Relationships>
</file>

<file path=xl/worksheets/_rels/sheet13.xml.rels>&#65279;<?xml version="1.0" encoding="utf-8"?><Relationships xmlns="http://schemas.openxmlformats.org/package/2006/relationships"><Relationship Type="http://schemas.openxmlformats.org/officeDocument/2006/relationships/table" Target="/xl/tables/table10.xml" Id="Rbcc760ee5b8c479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RUN-IMO-040-20260830T150017670601Z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COUNTA('API_CALLS'!$A$5:$A$10)</x:f>
        <x:v>6</x:v>
      </x:c>
      <x:c r="C9" s="21"/>
      <x:c r="D9" s="21"/>
    </x:row>
    <x:row r="10">
      <x:c r="A10" s="27" t="str">
        <x:v>Mean API/LLM elapsed ms</x:v>
      </x:c>
      <x:c r="B10" s="28" t="n">
        <x:f>IFERROR(AVERAGE('API_CALLS'!$K$5:$K$10),0)</x:f>
        <x:v>18314.008166666667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RUN-IMO-040-20260830T150017670601Z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71eda24cbf2431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RUN-IMO-040-20260830T150017670601Z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GENERATION_ACCEPTED</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11da5cfddbb46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RUN-IMO-040-20260830T150017670601Z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RUN-IMO-040-20260830T150017670601Z</x:v>
      </x:c>
      <x:c r="C5" s="69" t="str">
        <x:v>IMO-040</x:v>
      </x:c>
      <x:c r="D5" s="70" t="n">
        <x:v>46264.625204525466</x:v>
      </x:c>
      <x:c r="E5" s="70" t="n">
        <x:v>46264.6258415162</x:v>
      </x:c>
      <x:c r="F5" s="69" t="str">
        <x:v>final-luna-main-run08</x:v>
      </x:c>
      <x:c r="G5" s="69" t="str">
        <x:v>VOCAB-LOCK-2026-08-22-R13</x:v>
      </x:c>
      <x:c r="H5" s="71" t="n">
        <x:v>1</x:v>
      </x:c>
      <x:c r="I5" s="69" t="str">
        <x:v>GENERATION_ACCEPTED</x:v>
      </x:c>
      <x:c r="J5" s="72" t="b">
        <x:v>1</x:v>
      </x:c>
      <x:c r="K5" s="69" t="str">
        <x:v>final/final_shape.ttl</x:v>
      </x:c>
      <x:c r="L5" s="73" t="str">
        <x:v>Candidate is semantically faithful: it targets ships, applies the condition when iceAccretionLikely is true, iterates over each relevant hatch or door, and requires an associated typed ice or snow removal or prevention means. Owners, canonical namespace, datatypes, paths, and DIRECT_STATIC verification are consistent,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7fca762570a470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RUN-IMO-040-20260830T150017670601Z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RUN-IMO-040-20260830T150017670601Z</x:v>
      </x:c>
      <x:c r="B5" s="69" t="str">
        <x:v>IMO-040</x:v>
      </x:c>
      <x:c r="C5" s="71" t="n">
        <x:v>1</x:v>
      </x:c>
      <x:c r="D5" s="72" t="b">
        <x:v>1</x:v>
      </x:c>
      <x:c r="E5" s="72" t="b">
        <x:v>1</x:v>
      </x:c>
      <x:c r="F5" s="72" t="b">
        <x:v>0</x:v>
      </x:c>
      <x:c r="G5" s="69" t="str">
        <x:v>ACCEPT</x:v>
      </x:c>
      <x:c r="H5" s="73" t="str">
        <x:v>Candidate is semantically faithful: it targets ships, applies the condition when iceAccretionLikely is true, iterates over each relevant hatch or door, and requires an associated typed ice or snow removal or prevention means. Owners, canonical namespace, datatypes, paths, and DIRECT_STATIC verification are consistent, and deterministic validation is valid.</x:v>
      </x:c>
      <x:c r="I5" s="75" t="n">
        <x:v>35366.68</x:v>
      </x:c>
      <x:c r="J5" s="75" t="n">
        <x:v>13844.337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a4af51ccd9f45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RUN-IMO-040-20260830T150017670601Z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RUN-IMO-040-20260830T150017670601Z</x:v>
      </x:c>
      <x:c r="C5" s="45" t="str">
        <x:v>IMO-040</x:v>
      </x:c>
      <x:c r="D5" s="88" t="n">
        <x:v>46264.62561386574</x:v>
      </x:c>
      <x:c r="E5" s="45" t="str">
        <x:v>generator</x:v>
      </x:c>
      <x:c r="F5" s="45" t="str">
        <x:v>gpt-5.6-luna-2026-07-09</x:v>
      </x:c>
      <x:c r="G5" s="45" t="n">
        <x:v>1</x:v>
      </x:c>
      <x:c r="H5" s="45" t="n">
        <x:v>200</x:v>
      </x:c>
      <x:c r="I5" s="45" t="str">
        <x:v>Ocp-Apim-Subscription-Key</x:v>
      </x:c>
      <x:c r="J5" s="89" t="n">
        <x:v>0</x:v>
      </x:c>
      <x:c r="K5" s="89" t="n">
        <x:v>35365.373</x:v>
      </x:c>
      <x:c r="L5" s="90" t="b">
        <x:v>0</x:v>
      </x:c>
      <x:c r="M5" s="45" t="str"/>
      <x:c r="N5" s="58" t="str"/>
      <x:c r="O5" s="58" t="str"/>
      <x:c r="P5" s="58" t="str"/>
    </x:row>
    <x:row r="6">
      <x:c r="A6" s="47" t="str">
        <x:v>EVT-000019</x:v>
      </x:c>
      <x:c r="B6" s="47" t="str">
        <x:v>RUN-IMO-040-20260830T150017670601Z</x:v>
      </x:c>
      <x:c r="C6" s="47" t="str">
        <x:v>IMO-040</x:v>
      </x:c>
      <x:c r="D6" s="91" t="n">
        <x:v>46264.625613888886</x:v>
      </x:c>
      <x:c r="E6" s="47" t="str">
        <x:v>generator</x:v>
      </x:c>
      <x:c r="F6" s="47" t="str">
        <x:v>gpt-5.6-luna-2026-07-09</x:v>
      </x:c>
      <x:c r="G6" s="47" t="n">
        <x:v>1</x:v>
      </x:c>
      <x:c r="H6" s="47" t="str">
        <x:v>COMPLETED</x:v>
      </x:c>
      <x:c r="I6" s="47" t="str"/>
      <x:c r="J6" s="92" t="n">
        <x:v>0</x:v>
      </x:c>
      <x:c r="K6" s="92" t="n">
        <x:v>35366.68</x:v>
      </x:c>
      <x:c r="L6" s="93" t="b">
        <x:v>0</x:v>
      </x:c>
      <x:c r="M6" s="47" t="str">
        <x:v>resp_0e46081d44b335c4006a944581dcd88195a93cf6b7465e88b8</x:v>
      </x:c>
      <x:c r="N6" s="59" t="n">
        <x:v>7115</x:v>
      </x:c>
      <x:c r="O6" s="59" t="n">
        <x:v>1899</x:v>
      </x:c>
      <x:c r="P6" s="59" t="n">
        <x:v>9014</x:v>
      </x:c>
    </x:row>
    <x:row r="7">
      <x:c r="A7" s="47" t="str">
        <x:v>EVT-000024</x:v>
      </x:c>
      <x:c r="B7" s="47" t="str">
        <x:v>RUN-IMO-040-20260830T150017670601Z</x:v>
      </x:c>
      <x:c r="C7" s="47" t="str">
        <x:v>IMO-040</x:v>
      </x:c>
      <x:c r="D7" s="91" t="n">
        <x:v>46264.62568024306</x:v>
      </x:c>
      <x:c r="E7" s="47" t="str">
        <x:v>syntax_repair</x:v>
      </x:c>
      <x:c r="F7" s="47" t="str">
        <x:v>gpt-5.6-luna-2026-07-09</x:v>
      </x:c>
      <x:c r="G7" s="47" t="n">
        <x:v>1</x:v>
      </x:c>
      <x:c r="H7" s="47" t="n">
        <x:v>200</x:v>
      </x:c>
      <x:c r="I7" s="47" t="str">
        <x:v>Ocp-Apim-Subscription-Key</x:v>
      </x:c>
      <x:c r="J7" s="92" t="n">
        <x:v>0</x:v>
      </x:c>
      <x:c r="K7" s="92" t="n">
        <x:v>5731.621</x:v>
      </x:c>
      <x:c r="L7" s="93" t="b">
        <x:v>0</x:v>
      </x:c>
      <x:c r="M7" s="47" t="str"/>
      <x:c r="N7" s="59" t="str"/>
      <x:c r="O7" s="59" t="str"/>
      <x:c r="P7" s="59" t="str"/>
    </x:row>
    <x:row r="8">
      <x:c r="A8" s="47" t="str">
        <x:v>EVT-000025</x:v>
      </x:c>
      <x:c r="B8" s="47" t="str">
        <x:v>RUN-IMO-040-20260830T150017670601Z</x:v>
      </x:c>
      <x:c r="C8" s="47" t="str">
        <x:v>IMO-040</x:v>
      </x:c>
      <x:c r="D8" s="91" t="n">
        <x:v>46264.6256802662</x:v>
      </x:c>
      <x:c r="E8" s="47" t="str">
        <x:v>syntax_repair</x:v>
      </x:c>
      <x:c r="F8" s="47" t="str">
        <x:v>gpt-5.6-luna-2026-07-09</x:v>
      </x:c>
      <x:c r="G8" s="47" t="n">
        <x:v>1</x:v>
      </x:c>
      <x:c r="H8" s="47" t="str">
        <x:v>COMPLETED</x:v>
      </x:c>
      <x:c r="I8" s="47" t="str"/>
      <x:c r="J8" s="92" t="n">
        <x:v>0</x:v>
      </x:c>
      <x:c r="K8" s="92" t="n">
        <x:v>5733.182</x:v>
      </x:c>
      <x:c r="L8" s="93" t="b">
        <x:v>0</x:v>
      </x:c>
      <x:c r="M8" s="47" t="str">
        <x:v>resp_0f663b42389b5ae6006a9445a525488194802cc37e9b275f1e</x:v>
      </x:c>
      <x:c r="N8" s="59" t="n">
        <x:v>768</x:v>
      </x:c>
      <x:c r="O8" s="59" t="n">
        <x:v>554</x:v>
      </x:c>
      <x:c r="P8" s="59" t="n">
        <x:v>1322</x:v>
      </x:c>
    </x:row>
    <x:row r="9">
      <x:c r="A9" s="47" t="str">
        <x:v>EVT-000033</x:v>
      </x:c>
      <x:c r="B9" s="47" t="str">
        <x:v>RUN-IMO-040-20260830T150017670601Z</x:v>
      </x:c>
      <x:c r="C9" s="47" t="str">
        <x:v>IMO-040</x:v>
      </x:c>
      <x:c r="D9" s="91" t="n">
        <x:v>46264.62584144676</x:v>
      </x:c>
      <x:c r="E9" s="47" t="str">
        <x:v>validator</x:v>
      </x:c>
      <x:c r="F9" s="47" t="str">
        <x:v>gpt-5.6-luna-2026-07-09</x:v>
      </x:c>
      <x:c r="G9" s="47" t="n">
        <x:v>1</x:v>
      </x:c>
      <x:c r="H9" s="47" t="n">
        <x:v>200</x:v>
      </x:c>
      <x:c r="I9" s="47" t="str">
        <x:v>Ocp-Apim-Subscription-Key</x:v>
      </x:c>
      <x:c r="J9" s="92" t="n">
        <x:v>0</x:v>
      </x:c>
      <x:c r="K9" s="92" t="n">
        <x:v>13842.856</x:v>
      </x:c>
      <x:c r="L9" s="93" t="b">
        <x:v>0</x:v>
      </x:c>
      <x:c r="M9" s="47" t="str"/>
      <x:c r="N9" s="59" t="str"/>
      <x:c r="O9" s="59" t="str"/>
      <x:c r="P9" s="59" t="str"/>
    </x:row>
    <x:row r="10">
      <x:c r="A10" s="49" t="str">
        <x:v>EVT-000034</x:v>
      </x:c>
      <x:c r="B10" s="49" t="str">
        <x:v>RUN-IMO-040-20260830T150017670601Z</x:v>
      </x:c>
      <x:c r="C10" s="49" t="str">
        <x:v>IMO-040</x:v>
      </x:c>
      <x:c r="D10" s="94" t="n">
        <x:v>46264.625841469904</x:v>
      </x:c>
      <x:c r="E10" s="49" t="str">
        <x:v>validator</x:v>
      </x:c>
      <x:c r="F10" s="49" t="str">
        <x:v>gpt-5.6-luna-2026-07-09</x:v>
      </x:c>
      <x:c r="G10" s="49" t="n">
        <x:v>1</x:v>
      </x:c>
      <x:c r="H10" s="49" t="str">
        <x:v>COMPLETED</x:v>
      </x:c>
      <x:c r="I10" s="49" t="str"/>
      <x:c r="J10" s="95" t="n">
        <x:v>0</x:v>
      </x:c>
      <x:c r="K10" s="95" t="n">
        <x:v>13844.337</x:v>
      </x:c>
      <x:c r="L10" s="96" t="b">
        <x:v>0</x:v>
      </x:c>
      <x:c r="M10" s="49" t="str">
        <x:v>resp_01245d4c1d4d2d47006a9445aafc588194a6fe7b7adfc56a5d</x:v>
      </x:c>
      <x:c r="N10" s="60" t="n">
        <x:v>6472</x:v>
      </x:c>
      <x:c r="O10" s="60" t="n">
        <x:v>921</x:v>
      </x:c>
      <x:c r="P10" s="60" t="n">
        <x:v>7393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3fd5c8150bb419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RUN-IMO-040-20260830T150017670601Z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RUN-IMO-040-20260830T150017670601Z</x:v>
      </x:c>
      <x:c r="B5" s="45" t="str">
        <x:v>IMO-040</x:v>
      </x:c>
      <x:c r="C5" s="45" t="str">
        <x:v>benchmarkEntity</x:v>
      </x:c>
      <x:c r="D5" s="46" t="str">
        <x:v>https://w3id.org/nltl/vocab#benchmarkEntity</x:v>
      </x:c>
      <x:c r="E5" s="45" t="str">
        <x:v>Class</x:v>
      </x:c>
      <x:c r="F5" s="45" t="str"/>
      <x:c r="G5" s="45" t="str"/>
      <x:c r="H5" s="45" t="str"/>
      <x:c r="I5" s="46" t="str">
        <x:v>baseline target infrastructure; domain dependency of iceAccretionLikely; domain dependency of iceOrSnowRemovalOrPreventionMeans; domain dependency of relevantHatchOrDoor</x:v>
      </x:c>
      <x:c r="J5" s="45" t="n">
        <x:v>0</x:v>
      </x:c>
    </x:row>
    <x:row r="6">
      <x:c r="A6" s="47" t="str">
        <x:v>RUN-IMO-040-20260830T150017670601Z</x:v>
      </x:c>
      <x:c r="B6" s="47" t="str">
        <x:v>IMO-040</x:v>
      </x:c>
      <x:c r="C6" s="47" t="str">
        <x:v>equipmentItem</x:v>
      </x:c>
      <x:c r="D6" s="48" t="str">
        <x:v>https://w3id.org/nltl/vocab#equipmentItem</x:v>
      </x:c>
      <x:c r="E6" s="47" t="str">
        <x:v>Class</x:v>
      </x:c>
      <x:c r="F6" s="47" t="str"/>
      <x:c r="G6" s="47" t="str">
        <x:v>https://w3id.org/nltl/vocab#shipComponent</x:v>
      </x:c>
      <x:c r="H6" s="47" t="str"/>
      <x:c r="I6" s="48" t="str">
        <x:v>domain dependency of hasIceOrSnowRemovalOrPreventionMeans; range dependency of relevantHatchOrDoorItem</x:v>
      </x:c>
      <x:c r="J6" s="47" t="n">
        <x:v>0</x:v>
      </x:c>
    </x:row>
    <x:row r="7">
      <x:c r="A7" s="47" t="str">
        <x:v>RUN-IMO-040-20260830T150017670601Z</x:v>
      </x:c>
      <x:c r="B7" s="47" t="str">
        <x:v>IMO-040</x:v>
      </x:c>
      <x:c r="C7" s="47" t="str">
        <x:v>hasIceOrSnowRemovalOrPreventionMeans</x:v>
      </x:c>
      <x:c r="D7" s="48" t="str">
        <x:v>https://w3id.org/nltl/vocab#hasIceOrSnowRemovalOrPreventionMeans</x:v>
      </x:c>
      <x:c r="E7" s="47" t="str">
        <x:v>ObjectProperty</x:v>
      </x:c>
      <x:c r="F7" s="47" t="str"/>
      <x:c r="G7" s="47" t="str">
        <x:v>https://w3id.org/nltl/vocab#iceSnowRemovalOrPreventionMeans</x:v>
      </x:c>
      <x:c r="H7" s="47" t="str"/>
      <x:c r="I7" s="48" t="str">
        <x:v>linked by the locked 313-requirement index</x:v>
      </x:c>
      <x:c r="J7" s="47" t="n">
        <x:v>0</x:v>
      </x:c>
    </x:row>
    <x:row r="8">
      <x:c r="A8" s="47" t="str">
        <x:v>RUN-IMO-040-20260830T150017670601Z</x:v>
      </x:c>
      <x:c r="B8" s="47" t="str">
        <x:v>IMO-040</x:v>
      </x:c>
      <x:c r="C8" s="47" t="str">
        <x:v>hasRelevantHatchOrDoor</x:v>
      </x:c>
      <x:c r="D8" s="48" t="str">
        <x:v>https://w3id.org/nltl/vocab#hasRelevantHatchOrDoor</x:v>
      </x:c>
      <x:c r="E8" s="47" t="str">
        <x:v>ObjectProperty</x:v>
      </x:c>
      <x:c r="F8" s="47" t="str"/>
      <x:c r="G8" s="47" t="str">
        <x:v>https://w3id.org/nltl/vocab#relevantHatchOrDoorItem</x:v>
      </x:c>
      <x:c r="H8" s="47" t="str"/>
      <x:c r="I8" s="48" t="str">
        <x:v>canonical path from target owner ship to required owner relevantHatchOrDoorItem; linked by the locked 313-requirement index</x:v>
      </x:c>
      <x:c r="J8" s="47" t="n">
        <x:v>0</x:v>
      </x:c>
    </x:row>
    <x:row r="9">
      <x:c r="A9" s="47" t="str">
        <x:v>RUN-IMO-040-20260830T150017670601Z</x:v>
      </x:c>
      <x:c r="B9" s="47" t="str">
        <x:v>IMO-040</x:v>
      </x:c>
      <x:c r="C9" s="47" t="str">
        <x:v>iceAccretionLikely</x:v>
      </x:c>
      <x:c r="D9" s="48" t="str">
        <x:v>https://w3id.org/nltl/vocab#iceAccretionLikely</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RUN-IMO-040-20260830T150017670601Z</x:v>
      </x:c>
      <x:c r="B10" s="47" t="str">
        <x:v>IMO-040</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RUN-IMO-040-20260830T150017670601Z</x:v>
      </x:c>
      <x:c r="B11" s="47" t="str">
        <x:v>IMO-040</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RUN-IMO-040-20260830T150017670601Z</x:v>
      </x:c>
      <x:c r="B12" s="47" t="str">
        <x:v>IMO-040</x:v>
      </x:c>
      <x:c r="C12" s="47" t="str">
        <x:v>relevantHatchOrDoor</x:v>
      </x:c>
      <x:c r="D12" s="48" t="str">
        <x:v>https://w3id.org/nltl/vocab#relevantHatchOrDoor</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RUN-IMO-040-20260830T150017670601Z</x:v>
      </x:c>
      <x:c r="B13" s="47" t="str">
        <x:v>IMO-040</x:v>
      </x:c>
      <x:c r="C13" s="47" t="str">
        <x:v>relevantHatchOrDoorItem</x:v>
      </x:c>
      <x:c r="D13" s="48" t="str">
        <x:v>https://w3id.org/nltl/vocab#relevantHatchOrDoorItem</x:v>
      </x:c>
      <x:c r="E13" s="47" t="str">
        <x:v>Class</x:v>
      </x:c>
      <x:c r="F13" s="47" t="str"/>
      <x:c r="G13" s="47" t="str">
        <x:v>https://w3id.org/nltl/vocab#equipmentItem</x:v>
      </x:c>
      <x:c r="H13" s="47" t="str"/>
      <x:c r="I13" s="48" t="str">
        <x:v>authoritative required owner class; linked by the locked 313-requirement index; range dependency of hasRelevantHatchOrDoor</x:v>
      </x:c>
      <x:c r="J13" s="47" t="n">
        <x:v>0</x:v>
      </x:c>
    </x:row>
    <x:row r="14">
      <x:c r="A14" s="49" t="str">
        <x:v>RUN-IMO-040-20260830T150017670601Z</x:v>
      </x:c>
      <x:c r="B14" s="49" t="str">
        <x:v>IMO-040</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hasRelevantHatchOrDoor</x:v>
      </x:c>
      <x:c r="J14" s="49" t="n">
        <x:v>0</x:v>
      </x:c>
    </x:row>
  </x:sheetData>
  <x:pageMargins left="0.7" right="0.7" top="0.75" bottom="0.75" header="0.3" footer="0.3"/>
  <x:tableParts count="1">
    <x:tablePart xmlns:r="http://schemas.openxmlformats.org/officeDocument/2006/relationships" r:id="R35961f3499274fe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RUN-IMO-040-20260830T150017670601Z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RUN-IMO-040-20260830T150017670601Z</x:v>
      </x:c>
      <x:c r="B5" s="45" t="str">
        <x:v>IMO-040</x:v>
      </x:c>
      <x:c r="C5" s="45" t="str">
        <x:v>FS-BOOL-01</x:v>
      </x:c>
      <x:c r="D5" s="45" t="str">
        <x:v>boolean_state</x:v>
      </x:c>
      <x:c r="E5" s="99" t="n">
        <x:v>0.058824</x:v>
      </x:c>
      <x:c r="F5" s="45" t="str">
        <x:v>boolean | required | value</x:v>
      </x:c>
      <x:c r="G5" s="45" t="str">
        <x:v>synthetic-few-shot-not-benchmark-ground-truth</x:v>
      </x:c>
    </x:row>
    <x:row r="6">
      <x:c r="A6" s="49" t="str">
        <x:v>RUN-IMO-040-20260830T150017670601Z</x:v>
      </x:c>
      <x:c r="B6" s="49" t="str">
        <x:v>IMO-040</x:v>
      </x:c>
      <x:c r="C6" s="49" t="str">
        <x:v>FS-BOOL-02</x:v>
      </x:c>
      <x:c r="D6" s="49" t="str">
        <x:v>boolean_state</x:v>
      </x:c>
      <x:c r="E6" s="100"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93f981487554f3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RUN-IMO-040-20260830T150017670601Z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RUN-IMO-040-20260830T150017670601Z</x:v>
      </x:c>
      <x:c r="B5" s="69" t="str">
        <x:v>IMO-040</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5" s="73" t="str"/>
      <x:c r="P5" s="73" t="str"/>
      <x:c r="Q5" s="73" t="str"/>
    </x:row>
  </x:sheetData>
  <x:pageMargins left="0.7" right="0.7" top="0.75" bottom="0.75" header="0.3" footer="0.3"/>
  <x:tableParts count="1">
    <x:tablePart xmlns:r="http://schemas.openxmlformats.org/officeDocument/2006/relationships" r:id="R6a4053452ae4468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RUN-IMO-040-20260830T150017670601Z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RUN-IMO-040-20260830T150017670601Z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RUN-IMO-040-20260830T150017670601Z</x:v>
      </x:c>
      <x:c r="B5" s="45" t="str">
        <x:v>IMO-040</x:v>
      </x:c>
      <x:c r="C5" s="58"/>
      <x:c r="D5" s="45" t="str">
        <x:v>initial_context_pack</x:v>
      </x:c>
      <x:c r="E5" s="46" t="str">
        <x:v>artifacts/context_pack_initial.json</x:v>
      </x:c>
      <x:c r="F5" s="45" t="str">
        <x:v>3891e38b0353c73cc0542c16e4a0f7e7d393b724855e959e49f13cfa6e4ad226</x:v>
      </x:c>
      <x:c r="G5" s="58" t="n">
        <x:v>15325</x:v>
      </x:c>
    </x:row>
    <x:row r="6">
      <x:c r="A6" s="47" t="str">
        <x:v>RUN-IMO-040-20260830T150017670601Z</x:v>
      </x:c>
      <x:c r="B6" s="47" t="str">
        <x:v>IMO-040</x:v>
      </x:c>
      <x:c r="C6" s="59"/>
      <x:c r="D6" s="47" t="str">
        <x:v>few_shot_selection</x:v>
      </x:c>
      <x:c r="E6" s="48" t="str">
        <x:v>artifacts/few_shots_selected.json</x:v>
      </x:c>
      <x:c r="F6" s="47" t="str">
        <x:v>66986b97fb4a02e844e55d41b308ef296e84d8075e0117a3467106efd2be62d0</x:v>
      </x:c>
      <x:c r="G6" s="59" t="n">
        <x:v>3110</x:v>
      </x:c>
    </x:row>
    <x:row r="7">
      <x:c r="A7" s="47" t="str">
        <x:v>RUN-IMO-040-20260830T150017670601Z</x:v>
      </x:c>
      <x:c r="B7" s="47" t="str">
        <x:v>IMO-040</x:v>
      </x:c>
      <x:c r="C7" s="59" t="n">
        <x:v>1</x:v>
      </x:c>
      <x:c r="D7" s="47" t="str">
        <x:v>generator_prompt</x:v>
      </x:c>
      <x:c r="E7" s="48" t="str">
        <x:v>artifacts/attempt_01/generator_prompt.txt</x:v>
      </x:c>
      <x:c r="F7" s="47" t="str">
        <x:v>1c5c41d5640b275580d930a5af4ff4bfd0dea5a98a2e9a092d720092fa6d2cc9</x:v>
      </x:c>
      <x:c r="G7" s="59" t="n">
        <x:v>29949</x:v>
      </x:c>
    </x:row>
    <x:row r="8">
      <x:c r="A8" s="47" t="str">
        <x:v>RUN-IMO-040-20260830T150017670601Z</x:v>
      </x:c>
      <x:c r="B8" s="47" t="str">
        <x:v>IMO-040</x:v>
      </x:c>
      <x:c r="C8" s="59" t="n">
        <x:v>1</x:v>
      </x:c>
      <x:c r="D8" s="47" t="str">
        <x:v>generator_raw_response</x:v>
      </x:c>
      <x:c r="E8" s="48" t="str">
        <x:v>artifacts/attempt_01/generator_raw.txt</x:v>
      </x:c>
      <x:c r="F8" s="47" t="str">
        <x:v>4329ea2c2cae7f4a96668dc08e4933be8a83c3aef951063f0b725e8324266c87</x:v>
      </x:c>
      <x:c r="G8" s="59" t="n">
        <x:v>1569</x:v>
      </x:c>
    </x:row>
    <x:row r="9">
      <x:c r="A9" s="47" t="str">
        <x:v>RUN-IMO-040-20260830T150017670601Z</x:v>
      </x:c>
      <x:c r="B9" s="47" t="str">
        <x:v>IMO-040</x:v>
      </x:c>
      <x:c r="C9" s="59" t="n">
        <x:v>1</x:v>
      </x:c>
      <x:c r="D9" s="47" t="str">
        <x:v>syntax_repair_prompt</x:v>
      </x:c>
      <x:c r="E9" s="48" t="str">
        <x:v>artifacts/attempt_01/syntax_repair_prompt_01.txt</x:v>
      </x:c>
      <x:c r="F9" s="47" t="str">
        <x:v>fcdaba15b593c093be975716b94d67eef958370f1e235780f6f4213a33bab4fd</x:v>
      </x:c>
      <x:c r="G9" s="59" t="n">
        <x:v>2669</x:v>
      </x:c>
    </x:row>
    <x:row r="10">
      <x:c r="A10" s="47" t="str">
        <x:v>RUN-IMO-040-20260830T150017670601Z</x:v>
      </x:c>
      <x:c r="B10" s="47" t="str">
        <x:v>IMO-040</x:v>
      </x:c>
      <x:c r="C10" s="59" t="n">
        <x:v>1</x:v>
      </x:c>
      <x:c r="D10" s="47" t="str">
        <x:v>syntax_repair_raw_response</x:v>
      </x:c>
      <x:c r="E10" s="48" t="str">
        <x:v>artifacts/attempt_01/syntax_repair_raw_01.txt</x:v>
      </x:c>
      <x:c r="F10" s="47" t="str">
        <x:v>ec3825c0526bd25eafd9db0ebbf7c8f76a45a553ab8a29fda1bd869dab7e2913</x:v>
      </x:c>
      <x:c r="G10" s="59" t="n">
        <x:v>1568</x:v>
      </x:c>
    </x:row>
    <x:row r="11">
      <x:c r="A11" s="47" t="str">
        <x:v>RUN-IMO-040-20260830T150017670601Z</x:v>
      </x:c>
      <x:c r="B11" s="47" t="str">
        <x:v>IMO-040</x:v>
      </x:c>
      <x:c r="C11" s="59" t="n">
        <x:v>1</x:v>
      </x:c>
      <x:c r="D11" s="47" t="str">
        <x:v>candidate_shape</x:v>
      </x:c>
      <x:c r="E11" s="48" t="str">
        <x:v>artifacts/attempt_01/candidate_shape.ttl</x:v>
      </x:c>
      <x:c r="F11" s="47" t="str">
        <x:v>75b4a22ab10fd8bb459b54ed8c2cd31dd0a6d8e735ed6d6301107942767bf417</x:v>
      </x:c>
      <x:c r="G11" s="59" t="n">
        <x:v>1543</x:v>
      </x:c>
    </x:row>
    <x:row r="12">
      <x:c r="A12" s="47" t="str">
        <x:v>RUN-IMO-040-20260830T150017670601Z</x:v>
      </x:c>
      <x:c r="B12" s="47" t="str">
        <x:v>IMO-040</x:v>
      </x:c>
      <x:c r="C12" s="59" t="n">
        <x:v>1</x:v>
      </x:c>
      <x:c r="D12" s="47" t="str">
        <x:v>deterministic_validation</x:v>
      </x:c>
      <x:c r="E12" s="48" t="str">
        <x:v>artifacts/attempt_01/deterministic_validation.json</x:v>
      </x:c>
      <x:c r="F12" s="47" t="str">
        <x:v>ed303052ae48b93cccefa0fd6f0ad3324e53d903a9170e764299e142d33aee8e</x:v>
      </x:c>
      <x:c r="G12" s="59" t="n">
        <x:v>739</x:v>
      </x:c>
    </x:row>
    <x:row r="13">
      <x:c r="A13" s="47" t="str">
        <x:v>RUN-IMO-040-20260830T150017670601Z</x:v>
      </x:c>
      <x:c r="B13" s="47" t="str">
        <x:v>IMO-040</x:v>
      </x:c>
      <x:c r="C13" s="59" t="n">
        <x:v>1</x:v>
      </x:c>
      <x:c r="D13" s="47" t="str">
        <x:v>validator_prompt</x:v>
      </x:c>
      <x:c r="E13" s="48" t="str">
        <x:v>artifacts/attempt_01/validator_prompt_01.txt</x:v>
      </x:c>
      <x:c r="F13" s="47" t="str">
        <x:v>a6f3a5f2f1d2e8bb32d5f87aa934d9b4f9d742c1ec77c2a007013dbaa716a8af</x:v>
      </x:c>
      <x:c r="G13" s="59" t="n">
        <x:v>26435</x:v>
      </x:c>
    </x:row>
    <x:row r="14">
      <x:c r="A14" s="47" t="str">
        <x:v>RUN-IMO-040-20260830T150017670601Z</x:v>
      </x:c>
      <x:c r="B14" s="47" t="str">
        <x:v>IMO-040</x:v>
      </x:c>
      <x:c r="C14" s="59" t="n">
        <x:v>1</x:v>
      </x:c>
      <x:c r="D14" s="47" t="str">
        <x:v>validator_raw_response</x:v>
      </x:c>
      <x:c r="E14" s="48" t="str">
        <x:v>artifacts/attempt_01/validator_raw_01.txt</x:v>
      </x:c>
      <x:c r="F14" s="47" t="str">
        <x:v>09def0f8e7e205cca6b0bae001ba7eeb7ba88098dd3e0934d047121b7ae146a2</x:v>
      </x:c>
      <x:c r="G14" s="59" t="n">
        <x:v>421</x:v>
      </x:c>
    </x:row>
    <x:row r="15">
      <x:c r="A15" s="49" t="str">
        <x:v>RUN-IMO-040-20260830T150017670601Z</x:v>
      </x:c>
      <x:c r="B15" s="49" t="str">
        <x:v>IMO-040</x:v>
      </x:c>
      <x:c r="C15" s="60" t="n">
        <x:v>1</x:v>
      </x:c>
      <x:c r="D15" s="49" t="str">
        <x:v>final_accepted_shape</x:v>
      </x:c>
      <x:c r="E15" s="50" t="str">
        <x:v>final/final_shape.ttl</x:v>
      </x:c>
      <x:c r="F15" s="49" t="str">
        <x:v>75b4a22ab10fd8bb459b54ed8c2cd31dd0a6d8e735ed6d6301107942767bf417</x:v>
      </x:c>
      <x:c r="G15" s="60" t="n">
        <x:v>1543</x:v>
      </x:c>
    </x:row>
  </x:sheetData>
  <x:pageMargins left="0.7" right="0.7" top="0.75" bottom="0.75" header="0.3" footer="0.3"/>
  <x:tableParts count="1">
    <x:tablePart xmlns:r="http://schemas.openxmlformats.org/officeDocument/2006/relationships" r:id="R6f3c6f989ebd483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RUN-IMO-040-20260830T150017670601Z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RUN-IMO-040-20260830T150017670601Z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RUN-IMO-040-20260830T150017670601Z</x:v>
      </x:c>
      <x:c r="B5" s="69" t="str">
        <x:v>IMO-040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cc760ee5b8c4794"/>
  </x:tableParts>
</x:worksheet>
</file>