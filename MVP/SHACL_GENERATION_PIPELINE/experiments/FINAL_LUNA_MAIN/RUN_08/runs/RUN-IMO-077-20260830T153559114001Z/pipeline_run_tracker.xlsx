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0f68be44e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204ae37df44163"/>
    <x:sheet xmlns:r="http://schemas.openxmlformats.org/officeDocument/2006/relationships" name="README" sheetId="2" r:id="Rc2eeaf84a2ea4d7e"/>
    <x:sheet xmlns:r="http://schemas.openxmlformats.org/officeDocument/2006/relationships" name="REGULATION_QUEUE" sheetId="3" r:id="R2e6ac978adf84320"/>
    <x:sheet xmlns:r="http://schemas.openxmlformats.org/officeDocument/2006/relationships" name="RUNS" sheetId="4" r:id="Re134bf628c4c4941"/>
    <x:sheet xmlns:r="http://schemas.openxmlformats.org/officeDocument/2006/relationships" name="ITERATIONS" sheetId="5" r:id="R3ece39992f3b455f"/>
    <x:sheet xmlns:r="http://schemas.openxmlformats.org/officeDocument/2006/relationships" name="API_CALLS" sheetId="6" r:id="R463a55fbba2c43a7"/>
    <x:sheet xmlns:r="http://schemas.openxmlformats.org/officeDocument/2006/relationships" name="TERM_RETRIEVAL" sheetId="7" r:id="R47ea78c715d34489"/>
    <x:sheet xmlns:r="http://schemas.openxmlformats.org/officeDocument/2006/relationships" name="FEW_SHOT_SELECTION" sheetId="8" r:id="R626d304c7ffc4733"/>
    <x:sheet xmlns:r="http://schemas.openxmlformats.org/officeDocument/2006/relationships" name="VALIDATION" sheetId="9" r:id="Rc9fa11ddc03a4b99"/>
    <x:sheet xmlns:r="http://schemas.openxmlformats.org/officeDocument/2006/relationships" name="VOCAB_MATCHES" sheetId="10" r:id="Rb3afec2308474467"/>
    <x:sheet xmlns:r="http://schemas.openxmlformats.org/officeDocument/2006/relationships" name="ARTIFACTS" sheetId="11" r:id="Rf8051d6b4ffb4c60"/>
    <x:sheet xmlns:r="http://schemas.openxmlformats.org/officeDocument/2006/relationships" name="UNRESOLVED" sheetId="12" r:id="Rd95b6c82f1c14275"/>
    <x:sheet xmlns:r="http://schemas.openxmlformats.org/officeDocument/2006/relationships" name="RDF_TEST_QUEUE" sheetId="13" r:id="R1167d6064efb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079a2c5ff4d37" /><Relationship Type="http://schemas.openxmlformats.org/officeDocument/2006/relationships/theme" Target="/xl/theme/theme1.xml" Id="R01792bccc6214692" /><Relationship Type="http://schemas.microsoft.com/office/2022/11/relationships/FeaturePropertyBag" Target="/xl/featurePropertyBag/featurePropertyBag.xml" Id="R41b5f537227541d5" /><Relationship Type="http://schemas.openxmlformats.org/officeDocument/2006/relationships/sharedStrings" Target="/xl/sharedStrings.xml" Id="R919f3d861896443a" /><Relationship Type="http://schemas.openxmlformats.org/officeDocument/2006/relationships/worksheet" Target="/xl/worksheets/sheet1.xml" Id="R5a204ae37df44163" /><Relationship Type="http://schemas.openxmlformats.org/officeDocument/2006/relationships/worksheet" Target="/xl/worksheets/sheet2.xml" Id="Rc2eeaf84a2ea4d7e" /><Relationship Type="http://schemas.openxmlformats.org/officeDocument/2006/relationships/worksheet" Target="/xl/worksheets/sheet3.xml" Id="R2e6ac978adf84320" /><Relationship Type="http://schemas.openxmlformats.org/officeDocument/2006/relationships/worksheet" Target="/xl/worksheets/sheet4.xml" Id="Re134bf628c4c4941" /><Relationship Type="http://schemas.openxmlformats.org/officeDocument/2006/relationships/worksheet" Target="/xl/worksheets/sheet5.xml" Id="R3ece39992f3b455f" /><Relationship Type="http://schemas.openxmlformats.org/officeDocument/2006/relationships/worksheet" Target="/xl/worksheets/sheet6.xml" Id="R463a55fbba2c43a7" /><Relationship Type="http://schemas.openxmlformats.org/officeDocument/2006/relationships/worksheet" Target="/xl/worksheets/sheet7.xml" Id="R47ea78c715d34489" /><Relationship Type="http://schemas.openxmlformats.org/officeDocument/2006/relationships/worksheet" Target="/xl/worksheets/sheet8.xml" Id="R626d304c7ffc4733" /><Relationship Type="http://schemas.openxmlformats.org/officeDocument/2006/relationships/worksheet" Target="/xl/worksheets/sheet9.xml" Id="Rc9fa11ddc03a4b99" /><Relationship Type="http://schemas.openxmlformats.org/officeDocument/2006/relationships/worksheet" Target="/xl/worksheets/sheet10.xml" Id="Rb3afec2308474467" /><Relationship Type="http://schemas.openxmlformats.org/officeDocument/2006/relationships/worksheet" Target="/xl/worksheets/sheet11.xml" Id="Rf8051d6b4ffb4c60" /><Relationship Type="http://schemas.openxmlformats.org/officeDocument/2006/relationships/worksheet" Target="/xl/worksheets/sheet12.xml" Id="Rd95b6c82f1c14275" /><Relationship Type="http://schemas.openxmlformats.org/officeDocument/2006/relationships/worksheet" Target="/xl/worksheets/sheet13.xml" Id="R1167d6064efb4f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9ab4ec3557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8d692065374e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b823a53bc94c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31f3d12a2349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b4b728249847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c7b604eb764e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d360f99b524f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875293dcec4f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78dacbed9645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01e5e9fb6441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RUN-IMO-077-20260830T153559114001Z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17717.6169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RUN-IMO-077-20260830T153559114001Z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9ab4ec355742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RUN-IMO-077-20260830T153559114001Z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d692065374e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RUN-IMO-077-20260830T153559114001Z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RUN-IMO-077-20260830T153559114001Z</x:v>
      </x:c>
      <x:c r="C5" s="69" t="str">
        <x:v>IMO-077</x:v>
      </x:c>
      <x:c r="D5" s="70" t="n">
        <x:v>46264.64998974537</x:v>
      </x:c>
      <x:c r="E5" s="70" t="n">
        <x:v>46264.65101878472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targets the ship, uses the canonical datatypes and kg quantity units, encodes the false/true applicability alternatives, and enforces the required inclusive calculations: available capacity &gt;= persons capacity + additional equipment capacity and launching appliance capacity &gt;= loaded survival craft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823a53bc94c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RUN-IMO-077-20260830T153559114001Z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RUN-IMO-077-20260830T153559114001Z</x:v>
      </x:c>
      <x:c r="B5" s="45" t="str">
        <x:v>IMO-077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survivalCraftAvailableCapacity to the supplied canonical datatype property: it has range xsd:integer, not qudt:QuantityValue, so remove its QuantityValue node and unit/numericValue constraints and compare its integer value directly in the calculation. Retain the required inclusive comparisons (available &gt;= persons + additional and launching appliance capacity &gt;= loaded requirement) and keep all properties targeted on the ship.</x:v>
      </x:c>
      <x:c r="I5" s="81" t="n">
        <x:v>27303.293</x:v>
      </x:c>
      <x:c r="J5" s="81" t="n">
        <x:v>16923.182</x:v>
      </x:c>
    </x:row>
    <x:row r="6">
      <x:c r="A6" s="49" t="str">
        <x:v>RUN-IMO-077-20260830T153559114001Z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targets the ship, uses the canonical datatypes and kg quantity units, encodes the false/true applicability alternatives, and enforces the required inclusive calculations: available capacity &gt;= persons capacity + additional equipment capacity and launching appliance capacity &gt;= loaded survival craft requirement.</x:v>
      </x:c>
      <x:c r="I6" s="83" t="n">
        <x:v>23054.585</x:v>
      </x:c>
      <x:c r="J6" s="83" t="n">
        <x:v>7948.265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31f3d12a2349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RUN-IMO-077-20260830T153559114001Z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RUN-IMO-077-20260830T153559114001Z</x:v>
      </x:c>
      <x:c r="C5" s="45" t="str">
        <x:v>IMO-077</x:v>
      </x:c>
      <x:c r="D5" s="90" t="n">
        <x:v>46264.65030576389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27301.697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RUN-IMO-077-20260830T153559114001Z</x:v>
      </x:c>
      <x:c r="C6" s="47" t="str">
        <x:v>IMO-077</x:v>
      </x:c>
      <x:c r="D6" s="91" t="n">
        <x:v>46264.650305787036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27303.293</x:v>
      </x:c>
      <x:c r="L6" s="93" t="b">
        <x:v>0</x:v>
      </x:c>
      <x:c r="M6" s="47" t="str">
        <x:v>resp_0b8ce6eda9bb4c52006a944ddf40b88196817d6018c329a352</x:v>
      </x:c>
      <x:c r="N6" s="59" t="n">
        <x:v>7344</x:v>
      </x:c>
      <x:c r="O6" s="59" t="n">
        <x:v>1988</x:v>
      </x:c>
      <x:c r="P6" s="59" t="n">
        <x:v>9332</x:v>
      </x:c>
    </x:row>
    <x:row r="7">
      <x:c r="A7" s="47" t="str">
        <x:v>EVT-000022</x:v>
      </x:c>
      <x:c r="B7" s="47" t="str">
        <x:v>RUN-IMO-077-20260830T153559114001Z</x:v>
      </x:c>
      <x:c r="C7" s="47" t="str">
        <x:v>IMO-077</x:v>
      </x:c>
      <x:c r="D7" s="91" t="n">
        <x:v>46264.650460474535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13361.075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RUN-IMO-077-20260830T153559114001Z</x:v>
      </x:c>
      <x:c r="C8" s="47" t="str">
        <x:v>IMO-077</x:v>
      </x:c>
      <x:c r="D8" s="91" t="n">
        <x:v>46264.65046049769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13362.527</x:v>
      </x:c>
      <x:c r="L8" s="93" t="b">
        <x:v>0</x:v>
      </x:c>
      <x:c r="M8" s="47" t="str">
        <x:v>resp_092666b9c648366f006a944dfa7d7c8195a06bcbc1eecb599c</x:v>
      </x:c>
      <x:c r="N8" s="59" t="n">
        <x:v>1477</x:v>
      </x:c>
      <x:c r="O8" s="59" t="n">
        <x:v>1334</x:v>
      </x:c>
      <x:c r="P8" s="59" t="n">
        <x:v>2811</x:v>
      </x:c>
    </x:row>
    <x:row r="9">
      <x:c r="A9" s="47" t="str">
        <x:v>EVT-000031</x:v>
      </x:c>
      <x:c r="B9" s="47" t="str">
        <x:v>RUN-IMO-077-20260830T153559114001Z</x:v>
      </x:c>
      <x:c r="C9" s="47" t="str">
        <x:v>IMO-077</x:v>
      </x:c>
      <x:c r="D9" s="91" t="n">
        <x:v>46264.65065820602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16921.722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RUN-IMO-077-20260830T153559114001Z</x:v>
      </x:c>
      <x:c r="C10" s="47" t="str">
        <x:v>IMO-077</x:v>
      </x:c>
      <x:c r="D10" s="91" t="n">
        <x:v>46264.65065821759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16923.182</x:v>
      </x:c>
      <x:c r="L10" s="93" t="b">
        <x:v>0</x:v>
      </x:c>
      <x:c r="M10" s="47" t="str">
        <x:v>resp_0b189b0a02f0f212006a944e0910a081948221f7930fa7d8bc</x:v>
      </x:c>
      <x:c r="N10" s="59" t="n">
        <x:v>6650</x:v>
      </x:c>
      <x:c r="O10" s="59" t="n">
        <x:v>426</x:v>
      </x:c>
      <x:c r="P10" s="59" t="n">
        <x:v>7076</x:v>
      </x:c>
    </x:row>
    <x:row r="11">
      <x:c r="A11" s="47" t="str">
        <x:v>EVT-000037</x:v>
      </x:c>
      <x:c r="B11" s="47" t="str">
        <x:v>RUN-IMO-077-20260830T153559114001Z</x:v>
      </x:c>
      <x:c r="C11" s="47" t="str">
        <x:v>IMO-077</x:v>
      </x:c>
      <x:c r="D11" s="91" t="n">
        <x:v>46264.650925104164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23053.078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RUN-IMO-077-20260830T153559114001Z</x:v>
      </x:c>
      <x:c r="C12" s="47" t="str">
        <x:v>IMO-077</x:v>
      </x:c>
      <x:c r="D12" s="91" t="n">
        <x:v>46264.65092511574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23054.585</x:v>
      </x:c>
      <x:c r="L12" s="93" t="b">
        <x:v>0</x:v>
      </x:c>
      <x:c r="M12" s="47" t="str">
        <x:v>resp_0c4d05d5c4fb45a5006a944e18faa881949dea22912fe69e0c</x:v>
      </x:c>
      <x:c r="N12" s="59" t="n">
        <x:v>7422</x:v>
      </x:c>
      <x:c r="O12" s="59" t="n">
        <x:v>1833</x:v>
      </x:c>
      <x:c r="P12" s="59" t="n">
        <x:v>9255</x:v>
      </x:c>
    </x:row>
    <x:row r="13">
      <x:c r="A13" s="47" t="str">
        <x:v>EVT-000045</x:v>
      </x:c>
      <x:c r="B13" s="47" t="str">
        <x:v>RUN-IMO-077-20260830T153559114001Z</x:v>
      </x:c>
      <x:c r="C13" s="47" t="str">
        <x:v>IMO-077</x:v>
      </x:c>
      <x:c r="D13" s="91" t="n">
        <x:v>46264.65101873843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7946.745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EVT-000046</x:v>
      </x:c>
      <x:c r="B14" s="49" t="str">
        <x:v>RUN-IMO-077-20260830T153559114001Z</x:v>
      </x:c>
      <x:c r="C14" s="49" t="str">
        <x:v>IMO-077</x:v>
      </x:c>
      <x:c r="D14" s="94" t="n">
        <x:v>46264.65101875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7948.265</x:v>
      </x:c>
      <x:c r="L14" s="82" t="b">
        <x:v>0</x:v>
      </x:c>
      <x:c r="M14" s="49" t="str">
        <x:v>resp_081301b3f7b886f4006a944e302ce88196a7bcd925fc9ae975</x:v>
      </x:c>
      <x:c r="N14" s="60" t="n">
        <x:v>6620</x:v>
      </x:c>
      <x:c r="O14" s="60" t="n">
        <x:v>391</x:v>
      </x:c>
      <x:c r="P14" s="60" t="n">
        <x:v>7011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b4b728249847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RUN-IMO-077-20260830T153559114001Z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RUN-IMO-077-20260830T153559114001Z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RUN-IMO-077-20260830T153559114001Z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RUN-IMO-077-20260830T153559114001Z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RUN-IMO-077-20260830T153559114001Z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RUN-IMO-077-20260830T153559114001Z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RUN-IMO-077-20260830T153559114001Z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RUN-IMO-077-20260830T153559114001Z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RUN-IMO-077-20260830T153559114001Z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c7b604eb764e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RUN-IMO-077-20260830T153559114001Z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RUN-IMO-077-20260830T153559114001Z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RUN-IMO-077-20260830T153559114001Z</x:v>
      </x:c>
      <x:c r="B6" s="49" t="str">
        <x:v>IMO-077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360f99b524f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RUN-IMO-077-20260830T153559114001Z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RUN-IMO-077-20260830T153559114001Z</x:v>
      </x:c>
      <x:c r="B5" s="45" t="str">
        <x:v>IMO-077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46" t="str"/>
      <x:c r="P5" s="46" t="str"/>
      <x:c r="Q5" s="46" t="str"/>
    </x:row>
    <x:row r="6">
      <x:c r="A6" s="49" t="str">
        <x:v>RUN-IMO-077-20260830T153559114001Z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7875293dcec4f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RUN-IMO-077-20260830T153559114001Z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RUN-IMO-077-20260830T153559114001Z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RUN-IMO-077-20260830T153559114001Z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RUN-IMO-077-20260830T153559114001Z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RUN-IMO-077-20260830T153559114001Z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RUN-IMO-077-20260830T153559114001Z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ca96f16d6ded5f0159403c50b79a4c7633631370da1db32eac364afcf9287379</x:v>
      </x:c>
      <x:c r="G8" s="59" t="n">
        <x:v>4939</x:v>
      </x:c>
    </x:row>
    <x:row r="9">
      <x:c r="A9" s="47" t="str">
        <x:v>RUN-IMO-077-20260830T153559114001Z</x:v>
      </x:c>
      <x:c r="B9" s="47" t="str">
        <x:v>IMO-077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5850c5ab39ae4cceacb3b83fae9dcc6945615245a4c53878f15bd80c7d5b1e8b</x:v>
      </x:c>
      <x:c r="G9" s="59" t="n">
        <x:v>6117</x:v>
      </x:c>
    </x:row>
    <x:row r="10">
      <x:c r="A10" s="47" t="str">
        <x:v>RUN-IMO-077-20260830T153559114001Z</x:v>
      </x:c>
      <x:c r="B10" s="47" t="str">
        <x:v>IMO-077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abb78fd00df5d33192fbf417f38fc893744967cbb19001636c7a948961ded7a4</x:v>
      </x:c>
      <x:c r="G10" s="59" t="n">
        <x:v>4938</x:v>
      </x:c>
    </x:row>
    <x:row r="11">
      <x:c r="A11" s="47" t="str">
        <x:v>RUN-IMO-077-20260830T153559114001Z</x:v>
      </x:c>
      <x:c r="B11" s="47" t="str">
        <x:v>IMO-077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ac41544ccf2d2c2c155a13d04087aeac1bb455c7853e4ac42b5c510f09b32260</x:v>
      </x:c>
      <x:c r="G11" s="59" t="n">
        <x:v>4913</x:v>
      </x:c>
    </x:row>
    <x:row r="12">
      <x:c r="A12" s="47" t="str">
        <x:v>RUN-IMO-077-20260830T153559114001Z</x:v>
      </x:c>
      <x:c r="B12" s="47" t="str">
        <x:v>IMO-077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2e936bc062711ed35ca20f283b7958563b42b8b841e13179bb7cad33b78395eb</x:v>
      </x:c>
      <x:c r="G12" s="59" t="n">
        <x:v>836</x:v>
      </x:c>
    </x:row>
    <x:row r="13">
      <x:c r="A13" s="47" t="str">
        <x:v>RUN-IMO-077-20260830T153559114001Z</x:v>
      </x:c>
      <x:c r="B13" s="47" t="str">
        <x:v>IMO-077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8f778888b7176d90add8c9751c6c91df9dce3e0f4f6669a16cdd0a07e3588097</x:v>
      </x:c>
      <x:c r="G13" s="59" t="n">
        <x:v>28950</x:v>
      </x:c>
    </x:row>
    <x:row r="14">
      <x:c r="A14" s="47" t="str">
        <x:v>RUN-IMO-077-20260830T153559114001Z</x:v>
      </x:c>
      <x:c r="B14" s="47" t="str">
        <x:v>IMO-077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02ded9df2bcdc0f0bea60fe1025b8ea9e07bb83b064f6d786eaa864da487b1bc</x:v>
      </x:c>
      <x:c r="G14" s="59" t="n">
        <x:v>502</x:v>
      </x:c>
    </x:row>
    <x:row r="15">
      <x:c r="A15" s="47" t="str">
        <x:v>RUN-IMO-077-20260830T153559114001Z</x:v>
      </x:c>
      <x:c r="B15" s="47" t="str">
        <x:v>IMO-077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3954ad607c8ea0806d815385e537682157880015603d681ac88e6c4436c38508</x:v>
      </x:c>
      <x:c r="G15" s="59" t="n">
        <x:v>31764</x:v>
      </x:c>
    </x:row>
    <x:row r="16">
      <x:c r="A16" s="47" t="str">
        <x:v>RUN-IMO-077-20260830T153559114001Z</x:v>
      </x:c>
      <x:c r="B16" s="47" t="str">
        <x:v>IMO-077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28036507738e9cf5a3adc63ac9300b4839377ca8d8cfe2859caa1133dd18fe9a</x:v>
      </x:c>
      <x:c r="G16" s="59" t="n">
        <x:v>4451</x:v>
      </x:c>
    </x:row>
    <x:row r="17">
      <x:c r="A17" s="47" t="str">
        <x:v>RUN-IMO-077-20260830T153559114001Z</x:v>
      </x:c>
      <x:c r="B17" s="47" t="str">
        <x:v>IMO-077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9b0cd64aeba993e1feb6d6873a4c5591437f293f39c4a4fdc7f40850c7682d51</x:v>
      </x:c>
      <x:c r="G17" s="59" t="n">
        <x:v>4426</x:v>
      </x:c>
    </x:row>
    <x:row r="18">
      <x:c r="A18" s="47" t="str">
        <x:v>RUN-IMO-077-20260830T153559114001Z</x:v>
      </x:c>
      <x:c r="B18" s="47" t="str">
        <x:v>IMO-077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2e936bc062711ed35ca20f283b7958563b42b8b841e13179bb7cad33b78395eb</x:v>
      </x:c>
      <x:c r="G18" s="59" t="n">
        <x:v>836</x:v>
      </x:c>
    </x:row>
    <x:row r="19">
      <x:c r="A19" s="47" t="str">
        <x:v>RUN-IMO-077-20260830T153559114001Z</x:v>
      </x:c>
      <x:c r="B19" s="47" t="str">
        <x:v>IMO-077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bf9d0082eca05f7e15a41aab60f4d4955b58582dc2a23a9e8dab3f20949ebff8</x:v>
      </x:c>
      <x:c r="G19" s="59" t="n">
        <x:v>28899</x:v>
      </x:c>
    </x:row>
    <x:row r="20">
      <x:c r="A20" s="47" t="str">
        <x:v>RUN-IMO-077-20260830T153559114001Z</x:v>
      </x:c>
      <x:c r="B20" s="47" t="str">
        <x:v>IMO-077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652be740d2300b0ff0284aa5ae8585306d01d770fcbb1106cd802c498b7ed490</x:v>
      </x:c>
      <x:c r="G20" s="59" t="n">
        <x:v>403</x:v>
      </x:c>
    </x:row>
    <x:row r="21">
      <x:c r="A21" s="49" t="str">
        <x:v>RUN-IMO-077-20260830T153559114001Z</x:v>
      </x:c>
      <x:c r="B21" s="49" t="str">
        <x:v>IMO-077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9b0cd64aeba993e1feb6d6873a4c5591437f293f39c4a4fdc7f40850c7682d51</x:v>
      </x:c>
      <x:c r="G21" s="60" t="n">
        <x:v>4426</x:v>
      </x:c>
    </x:row>
  </x:sheetData>
  <x:pageMargins left="0.7" right="0.7" top="0.75" bottom="0.75" header="0.3" footer="0.3"/>
  <x:tableParts count="1">
    <x:tablePart xmlns:r="http://schemas.openxmlformats.org/officeDocument/2006/relationships" r:id="R2478dacbed9645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RUN-IMO-077-20260830T153559114001Z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RUN-IMO-077-20260830T153559114001Z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RUN-IMO-077-20260830T153559114001Z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1e5e9fb64418e"/>
  </x:tableParts>
</x:worksheet>
</file>