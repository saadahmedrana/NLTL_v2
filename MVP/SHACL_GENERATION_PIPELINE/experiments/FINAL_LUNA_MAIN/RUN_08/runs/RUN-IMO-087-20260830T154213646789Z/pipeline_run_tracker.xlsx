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b41596118834c7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9c3e484eb0d477f"/>
    <x:sheet xmlns:r="http://schemas.openxmlformats.org/officeDocument/2006/relationships" name="README" sheetId="2" r:id="R4edbf64d99544df6"/>
    <x:sheet xmlns:r="http://schemas.openxmlformats.org/officeDocument/2006/relationships" name="REGULATION_QUEUE" sheetId="3" r:id="R86c1f6cba6d04f08"/>
    <x:sheet xmlns:r="http://schemas.openxmlformats.org/officeDocument/2006/relationships" name="RUNS" sheetId="4" r:id="R96148e3d48a84810"/>
    <x:sheet xmlns:r="http://schemas.openxmlformats.org/officeDocument/2006/relationships" name="ITERATIONS" sheetId="5" r:id="R088f544c74f2490d"/>
    <x:sheet xmlns:r="http://schemas.openxmlformats.org/officeDocument/2006/relationships" name="API_CALLS" sheetId="6" r:id="Rc466af0ada4e461d"/>
    <x:sheet xmlns:r="http://schemas.openxmlformats.org/officeDocument/2006/relationships" name="TERM_RETRIEVAL" sheetId="7" r:id="R835f67b5cb16401e"/>
    <x:sheet xmlns:r="http://schemas.openxmlformats.org/officeDocument/2006/relationships" name="FEW_SHOT_SELECTION" sheetId="8" r:id="Rd5b1924ea88043b0"/>
    <x:sheet xmlns:r="http://schemas.openxmlformats.org/officeDocument/2006/relationships" name="VALIDATION" sheetId="9" r:id="R85d41999c6464e41"/>
    <x:sheet xmlns:r="http://schemas.openxmlformats.org/officeDocument/2006/relationships" name="VOCAB_MATCHES" sheetId="10" r:id="R48dab918287149a5"/>
    <x:sheet xmlns:r="http://schemas.openxmlformats.org/officeDocument/2006/relationships" name="ARTIFACTS" sheetId="11" r:id="Rec3d9552050e4058"/>
    <x:sheet xmlns:r="http://schemas.openxmlformats.org/officeDocument/2006/relationships" name="UNRESOLVED" sheetId="12" r:id="R14d3d8fcb12b4e7c"/>
    <x:sheet xmlns:r="http://schemas.openxmlformats.org/officeDocument/2006/relationships" name="RDF_TEST_QUEUE" sheetId="13" r:id="R174b1f9d9575424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19f38d082514c34" /><Relationship Type="http://schemas.openxmlformats.org/officeDocument/2006/relationships/theme" Target="/xl/theme/theme1.xml" Id="Rd7d8e134384b4326" /><Relationship Type="http://schemas.microsoft.com/office/2022/11/relationships/FeaturePropertyBag" Target="/xl/featurePropertyBag/featurePropertyBag.xml" Id="R0bc990f4a7f9439f" /><Relationship Type="http://schemas.openxmlformats.org/officeDocument/2006/relationships/sharedStrings" Target="/xl/sharedStrings.xml" Id="R85f445b6a78a4ffb" /><Relationship Type="http://schemas.openxmlformats.org/officeDocument/2006/relationships/worksheet" Target="/xl/worksheets/sheet1.xml" Id="R69c3e484eb0d477f" /><Relationship Type="http://schemas.openxmlformats.org/officeDocument/2006/relationships/worksheet" Target="/xl/worksheets/sheet2.xml" Id="R4edbf64d99544df6" /><Relationship Type="http://schemas.openxmlformats.org/officeDocument/2006/relationships/worksheet" Target="/xl/worksheets/sheet3.xml" Id="R86c1f6cba6d04f08" /><Relationship Type="http://schemas.openxmlformats.org/officeDocument/2006/relationships/worksheet" Target="/xl/worksheets/sheet4.xml" Id="R96148e3d48a84810" /><Relationship Type="http://schemas.openxmlformats.org/officeDocument/2006/relationships/worksheet" Target="/xl/worksheets/sheet5.xml" Id="R088f544c74f2490d" /><Relationship Type="http://schemas.openxmlformats.org/officeDocument/2006/relationships/worksheet" Target="/xl/worksheets/sheet6.xml" Id="Rc466af0ada4e461d" /><Relationship Type="http://schemas.openxmlformats.org/officeDocument/2006/relationships/worksheet" Target="/xl/worksheets/sheet7.xml" Id="R835f67b5cb16401e" /><Relationship Type="http://schemas.openxmlformats.org/officeDocument/2006/relationships/worksheet" Target="/xl/worksheets/sheet8.xml" Id="Rd5b1924ea88043b0" /><Relationship Type="http://schemas.openxmlformats.org/officeDocument/2006/relationships/worksheet" Target="/xl/worksheets/sheet9.xml" Id="R85d41999c6464e41" /><Relationship Type="http://schemas.openxmlformats.org/officeDocument/2006/relationships/worksheet" Target="/xl/worksheets/sheet10.xml" Id="R48dab918287149a5" /><Relationship Type="http://schemas.openxmlformats.org/officeDocument/2006/relationships/worksheet" Target="/xl/worksheets/sheet11.xml" Id="Rec3d9552050e4058" /><Relationship Type="http://schemas.openxmlformats.org/officeDocument/2006/relationships/worksheet" Target="/xl/worksheets/sheet12.xml" Id="R14d3d8fcb12b4e7c" /><Relationship Type="http://schemas.openxmlformats.org/officeDocument/2006/relationships/worksheet" Target="/xl/worksheets/sheet13.xml" Id="R174b1f9d9575424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bdeb51b14024d0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2c5ed8ae9d84a8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24a7bfad093492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5ba65872e5647c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98a0e4d888b468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933821b1909444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791fd50014c4da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71ccc7a7ccf490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a0b738c7ca1943f5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89ece80adc8b421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RUN-IMO-087-20260830T154213646789Z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24404.930249999998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RUN-IMO-087-20260830T154213646789Z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bdeb51b14024d0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RUN-IMO-087-20260830T154213646789Z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GENERATION_ACCEPTED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2c5ed8ae9d84a8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RUN-IMO-087-20260830T154213646789Z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SESSION-BATCH-20260830T130455733132Z</x:v>
      </x:c>
      <x:c r="B5" s="69" t="str">
        <x:v>RUN-IMO-087-20260830T154213646789Z</x:v>
      </x:c>
      <x:c r="C5" s="69" t="str">
        <x:v>IMO-087</x:v>
      </x:c>
      <x:c r="D5" s="70" t="n">
        <x:v>46264.65432461806</x:v>
      </x:c>
      <x:c r="E5" s="70" t="n">
        <x:v>46264.654890844904</x:v>
      </x:c>
      <x:c r="F5" s="69" t="str">
        <x:v>final-luna-main-run08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conditional requirement: latitude over 80 degrees activates the count and both power-connection relationship checks, while the alternative branch covers latitude at or below 80 degrees. Owners, canonical terms, datatypes, unit, comparison directions, and threshold semantics are correct.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24a7bfad093492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RUN-IMO-087-20260830T154213646789Z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RUN-IMO-087-20260830T154213646789Z</x:v>
      </x:c>
      <x:c r="B5" s="69" t="str">
        <x:v>IMO-087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faithfully encodes the conditional requirement: latitude over 80 degrees activates the count and both power-connection relationship checks, while the alternative branch covers latitude at or below 80 degrees. Owners, canonical terms, datatypes, unit, comparison directions, and threshold semantics are correct.</x:v>
      </x:c>
      <x:c r="I5" s="75" t="n">
        <x:v>25616.765</x:v>
      </x:c>
      <x:c r="J5" s="75" t="n">
        <x:v>23194.323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5ba65872e5647c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RUN-IMO-087-20260830T154213646789Z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EVT-000014</x:v>
      </x:c>
      <x:c r="B5" s="45" t="str">
        <x:v>RUN-IMO-087-20260830T154213646789Z</x:v>
      </x:c>
      <x:c r="C5" s="45" t="str">
        <x:v>IMO-087</x:v>
      </x:c>
      <x:c r="D5" s="88" t="n">
        <x:v>46264.65462111111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25615.332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EVT-000015</x:v>
      </x:c>
      <x:c r="B6" s="47" t="str">
        <x:v>RUN-IMO-087-20260830T154213646789Z</x:v>
      </x:c>
      <x:c r="C6" s="47" t="str">
        <x:v>IMO-087</x:v>
      </x:c>
      <x:c r="D6" s="91" t="n">
        <x:v>46264.65462112269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25616.765</x:v>
      </x:c>
      <x:c r="L6" s="93" t="b">
        <x:v>0</x:v>
      </x:c>
      <x:c r="M6" s="47" t="str">
        <x:v>resp_0f1d39160a2b4591006a944f55d0e48196bedd29a7dadbca32</x:v>
      </x:c>
      <x:c r="N6" s="59" t="n">
        <x:v>6365</x:v>
      </x:c>
      <x:c r="O6" s="59" t="n">
        <x:v>1814</x:v>
      </x:c>
      <x:c r="P6" s="59" t="n">
        <x:v>8179</x:v>
      </x:c>
    </x:row>
    <x:row r="7">
      <x:c r="A7" s="47" t="str">
        <x:v>EVT-000022</x:v>
      </x:c>
      <x:c r="B7" s="47" t="str">
        <x:v>RUN-IMO-087-20260830T154213646789Z</x:v>
      </x:c>
      <x:c r="C7" s="47" t="str">
        <x:v>IMO-087</x:v>
      </x:c>
      <x:c r="D7" s="91" t="n">
        <x:v>46264.65489077546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23193.301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EVT-000023</x:v>
      </x:c>
      <x:c r="B8" s="49" t="str">
        <x:v>RUN-IMO-087-20260830T154213646789Z</x:v>
      </x:c>
      <x:c r="C8" s="49" t="str">
        <x:v>IMO-087</x:v>
      </x:c>
      <x:c r="D8" s="94" t="n">
        <x:v>46264.65489078704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23194.323</x:v>
      </x:c>
      <x:c r="L8" s="96" t="b">
        <x:v>0</x:v>
      </x:c>
      <x:c r="M8" s="49" t="str">
        <x:v>resp_05e685b299c557c9006a944f7069f881979ec460198b96c97b</x:v>
      </x:c>
      <x:c r="N8" s="60" t="n">
        <x:v>5695</x:v>
      </x:c>
      <x:c r="O8" s="60" t="n">
        <x:v>1410</x:v>
      </x:c>
      <x:c r="P8" s="60" t="n">
        <x:v>7105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98a0e4d888b468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RUN-IMO-087-20260830T154213646789Z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RUN-IMO-087-20260830T154213646789Z</x:v>
      </x:c>
      <x:c r="B5" s="45" t="str">
        <x:v>IMO-087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connectedToEmergencyPower; domain dependency of connectedToMainPower; domain dependency of gnssCompassOrEquivalentCount; domain dependency of plannedOrActualLatitude; range dependency of connectedToEmergencyPower; range dependency of connectedToMainPower</x:v>
      </x:c>
      <x:c r="J5" s="45" t="n">
        <x:v>0</x:v>
      </x:c>
    </x:row>
    <x:row r="6">
      <x:c r="A6" s="47" t="str">
        <x:v>RUN-IMO-087-20260830T154213646789Z</x:v>
      </x:c>
      <x:c r="B6" s="47" t="str">
        <x:v>IMO-087</x:v>
      </x:c>
      <x:c r="C6" s="47" t="str">
        <x:v>connectedToEmergencyPower</x:v>
      </x:c>
      <x:c r="D6" s="48" t="str">
        <x:v>https://w3id.org/nltl/vocab#connectedToEmergencyPower</x:v>
      </x:c>
      <x:c r="E6" s="47" t="str">
        <x:v>ObjectProperty</x:v>
      </x:c>
      <x:c r="F6" s="47" t="str"/>
      <x:c r="G6" s="47" t="str">
        <x:v>https://w3id.org/nltl/vocab#benchmarkEntity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RUN-IMO-087-20260830T154213646789Z</x:v>
      </x:c>
      <x:c r="B7" s="47" t="str">
        <x:v>IMO-087</x:v>
      </x:c>
      <x:c r="C7" s="47" t="str">
        <x:v>connectedToMainPower</x:v>
      </x:c>
      <x:c r="D7" s="48" t="str">
        <x:v>https://w3id.org/nltl/vocab#connectedToMainPower</x:v>
      </x:c>
      <x:c r="E7" s="47" t="str">
        <x:v>ObjectProperty</x:v>
      </x:c>
      <x:c r="F7" s="47" t="str"/>
      <x:c r="G7" s="47" t="str">
        <x:v>https://w3id.org/nltl/vocab#benchmarkEntity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RUN-IMO-087-20260830T154213646789Z</x:v>
      </x:c>
      <x:c r="B8" s="47" t="str">
        <x:v>IMO-087</x:v>
      </x:c>
      <x:c r="C8" s="47" t="str">
        <x:v>gnssCompassOrEquivalentCount</x:v>
      </x:c>
      <x:c r="D8" s="48" t="str">
        <x:v>https://w3id.org/nltl/vocab#gnssCompassOrEquivalentCount</x:v>
      </x:c>
      <x:c r="E8" s="47" t="str">
        <x:v>DatatypeProperty</x:v>
      </x:c>
      <x:c r="F8" s="47" t="str">
        <x:v>xsd:integer</x:v>
      </x:c>
      <x:c r="G8" s="47" t="str">
        <x:v>http://www.w3.org/2001/XMLSchema#integer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RUN-IMO-087-20260830T154213646789Z</x:v>
      </x:c>
      <x:c r="B9" s="47" t="str">
        <x:v>IMO-087</x:v>
      </x:c>
      <x:c r="C9" s="47" t="str">
        <x:v>plannedOrActualLatitude</x:v>
      </x:c>
      <x:c r="D9" s="48" t="str">
        <x:v>https://w3id.org/nltl/vocab#plannedOrActualLatitude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http://qudt.org/vocab/unit/DEG</x:v>
      </x:c>
      <x:c r="I9" s="48" t="str">
        <x:v>linked by the locked 313-requirement index</x:v>
      </x:c>
      <x:c r="J9" s="47" t="n">
        <x:v>0</x:v>
      </x:c>
    </x:row>
    <x:row r="10">
      <x:c r="A10" s="49" t="str">
        <x:v>RUN-IMO-087-20260830T154213646789Z</x:v>
      </x:c>
      <x:c r="B10" s="49" t="str">
        <x:v>IMO-087</x:v>
      </x:c>
      <x:c r="C10" s="49" t="str">
        <x:v>ship</x:v>
      </x:c>
      <x:c r="D10" s="50" t="str">
        <x:v>https://w3id.org/nltl/vocab#ship</x:v>
      </x:c>
      <x:c r="E10" s="49" t="str">
        <x:v>Class</x:v>
      </x:c>
      <x:c r="F10" s="49" t="str"/>
      <x:c r="G10" s="49" t="str"/>
      <x:c r="H10" s="49" t="str"/>
      <x:c r="I10" s="50" t="str">
        <x:v>authoritative required owner class; authoritative requirement target owner; baseline target infrastructure</x:v>
      </x:c>
      <x:c r="J1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933821b1909444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RUN-IMO-087-20260830T154213646789Z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RUN-IMO-087-20260830T154213646789Z</x:v>
      </x:c>
      <x:c r="B5" s="45" t="str">
        <x:v>IMO-087</x:v>
      </x:c>
      <x:c r="C5" s="45" t="str">
        <x:v>FS-QTY-01</x:v>
      </x:c>
      <x:c r="D5" s="45" t="str">
        <x:v>qudt_quantity</x:v>
      </x:c>
      <x:c r="E5" s="99" t="n">
        <x:v>0.04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RUN-IMO-087-20260830T154213646789Z</x:v>
      </x:c>
      <x:c r="B6" s="49" t="str">
        <x:v>IMO-087</x:v>
      </x:c>
      <x:c r="C6" s="49" t="str">
        <x:v>FS-QTY-02</x:v>
      </x:c>
      <x:c r="D6" s="49" t="str">
        <x:v>qudt_quantity</x:v>
      </x:c>
      <x:c r="E6" s="100" t="n">
        <x:v>0.04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791fd50014c4da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RUN-IMO-087-20260830T154213646789Z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RUN-IMO-087-20260830T154213646789Z</x:v>
      </x:c>
      <x:c r="B5" s="69" t="str">
        <x:v>IMO-087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https://w3id.org/nltl/vocab#benchmarkEntity | https://w3id.org/nltl/vocab#connectedToEmergencyPower | https://w3id.org/nltl/vocab#connectedToMainPower | https://w3id.org/nltl/vocab#gnssCompassOrEquivalentCount | https://w3id.org/nltl/vocab#plannedOrActualLatitude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871ccc7a7ccf490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RUN-IMO-087-20260830T154213646789Z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RUN-IMO-087-20260830T154213646789Z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RUN-IMO-087-20260830T154213646789Z</x:v>
      </x:c>
      <x:c r="B5" s="45" t="str">
        <x:v>IMO-087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b2d9206de17882f40cc14642f6aa350b71f2ed2b084c331cb0d5b214d1801b6d</x:v>
      </x:c>
      <x:c r="G5" s="58" t="n">
        <x:v>10779</x:v>
      </x:c>
    </x:row>
    <x:row r="6">
      <x:c r="A6" s="47" t="str">
        <x:v>RUN-IMO-087-20260830T154213646789Z</x:v>
      </x:c>
      <x:c r="B6" s="47" t="str">
        <x:v>IMO-087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fddcc69ad2e2eb0d4d1aa3cf0bfbfb898559cd855f3c87e7f4f7c77175bb193d</x:v>
      </x:c>
      <x:c r="G6" s="59" t="n">
        <x:v>4286</x:v>
      </x:c>
    </x:row>
    <x:row r="7">
      <x:c r="A7" s="47" t="str">
        <x:v>RUN-IMO-087-20260830T154213646789Z</x:v>
      </x:c>
      <x:c r="B7" s="47" t="str">
        <x:v>IMO-087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94dd7ceb931fcdd31c3aabcf12d72326fd901586f39cb4297f02465ffbb1fca2</x:v>
      </x:c>
      <x:c r="G7" s="59" t="n">
        <x:v>26579</x:v>
      </x:c>
    </x:row>
    <x:row r="8">
      <x:c r="A8" s="47" t="str">
        <x:v>RUN-IMO-087-20260830T154213646789Z</x:v>
      </x:c>
      <x:c r="B8" s="47" t="str">
        <x:v>IMO-087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129b57e18ef147ef8ac78f9591196ed167ebdc6a22b6524d92bd8ce14fc4a19f</x:v>
      </x:c>
      <x:c r="G8" s="59" t="n">
        <x:v>2830</x:v>
      </x:c>
    </x:row>
    <x:row r="9">
      <x:c r="A9" s="47" t="str">
        <x:v>RUN-IMO-087-20260830T154213646789Z</x:v>
      </x:c>
      <x:c r="B9" s="47" t="str">
        <x:v>IMO-087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b2ad999366422772cb83775f6dd1780ccebce12f2c1ca5d904aa7bc48b19f76a</x:v>
      </x:c>
      <x:c r="G9" s="59" t="n">
        <x:v>2805</x:v>
      </x:c>
    </x:row>
    <x:row r="10">
      <x:c r="A10" s="47" t="str">
        <x:v>RUN-IMO-087-20260830T154213646789Z</x:v>
      </x:c>
      <x:c r="B10" s="47" t="str">
        <x:v>IMO-087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a2529496c90a83592ff5d10be221c5e6676deb9d9737c659f3b47ebae8f2bd8a</x:v>
      </x:c>
      <x:c r="G10" s="59" t="n">
        <x:v>720</x:v>
      </x:c>
    </x:row>
    <x:row r="11">
      <x:c r="A11" s="47" t="str">
        <x:v>RUN-IMO-087-20260830T154213646789Z</x:v>
      </x:c>
      <x:c r="B11" s="47" t="str">
        <x:v>IMO-087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f59562048bac69a36f807675769292021f86916609c9791aaefee90d801b0fa4</x:v>
      </x:c>
      <x:c r="G11" s="59" t="n">
        <x:v>23064</x:v>
      </x:c>
    </x:row>
    <x:row r="12">
      <x:c r="A12" s="47" t="str">
        <x:v>RUN-IMO-087-20260830T154213646789Z</x:v>
      </x:c>
      <x:c r="B12" s="47" t="str">
        <x:v>IMO-087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f383870c32534d043d008f0873a2b59b2e5fa6d2ecb6cb78108643e58ab1a450</x:v>
      </x:c>
      <x:c r="G12" s="59" t="n">
        <x:v>387</x:v>
      </x:c>
    </x:row>
    <x:row r="13">
      <x:c r="A13" s="49" t="str">
        <x:v>RUN-IMO-087-20260830T154213646789Z</x:v>
      </x:c>
      <x:c r="B13" s="49" t="str">
        <x:v>IMO-087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b2ad999366422772cb83775f6dd1780ccebce12f2c1ca5d904aa7bc48b19f76a</x:v>
      </x:c>
      <x:c r="G13" s="60" t="n">
        <x:v>2805</x:v>
      </x:c>
    </x:row>
  </x:sheetData>
  <x:pageMargins left="0.7" right="0.7" top="0.75" bottom="0.75" header="0.3" footer="0.3"/>
  <x:tableParts count="1">
    <x:tablePart xmlns:r="http://schemas.openxmlformats.org/officeDocument/2006/relationships" r:id="Ra0b738c7ca1943f5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RUN-IMO-087-20260830T154213646789Z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RUN-IMO-087-20260830T154213646789Z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RUN-IMO-087-20260830T154213646789Z</x:v>
      </x:c>
      <x:c r="B5" s="69" t="str">
        <x:v>IMO-087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9ece80adc8b4215"/>
  </x:tableParts>
</x:worksheet>
</file>