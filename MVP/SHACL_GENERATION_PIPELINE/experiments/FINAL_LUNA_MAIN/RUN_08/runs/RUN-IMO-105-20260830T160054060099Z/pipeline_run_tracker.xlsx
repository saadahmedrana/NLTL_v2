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b1bff6212a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2be16bde8834958"/>
    <x:sheet xmlns:r="http://schemas.openxmlformats.org/officeDocument/2006/relationships" name="README" sheetId="2" r:id="R5d1dcb1440124643"/>
    <x:sheet xmlns:r="http://schemas.openxmlformats.org/officeDocument/2006/relationships" name="REGULATION_QUEUE" sheetId="3" r:id="R3f546329eb11484f"/>
    <x:sheet xmlns:r="http://schemas.openxmlformats.org/officeDocument/2006/relationships" name="RUNS" sheetId="4" r:id="R3a1894f661654f2b"/>
    <x:sheet xmlns:r="http://schemas.openxmlformats.org/officeDocument/2006/relationships" name="ITERATIONS" sheetId="5" r:id="R103346e188ca47f2"/>
    <x:sheet xmlns:r="http://schemas.openxmlformats.org/officeDocument/2006/relationships" name="API_CALLS" sheetId="6" r:id="R1fb7e691d36347a6"/>
    <x:sheet xmlns:r="http://schemas.openxmlformats.org/officeDocument/2006/relationships" name="TERM_RETRIEVAL" sheetId="7" r:id="R7d9e0a9d07e8487f"/>
    <x:sheet xmlns:r="http://schemas.openxmlformats.org/officeDocument/2006/relationships" name="FEW_SHOT_SELECTION" sheetId="8" r:id="Rab0a23ca7ff3435f"/>
    <x:sheet xmlns:r="http://schemas.openxmlformats.org/officeDocument/2006/relationships" name="VALIDATION" sheetId="9" r:id="Re041400c4f3545ce"/>
    <x:sheet xmlns:r="http://schemas.openxmlformats.org/officeDocument/2006/relationships" name="VOCAB_MATCHES" sheetId="10" r:id="Raaec0826b2f548ff"/>
    <x:sheet xmlns:r="http://schemas.openxmlformats.org/officeDocument/2006/relationships" name="ARTIFACTS" sheetId="11" r:id="Rebcfd442e99649e2"/>
    <x:sheet xmlns:r="http://schemas.openxmlformats.org/officeDocument/2006/relationships" name="UNRESOLVED" sheetId="12" r:id="R24450b8c2a814de1"/>
    <x:sheet xmlns:r="http://schemas.openxmlformats.org/officeDocument/2006/relationships" name="RDF_TEST_QUEUE" sheetId="13" r:id="R0679916994e843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0cf87d84824fd9" /><Relationship Type="http://schemas.openxmlformats.org/officeDocument/2006/relationships/theme" Target="/xl/theme/theme1.xml" Id="R831d84aa34464208" /><Relationship Type="http://schemas.microsoft.com/office/2022/11/relationships/FeaturePropertyBag" Target="/xl/featurePropertyBag/featurePropertyBag.xml" Id="R60d8d7ef1999428b" /><Relationship Type="http://schemas.openxmlformats.org/officeDocument/2006/relationships/sharedStrings" Target="/xl/sharedStrings.xml" Id="Rdbb480fb30b445be" /><Relationship Type="http://schemas.openxmlformats.org/officeDocument/2006/relationships/worksheet" Target="/xl/worksheets/sheet1.xml" Id="Re2be16bde8834958" /><Relationship Type="http://schemas.openxmlformats.org/officeDocument/2006/relationships/worksheet" Target="/xl/worksheets/sheet2.xml" Id="R5d1dcb1440124643" /><Relationship Type="http://schemas.openxmlformats.org/officeDocument/2006/relationships/worksheet" Target="/xl/worksheets/sheet3.xml" Id="R3f546329eb11484f" /><Relationship Type="http://schemas.openxmlformats.org/officeDocument/2006/relationships/worksheet" Target="/xl/worksheets/sheet4.xml" Id="R3a1894f661654f2b" /><Relationship Type="http://schemas.openxmlformats.org/officeDocument/2006/relationships/worksheet" Target="/xl/worksheets/sheet5.xml" Id="R103346e188ca47f2" /><Relationship Type="http://schemas.openxmlformats.org/officeDocument/2006/relationships/worksheet" Target="/xl/worksheets/sheet6.xml" Id="R1fb7e691d36347a6" /><Relationship Type="http://schemas.openxmlformats.org/officeDocument/2006/relationships/worksheet" Target="/xl/worksheets/sheet7.xml" Id="R7d9e0a9d07e8487f" /><Relationship Type="http://schemas.openxmlformats.org/officeDocument/2006/relationships/worksheet" Target="/xl/worksheets/sheet8.xml" Id="Rab0a23ca7ff3435f" /><Relationship Type="http://schemas.openxmlformats.org/officeDocument/2006/relationships/worksheet" Target="/xl/worksheets/sheet9.xml" Id="Re041400c4f3545ce" /><Relationship Type="http://schemas.openxmlformats.org/officeDocument/2006/relationships/worksheet" Target="/xl/worksheets/sheet10.xml" Id="Raaec0826b2f548ff" /><Relationship Type="http://schemas.openxmlformats.org/officeDocument/2006/relationships/worksheet" Target="/xl/worksheets/sheet11.xml" Id="Rebcfd442e99649e2" /><Relationship Type="http://schemas.openxmlformats.org/officeDocument/2006/relationships/worksheet" Target="/xl/worksheets/sheet12.xml" Id="R24450b8c2a814de1" /><Relationship Type="http://schemas.openxmlformats.org/officeDocument/2006/relationships/worksheet" Target="/xl/worksheets/sheet13.xml" Id="R0679916994e843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b5812f423e4f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1573368de24a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cbf4dd37e245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ad0567a15549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931903f7b243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fd7cf4b49745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b818d71aac04b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43594ed2f545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cf79af674b42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d1a626e3aad46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RUN-IMO-105-20260830T160054060099Z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15911.523875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RUN-IMO-105-20260830T160054060099Z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b5812f423e4f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GENERATION_ACCEPTED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1573368de24ad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RUN-IMO-105-20260830T160054060099Z</x:v>
      </x:c>
      <x:c r="C5" s="69" t="str">
        <x:v>IMO-105</x:v>
      </x:c>
      <x:c r="D5" s="70" t="n">
        <x:v>46264.66729236111</x:v>
      </x:c>
      <x:c r="E5" s="70" t="n">
        <x:v>46264.66803030093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prohibition: it targets ships, uses the canonical ship-owned terms with declared datatypes, and selects violations when operatingArea is "Arctic_waters" and the discharge record is absent or any recorded value is not false. This preserves the required applicability and prevents accidental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cbf4dd37e245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RUN-IMO-105-20260830T160054060099Z</x:v>
      </x:c>
      <x:c r="B5" s="45" t="str">
        <x:v>IMO-105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Invert the SPARQL constraint: SHACL sh:sparql must SELECT violating ships, namely those with operatingArea equal to "Arctic_waters" and a discharge value other than false, rather than selecting the compliant false case. Ensure an applicable ship cannot pass with the discharge record absent by requiring oilOrOilyMixtureDischargeToSea when operatingArea is Arctic_waters (using a conditional constraint or equivalent violation query).</x:v>
      </x:c>
      <x:c r="I5" s="81" t="n">
        <x:v>24928.217</x:v>
      </x:c>
      <x:c r="J5" s="81" t="n">
        <x:v>10754.536</x:v>
      </x:c>
    </x:row>
    <x:row r="6">
      <x:c r="A6" s="49" t="str">
        <x:v>RUN-IMO-105-20260830T160054060099Z</x:v>
      </x:c>
      <x:c r="B6" s="49" t="str">
        <x:v>IMO-105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faithfully encodes the conditional prohibition: it targets ships, uses the canonical ship-owned terms with declared datatypes, and selects violations when operatingArea is "Arctic_waters" and the discharge record is absent or any recorded value is not false. This preserves the required applicability and prevents accidental passes.</x:v>
      </x:c>
      <x:c r="I6" s="83" t="n">
        <x:v>23811.524</x:v>
      </x:c>
      <x:c r="J6" s="83" t="n">
        <x:v>4154.459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d0567a15549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RUN-IMO-105-20260830T160054060099Z</x:v>
      </x:c>
      <x:c r="C5" s="45" t="str">
        <x:v>IMO-105</x:v>
      </x:c>
      <x:c r="D5" s="90" t="n">
        <x:v>46264.667580891204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24927.675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RUN-IMO-105-20260830T160054060099Z</x:v>
      </x:c>
      <x:c r="C6" s="47" t="str">
        <x:v>IMO-105</x:v>
      </x:c>
      <x:c r="D6" s="91" t="n">
        <x:v>46264.66758090278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24928.217</x:v>
      </x:c>
      <x:c r="L6" s="93" t="b">
        <x:v>0</x:v>
      </x:c>
      <x:c r="M6" s="47" t="str">
        <x:v>resp_0a03ebe51c0b5e37006a9453b63f9c8196bc90a978f12a2b89</x:v>
      </x:c>
      <x:c r="N6" s="59" t="n">
        <x:v>5502</x:v>
      </x:c>
      <x:c r="O6" s="59" t="n">
        <x:v>1942</x:v>
      </x:c>
      <x:c r="P6" s="59" t="n">
        <x:v>7444</x:v>
      </x:c>
    </x:row>
    <x:row r="7">
      <x:c r="A7" s="47" t="str">
        <x:v>EVT-000021</x:v>
      </x:c>
      <x:c r="B7" s="47" t="str">
        <x:v>RUN-IMO-105-20260830T160054060099Z</x:v>
      </x:c>
      <x:c r="C7" s="47" t="str">
        <x:v>IMO-105</x:v>
      </x:c>
      <x:c r="D7" s="91" t="n">
        <x:v>46264.66770586806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10752.712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RUN-IMO-105-20260830T160054060099Z</x:v>
      </x:c>
      <x:c r="C8" s="47" t="str">
        <x:v>IMO-105</x:v>
      </x:c>
      <x:c r="D8" s="91" t="n">
        <x:v>46264.6677058912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10754.536</x:v>
      </x:c>
      <x:c r="L8" s="93" t="b">
        <x:v>0</x:v>
      </x:c>
      <x:c r="M8" s="47" t="str">
        <x:v>resp_0e30239d58d6f36e006a9453cf41888193a26208b028d29f19</x:v>
      </x:c>
      <x:c r="N8" s="59" t="n">
        <x:v>4486</x:v>
      </x:c>
      <x:c r="O8" s="59" t="n">
        <x:v>555</x:v>
      </x:c>
      <x:c r="P8" s="59" t="n">
        <x:v>5041</x:v>
      </x:c>
    </x:row>
    <x:row r="9">
      <x:c r="A9" s="47" t="str">
        <x:v>EVT-000027</x:v>
      </x:c>
      <x:c r="B9" s="47" t="str">
        <x:v>RUN-IMO-105-20260830T160054060099Z</x:v>
      </x:c>
      <x:c r="C9" s="47" t="str">
        <x:v>IMO-105</x:v>
      </x:c>
      <x:c r="D9" s="91" t="n">
        <x:v>46264.66798150463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23810.084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RUN-IMO-105-20260830T160054060099Z</x:v>
      </x:c>
      <x:c r="C10" s="47" t="str">
        <x:v>IMO-105</x:v>
      </x:c>
      <x:c r="D10" s="91" t="n">
        <x:v>46264.667981516206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23811.524</x:v>
      </x:c>
      <x:c r="L10" s="93" t="b">
        <x:v>0</x:v>
      </x:c>
      <x:c r="M10" s="47" t="str">
        <x:v>resp_0cdff0e1568cfea9006a9453d9f6688197a66e949f4ff9a5a7</x:v>
      </x:c>
      <x:c r="N10" s="59" t="n">
        <x:v>5591</x:v>
      </x:c>
      <x:c r="O10" s="59" t="n">
        <x:v>1821</x:v>
      </x:c>
      <x:c r="P10" s="59" t="n">
        <x:v>7412</x:v>
      </x:c>
    </x:row>
    <x:row r="11">
      <x:c r="A11" s="47" t="str">
        <x:v>EVT-000035</x:v>
      </x:c>
      <x:c r="B11" s="47" t="str">
        <x:v>RUN-IMO-105-20260830T160054060099Z</x:v>
      </x:c>
      <x:c r="C11" s="47" t="str">
        <x:v>IMO-105</x:v>
      </x:c>
      <x:c r="D11" s="91" t="n">
        <x:v>46264.66803025463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4152.984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RUN-IMO-105-20260830T160054060099Z</x:v>
      </x:c>
      <x:c r="C12" s="49" t="str">
        <x:v>IMO-105</x:v>
      </x:c>
      <x:c r="D12" s="94" t="n">
        <x:v>46264.668030277775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4154.459</x:v>
      </x:c>
      <x:c r="L12" s="82" t="b">
        <x:v>0</x:v>
      </x:c>
      <x:c r="M12" s="49" t="str">
        <x:v>resp_0c4ab72d07a1b7a4006a9453f1cc7c8193bbaff259ac57a02e</x:v>
      </x:c>
      <x:c r="N12" s="60" t="n">
        <x:v>4560</x:v>
      </x:c>
      <x:c r="O12" s="60" t="n">
        <x:v>296</x:v>
      </x:c>
      <x:c r="P12" s="60" t="n">
        <x:v>4856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931903f7b243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RUN-IMO-105-20260830T160054060099Z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RUN-IMO-105-20260830T160054060099Z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RUN-IMO-105-20260830T160054060099Z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RUN-IMO-105-20260830T160054060099Z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RUN-IMO-105-20260830T160054060099Z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fd7cf4b49745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RUN-IMO-105-20260830T160054060099Z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RUN-IMO-105-20260830T160054060099Z</x:v>
      </x:c>
      <x:c r="B5" s="45" t="str">
        <x:v>IMO-105</x:v>
      </x:c>
      <x:c r="C5" s="45" t="str">
        <x:v>FS-BOOL-01</x:v>
      </x:c>
      <x:c r="D5" s="45" t="str">
        <x:v>boolean_state</x:v>
      </x:c>
      <x:c r="E5" s="97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RUN-IMO-105-20260830T160054060099Z</x:v>
      </x:c>
      <x:c r="B6" s="49" t="str">
        <x:v>IMO-105</x:v>
      </x:c>
      <x:c r="C6" s="49" t="str">
        <x:v>FS-BOOL-02</x:v>
      </x:c>
      <x:c r="D6" s="49" t="str">
        <x:v>boolean_state</x:v>
      </x:c>
      <x:c r="E6" s="98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b818d71aac04bd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RUN-IMO-105-20260830T160054060099Z</x:v>
      </x:c>
      <x:c r="B5" s="45" t="str">
        <x:v>IMO-105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https://w3id.org/nltl/vocab#oilOrOilyMixtureDischargeToSea | https://w3id.org/nltl/vocab#operatingArea | https://w3id.org/nltl/vocab#ship</x:v>
      </x:c>
      <x:c r="O5" s="46" t="str"/>
      <x:c r="P5" s="46" t="str"/>
      <x:c r="Q5" s="46" t="str"/>
    </x:row>
    <x:row r="6">
      <x:c r="A6" s="49" t="str">
        <x:v>RUN-IMO-105-20260830T160054060099Z</x:v>
      </x:c>
      <x:c r="B6" s="49" t="str">
        <x:v>IMO-105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https://w3id.org/nltl/vocab#oilOrOilyMixtureDischargeToSea | https://w3id.org/nltl/vocab#operatingArea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643594ed2f545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RUN-IMO-105-20260830T160054060099Z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RUN-IMO-105-20260830T160054060099Z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RUN-IMO-105-20260830T160054060099Z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RUN-IMO-105-20260830T160054060099Z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RUN-IMO-105-20260830T160054060099Z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RUN-IMO-105-20260830T160054060099Z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33901ca5f04dd12e06cea13b527e48ff8882de6930da6c27370d912697704d66</x:v>
      </x:c>
      <x:c r="G8" s="59" t="n">
        <x:v>1528</x:v>
      </x:c>
    </x:row>
    <x:row r="9">
      <x:c r="A9" s="47" t="str">
        <x:v>RUN-IMO-105-20260830T160054060099Z</x:v>
      </x:c>
      <x:c r="B9" s="47" t="str">
        <x:v>IMO-105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2c182d866d636b9a34a4b7cefaa679ebe8cdc830f7edecc2bc298bfc059e7387</x:v>
      </x:c>
      <x:c r="G9" s="59" t="n">
        <x:v>1503</x:v>
      </x:c>
    </x:row>
    <x:row r="10">
      <x:c r="A10" s="47" t="str">
        <x:v>RUN-IMO-105-20260830T160054060099Z</x:v>
      </x:c>
      <x:c r="B10" s="47" t="str">
        <x:v>IMO-105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9ffa15021a28426e865492fb6066a5d909acbb3381b00f10ef01e9a1a336fd51</x:v>
      </x:c>
      <x:c r="G10" s="59" t="n">
        <x:v>544</x:v>
      </x:c>
    </x:row>
    <x:row r="11">
      <x:c r="A11" s="47" t="str">
        <x:v>RUN-IMO-105-20260830T160054060099Z</x:v>
      </x:c>
      <x:c r="B11" s="47" t="str">
        <x:v>IMO-105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b46588eaf6db1c5f724a453a500fefa492a47cdfa2d96161e9cc22ca7fc7a68f</x:v>
      </x:c>
      <x:c r="G11" s="59" t="n">
        <x:v>18676</x:v>
      </x:c>
    </x:row>
    <x:row r="12">
      <x:c r="A12" s="47" t="str">
        <x:v>RUN-IMO-105-20260830T160054060099Z</x:v>
      </x:c>
      <x:c r="B12" s="47" t="str">
        <x:v>IMO-105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2306a382cf584d51994d2c621a7323cabbb582854c7ed03a437f2b0bc82be5c8</x:v>
      </x:c>
      <x:c r="G12" s="59" t="n">
        <x:v>500</x:v>
      </x:c>
    </x:row>
    <x:row r="13">
      <x:c r="A13" s="47" t="str">
        <x:v>RUN-IMO-105-20260830T160054060099Z</x:v>
      </x:c>
      <x:c r="B13" s="47" t="str">
        <x:v>IMO-105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41b0532e3e6c853d6d11a941ec8933c94ba31c617db4e524d09b326cdbd205f1</x:v>
      </x:c>
      <x:c r="G13" s="59" t="n">
        <x:v>23804</x:v>
      </x:c>
    </x:row>
    <x:row r="14">
      <x:c r="A14" s="47" t="str">
        <x:v>RUN-IMO-105-20260830T160054060099Z</x:v>
      </x:c>
      <x:c r="B14" s="47" t="str">
        <x:v>IMO-105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3e4ae8a98d4f6e3ee991d690a365160aa1a7cc2770a5aa3d0406700e692018b7</x:v>
      </x:c>
      <x:c r="G14" s="59" t="n">
        <x:v>1365</x:v>
      </x:c>
    </x:row>
    <x:row r="15">
      <x:c r="A15" s="47" t="str">
        <x:v>RUN-IMO-105-20260830T160054060099Z</x:v>
      </x:c>
      <x:c r="B15" s="47" t="str">
        <x:v>IMO-105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dfa6451386bcedd3c8108209dd061b1b5831cac8e4b035451b93b9ea1d4f1dbc</x:v>
      </x:c>
      <x:c r="G15" s="59" t="n">
        <x:v>1340</x:v>
      </x:c>
    </x:row>
    <x:row r="16">
      <x:c r="A16" s="47" t="str">
        <x:v>RUN-IMO-105-20260830T160054060099Z</x:v>
      </x:c>
      <x:c r="B16" s="47" t="str">
        <x:v>IMO-105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9ffa15021a28426e865492fb6066a5d909acbb3381b00f10ef01e9a1a336fd51</x:v>
      </x:c>
      <x:c r="G16" s="59" t="n">
        <x:v>544</x:v>
      </x:c>
    </x:row>
    <x:row r="17">
      <x:c r="A17" s="47" t="str">
        <x:v>RUN-IMO-105-20260830T160054060099Z</x:v>
      </x:c>
      <x:c r="B17" s="47" t="str">
        <x:v>IMO-105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8b139cd08ec5dcd20fcfaa3bc563f0b8db88211a64d09904e5b0857cbc8ae7ce</x:v>
      </x:c>
      <x:c r="G17" s="59" t="n">
        <x:v>18957</x:v>
      </x:c>
    </x:row>
    <x:row r="18">
      <x:c r="A18" s="47" t="str">
        <x:v>RUN-IMO-105-20260830T160054060099Z</x:v>
      </x:c>
      <x:c r="B18" s="47" t="str">
        <x:v>IMO-105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098ca07bcb69a8ccbca1eeb9827d31ddf031a3b04aae366f88a2d708fffee6c3</x:v>
      </x:c>
      <x:c r="G18" s="59" t="n">
        <x:v>411</x:v>
      </x:c>
    </x:row>
    <x:row r="19">
      <x:c r="A19" s="49" t="str">
        <x:v>RUN-IMO-105-20260830T160054060099Z</x:v>
      </x:c>
      <x:c r="B19" s="49" t="str">
        <x:v>IMO-105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dfa6451386bcedd3c8108209dd061b1b5831cac8e4b035451b93b9ea1d4f1dbc</x:v>
      </x:c>
      <x:c r="G19" s="60" t="n">
        <x:v>1340</x:v>
      </x:c>
    </x:row>
  </x:sheetData>
  <x:pageMargins left="0.7" right="0.7" top="0.75" bottom="0.75" header="0.3" footer="0.3"/>
  <x:tableParts count="1">
    <x:tablePart xmlns:r="http://schemas.openxmlformats.org/officeDocument/2006/relationships" r:id="R87cf79af674b42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RUN-IMO-105-20260830T160054060099Z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RUN-IMO-105-20260830T160054060099Z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RUN-IMO-105-20260830T160054060099Z</x:v>
      </x:c>
      <x:c r="B5" s="69" t="str">
        <x:v>IMO-105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1a626e3aad462f"/>
  </x:tableParts>
</x:worksheet>
</file>