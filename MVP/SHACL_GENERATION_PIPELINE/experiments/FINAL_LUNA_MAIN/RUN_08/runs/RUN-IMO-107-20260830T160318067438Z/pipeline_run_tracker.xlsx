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4a2b944b4944681" /></Relationships>
</file>

<file path=xl/workbook.xml><?xml version="1.0" encoding="utf-8"?>
<x:workbook xmlns:x="http://schemas.openxmlformats.org/spreadsheetml/2006/main">
  <x:sheets>
    <x:sheet xmlns:r="http://schemas.openxmlformats.org/officeDocument/2006/relationships" name="SUMMARY" sheetId="1" r:id="R24f548c6a6ba4ae5"/>
    <x:sheet xmlns:r="http://schemas.openxmlformats.org/officeDocument/2006/relationships" name="README" sheetId="2" r:id="Raa26fea99b3941de"/>
    <x:sheet xmlns:r="http://schemas.openxmlformats.org/officeDocument/2006/relationships" name="REGULATION_QUEUE" sheetId="3" r:id="Re0810961314648d8"/>
    <x:sheet xmlns:r="http://schemas.openxmlformats.org/officeDocument/2006/relationships" name="RUNS" sheetId="4" r:id="Rfeab1438103d48ba"/>
    <x:sheet xmlns:r="http://schemas.openxmlformats.org/officeDocument/2006/relationships" name="ITERATIONS" sheetId="5" r:id="R5f2dc892e52242a0"/>
    <x:sheet xmlns:r="http://schemas.openxmlformats.org/officeDocument/2006/relationships" name="API_CALLS" sheetId="6" r:id="R63f15b96ccce4622"/>
    <x:sheet xmlns:r="http://schemas.openxmlformats.org/officeDocument/2006/relationships" name="TERM_RETRIEVAL" sheetId="7" r:id="R7d8149bdb27647b5"/>
    <x:sheet xmlns:r="http://schemas.openxmlformats.org/officeDocument/2006/relationships" name="FEW_SHOT_SELECTION" sheetId="8" r:id="Rbf145a042cc747a7"/>
    <x:sheet xmlns:r="http://schemas.openxmlformats.org/officeDocument/2006/relationships" name="VALIDATION" sheetId="9" r:id="Ra407e310ca184b99"/>
    <x:sheet xmlns:r="http://schemas.openxmlformats.org/officeDocument/2006/relationships" name="VOCAB_MATCHES" sheetId="10" r:id="R0341a9994abf44b5"/>
    <x:sheet xmlns:r="http://schemas.openxmlformats.org/officeDocument/2006/relationships" name="ARTIFACTS" sheetId="11" r:id="Rba4230077a9644a3"/>
    <x:sheet xmlns:r="http://schemas.openxmlformats.org/officeDocument/2006/relationships" name="UNRESOLVED" sheetId="12" r:id="Rb9c04880feed4aae"/>
    <x:sheet xmlns:r="http://schemas.openxmlformats.org/officeDocument/2006/relationships" name="RDF_TEST_QUEUE" sheetId="13" r:id="R2b9322055c124e8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125f0c230934d0d" /><Relationship Type="http://schemas.openxmlformats.org/officeDocument/2006/relationships/theme" Target="/xl/theme/theme1.xml" Id="Rb2d8a0d7a7c1452d" /><Relationship Type="http://schemas.microsoft.com/office/2022/11/relationships/FeaturePropertyBag" Target="/xl/featurePropertyBag/featurePropertyBag.xml" Id="Rfa0d03638eb94944" /><Relationship Type="http://schemas.openxmlformats.org/officeDocument/2006/relationships/sharedStrings" Target="/xl/sharedStrings.xml" Id="R175c810c4b2144dc" /><Relationship Type="http://schemas.openxmlformats.org/officeDocument/2006/relationships/worksheet" Target="/xl/worksheets/sheet1.xml" Id="R24f548c6a6ba4ae5" /><Relationship Type="http://schemas.openxmlformats.org/officeDocument/2006/relationships/worksheet" Target="/xl/worksheets/sheet2.xml" Id="Raa26fea99b3941de" /><Relationship Type="http://schemas.openxmlformats.org/officeDocument/2006/relationships/worksheet" Target="/xl/worksheets/sheet3.xml" Id="Re0810961314648d8" /><Relationship Type="http://schemas.openxmlformats.org/officeDocument/2006/relationships/worksheet" Target="/xl/worksheets/sheet4.xml" Id="Rfeab1438103d48ba" /><Relationship Type="http://schemas.openxmlformats.org/officeDocument/2006/relationships/worksheet" Target="/xl/worksheets/sheet5.xml" Id="R5f2dc892e52242a0" /><Relationship Type="http://schemas.openxmlformats.org/officeDocument/2006/relationships/worksheet" Target="/xl/worksheets/sheet6.xml" Id="R63f15b96ccce4622" /><Relationship Type="http://schemas.openxmlformats.org/officeDocument/2006/relationships/worksheet" Target="/xl/worksheets/sheet7.xml" Id="R7d8149bdb27647b5" /><Relationship Type="http://schemas.openxmlformats.org/officeDocument/2006/relationships/worksheet" Target="/xl/worksheets/sheet8.xml" Id="Rbf145a042cc747a7" /><Relationship Type="http://schemas.openxmlformats.org/officeDocument/2006/relationships/worksheet" Target="/xl/worksheets/sheet9.xml" Id="Ra407e310ca184b99" /><Relationship Type="http://schemas.openxmlformats.org/officeDocument/2006/relationships/worksheet" Target="/xl/worksheets/sheet10.xml" Id="R0341a9994abf44b5" /><Relationship Type="http://schemas.openxmlformats.org/officeDocument/2006/relationships/worksheet" Target="/xl/worksheets/sheet11.xml" Id="Rba4230077a9644a3" /><Relationship Type="http://schemas.openxmlformats.org/officeDocument/2006/relationships/worksheet" Target="/xl/worksheets/sheet12.xml" Id="Rb9c04880feed4aae" /><Relationship Type="http://schemas.openxmlformats.org/officeDocument/2006/relationships/worksheet" Target="/xl/worksheets/sheet13.xml" Id="R2b9322055c124e8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17134d9c4914314" /></Relationships>
</file>

<file path=xl/worksheets/_rels/sheet3.xml.rels>&#65279;<?xml version="1.0" encoding="utf-8"?><Relationships xmlns="http://schemas.openxmlformats.org/package/2006/relationships"><Relationship Type="http://schemas.openxmlformats.org/officeDocument/2006/relationships/table" Target="/xl/tables/table2.xml" Id="R89266e3834094ec3" /></Relationships>
</file>

<file path=xl/worksheets/_rels/sheet4.xml.rels>&#65279;<?xml version="1.0" encoding="utf-8"?><Relationships xmlns="http://schemas.openxmlformats.org/package/2006/relationships"><Relationship Type="http://schemas.openxmlformats.org/officeDocument/2006/relationships/table" Target="/xl/tables/table3.xml" Id="R8b4a8cc8a727461d" /></Relationships>
</file>

<file path=xl/worksheets/_rels/sheet5.xml.rels>&#65279;<?xml version="1.0" encoding="utf-8"?><Relationships xmlns="http://schemas.openxmlformats.org/package/2006/relationships"><Relationship Type="http://schemas.openxmlformats.org/officeDocument/2006/relationships/table" Target="/xl/tables/table4.xml" Id="R8b743bdd18bc49d1" /></Relationships>
</file>

<file path=xl/worksheets/_rels/sheet6.xml.rels>&#65279;<?xml version="1.0" encoding="utf-8"?><Relationships xmlns="http://schemas.openxmlformats.org/package/2006/relationships"><Relationship Type="http://schemas.openxmlformats.org/officeDocument/2006/relationships/table" Target="/xl/tables/table5.xml" Id="Rb8327fadec8d49b6" /></Relationships>
</file>

<file path=xl/worksheets/_rels/sheet7.xml.rels>&#65279;<?xml version="1.0" encoding="utf-8"?><Relationships xmlns="http://schemas.openxmlformats.org/package/2006/relationships"><Relationship Type="http://schemas.openxmlformats.org/officeDocument/2006/relationships/table" Target="/xl/tables/table6.xml" Id="Recd1490d957f4f55" /></Relationships>
</file>

<file path=xl/worksheets/_rels/sheet8.xml.rels>&#65279;<?xml version="1.0" encoding="utf-8"?><Relationships xmlns="http://schemas.openxmlformats.org/package/2006/relationships"><Relationship Type="http://schemas.openxmlformats.org/officeDocument/2006/relationships/table" Target="/xl/tables/table7.xml" Id="R91a6100e02604e71" /></Relationships>
</file>

<file path=xl/worksheets/_rels/sheet9.xml.rels>&#65279;<?xml version="1.0" encoding="utf-8"?><Relationships xmlns="http://schemas.openxmlformats.org/package/2006/relationships"><Relationship Type="http://schemas.openxmlformats.org/officeDocument/2006/relationships/table" Target="/xl/tables/table8.xml" Id="Rb27ce735b5544410" /></Relationships>
</file>

<file path=xl/worksheets/_rels/sheet11.xml.rels>&#65279;<?xml version="1.0" encoding="utf-8"?><Relationships xmlns="http://schemas.openxmlformats.org/package/2006/relationships"><Relationship Type="http://schemas.openxmlformats.org/officeDocument/2006/relationships/table" Target="/xl/tables/table9.xml" Id="R8265ba7a5f684c83" /></Relationships>
</file>

<file path=xl/worksheets/_rels/sheet13.xml.rels>&#65279;<?xml version="1.0" encoding="utf-8"?><Relationships xmlns="http://schemas.openxmlformats.org/package/2006/relationships"><Relationship Type="http://schemas.openxmlformats.org/officeDocument/2006/relationships/table" Target="/xl/tables/table10.xml" Id="Ra4e9df80b435449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RUN-IMO-107-20260830T160318067438Z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COUNTA('API_CALLS'!$A$5:$A$10)</x:f>
        <x:v>6</x:v>
      </x:c>
      <x:c r="C9" s="21"/>
      <x:c r="D9" s="21"/>
    </x:row>
    <x:row r="10">
      <x:c r="A10" s="27" t="str">
        <x:v>Mean API/LLM elapsed ms</x:v>
      </x:c>
      <x:c r="B10" s="28" t="n">
        <x:f>IFERROR(AVERAGE('API_CALLS'!$K$5:$K$10),0)</x:f>
        <x:v>17827.356166666665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RUN-IMO-107-20260830T160318067438Z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17134d9c491431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RUN-IMO-107-20260830T160318067438Z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GENERATION_ACCEPTED</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9266e3834094ec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RUN-IMO-107-20260830T160318067438Z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RUN-IMO-107-20260830T160318067438Z</x:v>
      </x:c>
      <x:c r="C5" s="69" t="str">
        <x:v>IMO-107</x:v>
      </x:c>
      <x:c r="D5" s="70" t="n">
        <x:v>46264.66895912037</x:v>
      </x:c>
      <x:c r="E5" s="70" t="n">
        <x:v>46264.66957932871</x:v>
      </x:c>
      <x:c r="F5" s="69" t="str">
        <x:v>final-luna-main-run08</x:v>
      </x:c>
      <x:c r="G5" s="69" t="str">
        <x:v>VOCAB-LOCK-2026-08-22-R13</x:v>
      </x:c>
      <x:c r="H5" s="71" t="n">
        <x:v>1</x:v>
      </x:c>
      <x:c r="I5" s="69" t="str">
        <x:v>GENERATION_ACCEPTED</x:v>
      </x:c>
      <x:c r="J5" s="72" t="b">
        <x:v>1</x:v>
      </x:c>
      <x:c r="K5" s="69" t="str">
        <x:v>final/final_shape.ttl</x:v>
      </x:c>
      <x:c r="L5" s="73" t="str">
        <x:v>Candidate faithfully encodes the conditional requirement: ship applicability is explicitly selected, and the applicable branch requires true coverage indicators for the Oil Record Book, manuals, and pollution emergency plan. Targets, canonical namespace, datatypes, and verification mode are correct.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b4a8cc8a727461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RUN-IMO-107-20260830T160318067438Z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RUN-IMO-107-20260830T160318067438Z</x:v>
      </x:c>
      <x:c r="B5" s="69" t="str">
        <x:v>IMO-107</x:v>
      </x:c>
      <x:c r="C5" s="71" t="n">
        <x:v>1</x:v>
      </x:c>
      <x:c r="D5" s="72" t="b">
        <x:v>1</x:v>
      </x:c>
      <x:c r="E5" s="72" t="b">
        <x:v>1</x:v>
      </x:c>
      <x:c r="F5" s="72" t="b">
        <x:v>0</x:v>
      </x:c>
      <x:c r="G5" s="69" t="str">
        <x:v>ACCEPT</x:v>
      </x:c>
      <x:c r="H5" s="73" t="str">
        <x:v>Candidate faithfully encodes the conditional requirement: ship applicability is explicitly selected, and the applicable branch requires true coverage indicators for the Oil Record Book, manuals, and pollution emergency plan. Targets, canonical namespace, datatypes, and verification mode are correct.</x:v>
      </x:c>
      <x:c r="I5" s="75" t="n">
        <x:v>21358.95</x:v>
      </x:c>
      <x:c r="J5" s="75" t="n">
        <x:v>21875.419</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b743bdd18bc49d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RUN-IMO-107-20260830T160318067438Z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RUN-IMO-107-20260830T160318067438Z</x:v>
      </x:c>
      <x:c r="C5" s="45" t="str">
        <x:v>IMO-107</x:v>
      </x:c>
      <x:c r="D5" s="88" t="n">
        <x:v>46264.66920635416</x:v>
      </x:c>
      <x:c r="E5" s="45" t="str">
        <x:v>generator</x:v>
      </x:c>
      <x:c r="F5" s="45" t="str">
        <x:v>gpt-5.6-luna-2026-07-09</x:v>
      </x:c>
      <x:c r="G5" s="45" t="n">
        <x:v>1</x:v>
      </x:c>
      <x:c r="H5" s="45" t="n">
        <x:v>200</x:v>
      </x:c>
      <x:c r="I5" s="45" t="str">
        <x:v>Ocp-Apim-Subscription-Key</x:v>
      </x:c>
      <x:c r="J5" s="89" t="n">
        <x:v>0</x:v>
      </x:c>
      <x:c r="K5" s="89" t="n">
        <x:v>21357.562</x:v>
      </x:c>
      <x:c r="L5" s="90" t="b">
        <x:v>0</x:v>
      </x:c>
      <x:c r="M5" s="45" t="str"/>
      <x:c r="N5" s="58" t="str"/>
      <x:c r="O5" s="58" t="str"/>
      <x:c r="P5" s="58" t="str"/>
    </x:row>
    <x:row r="6">
      <x:c r="A6" s="47" t="str">
        <x:v>EVT-000016</x:v>
      </x:c>
      <x:c r="B6" s="47" t="str">
        <x:v>RUN-IMO-107-20260830T160318067438Z</x:v>
      </x:c>
      <x:c r="C6" s="47" t="str">
        <x:v>IMO-107</x:v>
      </x:c>
      <x:c r="D6" s="91" t="n">
        <x:v>46264.669206377315</x:v>
      </x:c>
      <x:c r="E6" s="47" t="str">
        <x:v>generator</x:v>
      </x:c>
      <x:c r="F6" s="47" t="str">
        <x:v>gpt-5.6-luna-2026-07-09</x:v>
      </x:c>
      <x:c r="G6" s="47" t="n">
        <x:v>1</x:v>
      </x:c>
      <x:c r="H6" s="47" t="str">
        <x:v>COMPLETED</x:v>
      </x:c>
      <x:c r="I6" s="47" t="str"/>
      <x:c r="J6" s="92" t="n">
        <x:v>0</x:v>
      </x:c>
      <x:c r="K6" s="92" t="n">
        <x:v>21358.95</x:v>
      </x:c>
      <x:c r="L6" s="93" t="b">
        <x:v>0</x:v>
      </x:c>
      <x:c r="M6" s="47" t="str">
        <x:v>resp_0e3640bd48f9a330006a945446348c8196a4dfcb795bb8207f</x:v>
      </x:c>
      <x:c r="N6" s="59" t="n">
        <x:v>6122</x:v>
      </x:c>
      <x:c r="O6" s="59" t="n">
        <x:v>1423</x:v>
      </x:c>
      <x:c r="P6" s="59" t="n">
        <x:v>7545</x:v>
      </x:c>
    </x:row>
    <x:row r="7">
      <x:c r="A7" s="47" t="str">
        <x:v>EVT-000021</x:v>
      </x:c>
      <x:c r="B7" s="47" t="str">
        <x:v>RUN-IMO-107-20260830T160318067438Z</x:v>
      </x:c>
      <x:c r="C7" s="47" t="str">
        <x:v>IMO-107</x:v>
      </x:c>
      <x:c r="D7" s="91" t="n">
        <x:v>46264.66932505787</x:v>
      </x:c>
      <x:c r="E7" s="47" t="str">
        <x:v>syntax_repair</x:v>
      </x:c>
      <x:c r="F7" s="47" t="str">
        <x:v>gpt-5.6-luna-2026-07-09</x:v>
      </x:c>
      <x:c r="G7" s="47" t="n">
        <x:v>1</x:v>
      </x:c>
      <x:c r="H7" s="47" t="n">
        <x:v>200</x:v>
      </x:c>
      <x:c r="I7" s="47" t="str">
        <x:v>Ocp-Apim-Subscription-Key</x:v>
      </x:c>
      <x:c r="J7" s="92" t="n">
        <x:v>0</x:v>
      </x:c>
      <x:c r="K7" s="92" t="n">
        <x:v>10248.427</x:v>
      </x:c>
      <x:c r="L7" s="93" t="b">
        <x:v>0</x:v>
      </x:c>
      <x:c r="M7" s="47" t="str"/>
      <x:c r="N7" s="59" t="str"/>
      <x:c r="O7" s="59" t="str"/>
      <x:c r="P7" s="59" t="str"/>
    </x:row>
    <x:row r="8">
      <x:c r="A8" s="47" t="str">
        <x:v>EVT-000022</x:v>
      </x:c>
      <x:c r="B8" s="47" t="str">
        <x:v>RUN-IMO-107-20260830T160318067438Z</x:v>
      </x:c>
      <x:c r="C8" s="47" t="str">
        <x:v>IMO-107</x:v>
      </x:c>
      <x:c r="D8" s="91" t="n">
        <x:v>46264.669325069444</x:v>
      </x:c>
      <x:c r="E8" s="47" t="str">
        <x:v>syntax_repair</x:v>
      </x:c>
      <x:c r="F8" s="47" t="str">
        <x:v>gpt-5.6-luna-2026-07-09</x:v>
      </x:c>
      <x:c r="G8" s="47" t="n">
        <x:v>1</x:v>
      </x:c>
      <x:c r="H8" s="47" t="str">
        <x:v>COMPLETED</x:v>
      </x:c>
      <x:c r="I8" s="47" t="str"/>
      <x:c r="J8" s="92" t="n">
        <x:v>0</x:v>
      </x:c>
      <x:c r="K8" s="92" t="n">
        <x:v>10249.896</x:v>
      </x:c>
      <x:c r="L8" s="93" t="b">
        <x:v>0</x:v>
      </x:c>
      <x:c r="M8" s="47" t="str">
        <x:v>resp_04d556368fadb3a3006a94545b8edc8195b71bfbc9206c3ad2</x:v>
      </x:c>
      <x:c r="N8" s="59" t="n">
        <x:v>834</x:v>
      </x:c>
      <x:c r="O8" s="59" t="n">
        <x:v>803</x:v>
      </x:c>
      <x:c r="P8" s="59" t="n">
        <x:v>1637</x:v>
      </x:c>
    </x:row>
    <x:row r="9">
      <x:c r="A9" s="47" t="str">
        <x:v>EVT-000030</x:v>
      </x:c>
      <x:c r="B9" s="47" t="str">
        <x:v>RUN-IMO-107-20260830T160318067438Z</x:v>
      </x:c>
      <x:c r="C9" s="47" t="str">
        <x:v>IMO-107</x:v>
      </x:c>
      <x:c r="D9" s="91" t="n">
        <x:v>46264.66957924768</x:v>
      </x:c>
      <x:c r="E9" s="47" t="str">
        <x:v>validator</x:v>
      </x:c>
      <x:c r="F9" s="47" t="str">
        <x:v>gpt-5.6-luna-2026-07-09</x:v>
      </x:c>
      <x:c r="G9" s="47" t="n">
        <x:v>1</x:v>
      </x:c>
      <x:c r="H9" s="47" t="n">
        <x:v>200</x:v>
      </x:c>
      <x:c r="I9" s="47" t="str">
        <x:v>Ocp-Apim-Subscription-Key</x:v>
      </x:c>
      <x:c r="J9" s="92" t="n">
        <x:v>0</x:v>
      </x:c>
      <x:c r="K9" s="92" t="n">
        <x:v>21873.883</x:v>
      </x:c>
      <x:c r="L9" s="93" t="b">
        <x:v>0</x:v>
      </x:c>
      <x:c r="M9" s="47" t="str"/>
      <x:c r="N9" s="59" t="str"/>
      <x:c r="O9" s="59" t="str"/>
      <x:c r="P9" s="59" t="str"/>
    </x:row>
    <x:row r="10">
      <x:c r="A10" s="49" t="str">
        <x:v>EVT-000031</x:v>
      </x:c>
      <x:c r="B10" s="49" t="str">
        <x:v>RUN-IMO-107-20260830T160318067438Z</x:v>
      </x:c>
      <x:c r="C10" s="49" t="str">
        <x:v>IMO-107</x:v>
      </x:c>
      <x:c r="D10" s="94" t="n">
        <x:v>46264.66957925926</x:v>
      </x:c>
      <x:c r="E10" s="49" t="str">
        <x:v>validator</x:v>
      </x:c>
      <x:c r="F10" s="49" t="str">
        <x:v>gpt-5.6-luna-2026-07-09</x:v>
      </x:c>
      <x:c r="G10" s="49" t="n">
        <x:v>1</x:v>
      </x:c>
      <x:c r="H10" s="49" t="str">
        <x:v>COMPLETED</x:v>
      </x:c>
      <x:c r="I10" s="49" t="str"/>
      <x:c r="J10" s="95" t="n">
        <x:v>0</x:v>
      </x:c>
      <x:c r="K10" s="95" t="n">
        <x:v>21875.419</x:v>
      </x:c>
      <x:c r="L10" s="96" t="b">
        <x:v>0</x:v>
      </x:c>
      <x:c r="M10" s="49" t="str">
        <x:v>resp_069c45013820d560006a945466a9748195bee59afbf03e3c8d</x:v>
      </x:c>
      <x:c r="N10" s="60" t="n">
        <x:v>5422</x:v>
      </x:c>
      <x:c r="O10" s="60" t="n">
        <x:v>1428</x:v>
      </x:c>
      <x:c r="P10" s="60" t="n">
        <x:v>6850</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8327fadec8d49b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RUN-IMO-107-20260830T160318067438Z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RUN-IMO-107-20260830T160318067438Z</x:v>
      </x:c>
      <x:c r="B5" s="45" t="str">
        <x:v>IMO-107</x:v>
      </x:c>
      <x:c r="C5" s="45" t="str">
        <x:v>benchmarkEntity</x:v>
      </x:c>
      <x:c r="D5" s="46" t="str">
        <x:v>https://w3id.org/nltl/vocab#benchmarkEntity</x:v>
      </x:c>
      <x:c r="E5" s="45" t="str">
        <x:v>Class</x:v>
      </x:c>
      <x:c r="F5" s="45" t="str"/>
      <x:c r="G5" s="45" t="str"/>
      <x:c r="H5" s="45" t="str"/>
      <x:c r="I5" s="46" t="str">
        <x:v>baseline target infrastructure; domain dependency of manualPolarCoverage; domain dependency of oilRecordBookPolarCoverage; domain dependency of polarOperationCoverage; domain dependency of pollutionEmergencyPlanPolarCoverage; domain dependency of shipOperatesInPolarWaters</x:v>
      </x:c>
      <x:c r="J5" s="45" t="n">
        <x:v>0</x:v>
      </x:c>
    </x:row>
    <x:row r="6">
      <x:c r="A6" s="47" t="str">
        <x:v>RUN-IMO-107-20260830T160318067438Z</x:v>
      </x:c>
      <x:c r="B6" s="47" t="str">
        <x:v>IMO-107</x:v>
      </x:c>
      <x:c r="C6" s="47" t="str">
        <x:v>manualPolarCoverage</x:v>
      </x:c>
      <x:c r="D6" s="48" t="str">
        <x:v>https://w3id.org/nltl/vocab#manualPolarCoverage</x:v>
      </x:c>
      <x:c r="E6" s="47" t="str">
        <x:v>DatatypeProperty</x:v>
      </x:c>
      <x:c r="F6" s="47" t="str">
        <x:v>xsd:boolean</x:v>
      </x:c>
      <x:c r="G6" s="47" t="str">
        <x:v>http://www.w3.org/2001/XMLSchema#boolean</x:v>
      </x:c>
      <x:c r="H6" s="47" t="str"/>
      <x:c r="I6" s="48" t="str">
        <x:v>linked by the locked 313-requirement index</x:v>
      </x:c>
      <x:c r="J6" s="47" t="n">
        <x:v>0</x:v>
      </x:c>
    </x:row>
    <x:row r="7">
      <x:c r="A7" s="47" t="str">
        <x:v>RUN-IMO-107-20260830T160318067438Z</x:v>
      </x:c>
      <x:c r="B7" s="47" t="str">
        <x:v>IMO-107</x:v>
      </x:c>
      <x:c r="C7" s="47" t="str">
        <x:v>oilRecordBookPolarCoverage</x:v>
      </x:c>
      <x:c r="D7" s="48" t="str">
        <x:v>https://w3id.org/nltl/vocab#oilRecordBookPolarCoverage</x:v>
      </x:c>
      <x:c r="E7" s="47" t="str">
        <x:v>DatatypeProperty</x:v>
      </x:c>
      <x:c r="F7" s="47" t="str">
        <x:v>xsd:boolean</x:v>
      </x:c>
      <x:c r="G7" s="47" t="str">
        <x:v>http://www.w3.org/2001/XMLSchema#boolean</x:v>
      </x:c>
      <x:c r="H7" s="47" t="str"/>
      <x:c r="I7" s="48" t="str">
        <x:v>linked by the locked 313-requirement index</x:v>
      </x:c>
      <x:c r="J7" s="47" t="n">
        <x:v>0</x:v>
      </x:c>
    </x:row>
    <x:row r="8">
      <x:c r="A8" s="47" t="str">
        <x:v>RUN-IMO-107-20260830T160318067438Z</x:v>
      </x:c>
      <x:c r="B8" s="47" t="str">
        <x:v>IMO-107</x:v>
      </x:c>
      <x:c r="C8" s="47" t="str">
        <x:v>polarOperationCoverage</x:v>
      </x:c>
      <x:c r="D8" s="48" t="str">
        <x:v>https://w3id.org/nltl/vocab#polarOperationCoverage</x:v>
      </x:c>
      <x:c r="E8" s="47" t="str">
        <x:v>DatatypeProperty</x:v>
      </x:c>
      <x:c r="F8" s="47" t="str">
        <x:v>xsd:boolean</x:v>
      </x:c>
      <x:c r="G8" s="47" t="str">
        <x:v>http://www.w3.org/2001/XMLSchema#boolean</x:v>
      </x:c>
      <x:c r="H8" s="47" t="str"/>
      <x:c r="I8" s="48" t="str">
        <x:v>linked by the locked 313-requirement index</x:v>
      </x:c>
      <x:c r="J8" s="47" t="n">
        <x:v>0</x:v>
      </x:c>
    </x:row>
    <x:row r="9">
      <x:c r="A9" s="47" t="str">
        <x:v>RUN-IMO-107-20260830T160318067438Z</x:v>
      </x:c>
      <x:c r="B9" s="47" t="str">
        <x:v>IMO-107</x:v>
      </x:c>
      <x:c r="C9" s="47" t="str">
        <x:v>pollutionEmergencyPlanPolarCoverage</x:v>
      </x:c>
      <x:c r="D9" s="48" t="str">
        <x:v>https://w3id.org/nltl/vocab#pollutionEmergencyPlanPolarCoverage</x:v>
      </x:c>
      <x:c r="E9" s="47" t="str">
        <x:v>DatatypeProperty</x:v>
      </x:c>
      <x:c r="F9" s="47" t="str">
        <x:v>xsd:boolean</x:v>
      </x:c>
      <x:c r="G9" s="47" t="str">
        <x:v>http://www.w3.org/2001/XMLSchema#boolean</x:v>
      </x:c>
      <x:c r="H9" s="47" t="str"/>
      <x:c r="I9" s="48" t="str">
        <x:v>linked by the locked 313-requirement index</x:v>
      </x:c>
      <x:c r="J9" s="47" t="n">
        <x:v>0</x:v>
      </x:c>
    </x:row>
    <x:row r="10">
      <x:c r="A10" s="47" t="str">
        <x:v>RUN-IMO-107-20260830T160318067438Z</x:v>
      </x:c>
      <x:c r="B10" s="47" t="str">
        <x:v>IMO-107</x:v>
      </x:c>
      <x:c r="C10" s="47" t="str">
        <x:v>ship</x:v>
      </x:c>
      <x:c r="D10" s="48" t="str">
        <x:v>https://w3id.org/nltl/vocab#ship</x:v>
      </x:c>
      <x:c r="E10" s="47" t="str">
        <x:v>Class</x:v>
      </x:c>
      <x:c r="F10" s="47" t="str"/>
      <x:c r="G10" s="47" t="str"/>
      <x:c r="H10" s="47" t="str"/>
      <x:c r="I10" s="48" t="str">
        <x:v>authoritative required owner class; authoritative requirement target owner; baseline target infrastructure</x:v>
      </x:c>
      <x:c r="J10" s="47" t="n">
        <x:v>0</x:v>
      </x:c>
    </x:row>
    <x:row r="11">
      <x:c r="A11" s="49" t="str">
        <x:v>RUN-IMO-107-20260830T160318067438Z</x:v>
      </x:c>
      <x:c r="B11" s="49" t="str">
        <x:v>IMO-107</x:v>
      </x:c>
      <x:c r="C11" s="49" t="str">
        <x:v>shipOperatesInPolarWaters</x:v>
      </x:c>
      <x:c r="D11" s="50" t="str">
        <x:v>https://w3id.org/nltl/vocab#shipOperatesInPolarWaters</x:v>
      </x:c>
      <x:c r="E11" s="49" t="str">
        <x:v>DatatypeProperty</x:v>
      </x:c>
      <x:c r="F11" s="49" t="str">
        <x:v>xsd:boolean</x:v>
      </x:c>
      <x:c r="G11" s="49" t="str">
        <x:v>http://www.w3.org/2001/XMLSchema#boolean</x:v>
      </x:c>
      <x:c r="H11" s="49" t="str"/>
      <x:c r="I11" s="50" t="str">
        <x:v>linked by the locked 313-requirement index</x:v>
      </x:c>
      <x:c r="J11" s="49" t="n">
        <x:v>0</x:v>
      </x:c>
    </x:row>
  </x:sheetData>
  <x:pageMargins left="0.7" right="0.7" top="0.75" bottom="0.75" header="0.3" footer="0.3"/>
  <x:tableParts count="1">
    <x:tablePart xmlns:r="http://schemas.openxmlformats.org/officeDocument/2006/relationships" r:id="Recd1490d957f4f5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RUN-IMO-107-20260830T160318067438Z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RUN-IMO-107-20260830T160318067438Z</x:v>
      </x:c>
      <x:c r="B5" s="45" t="str">
        <x:v>IMO-107</x:v>
      </x:c>
      <x:c r="C5" s="45" t="str">
        <x:v>FS-BOOL-01</x:v>
      </x:c>
      <x:c r="D5" s="45" t="str">
        <x:v>boolean_state</x:v>
      </x:c>
      <x:c r="E5" s="99" t="n">
        <x:v>0.065217</x:v>
      </x:c>
      <x:c r="F5" s="45" t="str">
        <x:v>boolean | required | value</x:v>
      </x:c>
      <x:c r="G5" s="45" t="str">
        <x:v>synthetic-few-shot-not-benchmark-ground-truth</x:v>
      </x:c>
    </x:row>
    <x:row r="6">
      <x:c r="A6" s="49" t="str">
        <x:v>RUN-IMO-107-20260830T160318067438Z</x:v>
      </x:c>
      <x:c r="B6" s="49" t="str">
        <x:v>IMO-107</x:v>
      </x:c>
      <x:c r="C6" s="49" t="str">
        <x:v>FS-BOOL-02</x:v>
      </x:c>
      <x:c r="D6" s="49" t="str">
        <x:v>boolean_state</x:v>
      </x:c>
      <x:c r="E6" s="100" t="n">
        <x:v>0.065217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1a6100e02604e7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RUN-IMO-107-20260830T160318067438Z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RUN-IMO-107-20260830T160318067438Z</x:v>
      </x:c>
      <x:c r="B5" s="69" t="str">
        <x:v>IMO-107</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https://w3id.org/nltl/vocab#manualPolarCoverage | https://w3id.org/nltl/vocab#oilRecordBookPolarCoverage | https://w3id.org/nltl/vocab#pollutionEmergencyPlanPolarCoverage | https://w3id.org/nltl/vocab#ship | https://w3id.org/nltl/vocab#shipOperatesInPolarWaters</x:v>
      </x:c>
      <x:c r="O5" s="73" t="str"/>
      <x:c r="P5" s="73" t="str"/>
      <x:c r="Q5" s="73" t="str"/>
    </x:row>
  </x:sheetData>
  <x:pageMargins left="0.7" right="0.7" top="0.75" bottom="0.75" header="0.3" footer="0.3"/>
  <x:tableParts count="1">
    <x:tablePart xmlns:r="http://schemas.openxmlformats.org/officeDocument/2006/relationships" r:id="Rb27ce735b554441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RUN-IMO-107-20260830T160318067438Z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RUN-IMO-107-20260830T160318067438Z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RUN-IMO-107-20260830T160318067438Z</x:v>
      </x:c>
      <x:c r="B5" s="45" t="str">
        <x:v>IMO-107</x:v>
      </x:c>
      <x:c r="C5" s="58"/>
      <x:c r="D5" s="45" t="str">
        <x:v>initial_context_pack</x:v>
      </x:c>
      <x:c r="E5" s="46" t="str">
        <x:v>artifacts/context_pack_initial.json</x:v>
      </x:c>
      <x:c r="F5" s="45" t="str">
        <x:v>742d034f8d0558109b6eac8ced24cb2971018fa1ebd010c2c3b38027f1fb8767</x:v>
      </x:c>
      <x:c r="G5" s="58" t="n">
        <x:v>11652</x:v>
      </x:c>
    </x:row>
    <x:row r="6">
      <x:c r="A6" s="47" t="str">
        <x:v>RUN-IMO-107-20260830T160318067438Z</x:v>
      </x:c>
      <x:c r="B6" s="47" t="str">
        <x:v>IMO-107</x:v>
      </x:c>
      <x:c r="C6" s="59"/>
      <x:c r="D6" s="47" t="str">
        <x:v>few_shot_selection</x:v>
      </x:c>
      <x:c r="E6" s="48" t="str">
        <x:v>artifacts/few_shots_selected.json</x:v>
      </x:c>
      <x:c r="F6" s="47" t="str">
        <x:v>26837fd256c3542d7623663120f73dcf7fa51019398062819a5628df02e0de5c</x:v>
      </x:c>
      <x:c r="G6" s="59" t="n">
        <x:v>3110</x:v>
      </x:c>
    </x:row>
    <x:row r="7">
      <x:c r="A7" s="47" t="str">
        <x:v>RUN-IMO-107-20260830T160318067438Z</x:v>
      </x:c>
      <x:c r="B7" s="47" t="str">
        <x:v>IMO-107</x:v>
      </x:c>
      <x:c r="C7" s="59" t="n">
        <x:v>1</x:v>
      </x:c>
      <x:c r="D7" s="47" t="str">
        <x:v>generator_prompt</x:v>
      </x:c>
      <x:c r="E7" s="48" t="str">
        <x:v>artifacts/attempt_01/generator_prompt.txt</x:v>
      </x:c>
      <x:c r="F7" s="47" t="str">
        <x:v>47472d157f638ea4a0825a735813356b307ea5cab6ec296b4e366a6ec84115cd</x:v>
      </x:c>
      <x:c r="G7" s="59" t="n">
        <x:v>26276</x:v>
      </x:c>
    </x:row>
    <x:row r="8">
      <x:c r="A8" s="47" t="str">
        <x:v>RUN-IMO-107-20260830T160318067438Z</x:v>
      </x:c>
      <x:c r="B8" s="47" t="str">
        <x:v>IMO-107</x:v>
      </x:c>
      <x:c r="C8" s="59" t="n">
        <x:v>1</x:v>
      </x:c>
      <x:c r="D8" s="47" t="str">
        <x:v>generator_raw_response</x:v>
      </x:c>
      <x:c r="E8" s="48" t="str">
        <x:v>artifacts/attempt_01/generator_raw.txt</x:v>
      </x:c>
      <x:c r="F8" s="47" t="str">
        <x:v>db61906d1e5de3d9d414eaee9a12c6aa9551d19239b98876f7bbdf364cd3615a</x:v>
      </x:c>
      <x:c r="G8" s="59" t="n">
        <x:v>1963</x:v>
      </x:c>
    </x:row>
    <x:row r="9">
      <x:c r="A9" s="47" t="str">
        <x:v>RUN-IMO-107-20260830T160318067438Z</x:v>
      </x:c>
      <x:c r="B9" s="47" t="str">
        <x:v>IMO-107</x:v>
      </x:c>
      <x:c r="C9" s="59" t="n">
        <x:v>1</x:v>
      </x:c>
      <x:c r="D9" s="47" t="str">
        <x:v>syntax_repair_prompt</x:v>
      </x:c>
      <x:c r="E9" s="48" t="str">
        <x:v>artifacts/attempt_01/syntax_repair_prompt_01.txt</x:v>
      </x:c>
      <x:c r="F9" s="47" t="str">
        <x:v>b90a1f319183f53c993fe22c9e9e6b92598868fc169e520606dd3204851e3970</x:v>
      </x:c>
      <x:c r="G9" s="59" t="n">
        <x:v>3168</x:v>
      </x:c>
    </x:row>
    <x:row r="10">
      <x:c r="A10" s="47" t="str">
        <x:v>RUN-IMO-107-20260830T160318067438Z</x:v>
      </x:c>
      <x:c r="B10" s="47" t="str">
        <x:v>IMO-107</x:v>
      </x:c>
      <x:c r="C10" s="59" t="n">
        <x:v>1</x:v>
      </x:c>
      <x:c r="D10" s="47" t="str">
        <x:v>syntax_repair_raw_response</x:v>
      </x:c>
      <x:c r="E10" s="48" t="str">
        <x:v>artifacts/attempt_01/syntax_repair_raw_01.txt</x:v>
      </x:c>
      <x:c r="F10" s="47" t="str">
        <x:v>7a161c8f87fa9fba70d39011a37f942769c9fa168f8102ea79f6b598d80f1a10</x:v>
      </x:c>
      <x:c r="G10" s="59" t="n">
        <x:v>1963</x:v>
      </x:c>
    </x:row>
    <x:row r="11">
      <x:c r="A11" s="47" t="str">
        <x:v>RUN-IMO-107-20260830T160318067438Z</x:v>
      </x:c>
      <x:c r="B11" s="47" t="str">
        <x:v>IMO-107</x:v>
      </x:c>
      <x:c r="C11" s="59" t="n">
        <x:v>1</x:v>
      </x:c>
      <x:c r="D11" s="47" t="str">
        <x:v>candidate_shape</x:v>
      </x:c>
      <x:c r="E11" s="48" t="str">
        <x:v>artifacts/attempt_01/candidate_shape.ttl</x:v>
      </x:c>
      <x:c r="F11" s="47" t="str">
        <x:v>9c513f41da84419703e7f7b6a171e0ad52ba3890b3bf551dc01496948aef34e3</x:v>
      </x:c>
      <x:c r="G11" s="59" t="n">
        <x:v>1938</x:v>
      </x:c>
    </x:row>
    <x:row r="12">
      <x:c r="A12" s="47" t="str">
        <x:v>RUN-IMO-107-20260830T160318067438Z</x:v>
      </x:c>
      <x:c r="B12" s="47" t="str">
        <x:v>IMO-107</x:v>
      </x:c>
      <x:c r="C12" s="59" t="n">
        <x:v>1</x:v>
      </x:c>
      <x:c r="D12" s="47" t="str">
        <x:v>deterministic_validation</x:v>
      </x:c>
      <x:c r="E12" s="48" t="str">
        <x:v>artifacts/attempt_01/deterministic_validation.json</x:v>
      </x:c>
      <x:c r="F12" s="47" t="str">
        <x:v>1c621af205d30c9dd278a55f2601ee92a4346379838a5ccc80a6c32140ec5bd6</x:v>
      </x:c>
      <x:c r="G12" s="59" t="n">
        <x:v>678</x:v>
      </x:c>
    </x:row>
    <x:row r="13">
      <x:c r="A13" s="47" t="str">
        <x:v>RUN-IMO-107-20260830T160318067438Z</x:v>
      </x:c>
      <x:c r="B13" s="47" t="str">
        <x:v>IMO-107</x:v>
      </x:c>
      <x:c r="C13" s="59" t="n">
        <x:v>1</x:v>
      </x:c>
      <x:c r="D13" s="47" t="str">
        <x:v>validator_prompt</x:v>
      </x:c>
      <x:c r="E13" s="48" t="str">
        <x:v>artifacts/attempt_01/validator_prompt_01.txt</x:v>
      </x:c>
      <x:c r="F13" s="47" t="str">
        <x:v>76f3c4499eeb790e31d710be996b4e8a33e66d2fda619b0696a1c223d23021d8</x:v>
      </x:c>
      <x:c r="G13" s="59" t="n">
        <x:v>23046</x:v>
      </x:c>
    </x:row>
    <x:row r="14">
      <x:c r="A14" s="47" t="str">
        <x:v>RUN-IMO-107-20260830T160318067438Z</x:v>
      </x:c>
      <x:c r="B14" s="47" t="str">
        <x:v>IMO-107</x:v>
      </x:c>
      <x:c r="C14" s="59" t="n">
        <x:v>1</x:v>
      </x:c>
      <x:c r="D14" s="47" t="str">
        <x:v>validator_raw_response</x:v>
      </x:c>
      <x:c r="E14" s="48" t="str">
        <x:v>artifacts/attempt_01/validator_raw_01.txt</x:v>
      </x:c>
      <x:c r="F14" s="47" t="str">
        <x:v>6be6a9428e1bb0514d6da1cb52c35b6780ee61472fed777b26919f1053d3a8be</x:v>
      </x:c>
      <x:c r="G14" s="59" t="n">
        <x:v>363</x:v>
      </x:c>
    </x:row>
    <x:row r="15">
      <x:c r="A15" s="49" t="str">
        <x:v>RUN-IMO-107-20260830T160318067438Z</x:v>
      </x:c>
      <x:c r="B15" s="49" t="str">
        <x:v>IMO-107</x:v>
      </x:c>
      <x:c r="C15" s="60" t="n">
        <x:v>1</x:v>
      </x:c>
      <x:c r="D15" s="49" t="str">
        <x:v>final_accepted_shape</x:v>
      </x:c>
      <x:c r="E15" s="50" t="str">
        <x:v>final/final_shape.ttl</x:v>
      </x:c>
      <x:c r="F15" s="49" t="str">
        <x:v>9c513f41da84419703e7f7b6a171e0ad52ba3890b3bf551dc01496948aef34e3</x:v>
      </x:c>
      <x:c r="G15" s="60" t="n">
        <x:v>1938</x:v>
      </x:c>
    </x:row>
  </x:sheetData>
  <x:pageMargins left="0.7" right="0.7" top="0.75" bottom="0.75" header="0.3" footer="0.3"/>
  <x:tableParts count="1">
    <x:tablePart xmlns:r="http://schemas.openxmlformats.org/officeDocument/2006/relationships" r:id="R8265ba7a5f684c83"/>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RUN-IMO-107-20260830T160318067438Z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RUN-IMO-107-20260830T160318067438Z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RUN-IMO-107-20260830T160318067438Z</x:v>
      </x:c>
      <x:c r="B5" s="69" t="str">
        <x:v>IMO-107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4e9df80b435449e"/>
  </x:tableParts>
</x:worksheet>
</file>