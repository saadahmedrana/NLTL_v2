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8059c2abd4a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4742a93eac4cad"/>
    <x:sheet xmlns:r="http://schemas.openxmlformats.org/officeDocument/2006/relationships" name="README" sheetId="2" r:id="Re7b8a1adaa20475a"/>
    <x:sheet xmlns:r="http://schemas.openxmlformats.org/officeDocument/2006/relationships" name="REGULATION_QUEUE" sheetId="3" r:id="R964fa977e4b04f5f"/>
    <x:sheet xmlns:r="http://schemas.openxmlformats.org/officeDocument/2006/relationships" name="RUNS" sheetId="4" r:id="Rbf9f3d586f824e6a"/>
    <x:sheet xmlns:r="http://schemas.openxmlformats.org/officeDocument/2006/relationships" name="ITERATIONS" sheetId="5" r:id="R5a68b535f0cf4863"/>
    <x:sheet xmlns:r="http://schemas.openxmlformats.org/officeDocument/2006/relationships" name="API_CALLS" sheetId="6" r:id="Rd951d5b79fb244a9"/>
    <x:sheet xmlns:r="http://schemas.openxmlformats.org/officeDocument/2006/relationships" name="TERM_RETRIEVAL" sheetId="7" r:id="Rb6ac7ba676a24382"/>
    <x:sheet xmlns:r="http://schemas.openxmlformats.org/officeDocument/2006/relationships" name="FEW_SHOT_SELECTION" sheetId="8" r:id="R13eeaaebb0704363"/>
    <x:sheet xmlns:r="http://schemas.openxmlformats.org/officeDocument/2006/relationships" name="VALIDATION" sheetId="9" r:id="R33166f93369b4f65"/>
    <x:sheet xmlns:r="http://schemas.openxmlformats.org/officeDocument/2006/relationships" name="VOCAB_MATCHES" sheetId="10" r:id="R3161dcba7dcf4e78"/>
    <x:sheet xmlns:r="http://schemas.openxmlformats.org/officeDocument/2006/relationships" name="ARTIFACTS" sheetId="11" r:id="Rb6536c3bf4de4f5f"/>
    <x:sheet xmlns:r="http://schemas.openxmlformats.org/officeDocument/2006/relationships" name="UNRESOLVED" sheetId="12" r:id="Rbbbed49aa4d0488a"/>
    <x:sheet xmlns:r="http://schemas.openxmlformats.org/officeDocument/2006/relationships" name="RDF_TEST_QUEUE" sheetId="13" r:id="R4fc6a11468c3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2169338e14406" /><Relationship Type="http://schemas.openxmlformats.org/officeDocument/2006/relationships/theme" Target="/xl/theme/theme1.xml" Id="R4a1c6fdb5c2a4331" /><Relationship Type="http://schemas.microsoft.com/office/2022/11/relationships/FeaturePropertyBag" Target="/xl/featurePropertyBag/featurePropertyBag.xml" Id="Ra0380a62add341a8" /><Relationship Type="http://schemas.openxmlformats.org/officeDocument/2006/relationships/sharedStrings" Target="/xl/sharedStrings.xml" Id="R6c053801b1d645cf" /><Relationship Type="http://schemas.openxmlformats.org/officeDocument/2006/relationships/worksheet" Target="/xl/worksheets/sheet1.xml" Id="R2d4742a93eac4cad" /><Relationship Type="http://schemas.openxmlformats.org/officeDocument/2006/relationships/worksheet" Target="/xl/worksheets/sheet2.xml" Id="Re7b8a1adaa20475a" /><Relationship Type="http://schemas.openxmlformats.org/officeDocument/2006/relationships/worksheet" Target="/xl/worksheets/sheet3.xml" Id="R964fa977e4b04f5f" /><Relationship Type="http://schemas.openxmlformats.org/officeDocument/2006/relationships/worksheet" Target="/xl/worksheets/sheet4.xml" Id="Rbf9f3d586f824e6a" /><Relationship Type="http://schemas.openxmlformats.org/officeDocument/2006/relationships/worksheet" Target="/xl/worksheets/sheet5.xml" Id="R5a68b535f0cf4863" /><Relationship Type="http://schemas.openxmlformats.org/officeDocument/2006/relationships/worksheet" Target="/xl/worksheets/sheet6.xml" Id="Rd951d5b79fb244a9" /><Relationship Type="http://schemas.openxmlformats.org/officeDocument/2006/relationships/worksheet" Target="/xl/worksheets/sheet7.xml" Id="Rb6ac7ba676a24382" /><Relationship Type="http://schemas.openxmlformats.org/officeDocument/2006/relationships/worksheet" Target="/xl/worksheets/sheet8.xml" Id="R13eeaaebb0704363" /><Relationship Type="http://schemas.openxmlformats.org/officeDocument/2006/relationships/worksheet" Target="/xl/worksheets/sheet9.xml" Id="R33166f93369b4f65" /><Relationship Type="http://schemas.openxmlformats.org/officeDocument/2006/relationships/worksheet" Target="/xl/worksheets/sheet10.xml" Id="R3161dcba7dcf4e78" /><Relationship Type="http://schemas.openxmlformats.org/officeDocument/2006/relationships/worksheet" Target="/xl/worksheets/sheet11.xml" Id="Rb6536c3bf4de4f5f" /><Relationship Type="http://schemas.openxmlformats.org/officeDocument/2006/relationships/worksheet" Target="/xl/worksheets/sheet12.xml" Id="Rbbbed49aa4d0488a" /><Relationship Type="http://schemas.openxmlformats.org/officeDocument/2006/relationships/worksheet" Target="/xl/worksheets/sheet13.xml" Id="R4fc6a11468c341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bfdb9b52804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5031fb281d45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a7799c6bff46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48e1e2a3614b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a85902332347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bf2bbc7a6f49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831eaffffa46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069fde722a4e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026dda3d674e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8781bc4ba142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RUN-TRF-027-20260830T173118138619Z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19360.588200000002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RUN-TRF-027-20260830T173118138619Z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bfdb9b52804d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RUN-TRF-027-20260830T173118138619Z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GENERATION_ACCEPTED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5031fb281d45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RUN-TRF-027-20260830T173118138619Z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RUN-TRF-027-20260830T173118138619Z</x:v>
      </x:c>
      <x:c r="C5" s="69" t="str">
        <x:v>TRF-027</x:v>
      </x:c>
      <x:c r="D5" s="70" t="n">
        <x:v>46264.73007105324</x:v>
      </x:c>
      <x:c r="E5" s="70" t="n">
        <x:v>46264.73120361111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requirement: it preserves exactly one controlled iceClass, correctly branches IA and IA Super by the 2003-09-01 applicability boundary, applies all required coefficients with exact inclusive values and units, and checks the clamped geometry formula with expected-result-scaled tolerance. The prior repair instruction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7799c6bff46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RUN-TRF-027-20260830T173118138619Z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RUN-TRF-027-20260830T173118138619Z</x:v>
      </x:c>
      <x:c r="B5" s="45" t="str">
        <x:v>TRF-027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non-applicable applicability branch: include nltl:iceClassIaSuper with constructionStageDate &gt;= 2003-09-01 alongside nltl:iceClassIa. As written, an IA Super ship constructed on or after that date satisfies neither the applicable pre-date branch nor the non-applicable branch and is incorrectly rejected. Preserve the existing exactly-one iceClass constraint and the pre-date IA/IA Super calculation branch.</x:v>
      </x:c>
      <x:c r="I5" s="81" t="n">
        <x:v>27034.561</x:v>
      </x:c>
      <x:c r="J5" s="81" t="n">
        <x:v>7596.186</x:v>
      </x:c>
    </x:row>
    <x:row r="6">
      <x:c r="A6" s="49" t="str">
        <x:v>RUN-TRF-027-20260830T173118138619Z</x:v>
      </x:c>
      <x:c r="B6" s="49" t="str">
        <x:v>TRF-027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requirement: it preserves exactly one controlled iceClass, correctly branches IA and IA Super by the 2003-09-01 applicability boundary, applies all required coefficients with exact inclusive values and units, and checks the clamped geometry formula with expected-result-scaled tolerance. The prior repair instruction is preserved.</x:v>
      </x:c>
      <x:c r="I6" s="83" t="n">
        <x:v>34783.215</x:v>
      </x:c>
      <x:c r="J6" s="83" t="n">
        <x:v>8200.866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8e1e2a3614b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RUN-TRF-027-20260830T173118138619Z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RUN-TRF-027-20260830T173118138619Z</x:v>
      </x:c>
      <x:c r="C5" s="45" t="str">
        <x:v>TRF-027</x:v>
      </x:c>
      <x:c r="D5" s="90" t="n">
        <x:v>46264.730383981485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27032.864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RUN-TRF-027-20260830T173118138619Z</x:v>
      </x:c>
      <x:c r="C6" s="47" t="str">
        <x:v>TRF-027</x:v>
      </x:c>
      <x:c r="D6" s="91" t="n">
        <x:v>46264.73038400463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27034.561</x:v>
      </x:c>
      <x:c r="L6" s="93" t="b">
        <x:v>0</x:v>
      </x:c>
      <x:c r="M6" s="47" t="str">
        <x:v>resp_026157bb92fc96ab006a9468e648bc81909f7b8157ae13a1e5</x:v>
      </x:c>
      <x:c r="N6" s="59" t="n">
        <x:v>13767</x:v>
      </x:c>
      <x:c r="O6" s="59" t="n">
        <x:v>4078</x:v>
      </x:c>
      <x:c r="P6" s="59" t="n">
        <x:v>17845</x:v>
      </x:c>
    </x:row>
    <x:row r="7">
      <x:c r="A7" s="47" t="str">
        <x:v>EVT-000044</x:v>
      </x:c>
      <x:c r="B7" s="47" t="str">
        <x:v>RUN-TRF-027-20260830T173118138619Z</x:v>
      </x:c>
      <x:c r="C7" s="47" t="str">
        <x:v>TRF-027</x:v>
      </x:c>
      <x:c r="D7" s="91" t="n">
        <x:v>46264.730606261575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19190.461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RUN-TRF-027-20260830T173118138619Z</x:v>
      </x:c>
      <x:c r="C8" s="47" t="str">
        <x:v>TRF-027</x:v>
      </x:c>
      <x:c r="D8" s="91" t="n">
        <x:v>46264.73060628472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19192.134</x:v>
      </x:c>
      <x:c r="L8" s="93" t="b">
        <x:v>0</x:v>
      </x:c>
      <x:c r="M8" s="47" t="str">
        <x:v>resp_0fb1019444fc90e8006a946901415c8197a81bd46a8c79ec66</x:v>
      </x:c>
      <x:c r="N8" s="59" t="n">
        <x:v>4094</x:v>
      </x:c>
      <x:c r="O8" s="59" t="n">
        <x:v>3286</x:v>
      </x:c>
      <x:c r="P8" s="59" t="n">
        <x:v>7380</x:v>
      </x:c>
    </x:row>
    <x:row r="9">
      <x:c r="A9" s="47" t="str">
        <x:v>EVT-000053</x:v>
      </x:c>
      <x:c r="B9" s="47" t="str">
        <x:v>RUN-TRF-027-20260830T173118138619Z</x:v>
      </x:c>
      <x:c r="C9" s="47" t="str">
        <x:v>TRF-027</x:v>
      </x:c>
      <x:c r="D9" s="91" t="n">
        <x:v>46264.73069956018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7594.645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RUN-TRF-027-20260830T173118138619Z</x:v>
      </x:c>
      <x:c r="C10" s="47" t="str">
        <x:v>TRF-027</x:v>
      </x:c>
      <x:c r="D10" s="91" t="n">
        <x:v>46264.730699583335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7596.186</x:v>
      </x:c>
      <x:c r="L10" s="93" t="b">
        <x:v>0</x:v>
      </x:c>
      <x:c r="M10" s="47" t="str">
        <x:v>resp_0f0126d1c2487b0b006a946915197c8194846b8bd922b2a01a</x:v>
      </x:c>
      <x:c r="N10" s="59" t="n">
        <x:v>18104</x:v>
      </x:c>
      <x:c r="O10" s="59" t="n">
        <x:v>625</x:v>
      </x:c>
      <x:c r="P10" s="59" t="n">
        <x:v>18729</x:v>
      </x:c>
    </x:row>
    <x:row r="11">
      <x:c r="A11" s="47" t="str">
        <x:v>EVT-000059</x:v>
      </x:c>
      <x:c r="B11" s="47" t="str">
        <x:v>RUN-TRF-027-20260830T173118138619Z</x:v>
      </x:c>
      <x:c r="C11" s="47" t="str">
        <x:v>TRF-027</x:v>
      </x:c>
      <x:c r="D11" s="91" t="n">
        <x:v>46264.73110221065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34781.614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RUN-TRF-027-20260830T173118138619Z</x:v>
      </x:c>
      <x:c r="C12" s="47" t="str">
        <x:v>TRF-027</x:v>
      </x:c>
      <x:c r="D12" s="91" t="n">
        <x:v>46264.731102233796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34783.215</x:v>
      </x:c>
      <x:c r="L12" s="93" t="b">
        <x:v>0</x:v>
      </x:c>
      <x:c r="M12" s="47" t="str">
        <x:v>resp_0a4d86815b40553a006a94691c96248197b5c2a33614d96fe5</x:v>
      </x:c>
      <x:c r="N12" s="59" t="n">
        <x:v>13855</x:v>
      </x:c>
      <x:c r="O12" s="59" t="n">
        <x:v>5628</x:v>
      </x:c>
      <x:c r="P12" s="59" t="n">
        <x:v>19483</x:v>
      </x:c>
    </x:row>
    <x:row r="13">
      <x:c r="A13" s="47" t="str">
        <x:v>EVT-000067</x:v>
      </x:c>
      <x:c r="B13" s="47" t="str">
        <x:v>RUN-TRF-027-20260830T173118138619Z</x:v>
      </x:c>
      <x:c r="C13" s="47" t="str">
        <x:v>TRF-027</x:v>
      </x:c>
      <x:c r="D13" s="91" t="n">
        <x:v>46264.73120354167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8199.336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EVT-000068</x:v>
      </x:c>
      <x:c r="B14" s="49" t="str">
        <x:v>RUN-TRF-027-20260830T173118138619Z</x:v>
      </x:c>
      <x:c r="C14" s="49" t="str">
        <x:v>TRF-027</x:v>
      </x:c>
      <x:c r="D14" s="94" t="n">
        <x:v>46264.731203564814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8200.866</x:v>
      </x:c>
      <x:c r="L14" s="82" t="b">
        <x:v>0</x:v>
      </x:c>
      <x:c r="M14" s="49" t="str">
        <x:v>resp_0d297352e047f44c006a94694004408194aa2d0ed503040db4</x:v>
      </x:c>
      <x:c r="N14" s="60" t="n">
        <x:v>19394</x:v>
      </x:c>
      <x:c r="O14" s="60" t="n">
        <x:v>780</x:v>
      </x:c>
      <x:c r="P14" s="60" t="n">
        <x:v>20174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85902332347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RUN-TRF-027-20260830T173118138619Z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RUN-TRF-027-20260830T173118138619Z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RUN-TRF-027-20260830T173118138619Z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RUN-TRF-027-20260830T173118138619Z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RUN-TRF-027-20260830T173118138619Z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RUN-TRF-027-20260830T173118138619Z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RUN-TRF-027-20260830T173118138619Z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RUN-TRF-027-20260830T173118138619Z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RUN-TRF-027-20260830T173118138619Z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RUN-TRF-027-20260830T173118138619Z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RUN-TRF-027-20260830T173118138619Z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RUN-TRF-027-20260830T173118138619Z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RUN-TRF-027-20260830T173118138619Z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RUN-TRF-027-20260830T173118138619Z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RUN-TRF-027-20260830T173118138619Z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RUN-TRF-027-20260830T173118138619Z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RUN-TRF-027-20260830T173118138619Z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RUN-TRF-027-20260830T173118138619Z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RUN-TRF-027-20260830T173118138619Z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RUN-TRF-027-20260830T173118138619Z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RUN-TRF-027-20260830T173118138619Z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RUN-TRF-027-20260830T173118138619Z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RUN-TRF-027-20260830T173118138619Z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RUN-TRF-027-20260830T173118138619Z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RUN-TRF-027-20260830T173118138619Z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RUN-TRF-027-20260830T173118138619Z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RUN-TRF-027-20260830T173118138619Z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RUN-TRF-027-20260830T173118138619Z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RUN-TRF-027-20260830T173118138619Z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RUN-TRF-027-20260830T173118138619Z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RUN-TRF-027-20260830T173118138619Z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bf2bbc7a6f49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RUN-TRF-027-20260830T173118138619Z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RUN-TRF-027-20260830T173118138619Z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7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RUN-TRF-027-20260830T173118138619Z</x:v>
      </x:c>
      <x:c r="B6" s="49" t="str">
        <x:v>TRF-027</x:v>
      </x:c>
      <x:c r="C6" s="49" t="str">
        <x:v>FS-QTY-01</x:v>
      </x:c>
      <x:c r="D6" s="49" t="str">
        <x:v>qudt_quantity</x:v>
      </x:c>
      <x:c r="E6" s="98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831eaffffa46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RUN-TRF-027-20260830T173118138619Z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RUN-TRF-027-20260830T173118138619Z</x:v>
      </x:c>
      <x:c r="B5" s="45" t="str">
        <x:v>TRF-027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46" t="str"/>
      <x:c r="P5" s="46" t="str"/>
      <x:c r="Q5" s="46" t="str"/>
    </x:row>
    <x:row r="6">
      <x:c r="A6" s="49" t="str">
        <x:v>RUN-TRF-027-20260830T173118138619Z</x:v>
      </x:c>
      <x:c r="B6" s="49" t="str">
        <x:v>TRF-027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d069fde722a4e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RUN-TRF-027-20260830T173118138619Z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RUN-TRF-027-20260830T173118138619Z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RUN-TRF-027-20260830T173118138619Z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RUN-TRF-027-20260830T173118138619Z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RUN-TRF-027-20260830T173118138619Z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RUN-TRF-027-20260830T173118138619Z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8b4025224fb339929c88131021e0911a60033bcd5305c2da373b7e581e931d28</x:v>
      </x:c>
      <x:c r="G8" s="59" t="n">
        <x:v>15193</x:v>
      </x:c>
    </x:row>
    <x:row r="9">
      <x:c r="A9" s="47" t="str">
        <x:v>RUN-TRF-027-20260830T173118138619Z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4502465311211eace97ab68066c2c4a9057bb5c9efc1f70027fa3faf04aed6f7</x:v>
      </x:c>
      <x:c r="G9" s="59" t="n">
        <x:v>16853</x:v>
      </x:c>
    </x:row>
    <x:row r="10">
      <x:c r="A10" s="47" t="str">
        <x:v>RUN-TRF-027-20260830T173118138619Z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f1e86230d9196f349f1df899ed35d06db813d8fe3480f00ba12a53098b15ec79</x:v>
      </x:c>
      <x:c r="G10" s="59" t="n">
        <x:v>15191</x:v>
      </x:c>
    </x:row>
    <x:row r="11">
      <x:c r="A11" s="47" t="str">
        <x:v>RUN-TRF-027-20260830T173118138619Z</x:v>
      </x:c>
      <x:c r="B11" s="47" t="str">
        <x:v>TRF-027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c08299841cd7678e6cf26f87e75be8dbc11614d59fa9f47991d45370b17c046f</x:v>
      </x:c>
      <x:c r="G11" s="59" t="n">
        <x:v>15166</x:v>
      </x:c>
    </x:row>
    <x:row r="12">
      <x:c r="A12" s="47" t="str">
        <x:v>RUN-TRF-027-20260830T173118138619Z</x:v>
      </x:c>
      <x:c r="B12" s="47" t="str">
        <x:v>TRF-027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9c08c649336ca43e1fcc5b7280b0a45f1ccc9c9efe9754cc0ac8b1bd906a4bda</x:v>
      </x:c>
      <x:c r="G12" s="59" t="n">
        <x:v>1668</x:v>
      </x:c>
    </x:row>
    <x:row r="13">
      <x:c r="A13" s="47" t="str">
        <x:v>RUN-TRF-027-20260830T173118138619Z</x:v>
      </x:c>
      <x:c r="B13" s="47" t="str">
        <x:v>TRF-027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a5b6e19b66baf8bfc924dc02e3112ff135ff0d5891d30ee47d365e4a46d0f4f2</x:v>
      </x:c>
      <x:c r="G13" s="59" t="n">
        <x:v>69731</x:v>
      </x:c>
    </x:row>
    <x:row r="14">
      <x:c r="A14" s="47" t="str">
        <x:v>RUN-TRF-027-20260830T173118138619Z</x:v>
      </x:c>
      <x:c r="B14" s="47" t="str">
        <x:v>TRF-027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385d50596f9f9c8bbaeeb6f8b41a79edece05cf73ba9510a51059329b69b833e</x:v>
      </x:c>
      <x:c r="G14" s="59" t="n">
        <x:v>482</x:v>
      </x:c>
    </x:row>
    <x:row r="15">
      <x:c r="A15" s="47" t="str">
        <x:v>RUN-TRF-027-20260830T173118138619Z</x:v>
      </x:c>
      <x:c r="B15" s="47" t="str">
        <x:v>TRF-027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0040e028ccf30e034b7558d03f92e3d0411d611b86f6c3983513dee33d986a3f</x:v>
      </x:c>
      <x:c r="G15" s="59" t="n">
        <x:v>54232</x:v>
      </x:c>
    </x:row>
    <x:row r="16">
      <x:c r="A16" s="47" t="str">
        <x:v>RUN-TRF-027-20260830T173118138619Z</x:v>
      </x:c>
      <x:c r="B16" s="47" t="str">
        <x:v>TRF-027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b0a35de762d2fa4ca3c8653ddff7bf62e7fde66a37f1140a3a54192f6aa0d235</x:v>
      </x:c>
      <x:c r="G16" s="59" t="n">
        <x:v>15292</x:v>
      </x:c>
    </x:row>
    <x:row r="17">
      <x:c r="A17" s="47" t="str">
        <x:v>RUN-TRF-027-20260830T173118138619Z</x:v>
      </x:c>
      <x:c r="B17" s="47" t="str">
        <x:v>TRF-027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8616ea18f88c38501264509ffa3561871f3226f06ced2216b7fbdbfd5bc4aa4c</x:v>
      </x:c>
      <x:c r="G17" s="59" t="n">
        <x:v>15267</x:v>
      </x:c>
    </x:row>
    <x:row r="18">
      <x:c r="A18" s="47" t="str">
        <x:v>RUN-TRF-027-20260830T173118138619Z</x:v>
      </x:c>
      <x:c r="B18" s="47" t="str">
        <x:v>TRF-027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5fe3f7e386ab72f49f873b245f3ed5f459aa57aaa1ffdc5a9c4e2286f3933597</x:v>
      </x:c>
      <x:c r="G18" s="59" t="n">
        <x:v>1715</x:v>
      </x:c>
    </x:row>
    <x:row r="19">
      <x:c r="A19" s="47" t="str">
        <x:v>RUN-TRF-027-20260830T173118138619Z</x:v>
      </x:c>
      <x:c r="B19" s="47" t="str">
        <x:v>TRF-027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d17cfb298ab2cac007cdfdf077a6ca79fd81bb05e728c05b17f7a3e22550250c</x:v>
      </x:c>
      <x:c r="G19" s="59" t="n">
        <x:v>70735</x:v>
      </x:c>
    </x:row>
    <x:row r="20">
      <x:c r="A20" s="47" t="str">
        <x:v>RUN-TRF-027-20260830T173118138619Z</x:v>
      </x:c>
      <x:c r="B20" s="47" t="str">
        <x:v>TRF-027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b7c33aecdb20a8de40f89845961f756112c3402a9ac385e4dad0f2a104134896</x:v>
      </x:c>
      <x:c r="G20" s="59" t="n">
        <x:v>439</x:v>
      </x:c>
    </x:row>
    <x:row r="21">
      <x:c r="A21" s="49" t="str">
        <x:v>RUN-TRF-027-20260830T173118138619Z</x:v>
      </x:c>
      <x:c r="B21" s="49" t="str">
        <x:v>TRF-027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8616ea18f88c38501264509ffa3561871f3226f06ced2216b7fbdbfd5bc4aa4c</x:v>
      </x:c>
      <x:c r="G21" s="60" t="n">
        <x:v>15267</x:v>
      </x:c>
    </x:row>
  </x:sheetData>
  <x:pageMargins left="0.7" right="0.7" top="0.75" bottom="0.75" header="0.3" footer="0.3"/>
  <x:tableParts count="1">
    <x:tablePart xmlns:r="http://schemas.openxmlformats.org/officeDocument/2006/relationships" r:id="Re3026dda3d674e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RUN-TRF-027-20260830T173118138619Z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RUN-TRF-027-20260830T173118138619Z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RUN-TRF-027-20260830T173118138619Z</x:v>
      </x:c>
      <x:c r="B5" s="69" t="str">
        <x:v>TRF-027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8781bc4ba1426a"/>
  </x:tableParts>
</x:worksheet>
</file>