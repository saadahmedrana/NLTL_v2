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fca88fe2627418b" /></Relationships>
</file>

<file path=xl/workbook.xml><?xml version="1.0" encoding="utf-8"?>
<x:workbook xmlns:x="http://schemas.openxmlformats.org/spreadsheetml/2006/main">
  <x:sheets>
    <x:sheet xmlns:r="http://schemas.openxmlformats.org/officeDocument/2006/relationships" name="SUMMARY" sheetId="1" r:id="Rb0e50e2de8e14d97"/>
    <x:sheet xmlns:r="http://schemas.openxmlformats.org/officeDocument/2006/relationships" name="README" sheetId="2" r:id="R8a6cc222c4274a21"/>
    <x:sheet xmlns:r="http://schemas.openxmlformats.org/officeDocument/2006/relationships" name="REGULATION_QUEUE" sheetId="3" r:id="R344a3c6a4297461e"/>
    <x:sheet xmlns:r="http://schemas.openxmlformats.org/officeDocument/2006/relationships" name="RUNS" sheetId="4" r:id="Ra6a59fcc3d6f4861"/>
    <x:sheet xmlns:r="http://schemas.openxmlformats.org/officeDocument/2006/relationships" name="ITERATIONS" sheetId="5" r:id="R9d1adc97d8f64727"/>
    <x:sheet xmlns:r="http://schemas.openxmlformats.org/officeDocument/2006/relationships" name="API_CALLS" sheetId="6" r:id="Ra1d59d440b514892"/>
    <x:sheet xmlns:r="http://schemas.openxmlformats.org/officeDocument/2006/relationships" name="TERM_RETRIEVAL" sheetId="7" r:id="R0db0d5ebc0ac447a"/>
    <x:sheet xmlns:r="http://schemas.openxmlformats.org/officeDocument/2006/relationships" name="FEW_SHOT_SELECTION" sheetId="8" r:id="R891c30cc11634477"/>
    <x:sheet xmlns:r="http://schemas.openxmlformats.org/officeDocument/2006/relationships" name="VALIDATION" sheetId="9" r:id="R337a7b4897ec4ebb"/>
    <x:sheet xmlns:r="http://schemas.openxmlformats.org/officeDocument/2006/relationships" name="VOCAB_MATCHES" sheetId="10" r:id="R5b3e82a8699346e7"/>
    <x:sheet xmlns:r="http://schemas.openxmlformats.org/officeDocument/2006/relationships" name="ARTIFACTS" sheetId="11" r:id="R4e24bf6e076c44f5"/>
    <x:sheet xmlns:r="http://schemas.openxmlformats.org/officeDocument/2006/relationships" name="UNRESOLVED" sheetId="12" r:id="R1d2852ced0134c77"/>
    <x:sheet xmlns:r="http://schemas.openxmlformats.org/officeDocument/2006/relationships" name="RDF_TEST_QUEUE" sheetId="13" r:id="R3d77633741e148d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5945c8374ba4026" /><Relationship Type="http://schemas.openxmlformats.org/officeDocument/2006/relationships/theme" Target="/xl/theme/theme1.xml" Id="R23e6f014e45c4389" /><Relationship Type="http://schemas.microsoft.com/office/2022/11/relationships/FeaturePropertyBag" Target="/xl/featurePropertyBag/featurePropertyBag.xml" Id="R207ecb128c08442e" /><Relationship Type="http://schemas.openxmlformats.org/officeDocument/2006/relationships/sharedStrings" Target="/xl/sharedStrings.xml" Id="Rca972b64ff884c7b" /><Relationship Type="http://schemas.openxmlformats.org/officeDocument/2006/relationships/worksheet" Target="/xl/worksheets/sheet1.xml" Id="Rb0e50e2de8e14d97" /><Relationship Type="http://schemas.openxmlformats.org/officeDocument/2006/relationships/worksheet" Target="/xl/worksheets/sheet2.xml" Id="R8a6cc222c4274a21" /><Relationship Type="http://schemas.openxmlformats.org/officeDocument/2006/relationships/worksheet" Target="/xl/worksheets/sheet3.xml" Id="R344a3c6a4297461e" /><Relationship Type="http://schemas.openxmlformats.org/officeDocument/2006/relationships/worksheet" Target="/xl/worksheets/sheet4.xml" Id="Ra6a59fcc3d6f4861" /><Relationship Type="http://schemas.openxmlformats.org/officeDocument/2006/relationships/worksheet" Target="/xl/worksheets/sheet5.xml" Id="R9d1adc97d8f64727" /><Relationship Type="http://schemas.openxmlformats.org/officeDocument/2006/relationships/worksheet" Target="/xl/worksheets/sheet6.xml" Id="Ra1d59d440b514892" /><Relationship Type="http://schemas.openxmlformats.org/officeDocument/2006/relationships/worksheet" Target="/xl/worksheets/sheet7.xml" Id="R0db0d5ebc0ac447a" /><Relationship Type="http://schemas.openxmlformats.org/officeDocument/2006/relationships/worksheet" Target="/xl/worksheets/sheet8.xml" Id="R891c30cc11634477" /><Relationship Type="http://schemas.openxmlformats.org/officeDocument/2006/relationships/worksheet" Target="/xl/worksheets/sheet9.xml" Id="R337a7b4897ec4ebb" /><Relationship Type="http://schemas.openxmlformats.org/officeDocument/2006/relationships/worksheet" Target="/xl/worksheets/sheet10.xml" Id="R5b3e82a8699346e7" /><Relationship Type="http://schemas.openxmlformats.org/officeDocument/2006/relationships/worksheet" Target="/xl/worksheets/sheet11.xml" Id="R4e24bf6e076c44f5" /><Relationship Type="http://schemas.openxmlformats.org/officeDocument/2006/relationships/worksheet" Target="/xl/worksheets/sheet12.xml" Id="R1d2852ced0134c77" /><Relationship Type="http://schemas.openxmlformats.org/officeDocument/2006/relationships/worksheet" Target="/xl/worksheets/sheet13.xml" Id="R3d77633741e148d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f4ad28db0154978" /></Relationships>
</file>

<file path=xl/worksheets/_rels/sheet3.xml.rels>&#65279;<?xml version="1.0" encoding="utf-8"?><Relationships xmlns="http://schemas.openxmlformats.org/package/2006/relationships"><Relationship Type="http://schemas.openxmlformats.org/officeDocument/2006/relationships/table" Target="/xl/tables/table2.xml" Id="Ra26e027461ce45ff" /></Relationships>
</file>

<file path=xl/worksheets/_rels/sheet4.xml.rels>&#65279;<?xml version="1.0" encoding="utf-8"?><Relationships xmlns="http://schemas.openxmlformats.org/package/2006/relationships"><Relationship Type="http://schemas.openxmlformats.org/officeDocument/2006/relationships/table" Target="/xl/tables/table3.xml" Id="R0ee0d9641b8b44b6" /></Relationships>
</file>

<file path=xl/worksheets/_rels/sheet5.xml.rels>&#65279;<?xml version="1.0" encoding="utf-8"?><Relationships xmlns="http://schemas.openxmlformats.org/package/2006/relationships"><Relationship Type="http://schemas.openxmlformats.org/officeDocument/2006/relationships/table" Target="/xl/tables/table4.xml" Id="Re92b81689f124113" /></Relationships>
</file>

<file path=xl/worksheets/_rels/sheet6.xml.rels>&#65279;<?xml version="1.0" encoding="utf-8"?><Relationships xmlns="http://schemas.openxmlformats.org/package/2006/relationships"><Relationship Type="http://schemas.openxmlformats.org/officeDocument/2006/relationships/table" Target="/xl/tables/table5.xml" Id="Rd5b682e54011477c" /></Relationships>
</file>

<file path=xl/worksheets/_rels/sheet7.xml.rels>&#65279;<?xml version="1.0" encoding="utf-8"?><Relationships xmlns="http://schemas.openxmlformats.org/package/2006/relationships"><Relationship Type="http://schemas.openxmlformats.org/officeDocument/2006/relationships/table" Target="/xl/tables/table6.xml" Id="R3f97b0f24803482a" /></Relationships>
</file>

<file path=xl/worksheets/_rels/sheet8.xml.rels>&#65279;<?xml version="1.0" encoding="utf-8"?><Relationships xmlns="http://schemas.openxmlformats.org/package/2006/relationships"><Relationship Type="http://schemas.openxmlformats.org/officeDocument/2006/relationships/table" Target="/xl/tables/table7.xml" Id="R794dd3a6b71445e9" /></Relationships>
</file>

<file path=xl/worksheets/_rels/sheet9.xml.rels>&#65279;<?xml version="1.0" encoding="utf-8"?><Relationships xmlns="http://schemas.openxmlformats.org/package/2006/relationships"><Relationship Type="http://schemas.openxmlformats.org/officeDocument/2006/relationships/table" Target="/xl/tables/table8.xml" Id="Rbbbbf409be254967" /></Relationships>
</file>

<file path=xl/worksheets/_rels/sheet11.xml.rels>&#65279;<?xml version="1.0" encoding="utf-8"?><Relationships xmlns="http://schemas.openxmlformats.org/package/2006/relationships"><Relationship Type="http://schemas.openxmlformats.org/officeDocument/2006/relationships/table" Target="/xl/tables/table9.xml" Id="Rd6b4f204e8ce495e" /></Relationships>
</file>

<file path=xl/worksheets/_rels/sheet13.xml.rels>&#65279;<?xml version="1.0" encoding="utf-8"?><Relationships xmlns="http://schemas.openxmlformats.org/package/2006/relationships"><Relationship Type="http://schemas.openxmlformats.org/officeDocument/2006/relationships/table" Target="/xl/tables/table10.xml" Id="Re3815cc7741a451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RUN-TRF-037-20260830T174307224318Z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COUNTA('API_CALLS'!$A$5:$A$18)</x:f>
        <x:v>14</x:v>
      </x:c>
      <x:c r="C9" s="21"/>
      <x:c r="D9" s="21"/>
    </x:row>
    <x:row r="10">
      <x:c r="A10" s="27" t="str">
        <x:v>Mean API/LLM elapsed ms</x:v>
      </x:c>
      <x:c r="B10" s="28" t="n">
        <x:f>IFERROR(AVERAGE('API_CALLS'!$K$5:$K$18),0)</x:f>
        <x:v>14799.477285714285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RUN-TRF-037-20260830T174307224318Z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f4ad28db015497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RUN-TRF-037-20260830T174307224318Z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GENERATION_ACCEPTED</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a26e027461ce45f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RUN-TRF-037-20260830T174307224318Z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RUN-TRF-037-20260830T174307224318Z</x:v>
      </x:c>
      <x:c r="C5" s="69" t="str">
        <x:v>TRF-037</x:v>
      </x:c>
      <x:c r="D5" s="70" t="n">
        <x:v>46264.73827806713</x:v>
      </x:c>
      <x:c r="E5" s="70" t="n">
        <x:v>46264.73948628472</x:v>
      </x:c>
      <x:c r="F5" s="69" t="str">
        <x:v>final-luna-main-run08</x:v>
      </x:c>
      <x:c r="G5" s="69" t="str">
        <x:v>VOCAB-LOCK-2026-08-22-R13</x:v>
      </x:c>
      <x:c r="H5" s="71" t="n">
        <x:v>3</x:v>
      </x:c>
      <x:c r="I5" s="69" t="str">
        <x:v>GENERATION_ACCEPTED</x:v>
      </x:c>
      <x:c r="J5" s="72" t="b">
        <x:v>1</x:v>
      </x:c>
      <x:c r="K5" s="69" t="str">
        <x:v>final/final_shape.ttl</x:v>
      </x:c>
      <x:c r="L5" s="73" t="str">
        <x:v>Candidate faithfully encodes the complete DIRECT_CALCULATION contract: all declared operands and results use their authoritative owners and units, iceLoadAreaFactorCa is reached through hasDirectAnalysisCase, the c_d cap is implemented as a capped expected result, and both derived results are checked with expected-result-scaled two-sided tolerances.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ee0d9641b8b44b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RUN-TRF-037-20260830T174307224318Z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RUN-TRF-037-20260830T174307224318Z</x:v>
      </x:c>
      <x:c r="B5" s="45" t="str">
        <x:v>TRF-037</x:v>
      </x:c>
      <x:c r="C5" s="58" t="n">
        <x:v>1</x:v>
      </x:c>
      <x:c r="D5" s="83" t="b">
        <x:v>1</x:v>
      </x:c>
      <x:c r="E5" s="83" t="b">
        <x:v>0</x:v>
      </x:c>
      <x:c r="F5" s="83" t="b">
        <x:v>0</x:v>
      </x:c>
      <x:c r="G5" s="45" t="str">
        <x:v>REVISE</x:v>
      </x:c>
      <x:c r="H5" s="46" t="str">
        <x:v>Remove the minCount constraints for continuousPropulsionPowerAvailableInIce and displacementAtMaximumIceClassDraught: neither is a declared operand or semantic obligation for this dependency contract, and the formula must use the supplied a, k, b, cp, ca, and p0 terms. In the pressure calculation, compute the expected result from the formula-derived capped expectedCd (expectedP = expectedCd * cp * ca * p0), not from the reported cd; retain tolerance scaling from that expected formula result.</x:v>
      </x:c>
      <x:c r="I5" s="84" t="n">
        <x:v>21127.334</x:v>
      </x:c>
      <x:c r="J5" s="84" t="n">
        <x:v>13619.746</x:v>
      </x:c>
    </x:row>
    <x:row r="6">
      <x:c r="A6" s="47" t="str">
        <x:v>RUN-TRF-037-20260830T174307224318Z</x:v>
      </x:c>
      <x:c r="B6" s="47" t="str">
        <x:v>TRF-037</x:v>
      </x:c>
      <x:c r="C6" s="59" t="n">
        <x:v>2</x:v>
      </x:c>
      <x:c r="D6" s="85" t="b">
        <x:v>1</x:v>
      </x:c>
      <x:c r="E6" s="85" t="b">
        <x:v>0</x:v>
      </x:c>
      <x:c r="F6" s="85" t="b">
        <x:v>0</x:v>
      </x:c>
      <x:c r="G6" s="47" t="str">
        <x:v>REVISE</x:v>
      </x:c>
      <x:c r="H6" s="48" t="str">
        <x:v>Replace every use of SPARQL ABS with supported arithmetic and comparisons: compute magnitude with a simple IF or max(expected,-expected), and test each reported result using two-sided bounds (reported &gt; expected + tolerance || reported &lt; expected - tolerance). DIRECT_CALCULATION permits only the registered arithmetic, comparisons, min/max, and simple piecewise operations; preserve the existing capped expectedCd formula, expected-result-scaled tolerances, owner paths, units, and prior operand corrections.</x:v>
      </x:c>
      <x:c r="I6" s="86" t="n">
        <x:v>22747.646</x:v>
      </x:c>
      <x:c r="J6" s="86" t="n">
        <x:v>7082.497</x:v>
      </x:c>
    </x:row>
    <x:row r="7">
      <x:c r="A7" s="49" t="str">
        <x:v>RUN-TRF-037-20260830T174307224318Z</x:v>
      </x:c>
      <x:c r="B7" s="49" t="str">
        <x:v>TRF-037</x:v>
      </x:c>
      <x:c r="C7" s="60" t="n">
        <x:v>3</x:v>
      </x:c>
      <x:c r="D7" s="87" t="b">
        <x:v>1</x:v>
      </x:c>
      <x:c r="E7" s="87" t="b">
        <x:v>1</x:v>
      </x:c>
      <x:c r="F7" s="87" t="b">
        <x:v>0</x:v>
      </x:c>
      <x:c r="G7" s="49" t="str">
        <x:v>ACCEPT</x:v>
      </x:c>
      <x:c r="H7" s="50" t="str">
        <x:v>Candidate faithfully encodes the complete DIRECT_CALCULATION contract: all declared operands and results use their authoritative owners and units, iceLoadAreaFactorCa is reached through hasDirectAnalysisCase, the c_d cap is implemented as a capped expected result, and both derived results are checked with expected-result-scaled two-sided tolerances. Deterministic validation is valid.</x:v>
      </x:c>
      <x:c r="I7" s="88" t="n">
        <x:v>16786.266</x:v>
      </x:c>
      <x:c r="J7" s="88" t="n">
        <x:v>12003.512</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92b81689f12411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RUN-TRF-037-20260830T174307224318Z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EVT-000030</x:v>
      </x:c>
      <x:c r="B5" s="45" t="str">
        <x:v>RUN-TRF-037-20260830T174307224318Z</x:v>
      </x:c>
      <x:c r="C5" s="45" t="str">
        <x:v>TRF-037</x:v>
      </x:c>
      <x:c r="D5" s="92" t="n">
        <x:v>46264.73852262732</x:v>
      </x:c>
      <x:c r="E5" s="45" t="str">
        <x:v>generator</x:v>
      </x:c>
      <x:c r="F5" s="45" t="str">
        <x:v>gpt-5.6-luna-2026-07-09</x:v>
      </x:c>
      <x:c r="G5" s="45" t="n">
        <x:v>1</x:v>
      </x:c>
      <x:c r="H5" s="45" t="n">
        <x:v>200</x:v>
      </x:c>
      <x:c r="I5" s="45" t="str">
        <x:v>Ocp-Apim-Subscription-Key</x:v>
      </x:c>
      <x:c r="J5" s="84" t="n">
        <x:v>0</x:v>
      </x:c>
      <x:c r="K5" s="84" t="n">
        <x:v>21126.532</x:v>
      </x:c>
      <x:c r="L5" s="83" t="b">
        <x:v>0</x:v>
      </x:c>
      <x:c r="M5" s="45" t="str"/>
      <x:c r="N5" s="58" t="str"/>
      <x:c r="O5" s="58" t="str"/>
      <x:c r="P5" s="58" t="str"/>
    </x:row>
    <x:row r="6">
      <x:c r="A6" s="47" t="str">
        <x:v>EVT-000031</x:v>
      </x:c>
      <x:c r="B6" s="47" t="str">
        <x:v>RUN-TRF-037-20260830T174307224318Z</x:v>
      </x:c>
      <x:c r="C6" s="47" t="str">
        <x:v>TRF-037</x:v>
      </x:c>
      <x:c r="D6" s="93" t="n">
        <x:v>46264.73852263889</x:v>
      </x:c>
      <x:c r="E6" s="47" t="str">
        <x:v>generator</x:v>
      </x:c>
      <x:c r="F6" s="47" t="str">
        <x:v>gpt-5.6-luna-2026-07-09</x:v>
      </x:c>
      <x:c r="G6" s="47" t="n">
        <x:v>1</x:v>
      </x:c>
      <x:c r="H6" s="47" t="str">
        <x:v>COMPLETED</x:v>
      </x:c>
      <x:c r="I6" s="47" t="str"/>
      <x:c r="J6" s="86" t="n">
        <x:v>0</x:v>
      </x:c>
      <x:c r="K6" s="86" t="n">
        <x:v>21127.334</x:v>
      </x:c>
      <x:c r="L6" s="85" t="b">
        <x:v>0</x:v>
      </x:c>
      <x:c r="M6" s="47" t="str">
        <x:v>resp_0bfc71a3467a00c1006a946bab60008190ba52d02874b4fa22</x:v>
      </x:c>
      <x:c r="N6" s="59" t="n">
        <x:v>11432</x:v>
      </x:c>
      <x:c r="O6" s="59" t="n">
        <x:v>2470</x:v>
      </x:c>
      <x:c r="P6" s="59" t="n">
        <x:v>13902</x:v>
      </x:c>
    </x:row>
    <x:row r="7">
      <x:c r="A7" s="47" t="str">
        <x:v>EVT-000038</x:v>
      </x:c>
      <x:c r="B7" s="47" t="str">
        <x:v>RUN-TRF-037-20260830T174307224318Z</x:v>
      </x:c>
      <x:c r="C7" s="47" t="str">
        <x:v>TRF-037</x:v>
      </x:c>
      <x:c r="D7" s="93" t="n">
        <x:v>46264.73868263889</x:v>
      </x:c>
      <x:c r="E7" s="47" t="str">
        <x:v>validator</x:v>
      </x:c>
      <x:c r="F7" s="47" t="str">
        <x:v>gpt-5.6-luna-2026-07-09</x:v>
      </x:c>
      <x:c r="G7" s="47" t="n">
        <x:v>1</x:v>
      </x:c>
      <x:c r="H7" s="47" t="n">
        <x:v>200</x:v>
      </x:c>
      <x:c r="I7" s="47" t="str">
        <x:v>Ocp-Apim-Subscription-Key</x:v>
      </x:c>
      <x:c r="J7" s="86" t="n">
        <x:v>0</x:v>
      </x:c>
      <x:c r="K7" s="86" t="n">
        <x:v>13618.254</x:v>
      </x:c>
      <x:c r="L7" s="85" t="b">
        <x:v>0</x:v>
      </x:c>
      <x:c r="M7" s="47" t="str"/>
      <x:c r="N7" s="59" t="str"/>
      <x:c r="O7" s="59" t="str"/>
      <x:c r="P7" s="59" t="str"/>
    </x:row>
    <x:row r="8">
      <x:c r="A8" s="47" t="str">
        <x:v>EVT-000039</x:v>
      </x:c>
      <x:c r="B8" s="47" t="str">
        <x:v>RUN-TRF-037-20260830T174307224318Z</x:v>
      </x:c>
      <x:c r="C8" s="47" t="str">
        <x:v>TRF-037</x:v>
      </x:c>
      <x:c r="D8" s="93" t="n">
        <x:v>46264.738682662035</x:v>
      </x:c>
      <x:c r="E8" s="47" t="str">
        <x:v>validator</x:v>
      </x:c>
      <x:c r="F8" s="47" t="str">
        <x:v>gpt-5.6-luna-2026-07-09</x:v>
      </x:c>
      <x:c r="G8" s="47" t="n">
        <x:v>1</x:v>
      </x:c>
      <x:c r="H8" s="47" t="str">
        <x:v>COMPLETED</x:v>
      </x:c>
      <x:c r="I8" s="47" t="str"/>
      <x:c r="J8" s="86" t="n">
        <x:v>0</x:v>
      </x:c>
      <x:c r="K8" s="86" t="n">
        <x:v>13619.746</x:v>
      </x:c>
      <x:c r="L8" s="85" t="b">
        <x:v>0</x:v>
      </x:c>
      <x:c r="M8" s="47" t="str">
        <x:v>resp_0c91e53b4f7f3d95006a946bc0b8608195895a7c18f4d00bc0</x:v>
      </x:c>
      <x:c r="N8" s="59" t="n">
        <x:v>12508</x:v>
      </x:c>
      <x:c r="O8" s="59" t="n">
        <x:v>1124</x:v>
      </x:c>
      <x:c r="P8" s="59" t="n">
        <x:v>13632</x:v>
      </x:c>
    </x:row>
    <x:row r="9">
      <x:c r="A9" s="47" t="str">
        <x:v>EVT-000044</x:v>
      </x:c>
      <x:c r="B9" s="47" t="str">
        <x:v>RUN-TRF-037-20260830T174307224318Z</x:v>
      </x:c>
      <x:c r="C9" s="47" t="str">
        <x:v>TRF-037</x:v>
      </x:c>
      <x:c r="D9" s="93" t="n">
        <x:v>46264.73894599537</x:v>
      </x:c>
      <x:c r="E9" s="47" t="str">
        <x:v>generator</x:v>
      </x:c>
      <x:c r="F9" s="47" t="str">
        <x:v>gpt-5.6-luna-2026-07-09</x:v>
      </x:c>
      <x:c r="G9" s="47" t="n">
        <x:v>1</x:v>
      </x:c>
      <x:c r="H9" s="47" t="n">
        <x:v>200</x:v>
      </x:c>
      <x:c r="I9" s="47" t="str">
        <x:v>Ocp-Apim-Subscription-Key</x:v>
      </x:c>
      <x:c r="J9" s="86" t="n">
        <x:v>0</x:v>
      </x:c>
      <x:c r="K9" s="86" t="n">
        <x:v>22746.069</x:v>
      </x:c>
      <x:c r="L9" s="85" t="b">
        <x:v>0</x:v>
      </x:c>
      <x:c r="M9" s="47" t="str"/>
      <x:c r="N9" s="59" t="str"/>
      <x:c r="O9" s="59" t="str"/>
      <x:c r="P9" s="59" t="str"/>
    </x:row>
    <x:row r="10">
      <x:c r="A10" s="47" t="str">
        <x:v>EVT-000045</x:v>
      </x:c>
      <x:c r="B10" s="47" t="str">
        <x:v>RUN-TRF-037-20260830T174307224318Z</x:v>
      </x:c>
      <x:c r="C10" s="47" t="str">
        <x:v>TRF-037</x:v>
      </x:c>
      <x:c r="D10" s="93" t="n">
        <x:v>46264.738946018515</x:v>
      </x:c>
      <x:c r="E10" s="47" t="str">
        <x:v>generator</x:v>
      </x:c>
      <x:c r="F10" s="47" t="str">
        <x:v>gpt-5.6-luna-2026-07-09</x:v>
      </x:c>
      <x:c r="G10" s="47" t="n">
        <x:v>1</x:v>
      </x:c>
      <x:c r="H10" s="47" t="str">
        <x:v>COMPLETED</x:v>
      </x:c>
      <x:c r="I10" s="47" t="str"/>
      <x:c r="J10" s="86" t="n">
        <x:v>0</x:v>
      </x:c>
      <x:c r="K10" s="86" t="n">
        <x:v>22747.646</x:v>
      </x:c>
      <x:c r="L10" s="85" t="b">
        <x:v>0</x:v>
      </x:c>
      <x:c r="M10" s="47" t="str">
        <x:v>resp_0e13ee5639264a18006a946bce60a081969984eb28435e802c</x:v>
      </x:c>
      <x:c r="N10" s="59" t="n">
        <x:v>11535</x:v>
      </x:c>
      <x:c r="O10" s="59" t="n">
        <x:v>3019</x:v>
      </x:c>
      <x:c r="P10" s="59" t="n">
        <x:v>14554</x:v>
      </x:c>
    </x:row>
    <x:row r="11">
      <x:c r="A11" s="47" t="str">
        <x:v>EVT-000052</x:v>
      </x:c>
      <x:c r="B11" s="47" t="str">
        <x:v>RUN-TRF-037-20260830T174307224318Z</x:v>
      </x:c>
      <x:c r="C11" s="47" t="str">
        <x:v>TRF-037</x:v>
      </x:c>
      <x:c r="D11" s="93" t="n">
        <x:v>46264.739031122685</x:v>
      </x:c>
      <x:c r="E11" s="47" t="str">
        <x:v>validator</x:v>
      </x:c>
      <x:c r="F11" s="47" t="str">
        <x:v>gpt-5.6-luna-2026-07-09</x:v>
      </x:c>
      <x:c r="G11" s="47" t="n">
        <x:v>1</x:v>
      </x:c>
      <x:c r="H11" s="47" t="n">
        <x:v>200</x:v>
      </x:c>
      <x:c r="I11" s="47" t="str">
        <x:v>Ocp-Apim-Subscription-Key</x:v>
      </x:c>
      <x:c r="J11" s="86" t="n">
        <x:v>0</x:v>
      </x:c>
      <x:c r="K11" s="86" t="n">
        <x:v>7081.082</x:v>
      </x:c>
      <x:c r="L11" s="85" t="b">
        <x:v>0</x:v>
      </x:c>
      <x:c r="M11" s="47" t="str"/>
      <x:c r="N11" s="59" t="str"/>
      <x:c r="O11" s="59" t="str"/>
      <x:c r="P11" s="59" t="str"/>
    </x:row>
    <x:row r="12">
      <x:c r="A12" s="47" t="str">
        <x:v>EVT-000053</x:v>
      </x:c>
      <x:c r="B12" s="47" t="str">
        <x:v>RUN-TRF-037-20260830T174307224318Z</x:v>
      </x:c>
      <x:c r="C12" s="47" t="str">
        <x:v>TRF-037</x:v>
      </x:c>
      <x:c r="D12" s="93" t="n">
        <x:v>46264.73903113426</x:v>
      </x:c>
      <x:c r="E12" s="47" t="str">
        <x:v>validator</x:v>
      </x:c>
      <x:c r="F12" s="47" t="str">
        <x:v>gpt-5.6-luna-2026-07-09</x:v>
      </x:c>
      <x:c r="G12" s="47" t="n">
        <x:v>1</x:v>
      </x:c>
      <x:c r="H12" s="47" t="str">
        <x:v>COMPLETED</x:v>
      </x:c>
      <x:c r="I12" s="47" t="str"/>
      <x:c r="J12" s="86" t="n">
        <x:v>0</x:v>
      </x:c>
      <x:c r="K12" s="86" t="n">
        <x:v>7082.497</x:v>
      </x:c>
      <x:c r="L12" s="85" t="b">
        <x:v>0</x:v>
      </x:c>
      <x:c r="M12" s="47" t="str">
        <x:v>resp_0d38ffda444f92c5006a946be55900819498e312eb7a2f0cfa</x:v>
      </x:c>
      <x:c r="N12" s="59" t="n">
        <x:v>12587</x:v>
      </x:c>
      <x:c r="O12" s="59" t="n">
        <x:v>631</x:v>
      </x:c>
      <x:c r="P12" s="59" t="n">
        <x:v>13218</x:v>
      </x:c>
    </x:row>
    <x:row r="13">
      <x:c r="A13" s="47" t="str">
        <x:v>EVT-000058</x:v>
      </x:c>
      <x:c r="B13" s="47" t="str">
        <x:v>RUN-TRF-037-20260830T174307224318Z</x:v>
      </x:c>
      <x:c r="C13" s="47" t="str">
        <x:v>TRF-037</x:v>
      </x:c>
      <x:c r="D13" s="93" t="n">
        <x:v>46264.73922546296</x:v>
      </x:c>
      <x:c r="E13" s="47" t="str">
        <x:v>generator</x:v>
      </x:c>
      <x:c r="F13" s="47" t="str">
        <x:v>gpt-5.6-luna-2026-07-09</x:v>
      </x:c>
      <x:c r="G13" s="47" t="n">
        <x:v>1</x:v>
      </x:c>
      <x:c r="H13" s="47" t="n">
        <x:v>200</x:v>
      </x:c>
      <x:c r="I13" s="47" t="str">
        <x:v>Ocp-Apim-Subscription-Key</x:v>
      </x:c>
      <x:c r="J13" s="86" t="n">
        <x:v>0</x:v>
      </x:c>
      <x:c r="K13" s="86" t="n">
        <x:v>16784.721</x:v>
      </x:c>
      <x:c r="L13" s="85" t="b">
        <x:v>0</x:v>
      </x:c>
      <x:c r="M13" s="47" t="str"/>
      <x:c r="N13" s="59" t="str"/>
      <x:c r="O13" s="59" t="str"/>
      <x:c r="P13" s="59" t="str"/>
    </x:row>
    <x:row r="14">
      <x:c r="A14" s="47" t="str">
        <x:v>EVT-000059</x:v>
      </x:c>
      <x:c r="B14" s="47" t="str">
        <x:v>RUN-TRF-037-20260830T174307224318Z</x:v>
      </x:c>
      <x:c r="C14" s="47" t="str">
        <x:v>TRF-037</x:v>
      </x:c>
      <x:c r="D14" s="93" t="n">
        <x:v>46264.73922548611</x:v>
      </x:c>
      <x:c r="E14" s="47" t="str">
        <x:v>generator</x:v>
      </x:c>
      <x:c r="F14" s="47" t="str">
        <x:v>gpt-5.6-luna-2026-07-09</x:v>
      </x:c>
      <x:c r="G14" s="47" t="n">
        <x:v>1</x:v>
      </x:c>
      <x:c r="H14" s="47" t="str">
        <x:v>COMPLETED</x:v>
      </x:c>
      <x:c r="I14" s="47" t="str"/>
      <x:c r="J14" s="86" t="n">
        <x:v>0</x:v>
      </x:c>
      <x:c r="K14" s="86" t="n">
        <x:v>16786.266</x:v>
      </x:c>
      <x:c r="L14" s="85" t="b">
        <x:v>0</x:v>
      </x:c>
      <x:c r="M14" s="47" t="str">
        <x:v>resp_0f20b7c2b7a7d275006a946bec6fe881979903b8c76be71451</x:v>
      </x:c>
      <x:c r="N14" s="59" t="n">
        <x:v>11633</x:v>
      </x:c>
      <x:c r="O14" s="59" t="n">
        <x:v>2558</x:v>
      </x:c>
      <x:c r="P14" s="59" t="n">
        <x:v>14191</x:v>
      </x:c>
    </x:row>
    <x:row r="15">
      <x:c r="A15" s="47" t="str">
        <x:v>EVT-000064</x:v>
      </x:c>
      <x:c r="B15" s="47" t="str">
        <x:v>RUN-TRF-037-20260830T174307224318Z</x:v>
      </x:c>
      <x:c r="C15" s="47" t="str">
        <x:v>TRF-037</x:v>
      </x:c>
      <x:c r="D15" s="93" t="n">
        <x:v>46264.739343981484</x:v>
      </x:c>
      <x:c r="E15" s="47" t="str">
        <x:v>syntax_repair</x:v>
      </x:c>
      <x:c r="F15" s="47" t="str">
        <x:v>gpt-5.6-luna-2026-07-09</x:v>
      </x:c>
      <x:c r="G15" s="47" t="n">
        <x:v>1</x:v>
      </x:c>
      <x:c r="H15" s="47" t="n">
        <x:v>200</x:v>
      </x:c>
      <x:c r="I15" s="47" t="str">
        <x:v>Ocp-Apim-Subscription-Key</x:v>
      </x:c>
      <x:c r="J15" s="86" t="n">
        <x:v>0</x:v>
      </x:c>
      <x:c r="K15" s="86" t="n">
        <x:v>10232.934</x:v>
      </x:c>
      <x:c r="L15" s="85" t="b">
        <x:v>0</x:v>
      </x:c>
      <x:c r="M15" s="47" t="str"/>
      <x:c r="N15" s="59" t="str"/>
      <x:c r="O15" s="59" t="str"/>
      <x:c r="P15" s="59" t="str"/>
    </x:row>
    <x:row r="16">
      <x:c r="A16" s="47" t="str">
        <x:v>EVT-000065</x:v>
      </x:c>
      <x:c r="B16" s="47" t="str">
        <x:v>RUN-TRF-037-20260830T174307224318Z</x:v>
      </x:c>
      <x:c r="C16" s="47" t="str">
        <x:v>TRF-037</x:v>
      </x:c>
      <x:c r="D16" s="93" t="n">
        <x:v>46264.73934399305</x:v>
      </x:c>
      <x:c r="E16" s="47" t="str">
        <x:v>syntax_repair</x:v>
      </x:c>
      <x:c r="F16" s="47" t="str">
        <x:v>gpt-5.6-luna-2026-07-09</x:v>
      </x:c>
      <x:c r="G16" s="47" t="n">
        <x:v>1</x:v>
      </x:c>
      <x:c r="H16" s="47" t="str">
        <x:v>COMPLETED</x:v>
      </x:c>
      <x:c r="I16" s="47" t="str"/>
      <x:c r="J16" s="86" t="n">
        <x:v>0</x:v>
      </x:c>
      <x:c r="K16" s="86" t="n">
        <x:v>10234.129</x:v>
      </x:c>
      <x:c r="L16" s="85" t="b">
        <x:v>0</x:v>
      </x:c>
      <x:c r="M16" s="47" t="str">
        <x:v>resp_0d1edbd4fc646148006a946bfd266481978e8e59efc52fcf6b</x:v>
      </x:c>
      <x:c r="N16" s="59" t="n">
        <x:v>2500</x:v>
      </x:c>
      <x:c r="O16" s="59" t="n">
        <x:v>2019</x:v>
      </x:c>
      <x:c r="P16" s="59" t="n">
        <x:v>4519</x:v>
      </x:c>
    </x:row>
    <x:row r="17">
      <x:c r="A17" s="47" t="str">
        <x:v>EVT-000073</x:v>
      </x:c>
      <x:c r="B17" s="47" t="str">
        <x:v>RUN-TRF-037-20260830T174307224318Z</x:v>
      </x:c>
      <x:c r="C17" s="47" t="str">
        <x:v>TRF-037</x:v>
      </x:c>
      <x:c r="D17" s="93" t="n">
        <x:v>46264.7394862037</x:v>
      </x:c>
      <x:c r="E17" s="47" t="str">
        <x:v>validator</x:v>
      </x:c>
      <x:c r="F17" s="47" t="str">
        <x:v>gpt-5.6-luna-2026-07-09</x:v>
      </x:c>
      <x:c r="G17" s="47" t="n">
        <x:v>1</x:v>
      </x:c>
      <x:c r="H17" s="47" t="n">
        <x:v>200</x:v>
      </x:c>
      <x:c r="I17" s="47" t="str">
        <x:v>Ocp-Apim-Subscription-Key</x:v>
      </x:c>
      <x:c r="J17" s="86" t="n">
        <x:v>0</x:v>
      </x:c>
      <x:c r="K17" s="86" t="n">
        <x:v>12001.96</x:v>
      </x:c>
      <x:c r="L17" s="85" t="b">
        <x:v>0</x:v>
      </x:c>
      <x:c r="M17" s="47" t="str"/>
      <x:c r="N17" s="59" t="str"/>
      <x:c r="O17" s="59" t="str"/>
      <x:c r="P17" s="59" t="str"/>
    </x:row>
    <x:row r="18">
      <x:c r="A18" s="49" t="str">
        <x:v>EVT-000074</x:v>
      </x:c>
      <x:c r="B18" s="49" t="str">
        <x:v>RUN-TRF-037-20260830T174307224318Z</x:v>
      </x:c>
      <x:c r="C18" s="49" t="str">
        <x:v>TRF-037</x:v>
      </x:c>
      <x:c r="D18" s="94" t="n">
        <x:v>46264.73948622685</x:v>
      </x:c>
      <x:c r="E18" s="49" t="str">
        <x:v>validator</x:v>
      </x:c>
      <x:c r="F18" s="49" t="str">
        <x:v>gpt-5.6-luna-2026-07-09</x:v>
      </x:c>
      <x:c r="G18" s="49" t="n">
        <x:v>1</x:v>
      </x:c>
      <x:c r="H18" s="49" t="str">
        <x:v>COMPLETED</x:v>
      </x:c>
      <x:c r="I18" s="49" t="str"/>
      <x:c r="J18" s="88" t="n">
        <x:v>0</x:v>
      </x:c>
      <x:c r="K18" s="88" t="n">
        <x:v>12003.512</x:v>
      </x:c>
      <x:c r="L18" s="87" t="b">
        <x:v>0</x:v>
      </x:c>
      <x:c r="M18" s="49" t="str">
        <x:v>resp_0181d3e006239b6a006a946c088d908197aba4f87cf16358f8</x:v>
      </x:c>
      <x:c r="N18" s="60" t="n">
        <x:v>12758</x:v>
      </x:c>
      <x:c r="O18" s="60" t="n">
        <x:v>872</x:v>
      </x:c>
      <x:c r="P18" s="60" t="n">
        <x:v>13630</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5b682e54011477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RUN-TRF-037-20260830T174307224318Z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RUN-TRF-037-20260830T174307224318Z</x:v>
      </x:c>
      <x:c r="B5" s="45" t="str">
        <x:v>TRF-037</x:v>
      </x:c>
      <x:c r="C5" s="45" t="str">
        <x:v>benchmarkEntity</x:v>
      </x:c>
      <x:c r="D5" s="46" t="str">
        <x:v>https://w3id.org/nltl/vocab#benchmarkEntity</x:v>
      </x:c>
      <x:c r="E5" s="45" t="str">
        <x:v>Class</x:v>
      </x:c>
      <x:c r="F5" s="45" t="str"/>
      <x:c r="G5" s="45" t="str"/>
      <x:c r="H5" s="45" t="str"/>
      <x:c r="I5" s="46" t="str">
        <x:v>baseline target infrastructure; domain dependency of continuousPropulsionPowerAvailableInIce; domain dependency of displacementAtMaximumIceClassDraught; domain dependency of hullRegion; domain dependency of iceClassFactorCp; domain dependency of icePressure; domain dependency of nominalIcePressureP0; domain dependency of shipSizeEngineOutputCoefficientA; domain dependency of shipSizeEngineOutputCoefficientB; domain dependency of shipSizeEngineOutputCoefficientK; domain dependency of shipSizeEngineOutputFactorCd; range dependency of directAnalysisCase</x:v>
      </x:c>
      <x:c r="J5" s="45" t="n">
        <x:v>0</x:v>
      </x:c>
    </x:row>
    <x:row r="6">
      <x:c r="A6" s="47" t="str">
        <x:v>RUN-TRF-037-20260830T174307224318Z</x:v>
      </x:c>
      <x:c r="B6" s="47" t="str">
        <x:v>TRF-037</x:v>
      </x:c>
      <x:c r="C6" s="47" t="str">
        <x:v>bowRegion</x:v>
      </x:c>
      <x:c r="D6" s="48" t="str">
        <x:v>https://w3id.org/nltl/vocab#bowRegion</x:v>
      </x:c>
      <x:c r="E6" s="47" t="str">
        <x:v>NamedIndividual</x:v>
      </x:c>
      <x:c r="F6" s="47" t="str"/>
      <x:c r="G6" s="47" t="str">
        <x:v>https://w3id.org/nltl/vocab#hullRegionValue</x:v>
      </x:c>
      <x:c r="H6" s="47" t="str"/>
      <x:c r="I6" s="48" t="str">
        <x:v>controlled value permitted by the range of hullRegion</x:v>
      </x:c>
      <x:c r="J6" s="47" t="n">
        <x:v>0</x:v>
      </x:c>
    </x:row>
    <x:row r="7">
      <x:c r="A7" s="47" t="str">
        <x:v>RUN-TRF-037-20260830T174307224318Z</x:v>
      </x:c>
      <x:c r="B7" s="47" t="str">
        <x:v>TRF-037</x:v>
      </x:c>
      <x:c r="C7" s="47" t="str">
        <x:v>continuousPropulsionPowerAvailableInIce</x:v>
      </x:c>
      <x:c r="D7" s="48" t="str">
        <x:v>https://w3id.org/nltl/vocab#continuousPropulsionPowerAvailableInIce</x:v>
      </x:c>
      <x:c r="E7" s="47" t="str">
        <x:v>QuantityProperty</x:v>
      </x:c>
      <x:c r="F7" s="47" t="str"/>
      <x:c r="G7" s="47" t="str">
        <x:v>http://qudt.org/schema/qudt/QuantityValue</x:v>
      </x:c>
      <x:c r="H7" s="47" t="str">
        <x:v>http://qudt.org/vocab/unit/KiloW</x:v>
      </x:c>
      <x:c r="I7" s="48" t="str">
        <x:v>linked by the locked 313-requirement index</x:v>
      </x:c>
      <x:c r="J7" s="47" t="n">
        <x:v>0</x:v>
      </x:c>
    </x:row>
    <x:row r="8">
      <x:c r="A8" s="47" t="str">
        <x:v>RUN-TRF-037-20260830T174307224318Z</x:v>
      </x:c>
      <x:c r="B8" s="47" t="str">
        <x:v>TRF-037</x:v>
      </x:c>
      <x:c r="C8" s="47" t="str">
        <x:v>directAnalysisCase</x:v>
      </x:c>
      <x:c r="D8" s="48" t="str">
        <x:v>https://w3id.org/nltl/vocab#directAnalysisCase</x:v>
      </x:c>
      <x:c r="E8" s="47" t="str">
        <x:v>Class</x:v>
      </x:c>
      <x:c r="F8" s="47" t="str"/>
      <x:c r="G8" s="47" t="str">
        <x:v>https://w3id.org/nltl/vocab#benchmarkEntity</x:v>
      </x:c>
      <x:c r="H8" s="47" t="str"/>
      <x:c r="I8" s="48" t="str">
        <x:v>authoritative required owner class; domain dependency of iceLoadAreaFactorCa; linked by the locked 313-requirement index; range dependency of hasDirectAnalysisCase</x:v>
      </x:c>
      <x:c r="J8" s="47" t="n">
        <x:v>0</x:v>
      </x:c>
    </x:row>
    <x:row r="9">
      <x:c r="A9" s="47" t="str">
        <x:v>RUN-TRF-037-20260830T174307224318Z</x:v>
      </x:c>
      <x:c r="B9" s="47" t="str">
        <x:v>TRF-037</x:v>
      </x:c>
      <x:c r="C9" s="47" t="str">
        <x:v>displacementAtMaximumIceClassDraught</x:v>
      </x:c>
      <x:c r="D9" s="48" t="str">
        <x:v>https://w3id.org/nltl/vocab#displacementAtMaximumIceClassDraught</x:v>
      </x:c>
      <x:c r="E9" s="47" t="str">
        <x:v>QuantityProperty</x:v>
      </x:c>
      <x:c r="F9" s="47" t="str"/>
      <x:c r="G9" s="47" t="str">
        <x:v>http://qudt.org/schema/qudt/QuantityValue</x:v>
      </x:c>
      <x:c r="H9" s="47" t="str">
        <x:v>http://qudt.org/vocab/unit/TON_Metric</x:v>
      </x:c>
      <x:c r="I9" s="48" t="str">
        <x:v>linked by the locked 313-requirement index</x:v>
      </x:c>
      <x:c r="J9" s="47" t="n">
        <x:v>0</x:v>
      </x:c>
    </x:row>
    <x:row r="10">
      <x:c r="A10" s="47" t="str">
        <x:v>RUN-TRF-037-20260830T174307224318Z</x:v>
      </x:c>
      <x:c r="B10" s="47" t="str">
        <x:v>TRF-037</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x:v>
      </x:c>
      <x:c r="J10" s="47" t="n">
        <x:v>0</x:v>
      </x:c>
    </x:row>
    <x:row r="11">
      <x:c r="A11" s="47" t="str">
        <x:v>RUN-TRF-037-20260830T174307224318Z</x:v>
      </x:c>
      <x:c r="B11" s="47" t="str">
        <x:v>TRF-037</x:v>
      </x:c>
      <x:c r="C11" s="47" t="str">
        <x:v>hasDirectAnalysisCase</x:v>
      </x:c>
      <x:c r="D11" s="48" t="str">
        <x:v>https://w3id.org/nltl/vocab#hasDirectAnalysisCase</x:v>
      </x:c>
      <x:c r="E11" s="47" t="str">
        <x:v>ObjectProperty</x:v>
      </x:c>
      <x:c r="F11" s="47" t="str"/>
      <x:c r="G11" s="47" t="str">
        <x:v>https://w3id.org/nltl/vocab#directAnalysisCase</x:v>
      </x:c>
      <x:c r="H11" s="47" t="str"/>
      <x:c r="I11" s="48" t="str">
        <x:v>canonical path from target owner ship to required owner directAnalysisCase; linked by the locked 313-requirement index</x:v>
      </x:c>
      <x:c r="J11" s="47" t="n">
        <x:v>0</x:v>
      </x:c>
    </x:row>
    <x:row r="12">
      <x:c r="A12" s="47" t="str">
        <x:v>RUN-TRF-037-20260830T174307224318Z</x:v>
      </x:c>
      <x:c r="B12" s="47" t="str">
        <x:v>TRF-037</x:v>
      </x:c>
      <x:c r="C12" s="47" t="str">
        <x:v>hullRegion</x:v>
      </x:c>
      <x:c r="D12" s="48" t="str">
        <x:v>https://w3id.org/nltl/vocab#hullRegion</x:v>
      </x:c>
      <x:c r="E12" s="47" t="str">
        <x:v>ObjectProperty</x:v>
      </x:c>
      <x:c r="F12" s="47" t="str"/>
      <x:c r="G12" s="47" t="str">
        <x:v>https://w3id.org/nltl/vocab#hullRegionValue</x:v>
      </x:c>
      <x:c r="H12" s="47" t="str"/>
      <x:c r="I12" s="48" t="str">
        <x:v>linked by the locked 313-requirement index</x:v>
      </x:c>
      <x:c r="J12" s="47" t="n">
        <x:v>0</x:v>
      </x:c>
    </x:row>
    <x:row r="13">
      <x:c r="A13" s="47" t="str">
        <x:v>RUN-TRF-037-20260830T174307224318Z</x:v>
      </x:c>
      <x:c r="B13" s="47" t="str">
        <x:v>TRF-037</x:v>
      </x:c>
      <x:c r="C13" s="47" t="str">
        <x:v>hullRegionValue</x:v>
      </x:c>
      <x:c r="D13" s="48" t="str">
        <x:v>https://w3id.org/nltl/vocab#hullRegionValue</x:v>
      </x:c>
      <x:c r="E13" s="47" t="str">
        <x:v>Class</x:v>
      </x:c>
      <x:c r="F13" s="47" t="str"/>
      <x:c r="G13" s="47" t="str">
        <x:v>https://w3id.org/nltl/vocab#benchmarkEntity</x:v>
      </x:c>
      <x:c r="H13" s="47" t="str"/>
      <x:c r="I13" s="48" t="str">
        <x:v>range dependency of hullRegion</x:v>
      </x:c>
      <x:c r="J13" s="47" t="n">
        <x:v>0</x:v>
      </x:c>
    </x:row>
    <x:row r="14">
      <x:c r="A14" s="47" t="str">
        <x:v>RUN-TRF-037-20260830T174307224318Z</x:v>
      </x:c>
      <x:c r="B14" s="47" t="str">
        <x:v>TRF-037</x:v>
      </x:c>
      <x:c r="C14" s="47" t="str">
        <x:v>iceClassFactorCp</x:v>
      </x:c>
      <x:c r="D14" s="48" t="str">
        <x:v>https://w3id.org/nltl/vocab#iceClassFactorCp</x:v>
      </x:c>
      <x:c r="E14" s="47" t="str">
        <x:v>QuantityProperty</x:v>
      </x:c>
      <x:c r="F14" s="47" t="str"/>
      <x:c r="G14" s="47" t="str">
        <x:v>http://qudt.org/schema/qudt/QuantityValue</x:v>
      </x:c>
      <x:c r="H14" s="47" t="str">
        <x:v>http://qudt.org/vocab/unit/UNITLESS</x:v>
      </x:c>
      <x:c r="I14" s="48" t="str">
        <x:v>linked by the locked 313-requirement index</x:v>
      </x:c>
      <x:c r="J14" s="47" t="n">
        <x:v>0</x:v>
      </x:c>
    </x:row>
    <x:row r="15">
      <x:c r="A15" s="47" t="str">
        <x:v>RUN-TRF-037-20260830T174307224318Z</x:v>
      </x:c>
      <x:c r="B15" s="47" t="str">
        <x:v>TRF-037</x:v>
      </x:c>
      <x:c r="C15" s="47" t="str">
        <x:v>iceLoadAreaFactorCa</x:v>
      </x:c>
      <x:c r="D15" s="48" t="str">
        <x:v>https://w3id.org/nltl/vocab#iceLoadAreaFactorCa</x:v>
      </x:c>
      <x:c r="E15" s="47" t="str">
        <x:v>QuantityProperty</x:v>
      </x:c>
      <x:c r="F15" s="47" t="str"/>
      <x:c r="G15" s="47" t="str">
        <x:v>http://qudt.org/schema/qudt/QuantityValue</x:v>
      </x:c>
      <x:c r="H15" s="47" t="str">
        <x:v>http://qudt.org/vocab/unit/UNITLESS</x:v>
      </x:c>
      <x:c r="I15" s="48" t="str">
        <x:v>linked by the locked 313-requirement index</x:v>
      </x:c>
      <x:c r="J15" s="47" t="n">
        <x:v>0</x:v>
      </x:c>
    </x:row>
    <x:row r="16">
      <x:c r="A16" s="47" t="str">
        <x:v>RUN-TRF-037-20260830T174307224318Z</x:v>
      </x:c>
      <x:c r="B16" s="47" t="str">
        <x:v>TRF-037</x:v>
      </x:c>
      <x:c r="C16" s="47" t="str">
        <x:v>icePressure</x:v>
      </x:c>
      <x:c r="D16" s="48" t="str">
        <x:v>https://w3id.org/nltl/vocab#icePressure</x:v>
      </x:c>
      <x:c r="E16" s="47" t="str">
        <x:v>QuantityProperty</x:v>
      </x:c>
      <x:c r="F16" s="47" t="str"/>
      <x:c r="G16" s="47" t="str">
        <x:v>http://qudt.org/schema/qudt/QuantityValue</x:v>
      </x:c>
      <x:c r="H16" s="47" t="str">
        <x:v>http://qudt.org/vocab/unit/MegaPA</x:v>
      </x:c>
      <x:c r="I16" s="48" t="str">
        <x:v>linked by the locked 313-requirement index</x:v>
      </x:c>
      <x:c r="J16" s="47" t="n">
        <x:v>0</x:v>
      </x:c>
    </x:row>
    <x:row r="17">
      <x:c r="A17" s="47" t="str">
        <x:v>RUN-TRF-037-20260830T174307224318Z</x:v>
      </x:c>
      <x:c r="B17" s="47" t="str">
        <x:v>TRF-037</x:v>
      </x:c>
      <x:c r="C17" s="47" t="str">
        <x:v>midbodyRegion</x:v>
      </x:c>
      <x:c r="D17" s="48" t="str">
        <x:v>https://w3id.org/nltl/vocab#midbodyRegion</x:v>
      </x:c>
      <x:c r="E17" s="47" t="str">
        <x:v>NamedIndividual</x:v>
      </x:c>
      <x:c r="F17" s="47" t="str"/>
      <x:c r="G17" s="47" t="str">
        <x:v>https://w3id.org/nltl/vocab#hullRegionValue</x:v>
      </x:c>
      <x:c r="H17" s="47" t="str"/>
      <x:c r="I17" s="48" t="str">
        <x:v>controlled value permitted by the range of hullRegion</x:v>
      </x:c>
      <x:c r="J17" s="47" t="n">
        <x:v>0</x:v>
      </x:c>
    </x:row>
    <x:row r="18">
      <x:c r="A18" s="47" t="str">
        <x:v>RUN-TRF-037-20260830T174307224318Z</x:v>
      </x:c>
      <x:c r="B18" s="47" t="str">
        <x:v>TRF-037</x:v>
      </x:c>
      <x:c r="C18" s="47" t="str">
        <x:v>nominalIcePressureP0</x:v>
      </x:c>
      <x:c r="D18" s="48" t="str">
        <x:v>https://w3id.org/nltl/vocab#nominalIcePressureP0</x:v>
      </x:c>
      <x:c r="E18" s="47" t="str">
        <x:v>QuantityProperty</x:v>
      </x:c>
      <x:c r="F18" s="47" t="str"/>
      <x:c r="G18" s="47" t="str">
        <x:v>http://qudt.org/schema/qudt/QuantityValue</x:v>
      </x:c>
      <x:c r="H18" s="47" t="str">
        <x:v>http://qudt.org/vocab/unit/MegaPA</x:v>
      </x:c>
      <x:c r="I18" s="48" t="str">
        <x:v>linked by the locked 313-requirement index</x:v>
      </x:c>
      <x:c r="J18" s="47" t="n">
        <x:v>0</x:v>
      </x:c>
    </x:row>
    <x:row r="19">
      <x:c r="A19" s="47" t="str">
        <x:v>RUN-TRF-037-20260830T174307224318Z</x:v>
      </x:c>
      <x:c r="B19" s="47" t="str">
        <x:v>TRF-037</x:v>
      </x:c>
      <x:c r="C19" s="47" t="str">
        <x:v>otherIceStrengthenedAreaValue</x:v>
      </x:c>
      <x:c r="D19" s="48" t="str">
        <x:v>https://w3id.org/nltl/vocab#otherIceStrengthenedAreaValue</x:v>
      </x:c>
      <x:c r="E19" s="47" t="str">
        <x:v>NamedIndividual</x:v>
      </x:c>
      <x:c r="F19" s="47" t="str"/>
      <x:c r="G19" s="47" t="str">
        <x:v>https://w3id.org/nltl/vocab#hullRegionValue</x:v>
      </x:c>
      <x:c r="H19" s="47" t="str"/>
      <x:c r="I19" s="48" t="str">
        <x:v>controlled value permitted by the range of hullRegion</x:v>
      </x:c>
      <x:c r="J19" s="47" t="n">
        <x:v>0</x:v>
      </x:c>
    </x:row>
    <x:row r="20">
      <x:c r="A20" s="47" t="str">
        <x:v>RUN-TRF-037-20260830T174307224318Z</x:v>
      </x:c>
      <x:c r="B20" s="47" t="str">
        <x:v>TRF-037</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 domain dependency of hasDirectAnalysisCase</x:v>
      </x:c>
      <x:c r="J20" s="47" t="n">
        <x:v>0</x:v>
      </x:c>
    </x:row>
    <x:row r="21">
      <x:c r="A21" s="47" t="str">
        <x:v>RUN-TRF-037-20260830T174307224318Z</x:v>
      </x:c>
      <x:c r="B21" s="47" t="str">
        <x:v>TRF-037</x:v>
      </x:c>
      <x:c r="C21" s="47" t="str">
        <x:v>shipComponent</x:v>
      </x:c>
      <x:c r="D21" s="48" t="str">
        <x:v>https://w3id.org/nltl/vocab#shipComponent</x:v>
      </x:c>
      <x:c r="E21" s="47" t="str">
        <x:v>Class</x:v>
      </x:c>
      <x:c r="F21" s="47" t="str"/>
      <x:c r="G21" s="47" t="str"/>
      <x:c r="H21" s="47" t="str"/>
      <x:c r="I21" s="48" t="str">
        <x:v>component-path dependency inferred from the linked term module</x:v>
      </x:c>
      <x:c r="J21" s="47" t="n">
        <x:v>0</x:v>
      </x:c>
    </x:row>
    <x:row r="22">
      <x:c r="A22" s="47" t="str">
        <x:v>RUN-TRF-037-20260830T174307224318Z</x:v>
      </x:c>
      <x:c r="B22" s="47" t="str">
        <x:v>TRF-037</x:v>
      </x:c>
      <x:c r="C22" s="47" t="str">
        <x:v>shipSizeEngineOutputCoefficientA</x:v>
      </x:c>
      <x:c r="D22" s="48" t="str">
        <x:v>https://w3id.org/nltl/vocab#shipSizeEngineOutputCoefficientA</x:v>
      </x:c>
      <x:c r="E22" s="47" t="str">
        <x:v>QuantityProperty</x:v>
      </x:c>
      <x:c r="F22" s="47" t="str"/>
      <x:c r="G22" s="47" t="str">
        <x:v>http://qudt.org/schema/qudt/QuantityValue</x:v>
      </x:c>
      <x:c r="H22" s="47" t="str">
        <x:v>http://qudt.org/vocab/unit/UNITLESS</x:v>
      </x:c>
      <x:c r="I22" s="48" t="str">
        <x:v>linked by the locked 313-requirement index</x:v>
      </x:c>
      <x:c r="J22" s="47" t="n">
        <x:v>0</x:v>
      </x:c>
    </x:row>
    <x:row r="23">
      <x:c r="A23" s="47" t="str">
        <x:v>RUN-TRF-037-20260830T174307224318Z</x:v>
      </x:c>
      <x:c r="B23" s="47" t="str">
        <x:v>TRF-037</x:v>
      </x:c>
      <x:c r="C23" s="47" t="str">
        <x:v>shipSizeEngineOutputCoefficientB</x:v>
      </x:c>
      <x:c r="D23" s="48" t="str">
        <x:v>https://w3id.org/nltl/vocab#shipSizeEngineOutputCoefficientB</x:v>
      </x:c>
      <x:c r="E23" s="47" t="str">
        <x:v>QuantityProperty</x:v>
      </x:c>
      <x:c r="F23" s="47" t="str"/>
      <x:c r="G23" s="47" t="str">
        <x:v>http://qudt.org/schema/qudt/QuantityValue</x:v>
      </x:c>
      <x:c r="H23" s="47" t="str">
        <x:v>http://qudt.org/vocab/unit/UNITLESS</x:v>
      </x:c>
      <x:c r="I23" s="48" t="str">
        <x:v>linked by the locked 313-requirement index</x:v>
      </x:c>
      <x:c r="J23" s="47" t="n">
        <x:v>0</x:v>
      </x:c>
    </x:row>
    <x:row r="24">
      <x:c r="A24" s="47" t="str">
        <x:v>RUN-TRF-037-20260830T174307224318Z</x:v>
      </x:c>
      <x:c r="B24" s="47" t="str">
        <x:v>TRF-037</x:v>
      </x:c>
      <x:c r="C24" s="47" t="str">
        <x:v>shipSizeEngineOutputCoefficientK</x:v>
      </x:c>
      <x:c r="D24" s="48" t="str">
        <x:v>https://w3id.org/nltl/vocab#shipSizeEngineOutputCoefficientK</x:v>
      </x:c>
      <x:c r="E24" s="47" t="str">
        <x:v>QuantityProperty</x:v>
      </x:c>
      <x:c r="F24" s="47" t="str"/>
      <x:c r="G24" s="47" t="str">
        <x:v>http://qudt.org/schema/qudt/QuantityValue</x:v>
      </x:c>
      <x:c r="H24" s="47" t="str">
        <x:v>http://qudt.org/vocab/unit/UNITLESS</x:v>
      </x:c>
      <x:c r="I24" s="48" t="str">
        <x:v>linked by the locked 313-requirement index</x:v>
      </x:c>
      <x:c r="J24" s="47" t="n">
        <x:v>0</x:v>
      </x:c>
    </x:row>
    <x:row r="25">
      <x:c r="A25" s="47" t="str">
        <x:v>RUN-TRF-037-20260830T174307224318Z</x:v>
      </x:c>
      <x:c r="B25" s="47" t="str">
        <x:v>TRF-037</x:v>
      </x:c>
      <x:c r="C25" s="47" t="str">
        <x:v>shipSizeEngineOutputFactorCd</x:v>
      </x:c>
      <x:c r="D25" s="48" t="str">
        <x:v>https://w3id.org/nltl/vocab#shipSizeEngineOutputFactorCd</x:v>
      </x:c>
      <x:c r="E25" s="47" t="str">
        <x:v>QuantityProperty</x:v>
      </x:c>
      <x:c r="F25" s="47" t="str"/>
      <x:c r="G25" s="47" t="str">
        <x:v>http://qudt.org/schema/qudt/QuantityValue</x:v>
      </x:c>
      <x:c r="H25" s="47" t="str">
        <x:v>http://qudt.org/vocab/unit/UNITLESS</x:v>
      </x:c>
      <x:c r="I25" s="48" t="str">
        <x:v>linked by the locked 313-requirement index</x:v>
      </x:c>
      <x:c r="J25" s="47" t="n">
        <x:v>0</x:v>
      </x:c>
    </x:row>
    <x:row r="26">
      <x:c r="A26" s="49" t="str">
        <x:v>RUN-TRF-037-20260830T174307224318Z</x:v>
      </x:c>
      <x:c r="B26" s="49" t="str">
        <x:v>TRF-037</x:v>
      </x:c>
      <x:c r="C26" s="49" t="str">
        <x:v>sternRegion</x:v>
      </x:c>
      <x:c r="D26" s="50" t="str">
        <x:v>https://w3id.org/nltl/vocab#sternRegion</x:v>
      </x:c>
      <x:c r="E26" s="49" t="str">
        <x:v>NamedIndividual</x:v>
      </x:c>
      <x:c r="F26" s="49" t="str"/>
      <x:c r="G26" s="49" t="str">
        <x:v>https://w3id.org/nltl/vocab#hullRegionValue</x:v>
      </x:c>
      <x:c r="H26" s="49" t="str"/>
      <x:c r="I26" s="50" t="str">
        <x:v>controlled value permitted by the range of hullRegion</x:v>
      </x:c>
      <x:c r="J26" s="49" t="n">
        <x:v>0</x:v>
      </x:c>
    </x:row>
  </x:sheetData>
  <x:pageMargins left="0.7" right="0.7" top="0.75" bottom="0.75" header="0.3" footer="0.3"/>
  <x:tableParts count="1">
    <x:tablePart xmlns:r="http://schemas.openxmlformats.org/officeDocument/2006/relationships" r:id="R3f97b0f24803482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RUN-TRF-037-20260830T174307224318Z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RUN-TRF-037-20260830T174307224318Z</x:v>
      </x:c>
      <x:c r="B5" s="45" t="str">
        <x:v>TRF-037</x:v>
      </x:c>
      <x:c r="C5" s="45" t="str">
        <x:v>FS-CALC-02</x:v>
      </x:c>
      <x:c r="D5" s="45" t="str">
        <x:v>comparison_calculation</x:v>
      </x:c>
      <x:c r="E5" s="97" t="n">
        <x:v>0.076923</x:v>
      </x:c>
      <x:c r="F5" s="45" t="str">
        <x:v>calculation | comparison | formula | sparql</x:v>
      </x:c>
      <x:c r="G5" s="45" t="str">
        <x:v>synthetic-few-shot-not-benchmark-ground-truth</x:v>
      </x:c>
    </x:row>
    <x:row r="6">
      <x:c r="A6" s="49" t="str">
        <x:v>RUN-TRF-037-20260830T174307224318Z</x:v>
      </x:c>
      <x:c r="B6" s="49" t="str">
        <x:v>TRF-037</x:v>
      </x:c>
      <x:c r="C6" s="49" t="str">
        <x:v>FS-QTY-01</x:v>
      </x:c>
      <x:c r="D6" s="49" t="str">
        <x:v>qudt_quantity</x:v>
      </x:c>
      <x:c r="E6" s="98" t="n">
        <x:v>0.037736</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94dd3a6b71445e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RUN-TRF-037-20260830T174307224318Z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RUN-TRF-037-20260830T174307224318Z</x:v>
      </x:c>
      <x:c r="B5" s="45" t="str">
        <x:v>TRF-037</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https://w3id.org/nltl/vocab#continuousPropulsionPowerAvailableInIce | https://w3id.org/nltl/vocab#directAnalysisCase | https://w3id.org/nltl/vocab#displacementAtMaximumIceClassDraught | https://w3id.org/nltl/vocab#hasDirectAnalysisCase | https://w3id.org/nltl/vocab#iceClassFactorCp | https://w3id.org/nltl/vocab#iceLoadAreaFactorCa | https://w3id.org/nltl/vocab#icePressure | https://w3id.org/nltl/vocab#nominalIcePressureP0 | https://w3id.org/nltl/vocab#ship | https://w3id.org/nltl/vocab#shipSizeEngineOutputCoefficientA | https://w3id.org/nltl/vocab#shipSizeEngineOutputCoefficientB | https://w3id.org/nltl/vocab#shipSizeEngineOutputCoefficientK | https://w3id.org/nltl/vocab#shipSizeEngineOutputFactorCd</x:v>
      </x:c>
      <x:c r="O5" s="46" t="str"/>
      <x:c r="P5" s="46" t="str"/>
      <x:c r="Q5" s="46" t="str"/>
    </x:row>
    <x:row r="6">
      <x:c r="A6" s="47" t="str">
        <x:v>RUN-TRF-037-20260830T174307224318Z</x:v>
      </x:c>
      <x:c r="B6" s="47" t="str">
        <x:v>TRF-037</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https://w3id.org/nltl/vocab#directAnalysisCase | https://w3id.org/nltl/vocab#hasDirectAnalysisCase | https://w3id.org/nltl/vocab#iceClassFactorCp | https://w3id.org/nltl/vocab#iceLoadAreaFactorCa | https://w3id.org/nltl/vocab#icePressure | https://w3id.org/nltl/vocab#nominalIcePressureP0 | https://w3id.org/nltl/vocab#ship | https://w3id.org/nltl/vocab#shipSizeEngineOutputCoefficientA | https://w3id.org/nltl/vocab#shipSizeEngineOutputCoefficientB | https://w3id.org/nltl/vocab#shipSizeEngineOutputCoefficientK | https://w3id.org/nltl/vocab#shipSizeEngineOutputFactorCd</x:v>
      </x:c>
      <x:c r="O6" s="48" t="str"/>
      <x:c r="P6" s="48" t="str"/>
      <x:c r="Q6" s="48" t="str"/>
    </x:row>
    <x:row r="7">
      <x:c r="A7" s="49" t="str">
        <x:v>RUN-TRF-037-20260830T174307224318Z</x:v>
      </x:c>
      <x:c r="B7" s="49" t="str">
        <x:v>TRF-037</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https://w3id.org/nltl/vocab#directAnalysisCase | https://w3id.org/nltl/vocab#hasDirectAnalysisCase | https://w3id.org/nltl/vocab#iceClassFactorCp | https://w3id.org/nltl/vocab#iceLoadAreaFactorCa | https://w3id.org/nltl/vocab#icePressure | https://w3id.org/nltl/vocab#nominalIcePressureP0 | https://w3id.org/nltl/vocab#ship | https://w3id.org/nltl/vocab#shipSizeEngineOutputCoefficientA | https://w3id.org/nltl/vocab#shipSizeEngineOutputCoefficientB | https://w3id.org/nltl/vocab#shipSizeEngineOutputCoefficientK | https://w3id.org/nltl/vocab#shipSizeEngineOutputFactorCd</x:v>
      </x:c>
      <x:c r="O7" s="50" t="str"/>
      <x:c r="P7" s="50" t="str"/>
      <x:c r="Q7" s="50" t="str"/>
    </x:row>
  </x:sheetData>
  <x:pageMargins left="0.7" right="0.7" top="0.75" bottom="0.75" header="0.3" footer="0.3"/>
  <x:tableParts count="1">
    <x:tablePart xmlns:r="http://schemas.openxmlformats.org/officeDocument/2006/relationships" r:id="Rbbbbf409be254967"/>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RUN-TRF-037-20260830T174307224318Z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RUN-TRF-037-20260830T174307224318Z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RUN-TRF-037-20260830T174307224318Z</x:v>
      </x:c>
      <x:c r="B5" s="45" t="str">
        <x:v>TRF-037</x:v>
      </x:c>
      <x:c r="C5" s="58"/>
      <x:c r="D5" s="45" t="str">
        <x:v>initial_context_pack</x:v>
      </x:c>
      <x:c r="E5" s="46" t="str">
        <x:v>artifacts/context_pack_initial.json</x:v>
      </x:c>
      <x:c r="F5" s="45" t="str">
        <x:v>ab57787c24a441e781664fb00d18f060a34ec4479db95f96009ea502ec512013</x:v>
      </x:c>
      <x:c r="G5" s="58" t="n">
        <x:v>30236</x:v>
      </x:c>
    </x:row>
    <x:row r="6">
      <x:c r="A6" s="47" t="str">
        <x:v>RUN-TRF-037-20260830T174307224318Z</x:v>
      </x:c>
      <x:c r="B6" s="47" t="str">
        <x:v>TRF-037</x:v>
      </x:c>
      <x:c r="C6" s="59"/>
      <x:c r="D6" s="47" t="str">
        <x:v>few_shot_selection</x:v>
      </x:c>
      <x:c r="E6" s="48" t="str">
        <x:v>artifacts/few_shots_selected.json</x:v>
      </x:c>
      <x:c r="F6" s="47" t="str">
        <x:v>75e91b2f344c13c4dcf2124859294da50f4533dbf51b7bc355353a7375c7e4f5</x:v>
      </x:c>
      <x:c r="G6" s="59" t="n">
        <x:v>5255</x:v>
      </x:c>
    </x:row>
    <x:row r="7">
      <x:c r="A7" s="47" t="str">
        <x:v>RUN-TRF-037-20260830T174307224318Z</x:v>
      </x:c>
      <x:c r="B7" s="47" t="str">
        <x:v>TRF-037</x:v>
      </x:c>
      <x:c r="C7" s="59" t="n">
        <x:v>1</x:v>
      </x:c>
      <x:c r="D7" s="47" t="str">
        <x:v>generator_prompt</x:v>
      </x:c>
      <x:c r="E7" s="48" t="str">
        <x:v>artifacts/attempt_01/generator_prompt.txt</x:v>
      </x:c>
      <x:c r="F7" s="47" t="str">
        <x:v>78898e8c9a175c089a5e105ce708b19c20894cc5f93a3bef9127d5c79d280e95</x:v>
      </x:c>
      <x:c r="G7" s="59" t="n">
        <x:v>47045</x:v>
      </x:c>
    </x:row>
    <x:row r="8">
      <x:c r="A8" s="47" t="str">
        <x:v>RUN-TRF-037-20260830T174307224318Z</x:v>
      </x:c>
      <x:c r="B8" s="47" t="str">
        <x:v>TRF-037</x:v>
      </x:c>
      <x:c r="C8" s="59" t="n">
        <x:v>1</x:v>
      </x:c>
      <x:c r="D8" s="47" t="str">
        <x:v>generator_raw_response</x:v>
      </x:c>
      <x:c r="E8" s="48" t="str">
        <x:v>artifacts/attempt_01/generator_raw.txt</x:v>
      </x:c>
      <x:c r="F8" s="47" t="str">
        <x:v>b5262d4d2652c741eccddb97d173b95d5bce5c73b23752f54c46f3838098e16b</x:v>
      </x:c>
      <x:c r="G8" s="59" t="n">
        <x:v>5857</x:v>
      </x:c>
    </x:row>
    <x:row r="9">
      <x:c r="A9" s="47" t="str">
        <x:v>RUN-TRF-037-20260830T174307224318Z</x:v>
      </x:c>
      <x:c r="B9" s="47" t="str">
        <x:v>TRF-037</x:v>
      </x:c>
      <x:c r="C9" s="59" t="n">
        <x:v>1</x:v>
      </x:c>
      <x:c r="D9" s="47" t="str">
        <x:v>candidate_shape</x:v>
      </x:c>
      <x:c r="E9" s="48" t="str">
        <x:v>artifacts/attempt_01/candidate_shape.ttl</x:v>
      </x:c>
      <x:c r="F9" s="47" t="str">
        <x:v>98e1503f9c021d2b02f6e7c8ae09a603ad36fe68fada736fb4dd2d74915842b1</x:v>
      </x:c>
      <x:c r="G9" s="59" t="n">
        <x:v>5832</x:v>
      </x:c>
    </x:row>
    <x:row r="10">
      <x:c r="A10" s="47" t="str">
        <x:v>RUN-TRF-037-20260830T174307224318Z</x:v>
      </x:c>
      <x:c r="B10" s="47" t="str">
        <x:v>TRF-037</x:v>
      </x:c>
      <x:c r="C10" s="59" t="n">
        <x:v>1</x:v>
      </x:c>
      <x:c r="D10" s="47" t="str">
        <x:v>deterministic_validation</x:v>
      </x:c>
      <x:c r="E10" s="48" t="str">
        <x:v>artifacts/attempt_01/deterministic_validation.json</x:v>
      </x:c>
      <x:c r="F10" s="47" t="str">
        <x:v>6c16083957eff76df9cf372e0f2a136b628fc5c76b5c19e27205c4ffe4aa5f57</x:v>
      </x:c>
      <x:c r="G10" s="59" t="n">
        <x:v>1165</x:v>
      </x:c>
    </x:row>
    <x:row r="11">
      <x:c r="A11" s="47" t="str">
        <x:v>RUN-TRF-037-20260830T174307224318Z</x:v>
      </x:c>
      <x:c r="B11" s="47" t="str">
        <x:v>TRF-037</x:v>
      </x:c>
      <x:c r="C11" s="59" t="n">
        <x:v>1</x:v>
      </x:c>
      <x:c r="D11" s="47" t="str">
        <x:v>validator_prompt</x:v>
      </x:c>
      <x:c r="E11" s="48" t="str">
        <x:v>artifacts/attempt_01/validator_prompt_01.txt</x:v>
      </x:c>
      <x:c r="F11" s="47" t="str">
        <x:v>c991eb79670827e3abb4f3b976fe57cf208336f3640856a84f6c75ba40165865</x:v>
      </x:c>
      <x:c r="G11" s="59" t="n">
        <x:v>49085</x:v>
      </x:c>
    </x:row>
    <x:row r="12">
      <x:c r="A12" s="47" t="str">
        <x:v>RUN-TRF-037-20260830T174307224318Z</x:v>
      </x:c>
      <x:c r="B12" s="47" t="str">
        <x:v>TRF-037</x:v>
      </x:c>
      <x:c r="C12" s="59" t="n">
        <x:v>1</x:v>
      </x:c>
      <x:c r="D12" s="47" t="str">
        <x:v>validator_raw_response</x:v>
      </x:c>
      <x:c r="E12" s="48" t="str">
        <x:v>artifacts/attempt_01/validator_raw_01.txt</x:v>
      </x:c>
      <x:c r="F12" s="47" t="str">
        <x:v>21f4d39ea6a986570e05f4996c6b8054115bc5184d8db78eb8b1ee1bce6d7b32</x:v>
      </x:c>
      <x:c r="G12" s="59" t="n">
        <x:v>560</x:v>
      </x:c>
    </x:row>
    <x:row r="13">
      <x:c r="A13" s="47" t="str">
        <x:v>RUN-TRF-037-20260830T174307224318Z</x:v>
      </x:c>
      <x:c r="B13" s="47" t="str">
        <x:v>TRF-037</x:v>
      </x:c>
      <x:c r="C13" s="59" t="n">
        <x:v>2</x:v>
      </x:c>
      <x:c r="D13" s="47" t="str">
        <x:v>generator_prompt</x:v>
      </x:c>
      <x:c r="E13" s="48" t="str">
        <x:v>artifacts/attempt_02/generator_prompt.txt</x:v>
      </x:c>
      <x:c r="F13" s="47" t="str">
        <x:v>466999f12458de6fd8debe85a06d9465b8ab1fd09a858f91d43eedd2265f2683</x:v>
      </x:c>
      <x:c r="G13" s="59" t="n">
        <x:v>47540</x:v>
      </x:c>
    </x:row>
    <x:row r="14">
      <x:c r="A14" s="47" t="str">
        <x:v>RUN-TRF-037-20260830T174307224318Z</x:v>
      </x:c>
      <x:c r="B14" s="47" t="str">
        <x:v>TRF-037</x:v>
      </x:c>
      <x:c r="C14" s="59" t="n">
        <x:v>2</x:v>
      </x:c>
      <x:c r="D14" s="47" t="str">
        <x:v>generator_raw_response</x:v>
      </x:c>
      <x:c r="E14" s="48" t="str">
        <x:v>artifacts/attempt_02/generator_raw.txt</x:v>
      </x:c>
      <x:c r="F14" s="47" t="str">
        <x:v>aeb91095638321cb3db131ed229fec17ad0a1b28d6d91e43f4a7149397e7b053</x:v>
      </x:c>
      <x:c r="G14" s="59" t="n">
        <x:v>7378</x:v>
      </x:c>
    </x:row>
    <x:row r="15">
      <x:c r="A15" s="47" t="str">
        <x:v>RUN-TRF-037-20260830T174307224318Z</x:v>
      </x:c>
      <x:c r="B15" s="47" t="str">
        <x:v>TRF-037</x:v>
      </x:c>
      <x:c r="C15" s="59" t="n">
        <x:v>2</x:v>
      </x:c>
      <x:c r="D15" s="47" t="str">
        <x:v>candidate_shape</x:v>
      </x:c>
      <x:c r="E15" s="48" t="str">
        <x:v>artifacts/attempt_02/candidate_shape.ttl</x:v>
      </x:c>
      <x:c r="F15" s="47" t="str">
        <x:v>e0c1340de275259c9a76be7166b8a7c9cc70befcc85f1d892eee2cb48ed7086e</x:v>
      </x:c>
      <x:c r="G15" s="59" t="n">
        <x:v>7353</x:v>
      </x:c>
    </x:row>
    <x:row r="16">
      <x:c r="A16" s="47" t="str">
        <x:v>RUN-TRF-037-20260830T174307224318Z</x:v>
      </x:c>
      <x:c r="B16" s="47" t="str">
        <x:v>TRF-037</x:v>
      </x:c>
      <x:c r="C16" s="59" t="n">
        <x:v>2</x:v>
      </x:c>
      <x:c r="D16" s="47" t="str">
        <x:v>deterministic_validation</x:v>
      </x:c>
      <x:c r="E16" s="48" t="str">
        <x:v>artifacts/attempt_02/deterministic_validation.json</x:v>
      </x:c>
      <x:c r="F16" s="47" t="str">
        <x:v>96aed4d3387d60d1f0aec55d07600b4a4396b13635a85d99ae9e3434b867a905</x:v>
      </x:c>
      <x:c r="G16" s="59" t="n">
        <x:v>1018</x:v>
      </x:c>
    </x:row>
    <x:row r="17">
      <x:c r="A17" s="47" t="str">
        <x:v>RUN-TRF-037-20260830T174307224318Z</x:v>
      </x:c>
      <x:c r="B17" s="47" t="str">
        <x:v>TRF-037</x:v>
      </x:c>
      <x:c r="C17" s="59" t="n">
        <x:v>2</x:v>
      </x:c>
      <x:c r="D17" s="47" t="str">
        <x:v>validator_prompt</x:v>
      </x:c>
      <x:c r="E17" s="48" t="str">
        <x:v>artifacts/attempt_02/validator_prompt_01.txt</x:v>
      </x:c>
      <x:c r="F17" s="47" t="str">
        <x:v>8ebf14c39945889e7dc9628cfc01c8199ceab53e3c66b2ee22a7b409594fa12c</x:v>
      </x:c>
      <x:c r="G17" s="59" t="n">
        <x:v>50117</x:v>
      </x:c>
    </x:row>
    <x:row r="18">
      <x:c r="A18" s="47" t="str">
        <x:v>RUN-TRF-037-20260830T174307224318Z</x:v>
      </x:c>
      <x:c r="B18" s="47" t="str">
        <x:v>TRF-037</x:v>
      </x:c>
      <x:c r="C18" s="59" t="n">
        <x:v>2</x:v>
      </x:c>
      <x:c r="D18" s="47" t="str">
        <x:v>validator_raw_response</x:v>
      </x:c>
      <x:c r="E18" s="48" t="str">
        <x:v>artifacts/attempt_02/validator_raw_01.txt</x:v>
      </x:c>
      <x:c r="F18" s="47" t="str">
        <x:v>4b248e4032e2844d7167213663ae339ffd0f57b9ab2b07c7d519162f2b0623e0</x:v>
      </x:c>
      <x:c r="G18" s="59" t="n">
        <x:v>573</x:v>
      </x:c>
    </x:row>
    <x:row r="19">
      <x:c r="A19" s="47" t="str">
        <x:v>RUN-TRF-037-20260830T174307224318Z</x:v>
      </x:c>
      <x:c r="B19" s="47" t="str">
        <x:v>TRF-037</x:v>
      </x:c>
      <x:c r="C19" s="59" t="n">
        <x:v>3</x:v>
      </x:c>
      <x:c r="D19" s="47" t="str">
        <x:v>generator_prompt</x:v>
      </x:c>
      <x:c r="E19" s="48" t="str">
        <x:v>artifacts/attempt_03/generator_prompt.txt</x:v>
      </x:c>
      <x:c r="F19" s="47" t="str">
        <x:v>7103da802adb2ae571fee7563c625a6fb4a8ea511db2d6566c97cd7ffd0379d9</x:v>
      </x:c>
      <x:c r="G19" s="59" t="n">
        <x:v>48056</x:v>
      </x:c>
    </x:row>
    <x:row r="20">
      <x:c r="A20" s="47" t="str">
        <x:v>RUN-TRF-037-20260830T174307224318Z</x:v>
      </x:c>
      <x:c r="B20" s="47" t="str">
        <x:v>TRF-037</x:v>
      </x:c>
      <x:c r="C20" s="59" t="n">
        <x:v>3</x:v>
      </x:c>
      <x:c r="D20" s="47" t="str">
        <x:v>generator_raw_response</x:v>
      </x:c>
      <x:c r="E20" s="48" t="str">
        <x:v>artifacts/attempt_03/generator_raw.txt</x:v>
      </x:c>
      <x:c r="F20" s="47" t="str">
        <x:v>9e11e9c7c235fc0b3ca6af1b87c2f3c87e77f3a6b25e28be3b56a6f53b37fa1d</x:v>
      </x:c>
      <x:c r="G20" s="59" t="n">
        <x:v>7514</x:v>
      </x:c>
    </x:row>
    <x:row r="21">
      <x:c r="A21" s="47" t="str">
        <x:v>RUN-TRF-037-20260830T174307224318Z</x:v>
      </x:c>
      <x:c r="B21" s="47" t="str">
        <x:v>TRF-037</x:v>
      </x:c>
      <x:c r="C21" s="59" t="n">
        <x:v>3</x:v>
      </x:c>
      <x:c r="D21" s="47" t="str">
        <x:v>syntax_repair_prompt</x:v>
      </x:c>
      <x:c r="E21" s="48" t="str">
        <x:v>artifacts/attempt_03/syntax_repair_prompt_01.txt</x:v>
      </x:c>
      <x:c r="F21" s="47" t="str">
        <x:v>066dc2c7e5653cf537fc59066ba6f970973c32aeebfa54a3d17c4b3420d542f5</x:v>
      </x:c>
      <x:c r="G21" s="59" t="n">
        <x:v>8791</x:v>
      </x:c>
    </x:row>
    <x:row r="22">
      <x:c r="A22" s="47" t="str">
        <x:v>RUN-TRF-037-20260830T174307224318Z</x:v>
      </x:c>
      <x:c r="B22" s="47" t="str">
        <x:v>TRF-037</x:v>
      </x:c>
      <x:c r="C22" s="59" t="n">
        <x:v>3</x:v>
      </x:c>
      <x:c r="D22" s="47" t="str">
        <x:v>syntax_repair_raw_response</x:v>
      </x:c>
      <x:c r="E22" s="48" t="str">
        <x:v>artifacts/attempt_03/syntax_repair_raw_01.txt</x:v>
      </x:c>
      <x:c r="F22" s="47" t="str">
        <x:v>3e5aedccd1823b88905f7afa50aaf888a89882b15634bf3189336a6d057ffea5</x:v>
      </x:c>
      <x:c r="G22" s="59" t="n">
        <x:v>7512</x:v>
      </x:c>
    </x:row>
    <x:row r="23">
      <x:c r="A23" s="47" t="str">
        <x:v>RUN-TRF-037-20260830T174307224318Z</x:v>
      </x:c>
      <x:c r="B23" s="47" t="str">
        <x:v>TRF-037</x:v>
      </x:c>
      <x:c r="C23" s="59" t="n">
        <x:v>3</x:v>
      </x:c>
      <x:c r="D23" s="47" t="str">
        <x:v>candidate_shape</x:v>
      </x:c>
      <x:c r="E23" s="48" t="str">
        <x:v>artifacts/attempt_03/candidate_shape.ttl</x:v>
      </x:c>
      <x:c r="F23" s="47" t="str">
        <x:v>82add1e9c587031167632045b47f638b027058399400bbacc5160fe27cbb35f5</x:v>
      </x:c>
      <x:c r="G23" s="59" t="n">
        <x:v>7487</x:v>
      </x:c>
    </x:row>
    <x:row r="24">
      <x:c r="A24" s="47" t="str">
        <x:v>RUN-TRF-037-20260830T174307224318Z</x:v>
      </x:c>
      <x:c r="B24" s="47" t="str">
        <x:v>TRF-037</x:v>
      </x:c>
      <x:c r="C24" s="59" t="n">
        <x:v>3</x:v>
      </x:c>
      <x:c r="D24" s="47" t="str">
        <x:v>deterministic_validation</x:v>
      </x:c>
      <x:c r="E24" s="48" t="str">
        <x:v>artifacts/attempt_03/deterministic_validation.json</x:v>
      </x:c>
      <x:c r="F24" s="47" t="str">
        <x:v>96aed4d3387d60d1f0aec55d07600b4a4396b13635a85d99ae9e3434b867a905</x:v>
      </x:c>
      <x:c r="G24" s="59" t="n">
        <x:v>1018</x:v>
      </x:c>
    </x:row>
    <x:row r="25">
      <x:c r="A25" s="47" t="str">
        <x:v>RUN-TRF-037-20260830T174307224318Z</x:v>
      </x:c>
      <x:c r="B25" s="47" t="str">
        <x:v>TRF-037</x:v>
      </x:c>
      <x:c r="C25" s="59" t="n">
        <x:v>3</x:v>
      </x:c>
      <x:c r="D25" s="47" t="str">
        <x:v>validator_prompt</x:v>
      </x:c>
      <x:c r="E25" s="48" t="str">
        <x:v>artifacts/attempt_03/validator_prompt_01.txt</x:v>
      </x:c>
      <x:c r="F25" s="47" t="str">
        <x:v>f817cd788ce5d838686313f3a304c25b576d6c8b20dd8de60b09f121df37b354</x:v>
      </x:c>
      <x:c r="G25" s="59" t="n">
        <x:v>50770</x:v>
      </x:c>
    </x:row>
    <x:row r="26">
      <x:c r="A26" s="47" t="str">
        <x:v>RUN-TRF-037-20260830T174307224318Z</x:v>
      </x:c>
      <x:c r="B26" s="47" t="str">
        <x:v>TRF-037</x:v>
      </x:c>
      <x:c r="C26" s="59" t="n">
        <x:v>3</x:v>
      </x:c>
      <x:c r="D26" s="47" t="str">
        <x:v>validator_raw_response</x:v>
      </x:c>
      <x:c r="E26" s="48" t="str">
        <x:v>artifacts/attempt_03/validator_raw_01.txt</x:v>
      </x:c>
      <x:c r="F26" s="47" t="str">
        <x:v>d5f6bcc641f4542f0cbdc99e04f07a22f7b2b63fd3d1b73a60c250137589fdd6</x:v>
      </x:c>
      <x:c r="G26" s="59" t="n">
        <x:v>449</x:v>
      </x:c>
    </x:row>
    <x:row r="27">
      <x:c r="A27" s="49" t="str">
        <x:v>RUN-TRF-037-20260830T174307224318Z</x:v>
      </x:c>
      <x:c r="B27" s="49" t="str">
        <x:v>TRF-037</x:v>
      </x:c>
      <x:c r="C27" s="60" t="n">
        <x:v>3</x:v>
      </x:c>
      <x:c r="D27" s="49" t="str">
        <x:v>final_accepted_shape</x:v>
      </x:c>
      <x:c r="E27" s="50" t="str">
        <x:v>final/final_shape.ttl</x:v>
      </x:c>
      <x:c r="F27" s="49" t="str">
        <x:v>82add1e9c587031167632045b47f638b027058399400bbacc5160fe27cbb35f5</x:v>
      </x:c>
      <x:c r="G27" s="60" t="n">
        <x:v>7487</x:v>
      </x:c>
    </x:row>
  </x:sheetData>
  <x:pageMargins left="0.7" right="0.7" top="0.75" bottom="0.75" header="0.3" footer="0.3"/>
  <x:tableParts count="1">
    <x:tablePart xmlns:r="http://schemas.openxmlformats.org/officeDocument/2006/relationships" r:id="Rd6b4f204e8ce495e"/>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RUN-TRF-037-20260830T174307224318Z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RUN-TRF-037-20260830T174307224318Z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RUN-TRF-037-20260830T174307224318Z</x:v>
      </x:c>
      <x:c r="B5" s="69" t="str">
        <x:v>TRF-037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e3815cc7741a4519"/>
  </x:tableParts>
</x:worksheet>
</file>