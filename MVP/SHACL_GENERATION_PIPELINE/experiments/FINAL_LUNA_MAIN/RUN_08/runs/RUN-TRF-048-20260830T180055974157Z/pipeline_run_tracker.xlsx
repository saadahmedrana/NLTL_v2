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9a34794a224747" /></Relationships>
</file>

<file path=xl/workbook.xml><?xml version="1.0" encoding="utf-8"?>
<x:workbook xmlns:x="http://schemas.openxmlformats.org/spreadsheetml/2006/main">
  <x:sheets>
    <x:sheet xmlns:r="http://schemas.openxmlformats.org/officeDocument/2006/relationships" name="SUMMARY" sheetId="1" r:id="R3b0af55d139a40b8"/>
    <x:sheet xmlns:r="http://schemas.openxmlformats.org/officeDocument/2006/relationships" name="README" sheetId="2" r:id="R60d3423d2e3a47de"/>
    <x:sheet xmlns:r="http://schemas.openxmlformats.org/officeDocument/2006/relationships" name="REGULATION_QUEUE" sheetId="3" r:id="Rcc46d7a191d74400"/>
    <x:sheet xmlns:r="http://schemas.openxmlformats.org/officeDocument/2006/relationships" name="RUNS" sheetId="4" r:id="Rb7ccdd56b74a4d41"/>
    <x:sheet xmlns:r="http://schemas.openxmlformats.org/officeDocument/2006/relationships" name="ITERATIONS" sheetId="5" r:id="R171a3360f68843e0"/>
    <x:sheet xmlns:r="http://schemas.openxmlformats.org/officeDocument/2006/relationships" name="API_CALLS" sheetId="6" r:id="R33b33781fa8d4c0e"/>
    <x:sheet xmlns:r="http://schemas.openxmlformats.org/officeDocument/2006/relationships" name="TERM_RETRIEVAL" sheetId="7" r:id="R41dd3b15d7e34190"/>
    <x:sheet xmlns:r="http://schemas.openxmlformats.org/officeDocument/2006/relationships" name="FEW_SHOT_SELECTION" sheetId="8" r:id="R66b635335fab4d94"/>
    <x:sheet xmlns:r="http://schemas.openxmlformats.org/officeDocument/2006/relationships" name="VALIDATION" sheetId="9" r:id="Rfcbbc7ca508a4967"/>
    <x:sheet xmlns:r="http://schemas.openxmlformats.org/officeDocument/2006/relationships" name="VOCAB_MATCHES" sheetId="10" r:id="R669130292fad46c0"/>
    <x:sheet xmlns:r="http://schemas.openxmlformats.org/officeDocument/2006/relationships" name="ARTIFACTS" sheetId="11" r:id="R9d7e057c0b554e45"/>
    <x:sheet xmlns:r="http://schemas.openxmlformats.org/officeDocument/2006/relationships" name="UNRESOLVED" sheetId="12" r:id="R202e6244731d4102"/>
    <x:sheet xmlns:r="http://schemas.openxmlformats.org/officeDocument/2006/relationships" name="RDF_TEST_QUEUE" sheetId="13" r:id="R2e2fd091eef949a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8c42f4ecec4afc" /><Relationship Type="http://schemas.openxmlformats.org/officeDocument/2006/relationships/theme" Target="/xl/theme/theme1.xml" Id="Rcad84d1194e04622" /><Relationship Type="http://schemas.microsoft.com/office/2022/11/relationships/FeaturePropertyBag" Target="/xl/featurePropertyBag/featurePropertyBag.xml" Id="Rf44032b276664350" /><Relationship Type="http://schemas.openxmlformats.org/officeDocument/2006/relationships/sharedStrings" Target="/xl/sharedStrings.xml" Id="Rc6f9d72ea278468c" /><Relationship Type="http://schemas.openxmlformats.org/officeDocument/2006/relationships/worksheet" Target="/xl/worksheets/sheet1.xml" Id="R3b0af55d139a40b8" /><Relationship Type="http://schemas.openxmlformats.org/officeDocument/2006/relationships/worksheet" Target="/xl/worksheets/sheet2.xml" Id="R60d3423d2e3a47de" /><Relationship Type="http://schemas.openxmlformats.org/officeDocument/2006/relationships/worksheet" Target="/xl/worksheets/sheet3.xml" Id="Rcc46d7a191d74400" /><Relationship Type="http://schemas.openxmlformats.org/officeDocument/2006/relationships/worksheet" Target="/xl/worksheets/sheet4.xml" Id="Rb7ccdd56b74a4d41" /><Relationship Type="http://schemas.openxmlformats.org/officeDocument/2006/relationships/worksheet" Target="/xl/worksheets/sheet5.xml" Id="R171a3360f68843e0" /><Relationship Type="http://schemas.openxmlformats.org/officeDocument/2006/relationships/worksheet" Target="/xl/worksheets/sheet6.xml" Id="R33b33781fa8d4c0e" /><Relationship Type="http://schemas.openxmlformats.org/officeDocument/2006/relationships/worksheet" Target="/xl/worksheets/sheet7.xml" Id="R41dd3b15d7e34190" /><Relationship Type="http://schemas.openxmlformats.org/officeDocument/2006/relationships/worksheet" Target="/xl/worksheets/sheet8.xml" Id="R66b635335fab4d94" /><Relationship Type="http://schemas.openxmlformats.org/officeDocument/2006/relationships/worksheet" Target="/xl/worksheets/sheet9.xml" Id="Rfcbbc7ca508a4967" /><Relationship Type="http://schemas.openxmlformats.org/officeDocument/2006/relationships/worksheet" Target="/xl/worksheets/sheet10.xml" Id="R669130292fad46c0" /><Relationship Type="http://schemas.openxmlformats.org/officeDocument/2006/relationships/worksheet" Target="/xl/worksheets/sheet11.xml" Id="R9d7e057c0b554e45" /><Relationship Type="http://schemas.openxmlformats.org/officeDocument/2006/relationships/worksheet" Target="/xl/worksheets/sheet12.xml" Id="R202e6244731d4102" /><Relationship Type="http://schemas.openxmlformats.org/officeDocument/2006/relationships/worksheet" Target="/xl/worksheets/sheet13.xml" Id="R2e2fd091eef949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7"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17d6214efc54972" /></Relationships>
</file>

<file path=xl/worksheets/_rels/sheet3.xml.rels>&#65279;<?xml version="1.0" encoding="utf-8"?><Relationships xmlns="http://schemas.openxmlformats.org/package/2006/relationships"><Relationship Type="http://schemas.openxmlformats.org/officeDocument/2006/relationships/table" Target="/xl/tables/table2.xml" Id="Rfe4f55d433cf4794" /></Relationships>
</file>

<file path=xl/worksheets/_rels/sheet4.xml.rels>&#65279;<?xml version="1.0" encoding="utf-8"?><Relationships xmlns="http://schemas.openxmlformats.org/package/2006/relationships"><Relationship Type="http://schemas.openxmlformats.org/officeDocument/2006/relationships/table" Target="/xl/tables/table3.xml" Id="R08b3898c15fd4413" /></Relationships>
</file>

<file path=xl/worksheets/_rels/sheet5.xml.rels>&#65279;<?xml version="1.0" encoding="utf-8"?><Relationships xmlns="http://schemas.openxmlformats.org/package/2006/relationships"><Relationship Type="http://schemas.openxmlformats.org/officeDocument/2006/relationships/table" Target="/xl/tables/table4.xml" Id="R9b3aac2ccbc34ea0" /></Relationships>
</file>

<file path=xl/worksheets/_rels/sheet6.xml.rels>&#65279;<?xml version="1.0" encoding="utf-8"?><Relationships xmlns="http://schemas.openxmlformats.org/package/2006/relationships"><Relationship Type="http://schemas.openxmlformats.org/officeDocument/2006/relationships/table" Target="/xl/tables/table5.xml" Id="Rbbda19ed548748f2" /></Relationships>
</file>

<file path=xl/worksheets/_rels/sheet7.xml.rels>&#65279;<?xml version="1.0" encoding="utf-8"?><Relationships xmlns="http://schemas.openxmlformats.org/package/2006/relationships"><Relationship Type="http://schemas.openxmlformats.org/officeDocument/2006/relationships/table" Target="/xl/tables/table6.xml" Id="R46bb8e94e98f4709" /></Relationships>
</file>

<file path=xl/worksheets/_rels/sheet8.xml.rels>&#65279;<?xml version="1.0" encoding="utf-8"?><Relationships xmlns="http://schemas.openxmlformats.org/package/2006/relationships"><Relationship Type="http://schemas.openxmlformats.org/officeDocument/2006/relationships/table" Target="/xl/tables/table7.xml" Id="R34123b20c5a146d1" /></Relationships>
</file>

<file path=xl/worksheets/_rels/sheet9.xml.rels>&#65279;<?xml version="1.0" encoding="utf-8"?><Relationships xmlns="http://schemas.openxmlformats.org/package/2006/relationships"><Relationship Type="http://schemas.openxmlformats.org/officeDocument/2006/relationships/table" Target="/xl/tables/table8.xml" Id="R2357350cf36a42aa" /></Relationships>
</file>

<file path=xl/worksheets/_rels/sheet11.xml.rels>&#65279;<?xml version="1.0" encoding="utf-8"?><Relationships xmlns="http://schemas.openxmlformats.org/package/2006/relationships"><Relationship Type="http://schemas.openxmlformats.org/officeDocument/2006/relationships/table" Target="/xl/tables/table9.xml" Id="R139d5b1a73ce4e5d" /></Relationships>
</file>

<file path=xl/worksheets/_rels/sheet13.xml.rels>&#65279;<?xml version="1.0" encoding="utf-8"?><Relationships xmlns="http://schemas.openxmlformats.org/package/2006/relationships"><Relationship Type="http://schemas.openxmlformats.org/officeDocument/2006/relationships/table" Target="/xl/tables/table10.xml" Id="R1f8bf2f1a6ba444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RUN-TRF-048-20260830T180055974157Z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COUNTA('API_CALLS'!$A$5:$A$17)</x:f>
        <x:v>13</x:v>
      </x:c>
      <x:c r="C9" s="21"/>
      <x:c r="D9" s="21"/>
    </x:row>
    <x:row r="10">
      <x:c r="A10" s="27" t="str">
        <x:v>Mean API/LLM elapsed ms</x:v>
      </x:c>
      <x:c r="B10" s="28" t="n">
        <x:f>IFERROR(AVERAGE('API_CALLS'!$K$5:$K$17),0)</x:f>
        <x:v>23513.22653846154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RUN-TRF-048-20260830T180055974157Z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17d6214efc5497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RUN-TRF-048-20260830T180055974157Z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GENERATION_ACCEPTED</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e4f55d433cf47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RUN-TRF-048-20260830T180055974157Z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RUN-TRF-048-20260830T180055974157Z</x:v>
      </x:c>
      <x:c r="C5" s="69" t="str">
        <x:v>TRF-048</x:v>
      </x:c>
      <x:c r="D5" s="70" t="n">
        <x:v>46264.7506478588</x:v>
      </x:c>
      <x:c r="E5" s="70" t="n">
        <x:v>46264.752459421295</x:v>
      </x:c>
      <x:c r="F5" s="69" t="str">
        <x:v>final-luna-main-run08</x:v>
      </x:c>
      <x:c r="G5" s="69" t="str">
        <x:v>VOCAB-LOCK-2026-08-22-R13</x:v>
      </x:c>
      <x:c r="H5" s="71" t="n">
        <x:v>3</x:v>
      </x:c>
      <x:c r="I5" s="69" t="str">
        <x:v>GENERATION_ACCEPTED</x:v>
      </x:c>
      <x:c r="J5" s="72" t="b">
        <x:v>1</x:v>
      </x:c>
      <x:c r="K5" s="69" t="str">
        <x:v>final/final_shape.ttl</x:v>
      </x:c>
      <x:c r="L5" s="73" t="str">
        <x:v>The candidate faithfully encodes the direct-calculation requirement: applicability and ownership target the longitudinal frame, boundary-condition alternatives are mutually conditional with exact inclusive m = 13.3 or m &lt; 13.3, all required operands and results use the declared datatypes and units, formulas use permitted arithmetic with tolerance scaled from expected results, section modulus uses CentiM3, and actual frame shear area is explicitly compared to gross frame shear area minus bracket area.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8b3898c15fd441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RUN-TRF-048-20260830T180055974157Z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RUN-TRF-048-20260830T180055974157Z</x:v>
      </x:c>
      <x:c r="B5" s="45" t="str">
        <x:v>TRF-048</x:v>
      </x:c>
      <x:c r="C5" s="58" t="n">
        <x:v>1</x:v>
      </x:c>
      <x:c r="D5" s="83" t="b">
        <x:v>1</x:v>
      </x:c>
      <x:c r="E5" s="83" t="b">
        <x:v>0</x:v>
      </x:c>
      <x:c r="F5" s="83" t="b">
        <x:v>0</x:v>
      </x:c>
      <x:c r="G5" s="45" t="str">
        <x:v>REVISE</x:v>
      </x:c>
      <x:c r="H5" s="46" t="str">
        <x:v>Repair the boundary-condition property shape: frameBoundaryConditionType is an object property with range nltl:frameBoundaryConditionTypeValue, so remove sh:datatype and use the appropriate node/class constraint instead. Encode the true significantlyDifferentBoundaryConditions branch with the required comparison that frameMomentFactorM is smaller than 13.3; the current branch permits any factor, including 13.3 or a larger value. Ensure the shear-area result and formula semantics explicitly represent the required effective/actual frame shear area with bracket area excluded, rather than only asserting an unconstrained requiredShearArea result. Replace ABS-based tolerance expressions if unsupported by the DIRECT_CALCULATION evaluator with equivalent allowed arithmetic and simple piecewise comparisons; retain tolerance scaling from each expected result.</x:v>
      </x:c>
      <x:c r="I5" s="84" t="n">
        <x:v>30043.116</x:v>
      </x:c>
      <x:c r="J5" s="84" t="n">
        <x:v>15888.006</x:v>
      </x:c>
    </x:row>
    <x:row r="6">
      <x:c r="A6" s="47" t="str">
        <x:v>RUN-TRF-048-20260830T180055974157Z</x:v>
      </x:c>
      <x:c r="B6" s="47" t="str">
        <x:v>TRF-048</x:v>
      </x:c>
      <x:c r="C6" s="59" t="n">
        <x:v>2</x:v>
      </x:c>
      <x:c r="D6" s="85" t="b">
        <x:v>1</x:v>
      </x:c>
      <x:c r="E6" s="85" t="b">
        <x:v>0</x:v>
      </x:c>
      <x:c r="F6" s="85" t="b">
        <x:v>0</x:v>
      </x:c>
      <x:c r="G6" s="47" t="str">
        <x:v>REVISE</x:v>
      </x:c>
      <x:c r="H6" s="48" t="str">
        <x:v>Repair the remaining semantic errors while preserving the prior boundary-condition and tolerance instructions. Use the canonical unit CentiM3 for sectionModulus by giving it a dedicated quantity shape; the current generic QuantityValueShape incorrectly requires CentiM2. Keep the requiredShearArea formula comparison to A_cm2, but do not also require actualFrameShearArea to equal A_cm2: actualFrameShearArea must be compared only to grossFrameShearArea - bracketArea, thereby encoding bracket exclusion. Encode the exact m = 13.3 false-boundary branch with equal inclusive numeric bounds (minInclusive and maxInclusive both 13.3), rather than the current inequality-based SPARQL test; retain the true branch requirement that m is strictly smaller than 13.3. Continue using tolerance scaled from each expected result, not the reported value, and retain the object/class constraint for frameBoundaryConditionType.</x:v>
      </x:c>
      <x:c r="I6" s="86" t="n">
        <x:v>45767.961</x:v>
      </x:c>
      <x:c r="J6" s="86" t="n">
        <x:v>14691.303</x:v>
      </x:c>
    </x:row>
    <x:row r="7">
      <x:c r="A7" s="49" t="str">
        <x:v>RUN-TRF-048-20260830T180055974157Z</x:v>
      </x:c>
      <x:c r="B7" s="49" t="str">
        <x:v>TRF-048</x:v>
      </x:c>
      <x:c r="C7" s="60" t="n">
        <x:v>3</x:v>
      </x:c>
      <x:c r="D7" s="87" t="b">
        <x:v>1</x:v>
      </x:c>
      <x:c r="E7" s="87" t="b">
        <x:v>1</x:v>
      </x:c>
      <x:c r="F7" s="87" t="b">
        <x:v>0</x:v>
      </x:c>
      <x:c r="G7" s="49" t="str">
        <x:v>ACCEPT</x:v>
      </x:c>
      <x:c r="H7" s="50" t="str">
        <x:v>The candidate faithfully encodes the direct-calculation requirement: applicability and ownership target the longitudinal frame, boundary-condition alternatives are mutually conditional with exact inclusive m = 13.3 or m &lt; 13.3, all required operands and results use the declared datatypes and units, formulas use permitted arithmetic with tolerance scaled from expected results, section modulus uses CentiM3, and actual frame shear area is explicitly compared to gross frame shear area minus bracket area.</x:v>
      </x:c>
      <x:c r="I7" s="88" t="n">
        <x:v>37086.885</x:v>
      </x:c>
      <x:c r="J7" s="88" t="n">
        <x:v>11932.135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b3aac2ccbc34ea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RUN-TRF-048-20260830T180055974157Z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EVT-000040</x:v>
      </x:c>
      <x:c r="B5" s="45" t="str">
        <x:v>RUN-TRF-048-20260830T180055974157Z</x:v>
      </x:c>
      <x:c r="C5" s="45" t="str">
        <x:v>TRF-048</x:v>
      </x:c>
      <x:c r="D5" s="92" t="n">
        <x:v>46264.75065461805</x:v>
      </x:c>
      <x:c r="E5" s="45" t="str">
        <x:v>generator</x:v>
      </x:c>
      <x:c r="F5" s="45" t="str">
        <x:v>gpt-5.6-luna-2026-07-09</x:v>
      </x:c>
      <x:c r="G5" s="45" t="n">
        <x:v>1</x:v>
      </x:c>
      <x:c r="H5" s="45" t="n">
        <x:v>500</x:v>
      </x:c>
      <x:c r="I5" s="45" t="str">
        <x:v>Ocp-Apim-Subscription-Key</x:v>
      </x:c>
      <x:c r="J5" s="84" t="n">
        <x:v>0</x:v>
      </x:c>
      <x:c r="K5" s="84" t="n">
        <x:v>580.989</x:v>
      </x:c>
      <x:c r="L5" s="83" t="b">
        <x:v>1</x:v>
      </x:c>
      <x:c r="M5" s="45" t="str"/>
      <x:c r="N5" s="58" t="str"/>
      <x:c r="O5" s="58" t="str"/>
      <x:c r="P5" s="58" t="str"/>
    </x:row>
    <x:row r="6">
      <x:c r="A6" s="47" t="str">
        <x:v>EVT-000043</x:v>
      </x:c>
      <x:c r="B6" s="47" t="str">
        <x:v>RUN-TRF-048-20260830T180055974157Z</x:v>
      </x:c>
      <x:c r="C6" s="47" t="str">
        <x:v>TRF-048</x:v>
      </x:c>
      <x:c r="D6" s="93" t="n">
        <x:v>46264.75099559028</x:v>
      </x:c>
      <x:c r="E6" s="47" t="str">
        <x:v>generator</x:v>
      </x:c>
      <x:c r="F6" s="47" t="str">
        <x:v>gpt-5.6-luna-2026-07-09</x:v>
      </x:c>
      <x:c r="G6" s="47" t="n">
        <x:v>2</x:v>
      </x:c>
      <x:c r="H6" s="47" t="n">
        <x:v>200</x:v>
      </x:c>
      <x:c r="I6" s="47" t="str">
        <x:v>Ocp-Apim-Subscription-Key</x:v>
      </x:c>
      <x:c r="J6" s="86" t="n">
        <x:v>0</x:v>
      </x:c>
      <x:c r="K6" s="86" t="n">
        <x:v>24321.577</x:v>
      </x:c>
      <x:c r="L6" s="85" t="b">
        <x:v>0</x:v>
      </x:c>
      <x:c r="M6" s="47" t="str"/>
      <x:c r="N6" s="59" t="str"/>
      <x:c r="O6" s="59" t="str"/>
      <x:c r="P6" s="59" t="str"/>
    </x:row>
    <x:row r="7">
      <x:c r="A7" s="47" t="str">
        <x:v>EVT-000044</x:v>
      </x:c>
      <x:c r="B7" s="47" t="str">
        <x:v>RUN-TRF-048-20260830T180055974157Z</x:v>
      </x:c>
      <x:c r="C7" s="47" t="str">
        <x:v>TRF-048</x:v>
      </x:c>
      <x:c r="D7" s="93" t="n">
        <x:v>46264.75099561342</x:v>
      </x:c>
      <x:c r="E7" s="47" t="str">
        <x:v>generator</x:v>
      </x:c>
      <x:c r="F7" s="47" t="str">
        <x:v>gpt-5.6-luna-2026-07-09</x:v>
      </x:c>
      <x:c r="G7" s="47" t="n">
        <x:v>2</x:v>
      </x:c>
      <x:c r="H7" s="47" t="str">
        <x:v>COMPLETED</x:v>
      </x:c>
      <x:c r="I7" s="47" t="str"/>
      <x:c r="J7" s="86" t="n">
        <x:v>0</x:v>
      </x:c>
      <x:c r="K7" s="86" t="n">
        <x:v>30043.116</x:v>
      </x:c>
      <x:c r="L7" s="85" t="b">
        <x:v>0</x:v>
      </x:c>
      <x:c r="M7" s="47" t="str">
        <x:v>resp_0d0fc8ee2823b146006a946fddd9408196b429eb64933e5e29</x:v>
      </x:c>
      <x:c r="N7" s="59" t="n">
        <x:v>14480</x:v>
      </x:c>
      <x:c r="O7" s="59" t="n">
        <x:v>3406</x:v>
      </x:c>
      <x:c r="P7" s="59" t="n">
        <x:v>17886</x:v>
      </x:c>
    </x:row>
    <x:row r="8">
      <x:c r="A8" s="47" t="str">
        <x:v>EVT-000051</x:v>
      </x:c>
      <x:c r="B8" s="47" t="str">
        <x:v>RUN-TRF-048-20260830T180055974157Z</x:v>
      </x:c>
      <x:c r="C8" s="47" t="str">
        <x:v>TRF-048</x:v>
      </x:c>
      <x:c r="D8" s="93" t="n">
        <x:v>46264.75118403935</x:v>
      </x:c>
      <x:c r="E8" s="47" t="str">
        <x:v>validator</x:v>
      </x:c>
      <x:c r="F8" s="47" t="str">
        <x:v>gpt-5.6-luna-2026-07-09</x:v>
      </x:c>
      <x:c r="G8" s="47" t="n">
        <x:v>1</x:v>
      </x:c>
      <x:c r="H8" s="47" t="n">
        <x:v>200</x:v>
      </x:c>
      <x:c r="I8" s="47" t="str">
        <x:v>Ocp-Apim-Subscription-Key</x:v>
      </x:c>
      <x:c r="J8" s="86" t="n">
        <x:v>0</x:v>
      </x:c>
      <x:c r="K8" s="86" t="n">
        <x:v>15886.459</x:v>
      </x:c>
      <x:c r="L8" s="85" t="b">
        <x:v>0</x:v>
      </x:c>
      <x:c r="M8" s="47" t="str"/>
      <x:c r="N8" s="59" t="str"/>
      <x:c r="O8" s="59" t="str"/>
      <x:c r="P8" s="59" t="str"/>
    </x:row>
    <x:row r="9">
      <x:c r="A9" s="47" t="str">
        <x:v>EVT-000052</x:v>
      </x:c>
      <x:c r="B9" s="47" t="str">
        <x:v>RUN-TRF-048-20260830T180055974157Z</x:v>
      </x:c>
      <x:c r="C9" s="47" t="str">
        <x:v>TRF-048</x:v>
      </x:c>
      <x:c r="D9" s="93" t="n">
        <x:v>46264.7511840625</x:v>
      </x:c>
      <x:c r="E9" s="47" t="str">
        <x:v>validator</x:v>
      </x:c>
      <x:c r="F9" s="47" t="str">
        <x:v>gpt-5.6-luna-2026-07-09</x:v>
      </x:c>
      <x:c r="G9" s="47" t="n">
        <x:v>1</x:v>
      </x:c>
      <x:c r="H9" s="47" t="str">
        <x:v>COMPLETED</x:v>
      </x:c>
      <x:c r="I9" s="47" t="str"/>
      <x:c r="J9" s="86" t="n">
        <x:v>0</x:v>
      </x:c>
      <x:c r="K9" s="86" t="n">
        <x:v>15888.006</x:v>
      </x:c>
      <x:c r="L9" s="85" t="b">
        <x:v>0</x:v>
      </x:c>
      <x:c r="M9" s="47" t="str">
        <x:v>resp_0be0a61063084502006a946ff69b9c81938a8b4a929642b022</x:v>
      </x:c>
      <x:c r="N9" s="59" t="n">
        <x:v>17223</x:v>
      </x:c>
      <x:c r="O9" s="59" t="n">
        <x:v>1206</x:v>
      </x:c>
      <x:c r="P9" s="59" t="n">
        <x:v>18429</x:v>
      </x:c>
    </x:row>
    <x:row r="10">
      <x:c r="A10" s="47" t="str">
        <x:v>EVT-000057</x:v>
      </x:c>
      <x:c r="B10" s="47" t="str">
        <x:v>RUN-TRF-048-20260830T180055974157Z</x:v>
      </x:c>
      <x:c r="C10" s="47" t="str">
        <x:v>TRF-048</x:v>
      </x:c>
      <x:c r="D10" s="93" t="n">
        <x:v>46264.751713819445</x:v>
      </x:c>
      <x:c r="E10" s="47" t="str">
        <x:v>generator</x:v>
      </x:c>
      <x:c r="F10" s="47" t="str">
        <x:v>gpt-5.6-luna-2026-07-09</x:v>
      </x:c>
      <x:c r="G10" s="47" t="n">
        <x:v>1</x:v>
      </x:c>
      <x:c r="H10" s="47" t="n">
        <x:v>200</x:v>
      </x:c>
      <x:c r="I10" s="47" t="str">
        <x:v>Ocp-Apim-Subscription-Key</x:v>
      </x:c>
      <x:c r="J10" s="86" t="n">
        <x:v>0</x:v>
      </x:c>
      <x:c r="K10" s="86" t="n">
        <x:v>45767.092</x:v>
      </x:c>
      <x:c r="L10" s="85" t="b">
        <x:v>0</x:v>
      </x:c>
      <x:c r="M10" s="47" t="str"/>
      <x:c r="N10" s="59" t="str"/>
      <x:c r="O10" s="59" t="str"/>
      <x:c r="P10" s="59" t="str"/>
    </x:row>
    <x:row r="11">
      <x:c r="A11" s="47" t="str">
        <x:v>EVT-000058</x:v>
      </x:c>
      <x:c r="B11" s="47" t="str">
        <x:v>RUN-TRF-048-20260830T180055974157Z</x:v>
      </x:c>
      <x:c r="C11" s="47" t="str">
        <x:v>TRF-048</x:v>
      </x:c>
      <x:c r="D11" s="93" t="n">
        <x:v>46264.75171383102</x:v>
      </x:c>
      <x:c r="E11" s="47" t="str">
        <x:v>generator</x:v>
      </x:c>
      <x:c r="F11" s="47" t="str">
        <x:v>gpt-5.6-luna-2026-07-09</x:v>
      </x:c>
      <x:c r="G11" s="47" t="n">
        <x:v>1</x:v>
      </x:c>
      <x:c r="H11" s="47" t="str">
        <x:v>COMPLETED</x:v>
      </x:c>
      <x:c r="I11" s="47" t="str"/>
      <x:c r="J11" s="86" t="n">
        <x:v>0</x:v>
      </x:c>
      <x:c r="K11" s="86" t="n">
        <x:v>45767.961</x:v>
      </x:c>
      <x:c r="L11" s="85" t="b">
        <x:v>0</x:v>
      </x:c>
      <x:c r="M11" s="47" t="str">
        <x:v>resp_0adb999e8cb9e73c006a9470068b148195b1936f17f1cf6082</x:v>
      </x:c>
      <x:c r="N11" s="59" t="n">
        <x:v>14631</x:v>
      </x:c>
      <x:c r="O11" s="59" t="n">
        <x:v>4463</x:v>
      </x:c>
      <x:c r="P11" s="59" t="n">
        <x:v>19094</x:v>
      </x:c>
    </x:row>
    <x:row r="12">
      <x:c r="A12" s="47" t="str">
        <x:v>EVT-000065</x:v>
      </x:c>
      <x:c r="B12" s="47" t="str">
        <x:v>RUN-TRF-048-20260830T180055974157Z</x:v>
      </x:c>
      <x:c r="C12" s="47" t="str">
        <x:v>TRF-048</x:v>
      </x:c>
      <x:c r="D12" s="93" t="n">
        <x:v>46264.75188777778</x:v>
      </x:c>
      <x:c r="E12" s="47" t="str">
        <x:v>validator</x:v>
      </x:c>
      <x:c r="F12" s="47" t="str">
        <x:v>gpt-5.6-luna-2026-07-09</x:v>
      </x:c>
      <x:c r="G12" s="47" t="n">
        <x:v>1</x:v>
      </x:c>
      <x:c r="H12" s="47" t="n">
        <x:v>200</x:v>
      </x:c>
      <x:c r="I12" s="47" t="str">
        <x:v>Ocp-Apim-Subscription-Key</x:v>
      </x:c>
      <x:c r="J12" s="86" t="n">
        <x:v>0</x:v>
      </x:c>
      <x:c r="K12" s="86" t="n">
        <x:v>14689.94</x:v>
      </x:c>
      <x:c r="L12" s="85" t="b">
        <x:v>0</x:v>
      </x:c>
      <x:c r="M12" s="47" t="str"/>
      <x:c r="N12" s="59" t="str"/>
      <x:c r="O12" s="59" t="str"/>
      <x:c r="P12" s="59" t="str"/>
    </x:row>
    <x:row r="13">
      <x:c r="A13" s="47" t="str">
        <x:v>EVT-000066</x:v>
      </x:c>
      <x:c r="B13" s="47" t="str">
        <x:v>RUN-TRF-048-20260830T180055974157Z</x:v>
      </x:c>
      <x:c r="C13" s="47" t="str">
        <x:v>TRF-048</x:v>
      </x:c>
      <x:c r="D13" s="93" t="n">
        <x:v>46264.75188778935</x:v>
      </x:c>
      <x:c r="E13" s="47" t="str">
        <x:v>validator</x:v>
      </x:c>
      <x:c r="F13" s="47" t="str">
        <x:v>gpt-5.6-luna-2026-07-09</x:v>
      </x:c>
      <x:c r="G13" s="47" t="n">
        <x:v>1</x:v>
      </x:c>
      <x:c r="H13" s="47" t="str">
        <x:v>COMPLETED</x:v>
      </x:c>
      <x:c r="I13" s="47" t="str"/>
      <x:c r="J13" s="86" t="n">
        <x:v>0</x:v>
      </x:c>
      <x:c r="K13" s="86" t="n">
        <x:v>14691.303</x:v>
      </x:c>
      <x:c r="L13" s="85" t="b">
        <x:v>0</x:v>
      </x:c>
      <x:c r="M13" s="47" t="str">
        <x:v>resp_0f007d2d7dc4cfcd006a947034a9408194ba5693d149d46905</x:v>
      </x:c>
      <x:c r="N13" s="59" t="n">
        <x:v>17379</x:v>
      </x:c>
      <x:c r="O13" s="59" t="n">
        <x:v>1237</x:v>
      </x:c>
      <x:c r="P13" s="59" t="n">
        <x:v>18616</x:v>
      </x:c>
    </x:row>
    <x:row r="14">
      <x:c r="A14" s="47" t="str">
        <x:v>EVT-000072</x:v>
      </x:c>
      <x:c r="B14" s="47" t="str">
        <x:v>RUN-TRF-048-20260830T180055974157Z</x:v>
      </x:c>
      <x:c r="C14" s="47" t="str">
        <x:v>TRF-048</x:v>
      </x:c>
      <x:c r="D14" s="93" t="n">
        <x:v>46264.75231708333</x:v>
      </x:c>
      <x:c r="E14" s="47" t="str">
        <x:v>generator</x:v>
      </x:c>
      <x:c r="F14" s="47" t="str">
        <x:v>gpt-5.6-luna-2026-07-09</x:v>
      </x:c>
      <x:c r="G14" s="47" t="n">
        <x:v>1</x:v>
      </x:c>
      <x:c r="H14" s="47" t="n">
        <x:v>200</x:v>
      </x:c>
      <x:c r="I14" s="47" t="str">
        <x:v>Ocp-Apim-Subscription-Key</x:v>
      </x:c>
      <x:c r="J14" s="86" t="n">
        <x:v>0</x:v>
      </x:c>
      <x:c r="K14" s="86" t="n">
        <x:v>37085.269</x:v>
      </x:c>
      <x:c r="L14" s="85" t="b">
        <x:v>0</x:v>
      </x:c>
      <x:c r="M14" s="47" t="str"/>
      <x:c r="N14" s="59" t="str"/>
      <x:c r="O14" s="59" t="str"/>
      <x:c r="P14" s="59" t="str"/>
    </x:row>
    <x:row r="15">
      <x:c r="A15" s="47" t="str">
        <x:v>EVT-000073</x:v>
      </x:c>
      <x:c r="B15" s="47" t="str">
        <x:v>RUN-TRF-048-20260830T180055974157Z</x:v>
      </x:c>
      <x:c r="C15" s="47" t="str">
        <x:v>TRF-048</x:v>
      </x:c>
      <x:c r="D15" s="93" t="n">
        <x:v>46264.75231710648</x:v>
      </x:c>
      <x:c r="E15" s="47" t="str">
        <x:v>generator</x:v>
      </x:c>
      <x:c r="F15" s="47" t="str">
        <x:v>gpt-5.6-luna-2026-07-09</x:v>
      </x:c>
      <x:c r="G15" s="47" t="n">
        <x:v>1</x:v>
      </x:c>
      <x:c r="H15" s="47" t="str">
        <x:v>COMPLETED</x:v>
      </x:c>
      <x:c r="I15" s="47" t="str"/>
      <x:c r="J15" s="86" t="n">
        <x:v>0</x:v>
      </x:c>
      <x:c r="K15" s="86" t="n">
        <x:v>37086.885</x:v>
      </x:c>
      <x:c r="L15" s="85" t="b">
        <x:v>0</x:v>
      </x:c>
      <x:c r="M15" s="47" t="str">
        <x:v>resp_0698e49882d15911006a94704736d48193855998b92341ad5d</x:v>
      </x:c>
      <x:c r="N15" s="59" t="n">
        <x:v>14819</x:v>
      </x:c>
      <x:c r="O15" s="59" t="n">
        <x:v>4152</x:v>
      </x:c>
      <x:c r="P15" s="59" t="n">
        <x:v>18971</x:v>
      </x:c>
    </x:row>
    <x:row r="16">
      <x:c r="A16" s="47" t="str">
        <x:v>EVT-000080</x:v>
      </x:c>
      <x:c r="B16" s="47" t="str">
        <x:v>RUN-TRF-048-20260830T180055974157Z</x:v>
      </x:c>
      <x:c r="C16" s="47" t="str">
        <x:v>TRF-048</x:v>
      </x:c>
      <x:c r="D16" s="93" t="n">
        <x:v>46264.75245939815</x:v>
      </x:c>
      <x:c r="E16" s="47" t="str">
        <x:v>validator</x:v>
      </x:c>
      <x:c r="F16" s="47" t="str">
        <x:v>gpt-5.6-luna-2026-07-09</x:v>
      </x:c>
      <x:c r="G16" s="47" t="n">
        <x:v>1</x:v>
      </x:c>
      <x:c r="H16" s="47" t="n">
        <x:v>200</x:v>
      </x:c>
      <x:c r="I16" s="47" t="str">
        <x:v>Ocp-Apim-Subscription-Key</x:v>
      </x:c>
      <x:c r="J16" s="86" t="n">
        <x:v>0</x:v>
      </x:c>
      <x:c r="K16" s="86" t="n">
        <x:v>11931.213</x:v>
      </x:c>
      <x:c r="L16" s="85" t="b">
        <x:v>0</x:v>
      </x:c>
      <x:c r="M16" s="47" t="str"/>
      <x:c r="N16" s="59" t="str"/>
      <x:c r="O16" s="59" t="str"/>
      <x:c r="P16" s="59" t="str"/>
    </x:row>
    <x:row r="17">
      <x:c r="A17" s="49" t="str">
        <x:v>EVT-000081</x:v>
      </x:c>
      <x:c r="B17" s="49" t="str">
        <x:v>RUN-TRF-048-20260830T180055974157Z</x:v>
      </x:c>
      <x:c r="C17" s="49" t="str">
        <x:v>TRF-048</x:v>
      </x:c>
      <x:c r="D17" s="94" t="n">
        <x:v>46264.75245940972</x:v>
      </x:c>
      <x:c r="E17" s="49" t="str">
        <x:v>validator</x:v>
      </x:c>
      <x:c r="F17" s="49" t="str">
        <x:v>gpt-5.6-luna-2026-07-09</x:v>
      </x:c>
      <x:c r="G17" s="49" t="n">
        <x:v>1</x:v>
      </x:c>
      <x:c r="H17" s="49" t="str">
        <x:v>COMPLETED</x:v>
      </x:c>
      <x:c r="I17" s="49" t="str"/>
      <x:c r="J17" s="88" t="n">
        <x:v>0</x:v>
      </x:c>
      <x:c r="K17" s="88" t="n">
        <x:v>11932.135</x:v>
      </x:c>
      <x:c r="L17" s="87" t="b">
        <x:v>0</x:v>
      </x:c>
      <x:c r="M17" s="49" t="str">
        <x:v>resp_02dbdb8211325ae9006a947068cfac8196adfb9cb867b134eb</x:v>
      </x:c>
      <x:c r="N17" s="60" t="n">
        <x:v>17907</x:v>
      </x:c>
      <x:c r="O17" s="60" t="n">
        <x:v>908</x:v>
      </x:c>
      <x:c r="P17" s="60" t="n">
        <x:v>18815</x:v>
      </x:c>
    </x:row>
  </x:sheetData>
  <x:conditionalFormatting sqref="H5:H17">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bda19ed548748f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RUN-TRF-048-20260830T180055974157Z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RUN-TRF-048-20260830T180055974157Z</x:v>
      </x:c>
      <x:c r="B5" s="45" t="str">
        <x:v>TRF-048</x:v>
      </x:c>
      <x:c r="C5" s="45" t="str">
        <x:v>actualFrameShearArea</x:v>
      </x:c>
      <x:c r="D5" s="46" t="str">
        <x:v>https://w3id.org/nltl/vocab#actualFrameShearArea</x:v>
      </x:c>
      <x:c r="E5" s="45" t="str">
        <x:v>QuantityProperty</x:v>
      </x:c>
      <x:c r="F5" s="45" t="str"/>
      <x:c r="G5" s="45" t="str">
        <x:v>http://qudt.org/schema/qudt/QuantityValue</x:v>
      </x:c>
      <x:c r="H5" s="45" t="str">
        <x:v>http://qudt.org/vocab/unit/CentiM2</x:v>
      </x:c>
      <x:c r="I5" s="46" t="str">
        <x:v>linked by the locked 313-requirement index</x:v>
      </x:c>
      <x:c r="J5" s="45" t="n">
        <x:v>0</x:v>
      </x:c>
    </x:row>
    <x:row r="6">
      <x:c r="A6" s="47" t="str">
        <x:v>RUN-TRF-048-20260830T180055974157Z</x:v>
      </x:c>
      <x:c r="B6" s="47" t="str">
        <x:v>TRF-048</x:v>
      </x:c>
      <x:c r="C6" s="47" t="str">
        <x:v>benchmarkEntity</x:v>
      </x:c>
      <x:c r="D6" s="48" t="str">
        <x:v>https://w3id.org/nltl/vocab#benchmarkEntity</x:v>
      </x:c>
      <x:c r="E6" s="47" t="str">
        <x:v>Class</x:v>
      </x:c>
      <x:c r="F6" s="47" t="str"/>
      <x:c r="G6" s="47" t="str"/>
      <x:c r="H6" s="47" t="str"/>
      <x:c r="I6" s="48" t="str">
        <x:v>baseline target infrastructure; domain dependency of actualFrameShearArea; domain dependency of bracketArea; domain dependency of designIceLoadHeight; domain dependency of frameMomentFactorM; domain dependency of grossFrameShearArea; domain dependency of icePressure; domain dependency of longitudinalFrameLoadDistributionFactorF4; domain dependency of longitudinalFrameShearFactorF5; domain dependency of requiredShearArea; domain dependency of sectionModulus; domain dependency of significantlyDifferentBoundaryConditions; domain dependency of spacing; domain dependency of span; domain dependency of yieldStrength; range dependency of frameBoundaryConditionTypeValue</x:v>
      </x:c>
      <x:c r="J6" s="47" t="n">
        <x:v>0</x:v>
      </x:c>
    </x:row>
    <x:row r="7">
      <x:c r="A7" s="47" t="str">
        <x:v>RUN-TRF-048-20260830T180055974157Z</x:v>
      </x:c>
      <x:c r="B7" s="47" t="str">
        <x:v>TRF-048</x:v>
      </x:c>
      <x:c r="C7" s="47" t="str">
        <x:v>bracketArea</x:v>
      </x:c>
      <x:c r="D7" s="48" t="str">
        <x:v>https://w3id.org/nltl/vocab#bracketArea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RUN-TRF-048-20260830T180055974157Z</x:v>
      </x:c>
      <x:c r="B8" s="47" t="str">
        <x:v>TRF-048</x:v>
      </x:c>
      <x:c r="C8" s="47" t="str">
        <x:v>bulkCarrierTopWingTankFrameCondition</x:v>
      </x:c>
      <x:c r="D8" s="48" t="str">
        <x:v>https://w3id.org/nltl/vocab#bulkCarrierTopWingTankFrameCondition</x:v>
      </x:c>
      <x:c r="E8" s="47" t="str">
        <x:v>NamedIndividual</x:v>
      </x:c>
      <x:c r="F8" s="47" t="str"/>
      <x:c r="G8" s="47" t="str">
        <x:v>https://w3id.org/nltl/vocab#frameBoundaryConditionTypeValue</x:v>
      </x:c>
      <x:c r="H8" s="47" t="str"/>
      <x:c r="I8" s="48" t="str">
        <x:v>controlled value permitted by the range of continuousBeamWithBracketsFrameCondition; controlled value permitted by the range of frameBoundaryConditionType</x:v>
      </x:c>
      <x:c r="J8" s="47" t="n">
        <x:v>0</x:v>
      </x:c>
    </x:row>
    <x:row r="9">
      <x:c r="A9" s="47" t="str">
        <x:v>RUN-TRF-048-20260830T180055974157Z</x:v>
      </x:c>
      <x:c r="B9" s="47" t="str">
        <x:v>TRF-048</x:v>
      </x:c>
      <x:c r="C9" s="47" t="str">
        <x:v>connectionBracket</x:v>
      </x:c>
      <x:c r="D9" s="48" t="str">
        <x:v>https://w3id.org/nltl/vocab#connectionBracket</x:v>
      </x:c>
      <x:c r="E9" s="47" t="str">
        <x:v>Class</x:v>
      </x:c>
      <x:c r="F9" s="47" t="str"/>
      <x:c r="G9" s="47" t="str">
        <x:v>https://w3id.org/nltl/vocab#hullStructure</x:v>
      </x:c>
      <x:c r="H9" s="47" t="str"/>
      <x:c r="I9" s="48" t="str">
        <x:v>linked by the locked 313-requirement index</x:v>
      </x:c>
      <x:c r="J9" s="47" t="n">
        <x:v>0</x:v>
      </x:c>
    </x:row>
    <x:row r="10">
      <x:c r="A10" s="47" t="str">
        <x:v>RUN-TRF-048-20260830T180055974157Z</x:v>
      </x:c>
      <x:c r="B10" s="47" t="str">
        <x:v>TRF-048</x:v>
      </x:c>
      <x:c r="C10" s="47" t="str">
        <x:v>continuousBeamWithBracketsFrameCondition</x:v>
      </x:c>
      <x:c r="D10" s="48" t="str">
        <x:v>https://w3id.org/nltl/vocab#continuousBeamWithBracketsFrameCondition</x:v>
      </x:c>
      <x:c r="E10" s="47" t="str">
        <x:v>NamedIndividual</x:v>
      </x:c>
      <x:c r="F10" s="47" t="str"/>
      <x:c r="G10" s="47" t="str">
        <x:v>https://w3id.org/nltl/vocab#frameBoundaryConditionTypeValue</x:v>
      </x:c>
      <x:c r="H10" s="47" t="str"/>
      <x:c r="I10" s="48" t="str">
        <x:v>controlled value permitted by the range of continuousBeamWithBracketsFrameCondition; controlled value permitted by the range of frameBoundaryConditionType; linked by the locked 313-requirement index</x:v>
      </x:c>
      <x:c r="J10" s="47" t="n">
        <x:v>0</x:v>
      </x:c>
    </x:row>
    <x:row r="11">
      <x:c r="A11" s="47" t="str">
        <x:v>RUN-TRF-048-20260830T180055974157Z</x:v>
      </x:c>
      <x:c r="B11" s="47" t="str">
        <x:v>TRF-048</x:v>
      </x:c>
      <x:c r="C11" s="47" t="str">
        <x:v>designIceLoadHeight</x:v>
      </x:c>
      <x:c r="D11" s="48" t="str">
        <x:v>https://w3id.org/nltl/vocab#designIceLoadHeight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RUN-TRF-048-20260830T180055974157Z</x:v>
      </x:c>
      <x:c r="B12" s="47" t="str">
        <x:v>TRF-048</x:v>
      </x:c>
      <x:c r="C12" s="47" t="str">
        <x:v>evidenceArtifact</x:v>
      </x:c>
      <x:c r="D12" s="48" t="str">
        <x:v>https://w3id.org/nltl/vocab#evidenceArtifact</x:v>
      </x:c>
      <x:c r="E12" s="47" t="str">
        <x:v>Class</x:v>
      </x:c>
      <x:c r="F12" s="47" t="str"/>
      <x:c r="G12" s="47" t="str"/>
      <x:c r="H12" s="47" t="str"/>
      <x:c r="I12" s="48" t="str">
        <x:v>range dependency of frameBoundaryConditionEvidence</x:v>
      </x:c>
      <x:c r="J12" s="47" t="n">
        <x:v>0</x:v>
      </x:c>
    </x:row>
    <x:row r="13">
      <x:c r="A13" s="47" t="str">
        <x:v>RUN-TRF-048-20260830T180055974157Z</x:v>
      </x:c>
      <x:c r="B13" s="47" t="str">
        <x:v>TRF-048</x:v>
      </x:c>
      <x:c r="C13" s="47" t="str">
        <x:v>frame</x:v>
      </x:c>
      <x:c r="D13" s="48" t="str">
        <x:v>https://w3id.org/nltl/vocab#frame</x:v>
      </x:c>
      <x:c r="E13" s="47" t="str">
        <x:v>Class</x:v>
      </x:c>
      <x:c r="F13" s="47" t="str"/>
      <x:c r="G13" s="47" t="str">
        <x:v>https://w3id.org/nltl/vocab#hullStructure</x:v>
      </x:c>
      <x:c r="H13" s="47" t="str"/>
      <x:c r="I13" s="48" t="str">
        <x:v>domain dependency of frameBoundaryConditionType; range dependency of longitudinalFrame</x:v>
      </x:c>
      <x:c r="J13" s="47" t="n">
        <x:v>0</x:v>
      </x:c>
    </x:row>
    <x:row r="14">
      <x:c r="A14" s="47" t="str">
        <x:v>RUN-TRF-048-20260830T180055974157Z</x:v>
      </x:c>
      <x:c r="B14" s="47" t="str">
        <x:v>TRF-048</x:v>
      </x:c>
      <x:c r="C14" s="47" t="str">
        <x:v>frameBoundaryConditionEvidence</x:v>
      </x:c>
      <x:c r="D14" s="48" t="str">
        <x:v>https://w3id.org/nltl/vocab#frameBoundaryConditionEvidence</x:v>
      </x:c>
      <x:c r="E14" s="47" t="str">
        <x:v>Class</x:v>
      </x:c>
      <x:c r="F14" s="47" t="str"/>
      <x:c r="G14" s="47" t="str">
        <x:v>https://w3id.org/nltl/vocab#evidenceArtifact</x:v>
      </x:c>
      <x:c r="H14" s="47" t="str"/>
      <x:c r="I14" s="48" t="str">
        <x:v>linked by the locked 313-requirement index; range dependency of hasFrameBoundaryConditionEvidence</x:v>
      </x:c>
      <x:c r="J14" s="47" t="n">
        <x:v>0</x:v>
      </x:c>
    </x:row>
    <x:row r="15">
      <x:c r="A15" s="47" t="str">
        <x:v>RUN-TRF-048-20260830T180055974157Z</x:v>
      </x:c>
      <x:c r="B15" s="47" t="str">
        <x:v>TRF-048</x:v>
      </x:c>
      <x:c r="C15" s="47" t="str">
        <x:v>frameBoundaryConditionType</x:v>
      </x:c>
      <x:c r="D15" s="48" t="str">
        <x:v>https://w3id.org/nltl/vocab#frameBoundaryConditionType</x:v>
      </x:c>
      <x:c r="E15" s="47" t="str">
        <x:v>ObjectProperty</x:v>
      </x:c>
      <x:c r="F15" s="47" t="str"/>
      <x:c r="G15" s="47" t="str">
        <x:v>https://w3id.org/nltl/vocab#frameBoundaryConditionTypeValue</x:v>
      </x:c>
      <x:c r="H15" s="47" t="str"/>
      <x:c r="I15" s="48" t="str">
        <x:v>linked by the locked 313-requirement index</x:v>
      </x:c>
      <x:c r="J15" s="47" t="n">
        <x:v>0</x:v>
      </x:c>
    </x:row>
    <x:row r="16">
      <x:c r="A16" s="47" t="str">
        <x:v>RUN-TRF-048-20260830T180055974157Z</x:v>
      </x:c>
      <x:c r="B16" s="47" t="str">
        <x:v>TRF-048</x:v>
      </x:c>
      <x:c r="C16" s="47" t="str">
        <x:v>frameBoundaryConditionTypeValue</x:v>
      </x:c>
      <x:c r="D16" s="48" t="str">
        <x:v>https://w3id.org/nltl/vocab#frameBoundaryConditionTypeValue</x:v>
      </x:c>
      <x:c r="E16" s="47" t="str">
        <x:v>Class</x:v>
      </x:c>
      <x:c r="F16" s="47" t="str"/>
      <x:c r="G16" s="47" t="str">
        <x:v>https://w3id.org/nltl/vocab#benchmarkEntity</x:v>
      </x:c>
      <x:c r="H16" s="47" t="str"/>
      <x:c r="I16" s="48" t="str">
        <x:v>linked by the locked 313-requirement index; range dependency of continuousBeamWithBracketsFrameCondition; range dependency of frameBoundaryConditionType</x:v>
      </x:c>
      <x:c r="J16" s="47" t="n">
        <x:v>0</x:v>
      </x:c>
    </x:row>
    <x:row r="17">
      <x:c r="A17" s="47" t="str">
        <x:v>RUN-TRF-048-20260830T180055974157Z</x:v>
      </x:c>
      <x:c r="B17" s="47" t="str">
        <x:v>TRF-048</x:v>
      </x:c>
      <x:c r="C17" s="47" t="str">
        <x:v>frameMomentFactorM</x:v>
      </x:c>
      <x:c r="D17" s="48" t="str">
        <x:v>https://w3id.org/nltl/vocab#frameMomentFactorM</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RUN-TRF-048-20260830T180055974157Z</x:v>
      </x:c>
      <x:c r="B18" s="47" t="str">
        <x:v>TRF-048</x:v>
      </x:c>
      <x:c r="C18" s="47" t="str">
        <x:v>grossFrameShearArea</x:v>
      </x:c>
      <x:c r="D18" s="48" t="str">
        <x:v>https://w3id.org/nltl/vocab#grossFrameShearArea</x:v>
      </x:c>
      <x:c r="E18" s="47" t="str">
        <x:v>QuantityProperty</x:v>
      </x:c>
      <x:c r="F18" s="47" t="str"/>
      <x:c r="G18" s="47" t="str">
        <x:v>http://qudt.org/schema/qudt/QuantityValue</x:v>
      </x:c>
      <x:c r="H18" s="47" t="str">
        <x:v>http://qudt.org/vocab/unit/CentiM2</x:v>
      </x:c>
      <x:c r="I18" s="48" t="str">
        <x:v>linked by the locked 313-requirement index</x:v>
      </x:c>
      <x:c r="J18" s="47" t="n">
        <x:v>0</x:v>
      </x:c>
    </x:row>
    <x:row r="19">
      <x:c r="A19" s="47" t="str">
        <x:v>RUN-TRF-048-20260830T180055974157Z</x:v>
      </x:c>
      <x:c r="B19" s="47" t="str">
        <x:v>TRF-048</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RUN-TRF-048-20260830T180055974157Z</x:v>
      </x:c>
      <x:c r="B20" s="47" t="str">
        <x:v>TRF-048</x:v>
      </x:c>
      <x:c r="C20" s="47" t="str">
        <x:v>hasFrameBoundaryConditionEvidence</x:v>
      </x:c>
      <x:c r="D20" s="48" t="str">
        <x:v>https://w3id.org/nltl/vocab#hasFrameBoundaryConditionEvidence</x:v>
      </x:c>
      <x:c r="E20" s="47" t="str">
        <x:v>ObjectProperty</x:v>
      </x:c>
      <x:c r="F20" s="47" t="str"/>
      <x:c r="G20" s="47" t="str">
        <x:v>https://w3id.org/nltl/vocab#frameBoundaryConditionEvidence</x:v>
      </x:c>
      <x:c r="H20" s="47" t="str"/>
      <x:c r="I20" s="48" t="str">
        <x:v>linked by the locked 313-requirement index</x:v>
      </x:c>
      <x:c r="J20" s="47" t="n">
        <x:v>0</x:v>
      </x:c>
    </x:row>
    <x:row r="21">
      <x:c r="A21" s="47" t="str">
        <x:v>RUN-TRF-048-20260830T180055974157Z</x:v>
      </x:c>
      <x:c r="B21" s="47" t="str">
        <x:v>TRF-048</x:v>
      </x:c>
      <x:c r="C21" s="47" t="str">
        <x:v>hullStructure</x:v>
      </x:c>
      <x:c r="D21" s="48" t="str">
        <x:v>https://w3id.org/nltl/vocab#hullStructure</x:v>
      </x:c>
      <x:c r="E21" s="47" t="str">
        <x:v>Class</x:v>
      </x:c>
      <x:c r="F21" s="47" t="str"/>
      <x:c r="G21" s="47" t="str"/>
      <x:c r="H21" s="47" t="str"/>
      <x:c r="I21" s="48" t="str">
        <x:v>range dependency of connectionBracket</x:v>
      </x:c>
      <x:c r="J21" s="47" t="n">
        <x:v>0</x:v>
      </x:c>
    </x:row>
    <x:row r="22">
      <x:c r="A22" s="47" t="str">
        <x:v>RUN-TRF-048-20260830T180055974157Z</x:v>
      </x:c>
      <x:c r="B22" s="47" t="str">
        <x:v>TRF-048</x:v>
      </x:c>
      <x:c r="C22" s="47" t="str">
        <x:v>icePressure</x:v>
      </x:c>
      <x:c r="D22" s="48" t="str">
        <x:v>https://w3id.org/nltl/vocab#icePressure</x:v>
      </x:c>
      <x:c r="E22" s="47" t="str">
        <x:v>QuantityProperty</x:v>
      </x:c>
      <x:c r="F22" s="47" t="str"/>
      <x:c r="G22" s="47" t="str">
        <x:v>http://qudt.org/schema/qudt/QuantityValue</x:v>
      </x:c>
      <x:c r="H22" s="47" t="str">
        <x:v>http://qudt.org/vocab/unit/MegaPA</x:v>
      </x:c>
      <x:c r="I22" s="48" t="str">
        <x:v>linked by the locked 313-requirement index</x:v>
      </x:c>
      <x:c r="J22" s="47" t="n">
        <x:v>0</x:v>
      </x:c>
    </x:row>
    <x:row r="23">
      <x:c r="A23" s="47" t="str">
        <x:v>RUN-TRF-048-20260830T180055974157Z</x:v>
      </x:c>
      <x:c r="B23" s="47" t="str">
        <x:v>TRF-048</x:v>
      </x:c>
      <x:c r="C23" s="47" t="str">
        <x:v>longitudinalFrame</x:v>
      </x:c>
      <x:c r="D23" s="48" t="str">
        <x:v>https://w3id.org/nltl/vocab#longitudinalFrame</x:v>
      </x:c>
      <x:c r="E23" s="47" t="str">
        <x:v>Class</x:v>
      </x:c>
      <x:c r="F23" s="47" t="str"/>
      <x:c r="G23" s="47" t="str">
        <x:v>https://w3id.org/nltl/vocab#frame</x:v>
      </x:c>
      <x:c r="H23" s="47" t="str"/>
      <x:c r="I23" s="48" t="str">
        <x:v>authoritative required owner class; authoritative requirement target owner; domain dependency of hasFrameBoundaryConditionEvidence; linked by the locked 313-requirement index</x:v>
      </x:c>
      <x:c r="J23" s="47" t="n">
        <x:v>0</x:v>
      </x:c>
    </x:row>
    <x:row r="24">
      <x:c r="A24" s="47" t="str">
        <x:v>RUN-TRF-048-20260830T180055974157Z</x:v>
      </x:c>
      <x:c r="B24" s="47" t="str">
        <x:v>TRF-048</x:v>
      </x:c>
      <x:c r="C24" s="47" t="str">
        <x:v>longitudinalFrameLoadDistributionFactorF4</x:v>
      </x:c>
      <x:c r="D24" s="48" t="str">
        <x:v>https://w3id.org/nltl/vocab#longitudinalFrameLoadDistributionFactorF4</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RUN-TRF-048-20260830T180055974157Z</x:v>
      </x:c>
      <x:c r="B25" s="47" t="str">
        <x:v>TRF-048</x:v>
      </x:c>
      <x:c r="C25" s="47" t="str">
        <x:v>longitudinalFrameShearFactorF5</x:v>
      </x:c>
      <x:c r="D25" s="48" t="str">
        <x:v>https://w3id.org/nltl/vocab#longitudinalFrameShearFactorF5</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7" t="str">
        <x:v>RUN-TRF-048-20260830T180055974157Z</x:v>
      </x:c>
      <x:c r="B26" s="47" t="str">
        <x:v>TRF-048</x:v>
      </x:c>
      <x:c r="C26" s="47" t="str">
        <x:v>multiDeckOrStringerContinuousFrameCondition</x:v>
      </x:c>
      <x:c r="D26" s="48" t="str">
        <x:v>https://w3id.org/nltl/vocab#multiDeckOrStringerContinuousFrameCondition</x:v>
      </x:c>
      <x:c r="E26" s="47" t="str">
        <x:v>NamedIndividual</x:v>
      </x:c>
      <x:c r="F26" s="47" t="str"/>
      <x:c r="G26" s="47" t="str">
        <x:v>https://w3id.org/nltl/vocab#frameBoundaryConditionTypeValue</x:v>
      </x:c>
      <x:c r="H26" s="47" t="str"/>
      <x:c r="I26" s="48" t="str">
        <x:v>controlled value permitted by the range of continuousBeamWithBracketsFrameCondition; controlled value permitted by the range of frameBoundaryConditionType</x:v>
      </x:c>
      <x:c r="J26" s="47" t="n">
        <x:v>0</x:v>
      </x:c>
    </x:row>
    <x:row r="27">
      <x:c r="A27" s="47" t="str">
        <x:v>RUN-TRF-048-20260830T180055974157Z</x:v>
      </x:c>
      <x:c r="B27" s="47" t="str">
        <x:v>TRF-048</x:v>
      </x:c>
      <x:c r="C27" s="47" t="str">
        <x:v>requiredShearArea</x:v>
      </x:c>
      <x:c r="D27" s="48" t="str">
        <x:v>https://w3id.org/nltl/vocab#requiredShearArea</x:v>
      </x:c>
      <x:c r="E27" s="47" t="str">
        <x:v>QuantityProperty</x:v>
      </x:c>
      <x:c r="F27" s="47" t="str"/>
      <x:c r="G27" s="47" t="str">
        <x:v>http://qudt.org/schema/qudt/QuantityValue</x:v>
      </x:c>
      <x:c r="H27" s="47" t="str">
        <x:v>http://qudt.org/vocab/unit/CentiM2</x:v>
      </x:c>
      <x:c r="I27" s="48" t="str">
        <x:v>linked by the locked 313-requirement index</x:v>
      </x:c>
      <x:c r="J27" s="47" t="n">
        <x:v>0</x:v>
      </x:c>
    </x:row>
    <x:row r="28">
      <x:c r="A28" s="47" t="str">
        <x:v>RUN-TRF-048-20260830T180055974157Z</x:v>
      </x:c>
      <x:c r="B28" s="47" t="str">
        <x:v>TRF-048</x:v>
      </x:c>
      <x:c r="C28" s="47" t="str">
        <x:v>sectionModulus</x:v>
      </x:c>
      <x:c r="D28" s="48" t="str">
        <x:v>https://w3id.org/nltl/vocab#sectionModulus</x:v>
      </x:c>
      <x:c r="E28" s="47" t="str">
        <x:v>QuantityProperty</x:v>
      </x:c>
      <x:c r="F28" s="47" t="str"/>
      <x:c r="G28" s="47" t="str">
        <x:v>http://qudt.org/schema/qudt/QuantityValue</x:v>
      </x:c>
      <x:c r="H28" s="47" t="str">
        <x:v>http://qudt.org/vocab/unit/CentiM3</x:v>
      </x:c>
      <x:c r="I28" s="48" t="str">
        <x:v>linked by the locked 313-requirement index</x:v>
      </x:c>
      <x:c r="J28" s="47" t="n">
        <x:v>0</x:v>
      </x:c>
    </x:row>
    <x:row r="29">
      <x:c r="A29" s="47" t="str">
        <x:v>RUN-TRF-048-20260830T180055974157Z</x:v>
      </x:c>
      <x:c r="B29" s="47" t="str">
        <x:v>TRF-048</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RUN-TRF-048-20260830T180055974157Z</x:v>
      </x:c>
      <x:c r="B30" s="47" t="str">
        <x:v>TRF-048</x:v>
      </x:c>
      <x:c r="C30" s="47" t="str">
        <x:v>shipComponent</x:v>
      </x:c>
      <x:c r="D30" s="48" t="str">
        <x:v>https://w3id.org/nltl/vocab#shipComponent</x:v>
      </x:c>
      <x:c r="E30" s="47" t="str">
        <x:v>Class</x:v>
      </x:c>
      <x:c r="F30" s="47" t="str"/>
      <x:c r="G30" s="47" t="str"/>
      <x:c r="H30" s="47" t="str"/>
      <x:c r="I30" s="48" t="str">
        <x:v>component-path dependency inferred from the linked term module</x:v>
      </x:c>
      <x:c r="J30" s="47" t="n">
        <x:v>0</x:v>
      </x:c>
    </x:row>
    <x:row r="31">
      <x:c r="A31" s="47" t="str">
        <x:v>RUN-TRF-048-20260830T180055974157Z</x:v>
      </x:c>
      <x:c r="B31" s="47" t="str">
        <x:v>TRF-048</x:v>
      </x:c>
      <x:c r="C31" s="47" t="str">
        <x:v>significantlyDifferentBoundaryConditions</x:v>
      </x:c>
      <x:c r="D31" s="48" t="str">
        <x:v>https://w3id.org/nltl/vocab#significantlyDifferentBoundaryConditions</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RUN-TRF-048-20260830T180055974157Z</x:v>
      </x:c>
      <x:c r="B32" s="47" t="str">
        <x:v>TRF-048</x:v>
      </x:c>
      <x:c r="C32" s="47" t="str">
        <x:v>singleDeckTankTopToMainDeckFrameCondition</x:v>
      </x:c>
      <x:c r="D32" s="48" t="str">
        <x:v>https://w3id.org/nltl/vocab#singleDeckTankTopToMainDeckFrameCondition</x:v>
      </x:c>
      <x:c r="E32" s="47" t="str">
        <x:v>NamedIndividual</x:v>
      </x:c>
      <x:c r="F32" s="47" t="str"/>
      <x:c r="G32" s="47" t="str">
        <x:v>https://w3id.org/nltl/vocab#frameBoundaryConditionTypeValue</x:v>
      </x:c>
      <x:c r="H32" s="47" t="str"/>
      <x:c r="I32" s="48" t="str">
        <x:v>controlled value permitted by the range of continuousBeamWithBracketsFrameCondition; controlled value permitted by the range of frameBoundaryConditionType</x:v>
      </x:c>
      <x:c r="J32" s="47" t="n">
        <x:v>0</x:v>
      </x:c>
    </x:row>
    <x:row r="33">
      <x:c r="A33" s="47" t="str">
        <x:v>RUN-TRF-048-20260830T180055974157Z</x:v>
      </x:c>
      <x:c r="B33" s="47" t="str">
        <x:v>TRF-048</x:v>
      </x:c>
      <x:c r="C33" s="47" t="str">
        <x:v>spacing</x:v>
      </x:c>
      <x:c r="D33" s="48" t="str">
        <x:v>https://w3id.org/nltl/vocab#spacing</x:v>
      </x:c>
      <x:c r="E33" s="47" t="str">
        <x:v>QuantityProperty</x:v>
      </x:c>
      <x:c r="F33" s="47" t="str"/>
      <x:c r="G33" s="47" t="str">
        <x:v>http://qudt.org/schema/qudt/QuantityValue</x:v>
      </x:c>
      <x:c r="H33" s="47" t="str">
        <x:v>http://qudt.org/vocab/unit/M</x:v>
      </x:c>
      <x:c r="I33" s="48" t="str">
        <x:v>linked by the locked 313-requirement index</x:v>
      </x:c>
      <x:c r="J33" s="47" t="n">
        <x:v>0</x:v>
      </x:c>
    </x:row>
    <x:row r="34">
      <x:c r="A34" s="47" t="str">
        <x:v>RUN-TRF-048-20260830T180055974157Z</x:v>
      </x:c>
      <x:c r="B34" s="47" t="str">
        <x:v>TRF-048</x:v>
      </x:c>
      <x:c r="C34" s="47" t="str">
        <x:v>span</x:v>
      </x:c>
      <x:c r="D34" s="48" t="str">
        <x:v>https://w3id.org/nltl/vocab#span</x:v>
      </x:c>
      <x:c r="E34" s="47" t="str">
        <x:v>QuantityProperty</x:v>
      </x:c>
      <x:c r="F34" s="47" t="str"/>
      <x:c r="G34" s="47" t="str">
        <x:v>http://qudt.org/schema/qudt/QuantityValue</x:v>
      </x:c>
      <x:c r="H34" s="47" t="str">
        <x:v>http://qudt.org/vocab/unit/M</x:v>
      </x:c>
      <x:c r="I34" s="48" t="str">
        <x:v>linked by the locked 313-requirement index</x:v>
      </x:c>
      <x:c r="J34" s="47" t="n">
        <x:v>0</x:v>
      </x:c>
    </x:row>
    <x:row r="35">
      <x:c r="A35" s="47" t="str">
        <x:v>RUN-TRF-048-20260830T180055974157Z</x:v>
      </x:c>
      <x:c r="B35" s="47" t="str">
        <x:v>TRF-048</x:v>
      </x:c>
      <x:c r="C35" s="47" t="str">
        <x:v>twoDeckFrameCondition</x:v>
      </x:c>
      <x:c r="D35" s="48" t="str">
        <x:v>https://w3id.org/nltl/vocab#twoDeckFrameCondition</x:v>
      </x:c>
      <x:c r="E35" s="47" t="str">
        <x:v>NamedIndividual</x:v>
      </x:c>
      <x:c r="F35" s="47" t="str"/>
      <x:c r="G35" s="47" t="str">
        <x:v>https://w3id.org/nltl/vocab#frameBoundaryConditionTypeValue</x:v>
      </x:c>
      <x:c r="H35" s="47" t="str"/>
      <x:c r="I35" s="48" t="str">
        <x:v>controlled value permitted by the range of continuousBeamWithBracketsFrameCondition; controlled value permitted by the range of frameBoundaryConditionType</x:v>
      </x:c>
      <x:c r="J35" s="47" t="n">
        <x:v>0</x:v>
      </x:c>
    </x:row>
    <x:row r="36">
      <x:c r="A36" s="49" t="str">
        <x:v>RUN-TRF-048-20260830T180055974157Z</x:v>
      </x:c>
      <x:c r="B36" s="49" t="str">
        <x:v>TRF-048</x:v>
      </x:c>
      <x:c r="C36" s="49" t="str">
        <x:v>yieldStrength</x:v>
      </x:c>
      <x:c r="D36" s="50" t="str">
        <x:v>https://w3id.org/nltl/vocab#yieldStrength</x:v>
      </x:c>
      <x:c r="E36" s="49" t="str">
        <x:v>QuantityProperty</x:v>
      </x:c>
      <x:c r="F36" s="49" t="str"/>
      <x:c r="G36" s="49" t="str">
        <x:v>http://qudt.org/schema/qudt/QuantityValue</x:v>
      </x:c>
      <x:c r="H36" s="49" t="str">
        <x:v>http://qudt.org/vocab/unit/MegaPA</x:v>
      </x:c>
      <x:c r="I36" s="50" t="str">
        <x:v>linked by the locked 313-requirement index</x:v>
      </x:c>
      <x:c r="J36" s="49" t="n">
        <x:v>0</x:v>
      </x:c>
    </x:row>
  </x:sheetData>
  <x:pageMargins left="0.7" right="0.7" top="0.75" bottom="0.75" header="0.3" footer="0.3"/>
  <x:tableParts count="1">
    <x:tablePart xmlns:r="http://schemas.openxmlformats.org/officeDocument/2006/relationships" r:id="R46bb8e94e98f470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RUN-TRF-048-20260830T180055974157Z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RUN-TRF-048-20260830T180055974157Z</x:v>
      </x:c>
      <x:c r="B5" s="45" t="str">
        <x:v>TRF-048</x:v>
      </x:c>
      <x:c r="C5" s="45" t="str">
        <x:v>FS-CALC-02</x:v>
      </x:c>
      <x:c r="D5" s="45" t="str">
        <x:v>comparison_calculation</x:v>
      </x:c>
      <x:c r="E5" s="97" t="n">
        <x:v>0.043956</x:v>
      </x:c>
      <x:c r="F5" s="45" t="str">
        <x:v>calculation | comparison | formula | sparql</x:v>
      </x:c>
      <x:c r="G5" s="45" t="str">
        <x:v>synthetic-few-shot-not-benchmark-ground-truth</x:v>
      </x:c>
    </x:row>
    <x:row r="6">
      <x:c r="A6" s="49" t="str">
        <x:v>RUN-TRF-048-20260830T180055974157Z</x:v>
      </x:c>
      <x:c r="B6" s="49" t="str">
        <x:v>TRF-048</x:v>
      </x:c>
      <x:c r="C6" s="49" t="str">
        <x:v>FS-BOOL-01</x:v>
      </x:c>
      <x:c r="D6" s="49" t="str">
        <x:v>boolean_state</x:v>
      </x:c>
      <x:c r="E6" s="98" t="n">
        <x:v>0.032609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4123b20c5a146d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RUN-TRF-048-20260830T180055974157Z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RUN-TRF-048-20260830T180055974157Z</x:v>
      </x:c>
      <x:c r="B5" s="45" t="str">
        <x:v>TRF-048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https://w3id.org/nltl/vocab#bulkCarrierTopWingTankFrameCondition | https://w3id.org/nltl/vocab#continuousBeamWithBracketsFrameCondition | https://w3id.org/nltl/vocab#designIceLoadHeight | https://w3id.org/nltl/vocab#frameBoundaryConditionType | https://w3id.org/nltl/vocab#frameBoundaryConditionTypeValue | https://w3id.org/nltl/vocab#frameMomentFactorM | https://w3id.org/nltl/vocab#icePressure | https://w3id.org/nltl/vocab#longitudinalFrame | https://w3id.org/nltl/vocab#longitudinalFrameLoadDistributionFactorF4 | https://w3id.org/nltl/vocab#multiDeckOrStringerContinuousFrameCondition | https://w3id.org/nltl/vocab#requiredShearArea | https://w3id.org/nltl/vocab#sectionModulus | https://w3id.org/nltl/vocab#significantlyDifferentBoundaryConditions | https://w3id.org/nltl/vocab#singleDeckTankTopToMainDeckFrameCondition | https://w3id.org/nltl/vocab#spacing | https://w3id.org/nltl/vocab#span | https://w3id.org/nltl/vocab#twoDeckFrameCondition | https://w3id.org/nltl/vocab#yieldStrength</x:v>
      </x:c>
      <x:c r="O5" s="46" t="str"/>
      <x:c r="P5" s="46" t="str"/>
      <x:c r="Q5" s="46" t="str"/>
    </x:row>
    <x:row r="6">
      <x:c r="A6" s="47" t="str">
        <x:v>RUN-TRF-048-20260830T180055974157Z</x:v>
      </x:c>
      <x:c r="B6" s="47" t="str">
        <x:v>TRF-048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https://w3id.org/nltl/vocab#actualFrameShearArea | https://w3id.org/nltl/vocab#bracketArea | https://w3id.org/nltl/vocab#continuousBeamWithBracketsFrameCondition | https://w3id.org/nltl/vocab#designIceLoadHeight | https://w3id.org/nltl/vocab#frameBoundaryConditionType | https://w3id.org/nltl/vocab#frameBoundaryConditionTypeValue | https://w3id.org/nltl/vocab#frameMomentFactorM | https://w3id.org/nltl/vocab#grossFrameShearArea | https://w3id.org/nltl/vocab#icePressure | https://w3id.org/nltl/vocab#longitudinalFrame | https://w3id.org/nltl/vocab#longitudinalFrameLoadDistributionFactorF4 | https://w3id.org/nltl/vocab#requiredShearArea | https://w3id.org/nltl/vocab#sectionModulus | https://w3id.org/nltl/vocab#significantlyDifferentBoundaryConditions | https://w3id.org/nltl/vocab#spacing | https://w3id.org/nltl/vocab#span | https://w3id.org/nltl/vocab#yieldStrength</x:v>
      </x:c>
      <x:c r="O6" s="48" t="str"/>
      <x:c r="P6" s="48" t="str"/>
      <x:c r="Q6" s="48" t="str"/>
    </x:row>
    <x:row r="7">
      <x:c r="A7" s="49" t="str">
        <x:v>RUN-TRF-048-20260830T180055974157Z</x:v>
      </x:c>
      <x:c r="B7" s="49" t="str">
        <x:v>TRF-048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https://w3id.org/nltl/vocab#actualFrameShearArea | https://w3id.org/nltl/vocab#bracketArea | https://w3id.org/nltl/vocab#continuousBeamWithBracketsFrameCondition | https://w3id.org/nltl/vocab#designIceLoadHeight | https://w3id.org/nltl/vocab#frameBoundaryConditionType | https://w3id.org/nltl/vocab#frameBoundaryConditionTypeValue | https://w3id.org/nltl/vocab#frameMomentFactorM | https://w3id.org/nltl/vocab#grossFrameShearArea | https://w3id.org/nltl/vocab#icePressure | https://w3id.org/nltl/vocab#longitudinalFrame | https://w3id.org/nltl/vocab#longitudinalFrameLoadDistributionFactorF4 | https://w3id.org/nltl/vocab#requiredShearArea | https://w3id.org/nltl/vocab#sectionModulus | https://w3id.org/nltl/vocab#significantlyDifferentBoundaryConditions | https://w3id.org/nltl/vocab#spacing | https://w3id.org/nltl/vocab#span | https://w3id.org/nltl/vocab#yieldStrength</x:v>
      </x:c>
      <x:c r="O7" s="50" t="str"/>
      <x:c r="P7" s="50" t="str"/>
      <x:c r="Q7" s="50" t="str"/>
    </x:row>
  </x:sheetData>
  <x:pageMargins left="0.7" right="0.7" top="0.75" bottom="0.75" header="0.3" footer="0.3"/>
  <x:tableParts count="1">
    <x:tablePart xmlns:r="http://schemas.openxmlformats.org/officeDocument/2006/relationships" r:id="R2357350cf36a42a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RUN-TRF-048-20260830T180055974157Z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RUN-TRF-048-20260830T180055974157Z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RUN-TRF-048-20260830T180055974157Z</x:v>
      </x:c>
      <x:c r="B5" s="45" t="str">
        <x:v>TRF-048</x:v>
      </x:c>
      <x:c r="C5" s="58"/>
      <x:c r="D5" s="45" t="str">
        <x:v>initial_context_pack</x:v>
      </x:c>
      <x:c r="E5" s="46" t="str">
        <x:v>artifacts/context_pack_initial.json</x:v>
      </x:c>
      <x:c r="F5" s="45" t="str">
        <x:v>31f1de6f6599b16b3a26e74d53ed828ebcb7867af3174802c637a067f82387e7</x:v>
      </x:c>
      <x:c r="G5" s="58" t="n">
        <x:v>42195</x:v>
      </x:c>
    </x:row>
    <x:row r="6">
      <x:c r="A6" s="47" t="str">
        <x:v>RUN-TRF-048-20260830T180055974157Z</x:v>
      </x:c>
      <x:c r="B6" s="47" t="str">
        <x:v>TRF-048</x:v>
      </x:c>
      <x:c r="C6" s="59"/>
      <x:c r="D6" s="47" t="str">
        <x:v>few_shot_selection</x:v>
      </x:c>
      <x:c r="E6" s="48" t="str">
        <x:v>artifacts/few_shots_selected.json</x:v>
      </x:c>
      <x:c r="F6" s="47" t="str">
        <x:v>3a64d95cca5892d282005470ebb905d4b8d6341d825828e60229b64bf4934e82</x:v>
      </x:c>
      <x:c r="G6" s="59" t="n">
        <x:v>4749</x:v>
      </x:c>
    </x:row>
    <x:row r="7">
      <x:c r="A7" s="47" t="str">
        <x:v>RUN-TRF-048-20260830T180055974157Z</x:v>
      </x:c>
      <x:c r="B7" s="47" t="str">
        <x:v>TRF-048</x:v>
      </x:c>
      <x:c r="C7" s="59" t="n">
        <x:v>1</x:v>
      </x:c>
      <x:c r="D7" s="47" t="str">
        <x:v>generator_prompt</x:v>
      </x:c>
      <x:c r="E7" s="48" t="str">
        <x:v>artifacts/attempt_01/generator_prompt.txt</x:v>
      </x:c>
      <x:c r="F7" s="47" t="str">
        <x:v>23960c8c162dc07aab67fac08cdcf1cb09e054578f8ea4bf072ce38577e3ba40</x:v>
      </x:c>
      <x:c r="G7" s="59" t="n">
        <x:v>58498</x:v>
      </x:c>
    </x:row>
    <x:row r="8">
      <x:c r="A8" s="47" t="str">
        <x:v>RUN-TRF-048-20260830T180055974157Z</x:v>
      </x:c>
      <x:c r="B8" s="47" t="str">
        <x:v>TRF-048</x:v>
      </x:c>
      <x:c r="C8" s="59" t="n">
        <x:v>1</x:v>
      </x:c>
      <x:c r="D8" s="47" t="str">
        <x:v>generator_raw_response</x:v>
      </x:c>
      <x:c r="E8" s="48" t="str">
        <x:v>artifacts/attempt_01/generator_raw.txt</x:v>
      </x:c>
      <x:c r="F8" s="47" t="str">
        <x:v>f5c69d87ee1826c0b0f7bc2f4c1a8b59303ccce7a614896ab7f0222e605f9ae7</x:v>
      </x:c>
      <x:c r="G8" s="59" t="n">
        <x:v>9854</x:v>
      </x:c>
    </x:row>
    <x:row r="9">
      <x:c r="A9" s="47" t="str">
        <x:v>RUN-TRF-048-20260830T180055974157Z</x:v>
      </x:c>
      <x:c r="B9" s="47" t="str">
        <x:v>TRF-048</x:v>
      </x:c>
      <x:c r="C9" s="59" t="n">
        <x:v>1</x:v>
      </x:c>
      <x:c r="D9" s="47" t="str">
        <x:v>candidate_shape</x:v>
      </x:c>
      <x:c r="E9" s="48" t="str">
        <x:v>artifacts/attempt_01/candidate_shape.ttl</x:v>
      </x:c>
      <x:c r="F9" s="47" t="str">
        <x:v>32a3b37840a30e9ec11282588a496d29d0e7c4818e122be2b8de733ca7b9f302</x:v>
      </x:c>
      <x:c r="G9" s="59" t="n">
        <x:v>9829</x:v>
      </x:c>
    </x:row>
    <x:row r="10">
      <x:c r="A10" s="47" t="str">
        <x:v>RUN-TRF-048-20260830T180055974157Z</x:v>
      </x:c>
      <x:c r="B10" s="47" t="str">
        <x:v>TRF-048</x:v>
      </x:c>
      <x:c r="C10" s="59" t="n">
        <x:v>1</x:v>
      </x:c>
      <x:c r="D10" s="47" t="str">
        <x:v>deterministic_validation</x:v>
      </x:c>
      <x:c r="E10" s="48" t="str">
        <x:v>artifacts/attempt_01/deterministic_validation.json</x:v>
      </x:c>
      <x:c r="F10" s="47" t="str">
        <x:v>19714116adaa0294db8a184b8f2a6a3d4c57cb5099483c5547434b03f664d2c7</x:v>
      </x:c>
      <x:c r="G10" s="59" t="n">
        <x:v>1476</x:v>
      </x:c>
    </x:row>
    <x:row r="11">
      <x:c r="A11" s="47" t="str">
        <x:v>RUN-TRF-048-20260830T180055974157Z</x:v>
      </x:c>
      <x:c r="B11" s="47" t="str">
        <x:v>TRF-048</x:v>
      </x:c>
      <x:c r="C11" s="59" t="n">
        <x:v>1</x:v>
      </x:c>
      <x:c r="D11" s="47" t="str">
        <x:v>validator_prompt</x:v>
      </x:c>
      <x:c r="E11" s="48" t="str">
        <x:v>artifacts/attempt_01/validator_prompt_01.txt</x:v>
      </x:c>
      <x:c r="F11" s="47" t="str">
        <x:v>de94ece97e45094f3b91c0977bdc82dbd90b31aa6ac1cbec4cabb99b140cf513</x:v>
      </x:c>
      <x:c r="G11" s="59" t="n">
        <x:v>67195</x:v>
      </x:c>
    </x:row>
    <x:row r="12">
      <x:c r="A12" s="47" t="str">
        <x:v>RUN-TRF-048-20260830T180055974157Z</x:v>
      </x:c>
      <x:c r="B12" s="47" t="str">
        <x:v>TRF-048</x:v>
      </x:c>
      <x:c r="C12" s="59" t="n">
        <x:v>1</x:v>
      </x:c>
      <x:c r="D12" s="47" t="str">
        <x:v>validator_raw_response</x:v>
      </x:c>
      <x:c r="E12" s="48" t="str">
        <x:v>artifacts/attempt_01/validator_raw_01.txt</x:v>
      </x:c>
      <x:c r="F12" s="47" t="str">
        <x:v>19c331ae65757ca98d93eda7a4a40baa316db9ea0bf4bef125d277a4b8c6aefa</x:v>
      </x:c>
      <x:c r="G12" s="59" t="n">
        <x:v>925</x:v>
      </x:c>
    </x:row>
    <x:row r="13">
      <x:c r="A13" s="47" t="str">
        <x:v>RUN-TRF-048-20260830T180055974157Z</x:v>
      </x:c>
      <x:c r="B13" s="47" t="str">
        <x:v>TRF-048</x:v>
      </x:c>
      <x:c r="C13" s="59" t="n">
        <x:v>2</x:v>
      </x:c>
      <x:c r="D13" s="47" t="str">
        <x:v>generator_prompt</x:v>
      </x:c>
      <x:c r="E13" s="48" t="str">
        <x:v>artifacts/attempt_02/generator_prompt.txt</x:v>
      </x:c>
      <x:c r="F13" s="47" t="str">
        <x:v>777bba2f2db732200aed4432fbeb16225e7c47626768ecd184e68f4b4563c4fe</x:v>
      </x:c>
      <x:c r="G13" s="59" t="n">
        <x:v>59358</x:v>
      </x:c>
    </x:row>
    <x:row r="14">
      <x:c r="A14" s="47" t="str">
        <x:v>RUN-TRF-048-20260830T180055974157Z</x:v>
      </x:c>
      <x:c r="B14" s="47" t="str">
        <x:v>TRF-048</x:v>
      </x:c>
      <x:c r="C14" s="59" t="n">
        <x:v>2</x:v>
      </x:c>
      <x:c r="D14" s="47" t="str">
        <x:v>generator_raw_response</x:v>
      </x:c>
      <x:c r="E14" s="48" t="str">
        <x:v>artifacts/attempt_02/generator_raw.txt</x:v>
      </x:c>
      <x:c r="F14" s="47" t="str">
        <x:v>e17fa734a325da62fbc235799a8c078e3b3d6d3e2ae8dc2c90400ec995b35e20</x:v>
      </x:c>
      <x:c r="G14" s="59" t="n">
        <x:v>9413</x:v>
      </x:c>
    </x:row>
    <x:row r="15">
      <x:c r="A15" s="47" t="str">
        <x:v>RUN-TRF-048-20260830T180055974157Z</x:v>
      </x:c>
      <x:c r="B15" s="47" t="str">
        <x:v>TRF-048</x:v>
      </x:c>
      <x:c r="C15" s="59" t="n">
        <x:v>2</x:v>
      </x:c>
      <x:c r="D15" s="47" t="str">
        <x:v>candidate_shape</x:v>
      </x:c>
      <x:c r="E15" s="48" t="str">
        <x:v>artifacts/attempt_02/candidate_shape.ttl</x:v>
      </x:c>
      <x:c r="F15" s="47" t="str">
        <x:v>c58002737dcddd507978c58b6495d817e14ffb62a52a4bdbf1cec8793ad681cf</x:v>
      </x:c>
      <x:c r="G15" s="59" t="n">
        <x:v>9388</x:v>
      </x:c>
    </x:row>
    <x:row r="16">
      <x:c r="A16" s="47" t="str">
        <x:v>RUN-TRF-048-20260830T180055974157Z</x:v>
      </x:c>
      <x:c r="B16" s="47" t="str">
        <x:v>TRF-048</x:v>
      </x:c>
      <x:c r="C16" s="59" t="n">
        <x:v>2</x:v>
      </x:c>
      <x:c r="D16" s="47" t="str">
        <x:v>deterministic_validation</x:v>
      </x:c>
      <x:c r="E16" s="48" t="str">
        <x:v>artifacts/attempt_02/deterministic_validation.json</x:v>
      </x:c>
      <x:c r="F16" s="47" t="str">
        <x:v>c94d58a709f91f66cf94d23471c3e1d90948f9629abb2c9573c13a8e6f79d763</x:v>
      </x:c>
      <x:c r="G16" s="59" t="n">
        <x:v>1349</x:v>
      </x:c>
    </x:row>
    <x:row r="17">
      <x:c r="A17" s="47" t="str">
        <x:v>RUN-TRF-048-20260830T180055974157Z</x:v>
      </x:c>
      <x:c r="B17" s="47" t="str">
        <x:v>TRF-048</x:v>
      </x:c>
      <x:c r="C17" s="59" t="n">
        <x:v>2</x:v>
      </x:c>
      <x:c r="D17" s="47" t="str">
        <x:v>validator_prompt</x:v>
      </x:c>
      <x:c r="E17" s="48" t="str">
        <x:v>artifacts/attempt_02/validator_prompt_01.txt</x:v>
      </x:c>
      <x:c r="F17" s="47" t="str">
        <x:v>2a460a5962efedc3f3eda0532bfccd9ff1d054dd0429a523d0b1965a63a861a4</x:v>
      </x:c>
      <x:c r="G17" s="59" t="n">
        <x:v>66978</x:v>
      </x:c>
    </x:row>
    <x:row r="18">
      <x:c r="A18" s="47" t="str">
        <x:v>RUN-TRF-048-20260830T180055974157Z</x:v>
      </x:c>
      <x:c r="B18" s="47" t="str">
        <x:v>TRF-048</x:v>
      </x:c>
      <x:c r="C18" s="59" t="n">
        <x:v>2</x:v>
      </x:c>
      <x:c r="D18" s="47" t="str">
        <x:v>validator_raw_response</x:v>
      </x:c>
      <x:c r="E18" s="48" t="str">
        <x:v>artifacts/attempt_02/validator_raw_01.txt</x:v>
      </x:c>
      <x:c r="F18" s="47" t="str">
        <x:v>f836fa2b06841983076a5c26bc101ba99a489651e509ef860d6cfa8cdb653e34</x:v>
      </x:c>
      <x:c r="G18" s="59" t="n">
        <x:v>976</x:v>
      </x:c>
    </x:row>
    <x:row r="19">
      <x:c r="A19" s="47" t="str">
        <x:v>RUN-TRF-048-20260830T180055974157Z</x:v>
      </x:c>
      <x:c r="B19" s="47" t="str">
        <x:v>TRF-048</x:v>
      </x:c>
      <x:c r="C19" s="59" t="n">
        <x:v>3</x:v>
      </x:c>
      <x:c r="D19" s="47" t="str">
        <x:v>generator_prompt</x:v>
      </x:c>
      <x:c r="E19" s="48" t="str">
        <x:v>artifacts/attempt_03/generator_prompt.txt</x:v>
      </x:c>
      <x:c r="F19" s="47" t="str">
        <x:v>5bd7584e714fbb3a32bc4761494a7f89b99eda04f0a943a1ee753ee4790e6c9e</x:v>
      </x:c>
      <x:c r="G19" s="59" t="n">
        <x:v>60277</x:v>
      </x:c>
    </x:row>
    <x:row r="20">
      <x:c r="A20" s="47" t="str">
        <x:v>RUN-TRF-048-20260830T180055974157Z</x:v>
      </x:c>
      <x:c r="B20" s="47" t="str">
        <x:v>TRF-048</x:v>
      </x:c>
      <x:c r="C20" s="59" t="n">
        <x:v>3</x:v>
      </x:c>
      <x:c r="D20" s="47" t="str">
        <x:v>generator_raw_response</x:v>
      </x:c>
      <x:c r="E20" s="48" t="str">
        <x:v>artifacts/attempt_03/generator_raw.txt</x:v>
      </x:c>
      <x:c r="F20" s="47" t="str">
        <x:v>de195bd324c8ac85e37e89982b24b4e01ecc25bae0f03ae33c03301928c1763d</x:v>
      </x:c>
      <x:c r="G20" s="59" t="n">
        <x:v>9960</x:v>
      </x:c>
    </x:row>
    <x:row r="21">
      <x:c r="A21" s="47" t="str">
        <x:v>RUN-TRF-048-20260830T180055974157Z</x:v>
      </x:c>
      <x:c r="B21" s="47" t="str">
        <x:v>TRF-048</x:v>
      </x:c>
      <x:c r="C21" s="59" t="n">
        <x:v>3</x:v>
      </x:c>
      <x:c r="D21" s="47" t="str">
        <x:v>candidate_shape</x:v>
      </x:c>
      <x:c r="E21" s="48" t="str">
        <x:v>artifacts/attempt_03/candidate_shape.ttl</x:v>
      </x:c>
      <x:c r="F21" s="47" t="str">
        <x:v>9eb13971a1cbfce348b4b09db20463ea2dc38017ea6e106f322e6288a81d0994</x:v>
      </x:c>
      <x:c r="G21" s="59" t="n">
        <x:v>9935</x:v>
      </x:c>
    </x:row>
    <x:row r="22">
      <x:c r="A22" s="47" t="str">
        <x:v>RUN-TRF-048-20260830T180055974157Z</x:v>
      </x:c>
      <x:c r="B22" s="47" t="str">
        <x:v>TRF-048</x:v>
      </x:c>
      <x:c r="C22" s="59" t="n">
        <x:v>3</x:v>
      </x:c>
      <x:c r="D22" s="47" t="str">
        <x:v>deterministic_validation</x:v>
      </x:c>
      <x:c r="E22" s="48" t="str">
        <x:v>artifacts/attempt_03/deterministic_validation.json</x:v>
      </x:c>
      <x:c r="F22" s="47" t="str">
        <x:v>c94d58a709f91f66cf94d23471c3e1d90948f9629abb2c9573c13a8e6f79d763</x:v>
      </x:c>
      <x:c r="G22" s="59" t="n">
        <x:v>1349</x:v>
      </x:c>
    </x:row>
    <x:row r="23">
      <x:c r="A23" s="47" t="str">
        <x:v>RUN-TRF-048-20260830T180055974157Z</x:v>
      </x:c>
      <x:c r="B23" s="47" t="str">
        <x:v>TRF-048</x:v>
      </x:c>
      <x:c r="C23" s="59" t="n">
        <x:v>3</x:v>
      </x:c>
      <x:c r="D23" s="47" t="str">
        <x:v>validator_prompt</x:v>
      </x:c>
      <x:c r="E23" s="48" t="str">
        <x:v>artifacts/attempt_03/validator_prompt_01.txt</x:v>
      </x:c>
      <x:c r="F23" s="47" t="str">
        <x:v>e75aefbbe27e531525bba2957f4bf1bc4752fd723efab28345a95e6e4033e14d</x:v>
      </x:c>
      <x:c r="G23" s="59" t="n">
        <x:v>68434</x:v>
      </x:c>
    </x:row>
    <x:row r="24">
      <x:c r="A24" s="47" t="str">
        <x:v>RUN-TRF-048-20260830T180055974157Z</x:v>
      </x:c>
      <x:c r="B24" s="47" t="str">
        <x:v>TRF-048</x:v>
      </x:c>
      <x:c r="C24" s="59" t="n">
        <x:v>3</x:v>
      </x:c>
      <x:c r="D24" s="47" t="str">
        <x:v>validator_raw_response</x:v>
      </x:c>
      <x:c r="E24" s="48" t="str">
        <x:v>artifacts/attempt_03/validator_raw_01.txt</x:v>
      </x:c>
      <x:c r="F24" s="47" t="str">
        <x:v>4d597d37c2a5600065c37d27e9be2365e64c0cdc295eabd842c869bee13cfb5b</x:v>
      </x:c>
      <x:c r="G24" s="59" t="n">
        <x:v>568</x:v>
      </x:c>
    </x:row>
    <x:row r="25">
      <x:c r="A25" s="49" t="str">
        <x:v>RUN-TRF-048-20260830T180055974157Z</x:v>
      </x:c>
      <x:c r="B25" s="49" t="str">
        <x:v>TRF-048</x:v>
      </x:c>
      <x:c r="C25" s="60" t="n">
        <x:v>3</x:v>
      </x:c>
      <x:c r="D25" s="49" t="str">
        <x:v>final_accepted_shape</x:v>
      </x:c>
      <x:c r="E25" s="50" t="str">
        <x:v>final/final_shape.ttl</x:v>
      </x:c>
      <x:c r="F25" s="49" t="str">
        <x:v>9eb13971a1cbfce348b4b09db20463ea2dc38017ea6e106f322e6288a81d0994</x:v>
      </x:c>
      <x:c r="G25" s="60" t="n">
        <x:v>9935</x:v>
      </x:c>
    </x:row>
  </x:sheetData>
  <x:pageMargins left="0.7" right="0.7" top="0.75" bottom="0.75" header="0.3" footer="0.3"/>
  <x:tableParts count="1">
    <x:tablePart xmlns:r="http://schemas.openxmlformats.org/officeDocument/2006/relationships" r:id="R139d5b1a73ce4e5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RUN-TRF-048-20260830T180055974157Z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RUN-TRF-048-20260830T180055974157Z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RUN-TRF-048-20260830T180055974157Z</x:v>
      </x:c>
      <x:c r="B5" s="69" t="str">
        <x:v>TRF-048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f8bf2f1a6ba4447"/>
  </x:tableParts>
</x:worksheet>
</file>