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798293b23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1c2c382a8045e3"/>
    <x:sheet xmlns:r="http://schemas.openxmlformats.org/officeDocument/2006/relationships" name="README" sheetId="2" r:id="Rddccde1849dc447c"/>
    <x:sheet xmlns:r="http://schemas.openxmlformats.org/officeDocument/2006/relationships" name="REGULATION_QUEUE" sheetId="3" r:id="R0d4cd1a3841f4779"/>
    <x:sheet xmlns:r="http://schemas.openxmlformats.org/officeDocument/2006/relationships" name="RUNS" sheetId="4" r:id="R512a5ce3b0574297"/>
    <x:sheet xmlns:r="http://schemas.openxmlformats.org/officeDocument/2006/relationships" name="ITERATIONS" sheetId="5" r:id="Rfa46732aa0c24c1b"/>
    <x:sheet xmlns:r="http://schemas.openxmlformats.org/officeDocument/2006/relationships" name="API_CALLS" sheetId="6" r:id="Re87d71e9cfb74746"/>
    <x:sheet xmlns:r="http://schemas.openxmlformats.org/officeDocument/2006/relationships" name="TERM_RETRIEVAL" sheetId="7" r:id="R61d19d5280f049cd"/>
    <x:sheet xmlns:r="http://schemas.openxmlformats.org/officeDocument/2006/relationships" name="FEW_SHOT_SELECTION" sheetId="8" r:id="R01846de4d2c44b2c"/>
    <x:sheet xmlns:r="http://schemas.openxmlformats.org/officeDocument/2006/relationships" name="VALIDATION" sheetId="9" r:id="R01ebcc5f73e74be3"/>
    <x:sheet xmlns:r="http://schemas.openxmlformats.org/officeDocument/2006/relationships" name="VOCAB_MATCHES" sheetId="10" r:id="R42b89dcd3fa744bb"/>
    <x:sheet xmlns:r="http://schemas.openxmlformats.org/officeDocument/2006/relationships" name="ARTIFACTS" sheetId="11" r:id="R9eb8e64e7ae94329"/>
    <x:sheet xmlns:r="http://schemas.openxmlformats.org/officeDocument/2006/relationships" name="UNRESOLVED" sheetId="12" r:id="R8867b2e83d884988"/>
    <x:sheet xmlns:r="http://schemas.openxmlformats.org/officeDocument/2006/relationships" name="RDF_TEST_QUEUE" sheetId="13" r:id="R11b286958b4d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d33a1aeed4cc8" /><Relationship Type="http://schemas.openxmlformats.org/officeDocument/2006/relationships/theme" Target="/xl/theme/theme1.xml" Id="R137d1d3824d5430a" /><Relationship Type="http://schemas.microsoft.com/office/2022/11/relationships/FeaturePropertyBag" Target="/xl/featurePropertyBag/featurePropertyBag.xml" Id="R01aa94bb58694c99" /><Relationship Type="http://schemas.openxmlformats.org/officeDocument/2006/relationships/sharedStrings" Target="/xl/sharedStrings.xml" Id="R7e5387627a2f45fe" /><Relationship Type="http://schemas.openxmlformats.org/officeDocument/2006/relationships/worksheet" Target="/xl/worksheets/sheet1.xml" Id="R461c2c382a8045e3" /><Relationship Type="http://schemas.openxmlformats.org/officeDocument/2006/relationships/worksheet" Target="/xl/worksheets/sheet2.xml" Id="Rddccde1849dc447c" /><Relationship Type="http://schemas.openxmlformats.org/officeDocument/2006/relationships/worksheet" Target="/xl/worksheets/sheet3.xml" Id="R0d4cd1a3841f4779" /><Relationship Type="http://schemas.openxmlformats.org/officeDocument/2006/relationships/worksheet" Target="/xl/worksheets/sheet4.xml" Id="R512a5ce3b0574297" /><Relationship Type="http://schemas.openxmlformats.org/officeDocument/2006/relationships/worksheet" Target="/xl/worksheets/sheet5.xml" Id="Rfa46732aa0c24c1b" /><Relationship Type="http://schemas.openxmlformats.org/officeDocument/2006/relationships/worksheet" Target="/xl/worksheets/sheet6.xml" Id="Re87d71e9cfb74746" /><Relationship Type="http://schemas.openxmlformats.org/officeDocument/2006/relationships/worksheet" Target="/xl/worksheets/sheet7.xml" Id="R61d19d5280f049cd" /><Relationship Type="http://schemas.openxmlformats.org/officeDocument/2006/relationships/worksheet" Target="/xl/worksheets/sheet8.xml" Id="R01846de4d2c44b2c" /><Relationship Type="http://schemas.openxmlformats.org/officeDocument/2006/relationships/worksheet" Target="/xl/worksheets/sheet9.xml" Id="R01ebcc5f73e74be3" /><Relationship Type="http://schemas.openxmlformats.org/officeDocument/2006/relationships/worksheet" Target="/xl/worksheets/sheet10.xml" Id="R42b89dcd3fa744bb" /><Relationship Type="http://schemas.openxmlformats.org/officeDocument/2006/relationships/worksheet" Target="/xl/worksheets/sheet11.xml" Id="R9eb8e64e7ae94329" /><Relationship Type="http://schemas.openxmlformats.org/officeDocument/2006/relationships/worksheet" Target="/xl/worksheets/sheet12.xml" Id="R8867b2e83d884988" /><Relationship Type="http://schemas.openxmlformats.org/officeDocument/2006/relationships/worksheet" Target="/xl/worksheets/sheet13.xml" Id="R11b286958b4d4d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fb98416dcd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e3d446871949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92ee2aeb2247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0e4002f8b143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22196c378748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1c894125904e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4a225ce64646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741ecd981e45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edfde6c06740c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ac180591acd46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RUN-TRF-059-20260830T181901289163Z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12991.608833333332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RUN-TRF-059-20260830T181901289163Z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fb98416dcd4b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3d446871949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RUN-TRF-059-20260830T181901289163Z</x:v>
      </x:c>
      <x:c r="C5" s="69" t="str">
        <x:v>TRF-059</x:v>
      </x:c>
      <x:c r="D5" s="70" t="n">
        <x:v>46264.763209363424</x:v>
      </x:c>
      <x:c r="E5" s="70" t="n">
        <x:v>46264.764120520835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webFrame, uses the declared operands and result with the supplied datatypes and units, encodes the Table 4-8 ratio/alpha alternatives, and computes the required shear area with the correct unit conversion and expected-value-scaled tolerance. The SPARQL FILTER now correctly reports violations for invalid pairs or excessive formula deviation, preserving the prior repair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2ee2aeb2247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RUN-TRF-059-20260830T181901289163Z</x:v>
      </x:c>
      <x:c r="B5" s="45" t="str">
        <x:v>TRF-059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SPARQL comparison logic: the current FILTER passes when the ratio/alpha pair is invalid or when the calculated area differs from the expected value, creating accidental pass logic. Enforce that freeFlangeToWebAreaRatio and webFrameShearFactorAlpha match one of the Table 4-8 pairs, and reject when requiredShearArea differs from the formula result within the stated tolerance. Keep the tolerance scaled from the expected result.</x:v>
      </x:c>
      <x:c r="I5" s="81" t="n">
        <x:v>19425.158</x:v>
      </x:c>
      <x:c r="J5" s="81" t="n">
        <x:v>4687.627</x:v>
      </x:c>
    </x:row>
    <x:row r="6">
      <x:c r="A6" s="49" t="str">
        <x:v>RUN-TRF-059-20260830T181901289163Z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webFrame, uses the declared operands and result with the supplied datatypes and units, encodes the Table 4-8 ratio/alpha alternatives, and computes the required shear area with the correct unit conversion and expected-value-scaled tolerance. The SPARQL FILTER now correctly reports violations for invalid pairs or excessive formula deviation, preserving the prior repair instruction.</x:v>
      </x:c>
      <x:c r="I6" s="83" t="n">
        <x:v>18976.969</x:v>
      </x:c>
      <x:c r="J6" s="83" t="n">
        <x:v>12980.805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e4002f8b143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RUN-TRF-059-20260830T181901289163Z</x:v>
      </x:c>
      <x:c r="C5" s="45" t="str">
        <x:v>TRF-059</x:v>
      </x:c>
      <x:c r="D5" s="90" t="n">
        <x:v>46264.76343420139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19423.981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RUN-TRF-059-20260830T181901289163Z</x:v>
      </x:c>
      <x:c r="C6" s="47" t="str">
        <x:v>TRF-059</x:v>
      </x:c>
      <x:c r="D6" s="91" t="n">
        <x:v>46264.76343421296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19425.158</x:v>
      </x:c>
      <x:c r="L6" s="93" t="b">
        <x:v>0</x:v>
      </x:c>
      <x:c r="M6" s="47" t="str">
        <x:v>resp_0bd1f76b6dc7cfff006a94741565748193909f159c6cbd64fe</x:v>
      </x:c>
      <x:c r="N6" s="59" t="n">
        <x:v>9211</x:v>
      </x:c>
      <x:c r="O6" s="59" t="n">
        <x:v>2423</x:v>
      </x:c>
      <x:c r="P6" s="59" t="n">
        <x:v>11634</x:v>
      </x:c>
    </x:row>
    <x:row r="7">
      <x:c r="A7" s="47" t="str">
        <x:v>EVT-000027</x:v>
      </x:c>
      <x:c r="B7" s="47" t="str">
        <x:v>RUN-TRF-059-20260830T181901289163Z</x:v>
      </x:c>
      <x:c r="C7" s="47" t="str">
        <x:v>TRF-059</x:v>
      </x:c>
      <x:c r="D7" s="91" t="n">
        <x:v>46264.76357739583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12203.818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RUN-TRF-059-20260830T181901289163Z</x:v>
      </x:c>
      <x:c r="C8" s="47" t="str">
        <x:v>TRF-059</x:v>
      </x:c>
      <x:c r="D8" s="91" t="n">
        <x:v>46264.76357740741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12205.256</x:v>
      </x:c>
      <x:c r="L8" s="93" t="b">
        <x:v>0</x:v>
      </x:c>
      <x:c r="M8" s="47" t="str">
        <x:v>resp_0b293d3f46153d1f006a947428f3e881959f8ace02db60fefd</x:v>
      </x:c>
      <x:c r="N8" s="59" t="n">
        <x:v>2100</x:v>
      </x:c>
      <x:c r="O8" s="59" t="n">
        <x:v>2053</x:v>
      </x:c>
      <x:c r="P8" s="59" t="n">
        <x:v>4153</x:v>
      </x:c>
    </x:row>
    <x:row r="9">
      <x:c r="A9" s="47" t="str">
        <x:v>EVT-000036</x:v>
      </x:c>
      <x:c r="B9" s="47" t="str">
        <x:v>RUN-TRF-059-20260830T181901289163Z</x:v>
      </x:c>
      <x:c r="C9" s="47" t="str">
        <x:v>TRF-059</x:v>
      </x:c>
      <x:c r="D9" s="91" t="n">
        <x:v>46264.7636340625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4686.187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RUN-TRF-059-20260830T181901289163Z</x:v>
      </x:c>
      <x:c r="C10" s="47" t="str">
        <x:v>TRF-059</x:v>
      </x:c>
      <x:c r="D10" s="91" t="n">
        <x:v>46264.76363408565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4687.627</x:v>
      </x:c>
      <x:c r="L10" s="93" t="b">
        <x:v>0</x:v>
      </x:c>
      <x:c r="M10" s="47" t="str">
        <x:v>resp_0632c42da67de882006a947435667881978a97a0c0ff4527d7</x:v>
      </x:c>
      <x:c r="N10" s="59" t="n">
        <x:v>9154</x:v>
      </x:c>
      <x:c r="O10" s="59" t="n">
        <x:v>343</x:v>
      </x:c>
      <x:c r="P10" s="59" t="n">
        <x:v>9497</x:v>
      </x:c>
    </x:row>
    <x:row r="11">
      <x:c r="A11" s="47" t="str">
        <x:v>EVT-000042</x:v>
      </x:c>
      <x:c r="B11" s="47" t="str">
        <x:v>RUN-TRF-059-20260830T181901289163Z</x:v>
      </x:c>
      <x:c r="C11" s="47" t="str">
        <x:v>TRF-059</x:v>
      </x:c>
      <x:c r="D11" s="91" t="n">
        <x:v>46264.76385375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18976.291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RUN-TRF-059-20260830T181901289163Z</x:v>
      </x:c>
      <x:c r="C12" s="47" t="str">
        <x:v>TRF-059</x:v>
      </x:c>
      <x:c r="D12" s="91" t="n">
        <x:v>46264.76385376157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18976.969</x:v>
      </x:c>
      <x:c r="L12" s="93" t="b">
        <x:v>0</x:v>
      </x:c>
      <x:c r="M12" s="47" t="str">
        <x:v>resp_0f390a078de41e60006a94743a16e481909989682351e383fc</x:v>
      </x:c>
      <x:c r="N12" s="59" t="n">
        <x:v>9301</x:v>
      </x:c>
      <x:c r="O12" s="59" t="n">
        <x:v>2329</x:v>
      </x:c>
      <x:c r="P12" s="59" t="n">
        <x:v>11630</x:v>
      </x:c>
    </x:row>
    <x:row r="13">
      <x:c r="A13" s="47" t="str">
        <x:v>EVT-000048</x:v>
      </x:c>
      <x:c r="B13" s="47" t="str">
        <x:v>RUN-TRF-059-20260830T181901289163Z</x:v>
      </x:c>
      <x:c r="C13" s="47" t="str">
        <x:v>TRF-059</x:v>
      </x:c>
      <x:c r="D13" s="91" t="n">
        <x:v>46264.76396755787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9676.586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RUN-TRF-059-20260830T181901289163Z</x:v>
      </x:c>
      <x:c r="C14" s="47" t="str">
        <x:v>TRF-059</x:v>
      </x:c>
      <x:c r="D14" s="91" t="n">
        <x:v>46264.763967569445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9677.523</x:v>
      </x:c>
      <x:c r="L14" s="93" t="b">
        <x:v>0</x:v>
      </x:c>
      <x:c r="M14" s="47" t="str">
        <x:v>resp_0d1203db7e344c42006a94744d2f1c8194bd91ed2913d4a57d</x:v>
      </x:c>
      <x:c r="N14" s="59" t="n">
        <x:v>2079</x:v>
      </x:c>
      <x:c r="O14" s="59" t="n">
        <x:v>1719</x:v>
      </x:c>
      <x:c r="P14" s="59" t="n">
        <x:v>3798</x:v>
      </x:c>
    </x:row>
    <x:row r="15">
      <x:c r="A15" s="47" t="str">
        <x:v>EVT-000057</x:v>
      </x:c>
      <x:c r="B15" s="47" t="str">
        <x:v>RUN-TRF-059-20260830T181901289163Z</x:v>
      </x:c>
      <x:c r="C15" s="47" t="str">
        <x:v>TRF-059</x:v>
      </x:c>
      <x:c r="D15" s="91" t="n">
        <x:v>46264.76412043982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12979.105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RUN-TRF-059-20260830T181901289163Z</x:v>
      </x:c>
      <x:c r="C16" s="49" t="str">
        <x:v>TRF-059</x:v>
      </x:c>
      <x:c r="D16" s="94" t="n">
        <x:v>46264.76412046296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12980.805</x:v>
      </x:c>
      <x:c r="L16" s="82" t="b">
        <x:v>0</x:v>
      </x:c>
      <x:c r="M16" s="49" t="str">
        <x:v>resp_05478b67415a9f44006a94745721c481948163269156d8e303</x:v>
      </x:c>
      <x:c r="N16" s="60" t="n">
        <x:v>9227</x:v>
      </x:c>
      <x:c r="O16" s="60" t="n">
        <x:v>1061</x:v>
      </x:c>
      <x:c r="P16" s="60" t="n">
        <x:v>10288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2196c378748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RUN-TRF-059-20260830T181901289163Z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RUN-TRF-059-20260830T181901289163Z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RUN-TRF-059-20260830T181901289163Z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RUN-TRF-059-20260830T181901289163Z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RUN-TRF-059-20260830T181901289163Z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RUN-TRF-059-20260830T181901289163Z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RUN-TRF-059-20260830T181901289163Z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RUN-TRF-059-20260830T181901289163Z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RUN-TRF-059-20260830T181901289163Z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RUN-TRF-059-20260830T181901289163Z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RUN-TRF-059-20260830T181901289163Z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RUN-TRF-059-20260830T181901289163Z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RUN-TRF-059-20260830T181901289163Z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1c894125904e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RUN-TRF-059-20260830T181901289163Z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RUN-TRF-059-20260830T181901289163Z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RUN-TRF-059-20260830T181901289163Z</x:v>
      </x:c>
      <x:c r="B6" s="49" t="str">
        <x:v>TRF-059</x:v>
      </x:c>
      <x:c r="C6" s="49" t="str">
        <x:v>FS-QTY-01</x:v>
      </x:c>
      <x:c r="D6" s="49" t="str">
        <x:v>qudt_quantity</x:v>
      </x:c>
      <x:c r="E6" s="98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a225ce64646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RUN-TRF-059-20260830T181901289163Z</x:v>
      </x:c>
      <x:c r="B5" s="45" t="str">
        <x:v>TRF-059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46" t="str"/>
      <x:c r="P5" s="46" t="str"/>
      <x:c r="Q5" s="46" t="str"/>
    </x:row>
    <x:row r="6">
      <x:c r="A6" s="49" t="str">
        <x:v>RUN-TRF-059-20260830T181901289163Z</x:v>
      </x:c>
      <x:c r="B6" s="49" t="str">
        <x:v>TRF-059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5741ecd981e45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RUN-TRF-059-20260830T181901289163Z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RUN-TRF-059-20260830T181901289163Z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RUN-TRF-059-20260830T181901289163Z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RUN-TRF-059-20260830T181901289163Z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RUN-TRF-059-20260830T181901289163Z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RUN-TRF-059-20260830T181901289163Z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81cc915f12a1df0a059ca7267247102fd3de0bbab3dd1a4db17deb8e5ba55ba4</x:v>
      </x:c>
      <x:c r="G8" s="59" t="n">
        <x:v>5450</x:v>
      </x:c>
    </x:row>
    <x:row r="9">
      <x:c r="A9" s="47" t="str">
        <x:v>RUN-TRF-059-20260830T181901289163Z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176095adbe6049851363b2a5db223bfda028a46352b0e5ffd187ffbefc1fafa9</x:v>
      </x:c>
      <x:c r="G9" s="59" t="n">
        <x:v>7265</x:v>
      </x:c>
    </x:row>
    <x:row r="10">
      <x:c r="A10" s="47" t="str">
        <x:v>RUN-TRF-059-20260830T181901289163Z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36689b8fdb76e93810341a5c5b552d50a25982d6a49bb1943d615f0ffb56bb8b</x:v>
      </x:c>
      <x:c r="G10" s="59" t="n">
        <x:v>5448</x:v>
      </x:c>
    </x:row>
    <x:row r="11">
      <x:c r="A11" s="47" t="str">
        <x:v>RUN-TRF-059-20260830T181901289163Z</x:v>
      </x:c>
      <x:c r="B11" s="47" t="str">
        <x:v>TRF-059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d1eb0b5dfe55f2638c0bd3a5ba65a8eed97ab095410d2fa47d39e7084be52722</x:v>
      </x:c>
      <x:c r="G11" s="59" t="n">
        <x:v>5423</x:v>
      </x:c>
    </x:row>
    <x:row r="12">
      <x:c r="A12" s="47" t="str">
        <x:v>RUN-TRF-059-20260830T181901289163Z</x:v>
      </x:c>
      <x:c r="B12" s="47" t="str">
        <x:v>TRF-059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c380ab3025b6553f0ad2a0fe8af911d7b8cad5118b228ee18ee12db04e7e4c9c</x:v>
      </x:c>
      <x:c r="G12" s="59" t="n">
        <x:v>718</x:v>
      </x:c>
    </x:row>
    <x:row r="13">
      <x:c r="A13" s="47" t="str">
        <x:v>RUN-TRF-059-20260830T181901289163Z</x:v>
      </x:c>
      <x:c r="B13" s="47" t="str">
        <x:v>TRF-059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2d383c683231519c5f7f95470b205c5352f65887f44a45e062665b8770a7d2ad</x:v>
      </x:c>
      <x:c r="G13" s="59" t="n">
        <x:v>34521</x:v>
      </x:c>
    </x:row>
    <x:row r="14">
      <x:c r="A14" s="47" t="str">
        <x:v>RUN-TRF-059-20260830T181901289163Z</x:v>
      </x:c>
      <x:c r="B14" s="47" t="str">
        <x:v>TRF-059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4b1347ecba37d9507c0d5619f6427d2e7b6d1cecd3c21507d2dd0262f7bf014d</x:v>
      </x:c>
      <x:c r="G14" s="59" t="n">
        <x:v>503</x:v>
      </x:c>
    </x:row>
    <x:row r="15">
      <x:c r="A15" s="47" t="str">
        <x:v>RUN-TRF-059-20260830T181901289163Z</x:v>
      </x:c>
      <x:c r="B15" s="47" t="str">
        <x:v>TRF-059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e7418c3a338bd7057f04fa81bd35b45c10651f6c8209a0f445abec080226534f</x:v>
      </x:c>
      <x:c r="G15" s="59" t="n">
        <x:v>36523</x:v>
      </x:c>
    </x:row>
    <x:row r="16">
      <x:c r="A16" s="47" t="str">
        <x:v>RUN-TRF-059-20260830T181901289163Z</x:v>
      </x:c>
      <x:c r="B16" s="47" t="str">
        <x:v>TRF-059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4ab538bde8b23e18ab87ff4d81ff0db5875f7fd1c8a99441acab29e642bc749f</x:v>
      </x:c>
      <x:c r="G16" s="59" t="n">
        <x:v>5441</x:v>
      </x:c>
    </x:row>
    <x:row r="17">
      <x:c r="A17" s="47" t="str">
        <x:v>RUN-TRF-059-20260830T181901289163Z</x:v>
      </x:c>
      <x:c r="B17" s="47" t="str">
        <x:v>TRF-059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c695b405e2b8ef6c989ab8784d5afe65c6bdc1d271a19fe8a0e5b84fdf92ea6d</x:v>
      </x:c>
      <x:c r="G17" s="59" t="n">
        <x:v>7256</x:v>
      </x:c>
    </x:row>
    <x:row r="18">
      <x:c r="A18" s="47" t="str">
        <x:v>RUN-TRF-059-20260830T181901289163Z</x:v>
      </x:c>
      <x:c r="B18" s="47" t="str">
        <x:v>TRF-059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aa4859ab487dd96de86aad4effb682ec6b99d3c60e5ecd51e75bc3e29621f0e6</x:v>
      </x:c>
      <x:c r="G18" s="59" t="n">
        <x:v>5439</x:v>
      </x:c>
    </x:row>
    <x:row r="19">
      <x:c r="A19" s="47" t="str">
        <x:v>RUN-TRF-059-20260830T181901289163Z</x:v>
      </x:c>
      <x:c r="B19" s="47" t="str">
        <x:v>TRF-059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ef4c92086c61527ebd5615501ad76cf8ab4026fad04f07587e40522d4bf300d2</x:v>
      </x:c>
      <x:c r="G19" s="59" t="n">
        <x:v>5414</x:v>
      </x:c>
    </x:row>
    <x:row r="20">
      <x:c r="A20" s="47" t="str">
        <x:v>RUN-TRF-059-20260830T181901289163Z</x:v>
      </x:c>
      <x:c r="B20" s="47" t="str">
        <x:v>TRF-059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c380ab3025b6553f0ad2a0fe8af911d7b8cad5118b228ee18ee12db04e7e4c9c</x:v>
      </x:c>
      <x:c r="G20" s="59" t="n">
        <x:v>718</x:v>
      </x:c>
    </x:row>
    <x:row r="21">
      <x:c r="A21" s="47" t="str">
        <x:v>RUN-TRF-059-20260830T181901289163Z</x:v>
      </x:c>
      <x:c r="B21" s="47" t="str">
        <x:v>TRF-059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066936908672794ddba408dfe68178cda10ddc819b3cbffebcef296ed5ad0160</x:v>
      </x:c>
      <x:c r="G21" s="59" t="n">
        <x:v>34961</x:v>
      </x:c>
    </x:row>
    <x:row r="22">
      <x:c r="A22" s="47" t="str">
        <x:v>RUN-TRF-059-20260830T181901289163Z</x:v>
      </x:c>
      <x:c r="B22" s="47" t="str">
        <x:v>TRF-059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c33b09e7c87cf9731bee61c7fac8d0e36d606c0d1eaa95779c6bd00be338dc7d</x:v>
      </x:c>
      <x:c r="G22" s="59" t="n">
        <x:v>479</x:v>
      </x:c>
    </x:row>
    <x:row r="23">
      <x:c r="A23" s="49" t="str">
        <x:v>RUN-TRF-059-20260830T181901289163Z</x:v>
      </x:c>
      <x:c r="B23" s="49" t="str">
        <x:v>TRF-059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ef4c92086c61527ebd5615501ad76cf8ab4026fad04f07587e40522d4bf300d2</x:v>
      </x:c>
      <x:c r="G23" s="60" t="n">
        <x:v>5414</x:v>
      </x:c>
    </x:row>
  </x:sheetData>
  <x:pageMargins left="0.7" right="0.7" top="0.75" bottom="0.75" header="0.3" footer="0.3"/>
  <x:tableParts count="1">
    <x:tablePart xmlns:r="http://schemas.openxmlformats.org/officeDocument/2006/relationships" r:id="R2aedfde6c06740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RUN-TRF-059-20260830T181901289163Z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RUN-TRF-059-20260830T181901289163Z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RUN-TRF-059-20260830T181901289163Z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c180591acd4674"/>
  </x:tableParts>
</x:worksheet>
</file>