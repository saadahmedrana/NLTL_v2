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a847b094c43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812ca904bde4ecf"/>
    <x:sheet xmlns:r="http://schemas.openxmlformats.org/officeDocument/2006/relationships" name="README" sheetId="2" r:id="R0b46f4c418a14074"/>
    <x:sheet xmlns:r="http://schemas.openxmlformats.org/officeDocument/2006/relationships" name="REGULATION_QUEUE" sheetId="3" r:id="Rb3439f65817f49ba"/>
    <x:sheet xmlns:r="http://schemas.openxmlformats.org/officeDocument/2006/relationships" name="RUNS" sheetId="4" r:id="Rc7f5a89eb4a04489"/>
    <x:sheet xmlns:r="http://schemas.openxmlformats.org/officeDocument/2006/relationships" name="ITERATIONS" sheetId="5" r:id="R7301ba6e178d47c8"/>
    <x:sheet xmlns:r="http://schemas.openxmlformats.org/officeDocument/2006/relationships" name="API_CALLS" sheetId="6" r:id="R77234d87275a4bb0"/>
    <x:sheet xmlns:r="http://schemas.openxmlformats.org/officeDocument/2006/relationships" name="TERM_RETRIEVAL" sheetId="7" r:id="R7a273dd5fe5a4127"/>
    <x:sheet xmlns:r="http://schemas.openxmlformats.org/officeDocument/2006/relationships" name="FEW_SHOT_SELECTION" sheetId="8" r:id="R5c14d89b5a184b48"/>
    <x:sheet xmlns:r="http://schemas.openxmlformats.org/officeDocument/2006/relationships" name="VALIDATION" sheetId="9" r:id="R993afdbdc6c84626"/>
    <x:sheet xmlns:r="http://schemas.openxmlformats.org/officeDocument/2006/relationships" name="VOCAB_MATCHES" sheetId="10" r:id="R6a9592be862f49d9"/>
    <x:sheet xmlns:r="http://schemas.openxmlformats.org/officeDocument/2006/relationships" name="ARTIFACTS" sheetId="11" r:id="Rf28c24fd96c74c4e"/>
    <x:sheet xmlns:r="http://schemas.openxmlformats.org/officeDocument/2006/relationships" name="UNRESOLVED" sheetId="12" r:id="Rd52a1d5ecef04cf9"/>
    <x:sheet xmlns:r="http://schemas.openxmlformats.org/officeDocument/2006/relationships" name="RDF_TEST_QUEUE" sheetId="13" r:id="R407e6862106846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2651c8f5d94fc5" /><Relationship Type="http://schemas.openxmlformats.org/officeDocument/2006/relationships/theme" Target="/xl/theme/theme1.xml" Id="Rfa8e00574fdc484a" /><Relationship Type="http://schemas.microsoft.com/office/2022/11/relationships/FeaturePropertyBag" Target="/xl/featurePropertyBag/featurePropertyBag.xml" Id="R2a879e401ac44407" /><Relationship Type="http://schemas.openxmlformats.org/officeDocument/2006/relationships/sharedStrings" Target="/xl/sharedStrings.xml" Id="Ra006ec597d7b4ec5" /><Relationship Type="http://schemas.openxmlformats.org/officeDocument/2006/relationships/worksheet" Target="/xl/worksheets/sheet1.xml" Id="R7812ca904bde4ecf" /><Relationship Type="http://schemas.openxmlformats.org/officeDocument/2006/relationships/worksheet" Target="/xl/worksheets/sheet2.xml" Id="R0b46f4c418a14074" /><Relationship Type="http://schemas.openxmlformats.org/officeDocument/2006/relationships/worksheet" Target="/xl/worksheets/sheet3.xml" Id="Rb3439f65817f49ba" /><Relationship Type="http://schemas.openxmlformats.org/officeDocument/2006/relationships/worksheet" Target="/xl/worksheets/sheet4.xml" Id="Rc7f5a89eb4a04489" /><Relationship Type="http://schemas.openxmlformats.org/officeDocument/2006/relationships/worksheet" Target="/xl/worksheets/sheet5.xml" Id="R7301ba6e178d47c8" /><Relationship Type="http://schemas.openxmlformats.org/officeDocument/2006/relationships/worksheet" Target="/xl/worksheets/sheet6.xml" Id="R77234d87275a4bb0" /><Relationship Type="http://schemas.openxmlformats.org/officeDocument/2006/relationships/worksheet" Target="/xl/worksheets/sheet7.xml" Id="R7a273dd5fe5a4127" /><Relationship Type="http://schemas.openxmlformats.org/officeDocument/2006/relationships/worksheet" Target="/xl/worksheets/sheet8.xml" Id="R5c14d89b5a184b48" /><Relationship Type="http://schemas.openxmlformats.org/officeDocument/2006/relationships/worksheet" Target="/xl/worksheets/sheet9.xml" Id="R993afdbdc6c84626" /><Relationship Type="http://schemas.openxmlformats.org/officeDocument/2006/relationships/worksheet" Target="/xl/worksheets/sheet10.xml" Id="R6a9592be862f49d9" /><Relationship Type="http://schemas.openxmlformats.org/officeDocument/2006/relationships/worksheet" Target="/xl/worksheets/sheet11.xml" Id="Rf28c24fd96c74c4e" /><Relationship Type="http://schemas.openxmlformats.org/officeDocument/2006/relationships/worksheet" Target="/xl/worksheets/sheet12.xml" Id="Rd52a1d5ecef04cf9" /><Relationship Type="http://schemas.openxmlformats.org/officeDocument/2006/relationships/worksheet" Target="/xl/worksheets/sheet13.xml" Id="R407e68621068467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319ae168d540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e444b3c9524a0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82e17240fb40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d38fa2b41a4b5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2e230f3a25c41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8e2822901742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f4c9d30b1f4434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9307145507498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340b097ca4a47e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044da0122748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RUN-TRF-084-20260830T184748230293Z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19059.32075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RUN-TRF-084-20260830T184748230293Z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2319ae168d540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RUN-TRF-084-20260830T184748230293Z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GENERATION_ACCEPTED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e444b3c9524a0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RUN-TRF-084-20260830T184748230293Z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RUN-TRF-084-20260830T184748230293Z</x:v>
      </x:c>
      <x:c r="C5" s="69" t="str">
        <x:v>TRF-084</x:v>
      </x:c>
      <x:c r="D5" s="70" t="n">
        <x:v>46264.78319710648</x:v>
      </x:c>
      <x:c r="E5" s="70" t="n">
        <x:v>46264.78364043981</x:v>
      </x:c>
      <x:c r="F5" s="69" t="str">
        <x:v>final-luna-main-run08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the ship, enforces CP applicability and explicit pitch-known branching, requires the declared quantity operands/results with decimal values in metres, and checks the derived 0.7 formula using tolerance scaled from the expected result.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82e17240fb40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RUN-TRF-084-20260830T184748230293Z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RUN-TRF-084-20260830T184748230293Z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the ship, enforces CP applicability and explicit pitch-known branching, requires the declared quantity operands/results with decimal values in metres, and checks the derived 0.7 formula using tolerance scaled from the expected result.</x:v>
      </x:c>
      <x:c r="I5" s="75" t="n">
        <x:v>25344.877</x:v>
      </x:c>
      <x:c r="J5" s="75" t="n">
        <x:v>12775.102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d38fa2b41a4b5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RUN-TRF-084-20260830T184748230293Z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RUN-TRF-084-20260830T184748230293Z</x:v>
      </x:c>
      <x:c r="C5" s="45" t="str">
        <x:v>TRF-084</x:v>
      </x:c>
      <x:c r="D5" s="88" t="n">
        <x:v>46264.78349046296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25343.414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RUN-TRF-084-20260830T184748230293Z</x:v>
      </x:c>
      <x:c r="C6" s="47" t="str">
        <x:v>TRF-084</x:v>
      </x:c>
      <x:c r="D6" s="91" t="n">
        <x:v>46264.78349047454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25344.877</x:v>
      </x:c>
      <x:c r="L6" s="93" t="b">
        <x:v>0</x:v>
      </x:c>
      <x:c r="M6" s="47" t="str">
        <x:v>resp_0657ecd2ad2c6109006a947ad457008194bbdcd20a038997ea</x:v>
      </x:c>
      <x:c r="N6" s="59" t="n">
        <x:v>7346</x:v>
      </x:c>
      <x:c r="O6" s="59" t="n">
        <x:v>2883</x:v>
      </x:c>
      <x:c r="P6" s="59" t="n">
        <x:v>10229</x:v>
      </x:c>
    </x:row>
    <x:row r="7">
      <x:c r="A7" s="47" t="str">
        <x:v>EVT-000024</x:v>
      </x:c>
      <x:c r="B7" s="47" t="str">
        <x:v>RUN-TRF-084-20260830T184748230293Z</x:v>
      </x:c>
      <x:c r="C7" s="47" t="str">
        <x:v>TRF-084</x:v>
      </x:c>
      <x:c r="D7" s="91" t="n">
        <x:v>46264.78364040509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12773.89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RUN-TRF-084-20260830T184748230293Z</x:v>
      </x:c>
      <x:c r="C8" s="49" t="str">
        <x:v>TRF-084</x:v>
      </x:c>
      <x:c r="D8" s="94" t="n">
        <x:v>46264.78364041667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12775.102</x:v>
      </x:c>
      <x:c r="L8" s="96" t="b">
        <x:v>0</x:v>
      </x:c>
      <x:c r="M8" s="49" t="str">
        <x:v>resp_09795345208ba053006a947aedde5481978af7dc14b605e099</x:v>
      </x:c>
      <x:c r="N8" s="60" t="n">
        <x:v>6756</x:v>
      </x:c>
      <x:c r="O8" s="60" t="n">
        <x:v>1029</x:v>
      </x:c>
      <x:c r="P8" s="60" t="n">
        <x:v>7785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2e230f3a25c41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RUN-TRF-084-20260830T184748230293Z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RUN-TRF-084-20260830T184748230293Z</x:v>
      </x:c>
      <x:c r="B5" s="45" t="str">
        <x:v>TRF-084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pitchValueKnown; domain dependency of propellerPitchAtMcrBollard; domain dependency of propellerPitchAtMcrFreeRunning</x:v>
      </x:c>
      <x:c r="J5" s="45" t="n">
        <x:v>0</x:v>
      </x:c>
    </x:row>
    <x:row r="6">
      <x:c r="A6" s="47" t="str">
        <x:v>RUN-TRF-084-20260830T184748230293Z</x:v>
      </x:c>
      <x:c r="B6" s="47" t="str">
        <x:v>TRF-084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RUN-TRF-084-20260830T184748230293Z</x:v>
      </x:c>
      <x:c r="B7" s="47" t="str">
        <x:v>TRF-084</x:v>
      </x:c>
      <x:c r="C7" s="47" t="str">
        <x:v>pitchValueKnown</x:v>
      </x:c>
      <x:c r="D7" s="48" t="str">
        <x:v>https://w3id.org/nltl/vocab#pitchValueKnown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RUN-TRF-084-20260830T184748230293Z</x:v>
      </x:c>
      <x:c r="B8" s="47" t="str">
        <x:v>TRF-084</x:v>
      </x:c>
      <x:c r="C8" s="47" t="str">
        <x:v>propellerPitchAtMcrBollard</x:v>
      </x:c>
      <x:c r="D8" s="48" t="str">
        <x:v>https://w3id.org/nltl/vocab#propellerPitchAtMcrBollard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RUN-TRF-084-20260830T184748230293Z</x:v>
      </x:c>
      <x:c r="B9" s="47" t="str">
        <x:v>TRF-084</x:v>
      </x:c>
      <x:c r="C9" s="47" t="str">
        <x:v>propellerPitchAtMcrFreeRunning</x:v>
      </x:c>
      <x:c r="D9" s="48" t="str">
        <x:v>https://w3id.org/nltl/vocab#propellerPitchAtMcrFreeRunning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RUN-TRF-084-20260830T184748230293Z</x:v>
      </x:c>
      <x:c r="B10" s="47" t="str">
        <x:v>TRF-084</x:v>
      </x:c>
      <x:c r="C10" s="47" t="str">
        <x:v>propellerType</x:v>
      </x:c>
      <x:c r="D10" s="48" t="str">
        <x:v>https://w3id.org/nltl/vocab#propellerType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RUN-TRF-084-20260830T184748230293Z</x:v>
      </x:c>
      <x:c r="B11" s="47" t="str">
        <x:v>TRF-084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RUN-TRF-084-20260830T184748230293Z</x:v>
      </x:c>
      <x:c r="B12" s="49" t="str">
        <x:v>TRF-084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8e2822901742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RUN-TRF-084-20260830T184748230293Z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RUN-TRF-084-20260830T184748230293Z</x:v>
      </x:c>
      <x:c r="B5" s="45" t="str">
        <x:v>TRF-084</x:v>
      </x:c>
      <x:c r="C5" s="45" t="str">
        <x:v>FS-INT-02</x:v>
      </x:c>
      <x:c r="D5" s="45" t="str">
        <x:v>conditional_integrated</x:v>
      </x:c>
      <x:c r="E5" s="99" t="n">
        <x:v>0.081633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RUN-TRF-084-20260830T184748230293Z</x:v>
      </x:c>
      <x:c r="B6" s="49" t="str">
        <x:v>TRF-084</x:v>
      </x:c>
      <x:c r="C6" s="49" t="str">
        <x:v>FS-BOOL-01</x:v>
      </x:c>
      <x:c r="D6" s="49" t="str">
        <x:v>boolean_state</x:v>
      </x:c>
      <x:c r="E6" s="100" t="n">
        <x:v>0.0625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f4c9d30b1f4434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RUN-TRF-084-20260830T184748230293Z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RUN-TRF-084-20260830T184748230293Z</x:v>
      </x:c>
      <x:c r="B5" s="69" t="str">
        <x:v>TRF-084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https://w3id.org/nltl/vocab#pitchValueKnown | https://w3id.org/nltl/vocab#propellerPitchAtMcrBollard | https://w3id.org/nltl/vocab#propellerPitchAtMcrFreeRunning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d9307145507498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RUN-TRF-084-20260830T184748230293Z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RUN-TRF-084-20260830T184748230293Z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RUN-TRF-084-20260830T184748230293Z</x:v>
      </x:c>
      <x:c r="B5" s="45" t="str">
        <x:v>TRF-084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8ff79ed00dcfda414a9f6b222acf19dd888133e27faaf69e3d468344231def52</x:v>
      </x:c>
      <x:c r="G5" s="58" t="n">
        <x:v>12379</x:v>
      </x:c>
    </x:row>
    <x:row r="6">
      <x:c r="A6" s="47" t="str">
        <x:v>RUN-TRF-084-20260830T184748230293Z</x:v>
      </x:c>
      <x:c r="B6" s="47" t="str">
        <x:v>TRF-084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ee8454602c24c1bf9e34ecdd2f29d1d0058b1cf4811e00e025f5c00b2046be3d</x:v>
      </x:c>
      <x:c r="G6" s="59" t="n">
        <x:v>6147</x:v>
      </x:c>
    </x:row>
    <x:row r="7">
      <x:c r="A7" s="47" t="str">
        <x:v>RUN-TRF-084-20260830T184748230293Z</x:v>
      </x:c>
      <x:c r="B7" s="47" t="str">
        <x:v>TRF-084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93cfaab234e7a3f0e6c75fa61f3a8d4634f7aabd2cf8e231570286d805f76e89</x:v>
      </x:c>
      <x:c r="G7" s="59" t="n">
        <x:v>30140</x:v>
      </x:c>
    </x:row>
    <x:row r="8">
      <x:c r="A8" s="47" t="str">
        <x:v>RUN-TRF-084-20260830T184748230293Z</x:v>
      </x:c>
      <x:c r="B8" s="47" t="str">
        <x:v>TRF-084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b826f0bee1b77e1b86205638336b75bc1bb9d74299333d7d6646e15a27b49bb4</x:v>
      </x:c>
      <x:c r="G8" s="59" t="n">
        <x:v>5058</x:v>
      </x:c>
    </x:row>
    <x:row r="9">
      <x:c r="A9" s="47" t="str">
        <x:v>RUN-TRF-084-20260830T184748230293Z</x:v>
      </x:c>
      <x:c r="B9" s="47" t="str">
        <x:v>TRF-084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9457279f66d2d9490034a06f3f9476b4dfe09028a3599d379778d43d288fa3a2</x:v>
      </x:c>
      <x:c r="G9" s="59" t="n">
        <x:v>5033</x:v>
      </x:c>
    </x:row>
    <x:row r="10">
      <x:c r="A10" s="47" t="str">
        <x:v>RUN-TRF-084-20260830T184748230293Z</x:v>
      </x:c>
      <x:c r="B10" s="47" t="str">
        <x:v>TRF-084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40a061e6760c2c056f54eaa73580102faeabe284c290b5b818447321779449da</x:v>
      </x:c>
      <x:c r="G10" s="59" t="n">
        <x:v>657</x:v>
      </x:c>
    </x:row>
    <x:row r="11">
      <x:c r="A11" s="47" t="str">
        <x:v>RUN-TRF-084-20260830T184748230293Z</x:v>
      </x:c>
      <x:c r="B11" s="47" t="str">
        <x:v>TRF-084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b7a5680ac3f26c1fa27127cef8c4ea98fd69afa313f7099787eb70ffaabfe604</x:v>
      </x:c>
      <x:c r="G11" s="59" t="n">
        <x:v>26638</x:v>
      </x:c>
    </x:row>
    <x:row r="12">
      <x:c r="A12" s="47" t="str">
        <x:v>RUN-TRF-084-20260830T184748230293Z</x:v>
      </x:c>
      <x:c r="B12" s="47" t="str">
        <x:v>TRF-084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ee359b40e0e5fa7b2e78ace90ac3f78eb7442dbb28af02457bc895c4279a916f</x:v>
      </x:c>
      <x:c r="G12" s="59" t="n">
        <x:v>382</x:v>
      </x:c>
    </x:row>
    <x:row r="13">
      <x:c r="A13" s="49" t="str">
        <x:v>RUN-TRF-084-20260830T184748230293Z</x:v>
      </x:c>
      <x:c r="B13" s="49" t="str">
        <x:v>TRF-084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9457279f66d2d9490034a06f3f9476b4dfe09028a3599d379778d43d288fa3a2</x:v>
      </x:c>
      <x:c r="G13" s="60" t="n">
        <x:v>5033</x:v>
      </x:c>
    </x:row>
  </x:sheetData>
  <x:pageMargins left="0.7" right="0.7" top="0.75" bottom="0.75" header="0.3" footer="0.3"/>
  <x:tableParts count="1">
    <x:tablePart xmlns:r="http://schemas.openxmlformats.org/officeDocument/2006/relationships" r:id="R6340b097ca4a47e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RUN-TRF-084-20260830T184748230293Z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RUN-TRF-084-20260830T184748230293Z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RUN-TRF-084-20260830T184748230293Z</x:v>
      </x:c>
      <x:c r="B5" s="69" t="str">
        <x:v>TRF-084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044da01227481a"/>
  </x:tableParts>
</x:worksheet>
</file>