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0f57d2c1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3c5d4584214cb6"/>
    <x:sheet xmlns:r="http://schemas.openxmlformats.org/officeDocument/2006/relationships" name="README" sheetId="2" r:id="R98b43eb86def48a8"/>
    <x:sheet xmlns:r="http://schemas.openxmlformats.org/officeDocument/2006/relationships" name="REGULATION_QUEUE" sheetId="3" r:id="R55f859edc889415a"/>
    <x:sheet xmlns:r="http://schemas.openxmlformats.org/officeDocument/2006/relationships" name="RUNS" sheetId="4" r:id="Rb131d101c4df40f4"/>
    <x:sheet xmlns:r="http://schemas.openxmlformats.org/officeDocument/2006/relationships" name="ITERATIONS" sheetId="5" r:id="R315188fe614e4297"/>
    <x:sheet xmlns:r="http://schemas.openxmlformats.org/officeDocument/2006/relationships" name="API_CALLS" sheetId="6" r:id="R8bc80ebe4ee140ec"/>
    <x:sheet xmlns:r="http://schemas.openxmlformats.org/officeDocument/2006/relationships" name="TERM_RETRIEVAL" sheetId="7" r:id="R525f377b028a4980"/>
    <x:sheet xmlns:r="http://schemas.openxmlformats.org/officeDocument/2006/relationships" name="FEW_SHOT_SELECTION" sheetId="8" r:id="Re387f433bc1d4bcd"/>
    <x:sheet xmlns:r="http://schemas.openxmlformats.org/officeDocument/2006/relationships" name="VALIDATION" sheetId="9" r:id="R6db3cea77d4040d5"/>
    <x:sheet xmlns:r="http://schemas.openxmlformats.org/officeDocument/2006/relationships" name="VOCAB_MATCHES" sheetId="10" r:id="R3c58308e69324eda"/>
    <x:sheet xmlns:r="http://schemas.openxmlformats.org/officeDocument/2006/relationships" name="ARTIFACTS" sheetId="11" r:id="R8bfab002250348a6"/>
    <x:sheet xmlns:r="http://schemas.openxmlformats.org/officeDocument/2006/relationships" name="UNRESOLVED" sheetId="12" r:id="Rd1508b62dd874854"/>
    <x:sheet xmlns:r="http://schemas.openxmlformats.org/officeDocument/2006/relationships" name="RDF_TEST_QUEUE" sheetId="13" r:id="R95d7e37553fb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a016579234d6f" /><Relationship Type="http://schemas.openxmlformats.org/officeDocument/2006/relationships/theme" Target="/xl/theme/theme1.xml" Id="R062489941ecd4963" /><Relationship Type="http://schemas.microsoft.com/office/2022/11/relationships/FeaturePropertyBag" Target="/xl/featurePropertyBag/featurePropertyBag.xml" Id="R615e5ea674be4826" /><Relationship Type="http://schemas.openxmlformats.org/officeDocument/2006/relationships/sharedStrings" Target="/xl/sharedStrings.xml" Id="Re875b2146a5b4923" /><Relationship Type="http://schemas.openxmlformats.org/officeDocument/2006/relationships/worksheet" Target="/xl/worksheets/sheet1.xml" Id="R743c5d4584214cb6" /><Relationship Type="http://schemas.openxmlformats.org/officeDocument/2006/relationships/worksheet" Target="/xl/worksheets/sheet2.xml" Id="R98b43eb86def48a8" /><Relationship Type="http://schemas.openxmlformats.org/officeDocument/2006/relationships/worksheet" Target="/xl/worksheets/sheet3.xml" Id="R55f859edc889415a" /><Relationship Type="http://schemas.openxmlformats.org/officeDocument/2006/relationships/worksheet" Target="/xl/worksheets/sheet4.xml" Id="Rb131d101c4df40f4" /><Relationship Type="http://schemas.openxmlformats.org/officeDocument/2006/relationships/worksheet" Target="/xl/worksheets/sheet5.xml" Id="R315188fe614e4297" /><Relationship Type="http://schemas.openxmlformats.org/officeDocument/2006/relationships/worksheet" Target="/xl/worksheets/sheet6.xml" Id="R8bc80ebe4ee140ec" /><Relationship Type="http://schemas.openxmlformats.org/officeDocument/2006/relationships/worksheet" Target="/xl/worksheets/sheet7.xml" Id="R525f377b028a4980" /><Relationship Type="http://schemas.openxmlformats.org/officeDocument/2006/relationships/worksheet" Target="/xl/worksheets/sheet8.xml" Id="Re387f433bc1d4bcd" /><Relationship Type="http://schemas.openxmlformats.org/officeDocument/2006/relationships/worksheet" Target="/xl/worksheets/sheet9.xml" Id="R6db3cea77d4040d5" /><Relationship Type="http://schemas.openxmlformats.org/officeDocument/2006/relationships/worksheet" Target="/xl/worksheets/sheet10.xml" Id="R3c58308e69324eda" /><Relationship Type="http://schemas.openxmlformats.org/officeDocument/2006/relationships/worksheet" Target="/xl/worksheets/sheet11.xml" Id="R8bfab002250348a6" /><Relationship Type="http://schemas.openxmlformats.org/officeDocument/2006/relationships/worksheet" Target="/xl/worksheets/sheet12.xml" Id="Rd1508b62dd874854" /><Relationship Type="http://schemas.openxmlformats.org/officeDocument/2006/relationships/worksheet" Target="/xl/worksheets/sheet13.xml" Id="R95d7e37553fb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5812a0d494c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df1fa0dcc34f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f2e84ca5ae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bea4aaba1341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2e98902b746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63e6c5740c4e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b7e7fbec894a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79b41cdf2149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b074afa6d04c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376d4cc1c3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RUN-TRF-132-20260830T192432947467Z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13935.128375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RUN-TRF-132-20260830T192432947467Z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f5812a0d494c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f1fa0dcc34f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RUN-TRF-132-20260830T192432947467Z</x:v>
      </x:c>
      <x:c r="C5" s="69" t="str">
        <x:v>TRF-132</x:v>
      </x:c>
      <x:c r="D5" s="70" t="n">
        <x:v>46264.80871467593</x:v>
      </x:c>
      <x:c r="E5" s="70" t="n">
        <x:v>46264.80936519676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applicability, controlled ice-class values, required formula operands, units declared by canonical metadata, formula direction, inclusive 740 kW lower bound for IB and IC, and expected-result-scaled tolerance. The prior ABS and undeclared-datatype issues are corrected;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2e84ca5ae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RUN-TRF-132-20260830T192432947467Z</x:v>
      </x:c>
      <x:c r="B5" s="45" t="str">
        <x:v>TRF-132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DIRECT_CALCULATION query to use only permitted arithmetic: replace ABS(?expected) with a bounded piecewise expression (or an otherwise permitted equivalent) for the absolute expected-result scale; bare ABS is not allowed. Also remove any guessed xsd:decimal datatype constraints unless the canonical metadata explicitly declares that datatype; the supplied canonical quantity terms declare no datatype. Preserve the ship owner, formula operands, applicability by iceClass, inclusive 740 kW lower-bound violation test, and tolerance scaled from the expected formula result.</x:v>
      </x:c>
      <x:c r="I5" s="81" t="n">
        <x:v>17796.142</x:v>
      </x:c>
      <x:c r="J5" s="81" t="n">
        <x:v>12773.071</x:v>
      </x:c>
    </x:row>
    <x:row r="6">
      <x:c r="A6" s="49" t="str">
        <x:v>RUN-TRF-132-20260830T192432947467Z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applicability, controlled ice-class values, required formula operands, units declared by canonical metadata, formula direction, inclusive 740 kW lower bound for IB and IC, and expected-result-scaled tolerance. The prior ABS and undeclared-datatype issues are corrected; deterministic validation is valid.</x:v>
      </x:c>
      <x:c r="I6" s="83" t="n">
        <x:v>19800.468</x:v>
      </x:c>
      <x:c r="J6" s="83" t="n">
        <x:v>5373.69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ea4aaba1341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RUN-TRF-132-20260830T192432947467Z</x:v>
      </x:c>
      <x:c r="C5" s="45" t="str">
        <x:v>TRF-132</x:v>
      </x:c>
      <x:c r="D5" s="90" t="n">
        <x:v>46264.80892065972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17794.517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RUN-TRF-132-20260830T192432947467Z</x:v>
      </x:c>
      <x:c r="C6" s="47" t="str">
        <x:v>TRF-132</x:v>
      </x:c>
      <x:c r="D6" s="91" t="n">
        <x:v>46264.80892068287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17796.142</x:v>
      </x:c>
      <x:c r="L6" s="93" t="b">
        <x:v>0</x:v>
      </x:c>
      <x:c r="M6" s="47" t="str">
        <x:v>resp_0686ff3450671bb1006a94837150788197bce3b7a8984bcc53</x:v>
      </x:c>
      <x:c r="N6" s="59" t="n">
        <x:v>9959</x:v>
      </x:c>
      <x:c r="O6" s="59" t="n">
        <x:v>2676</x:v>
      </x:c>
      <x:c r="P6" s="59" t="n">
        <x:v>12635</x:v>
      </x:c>
    </x:row>
    <x:row r="7">
      <x:c r="A7" s="47" t="str">
        <x:v>EVT-000035</x:v>
      </x:c>
      <x:c r="B7" s="47" t="str">
        <x:v>RUN-TRF-132-20260830T192432947467Z</x:v>
      </x:c>
      <x:c r="C7" s="47" t="str">
        <x:v>TRF-132</x:v>
      </x:c>
      <x:c r="D7" s="91" t="n">
        <x:v>46264.80907099537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12771.926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RUN-TRF-132-20260830T192432947467Z</x:v>
      </x:c>
      <x:c r="C8" s="47" t="str">
        <x:v>TRF-132</x:v>
      </x:c>
      <x:c r="D8" s="91" t="n">
        <x:v>46264.80907101852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12773.071</x:v>
      </x:c>
      <x:c r="L8" s="93" t="b">
        <x:v>0</x:v>
      </x:c>
      <x:c r="M8" s="47" t="str">
        <x:v>resp_0803290b77c73b4d006a94838317148196ae7bc5d6d191045a</x:v>
      </x:c>
      <x:c r="N8" s="59" t="n">
        <x:v>10889</x:v>
      </x:c>
      <x:c r="O8" s="59" t="n">
        <x:v>1159</x:v>
      </x:c>
      <x:c r="P8" s="59" t="n">
        <x:v>12048</x:v>
      </x:c>
    </x:row>
    <x:row r="9">
      <x:c r="A9" s="47" t="str">
        <x:v>EVT-000041</x:v>
      </x:c>
      <x:c r="B9" s="47" t="str">
        <x:v>RUN-TRF-132-20260830T192432947467Z</x:v>
      </x:c>
      <x:c r="C9" s="47" t="str">
        <x:v>TRF-132</x:v>
      </x:c>
      <x:c r="D9" s="91" t="n">
        <x:v>46264.80930023148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19799.091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RUN-TRF-132-20260830T192432947467Z</x:v>
      </x:c>
      <x:c r="C10" s="47" t="str">
        <x:v>TRF-132</x:v>
      </x:c>
      <x:c r="D10" s="91" t="n">
        <x:v>46264.80930025463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19800.468</x:v>
      </x:c>
      <x:c r="L10" s="93" t="b">
        <x:v>0</x:v>
      </x:c>
      <x:c r="M10" s="47" t="str">
        <x:v>resp_0d99f68ccccdcc45006a94838fde4c8193991651b9657d6138</x:v>
      </x:c>
      <x:c r="N10" s="59" t="n">
        <x:v>10063</x:v>
      </x:c>
      <x:c r="O10" s="59" t="n">
        <x:v>3034</x:v>
      </x:c>
      <x:c r="P10" s="59" t="n">
        <x:v>13097</x:v>
      </x:c>
    </x:row>
    <x:row r="11">
      <x:c r="A11" s="47" t="str">
        <x:v>EVT-000049</x:v>
      </x:c>
      <x:c r="B11" s="47" t="str">
        <x:v>RUN-TRF-132-20260830T192432947467Z</x:v>
      </x:c>
      <x:c r="C11" s="47" t="str">
        <x:v>TRF-132</x:v>
      </x:c>
      <x:c r="D11" s="91" t="n">
        <x:v>46264.80936511574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5372.122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RUN-TRF-132-20260830T192432947467Z</x:v>
      </x:c>
      <x:c r="C12" s="49" t="str">
        <x:v>TRF-132</x:v>
      </x:c>
      <x:c r="D12" s="94" t="n">
        <x:v>46264.80936513889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5373.69</x:v>
      </x:c>
      <x:c r="L12" s="82" t="b">
        <x:v>0</x:v>
      </x:c>
      <x:c r="M12" s="49" t="str">
        <x:v>resp_041daae28b58418e006a9483a3e80c819399e105a15e26381f</x:v>
      </x:c>
      <x:c r="N12" s="60" t="n">
        <x:v>11181</x:v>
      </x:c>
      <x:c r="O12" s="60" t="n">
        <x:v>491</x:v>
      </x:c>
      <x:c r="P12" s="60" t="n">
        <x:v>11672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2e98902b746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RUN-TRF-132-20260830T192432947467Z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RUN-TRF-132-20260830T192432947467Z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RUN-TRF-132-20260830T192432947467Z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RUN-TRF-132-20260830T192432947467Z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RUN-TRF-132-20260830T192432947467Z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RUN-TRF-132-20260830T192432947467Z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RUN-TRF-132-20260830T192432947467Z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RUN-TRF-132-20260830T192432947467Z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RUN-TRF-132-20260830T192432947467Z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RUN-TRF-132-20260830T192432947467Z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RUN-TRF-132-20260830T192432947467Z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RUN-TRF-132-20260830T192432947467Z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RUN-TRF-132-20260830T192432947467Z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RUN-TRF-132-20260830T192432947467Z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RUN-TRF-132-20260830T192432947467Z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RUN-TRF-132-20260830T192432947467Z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RUN-TRF-132-20260830T192432947467Z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RUN-TRF-132-20260830T192432947467Z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RUN-TRF-132-20260830T192432947467Z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63e6c5740c4e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RUN-TRF-132-20260830T192432947467Z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RUN-TRF-132-20260830T192432947467Z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RUN-TRF-132-20260830T192432947467Z</x:v>
      </x:c>
      <x:c r="B6" s="49" t="str">
        <x:v>TRF-132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b7e7fbec894a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RUN-TRF-132-20260830T192432947467Z</x:v>
      </x:c>
      <x:c r="B5" s="45" t="str">
        <x:v>TRF-132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RUN-TRF-132-20260830T192432947467Z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79b41cdf2149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RUN-TRF-132-20260830T192432947467Z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RUN-TRF-132-20260830T192432947467Z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RUN-TRF-132-20260830T192432947467Z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RUN-TRF-132-20260830T192432947467Z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RUN-TRF-132-20260830T192432947467Z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RUN-TRF-132-20260830T192432947467Z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9cdfc6ffeceb2e12e79f9b1ad44ac863935df0f0aeaf5928be47ac28de055ee1</x:v>
      </x:c>
      <x:c r="G8" s="59" t="n">
        <x:v>6391</x:v>
      </x:c>
    </x:row>
    <x:row r="9">
      <x:c r="A9" s="47" t="str">
        <x:v>RUN-TRF-132-20260830T192432947467Z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f90e630d325770dfacfe303d4e7d4d61cd4d14c83f27661544b69a545e15095b</x:v>
      </x:c>
      <x:c r="G9" s="59" t="n">
        <x:v>6366</x:v>
      </x:c>
    </x:row>
    <x:row r="10">
      <x:c r="A10" s="47" t="str">
        <x:v>RUN-TRF-132-20260830T192432947467Z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dfe8a1308d4b2f5cf25a15bec4b7e39a1aa5e96d1917b17aba7cdea01355870f</x:v>
      </x:c>
      <x:c r="G10" s="59" t="n">
        <x:v>1063</x:v>
      </x:c>
    </x:row>
    <x:row r="11">
      <x:c r="A11" s="47" t="str">
        <x:v>RUN-TRF-132-20260830T192432947467Z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b1ccbe10047d3b62e9b0177869a2bf7e88dc3a41a28a424b866146f0cdfab0a4</x:v>
      </x:c>
      <x:c r="G11" s="59" t="n">
        <x:v>41730</x:v>
      </x:c>
    </x:row>
    <x:row r="12">
      <x:c r="A12" s="47" t="str">
        <x:v>RUN-TRF-132-20260830T192432947467Z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1da729d80a640008aaf0446e6ebface7b25c8a1cf15445f9f98f4c5c57587740</x:v>
      </x:c>
      <x:c r="G12" s="59" t="n">
        <x:v>647</x:v>
      </x:c>
    </x:row>
    <x:row r="13">
      <x:c r="A13" s="47" t="str">
        <x:v>RUN-TRF-132-20260830T192432947467Z</x:v>
      </x:c>
      <x:c r="B13" s="47" t="str">
        <x:v>TRF-132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e84a51ee54383d0af0251cf6871cf52ae867ec950074d23015407b5a2c203fc8</x:v>
      </x:c>
      <x:c r="G13" s="59" t="n">
        <x:v>40590</x:v>
      </x:c>
    </x:row>
    <x:row r="14">
      <x:c r="A14" s="47" t="str">
        <x:v>RUN-TRF-132-20260830T192432947467Z</x:v>
      </x:c>
      <x:c r="B14" s="47" t="str">
        <x:v>TRF-132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294022fa91f64019c683cdd4b513b25c9e3184d7f42a665f45695b528312340e</x:v>
      </x:c>
      <x:c r="G14" s="59" t="n">
        <x:v>5951</x:v>
      </x:c>
    </x:row>
    <x:row r="15">
      <x:c r="A15" s="47" t="str">
        <x:v>RUN-TRF-132-20260830T192432947467Z</x:v>
      </x:c>
      <x:c r="B15" s="47" t="str">
        <x:v>TRF-132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f978a526b2d8004841493eaedf35dcbeba19f1868dee464369e8e7aa568fcb7e</x:v>
      </x:c>
      <x:c r="G15" s="59" t="n">
        <x:v>5926</x:v>
      </x:c>
    </x:row>
    <x:row r="16">
      <x:c r="A16" s="47" t="str">
        <x:v>RUN-TRF-132-20260830T192432947467Z</x:v>
      </x:c>
      <x:c r="B16" s="47" t="str">
        <x:v>TRF-132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61d7fdb0dd79d2d261832e357276e95d3029f34415a7203e49c68e76cc53ef22</x:v>
      </x:c>
      <x:c r="G16" s="59" t="n">
        <x:v>1204</x:v>
      </x:c>
    </x:row>
    <x:row r="17">
      <x:c r="A17" s="47" t="str">
        <x:v>RUN-TRF-132-20260830T192432947467Z</x:v>
      </x:c>
      <x:c r="B17" s="47" t="str">
        <x:v>TRF-132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56eaa6b5ffa0dbc3109cc6b09a30612047d8672444a98a9523b28d5298b2fefa</x:v>
      </x:c>
      <x:c r="G17" s="59" t="n">
        <x:v>42921</x:v>
      </x:c>
    </x:row>
    <x:row r="18">
      <x:c r="A18" s="47" t="str">
        <x:v>RUN-TRF-132-20260830T192432947467Z</x:v>
      </x:c>
      <x:c r="B18" s="47" t="str">
        <x:v>TRF-132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7088de7980a828ad19430b35377c8279c22edcc24c574197388ff7e6c4776ce0</x:v>
      </x:c>
      <x:c r="G18" s="59" t="n">
        <x:v>411</x:v>
      </x:c>
    </x:row>
    <x:row r="19">
      <x:c r="A19" s="49" t="str">
        <x:v>RUN-TRF-132-20260830T192432947467Z</x:v>
      </x:c>
      <x:c r="B19" s="49" t="str">
        <x:v>TRF-132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f978a526b2d8004841493eaedf35dcbeba19f1868dee464369e8e7aa568fcb7e</x:v>
      </x:c>
      <x:c r="G19" s="60" t="n">
        <x:v>5926</x:v>
      </x:c>
    </x:row>
  </x:sheetData>
  <x:pageMargins left="0.7" right="0.7" top="0.75" bottom="0.75" header="0.3" footer="0.3"/>
  <x:tableParts count="1">
    <x:tablePart xmlns:r="http://schemas.openxmlformats.org/officeDocument/2006/relationships" r:id="R10b074afa6d04c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RUN-TRF-132-20260830T192432947467Z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RUN-TRF-132-20260830T192432947467Z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RUN-TRF-132-20260830T192432947467Z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76d4cc1c34d4b"/>
  </x:tableParts>
</x:worksheet>
</file>