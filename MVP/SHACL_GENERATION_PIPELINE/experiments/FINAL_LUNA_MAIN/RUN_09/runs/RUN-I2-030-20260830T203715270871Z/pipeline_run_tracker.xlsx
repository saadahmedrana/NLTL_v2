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7fe201a9e24363" /></Relationships>
</file>

<file path=xl/workbook.xml><?xml version="1.0" encoding="utf-8"?>
<x:workbook xmlns:x="http://schemas.openxmlformats.org/spreadsheetml/2006/main">
  <x:sheets>
    <x:sheet xmlns:r="http://schemas.openxmlformats.org/officeDocument/2006/relationships" name="SUMMARY" sheetId="1" r:id="R43dccad9e5f7467b"/>
    <x:sheet xmlns:r="http://schemas.openxmlformats.org/officeDocument/2006/relationships" name="README" sheetId="2" r:id="Rf5bdefb73b884d8c"/>
    <x:sheet xmlns:r="http://schemas.openxmlformats.org/officeDocument/2006/relationships" name="REGULATION_QUEUE" sheetId="3" r:id="R2c7e6b9fc1af4cca"/>
    <x:sheet xmlns:r="http://schemas.openxmlformats.org/officeDocument/2006/relationships" name="RUNS" sheetId="4" r:id="R29da828be83e48d2"/>
    <x:sheet xmlns:r="http://schemas.openxmlformats.org/officeDocument/2006/relationships" name="ITERATIONS" sheetId="5" r:id="R9bd7f21012d945a6"/>
    <x:sheet xmlns:r="http://schemas.openxmlformats.org/officeDocument/2006/relationships" name="API_CALLS" sheetId="6" r:id="R40196fec7af940fa"/>
    <x:sheet xmlns:r="http://schemas.openxmlformats.org/officeDocument/2006/relationships" name="TERM_RETRIEVAL" sheetId="7" r:id="R0198a6b47bc84f2a"/>
    <x:sheet xmlns:r="http://schemas.openxmlformats.org/officeDocument/2006/relationships" name="FEW_SHOT_SELECTION" sheetId="8" r:id="R8d637035ccb94ef7"/>
    <x:sheet xmlns:r="http://schemas.openxmlformats.org/officeDocument/2006/relationships" name="VALIDATION" sheetId="9" r:id="Rec6b2a90285d4162"/>
    <x:sheet xmlns:r="http://schemas.openxmlformats.org/officeDocument/2006/relationships" name="VOCAB_MATCHES" sheetId="10" r:id="R565762730edb4e85"/>
    <x:sheet xmlns:r="http://schemas.openxmlformats.org/officeDocument/2006/relationships" name="ARTIFACTS" sheetId="11" r:id="Re84fced335294464"/>
    <x:sheet xmlns:r="http://schemas.openxmlformats.org/officeDocument/2006/relationships" name="UNRESOLVED" sheetId="12" r:id="Red104571edcf4760"/>
    <x:sheet xmlns:r="http://schemas.openxmlformats.org/officeDocument/2006/relationships" name="RDF_TEST_QUEUE" sheetId="13" r:id="R15706b791e124d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984b44608745ad" /><Relationship Type="http://schemas.openxmlformats.org/officeDocument/2006/relationships/theme" Target="/xl/theme/theme1.xml" Id="Rf20ee8f3f0944b4a" /><Relationship Type="http://schemas.microsoft.com/office/2022/11/relationships/FeaturePropertyBag" Target="/xl/featurePropertyBag/featurePropertyBag.xml" Id="R359ed365be944bf8" /><Relationship Type="http://schemas.openxmlformats.org/officeDocument/2006/relationships/sharedStrings" Target="/xl/sharedStrings.xml" Id="R2a79243ba260420a" /><Relationship Type="http://schemas.openxmlformats.org/officeDocument/2006/relationships/worksheet" Target="/xl/worksheets/sheet1.xml" Id="R43dccad9e5f7467b" /><Relationship Type="http://schemas.openxmlformats.org/officeDocument/2006/relationships/worksheet" Target="/xl/worksheets/sheet2.xml" Id="Rf5bdefb73b884d8c" /><Relationship Type="http://schemas.openxmlformats.org/officeDocument/2006/relationships/worksheet" Target="/xl/worksheets/sheet3.xml" Id="R2c7e6b9fc1af4cca" /><Relationship Type="http://schemas.openxmlformats.org/officeDocument/2006/relationships/worksheet" Target="/xl/worksheets/sheet4.xml" Id="R29da828be83e48d2" /><Relationship Type="http://schemas.openxmlformats.org/officeDocument/2006/relationships/worksheet" Target="/xl/worksheets/sheet5.xml" Id="R9bd7f21012d945a6" /><Relationship Type="http://schemas.openxmlformats.org/officeDocument/2006/relationships/worksheet" Target="/xl/worksheets/sheet6.xml" Id="R40196fec7af940fa" /><Relationship Type="http://schemas.openxmlformats.org/officeDocument/2006/relationships/worksheet" Target="/xl/worksheets/sheet7.xml" Id="R0198a6b47bc84f2a" /><Relationship Type="http://schemas.openxmlformats.org/officeDocument/2006/relationships/worksheet" Target="/xl/worksheets/sheet8.xml" Id="R8d637035ccb94ef7" /><Relationship Type="http://schemas.openxmlformats.org/officeDocument/2006/relationships/worksheet" Target="/xl/worksheets/sheet9.xml" Id="Rec6b2a90285d4162" /><Relationship Type="http://schemas.openxmlformats.org/officeDocument/2006/relationships/worksheet" Target="/xl/worksheets/sheet10.xml" Id="R565762730edb4e85" /><Relationship Type="http://schemas.openxmlformats.org/officeDocument/2006/relationships/worksheet" Target="/xl/worksheets/sheet11.xml" Id="Re84fced335294464" /><Relationship Type="http://schemas.openxmlformats.org/officeDocument/2006/relationships/worksheet" Target="/xl/worksheets/sheet12.xml" Id="Red104571edcf4760" /><Relationship Type="http://schemas.openxmlformats.org/officeDocument/2006/relationships/worksheet" Target="/xl/worksheets/sheet13.xml" Id="R15706b791e124d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ef05d733cb4211" /></Relationships>
</file>

<file path=xl/worksheets/_rels/sheet3.xml.rels>&#65279;<?xml version="1.0" encoding="utf-8"?><Relationships xmlns="http://schemas.openxmlformats.org/package/2006/relationships"><Relationship Type="http://schemas.openxmlformats.org/officeDocument/2006/relationships/table" Target="/xl/tables/table2.xml" Id="R8b38c6e4006a45f0" /></Relationships>
</file>

<file path=xl/worksheets/_rels/sheet4.xml.rels>&#65279;<?xml version="1.0" encoding="utf-8"?><Relationships xmlns="http://schemas.openxmlformats.org/package/2006/relationships"><Relationship Type="http://schemas.openxmlformats.org/officeDocument/2006/relationships/table" Target="/xl/tables/table3.xml" Id="R737847147ac04929" /></Relationships>
</file>

<file path=xl/worksheets/_rels/sheet5.xml.rels>&#65279;<?xml version="1.0" encoding="utf-8"?><Relationships xmlns="http://schemas.openxmlformats.org/package/2006/relationships"><Relationship Type="http://schemas.openxmlformats.org/officeDocument/2006/relationships/table" Target="/xl/tables/table4.xml" Id="R652ecc12c6314582" /></Relationships>
</file>

<file path=xl/worksheets/_rels/sheet6.xml.rels>&#65279;<?xml version="1.0" encoding="utf-8"?><Relationships xmlns="http://schemas.openxmlformats.org/package/2006/relationships"><Relationship Type="http://schemas.openxmlformats.org/officeDocument/2006/relationships/table" Target="/xl/tables/table5.xml" Id="R23a56a0d210d424b" /></Relationships>
</file>

<file path=xl/worksheets/_rels/sheet7.xml.rels>&#65279;<?xml version="1.0" encoding="utf-8"?><Relationships xmlns="http://schemas.openxmlformats.org/package/2006/relationships"><Relationship Type="http://schemas.openxmlformats.org/officeDocument/2006/relationships/table" Target="/xl/tables/table6.xml" Id="R888dfc59c71142aa" /></Relationships>
</file>

<file path=xl/worksheets/_rels/sheet8.xml.rels>&#65279;<?xml version="1.0" encoding="utf-8"?><Relationships xmlns="http://schemas.openxmlformats.org/package/2006/relationships"><Relationship Type="http://schemas.openxmlformats.org/officeDocument/2006/relationships/table" Target="/xl/tables/table7.xml" Id="R3138dbcd2b724abe" /></Relationships>
</file>

<file path=xl/worksheets/_rels/sheet9.xml.rels>&#65279;<?xml version="1.0" encoding="utf-8"?><Relationships xmlns="http://schemas.openxmlformats.org/package/2006/relationships"><Relationship Type="http://schemas.openxmlformats.org/officeDocument/2006/relationships/table" Target="/xl/tables/table8.xml" Id="Rc347aa6c0b044edd" /></Relationships>
</file>

<file path=xl/worksheets/_rels/sheet10.xml.rels>&#65279;<?xml version="1.0" encoding="utf-8"?><Relationships xmlns="http://schemas.openxmlformats.org/package/2006/relationships"><Relationship Type="http://schemas.openxmlformats.org/officeDocument/2006/relationships/table" Target="/xl/tables/table9.xml" Id="Rb343d796cbf64951" /></Relationships>
</file>

<file path=xl/worksheets/_rels/sheet11.xml.rels>&#65279;<?xml version="1.0" encoding="utf-8"?><Relationships xmlns="http://schemas.openxmlformats.org/package/2006/relationships"><Relationship Type="http://schemas.openxmlformats.org/officeDocument/2006/relationships/table" Target="/xl/tables/table10.xml" Id="R98bfd3d42a4648ac" /></Relationships>
</file>

<file path=xl/worksheets/_rels/sheet12.xml.rels>&#65279;<?xml version="1.0" encoding="utf-8"?><Relationships xmlns="http://schemas.openxmlformats.org/package/2006/relationships"><Relationship Type="http://schemas.openxmlformats.org/officeDocument/2006/relationships/table" Target="/xl/tables/table11.xml" Id="Rae13dad240904a6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RUN-I2-030-20260830T203715270871Z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COUNTA('API_CALLS'!$A$5:$A$23)</x:f>
        <x:v>19</x:v>
      </x:c>
      <x:c r="C9" s="21"/>
      <x:c r="D9" s="21"/>
    </x:row>
    <x:row r="10">
      <x:c r="A10" s="27" t="str">
        <x:v>Mean API/LLM elapsed ms</x:v>
      </x:c>
      <x:c r="B10" s="28" t="n">
        <x:f>IFERROR(AVERAGE('API_CALLS'!$K$5:$K$23),0)</x:f>
        <x:v>18062.245157894737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RUN-I2-030-20260830T203715270871Z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ef05d733cb421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RUN-I2-030-20260830T203715270871Z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b38c6e4006a45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RUN-I2-030-20260830T203715270871Z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RUN-I2-030-20260830T203715270871Z</x:v>
      </x:c>
      <x:c r="C5" s="69" t="str">
        <x:v>I2-030</x:v>
      </x:c>
      <x:c r="D5" s="70" t="n">
        <x:v>46264.85920453704</x:v>
      </x:c>
      <x:c r="E5" s="70" t="n">
        <x:v>46264.861271319445</x:v>
      </x:c>
      <x:c r="F5" s="69" t="str">
        <x:v>final-luna-main-run09</x:v>
      </x:c>
      <x:c r="G5" s="69" t="str">
        <x:v>VOCAB-LOCK-2026-08-22-R13</x:v>
      </x:c>
      <x:c r="H5" s="71" t="n">
        <x:v>4</x:v>
      </x:c>
      <x:c r="I5" s="69" t="str">
        <x:v>MAX_ATTEMPTS_REACHED</x:v>
      </x:c>
      <x:c r="J5" s="72" t="b">
        <x:v>0</x:v>
      </x:c>
      <x:c r="K5" s="69" t="str"/>
      <x:c r="L5" s="73" t="str">
        <x:v>Do not freeze. Preserve the prior owner/path, endpoint-shape, applicability-boundary, operand/result, unit, and Complex-readiness instructions. The applicability SPARQL is still semantically insufficient: it joins each calculation case to any structural member on the same ship, so an unrelated member can trigger the case; scope the selector to the supplied paired calculation-case/structural-member data using the declared model paths and do not rely on broad ship-level joins. It also only checks presence of netLocalFrameFlangeArea, netAttachedShellPlateThickness, and frameSpacing; encode the required area-exceeds comparison with the correct direction and unit scaling (100*A_fn &gt; 1000*t_pn*s), while retaining violation behavior when selector evidence is missing. The oblique interpolation checks must likewise be evaluated for the correctly paired case and must conditionally require both endpoint relationships and their endpoint node structures only when 20° &lt; framingAngleOmega &lt; 70°; do not make those alternatives unconditional or allow missing branch-selection evidence to pass.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37847147ac049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RUN-I2-030-20260830T203715270871Z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RUN-I2-030-20260830T203715270871Z</x:v>
      </x:c>
      <x:c r="B5" s="45" t="str">
        <x:v>I2-030</x:v>
      </x:c>
      <x:c r="C5" s="58" t="n">
        <x:v>1</x:v>
      </x:c>
      <x:c r="D5" s="83" t="b">
        <x:v>1</x:v>
      </x:c>
      <x:c r="E5" s="83" t="b">
        <x:v>0</x:v>
      </x:c>
      <x:c r="F5" s="83" t="b">
        <x:v>0</x:v>
      </x:c>
      <x:c r="G5" s="45" t="str">
        <x:v>REVISE</x:v>
      </x:c>
      <x:c r="H5" s="46" t="str">
        <x:v>Repair the owner/path structure and applicability boundary before freezing. sectionCalculationCaseStructuralMember is declared with requiredOwner localFrameSectionCalculationCase and must be constrained on the local-frame section calculation case, not on the enclosing calculationCase; preserve the declared path from that local case to the structural member. Encode the area-exceeds applicability selector (including the required violation behavior for missing selector evidence) and the oblique-angle condition 20° &lt; framingAngleOmega &lt; 70° for interpolation; do not make interpolation endpoints unconditionally mandatory when that branch is inapplicable or omit branch-selection evidence. Retain all declared operands and result terms. Also use the canonical units CentiM3 for netEffectivePlasticSectionModulus and CentiM2 for netLocalFrameFlangeArea, and remove any xsd:decimal restriction on qudt:numericValue unless a verified datatype declaration supports it.</x:v>
      </x:c>
      <x:c r="I5" s="84" t="n">
        <x:v>24169.858</x:v>
      </x:c>
      <x:c r="J5" s="84" t="n">
        <x:v>14057.804</x:v>
      </x:c>
    </x:row>
    <x:row r="6">
      <x:c r="A6" s="47" t="str">
        <x:v>RUN-I2-030-20260830T203715270871Z</x:v>
      </x:c>
      <x:c r="B6" s="47" t="str">
        <x:v>I2-030</x:v>
      </x:c>
      <x:c r="C6" s="59" t="n">
        <x:v>2</x:v>
      </x:c>
      <x:c r="D6" s="85" t="b">
        <x:v>1</x:v>
      </x:c>
      <x:c r="E6" s="85" t="b">
        <x:v>0</x:v>
      </x:c>
      <x:c r="F6" s="85" t="b">
        <x:v>0</x:v>
      </x:c>
      <x:c r="G6" s="47" t="str">
        <x:v>REVISE</x:v>
      </x:c>
      <x:c r="H6" s="48" t="str">
        <x:v>Do not freeze: the enclosing CalculationCaseShape still constrains sectionCalculationCaseStructuralMember on calculationCase, duplicating the relationship on the wrong owner. Remove that property constraint there and retain it only on the local-frame section calculation case as previously instructed. Also constrain the declared interpolationLowerEndpoint and interpolationUpperEndpoint relationships on the calculation-case owner with their interpolationPoint class/node structure; the current SPARQL checks are only presence approximations and do not provide the required relationship and endpoint shape boundary. Preserve the existing area-selector violation behavior, oblique applicability condition, operands, result terms, and canonical units.</x:v>
      </x:c>
      <x:c r="I6" s="86" t="n">
        <x:v>31125.989</x:v>
      </x:c>
      <x:c r="J6" s="86" t="n">
        <x:v>9130.146</x:v>
      </x:c>
    </x:row>
    <x:row r="7">
      <x:c r="A7" s="47" t="str">
        <x:v>RUN-I2-030-20260830T203715270871Z</x:v>
      </x:c>
      <x:c r="B7" s="47" t="str">
        <x:v>I2-030</x:v>
      </x:c>
      <x:c r="C7" s="59" t="n">
        <x:v>3</x:v>
      </x:c>
      <x:c r="D7" s="85" t="b">
        <x:v>0</x:v>
      </x:c>
      <x:c r="E7" s="85" t="b">
        <x:v>0</x:v>
      </x:c>
      <x:c r="F7" s="85" t="b">
        <x:v>1</x:v>
      </x:c>
      <x:c r="G7" s="47" t="str">
        <x:v>REVISE_WITH_MATCH</x:v>
      </x:c>
      <x:c r="H7" s="48" t="str">
        <x:v>Deterministic validation prevents acceptance. Fix: Unknown canonical benchmark IRI(s): https://w3id.org/nltl/vocab#GeneratedI2_030CalculationCaseShape, https://w3id.org/nltl/vocab#GeneratedI2_030InterpolationPointShape, https://w3id.org/nltl/vocab#GeneratedI2_030LocalFrameSectionCaseShape, https://w3id.org/nltl/vocab#GeneratedI2_030PlatingShape, https://w3id.org/nltl/vocab#GeneratedI2_030ShipShape, https://w3id.org/nltl/vocab#GeneratedI2_030StructuralMemberShape
Semantic validator feedback: Do not freeze. First resolve the six unknown generated shape IRIs through the canonical vocabulary matcher or replace them with permitted shape identifiers; deterministicValidation.valid and vocabulary_valid are currently false. Preserve the prior repairs: keep sectionCalculationCaseStructuralMember only on the localFrameSectionCalculationCase owner, retain both interpolation endpoint relationship/node constraints on calculationCase, preserve the area-selector missing-evidence violation and the 20°&lt;framingAngleOmega&lt;70° branch, all declared operands/results, and the CentiM3/CentiM2 units. Also ensure the applicability query is scoped to the correctly paired supplied calculation-case and structural-member data rather than allowing any ship-level member to trigger every calculation case, while retaining Complex-readiness rather than inventing full formula execution.</x:v>
      </x:c>
      <x:c r="I7" s="86" t="n">
        <x:v>25485.275</x:v>
      </x:c>
      <x:c r="J7" s="86" t="n">
        <x:v>13161.676</x:v>
      </x:c>
    </x:row>
    <x:row r="8">
      <x:c r="A8" s="49" t="str">
        <x:v>RUN-I2-030-20260830T203715270871Z</x:v>
      </x:c>
      <x:c r="B8" s="49" t="str">
        <x:v>I2-030</x:v>
      </x:c>
      <x:c r="C8" s="60" t="n">
        <x:v>4</x:v>
      </x:c>
      <x:c r="D8" s="87" t="b">
        <x:v>1</x:v>
      </x:c>
      <x:c r="E8" s="87" t="b">
        <x:v>0</x:v>
      </x:c>
      <x:c r="F8" s="87" t="b">
        <x:v>0</x:v>
      </x:c>
      <x:c r="G8" s="49" t="str">
        <x:v>REVISE</x:v>
      </x:c>
      <x:c r="H8" s="50" t="str">
        <x:v>Do not freeze. Preserve the prior owner/path, endpoint-shape, applicability-boundary, operand/result, unit, and Complex-readiness instructions. The applicability SPARQL is still semantically insufficient: it joins each calculation case to any structural member on the same ship, so an unrelated member can trigger the case; scope the selector to the supplied paired calculation-case/structural-member data using the declared model paths and do not rely on broad ship-level joins. It also only checks presence of netLocalFrameFlangeArea, netAttachedShellPlateThickness, and frameSpacing; encode the required area-exceeds comparison with the correct direction and unit scaling (100*A_fn &gt; 1000*t_pn*s), while retaining violation behavior when selector evidence is missing. The oblique interpolation checks must likewise be evaluated for the correctly paired case and must conditionally require both endpoint relationships and their endpoint node structures only when 20° &lt; framingAngleOmega &lt; 70°; do not make those alternatives unconditional or allow missing branch-selection evidence to pass.</x:v>
      </x:c>
      <x:c r="I8" s="88" t="n">
        <x:v>38826.593</x:v>
      </x:c>
      <x:c r="J8" s="88" t="n">
        <x:v>12706.506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2ecc12c63145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RUN-I2-030-20260830T203715270871Z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RUN-I2-030-20260830T203715270871Z</x:v>
      </x:c>
      <x:c r="C5" s="45" t="str">
        <x:v>I2-030</x:v>
      </x:c>
      <x:c r="D5" s="92" t="n">
        <x:v>46264.8592121875</x:v>
      </x:c>
      <x:c r="E5" s="45" t="str">
        <x:v>generator</x:v>
      </x:c>
      <x:c r="F5" s="45" t="str">
        <x:v>gpt-5.6-luna-2026-07-09</x:v>
      </x:c>
      <x:c r="G5" s="45" t="n">
        <x:v>1</x:v>
      </x:c>
      <x:c r="H5" s="45" t="n">
        <x:v>500</x:v>
      </x:c>
      <x:c r="I5" s="45" t="str">
        <x:v>Ocp-Apim-Subscription-Key</x:v>
      </x:c>
      <x:c r="J5" s="84" t="n">
        <x:v>0</x:v>
      </x:c>
      <x:c r="K5" s="84" t="n">
        <x:v>656.571</x:v>
      </x:c>
      <x:c r="L5" s="83" t="b">
        <x:v>1</x:v>
      </x:c>
      <x:c r="M5" s="45" t="str"/>
      <x:c r="N5" s="58" t="str"/>
      <x:c r="O5" s="58" t="str"/>
      <x:c r="P5" s="58" t="str"/>
    </x:row>
    <x:row r="6">
      <x:c r="A6" s="47" t="str">
        <x:v>EVT-000042</x:v>
      </x:c>
      <x:c r="B6" s="47" t="str">
        <x:v>RUN-I2-030-20260830T203715270871Z</x:v>
      </x:c>
      <x:c r="C6" s="47" t="str">
        <x:v>I2-030</x:v>
      </x:c>
      <x:c r="D6" s="93" t="n">
        <x:v>46264.859484305554</x:v>
      </x:c>
      <x:c r="E6" s="47" t="str">
        <x:v>generator</x:v>
      </x:c>
      <x:c r="F6" s="47" t="str">
        <x:v>gpt-5.6-luna-2026-07-09</x:v>
      </x:c>
      <x:c r="G6" s="47" t="n">
        <x:v>2</x:v>
      </x:c>
      <x:c r="H6" s="47" t="n">
        <x:v>200</x:v>
      </x:c>
      <x:c r="I6" s="47" t="str">
        <x:v>Ocp-Apim-Subscription-Key</x:v>
      </x:c>
      <x:c r="J6" s="86" t="n">
        <x:v>0</x:v>
      </x:c>
      <x:c r="K6" s="86" t="n">
        <x:v>18159.822</x:v>
      </x:c>
      <x:c r="L6" s="85" t="b">
        <x:v>0</x:v>
      </x:c>
      <x:c r="M6" s="47" t="str"/>
      <x:c r="N6" s="59" t="str"/>
      <x:c r="O6" s="59" t="str"/>
      <x:c r="P6" s="59" t="str"/>
    </x:row>
    <x:row r="7">
      <x:c r="A7" s="47" t="str">
        <x:v>EVT-000043</x:v>
      </x:c>
      <x:c r="B7" s="47" t="str">
        <x:v>RUN-I2-030-20260830T203715270871Z</x:v>
      </x:c>
      <x:c r="C7" s="47" t="str">
        <x:v>I2-030</x:v>
      </x:c>
      <x:c r="D7" s="93" t="n">
        <x:v>46264.85948432871</x:v>
      </x:c>
      <x:c r="E7" s="47" t="str">
        <x:v>generator</x:v>
      </x:c>
      <x:c r="F7" s="47" t="str">
        <x:v>gpt-5.6-luna-2026-07-09</x:v>
      </x:c>
      <x:c r="G7" s="47" t="n">
        <x:v>2</x:v>
      </x:c>
      <x:c r="H7" s="47" t="str">
        <x:v>COMPLETED</x:v>
      </x:c>
      <x:c r="I7" s="47" t="str"/>
      <x:c r="J7" s="86" t="n">
        <x:v>0</x:v>
      </x:c>
      <x:c r="K7" s="86" t="n">
        <x:v>24169.858</x:v>
      </x:c>
      <x:c r="L7" s="85" t="b">
        <x:v>0</x:v>
      </x:c>
      <x:c r="M7" s="47" t="str">
        <x:v>resp_0273852bba3ae4f9006a94948172c881968934ab329240b271</x:v>
      </x:c>
      <x:c r="N7" s="59" t="n">
        <x:v>15728</x:v>
      </x:c>
      <x:c r="O7" s="59" t="n">
        <x:v>2928</x:v>
      </x:c>
      <x:c r="P7" s="59" t="n">
        <x:v>18656</x:v>
      </x:c>
    </x:row>
    <x:row r="8">
      <x:c r="A8" s="47" t="str">
        <x:v>EVT-000050</x:v>
      </x:c>
      <x:c r="B8" s="47" t="str">
        <x:v>RUN-I2-030-20260830T203715270871Z</x:v>
      </x:c>
      <x:c r="C8" s="47" t="str">
        <x:v>I2-030</x:v>
      </x:c>
      <x:c r="D8" s="93" t="n">
        <x:v>46264.85965023148</x:v>
      </x:c>
      <x:c r="E8" s="47" t="str">
        <x:v>validator</x:v>
      </x:c>
      <x:c r="F8" s="47" t="str">
        <x:v>gpt-5.6-luna-2026-07-09</x:v>
      </x:c>
      <x:c r="G8" s="47" t="n">
        <x:v>1</x:v>
      </x:c>
      <x:c r="H8" s="47" t="n">
        <x:v>200</x:v>
      </x:c>
      <x:c r="I8" s="47" t="str">
        <x:v>Ocp-Apim-Subscription-Key</x:v>
      </x:c>
      <x:c r="J8" s="86" t="n">
        <x:v>0</x:v>
      </x:c>
      <x:c r="K8" s="86" t="n">
        <x:v>14056.223</x:v>
      </x:c>
      <x:c r="L8" s="85" t="b">
        <x:v>0</x:v>
      </x:c>
      <x:c r="M8" s="47" t="str"/>
      <x:c r="N8" s="59" t="str"/>
      <x:c r="O8" s="59" t="str"/>
      <x:c r="P8" s="59" t="str"/>
    </x:row>
    <x:row r="9">
      <x:c r="A9" s="47" t="str">
        <x:v>EVT-000051</x:v>
      </x:c>
      <x:c r="B9" s="47" t="str">
        <x:v>RUN-I2-030-20260830T203715270871Z</x:v>
      </x:c>
      <x:c r="C9" s="47" t="str">
        <x:v>I2-030</x:v>
      </x:c>
      <x:c r="D9" s="93" t="n">
        <x:v>46264.85965025463</x:v>
      </x:c>
      <x:c r="E9" s="47" t="str">
        <x:v>validator</x:v>
      </x:c>
      <x:c r="F9" s="47" t="str">
        <x:v>gpt-5.6-luna-2026-07-09</x:v>
      </x:c>
      <x:c r="G9" s="47" t="n">
        <x:v>1</x:v>
      </x:c>
      <x:c r="H9" s="47" t="str">
        <x:v>COMPLETED</x:v>
      </x:c>
      <x:c r="I9" s="47" t="str"/>
      <x:c r="J9" s="86" t="n">
        <x:v>0</x:v>
      </x:c>
      <x:c r="K9" s="86" t="n">
        <x:v>14057.804</x:v>
      </x:c>
      <x:c r="L9" s="85" t="b">
        <x:v>0</x:v>
      </x:c>
      <x:c r="M9" s="47" t="str">
        <x:v>resp_0abe64442d67d6a1006a949493f814819481c1f24c7f27ceb9</x:v>
      </x:c>
      <x:c r="N9" s="59" t="n">
        <x:v>18079</x:v>
      </x:c>
      <x:c r="O9" s="59" t="n">
        <x:v>1232</x:v>
      </x:c>
      <x:c r="P9" s="59" t="n">
        <x:v>19311</x:v>
      </x:c>
    </x:row>
    <x:row r="10">
      <x:c r="A10" s="47" t="str">
        <x:v>EVT-000056</x:v>
      </x:c>
      <x:c r="B10" s="47" t="str">
        <x:v>RUN-I2-030-20260830T203715270871Z</x:v>
      </x:c>
      <x:c r="C10" s="47" t="str">
        <x:v>I2-030</x:v>
      </x:c>
      <x:c r="D10" s="93" t="n">
        <x:v>46264.860010543984</x:v>
      </x:c>
      <x:c r="E10" s="47" t="str">
        <x:v>generator</x:v>
      </x:c>
      <x:c r="F10" s="47" t="str">
        <x:v>gpt-5.6-luna-2026-07-09</x:v>
      </x:c>
      <x:c r="G10" s="47" t="n">
        <x:v>1</x:v>
      </x:c>
      <x:c r="H10" s="47" t="n">
        <x:v>200</x:v>
      </x:c>
      <x:c r="I10" s="47" t="str">
        <x:v>Ocp-Apim-Subscription-Key</x:v>
      </x:c>
      <x:c r="J10" s="86" t="n">
        <x:v>0</x:v>
      </x:c>
      <x:c r="K10" s="86" t="n">
        <x:v>31124.096</x:v>
      </x:c>
      <x:c r="L10" s="85" t="b">
        <x:v>0</x:v>
      </x:c>
      <x:c r="M10" s="47" t="str"/>
      <x:c r="N10" s="59" t="str"/>
      <x:c r="O10" s="59" t="str"/>
      <x:c r="P10" s="59" t="str"/>
    </x:row>
    <x:row r="11">
      <x:c r="A11" s="47" t="str">
        <x:v>EVT-000057</x:v>
      </x:c>
      <x:c r="B11" s="47" t="str">
        <x:v>RUN-I2-030-20260830T203715270871Z</x:v>
      </x:c>
      <x:c r="C11" s="47" t="str">
        <x:v>I2-030</x:v>
      </x:c>
      <x:c r="D11" s="93" t="n">
        <x:v>46264.860010578705</x:v>
      </x:c>
      <x:c r="E11" s="47" t="str">
        <x:v>generator</x:v>
      </x:c>
      <x:c r="F11" s="47" t="str">
        <x:v>gpt-5.6-luna-2026-07-09</x:v>
      </x:c>
      <x:c r="G11" s="47" t="n">
        <x:v>1</x:v>
      </x:c>
      <x:c r="H11" s="47" t="str">
        <x:v>COMPLETED</x:v>
      </x:c>
      <x:c r="I11" s="47" t="str"/>
      <x:c r="J11" s="86" t="n">
        <x:v>0</x:v>
      </x:c>
      <x:c r="K11" s="86" t="n">
        <x:v>31125.989</x:v>
      </x:c>
      <x:c r="L11" s="85" t="b">
        <x:v>0</x:v>
      </x:c>
      <x:c r="M11" s="47" t="str">
        <x:v>resp_0e721df677e67c69006a9494a1efa08195ab6f44052afcccdf</x:v>
      </x:c>
      <x:c r="N11" s="59" t="n">
        <x:v>15911</x:v>
      </x:c>
      <x:c r="O11" s="59" t="n">
        <x:v>4751</x:v>
      </x:c>
      <x:c r="P11" s="59" t="n">
        <x:v>20662</x:v>
      </x:c>
    </x:row>
    <x:row r="12">
      <x:c r="A12" s="47" t="str">
        <x:v>EVT-000064</x:v>
      </x:c>
      <x:c r="B12" s="47" t="str">
        <x:v>RUN-I2-030-20260830T203715270871Z</x:v>
      </x:c>
      <x:c r="C12" s="47" t="str">
        <x:v>I2-030</x:v>
      </x:c>
      <x:c r="D12" s="93" t="n">
        <x:v>46264.860120763886</x:v>
      </x:c>
      <x:c r="E12" s="47" t="str">
        <x:v>validator</x:v>
      </x:c>
      <x:c r="F12" s="47" t="str">
        <x:v>gpt-5.6-luna-2026-07-09</x:v>
      </x:c>
      <x:c r="G12" s="47" t="n">
        <x:v>1</x:v>
      </x:c>
      <x:c r="H12" s="47" t="n">
        <x:v>200</x:v>
      </x:c>
      <x:c r="I12" s="47" t="str">
        <x:v>Ocp-Apim-Subscription-Key</x:v>
      </x:c>
      <x:c r="J12" s="86" t="n">
        <x:v>0</x:v>
      </x:c>
      <x:c r="K12" s="86" t="n">
        <x:v>9128.698</x:v>
      </x:c>
      <x:c r="L12" s="85" t="b">
        <x:v>0</x:v>
      </x:c>
      <x:c r="M12" s="47" t="str"/>
      <x:c r="N12" s="59" t="str"/>
      <x:c r="O12" s="59" t="str"/>
      <x:c r="P12" s="59" t="str"/>
    </x:row>
    <x:row r="13">
      <x:c r="A13" s="47" t="str">
        <x:v>EVT-000065</x:v>
      </x:c>
      <x:c r="B13" s="47" t="str">
        <x:v>RUN-I2-030-20260830T203715270871Z</x:v>
      </x:c>
      <x:c r="C13" s="47" t="str">
        <x:v>I2-030</x:v>
      </x:c>
      <x:c r="D13" s="93" t="n">
        <x:v>46264.86012078704</x:v>
      </x:c>
      <x:c r="E13" s="47" t="str">
        <x:v>validator</x:v>
      </x:c>
      <x:c r="F13" s="47" t="str">
        <x:v>gpt-5.6-luna-2026-07-09</x:v>
      </x:c>
      <x:c r="G13" s="47" t="n">
        <x:v>1</x:v>
      </x:c>
      <x:c r="H13" s="47" t="str">
        <x:v>COMPLETED</x:v>
      </x:c>
      <x:c r="I13" s="47" t="str"/>
      <x:c r="J13" s="86" t="n">
        <x:v>0</x:v>
      </x:c>
      <x:c r="K13" s="86" t="n">
        <x:v>9130.146</x:v>
      </x:c>
      <x:c r="L13" s="85" t="b">
        <x:v>0</x:v>
      </x:c>
      <x:c r="M13" s="47" t="str">
        <x:v>resp_0833df89b9e02eb7006a9494c16ae88195a9f29a19c625937a</x:v>
      </x:c>
      <x:c r="N13" s="59" t="n">
        <x:v>19220</x:v>
      </x:c>
      <x:c r="O13" s="59" t="n">
        <x:v>865</x:v>
      </x:c>
      <x:c r="P13" s="59" t="n">
        <x:v>20085</x:v>
      </x:c>
    </x:row>
    <x:row r="14">
      <x:c r="A14" s="47" t="str">
        <x:v>EVT-000070</x:v>
      </x:c>
      <x:c r="B14" s="47" t="str">
        <x:v>RUN-I2-030-20260830T203715270871Z</x:v>
      </x:c>
      <x:c r="C14" s="47" t="str">
        <x:v>I2-030</x:v>
      </x:c>
      <x:c r="D14" s="93" t="n">
        <x:v>46264.86041579861</x:v>
      </x:c>
      <x:c r="E14" s="47" t="str">
        <x:v>generator</x:v>
      </x:c>
      <x:c r="F14" s="47" t="str">
        <x:v>gpt-5.6-luna-2026-07-09</x:v>
      </x:c>
      <x:c r="G14" s="47" t="n">
        <x:v>1</x:v>
      </x:c>
      <x:c r="H14" s="47" t="n">
        <x:v>200</x:v>
      </x:c>
      <x:c r="I14" s="47" t="str">
        <x:v>Ocp-Apim-Subscription-Key</x:v>
      </x:c>
      <x:c r="J14" s="86" t="n">
        <x:v>0</x:v>
      </x:c>
      <x:c r="K14" s="86" t="n">
        <x:v>25483.703</x:v>
      </x:c>
      <x:c r="L14" s="85" t="b">
        <x:v>0</x:v>
      </x:c>
      <x:c r="M14" s="47" t="str"/>
      <x:c r="N14" s="59" t="str"/>
      <x:c r="O14" s="59" t="str"/>
      <x:c r="P14" s="59" t="str"/>
    </x:row>
    <x:row r="15">
      <x:c r="A15" s="47" t="str">
        <x:v>EVT-000071</x:v>
      </x:c>
      <x:c r="B15" s="47" t="str">
        <x:v>RUN-I2-030-20260830T203715270871Z</x:v>
      </x:c>
      <x:c r="C15" s="47" t="str">
        <x:v>I2-030</x:v>
      </x:c>
      <x:c r="D15" s="93" t="n">
        <x:v>46264.86041582176</x:v>
      </x:c>
      <x:c r="E15" s="47" t="str">
        <x:v>generator</x:v>
      </x:c>
      <x:c r="F15" s="47" t="str">
        <x:v>gpt-5.6-luna-2026-07-09</x:v>
      </x:c>
      <x:c r="G15" s="47" t="n">
        <x:v>1</x:v>
      </x:c>
      <x:c r="H15" s="47" t="str">
        <x:v>COMPLETED</x:v>
      </x:c>
      <x:c r="I15" s="47" t="str"/>
      <x:c r="J15" s="86" t="n">
        <x:v>0</x:v>
      </x:c>
      <x:c r="K15" s="86" t="n">
        <x:v>25485.275</x:v>
      </x:c>
      <x:c r="L15" s="85" t="b">
        <x:v>0</x:v>
      </x:c>
      <x:c r="M15" s="47" t="str">
        <x:v>resp_0b42a6d3cbca86d5006a9494ca8ab88196be64a66b1ea38e38</x:v>
      </x:c>
      <x:c r="N15" s="59" t="n">
        <x:v>16035</x:v>
      </x:c>
      <x:c r="O15" s="59" t="n">
        <x:v>4009</x:v>
      </x:c>
      <x:c r="P15" s="59" t="n">
        <x:v>20044</x:v>
      </x:c>
    </x:row>
    <x:row r="16">
      <x:c r="A16" s="47" t="str">
        <x:v>EVT-000078</x:v>
      </x:c>
      <x:c r="B16" s="47" t="str">
        <x:v>RUN-I2-030-20260830T203715270871Z</x:v>
      </x:c>
      <x:c r="C16" s="47" t="str">
        <x:v>I2-030</x:v>
      </x:c>
      <x:c r="D16" s="93" t="n">
        <x:v>46264.860585173614</x:v>
      </x:c>
      <x:c r="E16" s="47" t="str">
        <x:v>validator</x:v>
      </x:c>
      <x:c r="F16" s="47" t="str">
        <x:v>gpt-5.6-luna-2026-07-09</x:v>
      </x:c>
      <x:c r="G16" s="47" t="n">
        <x:v>1</x:v>
      </x:c>
      <x:c r="H16" s="47" t="n">
        <x:v>200</x:v>
      </x:c>
      <x:c r="I16" s="47" t="str">
        <x:v>Ocp-Apim-Subscription-Key</x:v>
      </x:c>
      <x:c r="J16" s="86" t="n">
        <x:v>0</x:v>
      </x:c>
      <x:c r="K16" s="86" t="n">
        <x:v>13160.154</x:v>
      </x:c>
      <x:c r="L16" s="85" t="b">
        <x:v>0</x:v>
      </x:c>
      <x:c r="M16" s="47" t="str"/>
      <x:c r="N16" s="59" t="str"/>
      <x:c r="O16" s="59" t="str"/>
      <x:c r="P16" s="59" t="str"/>
    </x:row>
    <x:row r="17">
      <x:c r="A17" s="47" t="str">
        <x:v>EVT-000079</x:v>
      </x:c>
      <x:c r="B17" s="47" t="str">
        <x:v>RUN-I2-030-20260830T203715270871Z</x:v>
      </x:c>
      <x:c r="C17" s="47" t="str">
        <x:v>I2-030</x:v>
      </x:c>
      <x:c r="D17" s="93" t="n">
        <x:v>46264.86058519676</x:v>
      </x:c>
      <x:c r="E17" s="47" t="str">
        <x:v>validator</x:v>
      </x:c>
      <x:c r="F17" s="47" t="str">
        <x:v>gpt-5.6-luna-2026-07-09</x:v>
      </x:c>
      <x:c r="G17" s="47" t="n">
        <x:v>1</x:v>
      </x:c>
      <x:c r="H17" s="47" t="str">
        <x:v>COMPLETED</x:v>
      </x:c>
      <x:c r="I17" s="47" t="str"/>
      <x:c r="J17" s="86" t="n">
        <x:v>0</x:v>
      </x:c>
      <x:c r="K17" s="86" t="n">
        <x:v>13161.676</x:v>
      </x:c>
      <x:c r="L17" s="85" t="b">
        <x:v>0</x:v>
      </x:c>
      <x:c r="M17" s="47" t="str">
        <x:v>resp_0c7bcb9d827d5dcc006a9494e5d6148193b3a819fe6975a76e</x:v>
      </x:c>
      <x:c r="N17" s="59" t="n">
        <x:v>20970</x:v>
      </x:c>
      <x:c r="O17" s="59" t="n">
        <x:v>1207</x:v>
      </x:c>
      <x:c r="P17" s="59" t="n">
        <x:v>22177</x:v>
      </x:c>
    </x:row>
    <x:row r="18">
      <x:c r="A18" s="47" t="str">
        <x:v>EVT-000086</x:v>
      </x:c>
      <x:c r="B18" s="47" t="str">
        <x:v>RUN-I2-030-20260830T203715270871Z</x:v>
      </x:c>
      <x:c r="C18" s="47" t="str">
        <x:v>I2-030</x:v>
      </x:c>
      <x:c r="D18" s="93" t="n">
        <x:v>46264.860671539354</x:v>
      </x:c>
      <x:c r="E18" s="47" t="str">
        <x:v>vocabulary_matcher</x:v>
      </x:c>
      <x:c r="F18" s="47" t="str">
        <x:v>gpt-5.6-luna-2026-07-09</x:v>
      </x:c>
      <x:c r="G18" s="47" t="n">
        <x:v>1</x:v>
      </x:c>
      <x:c r="H18" s="47" t="n">
        <x:v>200</x:v>
      </x:c>
      <x:c r="I18" s="47" t="str">
        <x:v>Ocp-Apim-Subscription-Key</x:v>
      </x:c>
      <x:c r="J18" s="86" t="n">
        <x:v>0</x:v>
      </x:c>
      <x:c r="K18" s="86" t="n">
        <x:v>5608.601</x:v>
      </x:c>
      <x:c r="L18" s="85" t="b">
        <x:v>0</x:v>
      </x:c>
      <x:c r="M18" s="47" t="str"/>
      <x:c r="N18" s="59" t="str"/>
      <x:c r="O18" s="59" t="str"/>
      <x:c r="P18" s="59" t="str"/>
    </x:row>
    <x:row r="19">
      <x:c r="A19" s="47" t="str">
        <x:v>EVT-000087</x:v>
      </x:c>
      <x:c r="B19" s="47" t="str">
        <x:v>RUN-I2-030-20260830T203715270871Z</x:v>
      </x:c>
      <x:c r="C19" s="47" t="str">
        <x:v>I2-030</x:v>
      </x:c>
      <x:c r="D19" s="93" t="n">
        <x:v>46264.86067155092</x:v>
      </x:c>
      <x:c r="E19" s="47" t="str">
        <x:v>vocabulary_matcher</x:v>
      </x:c>
      <x:c r="F19" s="47" t="str">
        <x:v>gpt-5.6-luna-2026-07-09</x:v>
      </x:c>
      <x:c r="G19" s="47" t="n">
        <x:v>1</x:v>
      </x:c>
      <x:c r="H19" s="47" t="str">
        <x:v>COMPLETED</x:v>
      </x:c>
      <x:c r="I19" s="47" t="str"/>
      <x:c r="J19" s="86" t="n">
        <x:v>0</x:v>
      </x:c>
      <x:c r="K19" s="86" t="n">
        <x:v>5610.168</x:v>
      </x:c>
      <x:c r="L19" s="85" t="b">
        <x:v>0</x:v>
      </x:c>
      <x:c r="M19" s="47" t="str">
        <x:v>resp_09281149e8c96abc006a9494f482388197b5239943112c1b88</x:v>
      </x:c>
      <x:c r="N19" s="59" t="n">
        <x:v>4598</x:v>
      </x:c>
      <x:c r="O19" s="59" t="n">
        <x:v>588</x:v>
      </x:c>
      <x:c r="P19" s="59" t="n">
        <x:v>5186</x:v>
      </x:c>
    </x:row>
    <x:row r="20">
      <x:c r="A20" s="47" t="str">
        <x:v>EVT-000125</x:v>
      </x:c>
      <x:c r="B20" s="47" t="str">
        <x:v>RUN-I2-030-20260830T203715270871Z</x:v>
      </x:c>
      <x:c r="C20" s="47" t="str">
        <x:v>I2-030</x:v>
      </x:c>
      <x:c r="D20" s="93" t="n">
        <x:v>46264.861121064816</x:v>
      </x:c>
      <x:c r="E20" s="47" t="str">
        <x:v>generator</x:v>
      </x:c>
      <x:c r="F20" s="47" t="str">
        <x:v>gpt-5.6-luna-2026-07-09</x:v>
      </x:c>
      <x:c r="G20" s="47" t="n">
        <x:v>1</x:v>
      </x:c>
      <x:c r="H20" s="47" t="n">
        <x:v>200</x:v>
      </x:c>
      <x:c r="I20" s="47" t="str">
        <x:v>Ocp-Apim-Subscription-Key</x:v>
      </x:c>
      <x:c r="J20" s="86" t="n">
        <x:v>0</x:v>
      </x:c>
      <x:c r="K20" s="86" t="n">
        <x:v>38825.045</x:v>
      </x:c>
      <x:c r="L20" s="85" t="b">
        <x:v>0</x:v>
      </x:c>
      <x:c r="M20" s="47" t="str"/>
      <x:c r="N20" s="59" t="str"/>
      <x:c r="O20" s="59" t="str"/>
      <x:c r="P20" s="59" t="str"/>
    </x:row>
    <x:row r="21">
      <x:c r="A21" s="47" t="str">
        <x:v>EVT-000126</x:v>
      </x:c>
      <x:c r="B21" s="47" t="str">
        <x:v>RUN-I2-030-20260830T203715270871Z</x:v>
      </x:c>
      <x:c r="C21" s="47" t="str">
        <x:v>I2-030</x:v>
      </x:c>
      <x:c r="D21" s="93" t="n">
        <x:v>46264.86112108796</x:v>
      </x:c>
      <x:c r="E21" s="47" t="str">
        <x:v>generator</x:v>
      </x:c>
      <x:c r="F21" s="47" t="str">
        <x:v>gpt-5.6-luna-2026-07-09</x:v>
      </x:c>
      <x:c r="G21" s="47" t="n">
        <x:v>1</x:v>
      </x:c>
      <x:c r="H21" s="47" t="str">
        <x:v>COMPLETED</x:v>
      </x:c>
      <x:c r="I21" s="47" t="str"/>
      <x:c r="J21" s="86" t="n">
        <x:v>0</x:v>
      </x:c>
      <x:c r="K21" s="86" t="n">
        <x:v>38826.593</x:v>
      </x:c>
      <x:c r="L21" s="85" t="b">
        <x:v>0</x:v>
      </x:c>
      <x:c r="M21" s="47" t="str">
        <x:v>resp_088b5caa80550e1b006a9494fa34fc81968a9fa678cb57a20f</x:v>
      </x:c>
      <x:c r="N21" s="59" t="n">
        <x:v>16400</x:v>
      </x:c>
      <x:c r="O21" s="59" t="n">
        <x:v>5068</x:v>
      </x:c>
      <x:c r="P21" s="59" t="n">
        <x:v>21468</x:v>
      </x:c>
    </x:row>
    <x:row r="22">
      <x:c r="A22" s="47" t="str">
        <x:v>EVT-000133</x:v>
      </x:c>
      <x:c r="B22" s="47" t="str">
        <x:v>RUN-I2-030-20260830T203715270871Z</x:v>
      </x:c>
      <x:c r="C22" s="47" t="str">
        <x:v>I2-030</x:v>
      </x:c>
      <x:c r="D22" s="93" t="n">
        <x:v>46264.86127127315</x:v>
      </x:c>
      <x:c r="E22" s="47" t="str">
        <x:v>validator</x:v>
      </x:c>
      <x:c r="F22" s="47" t="str">
        <x:v>gpt-5.6-luna-2026-07-09</x:v>
      </x:c>
      <x:c r="G22" s="47" t="n">
        <x:v>1</x:v>
      </x:c>
      <x:c r="H22" s="47" t="n">
        <x:v>200</x:v>
      </x:c>
      <x:c r="I22" s="47" t="str">
        <x:v>Ocp-Apim-Subscription-Key</x:v>
      </x:c>
      <x:c r="J22" s="86" t="n">
        <x:v>0</x:v>
      </x:c>
      <x:c r="K22" s="86" t="n">
        <x:v>12705.73</x:v>
      </x:c>
      <x:c r="L22" s="85" t="b">
        <x:v>0</x:v>
      </x:c>
      <x:c r="M22" s="47" t="str"/>
      <x:c r="N22" s="59" t="str"/>
      <x:c r="O22" s="59" t="str"/>
      <x:c r="P22" s="59" t="str"/>
    </x:row>
    <x:row r="23">
      <x:c r="A23" s="49" t="str">
        <x:v>EVT-000134</x:v>
      </x:c>
      <x:c r="B23" s="49" t="str">
        <x:v>RUN-I2-030-20260830T203715270871Z</x:v>
      </x:c>
      <x:c r="C23" s="49" t="str">
        <x:v>I2-030</x:v>
      </x:c>
      <x:c r="D23" s="94" t="n">
        <x:v>46264.861271284724</x:v>
      </x:c>
      <x:c r="E23" s="49" t="str">
        <x:v>validator</x:v>
      </x:c>
      <x:c r="F23" s="49" t="str">
        <x:v>gpt-5.6-luna-2026-07-09</x:v>
      </x:c>
      <x:c r="G23" s="49" t="n">
        <x:v>1</x:v>
      </x:c>
      <x:c r="H23" s="49" t="str">
        <x:v>COMPLETED</x:v>
      </x:c>
      <x:c r="I23" s="49" t="str"/>
      <x:c r="J23" s="88" t="n">
        <x:v>0</x:v>
      </x:c>
      <x:c r="K23" s="88" t="n">
        <x:v>12706.506</x:v>
      </x:c>
      <x:c r="L23" s="87" t="b">
        <x:v>0</x:v>
      </x:c>
      <x:c r="M23" s="49" t="str">
        <x:v>resp_03cf5fe63ae5a655006a94952146cc8194980b42ec9c091867</x:v>
      </x:c>
      <x:c r="N23" s="60" t="n">
        <x:v>20230</x:v>
      </x:c>
      <x:c r="O23" s="60" t="n">
        <x:v>1263</x:v>
      </x:c>
      <x:c r="P23" s="60" t="n">
        <x:v>21493</x:v>
      </x:c>
    </x:row>
  </x:sheetData>
  <x:conditionalFormatting sqref="H5:H2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3a56a0d210d424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RUN-I2-030-20260830T203715270871Z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RUN-I2-030-20260830T203715270871Z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RUN-I2-030-20260830T203715270871Z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RUN-I2-030-20260830T203715270871Z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RUN-I2-030-20260830T203715270871Z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RUN-I2-030-20260830T203715270871Z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RUN-I2-030-20260830T203715270871Z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RUN-I2-030-20260830T203715270871Z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RUN-I2-030-20260830T203715270871Z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RUN-I2-030-20260830T203715270871Z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RUN-I2-030-20260830T203715270871Z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RUN-I2-030-20260830T203715270871Z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RUN-I2-030-20260830T203715270871Z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RUN-I2-030-20260830T203715270871Z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RUN-I2-030-20260830T203715270871Z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RUN-I2-030-20260830T203715270871Z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RUN-I2-030-20260830T203715270871Z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RUN-I2-030-20260830T203715270871Z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RUN-I2-030-20260830T203715270871Z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RUN-I2-030-20260830T203715270871Z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RUN-I2-030-20260830T203715270871Z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RUN-I2-030-20260830T203715270871Z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RUN-I2-030-20260830T203715270871Z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RUN-I2-030-20260830T203715270871Z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RUN-I2-030-20260830T203715270871Z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RUN-I2-030-20260830T203715270871Z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RUN-I2-030-20260830T203715270871Z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RUN-I2-030-20260830T203715270871Z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RUN-I2-030-20260830T203715270871Z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RUN-I2-030-20260830T203715270871Z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RUN-I2-030-20260830T203715270871Z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7" t="str">
        <x:v>RUN-I2-030-20260830T203715270871Z</x:v>
      </x:c>
      <x:c r="B35" s="47" t="str">
        <x:v>I2-030</x:v>
      </x:c>
      <x:c r="C35" s="47" t="str">
        <x:v>webToFlangeCentreDistance</x:v>
      </x:c>
      <x:c r="D35" s="48" t="str">
        <x:v>https://w3id.org/nltl/vocab#webToFlangeCentreDistance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RUN-I2-030-20260830T203715270871Z</x:v>
      </x:c>
      <x:c r="B36" s="47" t="str">
        <x:v>I2-030</x:v>
      </x:c>
      <x:c r="C36" s="47" t="str">
        <x:v>benchmarkEntity</x:v>
      </x:c>
      <x:c r="D36" s="48" t="str">
        <x:v>https://w3id.org/nltl/vocab#benchmarkEntity</x:v>
      </x:c>
      <x:c r="E36" s="47" t="str">
        <x:v>Class</x:v>
      </x:c>
      <x:c r="F36" s="47" t="str"/>
      <x:c r="G36" s="47" t="str"/>
      <x:c r="H36" s="47" t="str"/>
      <x:c r="I36" s="48" t="str">
        <x:v>baseline target infrastructure; domain dependency of sectionModulus</x:v>
      </x:c>
      <x:c r="J36" s="47" t="n">
        <x:v>4</x:v>
      </x:c>
    </x:row>
    <x:row r="37">
      <x:c r="A37" s="47" t="str">
        <x:v>RUN-I2-030-20260830T203715270871Z</x:v>
      </x:c>
      <x:c r="B37" s="47" t="str">
        <x:v>I2-030</x:v>
      </x:c>
      <x:c r="C37" s="47" t="str">
        <x:v>calculationCase</x:v>
      </x:c>
      <x:c r="D37" s="48" t="str">
        <x:v>https://w3id.org/nltl/vocab#calculationCase</x:v>
      </x:c>
      <x:c r="E37" s="47" t="str">
        <x:v>Class</x:v>
      </x:c>
      <x:c r="F37" s="47" t="str"/>
      <x:c r="G37" s="47" t="str">
        <x:v>https://w3id.org/nltl/vocab#benchmarkEntity</x:v>
      </x:c>
      <x:c r="H37" s="47" t="str"/>
      <x:c r="I37"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 verified vocabulary-matcher addition</x:v>
      </x:c>
      <x:c r="J37" s="47" t="n">
        <x:v>4</x:v>
      </x:c>
    </x:row>
    <x:row r="38">
      <x:c r="A38" s="47" t="str">
        <x:v>RUN-I2-030-20260830T203715270871Z</x:v>
      </x:c>
      <x:c r="B38" s="47" t="str">
        <x:v>I2-030</x:v>
      </x:c>
      <x:c r="C38" s="47" t="str">
        <x:v>frameSpacing</x:v>
      </x:c>
      <x:c r="D38" s="48" t="str">
        <x:v>https://w3id.org/nltl/vocab#frameSpacing</x:v>
      </x:c>
      <x:c r="E38" s="47" t="str">
        <x:v>QuantityProperty</x:v>
      </x:c>
      <x:c r="F38" s="47" t="str"/>
      <x:c r="G38" s="47" t="str">
        <x:v>http://qudt.org/schema/qudt/QuantityValue</x:v>
      </x:c>
      <x:c r="H38" s="47" t="str">
        <x:v>http://qudt.org/vocab/unit/M</x:v>
      </x:c>
      <x:c r="I38" s="48" t="str">
        <x:v>linked by the locked 313-requirement index</x:v>
      </x:c>
      <x:c r="J38" s="47" t="n">
        <x:v>4</x:v>
      </x:c>
    </x:row>
    <x:row r="39">
      <x:c r="A39" s="47" t="str">
        <x:v>RUN-I2-030-20260830T203715270871Z</x:v>
      </x:c>
      <x:c r="B39" s="47" t="str">
        <x:v>I2-030</x:v>
      </x:c>
      <x:c r="C39" s="47" t="str">
        <x:v>framingAngleOmega</x:v>
      </x:c>
      <x:c r="D39" s="48" t="str">
        <x:v>https://w3id.org/nltl/vocab#framingAngleOmega</x:v>
      </x:c>
      <x:c r="E39" s="47" t="str">
        <x:v>QuantityProperty</x:v>
      </x:c>
      <x:c r="F39" s="47" t="str"/>
      <x:c r="G39" s="47" t="str">
        <x:v>http://qudt.org/schema/qudt/QuantityValue</x:v>
      </x:c>
      <x:c r="H39" s="47" t="str">
        <x:v>http://qudt.org/vocab/unit/DEG</x:v>
      </x:c>
      <x:c r="I39" s="48" t="str">
        <x:v>linked by the locked 313-requirement index</x:v>
      </x:c>
      <x:c r="J39" s="47" t="n">
        <x:v>4</x:v>
      </x:c>
    </x:row>
    <x:row r="40">
      <x:c r="A40" s="47" t="str">
        <x:v>RUN-I2-030-20260830T203715270871Z</x:v>
      </x:c>
      <x:c r="B40" s="47" t="str">
        <x:v>I2-030</x:v>
      </x:c>
      <x:c r="C40" s="47" t="str">
        <x:v>hasCalculationCase</x:v>
      </x:c>
      <x:c r="D40" s="48" t="str">
        <x:v>https://w3id.org/nltl/vocab#hasCalculationCase</x:v>
      </x:c>
      <x:c r="E40" s="47" t="str">
        <x:v>ObjectProperty</x:v>
      </x:c>
      <x:c r="F40" s="47" t="str"/>
      <x:c r="G40" s="47" t="str">
        <x:v>https://w3id.org/nltl/vocab#calculationCase</x:v>
      </x:c>
      <x:c r="H40" s="47" t="str"/>
      <x:c r="I40" s="48" t="str">
        <x:v>canonical path from target owner ship to required owner calculationCase; linked by the locked 313-requirement index</x:v>
      </x:c>
      <x:c r="J40" s="47" t="n">
        <x:v>4</x:v>
      </x:c>
    </x:row>
    <x:row r="41">
      <x:c r="A41" s="47" t="str">
        <x:v>RUN-I2-030-20260830T203715270871Z</x:v>
      </x:c>
      <x:c r="B41" s="47" t="str">
        <x:v>I2-030</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RUN-I2-030-20260830T203715270871Z</x:v>
      </x:c>
      <x:c r="B42" s="47" t="str">
        <x:v>I2-030</x:v>
      </x:c>
      <x:c r="C42" s="47" t="str">
        <x:v>hasLocalFrameSectionCalculationCase</x:v>
      </x:c>
      <x:c r="D42" s="48" t="str">
        <x:v>https://w3id.org/nltl/vocab#hasLocalFrameSectionCalculationCase</x:v>
      </x:c>
      <x:c r="E42" s="47" t="str">
        <x:v>ObjectProperty</x:v>
      </x:c>
      <x:c r="F42" s="47" t="str"/>
      <x:c r="G42" s="47" t="str">
        <x:v>https://w3id.org/nltl/vocab#localFrameSectionCalculationCase</x:v>
      </x:c>
      <x:c r="H42" s="47" t="str"/>
      <x:c r="I42" s="48" t="str">
        <x:v>linked by the locked 313-requirement index</x:v>
      </x:c>
      <x:c r="J42" s="47" t="n">
        <x:v>4</x:v>
      </x:c>
    </x:row>
    <x:row r="43">
      <x:c r="A43" s="47" t="str">
        <x:v>RUN-I2-030-20260830T203715270871Z</x:v>
      </x:c>
      <x:c r="B43" s="47" t="str">
        <x:v>I2-030</x:v>
      </x:c>
      <x:c r="C43" s="47" t="str">
        <x:v>hasPlating</x:v>
      </x:c>
      <x:c r="D43" s="48" t="str">
        <x:v>https://w3id.org/nltl/vocab#hasPlating</x:v>
      </x:c>
      <x:c r="E43" s="47" t="str">
        <x:v>ObjectProperty</x:v>
      </x:c>
      <x:c r="F43" s="47" t="str"/>
      <x:c r="G43" s="47" t="str">
        <x:v>https://w3id.org/nltl/vocab#plating</x:v>
      </x:c>
      <x:c r="H43" s="47" t="str"/>
      <x:c r="I43" s="48" t="str">
        <x:v>canonical path from target owner ship to required owner plating</x:v>
      </x:c>
      <x:c r="J43" s="47" t="n">
        <x:v>4</x:v>
      </x:c>
    </x:row>
    <x:row r="44">
      <x:c r="A44" s="47" t="str">
        <x:v>RUN-I2-030-20260830T203715270871Z</x:v>
      </x:c>
      <x:c r="B44" s="47" t="str">
        <x:v>I2-030</x:v>
      </x:c>
      <x:c r="C44" s="47" t="str">
        <x:v>hasStructuralMember</x:v>
      </x:c>
      <x:c r="D44" s="48" t="str">
        <x:v>https://w3id.org/nltl/vocab#hasStructuralMember</x:v>
      </x:c>
      <x:c r="E44" s="47" t="str">
        <x:v>ObjectProperty</x:v>
      </x:c>
      <x:c r="F44" s="47" t="str"/>
      <x:c r="G44" s="47" t="str">
        <x:v>https://w3id.org/nltl/vocab#structuralMember</x:v>
      </x:c>
      <x:c r="H44" s="47" t="str"/>
      <x:c r="I44" s="48" t="str">
        <x:v>canonical path from target owner ship to required owner structuralMember</x:v>
      </x:c>
      <x:c r="J44" s="47" t="n">
        <x:v>4</x:v>
      </x:c>
    </x:row>
    <x:row r="45">
      <x:c r="A45" s="47" t="str">
        <x:v>RUN-I2-030-20260830T203715270871Z</x:v>
      </x:c>
      <x:c r="B45" s="47" t="str">
        <x:v>I2-030</x:v>
      </x:c>
      <x:c r="C45" s="47" t="str">
        <x:v>interpolationLowerEndpoint</x:v>
      </x:c>
      <x:c r="D45" s="48" t="str">
        <x:v>https://w3id.org/nltl/vocab#interpolationLowerEndpoint</x:v>
      </x:c>
      <x:c r="E45" s="47" t="str">
        <x:v>ObjectProperty</x:v>
      </x:c>
      <x:c r="F45" s="47" t="str"/>
      <x:c r="G45" s="47" t="str">
        <x:v>https://w3id.org/nltl/vocab#interpolationPoint</x:v>
      </x:c>
      <x:c r="H45" s="47" t="str"/>
      <x:c r="I45" s="48" t="str">
        <x:v>linked by the locked 313-requirement index</x:v>
      </x:c>
      <x:c r="J45" s="47" t="n">
        <x:v>4</x:v>
      </x:c>
    </x:row>
    <x:row r="46">
      <x:c r="A46" s="47" t="str">
        <x:v>RUN-I2-030-20260830T203715270871Z</x:v>
      </x:c>
      <x:c r="B46" s="47" t="str">
        <x:v>I2-030</x:v>
      </x:c>
      <x:c r="C46" s="47" t="str">
        <x:v>interpolationPoint</x:v>
      </x:c>
      <x:c r="D46" s="48" t="str">
        <x:v>https://w3id.org/nltl/vocab#interpolationPoint</x:v>
      </x:c>
      <x:c r="E46" s="47" t="str">
        <x:v>Class</x:v>
      </x:c>
      <x:c r="F46" s="47" t="str"/>
      <x:c r="G46" s="47" t="str">
        <x:v>https://w3id.org/nltl/vocab#calculationCase</x:v>
      </x:c>
      <x:c r="H46" s="47" t="str"/>
      <x:c r="I46" s="48" t="str">
        <x:v>authoritative required owner class; domain dependency of interpolationPointCoordinate; domain dependency of interpolationPointResult; range dependency of interpolationLowerEndpoint; range dependency of interpolationUpperEndpoint</x:v>
      </x:c>
      <x:c r="J46" s="47" t="n">
        <x:v>4</x:v>
      </x:c>
    </x:row>
    <x:row r="47">
      <x:c r="A47" s="47" t="str">
        <x:v>RUN-I2-030-20260830T203715270871Z</x:v>
      </x:c>
      <x:c r="B47" s="47" t="str">
        <x:v>I2-030</x:v>
      </x:c>
      <x:c r="C47" s="47" t="str">
        <x:v>interpolationPointCoordinate</x:v>
      </x:c>
      <x:c r="D47" s="48" t="str">
        <x:v>https://w3id.org/nltl/vocab#interpolationPointCoordinate</x:v>
      </x:c>
      <x:c r="E47" s="47" t="str">
        <x:v>QuantityProperty</x:v>
      </x:c>
      <x:c r="F47" s="47" t="str"/>
      <x:c r="G47" s="47" t="str">
        <x:v>http://qudt.org/schema/qudt/QuantityValue</x:v>
      </x:c>
      <x:c r="H47" s="47" t="str">
        <x:v>http://qudt.org/vocab/unit/UNITLESS</x:v>
      </x:c>
      <x:c r="I47" s="48" t="str">
        <x:v>linked by the locked 313-requirement index</x:v>
      </x:c>
      <x:c r="J47" s="47" t="n">
        <x:v>4</x:v>
      </x:c>
    </x:row>
    <x:row r="48">
      <x:c r="A48" s="47" t="str">
        <x:v>RUN-I2-030-20260830T203715270871Z</x:v>
      </x:c>
      <x:c r="B48" s="47" t="str">
        <x:v>I2-030</x:v>
      </x:c>
      <x:c r="C48" s="47" t="str">
        <x:v>interpolationPointResult</x:v>
      </x:c>
      <x:c r="D48" s="48" t="str">
        <x:v>https://w3id.org/nltl/vocab#interpolationPointResult</x:v>
      </x:c>
      <x:c r="E48" s="47" t="str">
        <x:v>QuantityProperty</x:v>
      </x:c>
      <x:c r="F48" s="47" t="str"/>
      <x:c r="G48" s="47" t="str">
        <x:v>http://qudt.org/schema/qudt/QuantityValue</x:v>
      </x:c>
      <x:c r="H48" s="47" t="str"/>
      <x:c r="I48" s="48" t="str">
        <x:v>linked by the locked 313-requirement index</x:v>
      </x:c>
      <x:c r="J48" s="47" t="n">
        <x:v>4</x:v>
      </x:c>
    </x:row>
    <x:row r="49">
      <x:c r="A49" s="47" t="str">
        <x:v>RUN-I2-030-20260830T203715270871Z</x:v>
      </x:c>
      <x:c r="B49" s="47" t="str">
        <x:v>I2-030</x:v>
      </x:c>
      <x:c r="C49" s="47" t="str">
        <x:v>interpolationUpperEndpoint</x:v>
      </x:c>
      <x:c r="D49" s="48" t="str">
        <x:v>https://w3id.org/nltl/vocab#interpolationUpperEndpoint</x:v>
      </x:c>
      <x:c r="E49" s="47" t="str">
        <x:v>ObjectProperty</x:v>
      </x:c>
      <x:c r="F49" s="47" t="str"/>
      <x:c r="G49" s="47" t="str">
        <x:v>https://w3id.org/nltl/vocab#interpolationPoint</x:v>
      </x:c>
      <x:c r="H49" s="47" t="str"/>
      <x:c r="I49" s="48" t="str">
        <x:v>linked by the locked 313-requirement index</x:v>
      </x:c>
      <x:c r="J49" s="47" t="n">
        <x:v>4</x:v>
      </x:c>
    </x:row>
    <x:row r="50">
      <x:c r="A50" s="47" t="str">
        <x:v>RUN-I2-030-20260830T203715270871Z</x:v>
      </x:c>
      <x:c r="B50" s="47" t="str">
        <x:v>I2-030</x:v>
      </x:c>
      <x:c r="C50" s="47" t="str">
        <x:v>localFrameFlangeCentreHeight</x:v>
      </x:c>
      <x:c r="D50" s="48" t="str">
        <x:v>https://w3id.org/nltl/vocab#localFrameFlangeCentreHeight</x:v>
      </x:c>
      <x:c r="E50" s="47" t="str">
        <x:v>QuantityProperty</x:v>
      </x:c>
      <x:c r="F50" s="47" t="str"/>
      <x:c r="G50" s="47" t="str">
        <x:v>http://qudt.org/schema/qudt/QuantityValue</x:v>
      </x:c>
      <x:c r="H50" s="47" t="str">
        <x:v>http://qudt.org/vocab/unit/MilliM</x:v>
      </x:c>
      <x:c r="I50" s="48" t="str">
        <x:v>linked by the locked 313-requirement index</x:v>
      </x:c>
      <x:c r="J50" s="47" t="n">
        <x:v>4</x:v>
      </x:c>
    </x:row>
    <x:row r="51">
      <x:c r="A51" s="47" t="str">
        <x:v>RUN-I2-030-20260830T203715270871Z</x:v>
      </x:c>
      <x:c r="B51" s="47" t="str">
        <x:v>I2-030</x:v>
      </x:c>
      <x:c r="C51" s="47" t="str">
        <x:v>localFrameSectionCalculationCase</x:v>
      </x:c>
      <x:c r="D51" s="48" t="str">
        <x:v>https://w3id.org/nltl/vocab#localFrameSectionCalculationCase</x:v>
      </x:c>
      <x:c r="E51" s="47" t="str">
        <x:v>Class</x:v>
      </x:c>
      <x:c r="F51" s="47" t="str"/>
      <x:c r="G51" s="47" t="str">
        <x:v>https://w3id.org/nltl/vocab#calculationCase</x:v>
      </x:c>
      <x:c r="H51" s="47" t="str"/>
      <x:c r="I51" s="48" t="str">
        <x:v>authoritative required owner class; domain dependency of sectionCalculationCasePlating; linked by the locked 313-requirement index; range dependency of hasLocalFrameSectionCalculationCase</x:v>
      </x:c>
      <x:c r="J51" s="47" t="n">
        <x:v>4</x:v>
      </x:c>
    </x:row>
    <x:row r="52">
      <x:c r="A52" s="47" t="str">
        <x:v>RUN-I2-030-20260830T203715270871Z</x:v>
      </x:c>
      <x:c r="B52" s="47" t="str">
        <x:v>I2-030</x:v>
      </x:c>
      <x:c r="C52" s="47" t="str">
        <x:v>netAttachedShellPlateThickness</x:v>
      </x:c>
      <x:c r="D52" s="48" t="str">
        <x:v>https://w3id.org/nltl/vocab#netAttachedShellPlateThickness</x:v>
      </x:c>
      <x:c r="E52" s="47" t="str">
        <x:v>QuantityProperty</x:v>
      </x:c>
      <x:c r="F52" s="47" t="str"/>
      <x:c r="G52" s="47" t="str">
        <x:v>http://qudt.org/schema/qudt/QuantityValue</x:v>
      </x:c>
      <x:c r="H52" s="47" t="str">
        <x:v>http://qudt.org/vocab/unit/MilliM</x:v>
      </x:c>
      <x:c r="I52" s="48" t="str">
        <x:v>linked by the locked 313-requirement index</x:v>
      </x:c>
      <x:c r="J52" s="47" t="n">
        <x:v>4</x:v>
      </x:c>
    </x:row>
    <x:row r="53">
      <x:c r="A53" s="47" t="str">
        <x:v>RUN-I2-030-20260830T203715270871Z</x:v>
      </x:c>
      <x:c r="B53" s="47" t="str">
        <x:v>I2-030</x:v>
      </x:c>
      <x:c r="C53" s="47" t="str">
        <x:v>netEffectivePlasticSectionModulus</x:v>
      </x:c>
      <x:c r="D53" s="48" t="str">
        <x:v>https://w3id.org/nltl/vocab#netEffectivePlasticSectionModulus</x:v>
      </x:c>
      <x:c r="E53" s="47" t="str">
        <x:v>QuantityProperty</x:v>
      </x:c>
      <x:c r="F53" s="47" t="str"/>
      <x:c r="G53" s="47" t="str">
        <x:v>http://qudt.org/schema/qudt/QuantityValue</x:v>
      </x:c>
      <x:c r="H53" s="47" t="str">
        <x:v>http://qudt.org/vocab/unit/CentiM3</x:v>
      </x:c>
      <x:c r="I53" s="48" t="str">
        <x:v>linked by the locked 313-requirement index</x:v>
      </x:c>
      <x:c r="J53" s="47" t="n">
        <x:v>4</x:v>
      </x:c>
    </x:row>
    <x:row r="54">
      <x:c r="A54" s="47" t="str">
        <x:v>RUN-I2-030-20260830T203715270871Z</x:v>
      </x:c>
      <x:c r="B54" s="47" t="str">
        <x:v>I2-030</x:v>
      </x:c>
      <x:c r="C54" s="47" t="str">
        <x:v>netLocalFrameFlangeArea</x:v>
      </x:c>
      <x:c r="D54" s="48" t="str">
        <x:v>https://w3id.org/nltl/vocab#netLocalFrameFlangeArea</x:v>
      </x:c>
      <x:c r="E54" s="47" t="str">
        <x:v>QuantityProperty</x:v>
      </x:c>
      <x:c r="F54" s="47" t="str"/>
      <x:c r="G54" s="47" t="str">
        <x:v>http://qudt.org/schema/qudt/QuantityValue</x:v>
      </x:c>
      <x:c r="H54" s="47" t="str">
        <x:v>http://qudt.org/vocab/unit/CentiM2</x:v>
      </x:c>
      <x:c r="I54" s="48" t="str">
        <x:v>linked by the locked 313-requirement index</x:v>
      </x:c>
      <x:c r="J54" s="47" t="n">
        <x:v>4</x:v>
      </x:c>
    </x:row>
    <x:row r="55">
      <x:c r="A55" s="47" t="str">
        <x:v>RUN-I2-030-20260830T203715270871Z</x:v>
      </x:c>
      <x:c r="B55" s="47" t="str">
        <x:v>I2-030</x:v>
      </x:c>
      <x:c r="C55" s="47" t="str">
        <x:v>netWebThickness</x:v>
      </x:c>
      <x:c r="D55" s="48" t="str">
        <x:v>https://w3id.org/nltl/vocab#netWebThickness</x:v>
      </x:c>
      <x:c r="E55" s="47" t="str">
        <x:v>QuantityProperty</x:v>
      </x:c>
      <x:c r="F55" s="47" t="str"/>
      <x:c r="G55" s="47" t="str">
        <x:v>http://qudt.org/schema/qudt/QuantityValue</x:v>
      </x:c>
      <x:c r="H55" s="47" t="str">
        <x:v>http://qudt.org/vocab/unit/MilliM</x:v>
      </x:c>
      <x:c r="I55" s="48" t="str">
        <x:v>linked by the locked 313-requirement index</x:v>
      </x:c>
      <x:c r="J55" s="47" t="n">
        <x:v>4</x:v>
      </x:c>
    </x:row>
    <x:row r="56">
      <x:c r="A56" s="47" t="str">
        <x:v>RUN-I2-030-20260830T203715270871Z</x:v>
      </x:c>
      <x:c r="B56" s="47" t="str">
        <x:v>I2-030</x:v>
      </x:c>
      <x:c r="C56" s="47" t="str">
        <x:v>plasticNeutralAxisHeight</x:v>
      </x:c>
      <x:c r="D56" s="48" t="str">
        <x:v>https://w3id.org/nltl/vocab#plasticNeutralAxisHeight</x:v>
      </x:c>
      <x:c r="E56" s="47" t="str">
        <x:v>QuantityProperty</x:v>
      </x:c>
      <x:c r="F56" s="47" t="str"/>
      <x:c r="G56" s="47" t="str">
        <x:v>http://qudt.org/schema/qudt/QuantityValue</x:v>
      </x:c>
      <x:c r="H56" s="47" t="str">
        <x:v>http://qudt.org/vocab/unit/MilliM</x:v>
      </x:c>
      <x:c r="I56" s="48" t="str">
        <x:v>linked by the locked 313-requirement index</x:v>
      </x:c>
      <x:c r="J56" s="47" t="n">
        <x:v>4</x:v>
      </x:c>
    </x:row>
    <x:row r="57">
      <x:c r="A57" s="47" t="str">
        <x:v>RUN-I2-030-20260830T203715270871Z</x:v>
      </x:c>
      <x:c r="B57" s="47" t="str">
        <x:v>I2-030</x:v>
      </x:c>
      <x:c r="C57" s="47" t="str">
        <x:v>plating</x:v>
      </x:c>
      <x:c r="D57" s="48" t="str">
        <x:v>https://w3id.org/nltl/vocab#plating</x:v>
      </x:c>
      <x:c r="E57" s="47" t="str">
        <x:v>Class</x:v>
      </x:c>
      <x:c r="F57" s="47" t="str"/>
      <x:c r="G57" s="47" t="str">
        <x:v>https://w3id.org/nltl/vocab#hullStructure</x:v>
      </x:c>
      <x:c r="H57" s="47" t="str"/>
      <x:c r="I57" s="48" t="str">
        <x:v>authoritative required owner class; domain dependency of framingAngleOmega; range dependency of sectionCalculationCasePlating</x:v>
      </x:c>
      <x:c r="J57" s="47" t="n">
        <x:v>4</x:v>
      </x:c>
    </x:row>
    <x:row r="58">
      <x:c r="A58" s="47" t="str">
        <x:v>RUN-I2-030-20260830T203715270871Z</x:v>
      </x:c>
      <x:c r="B58" s="47" t="str">
        <x:v>I2-030</x:v>
      </x:c>
      <x:c r="C58" s="47" t="str">
        <x:v>sectionCalculationCasePlating</x:v>
      </x:c>
      <x:c r="D58" s="48" t="str">
        <x:v>https://w3id.org/nltl/vocab#sectionCalculationCasePlating</x:v>
      </x:c>
      <x:c r="E58" s="47" t="str">
        <x:v>ObjectProperty</x:v>
      </x:c>
      <x:c r="F58" s="47" t="str"/>
      <x:c r="G58" s="47" t="str">
        <x:v>https://w3id.org/nltl/vocab#plating</x:v>
      </x:c>
      <x:c r="H58" s="47" t="str"/>
      <x:c r="I58" s="48" t="str">
        <x:v>linked by the locked 313-requirement index</x:v>
      </x:c>
      <x:c r="J58" s="47" t="n">
        <x:v>4</x:v>
      </x:c>
    </x:row>
    <x:row r="59">
      <x:c r="A59" s="47" t="str">
        <x:v>RUN-I2-030-20260830T203715270871Z</x:v>
      </x:c>
      <x:c r="B59" s="47" t="str">
        <x:v>I2-030</x:v>
      </x:c>
      <x:c r="C59" s="47" t="str">
        <x:v>sectionCalculationCaseStructuralMember</x:v>
      </x:c>
      <x:c r="D59" s="48" t="str">
        <x:v>https://w3id.org/nltl/vocab#sectionCalculationCaseStructuralMember</x:v>
      </x:c>
      <x:c r="E59" s="47" t="str">
        <x:v>ObjectProperty</x:v>
      </x:c>
      <x:c r="F59" s="47" t="str"/>
      <x:c r="G59" s="47" t="str">
        <x:v>https://w3id.org/nltl/vocab#structuralMember</x:v>
      </x:c>
      <x:c r="H59" s="47" t="str"/>
      <x:c r="I59" s="48" t="str">
        <x:v>linked by the locked 313-requirement index</x:v>
      </x:c>
      <x:c r="J59" s="47" t="n">
        <x:v>4</x:v>
      </x:c>
    </x:row>
    <x:row r="60">
      <x:c r="A60" s="47" t="str">
        <x:v>RUN-I2-030-20260830T203715270871Z</x:v>
      </x:c>
      <x:c r="B60" s="47" t="str">
        <x:v>I2-030</x:v>
      </x:c>
      <x:c r="C60" s="47" t="str">
        <x:v>sectionModulus</x:v>
      </x:c>
      <x:c r="D60" s="48" t="str">
        <x:v>https://w3id.org/nltl/vocab#sectionModulus</x:v>
      </x:c>
      <x:c r="E60" s="47" t="str">
        <x:v>QuantityProperty</x:v>
      </x:c>
      <x:c r="F60" s="47" t="str"/>
      <x:c r="G60" s="47" t="str">
        <x:v>http://qudt.org/schema/qudt/QuantityValue</x:v>
      </x:c>
      <x:c r="H60" s="47" t="str">
        <x:v>http://qudt.org/vocab/unit/CentiM3</x:v>
      </x:c>
      <x:c r="I60" s="48" t="str">
        <x:v>linked by the locked 313-requirement index</x:v>
      </x:c>
      <x:c r="J60" s="47" t="n">
        <x:v>4</x:v>
      </x:c>
    </x:row>
    <x:row r="61">
      <x:c r="A61" s="47" t="str">
        <x:v>RUN-I2-030-20260830T203715270871Z</x:v>
      </x:c>
      <x:c r="B61" s="47" t="str">
        <x:v>I2-030</x:v>
      </x:c>
      <x:c r="C61" s="47" t="str">
        <x:v>ship</x:v>
      </x:c>
      <x:c r="D61" s="48" t="str">
        <x:v>https://w3id.org/nltl/vocab#ship</x:v>
      </x:c>
      <x:c r="E61" s="47" t="str">
        <x:v>Class</x:v>
      </x:c>
      <x:c r="F61" s="47" t="str"/>
      <x:c r="G61" s="47" t="str"/>
      <x:c r="H61" s="47" t="str"/>
      <x:c r="I61" s="48" t="str">
        <x:v>authoritative required owner class; authoritative requirement target owner; baseline target infrastructure; domain dependency of hasCalculationCase</x:v>
      </x:c>
      <x:c r="J61" s="47" t="n">
        <x:v>4</x:v>
      </x:c>
    </x:row>
    <x:row r="62">
      <x:c r="A62" s="47" t="str">
        <x:v>RUN-I2-030-20260830T203715270871Z</x:v>
      </x:c>
      <x:c r="B62" s="47" t="str">
        <x:v>I2-030</x:v>
      </x:c>
      <x:c r="C62" s="47" t="str">
        <x:v>shipComponent</x:v>
      </x:c>
      <x:c r="D62" s="48" t="str">
        <x:v>https://w3id.org/nltl/vocab#shipComponent</x:v>
      </x:c>
      <x:c r="E62" s="47" t="str">
        <x:v>Class</x:v>
      </x:c>
      <x:c r="F62" s="47" t="str"/>
      <x:c r="G62" s="47" t="str"/>
      <x:c r="H62" s="47" t="str"/>
      <x:c r="I62" s="48" t="str">
        <x:v>component-path dependency inferred from the linked term module</x:v>
      </x:c>
      <x:c r="J62" s="47" t="n">
        <x:v>4</x:v>
      </x:c>
    </x:row>
    <x:row r="63">
      <x:c r="A63" s="47" t="str">
        <x:v>RUN-I2-030-20260830T203715270871Z</x:v>
      </x:c>
      <x:c r="B63" s="47" t="str">
        <x:v>I2-030</x:v>
      </x:c>
      <x:c r="C63" s="47" t="str">
        <x:v>structuralMember</x:v>
      </x:c>
      <x:c r="D63" s="48" t="str">
        <x:v>https://w3id.org/nltl/vocab#structuralMember</x:v>
      </x:c>
      <x:c r="E63" s="47" t="str">
        <x:v>Class</x:v>
      </x:c>
      <x:c r="F63" s="47" t="str"/>
      <x:c r="G63" s="47" t="str">
        <x:v>https://w3id.org/nltl/vocab#hullStructure</x:v>
      </x:c>
      <x:c r="H63" s="47" t="str"/>
      <x:c r="I63"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63" s="47" t="n">
        <x:v>4</x:v>
      </x:c>
    </x:row>
    <x:row r="64">
      <x:c r="A64" s="47" t="str">
        <x:v>RUN-I2-030-20260830T203715270871Z</x:v>
      </x:c>
      <x:c r="B64" s="47" t="str">
        <x:v>I2-030</x:v>
      </x:c>
      <x:c r="C64" s="47" t="str">
        <x:v>webAngleToShellPlate</x:v>
      </x:c>
      <x:c r="D64" s="48" t="str">
        <x:v>https://w3id.org/nltl/vocab#webAngleToShellPlate</x:v>
      </x:c>
      <x:c r="E64" s="47" t="str">
        <x:v>QuantityProperty</x:v>
      </x:c>
      <x:c r="F64" s="47" t="str"/>
      <x:c r="G64" s="47" t="str">
        <x:v>http://qudt.org/schema/qudt/QuantityValue</x:v>
      </x:c>
      <x:c r="H64" s="47" t="str">
        <x:v>http://qudt.org/vocab/unit/DEG</x:v>
      </x:c>
      <x:c r="I64" s="48" t="str">
        <x:v>linked by the locked 313-requirement index</x:v>
      </x:c>
      <x:c r="J64" s="47" t="n">
        <x:v>4</x:v>
      </x:c>
    </x:row>
    <x:row r="65">
      <x:c r="A65" s="47" t="str">
        <x:v>RUN-I2-030-20260830T203715270871Z</x:v>
      </x:c>
      <x:c r="B65" s="47" t="str">
        <x:v>I2-030</x:v>
      </x:c>
      <x:c r="C65" s="47" t="str">
        <x:v>webHeight</x:v>
      </x:c>
      <x:c r="D65" s="48" t="str">
        <x:v>https://w3id.org/nltl/vocab#webHeight</x:v>
      </x:c>
      <x:c r="E65" s="47" t="str">
        <x:v>QuantityProperty</x:v>
      </x:c>
      <x:c r="F65" s="47" t="str"/>
      <x:c r="G65" s="47" t="str">
        <x:v>http://qudt.org/schema/qudt/QuantityValue</x:v>
      </x:c>
      <x:c r="H65" s="47" t="str">
        <x:v>http://qudt.org/vocab/unit/MilliM</x:v>
      </x:c>
      <x:c r="I65" s="48" t="str">
        <x:v>linked by the locked 313-requirement index</x:v>
      </x:c>
      <x:c r="J65" s="47" t="n">
        <x:v>4</x:v>
      </x:c>
    </x:row>
    <x:row r="66">
      <x:c r="A66" s="49" t="str">
        <x:v>RUN-I2-030-20260830T203715270871Z</x:v>
      </x:c>
      <x:c r="B66" s="49" t="str">
        <x:v>I2-030</x:v>
      </x:c>
      <x:c r="C66" s="49" t="str">
        <x:v>webToFlangeCentreDistance</x:v>
      </x:c>
      <x:c r="D66" s="50" t="str">
        <x:v>https://w3id.org/nltl/vocab#webToFlangeCentreDistance</x:v>
      </x:c>
      <x:c r="E66" s="49" t="str">
        <x:v>QuantityProperty</x:v>
      </x:c>
      <x:c r="F66" s="49" t="str"/>
      <x:c r="G66" s="49" t="str">
        <x:v>http://qudt.org/schema/qudt/QuantityValue</x:v>
      </x:c>
      <x:c r="H66" s="49" t="str">
        <x:v>http://qudt.org/vocab/unit/MilliM</x:v>
      </x:c>
      <x:c r="I66" s="50" t="str">
        <x:v>linked by the locked 313-requirement index</x:v>
      </x:c>
      <x:c r="J66" s="49" t="n">
        <x:v>4</x:v>
      </x:c>
    </x:row>
  </x:sheetData>
  <x:pageMargins left="0.7" right="0.7" top="0.75" bottom="0.75" header="0.3" footer="0.3"/>
  <x:tableParts count="1">
    <x:tablePart xmlns:r="http://schemas.openxmlformats.org/officeDocument/2006/relationships" r:id="R888dfc59c71142a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RUN-I2-030-20260830T203715270871Z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RUN-I2-030-20260830T203715270871Z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RUN-I2-030-20260830T203715270871Z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38dbcd2b724ab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RUN-I2-030-20260830T203715270871Z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RUN-I2-030-20260830T203715270871Z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RUN-I2-030-20260830T203715270871Z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RUN-I2-030-20260830T203715270871Z</x:v>
      </x:c>
      <x:c r="B7" s="47" t="str">
        <x:v>I2-030</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https://w3id.org/nltl/vocab#GeneratedI2_030CalculationCaseShape, https://w3id.org/nltl/vocab#GeneratedI2_030InterpolationPointShape, https://w3id.org/nltl/vocab#GeneratedI2_030LocalFrameSectionCaseShape, https://w3id.org/nltl/vocab#GeneratedI2_030PlatingShape, https://w3id.org/nltl/vocab#GeneratedI2_030ShipShape, https://w3id.org/nltl/vocab#GeneratedI2_030StructuralMemberShape</x:v>
      </x:c>
      <x:c r="M7" s="48" t="str"/>
      <x:c r="N7" s="48" t="str">
        <x:v>https://w3id.org/nltl/vocab#GeneratedI2_030CalculationCaseShape | https://w3id.org/nltl/vocab#GeneratedI2_030InterpolationPointShape | https://w3id.org/nltl/vocab#GeneratedI2_030LocalFrameSectionCaseShape | https://w3id.org/nltl/vocab#GeneratedI2_030PlatingShape | https://w3id.org/nltl/vocab#GeneratedI2_030ShipShape | https://w3id.org/nltl/vocab#GeneratedI2_030StructuralMemberShape | 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v>https://w3id.org/nltl/vocab#GeneratedI2_030CalculationCaseShape | https://w3id.org/nltl/vocab#GeneratedI2_030InterpolationPointShape | https://w3id.org/nltl/vocab#GeneratedI2_030LocalFrameSectionCaseShape | https://w3id.org/nltl/vocab#GeneratedI2_030PlatingShape | https://w3id.org/nltl/vocab#GeneratedI2_030ShipShape | https://w3id.org/nltl/vocab#GeneratedI2_030StructuralMemberShape</x:v>
      </x:c>
      <x:c r="P7" s="48" t="str"/>
      <x:c r="Q7" s="48" t="str"/>
    </x:row>
    <x:row r="8">
      <x:c r="A8" s="49" t="str">
        <x:v>RUN-I2-030-20260830T203715270871Z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c347aa6c0b044ed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RUN-I2-030-20260830T203715270871Z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RUN-I2-030-20260830T203715270871Z</x:v>
      </x:c>
      <x:c r="B5" s="45" t="str">
        <x:v>I2-030</x:v>
      </x:c>
      <x:c r="C5" s="58" t="n">
        <x:v>3</x:v>
      </x:c>
      <x:c r="D5" s="45" t="str">
        <x:v>matcher_search</x:v>
      </x:c>
      <x:c r="E5" s="46" t="str">
        <x:v>Deterministic validation prevents acceptance. Fix: Unknown canonical benchmark IRI(s): https://w3id.org/nltl/vocab#GeneratedI2_030CalculationCaseShape, https://w3id.org/nltl/vocab#GeneratedI2_030InterpolationPointShape, https://w3id.org/nltl/vocab#GeneratedI2_030LocalFrameSectionCaseShape, https://w3id.org/nltl/vocab#GeneratedI2_030PlatingShape, https://w3id.org/nltl/vocab#GeneratedI2_030ShipShape, https://w3id.org/nltl/vocab#GeneratedI2_030StructuralMemberShape
Semantic validator feedback: Do not freeze. First resolve the six unknown generated shape IRIs through the canonical vocabulary matcher or replace them with permitted shape identifiers; deterministicValidation.valid and vocabulary_valid are currently false. Preserve the prior repairs: keep sectionCalculationCaseStructuralMember only on the localFrameSectionCalculationCase owner, retain both interpolation endpoint relationship/node constraints on calculationCase, preserve the area-selector missing-evidence violation and the 20°&lt;framingAngleOmega&lt;70° branch, all declared operands/results, and the CentiM3/CentiM2 units. Also ensure the applicability query is scoped to the correctly paired supplied calculation-case and structural-member data rather than allowing any ship-level member to trigger every calculation case, while retaining Complex-readiness rather than inventing full formula execution.</x:v>
      </x:c>
      <x:c r="F5" s="58" t="n">
        <x:v>12</x:v>
      </x:c>
      <x:c r="G5" s="45" t="str"/>
      <x:c r="H5" s="45" t="str"/>
      <x:c r="I5" s="46" t="str"/>
      <x:c r="J5" s="46" t="str"/>
    </x:row>
    <x:row r="6">
      <x:c r="A6" s="49" t="str">
        <x:v>RUN-I2-030-20260830T203715270871Z</x:v>
      </x:c>
      <x:c r="B6" s="49" t="str">
        <x:v>I2-030</x:v>
      </x:c>
      <x:c r="C6" s="60" t="n">
        <x:v>3</x:v>
      </x:c>
      <x:c r="D6" s="49" t="str">
        <x:v>matcher_decision</x:v>
      </x:c>
      <x:c r="E6" s="50" t="str"/>
      <x:c r="F6" s="60" t="str"/>
      <x:c r="G6" s="87" t="b">
        <x:v>1</x:v>
      </x:c>
      <x:c r="H6" s="49" t="str">
        <x:v>calculationCase</x:v>
      </x:c>
      <x:c r="I6" s="50" t="str">
        <x:v>https://w3id.org/nltl/vocab#calculationCase</x:v>
      </x:c>
      <x:c r="J6" s="50" t="str">
        <x:v>Use this exact term because the generated I2-030 calculation-case shape represents the canonical Calculation case class required by the supplied requirement context.</x:v>
      </x:c>
    </x:row>
  </x:sheetData>
  <x:pageMargins left="0.7" right="0.7" top="0.75" bottom="0.75" header="0.3" footer="0.3"/>
  <x:tableParts count="1">
    <x:tablePart xmlns:r="http://schemas.openxmlformats.org/officeDocument/2006/relationships" r:id="Rb343d796cbf6495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RUN-I2-030-20260830T203715270871Z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RUN-I2-030-20260830T203715270871Z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RUN-I2-030-20260830T203715270871Z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RUN-I2-030-20260830T203715270871Z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RUN-I2-030-20260830T203715270871Z</x:v>
      </x:c>
      <x:c r="B8" s="47" t="str">
        <x:v>I2-030</x:v>
      </x:c>
      <x:c r="C8" s="59" t="n">
        <x:v>1</x:v>
      </x:c>
      <x:c r="D8" s="47" t="str">
        <x:v>generator_raw_response</x:v>
      </x:c>
      <x:c r="E8" s="48" t="str">
        <x:v>artifacts/attempt_01/generator_raw.txt</x:v>
      </x:c>
      <x:c r="F8" s="47" t="str">
        <x:v>b17036c3c90ed19d3e203eafbf6f8043ed6d5e93d62fef6c532ff8d86933eea9</x:v>
      </x:c>
      <x:c r="G8" s="59" t="n">
        <x:v>7916</x:v>
      </x:c>
    </x:row>
    <x:row r="9">
      <x:c r="A9" s="47" t="str">
        <x:v>RUN-I2-030-20260830T203715270871Z</x:v>
      </x:c>
      <x:c r="B9" s="47" t="str">
        <x:v>I2-030</x:v>
      </x:c>
      <x:c r="C9" s="59" t="n">
        <x:v>1</x:v>
      </x:c>
      <x:c r="D9" s="47" t="str">
        <x:v>candidate_shape</x:v>
      </x:c>
      <x:c r="E9" s="48" t="str">
        <x:v>artifacts/attempt_01/candidate_shape.ttl</x:v>
      </x:c>
      <x:c r="F9" s="47" t="str">
        <x:v>b5fd1e977910aa42e6a022ab5bc9f0d27cae840ac348910424f62482f782c109</x:v>
      </x:c>
      <x:c r="G9" s="59" t="n">
        <x:v>7891</x:v>
      </x:c>
    </x:row>
    <x:row r="10">
      <x:c r="A10" s="47" t="str">
        <x:v>RUN-I2-030-20260830T203715270871Z</x:v>
      </x:c>
      <x:c r="B10" s="47" t="str">
        <x:v>I2-030</x:v>
      </x:c>
      <x:c r="C10" s="59" t="n">
        <x:v>1</x:v>
      </x:c>
      <x:c r="D10" s="47" t="str">
        <x:v>deterministic_validation</x:v>
      </x:c>
      <x:c r="E10" s="48" t="str">
        <x:v>artifacts/attempt_01/deterministic_validation.json</x:v>
      </x:c>
      <x:c r="F10" s="47" t="str">
        <x:v>ebf66be81cd6a7f060522b62123c53f47d540206dc7d3553733c47615923c939</x:v>
      </x:c>
      <x:c r="G10" s="59" t="n">
        <x:v>1841</x:v>
      </x:c>
    </x:row>
    <x:row r="11">
      <x:c r="A11" s="47" t="str">
        <x:v>RUN-I2-030-20260830T203715270871Z</x:v>
      </x:c>
      <x:c r="B11" s="47" t="str">
        <x:v>I2-030</x:v>
      </x:c>
      <x:c r="C11" s="59" t="n">
        <x:v>1</x:v>
      </x:c>
      <x:c r="D11" s="47" t="str">
        <x:v>validator_prompt</x:v>
      </x:c>
      <x:c r="E11" s="48" t="str">
        <x:v>artifacts/attempt_01/validator_prompt_01.txt</x:v>
      </x:c>
      <x:c r="F11" s="47" t="str">
        <x:v>5d549617847a590887222c57c2fc87f912c9585fe1b4672cb3dc526dc2b1eefc</x:v>
      </x:c>
      <x:c r="G11" s="59" t="n">
        <x:v>70291</x:v>
      </x:c>
    </x:row>
    <x:row r="12">
      <x:c r="A12" s="47" t="str">
        <x:v>RUN-I2-030-20260830T203715270871Z</x:v>
      </x:c>
      <x:c r="B12" s="47" t="str">
        <x:v>I2-030</x:v>
      </x:c>
      <x:c r="C12" s="59" t="n">
        <x:v>1</x:v>
      </x:c>
      <x:c r="D12" s="47" t="str">
        <x:v>validator_raw_response</x:v>
      </x:c>
      <x:c r="E12" s="48" t="str">
        <x:v>artifacts/attempt_01/validator_raw_01.txt</x:v>
      </x:c>
      <x:c r="F12" s="47" t="str">
        <x:v>a2907d902921bc42aa2c8c9dde9acf7f88977f4d48b9c6e80a70c30b453f8170</x:v>
      </x:c>
      <x:c r="G12" s="59" t="n">
        <x:v>1032</x:v>
      </x:c>
    </x:row>
    <x:row r="13">
      <x:c r="A13" s="47" t="str">
        <x:v>RUN-I2-030-20260830T203715270871Z</x:v>
      </x:c>
      <x:c r="B13" s="47" t="str">
        <x:v>I2-030</x:v>
      </x:c>
      <x:c r="C13" s="59" t="n">
        <x:v>2</x:v>
      </x:c>
      <x:c r="D13" s="47" t="str">
        <x:v>generator_prompt</x:v>
      </x:c>
      <x:c r="E13" s="48" t="str">
        <x:v>artifacts/attempt_02/generator_prompt.txt</x:v>
      </x:c>
      <x:c r="F13" s="47" t="str">
        <x:v>dfc0690bd4e056e28ae56c3c23c320960d53edd7c3c7043aff9b6a707b6570bf</x:v>
      </x:c>
      <x:c r="G13" s="59" t="n">
        <x:v>63785</x:v>
      </x:c>
    </x:row>
    <x:row r="14">
      <x:c r="A14" s="47" t="str">
        <x:v>RUN-I2-030-20260830T203715270871Z</x:v>
      </x:c>
      <x:c r="B14" s="47" t="str">
        <x:v>I2-030</x:v>
      </x:c>
      <x:c r="C14" s="59" t="n">
        <x:v>2</x:v>
      </x:c>
      <x:c r="D14" s="47" t="str">
        <x:v>generator_raw_response</x:v>
      </x:c>
      <x:c r="E14" s="48" t="str">
        <x:v>artifacts/attempt_02/generator_raw.txt</x:v>
      </x:c>
      <x:c r="F14" s="47" t="str">
        <x:v>d238dfa3c34838e06e40b67e9e80ae0a3209081ea60f1b361f6e4a843443a054</x:v>
      </x:c>
      <x:c r="G14" s="59" t="n">
        <x:v>10160</x:v>
      </x:c>
    </x:row>
    <x:row r="15">
      <x:c r="A15" s="47" t="str">
        <x:v>RUN-I2-030-20260830T203715270871Z</x:v>
      </x:c>
      <x:c r="B15" s="47" t="str">
        <x:v>I2-030</x:v>
      </x:c>
      <x:c r="C15" s="59" t="n">
        <x:v>2</x:v>
      </x:c>
      <x:c r="D15" s="47" t="str">
        <x:v>candidate_shape</x:v>
      </x:c>
      <x:c r="E15" s="48" t="str">
        <x:v>artifacts/attempt_02/candidate_shape.ttl</x:v>
      </x:c>
      <x:c r="F15" s="47" t="str">
        <x:v>4d461a5ef8e28c9685978b4832ecc63b3f54886000d6baade752b43bba31b8b0</x:v>
      </x:c>
      <x:c r="G15" s="59" t="n">
        <x:v>10135</x:v>
      </x:c>
    </x:row>
    <x:row r="16">
      <x:c r="A16" s="47" t="str">
        <x:v>RUN-I2-030-20260830T203715270871Z</x:v>
      </x:c>
      <x:c r="B16" s="47" t="str">
        <x:v>I2-030</x:v>
      </x:c>
      <x:c r="C16" s="59" t="n">
        <x:v>2</x:v>
      </x:c>
      <x:c r="D16" s="47" t="str">
        <x:v>deterministic_validation</x:v>
      </x:c>
      <x:c r="E16" s="48" t="str">
        <x:v>artifacts/attempt_02/deterministic_validation.json</x:v>
      </x:c>
      <x:c r="F16" s="47" t="str">
        <x:v>ebf66be81cd6a7f060522b62123c53f47d540206dc7d3553733c47615923c939</x:v>
      </x:c>
      <x:c r="G16" s="59" t="n">
        <x:v>1841</x:v>
      </x:c>
    </x:row>
    <x:row r="17">
      <x:c r="A17" s="47" t="str">
        <x:v>RUN-I2-030-20260830T203715270871Z</x:v>
      </x:c>
      <x:c r="B17" s="47" t="str">
        <x:v>I2-030</x:v>
      </x:c>
      <x:c r="C17" s="59" t="n">
        <x:v>2</x:v>
      </x:c>
      <x:c r="D17" s="47" t="str">
        <x:v>validator_prompt</x:v>
      </x:c>
      <x:c r="E17" s="48" t="str">
        <x:v>artifacts/attempt_02/validator_prompt_01.txt</x:v>
      </x:c>
      <x:c r="F17" s="47" t="str">
        <x:v>0465489612caade177d44b3cfa5acbc8c5be7f0a7d89b9cf3076f1b6f6f7b233</x:v>
      </x:c>
      <x:c r="G17" s="59" t="n">
        <x:v>73656</x:v>
      </x:c>
    </x:row>
    <x:row r="18">
      <x:c r="A18" s="47" t="str">
        <x:v>RUN-I2-030-20260830T203715270871Z</x:v>
      </x:c>
      <x:c r="B18" s="47" t="str">
        <x:v>I2-030</x:v>
      </x:c>
      <x:c r="C18" s="59" t="n">
        <x:v>2</x:v>
      </x:c>
      <x:c r="D18" s="47" t="str">
        <x:v>validator_raw_response</x:v>
      </x:c>
      <x:c r="E18" s="48" t="str">
        <x:v>artifacts/attempt_02/validator_raw_01.txt</x:v>
      </x:c>
      <x:c r="F18" s="47" t="str">
        <x:v>ef5b62a2d9cd8141178f18acbe89edbc5108c8728f44d2c2d9a65c3bf6177c68</x:v>
      </x:c>
      <x:c r="G18" s="59" t="n">
        <x:v>814</x:v>
      </x:c>
    </x:row>
    <x:row r="19">
      <x:c r="A19" s="47" t="str">
        <x:v>RUN-I2-030-20260830T203715270871Z</x:v>
      </x:c>
      <x:c r="B19" s="47" t="str">
        <x:v>I2-030</x:v>
      </x:c>
      <x:c r="C19" s="59" t="n">
        <x:v>3</x:v>
      </x:c>
      <x:c r="D19" s="47" t="str">
        <x:v>generator_prompt</x:v>
      </x:c>
      <x:c r="E19" s="48" t="str">
        <x:v>artifacts/attempt_03/generator_prompt.txt</x:v>
      </x:c>
      <x:c r="F19" s="47" t="str">
        <x:v>6f9262ef5aff4324326197e8ea1cbb8c4fc50d772ea68a0125b76c0f756ad773</x:v>
      </x:c>
      <x:c r="G19" s="59" t="n">
        <x:v>64542</x:v>
      </x:c>
    </x:row>
    <x:row r="20">
      <x:c r="A20" s="47" t="str">
        <x:v>RUN-I2-030-20260830T203715270871Z</x:v>
      </x:c>
      <x:c r="B20" s="47" t="str">
        <x:v>I2-030</x:v>
      </x:c>
      <x:c r="C20" s="59" t="n">
        <x:v>3</x:v>
      </x:c>
      <x:c r="D20" s="47" t="str">
        <x:v>generator_raw_response</x:v>
      </x:c>
      <x:c r="E20" s="48" t="str">
        <x:v>artifacts/attempt_03/generator_raw.txt</x:v>
      </x:c>
      <x:c r="F20" s="47" t="str">
        <x:v>be972eaf8ba0d340043efcc108c75df279d360d715f0cc1027f64898da5a83cd</x:v>
      </x:c>
      <x:c r="G20" s="59" t="n">
        <x:v>9451</x:v>
      </x:c>
    </x:row>
    <x:row r="21">
      <x:c r="A21" s="47" t="str">
        <x:v>RUN-I2-030-20260830T203715270871Z</x:v>
      </x:c>
      <x:c r="B21" s="47" t="str">
        <x:v>I2-030</x:v>
      </x:c>
      <x:c r="C21" s="59" t="n">
        <x:v>3</x:v>
      </x:c>
      <x:c r="D21" s="47" t="str">
        <x:v>candidate_shape</x:v>
      </x:c>
      <x:c r="E21" s="48" t="str">
        <x:v>artifacts/attempt_03/candidate_shape.ttl</x:v>
      </x:c>
      <x:c r="F21" s="47" t="str">
        <x:v>1131404d78b9d60a340c99badefa40b38842ecb871937abd2a1a583b69b78cca</x:v>
      </x:c>
      <x:c r="G21" s="59" t="n">
        <x:v>9426</x:v>
      </x:c>
    </x:row>
    <x:row r="22">
      <x:c r="A22" s="47" t="str">
        <x:v>RUN-I2-030-20260830T203715270871Z</x:v>
      </x:c>
      <x:c r="B22" s="47" t="str">
        <x:v>I2-030</x:v>
      </x:c>
      <x:c r="C22" s="59" t="n">
        <x:v>3</x:v>
      </x:c>
      <x:c r="D22" s="47" t="str">
        <x:v>deterministic_validation</x:v>
      </x:c>
      <x:c r="E22" s="48" t="str">
        <x:v>artifacts/attempt_03/deterministic_validation.json</x:v>
      </x:c>
      <x:c r="F22" s="47" t="str">
        <x:v>ca610e4be5a9d383ad5fa62e2d570975290763dc0aacc9fce1f9c7f99f51bd1d</x:v>
      </x:c>
      <x:c r="G22" s="59" t="n">
        <x:v>3159</x:v>
      </x:c>
    </x:row>
    <x:row r="23">
      <x:c r="A23" s="47" t="str">
        <x:v>RUN-I2-030-20260830T203715270871Z</x:v>
      </x:c>
      <x:c r="B23" s="47" t="str">
        <x:v>I2-030</x:v>
      </x:c>
      <x:c r="C23" s="59" t="n">
        <x:v>3</x:v>
      </x:c>
      <x:c r="D23" s="47" t="str">
        <x:v>validator_prompt</x:v>
      </x:c>
      <x:c r="E23" s="48" t="str">
        <x:v>artifacts/attempt_03/validator_prompt_01.txt</x:v>
      </x:c>
      <x:c r="F23" s="47" t="str">
        <x:v>db8893c9c648ae8f9eafe93462f5b289f503187bbc70b442047bc74095f14493</x:v>
      </x:c>
      <x:c r="G23" s="59" t="n">
        <x:v>80051</x:v>
      </x:c>
    </x:row>
    <x:row r="24">
      <x:c r="A24" s="47" t="str">
        <x:v>RUN-I2-030-20260830T203715270871Z</x:v>
      </x:c>
      <x:c r="B24" s="47" t="str">
        <x:v>I2-030</x:v>
      </x:c>
      <x:c r="C24" s="59" t="n">
        <x:v>3</x:v>
      </x:c>
      <x:c r="D24" s="47" t="str">
        <x:v>validator_raw_response</x:v>
      </x:c>
      <x:c r="E24" s="48" t="str">
        <x:v>artifacts/attempt_03/validator_raw_01.txt</x:v>
      </x:c>
      <x:c r="F24" s="47" t="str">
        <x:v>7c0cfb4c9959b190334ccaf7c8403d88a8fabed7082612c1a0345b71c44a3689</x:v>
      </x:c>
      <x:c r="G24" s="59" t="n">
        <x:v>941</x:v>
      </x:c>
    </x:row>
    <x:row r="25">
      <x:c r="A25" s="47" t="str">
        <x:v>RUN-I2-030-20260830T203715270871Z</x:v>
      </x:c>
      <x:c r="B25" s="47" t="str">
        <x:v>I2-030</x:v>
      </x:c>
      <x:c r="C25" s="59" t="n">
        <x:v>3</x:v>
      </x:c>
      <x:c r="D25" s="47" t="str">
        <x:v>matcher_candidates</x:v>
      </x:c>
      <x:c r="E25" s="48" t="str">
        <x:v>artifacts/attempt_03/matcher_candidates.json</x:v>
      </x:c>
      <x:c r="F25" s="47" t="str">
        <x:v>a96b274409f57ae51d47f1a859c594aceb00941ae3c82928b485e4119f5b9c16</x:v>
      </x:c>
      <x:c r="G25" s="59" t="n">
        <x:v>7585</x:v>
      </x:c>
    </x:row>
    <x:row r="26">
      <x:c r="A26" s="47" t="str">
        <x:v>RUN-I2-030-20260830T203715270871Z</x:v>
      </x:c>
      <x:c r="B26" s="47" t="str">
        <x:v>I2-030</x:v>
      </x:c>
      <x:c r="C26" s="59" t="n">
        <x:v>3</x:v>
      </x:c>
      <x:c r="D26" s="47" t="str">
        <x:v>vocabulary_matcher_prompt</x:v>
      </x:c>
      <x:c r="E26" s="48" t="str">
        <x:v>artifacts/attempt_03/vocabulary_matcher_prompt_01.txt</x:v>
      </x:c>
      <x:c r="F26" s="47" t="str">
        <x:v>5be1ba89f418c9aaa6feea6975c64d26bb22cacb4d231de53c889e73d18f9b1b</x:v>
      </x:c>
      <x:c r="G26" s="59" t="n">
        <x:v>17403</x:v>
      </x:c>
    </x:row>
    <x:row r="27">
      <x:c r="A27" s="47" t="str">
        <x:v>RUN-I2-030-20260830T203715270871Z</x:v>
      </x:c>
      <x:c r="B27" s="47" t="str">
        <x:v>I2-030</x:v>
      </x:c>
      <x:c r="C27" s="59" t="n">
        <x:v>3</x:v>
      </x:c>
      <x:c r="D27" s="47" t="str">
        <x:v>vocabulary_matcher_raw_response</x:v>
      </x:c>
      <x:c r="E27" s="48" t="str">
        <x:v>artifacts/attempt_03/vocabulary_matcher_raw_01.txt</x:v>
      </x:c>
      <x:c r="F27" s="47" t="str">
        <x:v>2eca8869e93303b567291ce6ecfdce96960eed1c4fb9062bcbf129128da064c3</x:v>
      </x:c>
      <x:c r="G27" s="59" t="n">
        <x:v>311</x:v>
      </x:c>
    </x:row>
    <x:row r="28">
      <x:c r="A28" s="47" t="str">
        <x:v>RUN-I2-030-20260830T203715270871Z</x:v>
      </x:c>
      <x:c r="B28" s="47" t="str">
        <x:v>I2-030</x:v>
      </x:c>
      <x:c r="C28" s="59" t="n">
        <x:v>4</x:v>
      </x:c>
      <x:c r="D28" s="47" t="str">
        <x:v>expanded_context_pack</x:v>
      </x:c>
      <x:c r="E28" s="48" t="str">
        <x:v>artifacts/attempt_04/context_pack_expanded.json</x:v>
      </x:c>
      <x:c r="F28" s="47" t="str">
        <x:v>19afc768619f7e2cb442de2c0754dfdf9823d45e06672525db5326214e4473c6</x:v>
      </x:c>
      <x:c r="G28" s="59" t="n">
        <x:v>44653</x:v>
      </x:c>
    </x:row>
    <x:row r="29">
      <x:c r="A29" s="47" t="str">
        <x:v>RUN-I2-030-20260830T203715270871Z</x:v>
      </x:c>
      <x:c r="B29" s="47" t="str">
        <x:v>I2-030</x:v>
      </x:c>
      <x:c r="C29" s="59" t="n">
        <x:v>4</x:v>
      </x:c>
      <x:c r="D29" s="47" t="str">
        <x:v>generator_prompt</x:v>
      </x:c>
      <x:c r="E29" s="48" t="str">
        <x:v>artifacts/attempt_04/generator_prompt.txt</x:v>
      </x:c>
      <x:c r="F29" s="47" t="str">
        <x:v>4bf3e6c57c1ba2dc9542d3f3bc8192163dcaa9d4f2952a238903bd56ed9102ac</x:v>
      </x:c>
      <x:c r="G29" s="59" t="n">
        <x:v>66227</x:v>
      </x:c>
    </x:row>
    <x:row r="30">
      <x:c r="A30" s="47" t="str">
        <x:v>RUN-I2-030-20260830T203715270871Z</x:v>
      </x:c>
      <x:c r="B30" s="47" t="str">
        <x:v>I2-030</x:v>
      </x:c>
      <x:c r="C30" s="59" t="n">
        <x:v>4</x:v>
      </x:c>
      <x:c r="D30" s="47" t="str">
        <x:v>generator_raw_response</x:v>
      </x:c>
      <x:c r="E30" s="48" t="str">
        <x:v>artifacts/attempt_04/generator_raw.txt</x:v>
      </x:c>
      <x:c r="F30" s="47" t="str">
        <x:v>6e8eedf4a07e91591ad22cacc66acf628ee4526d74c9974b3a2ff1ef4f1cc9ac</x:v>
      </x:c>
      <x:c r="G30" s="59" t="n">
        <x:v>10802</x:v>
      </x:c>
    </x:row>
    <x:row r="31">
      <x:c r="A31" s="47" t="str">
        <x:v>RUN-I2-030-20260830T203715270871Z</x:v>
      </x:c>
      <x:c r="B31" s="47" t="str">
        <x:v>I2-030</x:v>
      </x:c>
      <x:c r="C31" s="59" t="n">
        <x:v>4</x:v>
      </x:c>
      <x:c r="D31" s="47" t="str">
        <x:v>candidate_shape</x:v>
      </x:c>
      <x:c r="E31" s="48" t="str">
        <x:v>artifacts/attempt_04/candidate_shape.ttl</x:v>
      </x:c>
      <x:c r="F31" s="47" t="str">
        <x:v>325bf9163ac95fed279f2d5f3a6e2dade044433cd8649afe21a8b41a3ee75c33</x:v>
      </x:c>
      <x:c r="G31" s="59" t="n">
        <x:v>10777</x:v>
      </x:c>
    </x:row>
    <x:row r="32">
      <x:c r="A32" s="47" t="str">
        <x:v>RUN-I2-030-20260830T203715270871Z</x:v>
      </x:c>
      <x:c r="B32" s="47" t="str">
        <x:v>I2-030</x:v>
      </x:c>
      <x:c r="C32" s="59" t="n">
        <x:v>4</x:v>
      </x:c>
      <x:c r="D32" s="47" t="str">
        <x:v>deterministic_validation</x:v>
      </x:c>
      <x:c r="E32" s="48" t="str">
        <x:v>artifacts/attempt_04/deterministic_validation.json</x:v>
      </x:c>
      <x:c r="F32" s="47" t="str">
        <x:v>e5c2bf67e8a2a8844b8cb06fe3d495640ca3d522f303672fae43deecc1fc864b</x:v>
      </x:c>
      <x:c r="G32" s="59" t="n">
        <x:v>1896</x:v>
      </x:c>
    </x:row>
    <x:row r="33">
      <x:c r="A33" s="47" t="str">
        <x:v>RUN-I2-030-20260830T203715270871Z</x:v>
      </x:c>
      <x:c r="B33" s="47" t="str">
        <x:v>I2-030</x:v>
      </x:c>
      <x:c r="C33" s="59" t="n">
        <x:v>4</x:v>
      </x:c>
      <x:c r="D33" s="47" t="str">
        <x:v>validator_prompt</x:v>
      </x:c>
      <x:c r="E33" s="48" t="str">
        <x:v>artifacts/attempt_04/validator_prompt_01.txt</x:v>
      </x:c>
      <x:c r="F33" s="47" t="str">
        <x:v>2652f37b02bab79156bebbde822a02f5958d6113bc7fa46ec9b207571fa7e1ef</x:v>
      </x:c>
      <x:c r="G33" s="59" t="n">
        <x:v>77126</x:v>
      </x:c>
    </x:row>
    <x:row r="34">
      <x:c r="A34" s="49" t="str">
        <x:v>RUN-I2-030-20260830T203715270871Z</x:v>
      </x:c>
      <x:c r="B34" s="49" t="str">
        <x:v>I2-030</x:v>
      </x:c>
      <x:c r="C34" s="60" t="n">
        <x:v>4</x:v>
      </x:c>
      <x:c r="D34" s="49" t="str">
        <x:v>validator_raw_response</x:v>
      </x:c>
      <x:c r="E34" s="50" t="str">
        <x:v>artifacts/attempt_04/validator_raw_01.txt</x:v>
      </x:c>
      <x:c r="F34" s="49" t="str">
        <x:v>3eeff8753e4e8f120408d9ac57f8a043bf45d633d2cbc6966c1c834c3d1935f5</x:v>
      </x:c>
      <x:c r="G34" s="60" t="n">
        <x:v>1158</x:v>
      </x:c>
    </x:row>
  </x:sheetData>
  <x:pageMargins left="0.7" right="0.7" top="0.75" bottom="0.75" header="0.3" footer="0.3"/>
  <x:tableParts count="1">
    <x:tablePart xmlns:r="http://schemas.openxmlformats.org/officeDocument/2006/relationships" r:id="R98bfd3d42a4648a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RUN-I2-030-20260830T203715270871Z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RUN-I2-030-20260830T203715270871Z</x:v>
      </x:c>
      <x:c r="B5" s="69" t="str">
        <x:v>I2-030</x:v>
      </x:c>
      <x:c r="C5" s="71" t="n">
        <x:v>4</x:v>
      </x:c>
      <x:c r="D5" s="69" t="str">
        <x:v>MAX_ATTEMPTS_REACHED</x:v>
      </x:c>
      <x:c r="E5" s="73" t="str">
        <x:v>Do not freeze. Preserve the prior owner/path, endpoint-shape, applicability-boundary, operand/result, unit, and Complex-readiness instructions. The applicability SPARQL is still semantically insufficient: it joins each calculation case to any structural member on the same ship, so an unrelated member can trigger the case; scope the selector to the supplied paired calculation-case/structural-member data using the declared model paths and do not rely on broad ship-level joins. It also only checks presence of netLocalFrameFlangeArea, netAttachedShellPlateThickness, and frameSpacing; encode the required area-exceeds comparison with the correct direction and unit scaling (100*A_fn &gt; 1000*t_pn*s), while retaining violation behavior when selector evidence is missing. The oblique interpolation checks must likewise be evaluated for the correctly paired case and must conditionally require both endpoint relationships and their endpoint node structures only when 20° &lt; framingAngleOmega &lt; 70°; do not make those alternatives unconditional or allow missing branch-selection evidence to pass.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e13dad240904a6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RUN-I2-030-20260830T203715270871Z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