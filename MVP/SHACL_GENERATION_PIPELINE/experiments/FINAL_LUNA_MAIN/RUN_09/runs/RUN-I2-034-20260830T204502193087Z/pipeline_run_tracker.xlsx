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33233b8c574519" /></Relationships>
</file>

<file path=xl/workbook.xml><?xml version="1.0" encoding="utf-8"?>
<x:workbook xmlns:x="http://schemas.openxmlformats.org/spreadsheetml/2006/main">
  <x:sheets>
    <x:sheet xmlns:r="http://schemas.openxmlformats.org/officeDocument/2006/relationships" name="SUMMARY" sheetId="1" r:id="R57b2802ec5a342be"/>
    <x:sheet xmlns:r="http://schemas.openxmlformats.org/officeDocument/2006/relationships" name="README" sheetId="2" r:id="R52da7c2a8f844ce0"/>
    <x:sheet xmlns:r="http://schemas.openxmlformats.org/officeDocument/2006/relationships" name="REGULATION_QUEUE" sheetId="3" r:id="R7fdcb832075546a0"/>
    <x:sheet xmlns:r="http://schemas.openxmlformats.org/officeDocument/2006/relationships" name="RUNS" sheetId="4" r:id="R5341789d0f004e0a"/>
    <x:sheet xmlns:r="http://schemas.openxmlformats.org/officeDocument/2006/relationships" name="ITERATIONS" sheetId="5" r:id="R6784053ba3714f4b"/>
    <x:sheet xmlns:r="http://schemas.openxmlformats.org/officeDocument/2006/relationships" name="API_CALLS" sheetId="6" r:id="Rcf11f784f98647bc"/>
    <x:sheet xmlns:r="http://schemas.openxmlformats.org/officeDocument/2006/relationships" name="TERM_RETRIEVAL" sheetId="7" r:id="R166e0a8d899d4a5d"/>
    <x:sheet xmlns:r="http://schemas.openxmlformats.org/officeDocument/2006/relationships" name="FEW_SHOT_SELECTION" sheetId="8" r:id="R9d6061773b0840da"/>
    <x:sheet xmlns:r="http://schemas.openxmlformats.org/officeDocument/2006/relationships" name="VALIDATION" sheetId="9" r:id="R097a5347fe484abf"/>
    <x:sheet xmlns:r="http://schemas.openxmlformats.org/officeDocument/2006/relationships" name="VOCAB_MATCHES" sheetId="10" r:id="R2ec20754bfa94b9f"/>
    <x:sheet xmlns:r="http://schemas.openxmlformats.org/officeDocument/2006/relationships" name="ARTIFACTS" sheetId="11" r:id="R491bb648a5344c65"/>
    <x:sheet xmlns:r="http://schemas.openxmlformats.org/officeDocument/2006/relationships" name="UNRESOLVED" sheetId="12" r:id="Rba73369f947e4084"/>
    <x:sheet xmlns:r="http://schemas.openxmlformats.org/officeDocument/2006/relationships" name="RDF_TEST_QUEUE" sheetId="13" r:id="R0f2711ae5f174cd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d893d3163e94f60" /><Relationship Type="http://schemas.openxmlformats.org/officeDocument/2006/relationships/theme" Target="/xl/theme/theme1.xml" Id="R578d82feaa394b8b" /><Relationship Type="http://schemas.microsoft.com/office/2022/11/relationships/FeaturePropertyBag" Target="/xl/featurePropertyBag/featurePropertyBag.xml" Id="Rb308e883c31d474b" /><Relationship Type="http://schemas.openxmlformats.org/officeDocument/2006/relationships/sharedStrings" Target="/xl/sharedStrings.xml" Id="R79c12442b26c4a2b" /><Relationship Type="http://schemas.openxmlformats.org/officeDocument/2006/relationships/worksheet" Target="/xl/worksheets/sheet1.xml" Id="R57b2802ec5a342be" /><Relationship Type="http://schemas.openxmlformats.org/officeDocument/2006/relationships/worksheet" Target="/xl/worksheets/sheet2.xml" Id="R52da7c2a8f844ce0" /><Relationship Type="http://schemas.openxmlformats.org/officeDocument/2006/relationships/worksheet" Target="/xl/worksheets/sheet3.xml" Id="R7fdcb832075546a0" /><Relationship Type="http://schemas.openxmlformats.org/officeDocument/2006/relationships/worksheet" Target="/xl/worksheets/sheet4.xml" Id="R5341789d0f004e0a" /><Relationship Type="http://schemas.openxmlformats.org/officeDocument/2006/relationships/worksheet" Target="/xl/worksheets/sheet5.xml" Id="R6784053ba3714f4b" /><Relationship Type="http://schemas.openxmlformats.org/officeDocument/2006/relationships/worksheet" Target="/xl/worksheets/sheet6.xml" Id="Rcf11f784f98647bc" /><Relationship Type="http://schemas.openxmlformats.org/officeDocument/2006/relationships/worksheet" Target="/xl/worksheets/sheet7.xml" Id="R166e0a8d899d4a5d" /><Relationship Type="http://schemas.openxmlformats.org/officeDocument/2006/relationships/worksheet" Target="/xl/worksheets/sheet8.xml" Id="R9d6061773b0840da" /><Relationship Type="http://schemas.openxmlformats.org/officeDocument/2006/relationships/worksheet" Target="/xl/worksheets/sheet9.xml" Id="R097a5347fe484abf" /><Relationship Type="http://schemas.openxmlformats.org/officeDocument/2006/relationships/worksheet" Target="/xl/worksheets/sheet10.xml" Id="R2ec20754bfa94b9f" /><Relationship Type="http://schemas.openxmlformats.org/officeDocument/2006/relationships/worksheet" Target="/xl/worksheets/sheet11.xml" Id="R491bb648a5344c65" /><Relationship Type="http://schemas.openxmlformats.org/officeDocument/2006/relationships/worksheet" Target="/xl/worksheets/sheet12.xml" Id="Rba73369f947e4084" /><Relationship Type="http://schemas.openxmlformats.org/officeDocument/2006/relationships/worksheet" Target="/xl/worksheets/sheet13.xml" Id="R0f2711ae5f174cd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3"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ee0b3931ffe4c57" /></Relationships>
</file>

<file path=xl/worksheets/_rels/sheet3.xml.rels>&#65279;<?xml version="1.0" encoding="utf-8"?><Relationships xmlns="http://schemas.openxmlformats.org/package/2006/relationships"><Relationship Type="http://schemas.openxmlformats.org/officeDocument/2006/relationships/table" Target="/xl/tables/table2.xml" Id="R619cf07bf77f49bf" /></Relationships>
</file>

<file path=xl/worksheets/_rels/sheet4.xml.rels>&#65279;<?xml version="1.0" encoding="utf-8"?><Relationships xmlns="http://schemas.openxmlformats.org/package/2006/relationships"><Relationship Type="http://schemas.openxmlformats.org/officeDocument/2006/relationships/table" Target="/xl/tables/table3.xml" Id="Rd15fc1d0e9e24295" /></Relationships>
</file>

<file path=xl/worksheets/_rels/sheet5.xml.rels>&#65279;<?xml version="1.0" encoding="utf-8"?><Relationships xmlns="http://schemas.openxmlformats.org/package/2006/relationships"><Relationship Type="http://schemas.openxmlformats.org/officeDocument/2006/relationships/table" Target="/xl/tables/table4.xml" Id="R60ec2c0a63224677" /></Relationships>
</file>

<file path=xl/worksheets/_rels/sheet6.xml.rels>&#65279;<?xml version="1.0" encoding="utf-8"?><Relationships xmlns="http://schemas.openxmlformats.org/package/2006/relationships"><Relationship Type="http://schemas.openxmlformats.org/officeDocument/2006/relationships/table" Target="/xl/tables/table5.xml" Id="R2b612dc73cf74228" /></Relationships>
</file>

<file path=xl/worksheets/_rels/sheet7.xml.rels>&#65279;<?xml version="1.0" encoding="utf-8"?><Relationships xmlns="http://schemas.openxmlformats.org/package/2006/relationships"><Relationship Type="http://schemas.openxmlformats.org/officeDocument/2006/relationships/table" Target="/xl/tables/table6.xml" Id="R206c66db40084a2f" /></Relationships>
</file>

<file path=xl/worksheets/_rels/sheet8.xml.rels>&#65279;<?xml version="1.0" encoding="utf-8"?><Relationships xmlns="http://schemas.openxmlformats.org/package/2006/relationships"><Relationship Type="http://schemas.openxmlformats.org/officeDocument/2006/relationships/table" Target="/xl/tables/table7.xml" Id="Rfe0b2621ee904f0f" /></Relationships>
</file>

<file path=xl/worksheets/_rels/sheet9.xml.rels>&#65279;<?xml version="1.0" encoding="utf-8"?><Relationships xmlns="http://schemas.openxmlformats.org/package/2006/relationships"><Relationship Type="http://schemas.openxmlformats.org/officeDocument/2006/relationships/table" Target="/xl/tables/table8.xml" Id="Rf9b5ab1b197f4207" /></Relationships>
</file>

<file path=xl/worksheets/_rels/sheet11.xml.rels>&#65279;<?xml version="1.0" encoding="utf-8"?><Relationships xmlns="http://schemas.openxmlformats.org/package/2006/relationships"><Relationship Type="http://schemas.openxmlformats.org/officeDocument/2006/relationships/table" Target="/xl/tables/table9.xml" Id="R633f6305444c419b" /></Relationships>
</file>

<file path=xl/worksheets/_rels/sheet12.xml.rels>&#65279;<?xml version="1.0" encoding="utf-8"?><Relationships xmlns="http://schemas.openxmlformats.org/package/2006/relationships"><Relationship Type="http://schemas.openxmlformats.org/officeDocument/2006/relationships/table" Target="/xl/tables/table10.xml" Id="Ra2bccbe626e948a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RUN-I2-034-20260830T204502193087Z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COUNTA('API_CALLS'!$A$5:$A$23)</x:f>
        <x:v>19</x:v>
      </x:c>
      <x:c r="C9" s="21"/>
      <x:c r="D9" s="21"/>
    </x:row>
    <x:row r="10">
      <x:c r="A10" s="27" t="str">
        <x:v>Mean API/LLM elapsed ms</x:v>
      </x:c>
      <x:c r="B10" s="28" t="n">
        <x:f>IFERROR(AVERAGE('API_CALLS'!$K$5:$K$23),0)</x:f>
        <x:v>17159.872894736836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RUN-I2-034-20260830T204502193087Z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ee0b3931ffe4c5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RUN-I2-034-20260830T204502193087Z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MAX_ATTEMPTS_REACHED</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19cf07bf77f49b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RUN-I2-034-20260830T204502193087Z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RUN-I2-034-20260830T204502193087Z</x:v>
      </x:c>
      <x:c r="C5" s="69" t="str">
        <x:v>I2-034</x:v>
      </x:c>
      <x:c r="D5" s="70" t="n">
        <x:v>46264.86460872685</x:v>
      </x:c>
      <x:c r="E5" s="70" t="n">
        <x:v>46264.8665303588</x:v>
      </x:c>
      <x:c r="F5" s="69" t="str">
        <x:v>final-luna-main-run09</x:v>
      </x:c>
      <x:c r="G5" s="69" t="str">
        <x:v>VOCAB-LOCK-2026-08-22-R13</x:v>
      </x:c>
      <x:c r="H5" s="71" t="n">
        <x:v>4</x:v>
      </x:c>
      <x:c r="I5" s="69" t="str">
        <x:v>MAX_ATTEMPTS_REACHED</x:v>
      </x:c>
      <x:c r="J5" s="72" t="b">
        <x:v>0</x:v>
      </x:c>
      <x:c r="K5" s="69" t="str"/>
      <x:c r="L5" s="73" t="str">
        <x:v>Repair applicability without changing the preserved ship-owned frameProfileType, structural-member/load-case ownership, canonical kN unit, cardinalities, or tolerance direction. The current StructuralMemberShape is applied to every nltl:hasStructuralMember value and requires longitudinalFrameOrientation=true and structuralLocation=sideStructureLocation, thereby incorrectly making all represented structural members applicable. Make the requirement conditional: validate the demand-versus-strength comparison only for structural-member nodes that already have the declared applicability inputs (orientation true and sideStructureLocation), while allowing non-longitudinal or non-side members and allowing no represented applicable member. Do not replace this with a convenience applicability boolean or relocate the paths.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15fc1d0e9e2429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RUN-I2-034-20260830T204502193087Z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RUN-I2-034-20260830T204502193087Z</x:v>
      </x:c>
      <x:c r="B5" s="45" t="str">
        <x:v>I2-034</x:v>
      </x:c>
      <x:c r="C5" s="58" t="n">
        <x:v>1</x:v>
      </x:c>
      <x:c r="D5" s="83" t="b">
        <x:v>0</x:v>
      </x:c>
      <x:c r="E5" s="83" t="b">
        <x:v>0</x:v>
      </x:c>
      <x:c r="F5" s="83" t="b">
        <x:v>0</x:v>
      </x:c>
      <x:c r="G5" s="45" t="str">
        <x:v>REVISE_STATIC_GATE</x:v>
      </x:c>
      <x:c r="H5" s="46" t="str">
        <x:v>Deterministic validation prevents acceptance. Fix: COMPLETE dependency relationship(s) absent from candidate: frameProfileType
Semantic validator feedback: Add the COMPLETE dependency relationship nltl:frameProfileType on the supplied ship owner, using its canonical range/value structure; it is required by the dependency contract and is currently absent. Do not relocate it to a structural member or benchmarkEntity. Preserve the existing structural-member/load-case ownership and applicability paths.</x:v>
      </x:c>
      <x:c r="I5" s="84" t="n">
        <x:v>30541.059</x:v>
      </x:c>
      <x:c r="J5" s="84" t="n">
        <x:v>5574.922</x:v>
      </x:c>
    </x:row>
    <x:row r="6">
      <x:c r="A6" s="47" t="str">
        <x:v>RUN-I2-034-20260830T204502193087Z</x:v>
      </x:c>
      <x:c r="B6" s="47" t="str">
        <x:v>I2-034</x:v>
      </x:c>
      <x:c r="C6" s="59" t="n">
        <x:v>2</x:v>
      </x:c>
      <x:c r="D6" s="85" t="b">
        <x:v>1</x:v>
      </x:c>
      <x:c r="E6" s="85" t="b">
        <x:v>0</x:v>
      </x:c>
      <x:c r="F6" s="85" t="b">
        <x:v>0</x:v>
      </x:c>
      <x:c r="G6" s="47" t="str">
        <x:v>REVISE</x:v>
      </x:c>
      <x:c r="H6" s="48" t="str">
        <x:v>Replace qudt:KiloN with the canonical unit IRI qudt vocabulary unit http://qudt.org/vocab/unit/KiloN (the current qudt prefix resolves to http://qudt.org/schema/qudt/KiloN). Also revise the comparison semantics: midspanPlasticCollapseLoad defines plasticStrength; do not model it as an independent alternative cap unless the verified comparison model explicitly requires both thresholds. Preserve the required ship-owned frameProfileType relationship and the existing structural-member/load-case ownership paths.</x:v>
      </x:c>
      <x:c r="I6" s="86" t="n">
        <x:v>27278.736</x:v>
      </x:c>
      <x:c r="J6" s="86" t="n">
        <x:v>10828.16</x:v>
      </x:c>
    </x:row>
    <x:row r="7">
      <x:c r="A7" s="47" t="str">
        <x:v>RUN-I2-034-20260830T204502193087Z</x:v>
      </x:c>
      <x:c r="B7" s="47" t="str">
        <x:v>I2-034</x:v>
      </x:c>
      <x:c r="C7" s="59" t="n">
        <x:v>3</x:v>
      </x:c>
      <x:c r="D7" s="85" t="b">
        <x:v>1</x:v>
      </x:c>
      <x:c r="E7" s="85" t="b">
        <x:v>0</x:v>
      </x:c>
      <x:c r="F7" s="85" t="b">
        <x:v>0</x:v>
      </x:c>
      <x:c r="G7" s="47" t="str">
        <x:v>REVISE</x:v>
      </x:c>
      <x:c r="H7" s="48" t="str">
        <x:v>Preserve the already-correct ship-owned nltl:frameProfileType relationship, structural-member/load-case ownership, and canonical unit IRI. Repair the quantity semantics: the current SPARQL only proves that at least one decimal/kN value exists and only checks distinct quantity nodes, so extra numericValue or unit values, invalid values, and multiple demand values can pass accidentally. Constrain plasticStrength, midspanPlasticCollapseLoad, and each combinedShearAndBendingDemand quantity to exactly one xsd:decimal qudt:numericValue and exactly one unit:KiloN, and ensure the comparison evaluates that single value. Also scale the equality tolerance against the expected defining value (?mv, the midspanPlasticCollapseLoad), not the reported plasticStrength (?pv), i.e. use a tolerance based on ABS(?mv).</x:v>
      </x:c>
      <x:c r="I7" s="86" t="n">
        <x:v>32456.277</x:v>
      </x:c>
      <x:c r="J7" s="86" t="n">
        <x:v>12299.62</x:v>
      </x:c>
    </x:row>
    <x:row r="8">
      <x:c r="A8" s="49" t="str">
        <x:v>RUN-I2-034-20260830T204502193087Z</x:v>
      </x:c>
      <x:c r="B8" s="49" t="str">
        <x:v>I2-034</x:v>
      </x:c>
      <x:c r="C8" s="60" t="n">
        <x:v>4</x:v>
      </x:c>
      <x:c r="D8" s="87" t="b">
        <x:v>1</x:v>
      </x:c>
      <x:c r="E8" s="87" t="b">
        <x:v>0</x:v>
      </x:c>
      <x:c r="F8" s="87" t="b">
        <x:v>0</x:v>
      </x:c>
      <x:c r="G8" s="49" t="str">
        <x:v>REVISE</x:v>
      </x:c>
      <x:c r="H8" s="50" t="str">
        <x:v>Repair applicability without changing the preserved ship-owned frameProfileType, structural-member/load-case ownership, canonical kN unit, cardinalities, or tolerance direction. The current StructuralMemberShape is applied to every nltl:hasStructuralMember value and requires longitudinalFrameOrientation=true and structuralLocation=sideStructureLocation, thereby incorrectly making all represented structural members applicable. Make the requirement conditional: validate the demand-versus-strength comparison only for structural-member nodes that already have the declared applicability inputs (orientation true and sideStructureLocation), while allowing non-longitudinal or non-side members and allowing no represented applicable member. Do not replace this with a convenience applicability boolean or relocate the paths.</x:v>
      </x:c>
      <x:c r="I8" s="88" t="n">
        <x:v>23439.556</x:v>
      </x:c>
      <x:c r="J8" s="88" t="n">
        <x:v>11958.578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0ec2c0a6322467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RUN-I2-034-20260830T204502193087Z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RUN-I2-034-20260830T204502193087Z</x:v>
      </x:c>
      <x:c r="C5" s="45" t="str">
        <x:v>I2-034</x:v>
      </x:c>
      <x:c r="D5" s="92" t="n">
        <x:v>46264.8649622338</x:v>
      </x:c>
      <x:c r="E5" s="45" t="str">
        <x:v>generator</x:v>
      </x:c>
      <x:c r="F5" s="45" t="str">
        <x:v>gpt-5.6-luna-2026-07-09</x:v>
      </x:c>
      <x:c r="G5" s="45" t="n">
        <x:v>1</x:v>
      </x:c>
      <x:c r="H5" s="45" t="n">
        <x:v>200</x:v>
      </x:c>
      <x:c r="I5" s="45" t="str">
        <x:v>Ocp-Apim-Subscription-Key</x:v>
      </x:c>
      <x:c r="J5" s="84" t="n">
        <x:v>0</x:v>
      </x:c>
      <x:c r="K5" s="84" t="n">
        <x:v>30540.296</x:v>
      </x:c>
      <x:c r="L5" s="83" t="b">
        <x:v>0</x:v>
      </x:c>
      <x:c r="M5" s="45" t="str"/>
      <x:c r="N5" s="58" t="str"/>
      <x:c r="O5" s="58" t="str"/>
      <x:c r="P5" s="58" t="str"/>
    </x:row>
    <x:row r="6">
      <x:c r="A6" s="47" t="str">
        <x:v>EVT-000035</x:v>
      </x:c>
      <x:c r="B6" s="47" t="str">
        <x:v>RUN-I2-034-20260830T204502193087Z</x:v>
      </x:c>
      <x:c r="C6" s="47" t="str">
        <x:v>I2-034</x:v>
      </x:c>
      <x:c r="D6" s="93" t="n">
        <x:v>46264.86496224537</x:v>
      </x:c>
      <x:c r="E6" s="47" t="str">
        <x:v>generator</x:v>
      </x:c>
      <x:c r="F6" s="47" t="str">
        <x:v>gpt-5.6-luna-2026-07-09</x:v>
      </x:c>
      <x:c r="G6" s="47" t="n">
        <x:v>1</x:v>
      </x:c>
      <x:c r="H6" s="47" t="str">
        <x:v>COMPLETED</x:v>
      </x:c>
      <x:c r="I6" s="47" t="str"/>
      <x:c r="J6" s="86" t="n">
        <x:v>0</x:v>
      </x:c>
      <x:c r="K6" s="86" t="n">
        <x:v>30541.059</x:v>
      </x:c>
      <x:c r="L6" s="85" t="b">
        <x:v>0</x:v>
      </x:c>
      <x:c r="M6" s="47" t="str">
        <x:v>resp_09a03c1196353d89006a94964f45e88197bc7bb970f5e00a45</x:v>
      </x:c>
      <x:c r="N6" s="59" t="n">
        <x:v>11553</x:v>
      </x:c>
      <x:c r="O6" s="59" t="n">
        <x:v>3346</x:v>
      </x:c>
      <x:c r="P6" s="59" t="n">
        <x:v>14899</x:v>
      </x:c>
    </x:row>
    <x:row r="7">
      <x:c r="A7" s="47" t="str">
        <x:v>EVT-000040</x:v>
      </x:c>
      <x:c r="B7" s="47" t="str">
        <x:v>RUN-I2-034-20260830T204502193087Z</x:v>
      </x:c>
      <x:c r="C7" s="47" t="str">
        <x:v>I2-034</x:v>
      </x:c>
      <x:c r="D7" s="93" t="n">
        <x:v>46264.8649678588</x:v>
      </x:c>
      <x:c r="E7" s="47" t="str">
        <x:v>syntax_repair</x:v>
      </x:c>
      <x:c r="F7" s="47" t="str">
        <x:v>gpt-5.6-luna-2026-07-09</x:v>
      </x:c>
      <x:c r="G7" s="47" t="n">
        <x:v>1</x:v>
      </x:c>
      <x:c r="H7" s="47" t="n">
        <x:v>500</x:v>
      </x:c>
      <x:c r="I7" s="47" t="str">
        <x:v>Ocp-Apim-Subscription-Key</x:v>
      </x:c>
      <x:c r="J7" s="86" t="n">
        <x:v>0</x:v>
      </x:c>
      <x:c r="K7" s="86" t="n">
        <x:v>483.371</x:v>
      </x:c>
      <x:c r="L7" s="85" t="b">
        <x:v>1</x:v>
      </x:c>
      <x:c r="M7" s="47" t="str"/>
      <x:c r="N7" s="59" t="str"/>
      <x:c r="O7" s="59" t="str"/>
      <x:c r="P7" s="59" t="str"/>
    </x:row>
    <x:row r="8">
      <x:c r="A8" s="47" t="str">
        <x:v>EVT-000043</x:v>
      </x:c>
      <x:c r="B8" s="47" t="str">
        <x:v>RUN-I2-034-20260830T204502193087Z</x:v>
      </x:c>
      <x:c r="C8" s="47" t="str">
        <x:v>I2-034</x:v>
      </x:c>
      <x:c r="D8" s="93" t="n">
        <x:v>46264.86509144676</x:v>
      </x:c>
      <x:c r="E8" s="47" t="str">
        <x:v>syntax_repair</x:v>
      </x:c>
      <x:c r="F8" s="47" t="str">
        <x:v>gpt-5.6-luna-2026-07-09</x:v>
      </x:c>
      <x:c r="G8" s="47" t="n">
        <x:v>2</x:v>
      </x:c>
      <x:c r="H8" s="47" t="n">
        <x:v>200</x:v>
      </x:c>
      <x:c r="I8" s="47" t="str">
        <x:v>Ocp-Apim-Subscription-Key</x:v>
      </x:c>
      <x:c r="J8" s="86" t="n">
        <x:v>0</x:v>
      </x:c>
      <x:c r="K8" s="86" t="n">
        <x:v>5650.373</x:v>
      </x:c>
      <x:c r="L8" s="85" t="b">
        <x:v>0</x:v>
      </x:c>
      <x:c r="M8" s="47" t="str"/>
      <x:c r="N8" s="59" t="str"/>
      <x:c r="O8" s="59" t="str"/>
      <x:c r="P8" s="59" t="str"/>
    </x:row>
    <x:row r="9">
      <x:c r="A9" s="47" t="str">
        <x:v>EVT-000044</x:v>
      </x:c>
      <x:c r="B9" s="47" t="str">
        <x:v>RUN-I2-034-20260830T204502193087Z</x:v>
      </x:c>
      <x:c r="C9" s="47" t="str">
        <x:v>I2-034</x:v>
      </x:c>
      <x:c r="D9" s="93" t="n">
        <x:v>46264.865091458334</x:v>
      </x:c>
      <x:c r="E9" s="47" t="str">
        <x:v>syntax_repair</x:v>
      </x:c>
      <x:c r="F9" s="47" t="str">
        <x:v>gpt-5.6-luna-2026-07-09</x:v>
      </x:c>
      <x:c r="G9" s="47" t="n">
        <x:v>2</x:v>
      </x:c>
      <x:c r="H9" s="47" t="str">
        <x:v>COMPLETED</x:v>
      </x:c>
      <x:c r="I9" s="47" t="str"/>
      <x:c r="J9" s="86" t="n">
        <x:v>0</x:v>
      </x:c>
      <x:c r="K9" s="86" t="n">
        <x:v>11161.791</x:v>
      </x:c>
      <x:c r="L9" s="85" t="b">
        <x:v>0</x:v>
      </x:c>
      <x:c r="M9" s="47" t="str">
        <x:v>resp_01625b02ea50f785006a9496725a4c8190b87345d8b0a82707</x:v>
      </x:c>
      <x:c r="N9" s="59" t="n">
        <x:v>1632</x:v>
      </x:c>
      <x:c r="O9" s="59" t="n">
        <x:v>1240</x:v>
      </x:c>
      <x:c r="P9" s="59" t="n">
        <x:v>2872</x:v>
      </x:c>
    </x:row>
    <x:row r="10">
      <x:c r="A10" s="47" t="str">
        <x:v>EVT-000052</x:v>
      </x:c>
      <x:c r="B10" s="47" t="str">
        <x:v>RUN-I2-034-20260830T204502193087Z</x:v>
      </x:c>
      <x:c r="C10" s="47" t="str">
        <x:v>I2-034</x:v>
      </x:c>
      <x:c r="D10" s="93" t="n">
        <x:v>46264.865157314816</x:v>
      </x:c>
      <x:c r="E10" s="47" t="str">
        <x:v>validator</x:v>
      </x:c>
      <x:c r="F10" s="47" t="str">
        <x:v>gpt-5.6-luna-2026-07-09</x:v>
      </x:c>
      <x:c r="G10" s="47" t="n">
        <x:v>1</x:v>
      </x:c>
      <x:c r="H10" s="47" t="n">
        <x:v>200</x:v>
      </x:c>
      <x:c r="I10" s="47" t="str">
        <x:v>Ocp-Apim-Subscription-Key</x:v>
      </x:c>
      <x:c r="J10" s="86" t="n">
        <x:v>0</x:v>
      </x:c>
      <x:c r="K10" s="86" t="n">
        <x:v>5573.442</x:v>
      </x:c>
      <x:c r="L10" s="85" t="b">
        <x:v>0</x:v>
      </x:c>
      <x:c r="M10" s="47" t="str"/>
      <x:c r="N10" s="59" t="str"/>
      <x:c r="O10" s="59" t="str"/>
      <x:c r="P10" s="59" t="str"/>
    </x:row>
    <x:row r="11">
      <x:c r="A11" s="47" t="str">
        <x:v>EVT-000053</x:v>
      </x:c>
      <x:c r="B11" s="47" t="str">
        <x:v>RUN-I2-034-20260830T204502193087Z</x:v>
      </x:c>
      <x:c r="C11" s="47" t="str">
        <x:v>I2-034</x:v>
      </x:c>
      <x:c r="D11" s="93" t="n">
        <x:v>46264.86515732639</x:v>
      </x:c>
      <x:c r="E11" s="47" t="str">
        <x:v>validator</x:v>
      </x:c>
      <x:c r="F11" s="47" t="str">
        <x:v>gpt-5.6-luna-2026-07-09</x:v>
      </x:c>
      <x:c r="G11" s="47" t="n">
        <x:v>1</x:v>
      </x:c>
      <x:c r="H11" s="47" t="str">
        <x:v>COMPLETED</x:v>
      </x:c>
      <x:c r="I11" s="47" t="str"/>
      <x:c r="J11" s="86" t="n">
        <x:v>0</x:v>
      </x:c>
      <x:c r="K11" s="86" t="n">
        <x:v>5574.922</x:v>
      </x:c>
      <x:c r="L11" s="85" t="b">
        <x:v>0</x:v>
      </x:c>
      <x:c r="M11" s="47" t="str">
        <x:v>resp_045de05370fd2d38006a9496781c8481908bb59a1bb6e23cb0</x:v>
      </x:c>
      <x:c r="N11" s="59" t="n">
        <x:v>12089</x:v>
      </x:c>
      <x:c r="O11" s="59" t="n">
        <x:v>471</x:v>
      </x:c>
      <x:c r="P11" s="59" t="n">
        <x:v>12560</x:v>
      </x:c>
    </x:row>
    <x:row r="12">
      <x:c r="A12" s="47" t="str">
        <x:v>EVT-000058</x:v>
      </x:c>
      <x:c r="B12" s="47" t="str">
        <x:v>RUN-I2-034-20260830T204502193087Z</x:v>
      </x:c>
      <x:c r="C12" s="47" t="str">
        <x:v>I2-034</x:v>
      </x:c>
      <x:c r="D12" s="93" t="n">
        <x:v>46264.865473101854</x:v>
      </x:c>
      <x:c r="E12" s="47" t="str">
        <x:v>generator</x:v>
      </x:c>
      <x:c r="F12" s="47" t="str">
        <x:v>gpt-5.6-luna-2026-07-09</x:v>
      </x:c>
      <x:c r="G12" s="47" t="n">
        <x:v>1</x:v>
      </x:c>
      <x:c r="H12" s="47" t="n">
        <x:v>200</x:v>
      </x:c>
      <x:c r="I12" s="47" t="str">
        <x:v>Ocp-Apim-Subscription-Key</x:v>
      </x:c>
      <x:c r="J12" s="86" t="n">
        <x:v>0</x:v>
      </x:c>
      <x:c r="K12" s="86" t="n">
        <x:v>27277.238</x:v>
      </x:c>
      <x:c r="L12" s="85" t="b">
        <x:v>0</x:v>
      </x:c>
      <x:c r="M12" s="47" t="str"/>
      <x:c r="N12" s="59" t="str"/>
      <x:c r="O12" s="59" t="str"/>
      <x:c r="P12" s="59" t="str"/>
    </x:row>
    <x:row r="13">
      <x:c r="A13" s="47" t="str">
        <x:v>EVT-000059</x:v>
      </x:c>
      <x:c r="B13" s="47" t="str">
        <x:v>RUN-I2-034-20260830T204502193087Z</x:v>
      </x:c>
      <x:c r="C13" s="47" t="str">
        <x:v>I2-034</x:v>
      </x:c>
      <x:c r="D13" s="93" t="n">
        <x:v>46264.865473125</x:v>
      </x:c>
      <x:c r="E13" s="47" t="str">
        <x:v>generator</x:v>
      </x:c>
      <x:c r="F13" s="47" t="str">
        <x:v>gpt-5.6-luna-2026-07-09</x:v>
      </x:c>
      <x:c r="G13" s="47" t="n">
        <x:v>1</x:v>
      </x:c>
      <x:c r="H13" s="47" t="str">
        <x:v>COMPLETED</x:v>
      </x:c>
      <x:c r="I13" s="47" t="str"/>
      <x:c r="J13" s="86" t="n">
        <x:v>0</x:v>
      </x:c>
      <x:c r="K13" s="86" t="n">
        <x:v>27278.736</x:v>
      </x:c>
      <x:c r="L13" s="85" t="b">
        <x:v>0</x:v>
      </x:c>
      <x:c r="M13" s="47" t="str">
        <x:v>resp_0f1ad695cfe4d160006a94967db2148193b291e094c0fbbeed</x:v>
      </x:c>
      <x:c r="N13" s="59" t="n">
        <x:v>11640</x:v>
      </x:c>
      <x:c r="O13" s="59" t="n">
        <x:v>3500</x:v>
      </x:c>
      <x:c r="P13" s="59" t="n">
        <x:v>15140</x:v>
      </x:c>
    </x:row>
    <x:row r="14">
      <x:c r="A14" s="47" t="str">
        <x:v>EVT-000066</x:v>
      </x:c>
      <x:c r="B14" s="47" t="str">
        <x:v>RUN-I2-034-20260830T204502193087Z</x:v>
      </x:c>
      <x:c r="C14" s="47" t="str">
        <x:v>I2-034</x:v>
      </x:c>
      <x:c r="D14" s="93" t="n">
        <x:v>46264.865599895835</x:v>
      </x:c>
      <x:c r="E14" s="47" t="str">
        <x:v>validator</x:v>
      </x:c>
      <x:c r="F14" s="47" t="str">
        <x:v>gpt-5.6-luna-2026-07-09</x:v>
      </x:c>
      <x:c r="G14" s="47" t="n">
        <x:v>1</x:v>
      </x:c>
      <x:c r="H14" s="47" t="n">
        <x:v>200</x:v>
      </x:c>
      <x:c r="I14" s="47" t="str">
        <x:v>Ocp-Apim-Subscription-Key</x:v>
      </x:c>
      <x:c r="J14" s="86" t="n">
        <x:v>0</x:v>
      </x:c>
      <x:c r="K14" s="86" t="n">
        <x:v>10826.65</x:v>
      </x:c>
      <x:c r="L14" s="85" t="b">
        <x:v>0</x:v>
      </x:c>
      <x:c r="M14" s="47" t="str"/>
      <x:c r="N14" s="59" t="str"/>
      <x:c r="O14" s="59" t="str"/>
      <x:c r="P14" s="59" t="str"/>
    </x:row>
    <x:row r="15">
      <x:c r="A15" s="47" t="str">
        <x:v>EVT-000067</x:v>
      </x:c>
      <x:c r="B15" s="47" t="str">
        <x:v>RUN-I2-034-20260830T204502193087Z</x:v>
      </x:c>
      <x:c r="C15" s="47" t="str">
        <x:v>I2-034</x:v>
      </x:c>
      <x:c r="D15" s="93" t="n">
        <x:v>46264.86559991898</x:v>
      </x:c>
      <x:c r="E15" s="47" t="str">
        <x:v>validator</x:v>
      </x:c>
      <x:c r="F15" s="47" t="str">
        <x:v>gpt-5.6-luna-2026-07-09</x:v>
      </x:c>
      <x:c r="G15" s="47" t="n">
        <x:v>1</x:v>
      </x:c>
      <x:c r="H15" s="47" t="str">
        <x:v>COMPLETED</x:v>
      </x:c>
      <x:c r="I15" s="47" t="str"/>
      <x:c r="J15" s="86" t="n">
        <x:v>0</x:v>
      </x:c>
      <x:c r="K15" s="86" t="n">
        <x:v>10828.16</x:v>
      </x:c>
      <x:c r="L15" s="85" t="b">
        <x:v>0</x:v>
      </x:c>
      <x:c r="M15" s="47" t="str">
        <x:v>resp_0c66e0b2f26ac5e7006a94969919d88190b26aaa1449e1c793</x:v>
      </x:c>
      <x:c r="N15" s="59" t="n">
        <x:v>12403</x:v>
      </x:c>
      <x:c r="O15" s="59" t="n">
        <x:v>1156</x:v>
      </x:c>
      <x:c r="P15" s="59" t="n">
        <x:v>13559</x:v>
      </x:c>
    </x:row>
    <x:row r="16">
      <x:c r="A16" s="47" t="str">
        <x:v>EVT-000072</x:v>
      </x:c>
      <x:c r="B16" s="47" t="str">
        <x:v>RUN-I2-034-20260830T204502193087Z</x:v>
      </x:c>
      <x:c r="C16" s="47" t="str">
        <x:v>I2-034</x:v>
      </x:c>
      <x:c r="D16" s="93" t="n">
        <x:v>46264.86597561343</x:v>
      </x:c>
      <x:c r="E16" s="47" t="str">
        <x:v>generator</x:v>
      </x:c>
      <x:c r="F16" s="47" t="str">
        <x:v>gpt-5.6-luna-2026-07-09</x:v>
      </x:c>
      <x:c r="G16" s="47" t="n">
        <x:v>1</x:v>
      </x:c>
      <x:c r="H16" s="47" t="n">
        <x:v>200</x:v>
      </x:c>
      <x:c r="I16" s="47" t="str">
        <x:v>Ocp-Apim-Subscription-Key</x:v>
      </x:c>
      <x:c r="J16" s="86" t="n">
        <x:v>0</x:v>
      </x:c>
      <x:c r="K16" s="86" t="n">
        <x:v>32455.171</x:v>
      </x:c>
      <x:c r="L16" s="85" t="b">
        <x:v>0</x:v>
      </x:c>
      <x:c r="M16" s="47" t="str"/>
      <x:c r="N16" s="59" t="str"/>
      <x:c r="O16" s="59" t="str"/>
      <x:c r="P16" s="59" t="str"/>
    </x:row>
    <x:row r="17">
      <x:c r="A17" s="47" t="str">
        <x:v>EVT-000073</x:v>
      </x:c>
      <x:c r="B17" s="47" t="str">
        <x:v>RUN-I2-034-20260830T204502193087Z</x:v>
      </x:c>
      <x:c r="C17" s="47" t="str">
        <x:v>I2-034</x:v>
      </x:c>
      <x:c r="D17" s="93" t="n">
        <x:v>46264.865975625</x:v>
      </x:c>
      <x:c r="E17" s="47" t="str">
        <x:v>generator</x:v>
      </x:c>
      <x:c r="F17" s="47" t="str">
        <x:v>gpt-5.6-luna-2026-07-09</x:v>
      </x:c>
      <x:c r="G17" s="47" t="n">
        <x:v>1</x:v>
      </x:c>
      <x:c r="H17" s="47" t="str">
        <x:v>COMPLETED</x:v>
      </x:c>
      <x:c r="I17" s="47" t="str"/>
      <x:c r="J17" s="86" t="n">
        <x:v>0</x:v>
      </x:c>
      <x:c r="K17" s="86" t="n">
        <x:v>32456.277</x:v>
      </x:c>
      <x:c r="L17" s="85" t="b">
        <x:v>0</x:v>
      </x:c>
      <x:c r="M17" s="47" t="str">
        <x:v>resp_0505902a8af83db4006a9496a3f06481948041e676eae47d8c</x:v>
      </x:c>
      <x:c r="N17" s="59" t="n">
        <x:v>11745</x:v>
      </x:c>
      <x:c r="O17" s="59" t="n">
        <x:v>4293</x:v>
      </x:c>
      <x:c r="P17" s="59" t="n">
        <x:v>16038</x:v>
      </x:c>
    </x:row>
    <x:row r="18">
      <x:c r="A18" s="47" t="str">
        <x:v>EVT-000080</x:v>
      </x:c>
      <x:c r="B18" s="47" t="str">
        <x:v>RUN-I2-034-20260830T204502193087Z</x:v>
      </x:c>
      <x:c r="C18" s="47" t="str">
        <x:v>I2-034</x:v>
      </x:c>
      <x:c r="D18" s="93" t="n">
        <x:v>46264.8661190625</x:v>
      </x:c>
      <x:c r="E18" s="47" t="str">
        <x:v>validator</x:v>
      </x:c>
      <x:c r="F18" s="47" t="str">
        <x:v>gpt-5.6-luna-2026-07-09</x:v>
      </x:c>
      <x:c r="G18" s="47" t="n">
        <x:v>1</x:v>
      </x:c>
      <x:c r="H18" s="47" t="n">
        <x:v>200</x:v>
      </x:c>
      <x:c r="I18" s="47" t="str">
        <x:v>Ocp-Apim-Subscription-Key</x:v>
      </x:c>
      <x:c r="J18" s="86" t="n">
        <x:v>0</x:v>
      </x:c>
      <x:c r="K18" s="86" t="n">
        <x:v>12297.289</x:v>
      </x:c>
      <x:c r="L18" s="85" t="b">
        <x:v>0</x:v>
      </x:c>
      <x:c r="M18" s="47" t="str"/>
      <x:c r="N18" s="59" t="str"/>
      <x:c r="O18" s="59" t="str"/>
      <x:c r="P18" s="59" t="str"/>
    </x:row>
    <x:row r="19">
      <x:c r="A19" s="47" t="str">
        <x:v>EVT-000081</x:v>
      </x:c>
      <x:c r="B19" s="47" t="str">
        <x:v>RUN-I2-034-20260830T204502193087Z</x:v>
      </x:c>
      <x:c r="C19" s="47" t="str">
        <x:v>I2-034</x:v>
      </x:c>
      <x:c r="D19" s="93" t="n">
        <x:v>46264.86611909722</x:v>
      </x:c>
      <x:c r="E19" s="47" t="str">
        <x:v>validator</x:v>
      </x:c>
      <x:c r="F19" s="47" t="str">
        <x:v>gpt-5.6-luna-2026-07-09</x:v>
      </x:c>
      <x:c r="G19" s="47" t="n">
        <x:v>1</x:v>
      </x:c>
      <x:c r="H19" s="47" t="str">
        <x:v>COMPLETED</x:v>
      </x:c>
      <x:c r="I19" s="47" t="str"/>
      <x:c r="J19" s="86" t="n">
        <x:v>0</x:v>
      </x:c>
      <x:c r="K19" s="86" t="n">
        <x:v>12299.62</x:v>
      </x:c>
      <x:c r="L19" s="85" t="b">
        <x:v>0</x:v>
      </x:c>
      <x:c r="M19" s="47" t="str">
        <x:v>resp_0bdfe2083303259e006a9496c53d2881959a191a67e3968b19</x:v>
      </x:c>
      <x:c r="N19" s="59" t="n">
        <x:v>12778</x:v>
      </x:c>
      <x:c r="O19" s="59" t="n">
        <x:v>1203</x:v>
      </x:c>
      <x:c r="P19" s="59" t="n">
        <x:v>13981</x:v>
      </x:c>
    </x:row>
    <x:row r="20">
      <x:c r="A20" s="47" t="str">
        <x:v>EVT-000086</x:v>
      </x:c>
      <x:c r="B20" s="47" t="str">
        <x:v>RUN-I2-034-20260830T204502193087Z</x:v>
      </x:c>
      <x:c r="C20" s="47" t="str">
        <x:v>I2-034</x:v>
      </x:c>
      <x:c r="D20" s="93" t="n">
        <x:v>46264.866390428244</x:v>
      </x:c>
      <x:c r="E20" s="47" t="str">
        <x:v>generator</x:v>
      </x:c>
      <x:c r="F20" s="47" t="str">
        <x:v>gpt-5.6-luna-2026-07-09</x:v>
      </x:c>
      <x:c r="G20" s="47" t="n">
        <x:v>1</x:v>
      </x:c>
      <x:c r="H20" s="47" t="n">
        <x:v>200</x:v>
      </x:c>
      <x:c r="I20" s="47" t="str">
        <x:v>Ocp-Apim-Subscription-Key</x:v>
      </x:c>
      <x:c r="J20" s="86" t="n">
        <x:v>0</x:v>
      </x:c>
      <x:c r="K20" s="86" t="n">
        <x:v>23438.158</x:v>
      </x:c>
      <x:c r="L20" s="85" t="b">
        <x:v>0</x:v>
      </x:c>
      <x:c r="M20" s="47" t="str"/>
      <x:c r="N20" s="59" t="str"/>
      <x:c r="O20" s="59" t="str"/>
      <x:c r="P20" s="59" t="str"/>
    </x:row>
    <x:row r="21">
      <x:c r="A21" s="47" t="str">
        <x:v>EVT-000087</x:v>
      </x:c>
      <x:c r="B21" s="47" t="str">
        <x:v>RUN-I2-034-20260830T204502193087Z</x:v>
      </x:c>
      <x:c r="C21" s="47" t="str">
        <x:v>I2-034</x:v>
      </x:c>
      <x:c r="D21" s="93" t="n">
        <x:v>46264.86639043981</x:v>
      </x:c>
      <x:c r="E21" s="47" t="str">
        <x:v>generator</x:v>
      </x:c>
      <x:c r="F21" s="47" t="str">
        <x:v>gpt-5.6-luna-2026-07-09</x:v>
      </x:c>
      <x:c r="G21" s="47" t="n">
        <x:v>1</x:v>
      </x:c>
      <x:c r="H21" s="47" t="str">
        <x:v>COMPLETED</x:v>
      </x:c>
      <x:c r="I21" s="47" t="str"/>
      <x:c r="J21" s="86" t="n">
        <x:v>0</x:v>
      </x:c>
      <x:c r="K21" s="86" t="n">
        <x:v>23439.556</x:v>
      </x:c>
      <x:c r="L21" s="85" t="b">
        <x:v>0</x:v>
      </x:c>
      <x:c r="M21" s="47" t="str">
        <x:v>resp_047c2bb3634b6a62006a9496d0c9a88193b3c69f53b64ffdcb</x:v>
      </x:c>
      <x:c r="N21" s="59" t="n">
        <x:v>11916</x:v>
      </x:c>
      <x:c r="O21" s="59" t="n">
        <x:v>3075</x:v>
      </x:c>
      <x:c r="P21" s="59" t="n">
        <x:v>14991</x:v>
      </x:c>
    </x:row>
    <x:row r="22">
      <x:c r="A22" s="47" t="str">
        <x:v>EVT-000094</x:v>
      </x:c>
      <x:c r="B22" s="47" t="str">
        <x:v>RUN-I2-034-20260830T204502193087Z</x:v>
      </x:c>
      <x:c r="C22" s="47" t="str">
        <x:v>I2-034</x:v>
      </x:c>
      <x:c r="D22" s="93" t="n">
        <x:v>46264.86653027778</x:v>
      </x:c>
      <x:c r="E22" s="47" t="str">
        <x:v>validator</x:v>
      </x:c>
      <x:c r="F22" s="47" t="str">
        <x:v>gpt-5.6-luna-2026-07-09</x:v>
      </x:c>
      <x:c r="G22" s="47" t="n">
        <x:v>1</x:v>
      </x:c>
      <x:c r="H22" s="47" t="n">
        <x:v>200</x:v>
      </x:c>
      <x:c r="I22" s="47" t="str">
        <x:v>Ocp-Apim-Subscription-Key</x:v>
      </x:c>
      <x:c r="J22" s="86" t="n">
        <x:v>0</x:v>
      </x:c>
      <x:c r="K22" s="86" t="n">
        <x:v>11956.898</x:v>
      </x:c>
      <x:c r="L22" s="85" t="b">
        <x:v>0</x:v>
      </x:c>
      <x:c r="M22" s="47" t="str"/>
      <x:c r="N22" s="59" t="str"/>
      <x:c r="O22" s="59" t="str"/>
      <x:c r="P22" s="59" t="str"/>
    </x:row>
    <x:row r="23">
      <x:c r="A23" s="49" t="str">
        <x:v>EVT-000095</x:v>
      </x:c>
      <x:c r="B23" s="49" t="str">
        <x:v>RUN-I2-034-20260830T204502193087Z</x:v>
      </x:c>
      <x:c r="C23" s="49" t="str">
        <x:v>I2-034</x:v>
      </x:c>
      <x:c r="D23" s="94" t="n">
        <x:v>46264.866530300926</x:v>
      </x:c>
      <x:c r="E23" s="49" t="str">
        <x:v>validator</x:v>
      </x:c>
      <x:c r="F23" s="49" t="str">
        <x:v>gpt-5.6-luna-2026-07-09</x:v>
      </x:c>
      <x:c r="G23" s="49" t="n">
        <x:v>1</x:v>
      </x:c>
      <x:c r="H23" s="49" t="str">
        <x:v>COMPLETED</x:v>
      </x:c>
      <x:c r="I23" s="49" t="str"/>
      <x:c r="J23" s="88" t="n">
        <x:v>0</x:v>
      </x:c>
      <x:c r="K23" s="88" t="n">
        <x:v>11958.578</x:v>
      </x:c>
      <x:c r="L23" s="87" t="b">
        <x:v>0</x:v>
      </x:c>
      <x:c r="M23" s="49" t="str">
        <x:v>resp_01d58fa044905d10006a9496e85d548190b692a57c044a306f</x:v>
      </x:c>
      <x:c r="N23" s="60" t="n">
        <x:v>12774</x:v>
      </x:c>
      <x:c r="O23" s="60" t="n">
        <x:v>1188</x:v>
      </x:c>
      <x:c r="P23" s="60" t="n">
        <x:v>13962</x:v>
      </x:c>
    </x:row>
  </x:sheetData>
  <x:conditionalFormatting sqref="H5:H23">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b612dc73cf7422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RUN-I2-034-20260830T204502193087Z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RUN-I2-034-20260830T204502193087Z</x:v>
      </x:c>
      <x:c r="B5" s="45" t="str">
        <x:v>I2-034</x:v>
      </x:c>
      <x:c r="C5" s="45" t="str">
        <x:v>benchmarkEntity</x:v>
      </x:c>
      <x:c r="D5" s="46" t="str">
        <x:v>https://w3id.org/nltl/vocab#benchmarkEntity</x:v>
      </x:c>
      <x:c r="E5" s="45" t="str">
        <x:v>Class</x:v>
      </x:c>
      <x:c r="F5" s="45" t="str"/>
      <x:c r="G5" s="45" t="str"/>
      <x:c r="H5" s="45" t="str"/>
      <x:c r="I5" s="46" t="str">
        <x:v>baseline target infrastructure; domain dependency of combinedShearBendingEffect; domain dependency of frameProfileType; domain dependency of plasticCollapseMechanism</x:v>
      </x:c>
      <x:c r="J5" s="45" t="n">
        <x:v>0</x:v>
      </x:c>
    </x:row>
    <x:row r="6">
      <x:c r="A6" s="47" t="str">
        <x:v>RUN-I2-034-20260830T204502193087Z</x:v>
      </x:c>
      <x:c r="B6" s="47" t="str">
        <x:v>I2-034</x:v>
      </x:c>
      <x:c r="C6" s="47" t="str">
        <x:v>bottomStructureLocation</x:v>
      </x:c>
      <x:c r="D6" s="48" t="str">
        <x:v>https://w3id.org/nltl/vocab#bottomStructureLocation</x:v>
      </x:c>
      <x:c r="E6" s="47" t="str">
        <x:v>NamedIndividual</x:v>
      </x:c>
      <x:c r="F6" s="47" t="str"/>
      <x:c r="G6" s="47" t="str">
        <x:v>https://w3id.org/nltl/vocab#structuralLocationValue</x:v>
      </x:c>
      <x:c r="H6" s="47" t="str"/>
      <x:c r="I6" s="48" t="str">
        <x:v>controlled value permitted by the range of sideStructureLocation; controlled value permitted by the range of structuralLocation</x:v>
      </x:c>
      <x:c r="J6" s="47" t="n">
        <x:v>0</x:v>
      </x:c>
    </x:row>
    <x:row r="7">
      <x:c r="A7" s="47" t="str">
        <x:v>RUN-I2-034-20260830T204502193087Z</x:v>
      </x:c>
      <x:c r="B7" s="47" t="str">
        <x:v>I2-034</x:v>
      </x:c>
      <x:c r="C7" s="47" t="str">
        <x:v>combinedShearAndBendingDemand</x:v>
      </x:c>
      <x:c r="D7" s="48" t="str">
        <x:v>https://w3id.org/nltl/vocab#combinedShearAndBendingDemand</x:v>
      </x:c>
      <x:c r="E7" s="47" t="str">
        <x:v>QuantityProperty</x:v>
      </x:c>
      <x:c r="F7" s="47" t="str"/>
      <x:c r="G7" s="47" t="str">
        <x:v>http://qudt.org/schema/qudt/QuantityValue</x:v>
      </x:c>
      <x:c r="H7" s="47" t="str"/>
      <x:c r="I7" s="48" t="str">
        <x:v>linked by the locked 313-requirement index</x:v>
      </x:c>
      <x:c r="J7" s="47" t="n">
        <x:v>0</x:v>
      </x:c>
    </x:row>
    <x:row r="8">
      <x:c r="A8" s="47" t="str">
        <x:v>RUN-I2-034-20260830T204502193087Z</x:v>
      </x:c>
      <x:c r="B8" s="47" t="str">
        <x:v>I2-034</x:v>
      </x:c>
      <x:c r="C8" s="47" t="str">
        <x:v>combinedShearBendingEffect</x:v>
      </x:c>
      <x:c r="D8" s="48" t="str">
        <x:v>https://w3id.org/nltl/vocab#combinedShearBendingEffect</x:v>
      </x:c>
      <x:c r="E8" s="47" t="str">
        <x:v>DatatypeProperty</x:v>
      </x:c>
      <x:c r="F8" s="47" t="str">
        <x:v>xsd:string</x:v>
      </x:c>
      <x:c r="G8" s="47" t="str">
        <x:v>http://www.w3.org/2001/XMLSchema#string</x:v>
      </x:c>
      <x:c r="H8" s="47" t="str"/>
      <x:c r="I8" s="48" t="str">
        <x:v>linked by the locked 313-requirement index</x:v>
      </x:c>
      <x:c r="J8" s="47" t="n">
        <x:v>0</x:v>
      </x:c>
    </x:row>
    <x:row r="9">
      <x:c r="A9" s="47" t="str">
        <x:v>RUN-I2-034-20260830T204502193087Z</x:v>
      </x:c>
      <x:c r="B9" s="47" t="str">
        <x:v>I2-034</x:v>
      </x:c>
      <x:c r="C9" s="47" t="str">
        <x:v>flatBarSection</x:v>
      </x:c>
      <x:c r="D9" s="48" t="str">
        <x:v>https://w3id.org/nltl/vocab#flatBarSection</x:v>
      </x:c>
      <x:c r="E9" s="47" t="str">
        <x:v>NamedIndividual</x:v>
      </x:c>
      <x:c r="F9" s="47" t="str"/>
      <x:c r="G9" s="47" t="str">
        <x:v>https://w3id.org/nltl/vocab#frameProfileTypeValue</x:v>
      </x:c>
      <x:c r="H9" s="47" t="str"/>
      <x:c r="I9" s="48" t="str">
        <x:v>controlled value permitted by the range of frameProfileType</x:v>
      </x:c>
      <x:c r="J9" s="47" t="n">
        <x:v>0</x:v>
      </x:c>
    </x:row>
    <x:row r="10">
      <x:c r="A10" s="47" t="str">
        <x:v>RUN-I2-034-20260830T204502193087Z</x:v>
      </x:c>
      <x:c r="B10" s="47" t="str">
        <x:v>I2-034</x:v>
      </x:c>
      <x:c r="C10" s="47" t="str">
        <x:v>frameProfileType</x:v>
      </x:c>
      <x:c r="D10" s="48" t="str">
        <x:v>https://w3id.org/nltl/vocab#frameProfileType</x:v>
      </x:c>
      <x:c r="E10" s="47" t="str">
        <x:v>ObjectProperty</x:v>
      </x:c>
      <x:c r="F10" s="47" t="str"/>
      <x:c r="G10" s="47" t="str">
        <x:v>https://w3id.org/nltl/vocab#frameProfileTypeValue</x:v>
      </x:c>
      <x:c r="H10" s="47" t="str"/>
      <x:c r="I10" s="48" t="str">
        <x:v>linked by the locked 313-requirement index</x:v>
      </x:c>
      <x:c r="J10" s="47" t="n">
        <x:v>0</x:v>
      </x:c>
    </x:row>
    <x:row r="11">
      <x:c r="A11" s="47" t="str">
        <x:v>RUN-I2-034-20260830T204502193087Z</x:v>
      </x:c>
      <x:c r="B11" s="47" t="str">
        <x:v>I2-034</x:v>
      </x:c>
      <x:c r="C11" s="47" t="str">
        <x:v>frameProfileTypeValue</x:v>
      </x:c>
      <x:c r="D11" s="48" t="str">
        <x:v>https://w3id.org/nltl/vocab#frameProfileTypeValue</x:v>
      </x:c>
      <x:c r="E11" s="47" t="str">
        <x:v>Class</x:v>
      </x:c>
      <x:c r="F11" s="47" t="str"/>
      <x:c r="G11" s="47" t="str">
        <x:v>https://w3id.org/nltl/vocab#benchmarkEntity</x:v>
      </x:c>
      <x:c r="H11" s="47" t="str"/>
      <x:c r="I11" s="48" t="str">
        <x:v>range dependency of frameProfileType</x:v>
      </x:c>
      <x:c r="J11" s="47" t="n">
        <x:v>0</x:v>
      </x:c>
    </x:row>
    <x:row r="12">
      <x:c r="A12" s="47" t="str">
        <x:v>RUN-I2-034-20260830T204502193087Z</x:v>
      </x:c>
      <x:c r="B12" s="47" t="str">
        <x:v>I2-034</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RUN-I2-034-20260830T204502193087Z</x:v>
      </x:c>
      <x:c r="B13" s="47" t="str">
        <x:v>I2-034</x:v>
      </x:c>
      <x:c r="C13" s="47" t="str">
        <x:v>hasLoadCase</x:v>
      </x:c>
      <x:c r="D13" s="48" t="str">
        <x:v>https://w3id.org/nltl/vocab#hasLoadCase</x:v>
      </x:c>
      <x:c r="E13" s="47" t="str">
        <x:v>ObjectProperty</x:v>
      </x:c>
      <x:c r="F13" s="47" t="str"/>
      <x:c r="G13" s="47" t="str">
        <x:v>https://w3id.org/nltl/vocab#loadCase</x:v>
      </x:c>
      <x:c r="H13" s="47" t="str"/>
      <x:c r="I13" s="48" t="str">
        <x:v>canonical path from target owner ship to required owner loadCase</x:v>
      </x:c>
      <x:c r="J13" s="47" t="n">
        <x:v>0</x:v>
      </x:c>
    </x:row>
    <x:row r="14">
      <x:c r="A14" s="47" t="str">
        <x:v>RUN-I2-034-20260830T204502193087Z</x:v>
      </x:c>
      <x:c r="B14" s="47" t="str">
        <x:v>I2-034</x:v>
      </x:c>
      <x:c r="C14" s="47" t="str">
        <x:v>hasPropulsionLoadCase</x:v>
      </x:c>
      <x:c r="D14" s="48" t="str">
        <x:v>https://w3id.org/nltl/vocab#hasPropulsionLoadCase</x:v>
      </x:c>
      <x:c r="E14" s="47" t="str">
        <x:v>ObjectProperty</x:v>
      </x:c>
      <x:c r="F14" s="47" t="str"/>
      <x:c r="G14" s="47" t="str">
        <x:v>https://w3id.org/nltl/vocab#loadCase</x:v>
      </x:c>
      <x:c r="H14" s="47" t="str"/>
      <x:c r="I14" s="48" t="str">
        <x:v>canonical path from target owner ship to required owner loadCase</x:v>
      </x:c>
      <x:c r="J14" s="47" t="n">
        <x:v>0</x:v>
      </x:c>
    </x:row>
    <x:row r="15">
      <x:c r="A15" s="47" t="str">
        <x:v>RUN-I2-034-20260830T204502193087Z</x:v>
      </x:c>
      <x:c r="B15" s="47" t="str">
        <x:v>I2-034</x:v>
      </x:c>
      <x:c r="C15" s="47" t="str">
        <x:v>hasStructuralMember</x:v>
      </x:c>
      <x:c r="D15" s="48" t="str">
        <x:v>https://w3id.org/nltl/vocab#hasStructuralMember</x:v>
      </x:c>
      <x:c r="E15" s="47" t="str">
        <x:v>ObjectProperty</x:v>
      </x:c>
      <x:c r="F15" s="47" t="str"/>
      <x:c r="G15" s="47" t="str">
        <x:v>https://w3id.org/nltl/vocab#structuralMember</x:v>
      </x:c>
      <x:c r="H15" s="47" t="str"/>
      <x:c r="I15" s="48" t="str">
        <x:v>canonical path from target owner ship to required owner structuralMember; linked by the locked 313-requirement index</x:v>
      </x:c>
      <x:c r="J15" s="47" t="n">
        <x:v>0</x:v>
      </x:c>
    </x:row>
    <x:row r="16">
      <x:c r="A16" s="47" t="str">
        <x:v>RUN-I2-034-20260830T204502193087Z</x:v>
      </x:c>
      <x:c r="B16" s="47" t="str">
        <x:v>I2-034</x:v>
      </x:c>
      <x:c r="C16" s="47" t="str">
        <x:v>hasStructuralMemberLoadCase</x:v>
      </x:c>
      <x:c r="D16" s="48" t="str">
        <x:v>https://w3id.org/nltl/vocab#hasStructuralMemberLoadCase</x:v>
      </x:c>
      <x:c r="E16" s="47" t="str">
        <x:v>ObjectProperty</x:v>
      </x:c>
      <x:c r="F16" s="47" t="str"/>
      <x:c r="G16" s="47" t="str">
        <x:v>https://w3id.org/nltl/vocab#loadCase</x:v>
      </x:c>
      <x:c r="H16" s="47" t="str"/>
      <x:c r="I16" s="48" t="str">
        <x:v>linked by the locked 313-requirement index</x:v>
      </x:c>
      <x:c r="J16" s="47" t="n">
        <x:v>0</x:v>
      </x:c>
    </x:row>
    <x:row r="17">
      <x:c r="A17" s="47" t="str">
        <x:v>RUN-I2-034-20260830T204502193087Z</x:v>
      </x:c>
      <x:c r="B17" s="47" t="str">
        <x:v>I2-034</x:v>
      </x:c>
      <x:c r="C17" s="47" t="str">
        <x:v>hullStructure</x:v>
      </x:c>
      <x:c r="D17" s="48" t="str">
        <x:v>https://w3id.org/nltl/vocab#hullStructure</x:v>
      </x:c>
      <x:c r="E17" s="47" t="str">
        <x:v>Class</x:v>
      </x:c>
      <x:c r="F17" s="47" t="str"/>
      <x:c r="G17" s="47" t="str"/>
      <x:c r="H17" s="47" t="str"/>
      <x:c r="I17" s="48" t="str">
        <x:v>range dependency of longitudinalLocalFrame</x:v>
      </x:c>
      <x:c r="J17" s="47" t="n">
        <x:v>0</x:v>
      </x:c>
    </x:row>
    <x:row r="18">
      <x:c r="A18" s="47" t="str">
        <x:v>RUN-I2-034-20260830T204502193087Z</x:v>
      </x:c>
      <x:c r="B18" s="47" t="str">
        <x:v>I2-034</x:v>
      </x:c>
      <x:c r="C18" s="47" t="str">
        <x:v>loadCase</x:v>
      </x:c>
      <x:c r="D18" s="48" t="str">
        <x:v>https://w3id.org/nltl/vocab#loadCase</x:v>
      </x:c>
      <x:c r="E18" s="47" t="str">
        <x:v>Class</x:v>
      </x:c>
      <x:c r="F18" s="47" t="str"/>
      <x:c r="G18" s="47" t="str">
        <x:v>https://w3id.org/nltl/vocab#calculationCase</x:v>
      </x:c>
      <x:c r="H18" s="47" t="str"/>
      <x:c r="I18" s="48" t="str">
        <x:v>authoritative required owner class; domain dependency of combinedShearAndBendingDemand; range dependency of hasStructuralMemberLoadCase</x:v>
      </x:c>
      <x:c r="J18" s="47" t="n">
        <x:v>0</x:v>
      </x:c>
    </x:row>
    <x:row r="19">
      <x:c r="A19" s="47" t="str">
        <x:v>RUN-I2-034-20260830T204502193087Z</x:v>
      </x:c>
      <x:c r="B19" s="47" t="str">
        <x:v>I2-034</x:v>
      </x:c>
      <x:c r="C19" s="47" t="str">
        <x:v>longitudinalFrameOrientation</x:v>
      </x:c>
      <x:c r="D19" s="48" t="str">
        <x:v>https://w3id.org/nltl/vocab#longitudinalFrameOrientation</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RUN-I2-034-20260830T204502193087Z</x:v>
      </x:c>
      <x:c r="B20" s="47" t="str">
        <x:v>I2-034</x:v>
      </x:c>
      <x:c r="C20" s="47" t="str">
        <x:v>longitudinalLocalFrame</x:v>
      </x:c>
      <x:c r="D20" s="48" t="str">
        <x:v>https://w3id.org/nltl/vocab#longitudinalLocalFrame</x:v>
      </x:c>
      <x:c r="E20" s="47" t="str">
        <x:v>Class</x:v>
      </x:c>
      <x:c r="F20" s="47" t="str"/>
      <x:c r="G20" s="47" t="str">
        <x:v>https://w3id.org/nltl/vocab#hullStructure</x:v>
      </x:c>
      <x:c r="H20" s="47" t="str"/>
      <x:c r="I20" s="48" t="str">
        <x:v>linked by the locked 313-requirement index</x:v>
      </x:c>
      <x:c r="J20" s="47" t="n">
        <x:v>0</x:v>
      </x:c>
    </x:row>
    <x:row r="21">
      <x:c r="A21" s="47" t="str">
        <x:v>RUN-I2-034-20260830T204502193087Z</x:v>
      </x:c>
      <x:c r="B21" s="47" t="str">
        <x:v>I2-034</x:v>
      </x:c>
      <x:c r="C21" s="47" t="str">
        <x:v>midspanPlasticCollapseLoad</x:v>
      </x:c>
      <x:c r="D21" s="48" t="str">
        <x:v>https://w3id.org/nltl/vocab#midspanPlasticCollapseLoad</x:v>
      </x:c>
      <x:c r="E21" s="47" t="str">
        <x:v>QuantityProperty</x:v>
      </x:c>
      <x:c r="F21" s="47" t="str"/>
      <x:c r="G21" s="47" t="str">
        <x:v>http://qudt.org/schema/qudt/QuantityValue</x:v>
      </x:c>
      <x:c r="H21" s="47" t="str">
        <x:v>http://qudt.org/vocab/unit/KiloN</x:v>
      </x:c>
      <x:c r="I21" s="48" t="str">
        <x:v>linked by the locked 313-requirement index</x:v>
      </x:c>
      <x:c r="J21" s="47" t="n">
        <x:v>0</x:v>
      </x:c>
    </x:row>
    <x:row r="22">
      <x:c r="A22" s="47" t="str">
        <x:v>RUN-I2-034-20260830T204502193087Z</x:v>
      </x:c>
      <x:c r="B22" s="47" t="str">
        <x:v>I2-034</x:v>
      </x:c>
      <x:c r="C22" s="47" t="str">
        <x:v>plasticCollapseMechanism</x:v>
      </x:c>
      <x:c r="D22" s="48" t="str">
        <x:v>https://w3id.org/nltl/vocab#plasticCollapseMechanism</x:v>
      </x:c>
      <x:c r="E22" s="47" t="str">
        <x:v>DatatypeProperty</x:v>
      </x:c>
      <x:c r="F22" s="47" t="str">
        <x:v>xsd:string</x:v>
      </x:c>
      <x:c r="G22" s="47" t="str">
        <x:v>http://www.w3.org/2001/XMLSchema#string</x:v>
      </x:c>
      <x:c r="H22" s="47" t="str"/>
      <x:c r="I22" s="48" t="str">
        <x:v>linked by the locked 313-requirement index</x:v>
      </x:c>
      <x:c r="J22" s="47" t="n">
        <x:v>0</x:v>
      </x:c>
    </x:row>
    <x:row r="23">
      <x:c r="A23" s="47" t="str">
        <x:v>RUN-I2-034-20260830T204502193087Z</x:v>
      </x:c>
      <x:c r="B23" s="47" t="str">
        <x:v>I2-034</x:v>
      </x:c>
      <x:c r="C23" s="47" t="str">
        <x:v>plasticStrength</x:v>
      </x:c>
      <x:c r="D23" s="48" t="str">
        <x:v>https://w3id.org/nltl/vocab#plasticStrength</x:v>
      </x:c>
      <x:c r="E23" s="47" t="str">
        <x:v>QuantityProperty</x:v>
      </x:c>
      <x:c r="F23" s="47" t="str"/>
      <x:c r="G23" s="47" t="str">
        <x:v>http://qudt.org/schema/qudt/QuantityValue</x:v>
      </x:c>
      <x:c r="H23" s="47" t="str">
        <x:v>http://qudt.org/vocab/unit/KiloN</x:v>
      </x:c>
      <x:c r="I23" s="48" t="str">
        <x:v>linked by the locked 313-requirement index</x:v>
      </x:c>
      <x:c r="J23" s="47" t="n">
        <x:v>0</x:v>
      </x:c>
    </x:row>
    <x:row r="24">
      <x:c r="A24" s="47" t="str">
        <x:v>RUN-I2-034-20260830T204502193087Z</x:v>
      </x:c>
      <x:c r="B24" s="47" t="str">
        <x:v>I2-034</x:v>
      </x:c>
      <x:c r="C24" s="47" t="str">
        <x:v>profileSection</x:v>
      </x:c>
      <x:c r="D24" s="48" t="str">
        <x:v>https://w3id.org/nltl/vocab#profileSection</x:v>
      </x:c>
      <x:c r="E24" s="47" t="str">
        <x:v>NamedIndividual</x:v>
      </x:c>
      <x:c r="F24" s="47" t="str"/>
      <x:c r="G24" s="47" t="str">
        <x:v>https://w3id.org/nltl/vocab#frameProfileTypeValue</x:v>
      </x:c>
      <x:c r="H24" s="47" t="str"/>
      <x:c r="I24" s="48" t="str">
        <x:v>controlled value permitted by the range of frameProfileType</x:v>
      </x:c>
      <x:c r="J24" s="47" t="n">
        <x:v>0</x:v>
      </x:c>
    </x:row>
    <x:row r="25">
      <x:c r="A25" s="47" t="str">
        <x:v>RUN-I2-034-20260830T204502193087Z</x:v>
      </x:c>
      <x:c r="B25" s="47" t="str">
        <x:v>I2-034</x:v>
      </x:c>
      <x:c r="C25" s="47" t="str">
        <x:v>ship</x:v>
      </x:c>
      <x:c r="D25" s="48" t="str">
        <x:v>https://w3id.org/nltl/vocab#ship</x:v>
      </x:c>
      <x:c r="E25" s="47" t="str">
        <x:v>Class</x:v>
      </x:c>
      <x:c r="F25" s="47" t="str"/>
      <x:c r="G25" s="47" t="str"/>
      <x:c r="H25" s="47" t="str"/>
      <x:c r="I25" s="48" t="str">
        <x:v>authoritative required owner class; authoritative requirement target owner; baseline target infrastructure; domain dependency of hasStructuralMember</x:v>
      </x:c>
      <x:c r="J25" s="47" t="n">
        <x:v>0</x:v>
      </x:c>
    </x:row>
    <x:row r="26">
      <x:c r="A26" s="47" t="str">
        <x:v>RUN-I2-034-20260830T204502193087Z</x:v>
      </x:c>
      <x:c r="B26" s="47" t="str">
        <x:v>I2-034</x:v>
      </x:c>
      <x:c r="C26" s="47" t="str">
        <x:v>shipComponent</x:v>
      </x:c>
      <x:c r="D26" s="48" t="str">
        <x:v>https://w3id.org/nltl/vocab#shipComponent</x:v>
      </x:c>
      <x:c r="E26" s="47" t="str">
        <x:v>Class</x:v>
      </x:c>
      <x:c r="F26" s="47" t="str"/>
      <x:c r="G26" s="47" t="str"/>
      <x:c r="H26" s="47" t="str"/>
      <x:c r="I26" s="48" t="str">
        <x:v>component-path dependency inferred from the linked term module</x:v>
      </x:c>
      <x:c r="J26" s="47" t="n">
        <x:v>0</x:v>
      </x:c>
    </x:row>
    <x:row r="27">
      <x:c r="A27" s="47" t="str">
        <x:v>RUN-I2-034-20260830T204502193087Z</x:v>
      </x:c>
      <x:c r="B27" s="47" t="str">
        <x:v>I2-034</x:v>
      </x:c>
      <x:c r="C27" s="47" t="str">
        <x:v>sideStructureLocation</x:v>
      </x:c>
      <x:c r="D27" s="48" t="str">
        <x:v>https://w3id.org/nltl/vocab#sideStructureLocation</x:v>
      </x:c>
      <x:c r="E27" s="47" t="str">
        <x:v>NamedIndividual</x:v>
      </x:c>
      <x:c r="F27" s="47" t="str"/>
      <x:c r="G27" s="47" t="str">
        <x:v>https://w3id.org/nltl/vocab#structuralLocationValue</x:v>
      </x:c>
      <x:c r="H27" s="47" t="str"/>
      <x:c r="I27" s="48" t="str">
        <x:v>controlled value permitted by the range of sideStructureLocation; controlled value permitted by the range of structuralLocation; linked by the locked 313-requirement index</x:v>
      </x:c>
      <x:c r="J27" s="47" t="n">
        <x:v>0</x:v>
      </x:c>
    </x:row>
    <x:row r="28">
      <x:c r="A28" s="47" t="str">
        <x:v>RUN-I2-034-20260830T204502193087Z</x:v>
      </x:c>
      <x:c r="B28" s="47" t="str">
        <x:v>I2-034</x:v>
      </x:c>
      <x:c r="C28" s="47" t="str">
        <x:v>structuralLocation</x:v>
      </x:c>
      <x:c r="D28" s="48" t="str">
        <x:v>https://w3id.org/nltl/vocab#structuralLocation</x:v>
      </x:c>
      <x:c r="E28" s="47" t="str">
        <x:v>ObjectProperty</x:v>
      </x:c>
      <x:c r="F28" s="47" t="str"/>
      <x:c r="G28" s="47" t="str">
        <x:v>https://w3id.org/nltl/vocab#structuralLocationValue</x:v>
      </x:c>
      <x:c r="H28" s="47" t="str"/>
      <x:c r="I28" s="48" t="str">
        <x:v>linked by the locked 313-requirement index</x:v>
      </x:c>
      <x:c r="J28" s="47" t="n">
        <x:v>0</x:v>
      </x:c>
    </x:row>
    <x:row r="29">
      <x:c r="A29" s="47" t="str">
        <x:v>RUN-I2-034-20260830T204502193087Z</x:v>
      </x:c>
      <x:c r="B29" s="47" t="str">
        <x:v>I2-034</x:v>
      </x:c>
      <x:c r="C29" s="47" t="str">
        <x:v>structuralLocationValue</x:v>
      </x:c>
      <x:c r="D29" s="48" t="str">
        <x:v>https://w3id.org/nltl/vocab#structuralLocationValue</x:v>
      </x:c>
      <x:c r="E29" s="47" t="str">
        <x:v>Class</x:v>
      </x:c>
      <x:c r="F29" s="47" t="str"/>
      <x:c r="G29" s="47" t="str">
        <x:v>https://w3id.org/nltl/vocab#benchmarkEntity</x:v>
      </x:c>
      <x:c r="H29" s="47" t="str"/>
      <x:c r="I29" s="48" t="str">
        <x:v>range dependency of sideStructureLocation; range dependency of structuralLocation</x:v>
      </x:c>
      <x:c r="J29" s="47" t="n">
        <x:v>0</x:v>
      </x:c>
    </x:row>
    <x:row r="30">
      <x:c r="A30" s="49" t="str">
        <x:v>RUN-I2-034-20260830T204502193087Z</x:v>
      </x:c>
      <x:c r="B30" s="49" t="str">
        <x:v>I2-034</x:v>
      </x:c>
      <x:c r="C30" s="49" t="str">
        <x:v>structuralMember</x:v>
      </x:c>
      <x:c r="D30" s="50" t="str">
        <x:v>https://w3id.org/nltl/vocab#structuralMember</x:v>
      </x:c>
      <x:c r="E30" s="49" t="str">
        <x:v>Class</x:v>
      </x:c>
      <x:c r="F30" s="49" t="str"/>
      <x:c r="G30" s="49" t="str">
        <x:v>https://w3id.org/nltl/vocab#hullStructure</x:v>
      </x:c>
      <x:c r="H30" s="49" t="str"/>
      <x:c r="I30" s="50" t="str">
        <x:v>authoritative required owner class; domain dependency of hasStructuralMemberLoadCase; domain dependency of longitudinalFrameOrientation; domain dependency of midspanPlasticCollapseLoad; domain dependency of plasticStrength; domain dependency of structuralLocation; range dependency of hasStructuralMember</x:v>
      </x:c>
      <x:c r="J30" s="49" t="n">
        <x:v>0</x:v>
      </x:c>
    </x:row>
  </x:sheetData>
  <x:pageMargins left="0.7" right="0.7" top="0.75" bottom="0.75" header="0.3" footer="0.3"/>
  <x:tableParts count="1">
    <x:tablePart xmlns:r="http://schemas.openxmlformats.org/officeDocument/2006/relationships" r:id="R206c66db40084a2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RUN-I2-034-20260830T204502193087Z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RUN-I2-034-20260830T204502193087Z</x:v>
      </x:c>
      <x:c r="B5" s="45" t="str">
        <x:v>I2-034</x:v>
      </x:c>
      <x:c r="C5" s="45" t="str">
        <x:v>FS-BOOL-01</x:v>
      </x:c>
      <x:c r="D5" s="45" t="str">
        <x:v>boolean_state</x:v>
      </x:c>
      <x:c r="E5" s="97" t="n">
        <x:v>0.058824</x:v>
      </x:c>
      <x:c r="F5" s="45" t="str">
        <x:v>boolean | required | value</x:v>
      </x:c>
      <x:c r="G5" s="45" t="str">
        <x:v>synthetic-few-shot-not-benchmark-ground-truth</x:v>
      </x:c>
    </x:row>
    <x:row r="6">
      <x:c r="A6" s="49" t="str">
        <x:v>RUN-I2-034-20260830T204502193087Z</x:v>
      </x:c>
      <x:c r="B6" s="49" t="str">
        <x:v>I2-034</x:v>
      </x:c>
      <x:c r="C6" s="49" t="str">
        <x:v>FS-BOOL-02</x:v>
      </x:c>
      <x:c r="D6" s="49" t="str">
        <x:v>boolean_state</x:v>
      </x:c>
      <x:c r="E6" s="98" t="n">
        <x:v>0.058824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e0b2621ee904f0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RUN-I2-034-20260830T204502193087Z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RUN-I2-034-20260830T204502193087Z</x:v>
      </x:c>
      <x:c r="B5" s="45" t="str">
        <x:v>I2-034</x:v>
      </x:c>
      <x:c r="C5" s="58" t="n">
        <x:v>1</x:v>
      </x:c>
      <x:c r="D5" s="83" t="b">
        <x:v>0</x:v>
      </x:c>
      <x:c r="E5" s="83" t="b">
        <x:v>1</x:v>
      </x:c>
      <x:c r="F5" s="83" t="b">
        <x:v>1</x:v>
      </x:c>
      <x:c r="G5" s="83" t="b">
        <x:v>1</x:v>
      </x:c>
      <x:c r="H5" s="83" t="b">
        <x:v>1</x:v>
      </x:c>
      <x:c r="I5" s="83" t="b">
        <x:v>1</x:v>
      </x:c>
      <x:c r="J5" s="83" t="b">
        <x:v>1</x:v>
      </x:c>
      <x:c r="K5" s="102" t="b">
        <x:v>1</x:v>
      </x:c>
      <x:c r="L5" s="46" t="str">
        <x:v>COMPLETE dependency relationship(s) absent from candidate: frameProfileType</x:v>
      </x:c>
      <x:c r="M5" s="46" t="str"/>
      <x:c r="N5" s="46" t="str">
        <x:v>https://w3id.org/nltl/vocab#combinedShearAndBendingDemand | https://w3id.org/nltl/vocab#hasStructuralMember | https://w3id.org/nltl/vocab#hasStructuralMemberLoadCase | https://w3id.org/nltl/vocab#longitudinalFrameOrientation | https://w3id.org/nltl/vocab#midspanPlasticCollapseLoad | https://w3id.org/nltl/vocab#plasticStrength | https://w3id.org/nltl/vocab#ship | https://w3id.org/nltl/vocab#sideStructureLocation | https://w3id.org/nltl/vocab#structuralLocation | https://w3id.org/nltl/vocab#structuralLocationValue</x:v>
      </x:c>
      <x:c r="O5" s="46" t="str"/>
      <x:c r="P5" s="46" t="str"/>
      <x:c r="Q5" s="46" t="str"/>
    </x:row>
    <x:row r="6">
      <x:c r="A6" s="47" t="str">
        <x:v>RUN-I2-034-20260830T204502193087Z</x:v>
      </x:c>
      <x:c r="B6" s="47" t="str">
        <x:v>I2-034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https://w3id.org/nltl/vocab#combinedShearAndBendingDemand | https://w3id.org/nltl/vocab#frameProfileType | https://w3id.org/nltl/vocab#frameProfileTypeValue | https://w3id.org/nltl/vocab#hasStructuralMember | https://w3id.org/nltl/vocab#hasStructuralMemberLoadCase | https://w3id.org/nltl/vocab#longitudinalFrameOrientation | https://w3id.org/nltl/vocab#midspanPlasticCollapseLoad | https://w3id.org/nltl/vocab#plasticStrength | https://w3id.org/nltl/vocab#ship | https://w3id.org/nltl/vocab#sideStructureLocation | https://w3id.org/nltl/vocab#structuralLocation | https://w3id.org/nltl/vocab#structuralLocationValue</x:v>
      </x:c>
      <x:c r="O6" s="48" t="str"/>
      <x:c r="P6" s="48" t="str"/>
      <x:c r="Q6" s="48" t="str"/>
    </x:row>
    <x:row r="7">
      <x:c r="A7" s="47" t="str">
        <x:v>RUN-I2-034-20260830T204502193087Z</x:v>
      </x:c>
      <x:c r="B7" s="47" t="str">
        <x:v>I2-034</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https://w3id.org/nltl/vocab#combinedShearAndBendingDemand | https://w3id.org/nltl/vocab#flatBarSection | https://w3id.org/nltl/vocab#frameProfileType | https://w3id.org/nltl/vocab#frameProfileTypeValue | https://w3id.org/nltl/vocab#hasStructuralMember | https://w3id.org/nltl/vocab#hasStructuralMemberLoadCase | https://w3id.org/nltl/vocab#longitudinalFrameOrientation | https://w3id.org/nltl/vocab#midspanPlasticCollapseLoad | https://w3id.org/nltl/vocab#plasticStrength | https://w3id.org/nltl/vocab#profileSection | https://w3id.org/nltl/vocab#ship | https://w3id.org/nltl/vocab#sideStructureLocation | https://w3id.org/nltl/vocab#structuralLocation | https://w3id.org/nltl/vocab#structuralLocationValue</x:v>
      </x:c>
      <x:c r="O7" s="48" t="str"/>
      <x:c r="P7" s="48" t="str"/>
      <x:c r="Q7" s="48" t="str"/>
    </x:row>
    <x:row r="8">
      <x:c r="A8" s="49" t="str">
        <x:v>RUN-I2-034-20260830T204502193087Z</x:v>
      </x:c>
      <x:c r="B8" s="49" t="str">
        <x:v>I2-034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https://w3id.org/nltl/vocab#combinedShearAndBendingDemand | https://w3id.org/nltl/vocab#frameProfileType | https://w3id.org/nltl/vocab#frameProfileTypeValue | https://w3id.org/nltl/vocab#hasStructuralMember | https://w3id.org/nltl/vocab#hasStructuralMemberLoadCase | https://w3id.org/nltl/vocab#loadCase | https://w3id.org/nltl/vocab#longitudinalFrameOrientation | https://w3id.org/nltl/vocab#midspanPlasticCollapseLoad | https://w3id.org/nltl/vocab#plasticStrength | https://w3id.org/nltl/vocab#ship | https://w3id.org/nltl/vocab#sideStructureLocation | https://w3id.org/nltl/vocab#structuralLocation | https://w3id.org/nltl/vocab#structuralMember</x:v>
      </x:c>
      <x:c r="O8" s="50" t="str"/>
      <x:c r="P8" s="50" t="str"/>
      <x:c r="Q8" s="50" t="str"/>
    </x:row>
  </x:sheetData>
  <x:pageMargins left="0.7" right="0.7" top="0.75" bottom="0.75" header="0.3" footer="0.3"/>
  <x:tableParts count="1">
    <x:tablePart xmlns:r="http://schemas.openxmlformats.org/officeDocument/2006/relationships" r:id="Rf9b5ab1b197f420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RUN-I2-034-20260830T204502193087Z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RUN-I2-034-20260830T204502193087Z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RUN-I2-034-20260830T204502193087Z</x:v>
      </x:c>
      <x:c r="B5" s="45" t="str">
        <x:v>I2-034</x:v>
      </x:c>
      <x:c r="C5" s="58"/>
      <x:c r="D5" s="45" t="str">
        <x:v>initial_context_pack</x:v>
      </x:c>
      <x:c r="E5" s="46" t="str">
        <x:v>artifacts/context_pack_initial.json</x:v>
      </x:c>
      <x:c r="F5" s="45" t="str">
        <x:v>030452370e1aabadcd76defb663ada0ccc10536ad945f2a498942b6ff1a54fa7</x:v>
      </x:c>
      <x:c r="G5" s="58" t="n">
        <x:v>33421</x:v>
      </x:c>
    </x:row>
    <x:row r="6">
      <x:c r="A6" s="47" t="str">
        <x:v>RUN-I2-034-20260830T204502193087Z</x:v>
      </x:c>
      <x:c r="B6" s="47" t="str">
        <x:v>I2-034</x:v>
      </x:c>
      <x:c r="C6" s="59"/>
      <x:c r="D6" s="47" t="str">
        <x:v>few_shot_selection</x:v>
      </x:c>
      <x:c r="E6" s="48" t="str">
        <x:v>artifacts/few_shots_selected.json</x:v>
      </x:c>
      <x:c r="F6" s="47" t="str">
        <x:v>66986b97fb4a02e844e55d41b308ef296e84d8075e0117a3467106efd2be62d0</x:v>
      </x:c>
      <x:c r="G6" s="59" t="n">
        <x:v>3110</x:v>
      </x:c>
    </x:row>
    <x:row r="7">
      <x:c r="A7" s="47" t="str">
        <x:v>RUN-I2-034-20260830T204502193087Z</x:v>
      </x:c>
      <x:c r="B7" s="47" t="str">
        <x:v>I2-034</x:v>
      </x:c>
      <x:c r="C7" s="59" t="n">
        <x:v>1</x:v>
      </x:c>
      <x:c r="D7" s="47" t="str">
        <x:v>generator_prompt</x:v>
      </x:c>
      <x:c r="E7" s="48" t="str">
        <x:v>artifacts/attempt_01/generator_prompt.txt</x:v>
      </x:c>
      <x:c r="F7" s="47" t="str">
        <x:v>b9a2897d30c29ad5bfc772f5178841cbaa4216891335cc31973148dcc9f828e5</x:v>
      </x:c>
      <x:c r="G7" s="59" t="n">
        <x:v>48045</x:v>
      </x:c>
    </x:row>
    <x:row r="8">
      <x:c r="A8" s="47" t="str">
        <x:v>RUN-I2-034-20260830T204502193087Z</x:v>
      </x:c>
      <x:c r="B8" s="47" t="str">
        <x:v>I2-034</x:v>
      </x:c>
      <x:c r="C8" s="59" t="n">
        <x:v>1</x:v>
      </x:c>
      <x:c r="D8" s="47" t="str">
        <x:v>generator_raw_response</x:v>
      </x:c>
      <x:c r="E8" s="48" t="str">
        <x:v>artifacts/attempt_01/generator_raw.txt</x:v>
      </x:c>
      <x:c r="F8" s="47" t="str">
        <x:v>403c2013d845c68fcf55532b761c74201ca7c5418fe10a9c2aa2092a7847ad20</x:v>
      </x:c>
      <x:c r="G8" s="59" t="n">
        <x:v>4267</x:v>
      </x:c>
    </x:row>
    <x:row r="9">
      <x:c r="A9" s="47" t="str">
        <x:v>RUN-I2-034-20260830T204502193087Z</x:v>
      </x:c>
      <x:c r="B9" s="47" t="str">
        <x:v>I2-034</x:v>
      </x:c>
      <x:c r="C9" s="59" t="n">
        <x:v>1</x:v>
      </x:c>
      <x:c r="D9" s="47" t="str">
        <x:v>syntax_repair_prompt</x:v>
      </x:c>
      <x:c r="E9" s="48" t="str">
        <x:v>artifacts/attempt_01/syntax_repair_prompt_01.txt</x:v>
      </x:c>
      <x:c r="F9" s="47" t="str">
        <x:v>5ca7f4449f95ad19db1820ce466ef2af4b9b1d1a425799c36ae6fe82d7ba1dff</x:v>
      </x:c>
      <x:c r="G9" s="59" t="n">
        <x:v>5606</x:v>
      </x:c>
    </x:row>
    <x:row r="10">
      <x:c r="A10" s="47" t="str">
        <x:v>RUN-I2-034-20260830T204502193087Z</x:v>
      </x:c>
      <x:c r="B10" s="47" t="str">
        <x:v>I2-034</x:v>
      </x:c>
      <x:c r="C10" s="59" t="n">
        <x:v>1</x:v>
      </x:c>
      <x:c r="D10" s="47" t="str">
        <x:v>syntax_repair_raw_response</x:v>
      </x:c>
      <x:c r="E10" s="48" t="str">
        <x:v>artifacts/attempt_01/syntax_repair_raw_01.txt</x:v>
      </x:c>
      <x:c r="F10" s="47" t="str">
        <x:v>798fb1fd7012af9bbd2d0471173749b2ba2d785ffe732bb6dd3480a37ffc6f27</x:v>
      </x:c>
      <x:c r="G10" s="59" t="n">
        <x:v>4314</x:v>
      </x:c>
    </x:row>
    <x:row r="11">
      <x:c r="A11" s="47" t="str">
        <x:v>RUN-I2-034-20260830T204502193087Z</x:v>
      </x:c>
      <x:c r="B11" s="47" t="str">
        <x:v>I2-034</x:v>
      </x:c>
      <x:c r="C11" s="59" t="n">
        <x:v>1</x:v>
      </x:c>
      <x:c r="D11" s="47" t="str">
        <x:v>candidate_shape</x:v>
      </x:c>
      <x:c r="E11" s="48" t="str">
        <x:v>artifacts/attempt_01/candidate_shape.ttl</x:v>
      </x:c>
      <x:c r="F11" s="47" t="str">
        <x:v>806ef0ed0e6d074d6c566393121eabaaf2cc77151ae45fd9f84917509aade8a0</x:v>
      </x:c>
      <x:c r="G11" s="59" t="n">
        <x:v>4289</x:v>
      </x:c>
    </x:row>
    <x:row r="12">
      <x:c r="A12" s="47" t="str">
        <x:v>RUN-I2-034-20260830T204502193087Z</x:v>
      </x:c>
      <x:c r="B12" s="47" t="str">
        <x:v>I2-034</x:v>
      </x:c>
      <x:c r="C12" s="59" t="n">
        <x:v>1</x:v>
      </x:c>
      <x:c r="D12" s="47" t="str">
        <x:v>deterministic_validation</x:v>
      </x:c>
      <x:c r="E12" s="48" t="str">
        <x:v>artifacts/attempt_01/deterministic_validation.json</x:v>
      </x:c>
      <x:c r="F12" s="47" t="str">
        <x:v>85f5f92c1bbd9764678ff229ab40306344e0a45cb6a9dd2e1968ef0a1f309982</x:v>
      </x:c>
      <x:c r="G12" s="59" t="n">
        <x:v>1045</x:v>
      </x:c>
    </x:row>
    <x:row r="13">
      <x:c r="A13" s="47" t="str">
        <x:v>RUN-I2-034-20260830T204502193087Z</x:v>
      </x:c>
      <x:c r="B13" s="47" t="str">
        <x:v>I2-034</x:v>
      </x:c>
      <x:c r="C13" s="59" t="n">
        <x:v>1</x:v>
      </x:c>
      <x:c r="D13" s="47" t="str">
        <x:v>validator_prompt</x:v>
      </x:c>
      <x:c r="E13" s="48" t="str">
        <x:v>artifacts/attempt_01/validator_prompt_01.txt</x:v>
      </x:c>
      <x:c r="F13" s="47" t="str">
        <x:v>8332d25b2a1bec58a88f6923f041df23e2bde03fe770b3a5ace573116dee05d9</x:v>
      </x:c>
      <x:c r="G13" s="59" t="n">
        <x:v>48858</x:v>
      </x:c>
    </x:row>
    <x:row r="14">
      <x:c r="A14" s="47" t="str">
        <x:v>RUN-I2-034-20260830T204502193087Z</x:v>
      </x:c>
      <x:c r="B14" s="47" t="str">
        <x:v>I2-034</x:v>
      </x:c>
      <x:c r="C14" s="59" t="n">
        <x:v>1</x:v>
      </x:c>
      <x:c r="D14" s="47" t="str">
        <x:v>validator_raw_response</x:v>
      </x:c>
      <x:c r="E14" s="48" t="str">
        <x:v>artifacts/attempt_01/validator_raw_01.txt</x:v>
      </x:c>
      <x:c r="F14" s="47" t="str">
        <x:v>b00ff346d648383d0ba5fb2c49691eaa51bd35ab4821fda1677abcbfd1e768eb</x:v>
      </x:c>
      <x:c r="G14" s="59" t="n">
        <x:v>411</x:v>
      </x:c>
    </x:row>
    <x:row r="15">
      <x:c r="A15" s="47" t="str">
        <x:v>RUN-I2-034-20260830T204502193087Z</x:v>
      </x:c>
      <x:c r="B15" s="47" t="str">
        <x:v>I2-034</x:v>
      </x:c>
      <x:c r="C15" s="59" t="n">
        <x:v>2</x:v>
      </x:c>
      <x:c r="D15" s="47" t="str">
        <x:v>generator_prompt</x:v>
      </x:c>
      <x:c r="E15" s="48" t="str">
        <x:v>artifacts/attempt_02/generator_prompt.txt</x:v>
      </x:c>
      <x:c r="F15" s="47" t="str">
        <x:v>0be5f503982b5625cf9b0e6425e05d8933739a763b05a306894f4782a4f884d4</x:v>
      </x:c>
      <x:c r="G15" s="59" t="n">
        <x:v>48548</x:v>
      </x:c>
    </x:row>
    <x:row r="16">
      <x:c r="A16" s="47" t="str">
        <x:v>RUN-I2-034-20260830T204502193087Z</x:v>
      </x:c>
      <x:c r="B16" s="47" t="str">
        <x:v>I2-034</x:v>
      </x:c>
      <x:c r="C16" s="59" t="n">
        <x:v>2</x:v>
      </x:c>
      <x:c r="D16" s="47" t="str">
        <x:v>generator_raw_response</x:v>
      </x:c>
      <x:c r="E16" s="48" t="str">
        <x:v>artifacts/attempt_02/generator_raw.txt</x:v>
      </x:c>
      <x:c r="F16" s="47" t="str">
        <x:v>e5915e9687a63061a5c49fb89c461cdef68f8b2c41043d264e4a65663271db2b</x:v>
      </x:c>
      <x:c r="G16" s="59" t="n">
        <x:v>4254</x:v>
      </x:c>
    </x:row>
    <x:row r="17">
      <x:c r="A17" s="47" t="str">
        <x:v>RUN-I2-034-20260830T204502193087Z</x:v>
      </x:c>
      <x:c r="B17" s="47" t="str">
        <x:v>I2-034</x:v>
      </x:c>
      <x:c r="C17" s="59" t="n">
        <x:v>2</x:v>
      </x:c>
      <x:c r="D17" s="47" t="str">
        <x:v>candidate_shape</x:v>
      </x:c>
      <x:c r="E17" s="48" t="str">
        <x:v>artifacts/attempt_02/candidate_shape.ttl</x:v>
      </x:c>
      <x:c r="F17" s="47" t="str">
        <x:v>d5ee2cb2fb4d2934346a65d340266746212219f111ddcb2aee6a9e40c93e21b7</x:v>
      </x:c>
      <x:c r="G17" s="59" t="n">
        <x:v>4229</x:v>
      </x:c>
    </x:row>
    <x:row r="18">
      <x:c r="A18" s="47" t="str">
        <x:v>RUN-I2-034-20260830T204502193087Z</x:v>
      </x:c>
      <x:c r="B18" s="47" t="str">
        <x:v>I2-034</x:v>
      </x:c>
      <x:c r="C18" s="59" t="n">
        <x:v>2</x:v>
      </x:c>
      <x:c r="D18" s="47" t="str">
        <x:v>deterministic_validation</x:v>
      </x:c>
      <x:c r="E18" s="48" t="str">
        <x:v>artifacts/attempt_02/deterministic_validation.json</x:v>
      </x:c>
      <x:c r="F18" s="47" t="str">
        <x:v>87120d7366ada0027c2a55874b38038e0984b1b2ad9d89be25f8bd101d73b419</x:v>
      </x:c>
      <x:c r="G18" s="59" t="n">
        <x:v>1068</x:v>
      </x:c>
    </x:row>
    <x:row r="19">
      <x:c r="A19" s="47" t="str">
        <x:v>RUN-I2-034-20260830T204502193087Z</x:v>
      </x:c>
      <x:c r="B19" s="47" t="str">
        <x:v>I2-034</x:v>
      </x:c>
      <x:c r="C19" s="59" t="n">
        <x:v>2</x:v>
      </x:c>
      <x:c r="D19" s="47" t="str">
        <x:v>validator_prompt</x:v>
      </x:c>
      <x:c r="E19" s="48" t="str">
        <x:v>artifacts/attempt_02/validator_prompt_01.txt</x:v>
      </x:c>
      <x:c r="F19" s="47" t="str">
        <x:v>f56ab69b906bf4a70669b31929e2833efe44a43fba127948bc824f2a336b5a00</x:v>
      </x:c>
      <x:c r="G19" s="59" t="n">
        <x:v>49984</x:v>
      </x:c>
    </x:row>
    <x:row r="20">
      <x:c r="A20" s="47" t="str">
        <x:v>RUN-I2-034-20260830T204502193087Z</x:v>
      </x:c>
      <x:c r="B20" s="47" t="str">
        <x:v>I2-034</x:v>
      </x:c>
      <x:c r="C20" s="59" t="n">
        <x:v>2</x:v>
      </x:c>
      <x:c r="D20" s="47" t="str">
        <x:v>validator_raw_response</x:v>
      </x:c>
      <x:c r="E20" s="48" t="str">
        <x:v>artifacts/attempt_02/validator_raw_01.txt</x:v>
      </x:c>
      <x:c r="F20" s="47" t="str">
        <x:v>5ae0ff9671d840c863620a2b6eeeee3cef85ee56fd1288148d2c8762c9aec049</x:v>
      </x:c>
      <x:c r="G20" s="59" t="n">
        <x:v>576</x:v>
      </x:c>
    </x:row>
    <x:row r="21">
      <x:c r="A21" s="47" t="str">
        <x:v>RUN-I2-034-20260830T204502193087Z</x:v>
      </x:c>
      <x:c r="B21" s="47" t="str">
        <x:v>I2-034</x:v>
      </x:c>
      <x:c r="C21" s="59" t="n">
        <x:v>3</x:v>
      </x:c>
      <x:c r="D21" s="47" t="str">
        <x:v>generator_prompt</x:v>
      </x:c>
      <x:c r="E21" s="48" t="str">
        <x:v>artifacts/attempt_03/generator_prompt.txt</x:v>
      </x:c>
      <x:c r="F21" s="47" t="str">
        <x:v>c40bce0de95523e619396eb38a603b38c1f013e3ad72af63a42b1b41ac2ea5e0</x:v>
      </x:c>
      <x:c r="G21" s="59" t="n">
        <x:v>49067</x:v>
      </x:c>
    </x:row>
    <x:row r="22">
      <x:c r="A22" s="47" t="str">
        <x:v>RUN-I2-034-20260830T204502193087Z</x:v>
      </x:c>
      <x:c r="B22" s="47" t="str">
        <x:v>I2-034</x:v>
      </x:c>
      <x:c r="C22" s="59" t="n">
        <x:v>3</x:v>
      </x:c>
      <x:c r="D22" s="47" t="str">
        <x:v>generator_raw_response</x:v>
      </x:c>
      <x:c r="E22" s="48" t="str">
        <x:v>artifacts/attempt_03/generator_raw.txt</x:v>
      </x:c>
      <x:c r="F22" s="47" t="str">
        <x:v>a90debedf9ea14b6ad2303afa7ce8e6ff8256c971f92f0554cea4727d4427f4f</x:v>
      </x:c>
      <x:c r="G22" s="59" t="n">
        <x:v>5036</x:v>
      </x:c>
    </x:row>
    <x:row r="23">
      <x:c r="A23" s="47" t="str">
        <x:v>RUN-I2-034-20260830T204502193087Z</x:v>
      </x:c>
      <x:c r="B23" s="47" t="str">
        <x:v>I2-034</x:v>
      </x:c>
      <x:c r="C23" s="59" t="n">
        <x:v>3</x:v>
      </x:c>
      <x:c r="D23" s="47" t="str">
        <x:v>candidate_shape</x:v>
      </x:c>
      <x:c r="E23" s="48" t="str">
        <x:v>artifacts/attempt_03/candidate_shape.ttl</x:v>
      </x:c>
      <x:c r="F23" s="47" t="str">
        <x:v>e7b8ef6eacedbc56ec67d0a9cfec3681e50520c98436fa9b10cd104b95ce171f</x:v>
      </x:c>
      <x:c r="G23" s="59" t="n">
        <x:v>5011</x:v>
      </x:c>
    </x:row>
    <x:row r="24">
      <x:c r="A24" s="47" t="str">
        <x:v>RUN-I2-034-20260830T204502193087Z</x:v>
      </x:c>
      <x:c r="B24" s="47" t="str">
        <x:v>I2-034</x:v>
      </x:c>
      <x:c r="C24" s="59" t="n">
        <x:v>3</x:v>
      </x:c>
      <x:c r="D24" s="47" t="str">
        <x:v>deterministic_validation</x:v>
      </x:c>
      <x:c r="E24" s="48" t="str">
        <x:v>artifacts/attempt_03/deterministic_validation.json</x:v>
      </x:c>
      <x:c r="F24" s="47" t="str">
        <x:v>638317831de574f19c5ae4bdb26017d2f784db971e6375c5532aa38569c777f1</x:v>
      </x:c>
      <x:c r="G24" s="59" t="n">
        <x:v>1168</x:v>
      </x:c>
    </x:row>
    <x:row r="25">
      <x:c r="A25" s="47" t="str">
        <x:v>RUN-I2-034-20260830T204502193087Z</x:v>
      </x:c>
      <x:c r="B25" s="47" t="str">
        <x:v>I2-034</x:v>
      </x:c>
      <x:c r="C25" s="59" t="n">
        <x:v>3</x:v>
      </x:c>
      <x:c r="D25" s="47" t="str">
        <x:v>validator_prompt</x:v>
      </x:c>
      <x:c r="E25" s="48" t="str">
        <x:v>artifacts/attempt_03/validator_prompt_01.txt</x:v>
      </x:c>
      <x:c r="F25" s="47" t="str">
        <x:v>1e7914c6fb703b572d6b350a9d82c145160177c444d0794de732975c1ef7616b</x:v>
      </x:c>
      <x:c r="G25" s="59" t="n">
        <x:v>52041</x:v>
      </x:c>
    </x:row>
    <x:row r="26">
      <x:c r="A26" s="47" t="str">
        <x:v>RUN-I2-034-20260830T204502193087Z</x:v>
      </x:c>
      <x:c r="B26" s="47" t="str">
        <x:v>I2-034</x:v>
      </x:c>
      <x:c r="C26" s="59" t="n">
        <x:v>3</x:v>
      </x:c>
      <x:c r="D26" s="47" t="str">
        <x:v>validator_raw_response</x:v>
      </x:c>
      <x:c r="E26" s="48" t="str">
        <x:v>artifacts/attempt_03/validator_raw_01.txt</x:v>
      </x:c>
      <x:c r="F26" s="47" t="str">
        <x:v>2e38cf7c5cb678214e9c77ed49f071a3072f0de86672cc45c3cdcf450f058121</x:v>
      </x:c>
      <x:c r="G26" s="59" t="n">
        <x:v>871</x:v>
      </x:c>
    </x:row>
    <x:row r="27">
      <x:c r="A27" s="47" t="str">
        <x:v>RUN-I2-034-20260830T204502193087Z</x:v>
      </x:c>
      <x:c r="B27" s="47" t="str">
        <x:v>I2-034</x:v>
      </x:c>
      <x:c r="C27" s="59" t="n">
        <x:v>4</x:v>
      </x:c>
      <x:c r="D27" s="47" t="str">
        <x:v>generator_prompt</x:v>
      </x:c>
      <x:c r="E27" s="48" t="str">
        <x:v>artifacts/attempt_04/generator_prompt.txt</x:v>
      </x:c>
      <x:c r="F27" s="47" t="str">
        <x:v>65df6315fcd3a05326afeead0cec9368574107b37a8c393b384f29ee6ca8342c</x:v>
      </x:c>
      <x:c r="G27" s="59" t="n">
        <x:v>49881</x:v>
      </x:c>
    </x:row>
    <x:row r="28">
      <x:c r="A28" s="47" t="str">
        <x:v>RUN-I2-034-20260830T204502193087Z</x:v>
      </x:c>
      <x:c r="B28" s="47" t="str">
        <x:v>I2-034</x:v>
      </x:c>
      <x:c r="C28" s="59" t="n">
        <x:v>4</x:v>
      </x:c>
      <x:c r="D28" s="47" t="str">
        <x:v>generator_raw_response</x:v>
      </x:c>
      <x:c r="E28" s="48" t="str">
        <x:v>artifacts/attempt_04/generator_raw.txt</x:v>
      </x:c>
      <x:c r="F28" s="47" t="str">
        <x:v>09cddbf7cf63668f7c5df375053fe1b891d3af7483be1b612d5c80f1d3131ed8</x:v>
      </x:c>
      <x:c r="G28" s="59" t="n">
        <x:v>4145</x:v>
      </x:c>
    </x:row>
    <x:row r="29">
      <x:c r="A29" s="47" t="str">
        <x:v>RUN-I2-034-20260830T204502193087Z</x:v>
      </x:c>
      <x:c r="B29" s="47" t="str">
        <x:v>I2-034</x:v>
      </x:c>
      <x:c r="C29" s="59" t="n">
        <x:v>4</x:v>
      </x:c>
      <x:c r="D29" s="47" t="str">
        <x:v>candidate_shape</x:v>
      </x:c>
      <x:c r="E29" s="48" t="str">
        <x:v>artifacts/attempt_04/candidate_shape.ttl</x:v>
      </x:c>
      <x:c r="F29" s="47" t="str">
        <x:v>02a1795461b7d590b6aee8095442b87233f421a7eb2b1c0864d70f50705d838c</x:v>
      </x:c>
      <x:c r="G29" s="59" t="n">
        <x:v>4120</x:v>
      </x:c>
    </x:row>
    <x:row r="30">
      <x:c r="A30" s="47" t="str">
        <x:v>RUN-I2-034-20260830T204502193087Z</x:v>
      </x:c>
      <x:c r="B30" s="47" t="str">
        <x:v>I2-034</x:v>
      </x:c>
      <x:c r="C30" s="59" t="n">
        <x:v>4</x:v>
      </x:c>
      <x:c r="D30" s="47" t="str">
        <x:v>deterministic_validation</x:v>
      </x:c>
      <x:c r="E30" s="48" t="str">
        <x:v>artifacts/attempt_04/deterministic_validation.json</x:v>
      </x:c>
      <x:c r="F30" s="47" t="str">
        <x:v>1067cca93b6be63764fae9d454caaabae1390281d1e4fb8cbac61d0d4a0df85b</x:v>
      </x:c>
      <x:c r="G30" s="59" t="n">
        <x:v>1105</x:v>
      </x:c>
    </x:row>
    <x:row r="31">
      <x:c r="A31" s="47" t="str">
        <x:v>RUN-I2-034-20260830T204502193087Z</x:v>
      </x:c>
      <x:c r="B31" s="47" t="str">
        <x:v>I2-034</x:v>
      </x:c>
      <x:c r="C31" s="59" t="n">
        <x:v>4</x:v>
      </x:c>
      <x:c r="D31" s="47" t="str">
        <x:v>validator_prompt</x:v>
      </x:c>
      <x:c r="E31" s="48" t="str">
        <x:v>artifacts/attempt_04/validator_prompt_01.txt</x:v>
      </x:c>
      <x:c r="F31" s="47" t="str">
        <x:v>ce7ee683e6206cbd96cb03a4f6403be6b1043a9487996b4f88a334da2e77bfff</x:v>
      </x:c>
      <x:c r="G31" s="59" t="n">
        <x:v>51557</x:v>
      </x:c>
    </x:row>
    <x:row r="32">
      <x:c r="A32" s="49" t="str">
        <x:v>RUN-I2-034-20260830T204502193087Z</x:v>
      </x:c>
      <x:c r="B32" s="49" t="str">
        <x:v>I2-034</x:v>
      </x:c>
      <x:c r="C32" s="60" t="n">
        <x:v>4</x:v>
      </x:c>
      <x:c r="D32" s="49" t="str">
        <x:v>validator_raw_response</x:v>
      </x:c>
      <x:c r="E32" s="50" t="str">
        <x:v>artifacts/attempt_04/validator_raw_01.txt</x:v>
      </x:c>
      <x:c r="F32" s="49" t="str">
        <x:v>b012bd2c658bef8e09a1e82bcfdf6e6753de60fe6397b913863263b187915227</x:v>
      </x:c>
      <x:c r="G32" s="60" t="n">
        <x:v>888</x:v>
      </x:c>
    </x:row>
  </x:sheetData>
  <x:pageMargins left="0.7" right="0.7" top="0.75" bottom="0.75" header="0.3" footer="0.3"/>
  <x:tableParts count="1">
    <x:tablePart xmlns:r="http://schemas.openxmlformats.org/officeDocument/2006/relationships" r:id="R633f6305444c419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RUN-I2-034-20260830T204502193087Z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RUN-I2-034-20260830T204502193087Z</x:v>
      </x:c>
      <x:c r="B5" s="69" t="str">
        <x:v>I2-034</x:v>
      </x:c>
      <x:c r="C5" s="71" t="n">
        <x:v>4</x:v>
      </x:c>
      <x:c r="D5" s="69" t="str">
        <x:v>MAX_ATTEMPTS_REACHED</x:v>
      </x:c>
      <x:c r="E5" s="73" t="str">
        <x:v>Repair applicability without changing the preserved ship-owned frameProfileType, structural-member/load-case ownership, canonical kN unit, cardinalities, or tolerance direction. The current StructuralMemberShape is applied to every nltl:hasStructuralMember value and requires longitudinalFrameOrientation=true and structuralLocation=sideStructureLocation, thereby incorrectly making all represented structural members applicable. Make the requirement conditional: validate the demand-versus-strength comparison only for structural-member nodes that already have the declared applicability inputs (orientation true and sideStructureLocation), while allowing non-longitudinal or non-side members and allowing no represented applicable member. Do not replace this with a convenience applicability boolean or relocate the paths.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2bccbe626e948a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RUN-I2-034-20260830T204502193087Z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