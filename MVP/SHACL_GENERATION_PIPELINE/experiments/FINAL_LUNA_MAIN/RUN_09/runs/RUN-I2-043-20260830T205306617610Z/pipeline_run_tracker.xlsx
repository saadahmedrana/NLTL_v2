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cd3d60821d45fc" /></Relationships>
</file>

<file path=xl/workbook.xml><?xml version="1.0" encoding="utf-8"?>
<x:workbook xmlns:x="http://schemas.openxmlformats.org/spreadsheetml/2006/main">
  <x:sheets>
    <x:sheet xmlns:r="http://schemas.openxmlformats.org/officeDocument/2006/relationships" name="SUMMARY" sheetId="1" r:id="R78259ed590524299"/>
    <x:sheet xmlns:r="http://schemas.openxmlformats.org/officeDocument/2006/relationships" name="README" sheetId="2" r:id="Rd5bb5b4aa0904125"/>
    <x:sheet xmlns:r="http://schemas.openxmlformats.org/officeDocument/2006/relationships" name="REGULATION_QUEUE" sheetId="3" r:id="R536ebbfbfa1c4dd0"/>
    <x:sheet xmlns:r="http://schemas.openxmlformats.org/officeDocument/2006/relationships" name="RUNS" sheetId="4" r:id="R06bc5b34c5464c12"/>
    <x:sheet xmlns:r="http://schemas.openxmlformats.org/officeDocument/2006/relationships" name="ITERATIONS" sheetId="5" r:id="R6215f1bdcbfe4fe7"/>
    <x:sheet xmlns:r="http://schemas.openxmlformats.org/officeDocument/2006/relationships" name="API_CALLS" sheetId="6" r:id="R55d7b04614dd4e41"/>
    <x:sheet xmlns:r="http://schemas.openxmlformats.org/officeDocument/2006/relationships" name="TERM_RETRIEVAL" sheetId="7" r:id="Re13f41d01f6c44f4"/>
    <x:sheet xmlns:r="http://schemas.openxmlformats.org/officeDocument/2006/relationships" name="FEW_SHOT_SELECTION" sheetId="8" r:id="R095ad31dd94a4de8"/>
    <x:sheet xmlns:r="http://schemas.openxmlformats.org/officeDocument/2006/relationships" name="VALIDATION" sheetId="9" r:id="R0d0a9539bdfb497c"/>
    <x:sheet xmlns:r="http://schemas.openxmlformats.org/officeDocument/2006/relationships" name="VOCAB_MATCHES" sheetId="10" r:id="Rffc4d6289dd5431c"/>
    <x:sheet xmlns:r="http://schemas.openxmlformats.org/officeDocument/2006/relationships" name="ARTIFACTS" sheetId="11" r:id="Rdb7fdc5a2dc14f92"/>
    <x:sheet xmlns:r="http://schemas.openxmlformats.org/officeDocument/2006/relationships" name="UNRESOLVED" sheetId="12" r:id="Rae31695912704c76"/>
    <x:sheet xmlns:r="http://schemas.openxmlformats.org/officeDocument/2006/relationships" name="RDF_TEST_QUEUE" sheetId="13" r:id="R62abf08a00f14e8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6706b015c8641eb" /><Relationship Type="http://schemas.openxmlformats.org/officeDocument/2006/relationships/theme" Target="/xl/theme/theme1.xml" Id="Rf0c64f6738e545d7" /><Relationship Type="http://schemas.microsoft.com/office/2022/11/relationships/FeaturePropertyBag" Target="/xl/featurePropertyBag/featurePropertyBag.xml" Id="Rb681c9af906d44a6" /><Relationship Type="http://schemas.openxmlformats.org/officeDocument/2006/relationships/sharedStrings" Target="/xl/sharedStrings.xml" Id="R30b071634e094084" /><Relationship Type="http://schemas.openxmlformats.org/officeDocument/2006/relationships/worksheet" Target="/xl/worksheets/sheet1.xml" Id="R78259ed590524299" /><Relationship Type="http://schemas.openxmlformats.org/officeDocument/2006/relationships/worksheet" Target="/xl/worksheets/sheet2.xml" Id="Rd5bb5b4aa0904125" /><Relationship Type="http://schemas.openxmlformats.org/officeDocument/2006/relationships/worksheet" Target="/xl/worksheets/sheet3.xml" Id="R536ebbfbfa1c4dd0" /><Relationship Type="http://schemas.openxmlformats.org/officeDocument/2006/relationships/worksheet" Target="/xl/worksheets/sheet4.xml" Id="R06bc5b34c5464c12" /><Relationship Type="http://schemas.openxmlformats.org/officeDocument/2006/relationships/worksheet" Target="/xl/worksheets/sheet5.xml" Id="R6215f1bdcbfe4fe7" /><Relationship Type="http://schemas.openxmlformats.org/officeDocument/2006/relationships/worksheet" Target="/xl/worksheets/sheet6.xml" Id="R55d7b04614dd4e41" /><Relationship Type="http://schemas.openxmlformats.org/officeDocument/2006/relationships/worksheet" Target="/xl/worksheets/sheet7.xml" Id="Re13f41d01f6c44f4" /><Relationship Type="http://schemas.openxmlformats.org/officeDocument/2006/relationships/worksheet" Target="/xl/worksheets/sheet8.xml" Id="R095ad31dd94a4de8" /><Relationship Type="http://schemas.openxmlformats.org/officeDocument/2006/relationships/worksheet" Target="/xl/worksheets/sheet9.xml" Id="R0d0a9539bdfb497c" /><Relationship Type="http://schemas.openxmlformats.org/officeDocument/2006/relationships/worksheet" Target="/xl/worksheets/sheet10.xml" Id="Rffc4d6289dd5431c" /><Relationship Type="http://schemas.openxmlformats.org/officeDocument/2006/relationships/worksheet" Target="/xl/worksheets/sheet11.xml" Id="Rdb7fdc5a2dc14f92" /><Relationship Type="http://schemas.openxmlformats.org/officeDocument/2006/relationships/worksheet" Target="/xl/worksheets/sheet12.xml" Id="Rae31695912704c76" /><Relationship Type="http://schemas.openxmlformats.org/officeDocument/2006/relationships/worksheet" Target="/xl/worksheets/sheet13.xml" Id="R62abf08a00f14e8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9"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e9c45dea9a2454a" /></Relationships>
</file>

<file path=xl/worksheets/_rels/sheet3.xml.rels>&#65279;<?xml version="1.0" encoding="utf-8"?><Relationships xmlns="http://schemas.openxmlformats.org/package/2006/relationships"><Relationship Type="http://schemas.openxmlformats.org/officeDocument/2006/relationships/table" Target="/xl/tables/table2.xml" Id="R2bc10cc743fd4c8a" /></Relationships>
</file>

<file path=xl/worksheets/_rels/sheet4.xml.rels>&#65279;<?xml version="1.0" encoding="utf-8"?><Relationships xmlns="http://schemas.openxmlformats.org/package/2006/relationships"><Relationship Type="http://schemas.openxmlformats.org/officeDocument/2006/relationships/table" Target="/xl/tables/table3.xml" Id="R77664c6975df4870" /></Relationships>
</file>

<file path=xl/worksheets/_rels/sheet5.xml.rels>&#65279;<?xml version="1.0" encoding="utf-8"?><Relationships xmlns="http://schemas.openxmlformats.org/package/2006/relationships"><Relationship Type="http://schemas.openxmlformats.org/officeDocument/2006/relationships/table" Target="/xl/tables/table4.xml" Id="R7c15abb5e8854862" /></Relationships>
</file>

<file path=xl/worksheets/_rels/sheet6.xml.rels>&#65279;<?xml version="1.0" encoding="utf-8"?><Relationships xmlns="http://schemas.openxmlformats.org/package/2006/relationships"><Relationship Type="http://schemas.openxmlformats.org/officeDocument/2006/relationships/table" Target="/xl/tables/table5.xml" Id="R004b1dbd20894e0a" /></Relationships>
</file>

<file path=xl/worksheets/_rels/sheet7.xml.rels>&#65279;<?xml version="1.0" encoding="utf-8"?><Relationships xmlns="http://schemas.openxmlformats.org/package/2006/relationships"><Relationship Type="http://schemas.openxmlformats.org/officeDocument/2006/relationships/table" Target="/xl/tables/table6.xml" Id="R1a3f7bf3736643df" /></Relationships>
</file>

<file path=xl/worksheets/_rels/sheet8.xml.rels>&#65279;<?xml version="1.0" encoding="utf-8"?><Relationships xmlns="http://schemas.openxmlformats.org/package/2006/relationships"><Relationship Type="http://schemas.openxmlformats.org/officeDocument/2006/relationships/table" Target="/xl/tables/table7.xml" Id="R76f0d722346144a2" /></Relationships>
</file>

<file path=xl/worksheets/_rels/sheet9.xml.rels>&#65279;<?xml version="1.0" encoding="utf-8"?><Relationships xmlns="http://schemas.openxmlformats.org/package/2006/relationships"><Relationship Type="http://schemas.openxmlformats.org/officeDocument/2006/relationships/table" Target="/xl/tables/table8.xml" Id="R26835b22443541ea" /></Relationships>
</file>

<file path=xl/worksheets/_rels/sheet11.xml.rels>&#65279;<?xml version="1.0" encoding="utf-8"?><Relationships xmlns="http://schemas.openxmlformats.org/package/2006/relationships"><Relationship Type="http://schemas.openxmlformats.org/officeDocument/2006/relationships/table" Target="/xl/tables/table9.xml" Id="R6fceff234f1f4dcf" /></Relationships>
</file>

<file path=xl/worksheets/_rels/sheet13.xml.rels>&#65279;<?xml version="1.0" encoding="utf-8"?><Relationships xmlns="http://schemas.openxmlformats.org/package/2006/relationships"><Relationship Type="http://schemas.openxmlformats.org/officeDocument/2006/relationships/table" Target="/xl/tables/table10.xml" Id="R1f6bd480f637467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RUN-I2-043-20260830T205306617610Z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COUNTA('API_CALLS'!$A$5:$A$9)</x:f>
        <x:v>5</x:v>
      </x:c>
      <x:c r="C9" s="21"/>
      <x:c r="D9" s="21"/>
    </x:row>
    <x:row r="10">
      <x:c r="A10" s="27" t="str">
        <x:v>Mean API/LLM elapsed ms</x:v>
      </x:c>
      <x:c r="B10" s="28" t="n">
        <x:f>IFERROR(AVERAGE('API_CALLS'!$K$5:$K$9),0)</x:f>
        <x:v>9037.9868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RUN-I2-043-20260830T205306617610Z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e9c45dea9a2454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RUN-I2-043-20260830T205306617610Z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GENERATION_ACCEPTED</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bc10cc743fd4c8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RUN-I2-043-20260830T205306617610Z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RUN-I2-043-20260830T205306617610Z</x:v>
      </x:c>
      <x:c r="C5" s="69" t="str">
        <x:v>I2-043</x:v>
      </x:c>
      <x:c r="D5" s="70" t="n">
        <x:v>46264.87021548611</x:v>
      </x:c>
      <x:c r="E5" s="70" t="n">
        <x:v>46264.87050788195</x:v>
      </x:c>
      <x:c r="F5" s="69" t="str">
        <x:v>final-luna-main-run09</x:v>
      </x:c>
      <x:c r="G5" s="69" t="str">
        <x:v>VOCAB-LOCK-2026-08-22-R13</x:v>
      </x:c>
      <x:c r="H5" s="71" t="n">
        <x:v>1</x:v>
      </x:c>
      <x:c r="I5" s="69" t="str">
        <x:v>GENERATION_ACCEPTED</x:v>
      </x:c>
      <x:c r="J5" s="72" t="b">
        <x:v>1</x:v>
      </x:c>
      <x:c r="K5" s="69" t="str">
        <x:v>final/final_shape.ttl</x:v>
      </x:c>
      <x:c r="L5" s="73" t="str">
        <x:v>Candidate faithfully encodes the COMPLETE COMPLEX_READINESS contract: it targets ships, follows hasStructuralMember to structuralMember nodes, requires all declared operand and result quantities on the authoritative owner, enforces the canonical quantity units and decimal numeric values, and does not incorrectly execute the informational nonlinear formula or invent evidence requirements.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7664c6975df487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RUN-I2-043-20260830T205306617610Z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RUN-I2-043-20260830T205306617610Z</x:v>
      </x:c>
      <x:c r="B5" s="69" t="str">
        <x:v>I2-043</x:v>
      </x:c>
      <x:c r="C5" s="71" t="n">
        <x:v>1</x:v>
      </x:c>
      <x:c r="D5" s="72" t="b">
        <x:v>1</x:v>
      </x:c>
      <x:c r="E5" s="72" t="b">
        <x:v>1</x:v>
      </x:c>
      <x:c r="F5" s="72" t="b">
        <x:v>0</x:v>
      </x:c>
      <x:c r="G5" s="69" t="str">
        <x:v>ACCEPT</x:v>
      </x:c>
      <x:c r="H5" s="73" t="str">
        <x:v>Candidate faithfully encodes the COMPLETE COMPLEX_READINESS contract: it targets ships, follows hasStructuralMember to structuralMember nodes, requires all declared operand and result quantities on the authoritative owner, enforces the canonical quantity units and decimal numeric values, and does not incorrectly execute the informational nonlinear formula or invent evidence requirements.</x:v>
      </x:c>
      <x:c r="I5" s="75" t="n">
        <x:v>17681.43</x:v>
      </x:c>
      <x:c r="J5" s="75" t="n">
        <x:v>7456.663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c15abb5e885486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RUN-I2-043-20260830T205306617610Z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RUN-I2-043-20260830T205306617610Z</x:v>
      </x:c>
      <x:c r="C5" s="45" t="str">
        <x:v>I2-043</x:v>
      </x:c>
      <x:c r="D5" s="88" t="n">
        <x:v>46264.87024178241</x:v>
      </x:c>
      <x:c r="E5" s="45" t="str">
        <x:v>generator</x:v>
      </x:c>
      <x:c r="F5" s="45" t="str">
        <x:v>gpt-5.6-luna-2026-07-09</x:v>
      </x:c>
      <x:c r="G5" s="45" t="n">
        <x:v>1</x:v>
      </x:c>
      <x:c r="H5" s="45" t="n">
        <x:v>500</x:v>
      </x:c>
      <x:c r="I5" s="45" t="str">
        <x:v>Ocp-Apim-Subscription-Key</x:v>
      </x:c>
      <x:c r="J5" s="89" t="n">
        <x:v>0</x:v>
      </x:c>
      <x:c r="K5" s="89" t="n">
        <x:v>2269.562</x:v>
      </x:c>
      <x:c r="L5" s="90" t="b">
        <x:v>1</x:v>
      </x:c>
      <x:c r="M5" s="45" t="str"/>
      <x:c r="N5" s="58" t="str"/>
      <x:c r="O5" s="58" t="str"/>
      <x:c r="P5" s="58" t="str"/>
    </x:row>
    <x:row r="6">
      <x:c r="A6" s="47" t="str">
        <x:v>EVT-000021</x:v>
      </x:c>
      <x:c r="B6" s="47" t="str">
        <x:v>RUN-I2-043-20260830T205306617610Z</x:v>
      </x:c>
      <x:c r="C6" s="47" t="str">
        <x:v>I2-043</x:v>
      </x:c>
      <x:c r="D6" s="91" t="n">
        <x:v>46264.870420162035</x:v>
      </x:c>
      <x:c r="E6" s="47" t="str">
        <x:v>generator</x:v>
      </x:c>
      <x:c r="F6" s="47" t="str">
        <x:v>gpt-5.6-luna-2026-07-09</x:v>
      </x:c>
      <x:c r="G6" s="47" t="n">
        <x:v>2</x:v>
      </x:c>
      <x:c r="H6" s="47" t="n">
        <x:v>200</x:v>
      </x:c>
      <x:c r="I6" s="47" t="str">
        <x:v>Ocp-Apim-Subscription-Key</x:v>
      </x:c>
      <x:c r="J6" s="92" t="n">
        <x:v>0</x:v>
      </x:c>
      <x:c r="K6" s="92" t="n">
        <x:v>10326.303</x:v>
      </x:c>
      <x:c r="L6" s="93" t="b">
        <x:v>0</x:v>
      </x:c>
      <x:c r="M6" s="47" t="str"/>
      <x:c r="N6" s="59" t="str"/>
      <x:c r="O6" s="59" t="str"/>
      <x:c r="P6" s="59" t="str"/>
    </x:row>
    <x:row r="7">
      <x:c r="A7" s="47" t="str">
        <x:v>EVT-000022</x:v>
      </x:c>
      <x:c r="B7" s="47" t="str">
        <x:v>RUN-I2-043-20260830T205306617610Z</x:v>
      </x:c>
      <x:c r="C7" s="47" t="str">
        <x:v>I2-043</x:v>
      </x:c>
      <x:c r="D7" s="91" t="n">
        <x:v>46264.87042017361</x:v>
      </x:c>
      <x:c r="E7" s="47" t="str">
        <x:v>generator</x:v>
      </x:c>
      <x:c r="F7" s="47" t="str">
        <x:v>gpt-5.6-luna-2026-07-09</x:v>
      </x:c>
      <x:c r="G7" s="47" t="n">
        <x:v>2</x:v>
      </x:c>
      <x:c r="H7" s="47" t="str">
        <x:v>COMPLETED</x:v>
      </x:c>
      <x:c r="I7" s="47" t="str"/>
      <x:c r="J7" s="92" t="n">
        <x:v>0</x:v>
      </x:c>
      <x:c r="K7" s="92" t="n">
        <x:v>17681.43</x:v>
      </x:c>
      <x:c r="L7" s="93" t="b">
        <x:v>0</x:v>
      </x:c>
      <x:c r="M7" s="47" t="str">
        <x:v>resp_0d7f57d0aba963dd006a94983a13e88197bd9db8b04dedffe7</x:v>
      </x:c>
      <x:c r="N7" s="59" t="n">
        <x:v>8214</x:v>
      </x:c>
      <x:c r="O7" s="59" t="n">
        <x:v>1080</x:v>
      </x:c>
      <x:c r="P7" s="59" t="n">
        <x:v>9294</x:v>
      </x:c>
    </x:row>
    <x:row r="8">
      <x:c r="A8" s="47" t="str">
        <x:v>EVT-000029</x:v>
      </x:c>
      <x:c r="B8" s="47" t="str">
        <x:v>RUN-I2-043-20260830T205306617610Z</x:v>
      </x:c>
      <x:c r="C8" s="47" t="str">
        <x:v>I2-043</x:v>
      </x:c>
      <x:c r="D8" s="91" t="n">
        <x:v>46264.870507858795</x:v>
      </x:c>
      <x:c r="E8" s="47" t="str">
        <x:v>validator</x:v>
      </x:c>
      <x:c r="F8" s="47" t="str">
        <x:v>gpt-5.6-luna-2026-07-09</x:v>
      </x:c>
      <x:c r="G8" s="47" t="n">
        <x:v>1</x:v>
      </x:c>
      <x:c r="H8" s="47" t="n">
        <x:v>200</x:v>
      </x:c>
      <x:c r="I8" s="47" t="str">
        <x:v>Ocp-Apim-Subscription-Key</x:v>
      </x:c>
      <x:c r="J8" s="92" t="n">
        <x:v>0</x:v>
      </x:c>
      <x:c r="K8" s="92" t="n">
        <x:v>7455.976</x:v>
      </x:c>
      <x:c r="L8" s="93" t="b">
        <x:v>0</x:v>
      </x:c>
      <x:c r="M8" s="47" t="str"/>
      <x:c r="N8" s="59" t="str"/>
      <x:c r="O8" s="59" t="str"/>
      <x:c r="P8" s="59" t="str"/>
    </x:row>
    <x:row r="9">
      <x:c r="A9" s="49" t="str">
        <x:v>EVT-000030</x:v>
      </x:c>
      <x:c r="B9" s="49" t="str">
        <x:v>RUN-I2-043-20260830T205306617610Z</x:v>
      </x:c>
      <x:c r="C9" s="49" t="str">
        <x:v>I2-043</x:v>
      </x:c>
      <x:c r="D9" s="94" t="n">
        <x:v>46264.87050787037</x:v>
      </x:c>
      <x:c r="E9" s="49" t="str">
        <x:v>validator</x:v>
      </x:c>
      <x:c r="F9" s="49" t="str">
        <x:v>gpt-5.6-luna-2026-07-09</x:v>
      </x:c>
      <x:c r="G9" s="49" t="n">
        <x:v>1</x:v>
      </x:c>
      <x:c r="H9" s="49" t="str">
        <x:v>COMPLETED</x:v>
      </x:c>
      <x:c r="I9" s="49" t="str"/>
      <x:c r="J9" s="95" t="n">
        <x:v>0</x:v>
      </x:c>
      <x:c r="K9" s="95" t="n">
        <x:v>7456.663</x:v>
      </x:c>
      <x:c r="L9" s="96" t="b">
        <x:v>0</x:v>
      </x:c>
      <x:c r="M9" s="49" t="str">
        <x:v>resp_03399a9381b26310006a949844839881908aa0f30867887535</x:v>
      </x:c>
      <x:c r="N9" s="60" t="n">
        <x:v>6828</x:v>
      </x:c>
      <x:c r="O9" s="60" t="n">
        <x:v>511</x:v>
      </x:c>
      <x:c r="P9" s="60" t="n">
        <x:v>7339</x:v>
      </x:c>
    </x:row>
  </x:sheetData>
  <x:conditionalFormatting sqref="H5:H9">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04b1dbd20894e0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RUN-I2-043-20260830T205306617610Z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RUN-I2-043-20260830T205306617610Z</x:v>
      </x:c>
      <x:c r="B5" s="45" t="str">
        <x:v>I2-043</x:v>
      </x:c>
      <x:c r="C5" s="45" t="str">
        <x:v>benchmarkEntity</x:v>
      </x:c>
      <x:c r="D5" s="46" t="str">
        <x:v>https://w3id.org/nltl/vocab#benchmarkEntity</x:v>
      </x:c>
      <x:c r="E5" s="45" t="str">
        <x:v>Class</x:v>
      </x:c>
      <x:c r="F5" s="45" t="str"/>
      <x:c r="G5" s="45" t="str"/>
      <x:c r="H5" s="45" t="str"/>
      <x:c r="I5" s="46" t="str">
        <x:v>baseline target infrastructure; domain dependency of yieldStrength</x:v>
      </x:c>
      <x:c r="J5" s="45" t="n">
        <x:v>0</x:v>
      </x:c>
    </x:row>
    <x:row r="6">
      <x:c r="A6" s="47" t="str">
        <x:v>RUN-I2-043-20260830T205306617610Z</x:v>
      </x:c>
      <x:c r="B6" s="47" t="str">
        <x:v>I2-043</x:v>
      </x:c>
      <x:c r="C6" s="47" t="str">
        <x:v>flangeOutstand</x:v>
      </x:c>
      <x:c r="D6" s="48" t="str">
        <x:v>https://w3id.org/nltl/vocab#flangeOutstand</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RUN-I2-043-20260830T205306617610Z</x:v>
      </x:c>
      <x:c r="B7" s="47" t="str">
        <x:v>I2-043</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RUN-I2-043-20260830T205306617610Z</x:v>
      </x:c>
      <x:c r="B8" s="47" t="str">
        <x:v>I2-043</x:v>
      </x:c>
      <x:c r="C8" s="47" t="str">
        <x:v>hasStructuralMember</x:v>
      </x:c>
      <x:c r="D8" s="48" t="str">
        <x:v>https://w3id.org/nltl/vocab#hasStructuralMember</x:v>
      </x:c>
      <x:c r="E8" s="47" t="str">
        <x:v>ObjectProperty</x:v>
      </x:c>
      <x:c r="F8" s="47" t="str"/>
      <x:c r="G8" s="47" t="str">
        <x:v>https://w3id.org/nltl/vocab#structuralMember</x:v>
      </x:c>
      <x:c r="H8" s="47" t="str"/>
      <x:c r="I8" s="48" t="str">
        <x:v>canonical path from target owner ship to required owner structuralMember; linked by the locked 313-requirement index</x:v>
      </x:c>
      <x:c r="J8" s="47" t="n">
        <x:v>0</x:v>
      </x:c>
    </x:row>
    <x:row r="9">
      <x:c r="A9" s="47" t="str">
        <x:v>RUN-I2-043-20260830T205306617610Z</x:v>
      </x:c>
      <x:c r="B9" s="47" t="str">
        <x:v>I2-043</x:v>
      </x:c>
      <x:c r="C9" s="47" t="str">
        <x:v>hullStructure</x:v>
      </x:c>
      <x:c r="D9" s="48" t="str">
        <x:v>https://w3id.org/nltl/vocab#hullStructure</x:v>
      </x:c>
      <x:c r="E9" s="47" t="str">
        <x:v>Class</x:v>
      </x:c>
      <x:c r="F9" s="47" t="str"/>
      <x:c r="G9" s="47" t="str"/>
      <x:c r="H9" s="47" t="str"/>
      <x:c r="I9" s="48" t="str">
        <x:v>range dependency of structuralMember</x:v>
      </x:c>
      <x:c r="J9" s="47" t="n">
        <x:v>0</x:v>
      </x:c>
    </x:row>
    <x:row r="10">
      <x:c r="A10" s="47" t="str">
        <x:v>RUN-I2-043-20260830T205306617610Z</x:v>
      </x:c>
      <x:c r="B10" s="47" t="str">
        <x:v>I2-043</x:v>
      </x:c>
      <x:c r="C10" s="47" t="str">
        <x:v>netFlangeThickness</x:v>
      </x:c>
      <x:c r="D10" s="48" t="str">
        <x:v>https://w3id.org/nltl/vocab#netFlangeThickness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RUN-I2-043-20260830T205306617610Z</x:v>
      </x:c>
      <x:c r="B11" s="47" t="str">
        <x:v>I2-043</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hasStructuralMember</x:v>
      </x:c>
      <x:c r="J11" s="47" t="n">
        <x:v>0</x:v>
      </x:c>
    </x:row>
    <x:row r="12">
      <x:c r="A12" s="47" t="str">
        <x:v>RUN-I2-043-20260830T205306617610Z</x:v>
      </x:c>
      <x:c r="B12" s="47" t="str">
        <x:v>I2-043</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RUN-I2-043-20260830T205306617610Z</x:v>
      </x:c>
      <x:c r="B13" s="47" t="str">
        <x:v>I2-043</x:v>
      </x:c>
      <x:c r="C13" s="47" t="str">
        <x:v>structuralMember</x:v>
      </x:c>
      <x:c r="D13" s="48" t="str">
        <x:v>https://w3id.org/nltl/vocab#structuralMember</x:v>
      </x:c>
      <x:c r="E13" s="47" t="str">
        <x:v>Class</x:v>
      </x:c>
      <x:c r="F13" s="47" t="str"/>
      <x:c r="G13" s="47" t="str">
        <x:v>https://w3id.org/nltl/vocab#hullStructure</x:v>
      </x:c>
      <x:c r="H13" s="47" t="str"/>
      <x:c r="I13" s="48" t="str">
        <x:v>authoritative required owner class; domain dependency of flangeOutstand; domain dependency of netFlangeThickness; linked by the locked 313-requirement index; range dependency of hasStructuralMember</x:v>
      </x:c>
      <x:c r="J13" s="47" t="n">
        <x:v>0</x:v>
      </x:c>
    </x:row>
    <x:row r="14">
      <x:c r="A14" s="49" t="str">
        <x:v>RUN-I2-043-20260830T205306617610Z</x:v>
      </x:c>
      <x:c r="B14" s="49" t="str">
        <x:v>I2-043</x:v>
      </x:c>
      <x:c r="C14" s="49" t="str">
        <x:v>yieldStrength</x:v>
      </x:c>
      <x:c r="D14" s="50" t="str">
        <x:v>https://w3id.org/nltl/vocab#yieldStrength</x:v>
      </x:c>
      <x:c r="E14" s="49" t="str">
        <x:v>QuantityProperty</x:v>
      </x:c>
      <x:c r="F14" s="49" t="str"/>
      <x:c r="G14" s="49" t="str">
        <x:v>http://qudt.org/schema/qudt/QuantityValue</x:v>
      </x:c>
      <x:c r="H14" s="49" t="str">
        <x:v>http://qudt.org/vocab/unit/MegaPA</x:v>
      </x:c>
      <x:c r="I14" s="50" t="str">
        <x:v>linked by the locked 313-requirement index</x:v>
      </x:c>
      <x:c r="J14" s="49" t="n">
        <x:v>0</x:v>
      </x:c>
    </x:row>
  </x:sheetData>
  <x:pageMargins left="0.7" right="0.7" top="0.75" bottom="0.75" header="0.3" footer="0.3"/>
  <x:tableParts count="1">
    <x:tablePart xmlns:r="http://schemas.openxmlformats.org/officeDocument/2006/relationships" r:id="R1a3f7bf3736643d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RUN-I2-043-20260830T205306617610Z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RUN-I2-043-20260830T205306617610Z</x:v>
      </x:c>
      <x:c r="B5" s="45" t="str">
        <x:v>I2-043</x:v>
      </x:c>
      <x:c r="C5" s="45" t="str">
        <x:v>FS-COMPLEX-READINESS-01</x:v>
      </x:c>
      <x:c r="D5" s="45" t="str">
        <x:v>complex_readiness_external_calculation</x:v>
      </x:c>
      <x:c r="E5" s="99" t="n">
        <x:v>2.190476</x:v>
      </x:c>
      <x:c r="F5" s="45" t="str">
        <x:v>calculation | complex | engineering | evidence | external | inputs | readiness | results</x:v>
      </x:c>
      <x:c r="G5" s="45" t="str">
        <x:v>synthetic-few-shot-not-benchmark-ground-truth</x:v>
      </x:c>
    </x:row>
    <x:row r="6">
      <x:c r="A6" s="49" t="str">
        <x:v>RUN-I2-043-20260830T205306617610Z</x:v>
      </x:c>
      <x:c r="B6" s="49" t="str">
        <x:v>I2-043</x:v>
      </x:c>
      <x:c r="C6" s="49" t="str">
        <x:v>FS-COMPLEX-READINESS-02</x:v>
      </x:c>
      <x:c r="D6" s="49" t="str">
        <x:v>complex_readiness_with_direct_residual_check</x:v>
      </x:c>
      <x:c r="E6" s="100" t="n">
        <x:v>2.083333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6f0d722346144a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RUN-I2-043-20260830T205306617610Z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RUN-I2-043-20260830T205306617610Z</x:v>
      </x:c>
      <x:c r="B5" s="69" t="str">
        <x:v>I2-043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https://w3id.org/nltl/vocab#flangeOutstand | https://w3id.org/nltl/vocab#hasStructuralMember | https://w3id.org/nltl/vocab#netFlangeThickness | https://w3id.org/nltl/vocab#ship | https://w3id.org/nltl/vocab#structuralMember | https://w3id.org/nltl/vocab#yieldStrength</x:v>
      </x:c>
      <x:c r="O5" s="73" t="str"/>
      <x:c r="P5" s="73" t="str"/>
      <x:c r="Q5" s="73" t="str"/>
    </x:row>
  </x:sheetData>
  <x:pageMargins left="0.7" right="0.7" top="0.75" bottom="0.75" header="0.3" footer="0.3"/>
  <x:tableParts count="1">
    <x:tablePart xmlns:r="http://schemas.openxmlformats.org/officeDocument/2006/relationships" r:id="R26835b22443541e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RUN-I2-043-20260830T205306617610Z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RUN-I2-043-20260830T205306617610Z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RUN-I2-043-20260830T205306617610Z</x:v>
      </x:c>
      <x:c r="B5" s="45" t="str">
        <x:v>I2-043</x:v>
      </x:c>
      <x:c r="C5" s="58"/>
      <x:c r="D5" s="45" t="str">
        <x:v>initial_context_pack</x:v>
      </x:c>
      <x:c r="E5" s="46" t="str">
        <x:v>artifacts/context_pack_initial.json</x:v>
      </x:c>
      <x:c r="F5" s="45" t="str">
        <x:v>b2bf1814362e4c7ed3cd176e95eb0cabd792ca7c3f69d9aff4676b9d55bbe91e</x:v>
      </x:c>
      <x:c r="G5" s="58" t="n">
        <x:v>15352</x:v>
      </x:c>
    </x:row>
    <x:row r="6">
      <x:c r="A6" s="47" t="str">
        <x:v>RUN-I2-043-20260830T205306617610Z</x:v>
      </x:c>
      <x:c r="B6" s="47" t="str">
        <x:v>I2-043</x:v>
      </x:c>
      <x:c r="C6" s="59"/>
      <x:c r="D6" s="47" t="str">
        <x:v>few_shot_selection</x:v>
      </x:c>
      <x:c r="E6" s="48" t="str">
        <x:v>artifacts/few_shots_selected.json</x:v>
      </x:c>
      <x:c r="F6" s="47" t="str">
        <x:v>4bc852be17c8edab9824e38cba510520b1bc97c2bbc1166bd2e35129c45ca1ae</x:v>
      </x:c>
      <x:c r="G6" s="59" t="n">
        <x:v>6555</x:v>
      </x:c>
    </x:row>
    <x:row r="7">
      <x:c r="A7" s="47" t="str">
        <x:v>RUN-I2-043-20260830T205306617610Z</x:v>
      </x:c>
      <x:c r="B7" s="47" t="str">
        <x:v>I2-043</x:v>
      </x:c>
      <x:c r="C7" s="59" t="n">
        <x:v>1</x:v>
      </x:c>
      <x:c r="D7" s="47" t="str">
        <x:v>generator_prompt</x:v>
      </x:c>
      <x:c r="E7" s="48" t="str">
        <x:v>artifacts/attempt_01/generator_prompt.txt</x:v>
      </x:c>
      <x:c r="F7" s="47" t="str">
        <x:v>035f7d99727396ec6a135d96f7ac20131b288b9368519ef8a969967963de0399</x:v>
      </x:c>
      <x:c r="G7" s="59" t="n">
        <x:v>33551</x:v>
      </x:c>
    </x:row>
    <x:row r="8">
      <x:c r="A8" s="47" t="str">
        <x:v>RUN-I2-043-20260830T205306617610Z</x:v>
      </x:c>
      <x:c r="B8" s="47" t="str">
        <x:v>I2-043</x:v>
      </x:c>
      <x:c r="C8" s="59" t="n">
        <x:v>1</x:v>
      </x:c>
      <x:c r="D8" s="47" t="str">
        <x:v>generator_raw_response</x:v>
      </x:c>
      <x:c r="E8" s="48" t="str">
        <x:v>artifacts/attempt_01/generator_raw.txt</x:v>
      </x:c>
      <x:c r="F8" s="47" t="str">
        <x:v>ad53d63bb38fbbbf10ae959332dc9062ae3058070decbc89b614e228c1ea73bc</x:v>
      </x:c>
      <x:c r="G8" s="59" t="n">
        <x:v>2638</x:v>
      </x:c>
    </x:row>
    <x:row r="9">
      <x:c r="A9" s="47" t="str">
        <x:v>RUN-I2-043-20260830T205306617610Z</x:v>
      </x:c>
      <x:c r="B9" s="47" t="str">
        <x:v>I2-043</x:v>
      </x:c>
      <x:c r="C9" s="59" t="n">
        <x:v>1</x:v>
      </x:c>
      <x:c r="D9" s="47" t="str">
        <x:v>candidate_shape</x:v>
      </x:c>
      <x:c r="E9" s="48" t="str">
        <x:v>artifacts/attempt_01/candidate_shape.ttl</x:v>
      </x:c>
      <x:c r="F9" s="47" t="str">
        <x:v>52dafb3a58519d9f26f002bb12e52fc65878e4b3268543157b963b6373fce268</x:v>
      </x:c>
      <x:c r="G9" s="59" t="n">
        <x:v>2613</x:v>
      </x:c>
    </x:row>
    <x:row r="10">
      <x:c r="A10" s="47" t="str">
        <x:v>RUN-I2-043-20260830T205306617610Z</x:v>
      </x:c>
      <x:c r="B10" s="47" t="str">
        <x:v>I2-043</x:v>
      </x:c>
      <x:c r="C10" s="59" t="n">
        <x:v>1</x:v>
      </x:c>
      <x:c r="D10" s="47" t="str">
        <x:v>deterministic_validation</x:v>
      </x:c>
      <x:c r="E10" s="48" t="str">
        <x:v>artifacts/attempt_01/deterministic_validation.json</x:v>
      </x:c>
      <x:c r="F10" s="47" t="str">
        <x:v>8270141126e83231cfe8c780371560a5ca5518394df41651f569153d2370f4c6</x:v>
      </x:c>
      <x:c r="G10" s="59" t="n">
        <x:v>689</x:v>
      </x:c>
    </x:row>
    <x:row r="11">
      <x:c r="A11" s="47" t="str">
        <x:v>RUN-I2-043-20260830T205306617610Z</x:v>
      </x:c>
      <x:c r="B11" s="47" t="str">
        <x:v>I2-043</x:v>
      </x:c>
      <x:c r="C11" s="59" t="n">
        <x:v>1</x:v>
      </x:c>
      <x:c r="D11" s="47" t="str">
        <x:v>validator_prompt</x:v>
      </x:c>
      <x:c r="E11" s="48" t="str">
        <x:v>artifacts/attempt_01/validator_prompt_01.txt</x:v>
      </x:c>
      <x:c r="F11" s="47" t="str">
        <x:v>a10857c82daad8a53fee80c53a49ed96307637c3b44d2c3326f4a363b660fd0f</x:v>
      </x:c>
      <x:c r="G11" s="59" t="n">
        <x:v>27432</x:v>
      </x:c>
    </x:row>
    <x:row r="12">
      <x:c r="A12" s="47" t="str">
        <x:v>RUN-I2-043-20260830T205306617610Z</x:v>
      </x:c>
      <x:c r="B12" s="47" t="str">
        <x:v>I2-043</x:v>
      </x:c>
      <x:c r="C12" s="59" t="n">
        <x:v>1</x:v>
      </x:c>
      <x:c r="D12" s="47" t="str">
        <x:v>validator_raw_response</x:v>
      </x:c>
      <x:c r="E12" s="48" t="str">
        <x:v>artifacts/attempt_01/validator_raw_01.txt</x:v>
      </x:c>
      <x:c r="F12" s="47" t="str">
        <x:v>309bd4db72c711df08e2c5b5bd031e4b3d4f229131b2ccc67750e171a27e1c3b</x:v>
      </x:c>
      <x:c r="G12" s="59" t="n">
        <x:v>453</x:v>
      </x:c>
    </x:row>
    <x:row r="13">
      <x:c r="A13" s="49" t="str">
        <x:v>RUN-I2-043-20260830T205306617610Z</x:v>
      </x:c>
      <x:c r="B13" s="49" t="str">
        <x:v>I2-043</x:v>
      </x:c>
      <x:c r="C13" s="60" t="n">
        <x:v>1</x:v>
      </x:c>
      <x:c r="D13" s="49" t="str">
        <x:v>final_accepted_shape</x:v>
      </x:c>
      <x:c r="E13" s="50" t="str">
        <x:v>final/final_shape.ttl</x:v>
      </x:c>
      <x:c r="F13" s="49" t="str">
        <x:v>52dafb3a58519d9f26f002bb12e52fc65878e4b3268543157b963b6373fce268</x:v>
      </x:c>
      <x:c r="G13" s="60" t="n">
        <x:v>2613</x:v>
      </x:c>
    </x:row>
  </x:sheetData>
  <x:pageMargins left="0.7" right="0.7" top="0.75" bottom="0.75" header="0.3" footer="0.3"/>
  <x:tableParts count="1">
    <x:tablePart xmlns:r="http://schemas.openxmlformats.org/officeDocument/2006/relationships" r:id="R6fceff234f1f4dc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RUN-I2-043-20260830T205306617610Z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RUN-I2-043-20260830T205306617610Z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RUN-I2-043-20260830T205306617610Z</x:v>
      </x:c>
      <x:c r="B5" s="69" t="str">
        <x:v>I2-043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f6bd480f637467e"/>
  </x:tableParts>
</x:worksheet>
</file>