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05b40918c6a4c22" /></Relationships>
</file>

<file path=xl/workbook.xml><?xml version="1.0" encoding="utf-8"?>
<x:workbook xmlns:x="http://schemas.openxmlformats.org/spreadsheetml/2006/main">
  <x:sheets>
    <x:sheet xmlns:r="http://schemas.openxmlformats.org/officeDocument/2006/relationships" name="SUMMARY" sheetId="1" r:id="R8243a9e5c07b4397"/>
    <x:sheet xmlns:r="http://schemas.openxmlformats.org/officeDocument/2006/relationships" name="README" sheetId="2" r:id="R9ba0438080974056"/>
    <x:sheet xmlns:r="http://schemas.openxmlformats.org/officeDocument/2006/relationships" name="REGULATION_QUEUE" sheetId="3" r:id="R80757617a1df4857"/>
    <x:sheet xmlns:r="http://schemas.openxmlformats.org/officeDocument/2006/relationships" name="RUNS" sheetId="4" r:id="Radb0efe1f8ea499c"/>
    <x:sheet xmlns:r="http://schemas.openxmlformats.org/officeDocument/2006/relationships" name="ITERATIONS" sheetId="5" r:id="R0a31a545927d43be"/>
    <x:sheet xmlns:r="http://schemas.openxmlformats.org/officeDocument/2006/relationships" name="API_CALLS" sheetId="6" r:id="Rf6b079d92d604786"/>
    <x:sheet xmlns:r="http://schemas.openxmlformats.org/officeDocument/2006/relationships" name="TERM_RETRIEVAL" sheetId="7" r:id="R3e85ef85440945bc"/>
    <x:sheet xmlns:r="http://schemas.openxmlformats.org/officeDocument/2006/relationships" name="FEW_SHOT_SELECTION" sheetId="8" r:id="Rc49f12cf72f243e5"/>
    <x:sheet xmlns:r="http://schemas.openxmlformats.org/officeDocument/2006/relationships" name="VALIDATION" sheetId="9" r:id="R23035bcf8527482a"/>
    <x:sheet xmlns:r="http://schemas.openxmlformats.org/officeDocument/2006/relationships" name="VOCAB_MATCHES" sheetId="10" r:id="R207420da874842d6"/>
    <x:sheet xmlns:r="http://schemas.openxmlformats.org/officeDocument/2006/relationships" name="ARTIFACTS" sheetId="11" r:id="Ra05bf514685d42bd"/>
    <x:sheet xmlns:r="http://schemas.openxmlformats.org/officeDocument/2006/relationships" name="UNRESOLVED" sheetId="12" r:id="Rdfa0723339984713"/>
    <x:sheet xmlns:r="http://schemas.openxmlformats.org/officeDocument/2006/relationships" name="RDF_TEST_QUEUE" sheetId="13" r:id="Rd9a50ea4f64d4f66"/>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2ce27b8d8e4b4658" /><Relationship Type="http://schemas.openxmlformats.org/officeDocument/2006/relationships/theme" Target="/xl/theme/theme1.xml" Id="Ra6f12b62fa83486d" /><Relationship Type="http://schemas.microsoft.com/office/2022/11/relationships/FeaturePropertyBag" Target="/xl/featurePropertyBag/featurePropertyBag.xml" Id="Rc2fb40b71a684766" /><Relationship Type="http://schemas.openxmlformats.org/officeDocument/2006/relationships/sharedStrings" Target="/xl/sharedStrings.xml" Id="Rd8c463dfed28435c" /><Relationship Type="http://schemas.openxmlformats.org/officeDocument/2006/relationships/worksheet" Target="/xl/worksheets/sheet1.xml" Id="R8243a9e5c07b4397" /><Relationship Type="http://schemas.openxmlformats.org/officeDocument/2006/relationships/worksheet" Target="/xl/worksheets/sheet2.xml" Id="R9ba0438080974056" /><Relationship Type="http://schemas.openxmlformats.org/officeDocument/2006/relationships/worksheet" Target="/xl/worksheets/sheet3.xml" Id="R80757617a1df4857" /><Relationship Type="http://schemas.openxmlformats.org/officeDocument/2006/relationships/worksheet" Target="/xl/worksheets/sheet4.xml" Id="Radb0efe1f8ea499c" /><Relationship Type="http://schemas.openxmlformats.org/officeDocument/2006/relationships/worksheet" Target="/xl/worksheets/sheet5.xml" Id="R0a31a545927d43be" /><Relationship Type="http://schemas.openxmlformats.org/officeDocument/2006/relationships/worksheet" Target="/xl/worksheets/sheet6.xml" Id="Rf6b079d92d604786" /><Relationship Type="http://schemas.openxmlformats.org/officeDocument/2006/relationships/worksheet" Target="/xl/worksheets/sheet7.xml" Id="R3e85ef85440945bc" /><Relationship Type="http://schemas.openxmlformats.org/officeDocument/2006/relationships/worksheet" Target="/xl/worksheets/sheet8.xml" Id="Rc49f12cf72f243e5" /><Relationship Type="http://schemas.openxmlformats.org/officeDocument/2006/relationships/worksheet" Target="/xl/worksheets/sheet9.xml" Id="R23035bcf8527482a" /><Relationship Type="http://schemas.openxmlformats.org/officeDocument/2006/relationships/worksheet" Target="/xl/worksheets/sheet10.xml" Id="R207420da874842d6" /><Relationship Type="http://schemas.openxmlformats.org/officeDocument/2006/relationships/worksheet" Target="/xl/worksheets/sheet11.xml" Id="Ra05bf514685d42bd" /><Relationship Type="http://schemas.openxmlformats.org/officeDocument/2006/relationships/worksheet" Target="/xl/worksheets/sheet12.xml" Id="Rdfa0723339984713" /><Relationship Type="http://schemas.openxmlformats.org/officeDocument/2006/relationships/worksheet" Target="/xl/worksheets/sheet13.xml" Id="Rd9a50ea4f64d4f66"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6"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9"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6"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2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2b03c43bec8d402d" /></Relationships>
</file>

<file path=xl/worksheets/_rels/sheet3.xml.rels>&#65279;<?xml version="1.0" encoding="utf-8"?><Relationships xmlns="http://schemas.openxmlformats.org/package/2006/relationships"><Relationship Type="http://schemas.openxmlformats.org/officeDocument/2006/relationships/table" Target="/xl/tables/table2.xml" Id="Rb3c29049e7b8463c" /></Relationships>
</file>

<file path=xl/worksheets/_rels/sheet4.xml.rels>&#65279;<?xml version="1.0" encoding="utf-8"?><Relationships xmlns="http://schemas.openxmlformats.org/package/2006/relationships"><Relationship Type="http://schemas.openxmlformats.org/officeDocument/2006/relationships/table" Target="/xl/tables/table3.xml" Id="Re977dd1cdaac4662" /></Relationships>
</file>

<file path=xl/worksheets/_rels/sheet5.xml.rels>&#65279;<?xml version="1.0" encoding="utf-8"?><Relationships xmlns="http://schemas.openxmlformats.org/package/2006/relationships"><Relationship Type="http://schemas.openxmlformats.org/officeDocument/2006/relationships/table" Target="/xl/tables/table4.xml" Id="R6989668c293c46e9" /></Relationships>
</file>

<file path=xl/worksheets/_rels/sheet6.xml.rels>&#65279;<?xml version="1.0" encoding="utf-8"?><Relationships xmlns="http://schemas.openxmlformats.org/package/2006/relationships"><Relationship Type="http://schemas.openxmlformats.org/officeDocument/2006/relationships/table" Target="/xl/tables/table5.xml" Id="R152d48dfc91a4df8" /></Relationships>
</file>

<file path=xl/worksheets/_rels/sheet7.xml.rels>&#65279;<?xml version="1.0" encoding="utf-8"?><Relationships xmlns="http://schemas.openxmlformats.org/package/2006/relationships"><Relationship Type="http://schemas.openxmlformats.org/officeDocument/2006/relationships/table" Target="/xl/tables/table6.xml" Id="Reed2f5e6d3cf451e" /></Relationships>
</file>

<file path=xl/worksheets/_rels/sheet8.xml.rels>&#65279;<?xml version="1.0" encoding="utf-8"?><Relationships xmlns="http://schemas.openxmlformats.org/package/2006/relationships"><Relationship Type="http://schemas.openxmlformats.org/officeDocument/2006/relationships/table" Target="/xl/tables/table7.xml" Id="R5d354150d01749d2" /></Relationships>
</file>

<file path=xl/worksheets/_rels/sheet9.xml.rels>&#65279;<?xml version="1.0" encoding="utf-8"?><Relationships xmlns="http://schemas.openxmlformats.org/package/2006/relationships"><Relationship Type="http://schemas.openxmlformats.org/officeDocument/2006/relationships/table" Target="/xl/tables/table8.xml" Id="R0fc00e260fd94d9f" /></Relationships>
</file>

<file path=xl/worksheets/_rels/sheet10.xml.rels>&#65279;<?xml version="1.0" encoding="utf-8"?><Relationships xmlns="http://schemas.openxmlformats.org/package/2006/relationships"><Relationship Type="http://schemas.openxmlformats.org/officeDocument/2006/relationships/table" Target="/xl/tables/table9.xml" Id="R5e32ec6352e542a0" /></Relationships>
</file>

<file path=xl/worksheets/_rels/sheet11.xml.rels>&#65279;<?xml version="1.0" encoding="utf-8"?><Relationships xmlns="http://schemas.openxmlformats.org/package/2006/relationships"><Relationship Type="http://schemas.openxmlformats.org/officeDocument/2006/relationships/table" Target="/xl/tables/table10.xml" Id="Rafdafb3bd29e4d87" /></Relationships>
</file>

<file path=xl/worksheets/_rels/sheet12.xml.rels>&#65279;<?xml version="1.0" encoding="utf-8"?><Relationships xmlns="http://schemas.openxmlformats.org/package/2006/relationships"><Relationship Type="http://schemas.openxmlformats.org/officeDocument/2006/relationships/table" Target="/xl/tables/table11.xml" Id="Rf1b53cf5ebd146a6"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RUN-I2-051-20260830T210041393912Z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COUNTA('API_CALLS'!$A$5:$A$16)</x:f>
        <x:v>12</x:v>
      </x:c>
      <x:c r="C9" s="21"/>
      <x:c r="D9" s="21"/>
    </x:row>
    <x:row r="10">
      <x:c r="A10" s="27" t="str">
        <x:v>Mean API/LLM elapsed ms</x:v>
      </x:c>
      <x:c r="B10" s="28" t="n">
        <x:f>IFERROR(AVERAGE('API_CALLS'!$K$5:$K$16),0)</x:f>
        <x:v>14036.439083333331</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RUN-I2-051-20260830T210041393912Z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2b03c43bec8d402d"/>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4" hidden="0" customWidth="1"/>
  </x:cols>
  <x:sheetData>
    <x:row r="1">
      <x:c r="A1" s="18" t="str">
        <x:v>NLTL SHACL Pipeline Run Tracker</x:v>
      </x:c>
      <x:c r="B1" s="19"/>
      <x:c r="C1" s="19"/>
      <x:c r="D1" s="19"/>
      <x:c r="E1" s="19"/>
      <x:c r="F1" s="19"/>
      <x:c r="G1" s="19"/>
      <x:c r="H1" s="19"/>
      <x:c r="I1" s="19"/>
      <x:c r="J1" s="19"/>
      <x:c r="K1" s="19"/>
    </x:row>
    <x:row r="2">
      <x:c r="A2" s="20" t="str">
        <x:v>REGULATION_QUEUE | Run folder: RUN-I2-051-20260830T210041393912Z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TERM_RESOLUTION_UNRESOLVED</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b3c29049e7b8463c"/>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4"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RUN-I2-051-20260830T210041393912Z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SESSION-BATCH-20260830T201120771337Z</x:v>
      </x:c>
      <x:c r="B5" s="69" t="str">
        <x:v>RUN-I2-051-20260830T210041393912Z</x:v>
      </x:c>
      <x:c r="C5" s="69" t="str">
        <x:v>I2-051</x:v>
      </x:c>
      <x:c r="D5" s="70" t="n">
        <x:v>46264.8754791088</x:v>
      </x:c>
      <x:c r="E5" s="70" t="n">
        <x:v>46264.87647434028</x:v>
      </x:c>
      <x:c r="F5" s="69" t="str">
        <x:v>final-luna-main-run09</x:v>
      </x:c>
      <x:c r="G5" s="69" t="str">
        <x:v>VOCAB-LOCK-2026-08-22-R13</x:v>
      </x:c>
      <x:c r="H5" s="71" t="n">
        <x:v>2</x:v>
      </x:c>
      <x:c r="I5" s="69" t="str">
        <x:v>TERM_RESOLUTION_UNRESOLVED</x:v>
      </x:c>
      <x:c r="J5" s="72" t="b">
        <x:v>0</x:v>
      </x:c>
      <x:c r="K5" s="69" t="str"/>
      <x:c r="L5" s="73" t="str">
        <x:v>No supplied candidate is semantically supported: longitudinalDistributionFactor is a ship-owned quantity property and does not provide the required calculation-case-position pairing path, while calculationCase and ship are classes rather than the needed cross-owner relationship or property.</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e977dd1cdaac4662"/>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2"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RUN-I2-051-20260830T210041393912Z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RUN-I2-051-20260830T210041393912Z</x:v>
      </x:c>
      <x:c r="B5" s="45" t="str">
        <x:v>I2-051</x:v>
      </x:c>
      <x:c r="C5" s="58" t="n">
        <x:v>1</x:v>
      </x:c>
      <x:c r="D5" s="80" t="b">
        <x:v>1</x:v>
      </x:c>
      <x:c r="E5" s="80" t="b">
        <x:v>0</x:v>
      </x:c>
      <x:c r="F5" s="80" t="b">
        <x:v>0</x:v>
      </x:c>
      <x:c r="G5" s="45" t="str">
        <x:v>REVISE</x:v>
      </x:c>
      <x:c r="H5" s="46" t="str">
        <x:v>Reject: the calculation query does not faithfully encode the Cf envelope. It uses one ship-level longitudinalDistributionFactor for every calculation case instead of pairing the factor with the case position, so multiple positions cannot carry their required distinct values and the envelope can pass with only an arbitrary sampled position. Encode the position/factor pairing using the supplied owner/path semantics, and enforce Cf = 0.0 for every positive-shear case position from 0 through 0.6 LUI and Cf = 1.0 for every such position from 0.9 LUI through LUI, while retaining the FI = Cf × FIB calculation with the correct MN-to-kN conversion and formula-result-scaled tolerance.</x:v>
      </x:c>
      <x:c r="I5" s="81" t="n">
        <x:v>21244.04</x:v>
      </x:c>
      <x:c r="J5" s="81" t="n">
        <x:v>21542.378</x:v>
      </x:c>
    </x:row>
    <x:row r="6">
      <x:c r="A6" s="49" t="str">
        <x:v>RUN-I2-051-20260830T210041393912Z</x:v>
      </x:c>
      <x:c r="B6" s="49" t="str">
        <x:v>I2-051</x:v>
      </x:c>
      <x:c r="C6" s="60" t="n">
        <x:v>2</x:v>
      </x:c>
      <x:c r="D6" s="82" t="b">
        <x:v>1</x:v>
      </x:c>
      <x:c r="E6" s="82" t="b">
        <x:v>0</x:v>
      </x:c>
      <x:c r="F6" s="82" t="b">
        <x:v>1</x:v>
      </x:c>
      <x:c r="G6" s="49" t="str">
        <x:v>STOP_TERM_RESOLUTION</x:v>
      </x:c>
      <x:c r="H6" s="50" t="str">
        <x:v>Reject: the prior pairing instruction remains unresolved. longitudinalDistributionFactor is still modeled once on the ship and the query tests that single value for every calculation case, so it cannot faithfully encode a case-position-specific Cf of 0.0 through 0.6 LUI and 1.0 from 0.9 LUI through LUI. Do not duplicate or relocate the supplied ship-owned property; provide or locate a canonical cross-owner path/term that pairs each calculation-case position with its corresponding Cf, then enforce the Cf alternative on that pairing and retain FI = Cf × FIB with the formula-result-scaled tolerance and MN-to-kN conversion. The variable matcher is required because the needed canonical pairing path/term is absent from the scoped vocabulary.</x:v>
      </x:c>
      <x:c r="I6" s="83" t="n">
        <x:v>25153.693</x:v>
      </x:c>
      <x:c r="J6" s="83" t="n">
        <x:v>7566.732</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6989668c293c46e9"/>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RUN-I2-051-20260830T210041393912Z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EVT-000023</x:v>
      </x:c>
      <x:c r="B5" s="45" t="str">
        <x:v>RUN-I2-051-20260830T210041393912Z</x:v>
      </x:c>
      <x:c r="C5" s="45" t="str">
        <x:v>I2-051</x:v>
      </x:c>
      <x:c r="D5" s="90" t="n">
        <x:v>46264.87572498843</x:v>
      </x:c>
      <x:c r="E5" s="45" t="str">
        <x:v>generator</x:v>
      </x:c>
      <x:c r="F5" s="45" t="str">
        <x:v>gpt-5.6-luna-2026-07-09</x:v>
      </x:c>
      <x:c r="G5" s="45" t="n">
        <x:v>1</x:v>
      </x:c>
      <x:c r="H5" s="45" t="n">
        <x:v>200</x:v>
      </x:c>
      <x:c r="I5" s="45" t="str">
        <x:v>Ocp-Apim-Subscription-Key</x:v>
      </x:c>
      <x:c r="J5" s="81" t="n">
        <x:v>0</x:v>
      </x:c>
      <x:c r="K5" s="81" t="n">
        <x:v>21241.995</x:v>
      </x:c>
      <x:c r="L5" s="80" t="b">
        <x:v>0</x:v>
      </x:c>
      <x:c r="M5" s="45" t="str"/>
      <x:c r="N5" s="58" t="str"/>
      <x:c r="O5" s="58" t="str"/>
      <x:c r="P5" s="58" t="str"/>
    </x:row>
    <x:row r="6">
      <x:c r="A6" s="47" t="str">
        <x:v>EVT-000024</x:v>
      </x:c>
      <x:c r="B6" s="47" t="str">
        <x:v>RUN-I2-051-20260830T210041393912Z</x:v>
      </x:c>
      <x:c r="C6" s="47" t="str">
        <x:v>I2-051</x:v>
      </x:c>
      <x:c r="D6" s="91" t="n">
        <x:v>46264.875725011574</x:v>
      </x:c>
      <x:c r="E6" s="47" t="str">
        <x:v>generator</x:v>
      </x:c>
      <x:c r="F6" s="47" t="str">
        <x:v>gpt-5.6-luna-2026-07-09</x:v>
      </x:c>
      <x:c r="G6" s="47" t="n">
        <x:v>1</x:v>
      </x:c>
      <x:c r="H6" s="47" t="str">
        <x:v>COMPLETED</x:v>
      </x:c>
      <x:c r="I6" s="47" t="str"/>
      <x:c r="J6" s="92" t="n">
        <x:v>0</x:v>
      </x:c>
      <x:c r="K6" s="92" t="n">
        <x:v>21244.04</x:v>
      </x:c>
      <x:c r="L6" s="93" t="b">
        <x:v>0</x:v>
      </x:c>
      <x:c r="M6" s="47" t="str">
        <x:v>resp_006940a23dd3620b006a9499f996d08194b06c9d0b6876d8c5</x:v>
      </x:c>
      <x:c r="N6" s="59" t="n">
        <x:v>9384</x:v>
      </x:c>
      <x:c r="O6" s="59" t="n">
        <x:v>3013</x:v>
      </x:c>
      <x:c r="P6" s="59" t="n">
        <x:v>12397</x:v>
      </x:c>
    </x:row>
    <x:row r="7">
      <x:c r="A7" s="47" t="str">
        <x:v>EVT-000031</x:v>
      </x:c>
      <x:c r="B7" s="47" t="str">
        <x:v>RUN-I2-051-20260830T210041393912Z</x:v>
      </x:c>
      <x:c r="C7" s="47" t="str">
        <x:v>I2-051</x:v>
      </x:c>
      <x:c r="D7" s="91" t="n">
        <x:v>46264.87597674769</x:v>
      </x:c>
      <x:c r="E7" s="47" t="str">
        <x:v>validator</x:v>
      </x:c>
      <x:c r="F7" s="47" t="str">
        <x:v>gpt-5.6-luna-2026-07-09</x:v>
      </x:c>
      <x:c r="G7" s="47" t="n">
        <x:v>1</x:v>
      </x:c>
      <x:c r="H7" s="47" t="n">
        <x:v>200</x:v>
      </x:c>
      <x:c r="I7" s="47" t="str">
        <x:v>Ocp-Apim-Subscription-Key</x:v>
      </x:c>
      <x:c r="J7" s="92" t="n">
        <x:v>0</x:v>
      </x:c>
      <x:c r="K7" s="92" t="n">
        <x:v>21540.717</x:v>
      </x:c>
      <x:c r="L7" s="93" t="b">
        <x:v>0</x:v>
      </x:c>
      <x:c r="M7" s="47" t="str"/>
      <x:c r="N7" s="59" t="str"/>
      <x:c r="O7" s="59" t="str"/>
      <x:c r="P7" s="59" t="str"/>
    </x:row>
    <x:row r="8">
      <x:c r="A8" s="47" t="str">
        <x:v>EVT-000032</x:v>
      </x:c>
      <x:c r="B8" s="47" t="str">
        <x:v>RUN-I2-051-20260830T210041393912Z</x:v>
      </x:c>
      <x:c r="C8" s="47" t="str">
        <x:v>I2-051</x:v>
      </x:c>
      <x:c r="D8" s="91" t="n">
        <x:v>46264.87597675926</x:v>
      </x:c>
      <x:c r="E8" s="47" t="str">
        <x:v>validator</x:v>
      </x:c>
      <x:c r="F8" s="47" t="str">
        <x:v>gpt-5.6-luna-2026-07-09</x:v>
      </x:c>
      <x:c r="G8" s="47" t="n">
        <x:v>1</x:v>
      </x:c>
      <x:c r="H8" s="47" t="str">
        <x:v>COMPLETED</x:v>
      </x:c>
      <x:c r="I8" s="47" t="str"/>
      <x:c r="J8" s="92" t="n">
        <x:v>0</x:v>
      </x:c>
      <x:c r="K8" s="92" t="n">
        <x:v>21542.378</x:v>
      </x:c>
      <x:c r="L8" s="93" t="b">
        <x:v>0</x:v>
      </x:c>
      <x:c r="M8" s="47" t="str">
        <x:v>resp_0c48fb1822266c1b006a949a0eee5481948bd8f850833a2eba</x:v>
      </x:c>
      <x:c r="N8" s="59" t="n">
        <x:v>9785</x:v>
      </x:c>
      <x:c r="O8" s="59" t="n">
        <x:v>2009</x:v>
      </x:c>
      <x:c r="P8" s="59" t="n">
        <x:v>11794</x:v>
      </x:c>
    </x:row>
    <x:row r="9">
      <x:c r="A9" s="47" t="str">
        <x:v>EVT-000037</x:v>
      </x:c>
      <x:c r="B9" s="47" t="str">
        <x:v>RUN-I2-051-20260830T210041393912Z</x:v>
      </x:c>
      <x:c r="C9" s="47" t="str">
        <x:v>I2-051</x:v>
      </x:c>
      <x:c r="D9" s="91" t="n">
        <x:v>46264.87626792824</x:v>
      </x:c>
      <x:c r="E9" s="47" t="str">
        <x:v>generator</x:v>
      </x:c>
      <x:c r="F9" s="47" t="str">
        <x:v>gpt-5.6-luna-2026-07-09</x:v>
      </x:c>
      <x:c r="G9" s="47" t="n">
        <x:v>1</x:v>
      </x:c>
      <x:c r="H9" s="47" t="n">
        <x:v>200</x:v>
      </x:c>
      <x:c r="I9" s="47" t="str">
        <x:v>Ocp-Apim-Subscription-Key</x:v>
      </x:c>
      <x:c r="J9" s="92" t="n">
        <x:v>0</x:v>
      </x:c>
      <x:c r="K9" s="92" t="n">
        <x:v>25152.035</x:v>
      </x:c>
      <x:c r="L9" s="93" t="b">
        <x:v>0</x:v>
      </x:c>
      <x:c r="M9" s="47" t="str"/>
      <x:c r="N9" s="59" t="str"/>
      <x:c r="O9" s="59" t="str"/>
      <x:c r="P9" s="59" t="str"/>
    </x:row>
    <x:row r="10">
      <x:c r="A10" s="47" t="str">
        <x:v>EVT-000038</x:v>
      </x:c>
      <x:c r="B10" s="47" t="str">
        <x:v>RUN-I2-051-20260830T210041393912Z</x:v>
      </x:c>
      <x:c r="C10" s="47" t="str">
        <x:v>I2-051</x:v>
      </x:c>
      <x:c r="D10" s="91" t="n">
        <x:v>46264.87626795139</x:v>
      </x:c>
      <x:c r="E10" s="47" t="str">
        <x:v>generator</x:v>
      </x:c>
      <x:c r="F10" s="47" t="str">
        <x:v>gpt-5.6-luna-2026-07-09</x:v>
      </x:c>
      <x:c r="G10" s="47" t="n">
        <x:v>1</x:v>
      </x:c>
      <x:c r="H10" s="47" t="str">
        <x:v>COMPLETED</x:v>
      </x:c>
      <x:c r="I10" s="47" t="str"/>
      <x:c r="J10" s="92" t="n">
        <x:v>0</x:v>
      </x:c>
      <x:c r="K10" s="92" t="n">
        <x:v>25153.693</x:v>
      </x:c>
      <x:c r="L10" s="93" t="b">
        <x:v>0</x:v>
      </x:c>
      <x:c r="M10" s="47" t="str">
        <x:v>resp_0c89da86145a0969006a949a2492788196b6481b5d6e7073f2</x:v>
      </x:c>
      <x:c r="N10" s="59" t="n">
        <x:v>9529</x:v>
      </x:c>
      <x:c r="O10" s="59" t="n">
        <x:v>3440</x:v>
      </x:c>
      <x:c r="P10" s="59" t="n">
        <x:v>12969</x:v>
      </x:c>
    </x:row>
    <x:row r="11">
      <x:c r="A11" s="47" t="str">
        <x:v>EVT-000043</x:v>
      </x:c>
      <x:c r="B11" s="47" t="str">
        <x:v>RUN-I2-051-20260830T210041393912Z</x:v>
      </x:c>
      <x:c r="C11" s="47" t="str">
        <x:v>I2-051</x:v>
      </x:c>
      <x:c r="D11" s="91" t="n">
        <x:v>46264.87634576389</x:v>
      </x:c>
      <x:c r="E11" s="47" t="str">
        <x:v>syntax_repair</x:v>
      </x:c>
      <x:c r="F11" s="47" t="str">
        <x:v>gpt-5.6-luna-2026-07-09</x:v>
      </x:c>
      <x:c r="G11" s="47" t="n">
        <x:v>1</x:v>
      </x:c>
      <x:c r="H11" s="47" t="n">
        <x:v>200</x:v>
      </x:c>
      <x:c r="I11" s="47" t="str">
        <x:v>Ocp-Apim-Subscription-Key</x:v>
      </x:c>
      <x:c r="J11" s="92" t="n">
        <x:v>0</x:v>
      </x:c>
      <x:c r="K11" s="92" t="n">
        <x:v>6718.202</x:v>
      </x:c>
      <x:c r="L11" s="93" t="b">
        <x:v>0</x:v>
      </x:c>
      <x:c r="M11" s="47" t="str"/>
      <x:c r="N11" s="59" t="str"/>
      <x:c r="O11" s="59" t="str"/>
      <x:c r="P11" s="59" t="str"/>
    </x:row>
    <x:row r="12">
      <x:c r="A12" s="47" t="str">
        <x:v>EVT-000044</x:v>
      </x:c>
      <x:c r="B12" s="47" t="str">
        <x:v>RUN-I2-051-20260830T210041393912Z</x:v>
      </x:c>
      <x:c r="C12" s="47" t="str">
        <x:v>I2-051</x:v>
      </x:c>
      <x:c r="D12" s="91" t="n">
        <x:v>46264.87634577546</x:v>
      </x:c>
      <x:c r="E12" s="47" t="str">
        <x:v>syntax_repair</x:v>
      </x:c>
      <x:c r="F12" s="47" t="str">
        <x:v>gpt-5.6-luna-2026-07-09</x:v>
      </x:c>
      <x:c r="G12" s="47" t="n">
        <x:v>1</x:v>
      </x:c>
      <x:c r="H12" s="47" t="str">
        <x:v>COMPLETED</x:v>
      </x:c>
      <x:c r="I12" s="47" t="str"/>
      <x:c r="J12" s="92" t="n">
        <x:v>0</x:v>
      </x:c>
      <x:c r="K12" s="92" t="n">
        <x:v>6719.411</x:v>
      </x:c>
      <x:c r="L12" s="93" t="b">
        <x:v>0</x:v>
      </x:c>
      <x:c r="M12" s="47" t="str">
        <x:v>resp_0a8691f4adb4e63e006a949a3da8d88194907ff6dfb5a89c14</x:v>
      </x:c>
      <x:c r="N12" s="59" t="n">
        <x:v>1928</x:v>
      </x:c>
      <x:c r="O12" s="59" t="n">
        <x:v>1508</x:v>
      </x:c>
      <x:c r="P12" s="59" t="n">
        <x:v>3436</x:v>
      </x:c>
    </x:row>
    <x:row r="13">
      <x:c r="A13" s="47" t="str">
        <x:v>EVT-000052</x:v>
      </x:c>
      <x:c r="B13" s="47" t="str">
        <x:v>RUN-I2-051-20260830T210041393912Z</x:v>
      </x:c>
      <x:c r="C13" s="47" t="str">
        <x:v>I2-051</x:v>
      </x:c>
      <x:c r="D13" s="91" t="n">
        <x:v>46264.87643586806</x:v>
      </x:c>
      <x:c r="E13" s="47" t="str">
        <x:v>validator</x:v>
      </x:c>
      <x:c r="F13" s="47" t="str">
        <x:v>gpt-5.6-luna-2026-07-09</x:v>
      </x:c>
      <x:c r="G13" s="47" t="n">
        <x:v>1</x:v>
      </x:c>
      <x:c r="H13" s="47" t="n">
        <x:v>200</x:v>
      </x:c>
      <x:c r="I13" s="47" t="str">
        <x:v>Ocp-Apim-Subscription-Key</x:v>
      </x:c>
      <x:c r="J13" s="92" t="n">
        <x:v>0</x:v>
      </x:c>
      <x:c r="K13" s="92" t="n">
        <x:v>7565.245</x:v>
      </x:c>
      <x:c r="L13" s="93" t="b">
        <x:v>0</x:v>
      </x:c>
      <x:c r="M13" s="47" t="str"/>
      <x:c r="N13" s="59" t="str"/>
      <x:c r="O13" s="59" t="str"/>
      <x:c r="P13" s="59" t="str"/>
    </x:row>
    <x:row r="14">
      <x:c r="A14" s="47" t="str">
        <x:v>EVT-000053</x:v>
      </x:c>
      <x:c r="B14" s="47" t="str">
        <x:v>RUN-I2-051-20260830T210041393912Z</x:v>
      </x:c>
      <x:c r="C14" s="47" t="str">
        <x:v>I2-051</x:v>
      </x:c>
      <x:c r="D14" s="91" t="n">
        <x:v>46264.8764358912</x:v>
      </x:c>
      <x:c r="E14" s="47" t="str">
        <x:v>validator</x:v>
      </x:c>
      <x:c r="F14" s="47" t="str">
        <x:v>gpt-5.6-luna-2026-07-09</x:v>
      </x:c>
      <x:c r="G14" s="47" t="n">
        <x:v>1</x:v>
      </x:c>
      <x:c r="H14" s="47" t="str">
        <x:v>COMPLETED</x:v>
      </x:c>
      <x:c r="I14" s="47" t="str"/>
      <x:c r="J14" s="92" t="n">
        <x:v>0</x:v>
      </x:c>
      <x:c r="K14" s="92" t="n">
        <x:v>7566.732</x:v>
      </x:c>
      <x:c r="L14" s="93" t="b">
        <x:v>0</x:v>
      </x:c>
      <x:c r="M14" s="47" t="str">
        <x:v>resp_02102cc98cf9312c006a949a44924c8197998ddf97170294cf</x:v>
      </x:c>
      <x:c r="N14" s="59" t="n">
        <x:v>9926</x:v>
      </x:c>
      <x:c r="O14" s="59" t="n">
        <x:v>688</x:v>
      </x:c>
      <x:c r="P14" s="59" t="n">
        <x:v>10614</x:v>
      </x:c>
    </x:row>
    <x:row r="15">
      <x:c r="A15" s="47" t="str">
        <x:v>EVT-000059</x:v>
      </x:c>
      <x:c r="B15" s="47" t="str">
        <x:v>RUN-I2-051-20260830T210041393912Z</x:v>
      </x:c>
      <x:c r="C15" s="47" t="str">
        <x:v>I2-051</x:v>
      </x:c>
      <x:c r="D15" s="91" t="n">
        <x:v>46264.876474282406</x:v>
      </x:c>
      <x:c r="E15" s="47" t="str">
        <x:v>vocabulary_matcher</x:v>
      </x:c>
      <x:c r="F15" s="47" t="str">
        <x:v>gpt-5.6-luna-2026-07-09</x:v>
      </x:c>
      <x:c r="G15" s="47" t="n">
        <x:v>1</x:v>
      </x:c>
      <x:c r="H15" s="47" t="n">
        <x:v>200</x:v>
      </x:c>
      <x:c r="I15" s="47" t="str">
        <x:v>Ocp-Apim-Subscription-Key</x:v>
      </x:c>
      <x:c r="J15" s="92" t="n">
        <x:v>0</x:v>
      </x:c>
      <x:c r="K15" s="92" t="n">
        <x:v>1995.751</x:v>
      </x:c>
      <x:c r="L15" s="93" t="b">
        <x:v>0</x:v>
      </x:c>
      <x:c r="M15" s="47" t="str"/>
      <x:c r="N15" s="59" t="str"/>
      <x:c r="O15" s="59" t="str"/>
      <x:c r="P15" s="59" t="str"/>
    </x:row>
    <x:row r="16">
      <x:c r="A16" s="49" t="str">
        <x:v>EVT-000060</x:v>
      </x:c>
      <x:c r="B16" s="49" t="str">
        <x:v>RUN-I2-051-20260830T210041393912Z</x:v>
      </x:c>
      <x:c r="C16" s="49" t="str">
        <x:v>I2-051</x:v>
      </x:c>
      <x:c r="D16" s="94" t="n">
        <x:v>46264.87647429398</x:v>
      </x:c>
      <x:c r="E16" s="49" t="str">
        <x:v>vocabulary_matcher</x:v>
      </x:c>
      <x:c r="F16" s="49" t="str">
        <x:v>gpt-5.6-luna-2026-07-09</x:v>
      </x:c>
      <x:c r="G16" s="49" t="n">
        <x:v>1</x:v>
      </x:c>
      <x:c r="H16" s="49" t="str">
        <x:v>COMPLETED</x:v>
      </x:c>
      <x:c r="I16" s="49" t="str"/>
      <x:c r="J16" s="83" t="n">
        <x:v>0</x:v>
      </x:c>
      <x:c r="K16" s="83" t="n">
        <x:v>1997.07</x:v>
      </x:c>
      <x:c r="L16" s="82" t="b">
        <x:v>0</x:v>
      </x:c>
      <x:c r="M16" s="49" t="str">
        <x:v>resp_0365e5249985e697006a949a4d84c88197a5da2889a02dc05f</x:v>
      </x:c>
      <x:c r="N16" s="60" t="n">
        <x:v>2028</x:v>
      </x:c>
      <x:c r="O16" s="60" t="n">
        <x:v>138</x:v>
      </x:c>
      <x:c r="P16" s="60" t="n">
        <x:v>2166</x:v>
      </x:c>
    </x:row>
  </x:sheetData>
  <x:conditionalFormatting sqref="H5:H16">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152d48dfc91a4df8"/>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2"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RUN-I2-051-20260830T210041393912Z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RUN-I2-051-20260830T210041393912Z</x:v>
      </x:c>
      <x:c r="B5" s="45" t="str">
        <x:v>I2-051</x:v>
      </x:c>
      <x:c r="C5" s="45" t="str">
        <x:v>benchmarkEntity</x:v>
      </x:c>
      <x:c r="D5" s="46" t="str">
        <x:v>https://w3id.org/nltl/vocab#benchmarkEntity</x:v>
      </x:c>
      <x:c r="E5" s="45" t="str">
        <x:v>Class</x:v>
      </x:c>
      <x:c r="F5" s="45" t="str"/>
      <x:c r="G5" s="45" t="str"/>
      <x:c r="H5" s="45" t="str"/>
      <x:c r="I5" s="46" t="str">
        <x:v>baseline target infrastructure; domain dependency of designVerticalIceShearForce; domain dependency of hullGirderPosition; domain dependency of longitudinalDistributionFactor; range dependency of shearForceDirectionValue</x:v>
      </x:c>
      <x:c r="J5" s="45" t="n">
        <x:v>0</x:v>
      </x:c>
    </x:row>
    <x:row r="6">
      <x:c r="A6" s="47" t="str">
        <x:v>RUN-I2-051-20260830T210041393912Z</x:v>
      </x:c>
      <x:c r="B6" s="47" t="str">
        <x:v>I2-051</x:v>
      </x:c>
      <x:c r="C6" s="47" t="str">
        <x:v>calculationCase</x:v>
      </x:c>
      <x:c r="D6" s="48" t="str">
        <x:v>https://w3id.org/nltl/vocab#calculationCase</x:v>
      </x:c>
      <x:c r="E6" s="47" t="str">
        <x:v>Class</x:v>
      </x:c>
      <x:c r="F6" s="47" t="str"/>
      <x:c r="G6" s="47" t="str">
        <x:v>https://w3id.org/nltl/vocab#benchmarkEntity</x:v>
      </x:c>
      <x:c r="H6" s="47" t="str"/>
      <x:c r="I6" s="48" t="str">
        <x:v>authoritative required owner class; domain dependency of hullGirderLongitudinalPositionFromAft; domain dependency of shearForceDirection; range dependency of hasCalculationCase</x:v>
      </x:c>
      <x:c r="J6" s="47" t="n">
        <x:v>0</x:v>
      </x:c>
    </x:row>
    <x:row r="7">
      <x:c r="A7" s="47" t="str">
        <x:v>RUN-I2-051-20260830T210041393912Z</x:v>
      </x:c>
      <x:c r="B7" s="47" t="str">
        <x:v>I2-051</x:v>
      </x:c>
      <x:c r="C7" s="47" t="str">
        <x:v>designVerticalIceForceAtBow</x:v>
      </x:c>
      <x:c r="D7" s="48" t="str">
        <x:v>https://w3id.org/nltl/vocab#designVerticalIceForceAtBow</x:v>
      </x:c>
      <x:c r="E7" s="47" t="str">
        <x:v>QuantityProperty</x:v>
      </x:c>
      <x:c r="F7" s="47" t="str"/>
      <x:c r="G7" s="47" t="str">
        <x:v>http://qudt.org/schema/qudt/QuantityValue</x:v>
      </x:c>
      <x:c r="H7" s="47" t="str">
        <x:v>http://qudt.org/vocab/unit/MegaN</x:v>
      </x:c>
      <x:c r="I7" s="48" t="str">
        <x:v>linked by the locked 313-requirement index</x:v>
      </x:c>
      <x:c r="J7" s="47" t="n">
        <x:v>0</x:v>
      </x:c>
    </x:row>
    <x:row r="8">
      <x:c r="A8" s="47" t="str">
        <x:v>RUN-I2-051-20260830T210041393912Z</x:v>
      </x:c>
      <x:c r="B8" s="47" t="str">
        <x:v>I2-051</x:v>
      </x:c>
      <x:c r="C8" s="47" t="str">
        <x:v>designVerticalIceShearForce</x:v>
      </x:c>
      <x:c r="D8" s="48" t="str">
        <x:v>https://w3id.org/nltl/vocab#designVerticalIceShearForce</x:v>
      </x:c>
      <x:c r="E8" s="47" t="str">
        <x:v>QuantityProperty</x:v>
      </x:c>
      <x:c r="F8" s="47" t="str"/>
      <x:c r="G8" s="47" t="str">
        <x:v>http://qudt.org/schema/qudt/QuantityValue</x:v>
      </x:c>
      <x:c r="H8" s="47" t="str">
        <x:v>http://qudt.org/vocab/unit/KiloN</x:v>
      </x:c>
      <x:c r="I8" s="48" t="str">
        <x:v>linked by the locked 313-requirement index</x:v>
      </x:c>
      <x:c r="J8" s="47" t="n">
        <x:v>0</x:v>
      </x:c>
    </x:row>
    <x:row r="9">
      <x:c r="A9" s="47" t="str">
        <x:v>RUN-I2-051-20260830T210041393912Z</x:v>
      </x:c>
      <x:c r="B9" s="47" t="str">
        <x:v>I2-051</x:v>
      </x:c>
      <x:c r="C9" s="47" t="str">
        <x:v>hasCalculationCase</x:v>
      </x:c>
      <x:c r="D9" s="48" t="str">
        <x:v>https://w3id.org/nltl/vocab#hasCalculationCase</x:v>
      </x:c>
      <x:c r="E9" s="47" t="str">
        <x:v>ObjectProperty</x:v>
      </x:c>
      <x:c r="F9" s="47" t="str"/>
      <x:c r="G9" s="47" t="str">
        <x:v>https://w3id.org/nltl/vocab#calculationCase</x:v>
      </x:c>
      <x:c r="H9" s="47" t="str"/>
      <x:c r="I9" s="48" t="str">
        <x:v>canonical path from target owner ship to required owner calculationCase; linked by the locked 313-requirement index</x:v>
      </x:c>
      <x:c r="J9" s="47" t="n">
        <x:v>0</x:v>
      </x:c>
    </x:row>
    <x:row r="10">
      <x:c r="A10" s="47" t="str">
        <x:v>RUN-I2-051-20260830T210041393912Z</x:v>
      </x:c>
      <x:c r="B10" s="47" t="str">
        <x:v>I2-051</x:v>
      </x:c>
      <x:c r="C10" s="47" t="str">
        <x:v>hasComponent</x:v>
      </x:c>
      <x:c r="D10" s="48" t="str">
        <x:v>https://w3id.org/nltl/vocab#hasComponent</x:v>
      </x:c>
      <x:c r="E10" s="47" t="str">
        <x:v>ObjectProperty</x:v>
      </x:c>
      <x:c r="F10" s="47" t="str"/>
      <x:c r="G10" s="47" t="str">
        <x:v>https://w3id.org/nltl/vocab#shipComponent</x:v>
      </x:c>
      <x:c r="H10" s="47" t="str"/>
      <x:c r="I10" s="48" t="str">
        <x:v>component-path dependency inferred from the linked term module</x:v>
      </x:c>
      <x:c r="J10" s="47" t="n">
        <x:v>0</x:v>
      </x:c>
    </x:row>
    <x:row r="11">
      <x:c r="A11" s="47" t="str">
        <x:v>RUN-I2-051-20260830T210041393912Z</x:v>
      </x:c>
      <x:c r="B11" s="47" t="str">
        <x:v>I2-051</x:v>
      </x:c>
      <x:c r="C11" s="47" t="str">
        <x:v>hullGirderLongitudinalPositionFromAft</x:v>
      </x:c>
      <x:c r="D11" s="48" t="str">
        <x:v>https://w3id.org/nltl/vocab#hullGirderLongitudinalPositionFromAft</x:v>
      </x:c>
      <x:c r="E11" s="47" t="str">
        <x:v>QuantityProperty</x:v>
      </x:c>
      <x:c r="F11" s="47" t="str"/>
      <x:c r="G11" s="47" t="str">
        <x:v>http://qudt.org/schema/qudt/QuantityValue</x:v>
      </x:c>
      <x:c r="H11" s="47" t="str">
        <x:v>http://qudt.org/vocab/unit/M</x:v>
      </x:c>
      <x:c r="I11" s="48" t="str">
        <x:v>linked by the locked 313-requirement index</x:v>
      </x:c>
      <x:c r="J11" s="47" t="n">
        <x:v>0</x:v>
      </x:c>
    </x:row>
    <x:row r="12">
      <x:c r="A12" s="47" t="str">
        <x:v>RUN-I2-051-20260830T210041393912Z</x:v>
      </x:c>
      <x:c r="B12" s="47" t="str">
        <x:v>I2-051</x:v>
      </x:c>
      <x:c r="C12" s="47" t="str">
        <x:v>hullGirderPosition</x:v>
      </x:c>
      <x:c r="D12" s="48" t="str">
        <x:v>https://w3id.org/nltl/vocab#hullGirderPosition</x:v>
      </x:c>
      <x:c r="E12" s="47" t="str">
        <x:v>DatatypeProperty</x:v>
      </x:c>
      <x:c r="F12" s="47" t="str">
        <x:v>xsd:string</x:v>
      </x:c>
      <x:c r="G12" s="47" t="str">
        <x:v>http://www.w3.org/2001/XMLSchema#string</x:v>
      </x:c>
      <x:c r="H12" s="47" t="str"/>
      <x:c r="I12" s="48" t="str">
        <x:v>linked by the locked 313-requirement index</x:v>
      </x:c>
      <x:c r="J12" s="47" t="n">
        <x:v>0</x:v>
      </x:c>
    </x:row>
    <x:row r="13">
      <x:c r="A13" s="47" t="str">
        <x:v>RUN-I2-051-20260830T210041393912Z</x:v>
      </x:c>
      <x:c r="B13" s="47" t="str">
        <x:v>I2-051</x:v>
      </x:c>
      <x:c r="C13" s="47" t="str">
        <x:v>longitudinalDistributionFactor</x:v>
      </x:c>
      <x:c r="D13" s="48" t="str">
        <x:v>https://w3id.org/nltl/vocab#longitudinalDistributionFactor</x:v>
      </x:c>
      <x:c r="E13" s="47" t="str">
        <x:v>QuantityProperty</x:v>
      </x:c>
      <x:c r="F13" s="47" t="str"/>
      <x:c r="G13" s="47" t="str">
        <x:v>http://qudt.org/schema/qudt/QuantityValue</x:v>
      </x:c>
      <x:c r="H13" s="47" t="str">
        <x:v>http://qudt.org/vocab/unit/UNITLESS</x:v>
      </x:c>
      <x:c r="I13" s="48" t="str">
        <x:v>linked by the locked 313-requirement index</x:v>
      </x:c>
      <x:c r="J13" s="47" t="n">
        <x:v>0</x:v>
      </x:c>
    </x:row>
    <x:row r="14">
      <x:c r="A14" s="47" t="str">
        <x:v>RUN-I2-051-20260830T210041393912Z</x:v>
      </x:c>
      <x:c r="B14" s="47" t="str">
        <x:v>I2-051</x:v>
      </x:c>
      <x:c r="C14" s="47" t="str">
        <x:v>positiveShearForce</x:v>
      </x:c>
      <x:c r="D14" s="48" t="str">
        <x:v>https://w3id.org/nltl/vocab#positiveShearForce</x:v>
      </x:c>
      <x:c r="E14" s="47" t="str">
        <x:v>NamedIndividual</x:v>
      </x:c>
      <x:c r="F14" s="47" t="str"/>
      <x:c r="G14" s="47" t="str">
        <x:v>https://w3id.org/nltl/vocab#shearForceDirectionValue</x:v>
      </x:c>
      <x:c r="H14" s="47" t="str"/>
      <x:c r="I14" s="48" t="str">
        <x:v>controlled value permitted by the range of positiveShearForce; controlled value permitted by the range of shearForceDirection; linked by the locked 313-requirement index</x:v>
      </x:c>
      <x:c r="J14" s="47" t="n">
        <x:v>0</x:v>
      </x:c>
    </x:row>
    <x:row r="15">
      <x:c r="A15" s="47" t="str">
        <x:v>RUN-I2-051-20260830T210041393912Z</x:v>
      </x:c>
      <x:c r="B15" s="47" t="str">
        <x:v>I2-051</x:v>
      </x:c>
      <x:c r="C15" s="47" t="str">
        <x:v>shearForceDirection</x:v>
      </x:c>
      <x:c r="D15" s="48" t="str">
        <x:v>https://w3id.org/nltl/vocab#shearForceDirection</x:v>
      </x:c>
      <x:c r="E15" s="47" t="str">
        <x:v>ObjectProperty</x:v>
      </x:c>
      <x:c r="F15" s="47" t="str"/>
      <x:c r="G15" s="47" t="str">
        <x:v>https://w3id.org/nltl/vocab#shearForceDirectionValue</x:v>
      </x:c>
      <x:c r="H15" s="47" t="str"/>
      <x:c r="I15" s="48" t="str">
        <x:v>linked by the locked 313-requirement index</x:v>
      </x:c>
      <x:c r="J15" s="47" t="n">
        <x:v>0</x:v>
      </x:c>
    </x:row>
    <x:row r="16">
      <x:c r="A16" s="47" t="str">
        <x:v>RUN-I2-051-20260830T210041393912Z</x:v>
      </x:c>
      <x:c r="B16" s="47" t="str">
        <x:v>I2-051</x:v>
      </x:c>
      <x:c r="C16" s="47" t="str">
        <x:v>shearForceDirectionValue</x:v>
      </x:c>
      <x:c r="D16" s="48" t="str">
        <x:v>https://w3id.org/nltl/vocab#shearForceDirectionValue</x:v>
      </x:c>
      <x:c r="E16" s="47" t="str">
        <x:v>Class</x:v>
      </x:c>
      <x:c r="F16" s="47" t="str"/>
      <x:c r="G16" s="47" t="str">
        <x:v>https://w3id.org/nltl/vocab#benchmarkEntity</x:v>
      </x:c>
      <x:c r="H16" s="47" t="str"/>
      <x:c r="I16" s="48" t="str">
        <x:v>linked by the locked 313-requirement index; range dependency of positiveShearForce; range dependency of shearForceDirection</x:v>
      </x:c>
      <x:c r="J16" s="47" t="n">
        <x:v>0</x:v>
      </x:c>
    </x:row>
    <x:row r="17">
      <x:c r="A17" s="47" t="str">
        <x:v>RUN-I2-051-20260830T210041393912Z</x:v>
      </x:c>
      <x:c r="B17" s="47" t="str">
        <x:v>I2-051</x:v>
      </x:c>
      <x:c r="C17" s="47" t="str">
        <x:v>ship</x:v>
      </x:c>
      <x:c r="D17" s="48" t="str">
        <x:v>https://w3id.org/nltl/vocab#ship</x:v>
      </x:c>
      <x:c r="E17" s="47" t="str">
        <x:v>Class</x:v>
      </x:c>
      <x:c r="F17" s="47" t="str"/>
      <x:c r="G17" s="47" t="str"/>
      <x:c r="H17" s="47" t="str"/>
      <x:c r="I17" s="48" t="str">
        <x:v>authoritative required owner class; authoritative requirement target owner; baseline target infrastructure; domain dependency of designVerticalIceForceAtBow; domain dependency of hasCalculationCase; domain dependency of upperIceWaterlineLengthLUI</x:v>
      </x:c>
      <x:c r="J17" s="47" t="n">
        <x:v>0</x:v>
      </x:c>
    </x:row>
    <x:row r="18">
      <x:c r="A18" s="47" t="str">
        <x:v>RUN-I2-051-20260830T210041393912Z</x:v>
      </x:c>
      <x:c r="B18" s="47" t="str">
        <x:v>I2-051</x:v>
      </x:c>
      <x:c r="C18" s="47" t="str">
        <x:v>shipComponent</x:v>
      </x:c>
      <x:c r="D18" s="48" t="str">
        <x:v>https://w3id.org/nltl/vocab#shipComponent</x:v>
      </x:c>
      <x:c r="E18" s="47" t="str">
        <x:v>Class</x:v>
      </x:c>
      <x:c r="F18" s="47" t="str"/>
      <x:c r="G18" s="47" t="str"/>
      <x:c r="H18" s="47" t="str"/>
      <x:c r="I18" s="48" t="str">
        <x:v>component-path dependency inferred from the linked term module</x:v>
      </x:c>
      <x:c r="J18" s="47" t="n">
        <x:v>0</x:v>
      </x:c>
    </x:row>
    <x:row r="19">
      <x:c r="A19" s="49" t="str">
        <x:v>RUN-I2-051-20260830T210041393912Z</x:v>
      </x:c>
      <x:c r="B19" s="49" t="str">
        <x:v>I2-051</x:v>
      </x:c>
      <x:c r="C19" s="49" t="str">
        <x:v>upperIceWaterlineLengthLUI</x:v>
      </x:c>
      <x:c r="D19" s="50" t="str">
        <x:v>https://w3id.org/nltl/vocab#upperIceWaterlineLengthLUI</x:v>
      </x:c>
      <x:c r="E19" s="49" t="str">
        <x:v>QuantityProperty</x:v>
      </x:c>
      <x:c r="F19" s="49" t="str"/>
      <x:c r="G19" s="49" t="str">
        <x:v>http://qudt.org/schema/qudt/QuantityValue</x:v>
      </x:c>
      <x:c r="H19" s="49" t="str">
        <x:v>http://qudt.org/vocab/unit/M</x:v>
      </x:c>
      <x:c r="I19" s="50" t="str">
        <x:v>linked by the locked 313-requirement index</x:v>
      </x:c>
      <x:c r="J19" s="49" t="n">
        <x:v>0</x:v>
      </x:c>
    </x:row>
  </x:sheetData>
  <x:pageMargins left="0.7" right="0.7" top="0.75" bottom="0.75" header="0.3" footer="0.3"/>
  <x:tableParts count="1">
    <x:tablePart xmlns:r="http://schemas.openxmlformats.org/officeDocument/2006/relationships" r:id="Reed2f5e6d3cf451e"/>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RUN-I2-051-20260830T210041393912Z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RUN-I2-051-20260830T210041393912Z</x:v>
      </x:c>
      <x:c r="B5" s="45" t="str">
        <x:v>I2-051</x:v>
      </x:c>
      <x:c r="C5" s="45" t="str">
        <x:v>FS-CALC-02</x:v>
      </x:c>
      <x:c r="D5" s="45" t="str">
        <x:v>comparison_calculation</x:v>
      </x:c>
      <x:c r="E5" s="97" t="n">
        <x:v>0.075472</x:v>
      </x:c>
      <x:c r="F5" s="45" t="str">
        <x:v>calculation | comparison | formula | sparql</x:v>
      </x:c>
      <x:c r="G5" s="45" t="str">
        <x:v>synthetic-few-shot-not-benchmark-ground-truth</x:v>
      </x:c>
    </x:row>
    <x:row r="6">
      <x:c r="A6" s="49" t="str">
        <x:v>RUN-I2-051-20260830T210041393912Z</x:v>
      </x:c>
      <x:c r="B6" s="49" t="str">
        <x:v>I2-051</x:v>
      </x:c>
      <x:c r="C6" s="49" t="str">
        <x:v>FS-QTY-01</x:v>
      </x:c>
      <x:c r="D6" s="49" t="str">
        <x:v>qudt_quantity</x:v>
      </x:c>
      <x:c r="E6" s="98" t="n">
        <x:v>0.037037</x:v>
      </x:c>
      <x:c r="F6" s="49" t="str">
        <x:v>quantity | qudt</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5d354150d01749d2"/>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RUN-I2-051-20260830T210041393912Z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RUN-I2-051-20260830T210041393912Z</x:v>
      </x:c>
      <x:c r="B5" s="45" t="str">
        <x:v>I2-051</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https://w3id.org/nltl/vocab#calculationCase | https://w3id.org/nltl/vocab#designVerticalIceForceAtBow | https://w3id.org/nltl/vocab#designVerticalIceShearForce | https://w3id.org/nltl/vocab#hasCalculationCase | https://w3id.org/nltl/vocab#hullGirderLongitudinalPositionFromAft | https://w3id.org/nltl/vocab#longitudinalDistributionFactor | https://w3id.org/nltl/vocab#positiveShearForce | https://w3id.org/nltl/vocab#shearForceDirection | https://w3id.org/nltl/vocab#ship | https://w3id.org/nltl/vocab#upperIceWaterlineLengthLUI</x:v>
      </x:c>
      <x:c r="O5" s="46" t="str"/>
      <x:c r="P5" s="46" t="str"/>
      <x:c r="Q5" s="46" t="str"/>
    </x:row>
    <x:row r="6">
      <x:c r="A6" s="49" t="str">
        <x:v>RUN-I2-051-20260830T210041393912Z</x:v>
      </x:c>
      <x:c r="B6" s="49" t="str">
        <x:v>I2-051</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https://w3id.org/nltl/vocab#calculationCase | https://w3id.org/nltl/vocab#designVerticalIceForceAtBow | https://w3id.org/nltl/vocab#designVerticalIceShearForce | https://w3id.org/nltl/vocab#hasCalculationCase | https://w3id.org/nltl/vocab#hullGirderLongitudinalPositionFromAft | https://w3id.org/nltl/vocab#longitudinalDistributionFactor | https://w3id.org/nltl/vocab#positiveShearForce | https://w3id.org/nltl/vocab#shearForceDirection | https://w3id.org/nltl/vocab#ship | https://w3id.org/nltl/vocab#upperIceWaterlineLengthLUI</x:v>
      </x:c>
      <x:c r="O6" s="50" t="str"/>
      <x:c r="P6" s="50" t="str"/>
      <x:c r="Q6" s="50" t="str"/>
    </x:row>
  </x:sheetData>
  <x:pageMargins left="0.7" right="0.7" top="0.75" bottom="0.75" header="0.3" footer="0.3"/>
  <x:tableParts count="1">
    <x:tablePart xmlns:r="http://schemas.openxmlformats.org/officeDocument/2006/relationships" r:id="R0fc00e260fd94d9f"/>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RUN-I2-051-20260830T210041393912Z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RUN-I2-051-20260830T210041393912Z</x:v>
      </x:c>
      <x:c r="B5" s="45" t="str">
        <x:v>I2-051</x:v>
      </x:c>
      <x:c r="C5" s="58" t="n">
        <x:v>2</x:v>
      </x:c>
      <x:c r="D5" s="45" t="str">
        <x:v>matcher_search</x:v>
      </x:c>
      <x:c r="E5" s="46" t="str">
        <x:v>Reject: the prior pairing instruction remains unresolved. longitudinalDistributionFactor is still modeled once on the ship and the query tests that single value for every calculation case, so it cannot faithfully encode a case-position-specific Cf of 0.0 through 0.6 LUI and 1.0 from 0.9 LUI through LUI. Do not duplicate or relocate the supplied ship-owned property; provide or locate a canonical cross-owner path/term that pairs each calculation-case position with its corresponding Cf, then enforce the Cf alternative on that pairing and retain FI = Cf × FIB with the formula-result-scaled tolerance and MN-to-kN conversion. The variable matcher is required because the needed canonical pairing path/term is absent from the scoped vocabulary.</x:v>
      </x:c>
      <x:c r="F5" s="58" t="n">
        <x:v>3</x:v>
      </x:c>
      <x:c r="G5" s="45" t="str"/>
      <x:c r="H5" s="45" t="str"/>
      <x:c r="I5" s="46" t="str"/>
      <x:c r="J5" s="46" t="str"/>
    </x:row>
    <x:row r="6">
      <x:c r="A6" s="49" t="str">
        <x:v>RUN-I2-051-20260830T210041393912Z</x:v>
      </x:c>
      <x:c r="B6" s="49" t="str">
        <x:v>I2-051</x:v>
      </x:c>
      <x:c r="C6" s="60" t="n">
        <x:v>2</x:v>
      </x:c>
      <x:c r="D6" s="49" t="str">
        <x:v>matcher_decision</x:v>
      </x:c>
      <x:c r="E6" s="50" t="str"/>
      <x:c r="F6" s="60" t="str"/>
      <x:c r="G6" s="82" t="b">
        <x:v>0</x:v>
      </x:c>
      <x:c r="H6" s="49" t="str"/>
      <x:c r="I6" s="50" t="str"/>
      <x:c r="J6" s="50" t="str">
        <x:v>No supplied candidate is semantically supported: longitudinalDistributionFactor is a ship-owned quantity property and does not provide the required calculation-case-position pairing path, while calculationCase and ship are classes rather than the needed cross-owner relationship or property.</x:v>
      </x:c>
    </x:row>
  </x:sheetData>
  <x:pageMargins left="0.7" right="0.7" top="0.75" bottom="0.75" header="0.3" footer="0.3"/>
  <x:tableParts count="1">
    <x:tablePart xmlns:r="http://schemas.openxmlformats.org/officeDocument/2006/relationships" r:id="R5e32ec6352e542a0"/>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RUN-I2-051-20260830T210041393912Z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RUN-I2-051-20260830T210041393912Z</x:v>
      </x:c>
      <x:c r="B5" s="45" t="str">
        <x:v>I2-051</x:v>
      </x:c>
      <x:c r="C5" s="58"/>
      <x:c r="D5" s="45" t="str">
        <x:v>initial_context_pack</x:v>
      </x:c>
      <x:c r="E5" s="46" t="str">
        <x:v>artifacts/context_pack_initial.json</x:v>
      </x:c>
      <x:c r="F5" s="45" t="str">
        <x:v>c92f82a9e442b59397099b887be1eeceb2469f72fe13645f95a05fb2ddf999da</x:v>
      </x:c>
      <x:c r="G5" s="58" t="n">
        <x:v>21835</x:v>
      </x:c>
    </x:row>
    <x:row r="6">
      <x:c r="A6" s="47" t="str">
        <x:v>RUN-I2-051-20260830T210041393912Z</x:v>
      </x:c>
      <x:c r="B6" s="47" t="str">
        <x:v>I2-051</x:v>
      </x:c>
      <x:c r="C6" s="59"/>
      <x:c r="D6" s="47" t="str">
        <x:v>few_shot_selection</x:v>
      </x:c>
      <x:c r="E6" s="48" t="str">
        <x:v>artifacts/few_shots_selected.json</x:v>
      </x:c>
      <x:c r="F6" s="47" t="str">
        <x:v>179bfa542ee43f724e855976a181bcc7e14f99fa0cd7f690a60064057c9d0ad2</x:v>
      </x:c>
      <x:c r="G6" s="59" t="n">
        <x:v>5255</x:v>
      </x:c>
    </x:row>
    <x:row r="7">
      <x:c r="A7" s="47" t="str">
        <x:v>RUN-I2-051-20260830T210041393912Z</x:v>
      </x:c>
      <x:c r="B7" s="47" t="str">
        <x:v>I2-051</x:v>
      </x:c>
      <x:c r="C7" s="59" t="n">
        <x:v>1</x:v>
      </x:c>
      <x:c r="D7" s="47" t="str">
        <x:v>generator_prompt</x:v>
      </x:c>
      <x:c r="E7" s="48" t="str">
        <x:v>artifacts/attempt_01/generator_prompt.txt</x:v>
      </x:c>
      <x:c r="F7" s="47" t="str">
        <x:v>700a24fd20bf122a40ef0942ed302cb69c12c2fa6fed06f7f36b4205275093db</x:v>
      </x:c>
      <x:c r="G7" s="59" t="n">
        <x:v>38644</x:v>
      </x:c>
    </x:row>
    <x:row r="8">
      <x:c r="A8" s="47" t="str">
        <x:v>RUN-I2-051-20260830T210041393912Z</x:v>
      </x:c>
      <x:c r="B8" s="47" t="str">
        <x:v>I2-051</x:v>
      </x:c>
      <x:c r="C8" s="59" t="n">
        <x:v>1</x:v>
      </x:c>
      <x:c r="D8" s="47" t="str">
        <x:v>generator_raw_response</x:v>
      </x:c>
      <x:c r="E8" s="48" t="str">
        <x:v>artifacts/attempt_01/generator_raw.txt</x:v>
      </x:c>
      <x:c r="F8" s="47" t="str">
        <x:v>b87dd977fd31a5dda7dde999f7911f9c2742c1ccb25995e398f5438b3cf25d14</x:v>
      </x:c>
      <x:c r="G8" s="59" t="n">
        <x:v>5833</x:v>
      </x:c>
    </x:row>
    <x:row r="9">
      <x:c r="A9" s="47" t="str">
        <x:v>RUN-I2-051-20260830T210041393912Z</x:v>
      </x:c>
      <x:c r="B9" s="47" t="str">
        <x:v>I2-051</x:v>
      </x:c>
      <x:c r="C9" s="59" t="n">
        <x:v>1</x:v>
      </x:c>
      <x:c r="D9" s="47" t="str">
        <x:v>candidate_shape</x:v>
      </x:c>
      <x:c r="E9" s="48" t="str">
        <x:v>artifacts/attempt_01/candidate_shape.ttl</x:v>
      </x:c>
      <x:c r="F9" s="47" t="str">
        <x:v>d3d971d3e0fdcba2bbab5765375258e113cfae6cc54116b99559160cee313f96</x:v>
      </x:c>
      <x:c r="G9" s="59" t="n">
        <x:v>5808</x:v>
      </x:c>
    </x:row>
    <x:row r="10">
      <x:c r="A10" s="47" t="str">
        <x:v>RUN-I2-051-20260830T210041393912Z</x:v>
      </x:c>
      <x:c r="B10" s="47" t="str">
        <x:v>I2-051</x:v>
      </x:c>
      <x:c r="C10" s="59" t="n">
        <x:v>1</x:v>
      </x:c>
      <x:c r="D10" s="47" t="str">
        <x:v>deterministic_validation</x:v>
      </x:c>
      <x:c r="E10" s="48" t="str">
        <x:v>artifacts/attempt_01/deterministic_validation.json</x:v>
      </x:c>
      <x:c r="F10" s="47" t="str">
        <x:v>86eaf62fee5695c6f11600891e5155502e74bebdbd7e8e60ef7c083aaa65bc75</x:v>
      </x:c>
      <x:c r="G10" s="59" t="n">
        <x:v>970</x:v>
      </x:c>
    </x:row>
    <x:row r="11">
      <x:c r="A11" s="47" t="str">
        <x:v>RUN-I2-051-20260830T210041393912Z</x:v>
      </x:c>
      <x:c r="B11" s="47" t="str">
        <x:v>I2-051</x:v>
      </x:c>
      <x:c r="C11" s="59" t="n">
        <x:v>1</x:v>
      </x:c>
      <x:c r="D11" s="47" t="str">
        <x:v>validator_prompt</x:v>
      </x:c>
      <x:c r="E11" s="48" t="str">
        <x:v>artifacts/attempt_01/validator_prompt_01.txt</x:v>
      </x:c>
      <x:c r="F11" s="47" t="str">
        <x:v>eac6fc4c8047b6f8b79f5aef35c36f3165c4e3e103dac6c85914f8ddf60d06e9</x:v>
      </x:c>
      <x:c r="G11" s="59" t="n">
        <x:v>39026</x:v>
      </x:c>
    </x:row>
    <x:row r="12">
      <x:c r="A12" s="47" t="str">
        <x:v>RUN-I2-051-20260830T210041393912Z</x:v>
      </x:c>
      <x:c r="B12" s="47" t="str">
        <x:v>I2-051</x:v>
      </x:c>
      <x:c r="C12" s="59" t="n">
        <x:v>1</x:v>
      </x:c>
      <x:c r="D12" s="47" t="str">
        <x:v>validator_raw_response</x:v>
      </x:c>
      <x:c r="E12" s="48" t="str">
        <x:v>artifacts/attempt_01/validator_raw_01.txt</x:v>
      </x:c>
      <x:c r="F12" s="47" t="str">
        <x:v>c8cbb9ac545aa583403bf4bef422e333ed2ac7db1b7df503b93620a963e71f11</x:v>
      </x:c>
      <x:c r="G12" s="59" t="n">
        <x:v>748</x:v>
      </x:c>
    </x:row>
    <x:row r="13">
      <x:c r="A13" s="47" t="str">
        <x:v>RUN-I2-051-20260830T210041393912Z</x:v>
      </x:c>
      <x:c r="B13" s="47" t="str">
        <x:v>I2-051</x:v>
      </x:c>
      <x:c r="C13" s="59" t="n">
        <x:v>2</x:v>
      </x:c>
      <x:c r="D13" s="47" t="str">
        <x:v>generator_prompt</x:v>
      </x:c>
      <x:c r="E13" s="48" t="str">
        <x:v>artifacts/attempt_02/generator_prompt.txt</x:v>
      </x:c>
      <x:c r="F13" s="47" t="str">
        <x:v>b91380dd18037072be75ac829b1a2cd26b8f8c14e6900725529dc3a59154e303</x:v>
      </x:c>
      <x:c r="G13" s="59" t="n">
        <x:v>39331</x:v>
      </x:c>
    </x:row>
    <x:row r="14">
      <x:c r="A14" s="47" t="str">
        <x:v>RUN-I2-051-20260830T210041393912Z</x:v>
      </x:c>
      <x:c r="B14" s="47" t="str">
        <x:v>I2-051</x:v>
      </x:c>
      <x:c r="C14" s="59" t="n">
        <x:v>2</x:v>
      </x:c>
      <x:c r="D14" s="47" t="str">
        <x:v>generator_raw_response</x:v>
      </x:c>
      <x:c r="E14" s="48" t="str">
        <x:v>artifacts/attempt_02/generator_raw.txt</x:v>
      </x:c>
      <x:c r="F14" s="47" t="str">
        <x:v>972a7cca4fc0653684f04ab65f9f3893997297d8be4097b6433291a8a9789c57</x:v>
      </x:c>
      <x:c r="G14" s="59" t="n">
        <x:v>5748</x:v>
      </x:c>
    </x:row>
    <x:row r="15">
      <x:c r="A15" s="47" t="str">
        <x:v>RUN-I2-051-20260830T210041393912Z</x:v>
      </x:c>
      <x:c r="B15" s="47" t="str">
        <x:v>I2-051</x:v>
      </x:c>
      <x:c r="C15" s="59" t="n">
        <x:v>2</x:v>
      </x:c>
      <x:c r="D15" s="47" t="str">
        <x:v>syntax_repair_prompt</x:v>
      </x:c>
      <x:c r="E15" s="48" t="str">
        <x:v>artifacts/attempt_02/syntax_repair_prompt_01.txt</x:v>
      </x:c>
      <x:c r="F15" s="47" t="str">
        <x:v>3a4a253f1b7d7b8d3c81afd65255a2419b3ae76fcf50d8d05b7202dfa9ef73f3</x:v>
      </x:c>
      <x:c r="G15" s="59" t="n">
        <x:v>6965</x:v>
      </x:c>
    </x:row>
    <x:row r="16">
      <x:c r="A16" s="47" t="str">
        <x:v>RUN-I2-051-20260830T210041393912Z</x:v>
      </x:c>
      <x:c r="B16" s="47" t="str">
        <x:v>I2-051</x:v>
      </x:c>
      <x:c r="C16" s="59" t="n">
        <x:v>2</x:v>
      </x:c>
      <x:c r="D16" s="47" t="str">
        <x:v>syntax_repair_raw_response</x:v>
      </x:c>
      <x:c r="E16" s="48" t="str">
        <x:v>artifacts/attempt_02/syntax_repair_raw_01.txt</x:v>
      </x:c>
      <x:c r="F16" s="47" t="str">
        <x:v>c94faafe145df2c5f1f7adc8f1c63851125938a555f8f1265fb44917583051d4</x:v>
      </x:c>
      <x:c r="G16" s="59" t="n">
        <x:v>5746</x:v>
      </x:c>
    </x:row>
    <x:row r="17">
      <x:c r="A17" s="47" t="str">
        <x:v>RUN-I2-051-20260830T210041393912Z</x:v>
      </x:c>
      <x:c r="B17" s="47" t="str">
        <x:v>I2-051</x:v>
      </x:c>
      <x:c r="C17" s="59" t="n">
        <x:v>2</x:v>
      </x:c>
      <x:c r="D17" s="47" t="str">
        <x:v>candidate_shape</x:v>
      </x:c>
      <x:c r="E17" s="48" t="str">
        <x:v>artifacts/attempt_02/candidate_shape.ttl</x:v>
      </x:c>
      <x:c r="F17" s="47" t="str">
        <x:v>a380d688ee86b8a9859a6b875943c204078d82e7ebf3ffab680aba2699aa9975</x:v>
      </x:c>
      <x:c r="G17" s="59" t="n">
        <x:v>5721</x:v>
      </x:c>
    </x:row>
    <x:row r="18">
      <x:c r="A18" s="47" t="str">
        <x:v>RUN-I2-051-20260830T210041393912Z</x:v>
      </x:c>
      <x:c r="B18" s="47" t="str">
        <x:v>I2-051</x:v>
      </x:c>
      <x:c r="C18" s="59" t="n">
        <x:v>2</x:v>
      </x:c>
      <x:c r="D18" s="47" t="str">
        <x:v>deterministic_validation</x:v>
      </x:c>
      <x:c r="E18" s="48" t="str">
        <x:v>artifacts/attempt_02/deterministic_validation.json</x:v>
      </x:c>
      <x:c r="F18" s="47" t="str">
        <x:v>86eaf62fee5695c6f11600891e5155502e74bebdbd7e8e60ef7c083aaa65bc75</x:v>
      </x:c>
      <x:c r="G18" s="59" t="n">
        <x:v>970</x:v>
      </x:c>
    </x:row>
    <x:row r="19">
      <x:c r="A19" s="47" t="str">
        <x:v>RUN-I2-051-20260830T210041393912Z</x:v>
      </x:c>
      <x:c r="B19" s="47" t="str">
        <x:v>I2-051</x:v>
      </x:c>
      <x:c r="C19" s="59" t="n">
        <x:v>2</x:v>
      </x:c>
      <x:c r="D19" s="47" t="str">
        <x:v>validator_prompt</x:v>
      </x:c>
      <x:c r="E19" s="48" t="str">
        <x:v>artifacts/attempt_02/validator_prompt_01.txt</x:v>
      </x:c>
      <x:c r="F19" s="47" t="str">
        <x:v>b0ba576e83b0b29ef0ec60bbfd579467a48d7d63a79e6f72b2e59379f257f627</x:v>
      </x:c>
      <x:c r="G19" s="59" t="n">
        <x:v>39619</x:v>
      </x:c>
    </x:row>
    <x:row r="20">
      <x:c r="A20" s="47" t="str">
        <x:v>RUN-I2-051-20260830T210041393912Z</x:v>
      </x:c>
      <x:c r="B20" s="47" t="str">
        <x:v>I2-051</x:v>
      </x:c>
      <x:c r="C20" s="59" t="n">
        <x:v>2</x:v>
      </x:c>
      <x:c r="D20" s="47" t="str">
        <x:v>validator_raw_response</x:v>
      </x:c>
      <x:c r="E20" s="48" t="str">
        <x:v>artifacts/attempt_02/validator_raw_01.txt</x:v>
      </x:c>
      <x:c r="F20" s="47" t="str">
        <x:v>0ee1ceebc017d0aaa2df8bed71f48065ae62126873ac1501325b87050b88ef71</x:v>
      </x:c>
      <x:c r="G20" s="59" t="n">
        <x:v>809</x:v>
      </x:c>
    </x:row>
    <x:row r="21">
      <x:c r="A21" s="47" t="str">
        <x:v>RUN-I2-051-20260830T210041393912Z</x:v>
      </x:c>
      <x:c r="B21" s="47" t="str">
        <x:v>I2-051</x:v>
      </x:c>
      <x:c r="C21" s="59" t="n">
        <x:v>2</x:v>
      </x:c>
      <x:c r="D21" s="47" t="str">
        <x:v>matcher_candidates</x:v>
      </x:c>
      <x:c r="E21" s="48" t="str">
        <x:v>artifacts/attempt_02/matcher_candidates.json</x:v>
      </x:c>
      <x:c r="F21" s="47" t="str">
        <x:v>3fd2f1c61429a26b18f8d86c55ea73d9db7fb53bed2747f117a1a2cd3f66c135</x:v>
      </x:c>
      <x:c r="G21" s="59" t="n">
        <x:v>1764</x:v>
      </x:c>
    </x:row>
    <x:row r="22">
      <x:c r="A22" s="47" t="str">
        <x:v>RUN-I2-051-20260830T210041393912Z</x:v>
      </x:c>
      <x:c r="B22" s="47" t="str">
        <x:v>I2-051</x:v>
      </x:c>
      <x:c r="C22" s="59" t="n">
        <x:v>2</x:v>
      </x:c>
      <x:c r="D22" s="47" t="str">
        <x:v>vocabulary_matcher_prompt</x:v>
      </x:c>
      <x:c r="E22" s="48" t="str">
        <x:v>artifacts/attempt_02/vocabulary_matcher_prompt_01.txt</x:v>
      </x:c>
      <x:c r="F22" s="47" t="str">
        <x:v>209b433a38e7e6cc65d9c01f82ccf82e4b5bc20c8abea6cbbd97887c2f7c158d</x:v>
      </x:c>
      <x:c r="G22" s="59" t="n">
        <x:v>7994</x:v>
      </x:c>
    </x:row>
    <x:row r="23">
      <x:c r="A23" s="49" t="str">
        <x:v>RUN-I2-051-20260830T210041393912Z</x:v>
      </x:c>
      <x:c r="B23" s="49" t="str">
        <x:v>I2-051</x:v>
      </x:c>
      <x:c r="C23" s="60" t="n">
        <x:v>2</x:v>
      </x:c>
      <x:c r="D23" s="49" t="str">
        <x:v>vocabulary_matcher_raw_response</x:v>
      </x:c>
      <x:c r="E23" s="50" t="str">
        <x:v>artifacts/attempt_02/vocabulary_matcher_raw_01.txt</x:v>
      </x:c>
      <x:c r="F23" s="49" t="str">
        <x:v>f7ed29f0bd98ac0e094b1c199d2e5ff82d749e8f36c6ade4452e69d596b34a29</x:v>
      </x:c>
      <x:c r="G23" s="60" t="n">
        <x:v>380</x:v>
      </x:c>
    </x:row>
  </x:sheetData>
  <x:pageMargins left="0.7" right="0.7" top="0.75" bottom="0.75" header="0.3" footer="0.3"/>
  <x:tableParts count="1">
    <x:tablePart xmlns:r="http://schemas.openxmlformats.org/officeDocument/2006/relationships" r:id="Rafdafb3bd29e4d87"/>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RUN-I2-051-20260830T210041393912Z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RUN-I2-051-20260830T210041393912Z</x:v>
      </x:c>
      <x:c r="B5" s="69" t="str">
        <x:v>I2-051</x:v>
      </x:c>
      <x:c r="C5" s="71" t="n">
        <x:v>2</x:v>
      </x:c>
      <x:c r="D5" s="69" t="str">
        <x:v>TERM_RESOLUTION_UNRESOLVED</x:v>
      </x:c>
      <x:c r="E5" s="73" t="str">
        <x:v>No supplied candidate is semantically supported: longitudinalDistributionFactor is a ship-owned quantity property and does not provide the required calculation-case-position pairing path, while calculationCase and ship are classes rather than the needed cross-owner relationship or property.</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f1b53cf5ebd146a6"/>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RUN-I2-051-20260830T210041393912Z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4" t="str">
        <x:v>No records for this run.</x:v>
      </x:c>
      <x:c r="B5" s="21"/>
      <x:c r="C5" s="21"/>
      <x:c r="D5" s="21"/>
      <x:c r="E5" s="21"/>
      <x:c r="F5" s="21"/>
    </x:row>
  </x:sheetData>
  <x:pageMargins left="0.7" right="0.7" top="0.75" bottom="0.75" header="0.3" footer="0.3"/>
</x:worksheet>
</file>