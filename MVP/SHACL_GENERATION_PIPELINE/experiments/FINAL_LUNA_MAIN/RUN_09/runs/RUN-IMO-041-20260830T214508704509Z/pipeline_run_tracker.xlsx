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66479ad5554d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be75e8c65974553"/>
    <x:sheet xmlns:r="http://schemas.openxmlformats.org/officeDocument/2006/relationships" name="README" sheetId="2" r:id="R17ac8e2275d843c7"/>
    <x:sheet xmlns:r="http://schemas.openxmlformats.org/officeDocument/2006/relationships" name="REGULATION_QUEUE" sheetId="3" r:id="R716102cbacf448eb"/>
    <x:sheet xmlns:r="http://schemas.openxmlformats.org/officeDocument/2006/relationships" name="RUNS" sheetId="4" r:id="R144d3231dc0c4282"/>
    <x:sheet xmlns:r="http://schemas.openxmlformats.org/officeDocument/2006/relationships" name="ITERATIONS" sheetId="5" r:id="R1157bec6170a4ffe"/>
    <x:sheet xmlns:r="http://schemas.openxmlformats.org/officeDocument/2006/relationships" name="API_CALLS" sheetId="6" r:id="R18bfb408b6d24cf1"/>
    <x:sheet xmlns:r="http://schemas.openxmlformats.org/officeDocument/2006/relationships" name="TERM_RETRIEVAL" sheetId="7" r:id="Reee957d5c3f44391"/>
    <x:sheet xmlns:r="http://schemas.openxmlformats.org/officeDocument/2006/relationships" name="FEW_SHOT_SELECTION" sheetId="8" r:id="Rdc8d252850474a08"/>
    <x:sheet xmlns:r="http://schemas.openxmlformats.org/officeDocument/2006/relationships" name="VALIDATION" sheetId="9" r:id="R157496717c0347b7"/>
    <x:sheet xmlns:r="http://schemas.openxmlformats.org/officeDocument/2006/relationships" name="VOCAB_MATCHES" sheetId="10" r:id="Ra50481d0aa1a418a"/>
    <x:sheet xmlns:r="http://schemas.openxmlformats.org/officeDocument/2006/relationships" name="ARTIFACTS" sheetId="11" r:id="R677dee30bb1e496d"/>
    <x:sheet xmlns:r="http://schemas.openxmlformats.org/officeDocument/2006/relationships" name="UNRESOLVED" sheetId="12" r:id="Rf74d8bdffe494804"/>
    <x:sheet xmlns:r="http://schemas.openxmlformats.org/officeDocument/2006/relationships" name="RDF_TEST_QUEUE" sheetId="13" r:id="R2c980619639a46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2669ebf65541b1" /><Relationship Type="http://schemas.openxmlformats.org/officeDocument/2006/relationships/theme" Target="/xl/theme/theme1.xml" Id="Rad96cc8b023847e1" /><Relationship Type="http://schemas.microsoft.com/office/2022/11/relationships/FeaturePropertyBag" Target="/xl/featurePropertyBag/featurePropertyBag.xml" Id="Ree9523aece2c4e9b" /><Relationship Type="http://schemas.openxmlformats.org/officeDocument/2006/relationships/sharedStrings" Target="/xl/sharedStrings.xml" Id="R350a29d3a4e64ce6" /><Relationship Type="http://schemas.openxmlformats.org/officeDocument/2006/relationships/worksheet" Target="/xl/worksheets/sheet1.xml" Id="R5be75e8c65974553" /><Relationship Type="http://schemas.openxmlformats.org/officeDocument/2006/relationships/worksheet" Target="/xl/worksheets/sheet2.xml" Id="R17ac8e2275d843c7" /><Relationship Type="http://schemas.openxmlformats.org/officeDocument/2006/relationships/worksheet" Target="/xl/worksheets/sheet3.xml" Id="R716102cbacf448eb" /><Relationship Type="http://schemas.openxmlformats.org/officeDocument/2006/relationships/worksheet" Target="/xl/worksheets/sheet4.xml" Id="R144d3231dc0c4282" /><Relationship Type="http://schemas.openxmlformats.org/officeDocument/2006/relationships/worksheet" Target="/xl/worksheets/sheet5.xml" Id="R1157bec6170a4ffe" /><Relationship Type="http://schemas.openxmlformats.org/officeDocument/2006/relationships/worksheet" Target="/xl/worksheets/sheet6.xml" Id="R18bfb408b6d24cf1" /><Relationship Type="http://schemas.openxmlformats.org/officeDocument/2006/relationships/worksheet" Target="/xl/worksheets/sheet7.xml" Id="Reee957d5c3f44391" /><Relationship Type="http://schemas.openxmlformats.org/officeDocument/2006/relationships/worksheet" Target="/xl/worksheets/sheet8.xml" Id="Rdc8d252850474a08" /><Relationship Type="http://schemas.openxmlformats.org/officeDocument/2006/relationships/worksheet" Target="/xl/worksheets/sheet9.xml" Id="R157496717c0347b7" /><Relationship Type="http://schemas.openxmlformats.org/officeDocument/2006/relationships/worksheet" Target="/xl/worksheets/sheet10.xml" Id="Ra50481d0aa1a418a" /><Relationship Type="http://schemas.openxmlformats.org/officeDocument/2006/relationships/worksheet" Target="/xl/worksheets/sheet11.xml" Id="R677dee30bb1e496d" /><Relationship Type="http://schemas.openxmlformats.org/officeDocument/2006/relationships/worksheet" Target="/xl/worksheets/sheet12.xml" Id="Rf74d8bdffe494804" /><Relationship Type="http://schemas.openxmlformats.org/officeDocument/2006/relationships/worksheet" Target="/xl/worksheets/sheet13.xml" Id="R2c980619639a46f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765b0abfef74c2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6e0a82c809b49f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5f40970025147f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17aeba7d7d49431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8d9c84820bb541a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47fd3b85b80e4c9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6a3f0257a9d1453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aaa8a89d43334f7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5f0a182062b2474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RUN-IMO-041-20260830T214508704509Z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4388.9421250000005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RUN-IMO-041-20260830T214508704509Z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765b0abfef74c2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RUN-IMO-041-20260830T214508704509Z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SYNTAX_REPAIR_EXHAUSTED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e0a82c809b49f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RUN-IMO-041-20260830T214508704509Z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RUN-IMO-041-20260830T214508704509Z</x:v>
      </x:c>
      <x:c r="C5" s="69" t="str">
        <x:v>IMO-041</x:v>
      </x:c>
      <x:c r="D5" s="70" t="n">
        <x:v>46264.90635075232</x:v>
      </x:c>
      <x:c r="E5" s="70" t="n">
        <x:v>46264.90655422454</x:v>
      </x:c>
      <x:c r="F5" s="69" t="str">
        <x:v>final-luna-main-run09</x:v>
      </x:c>
      <x:c r="G5" s="69" t="str">
        <x:v>VOCAB-LOCK-2026-08-22-R13</x:v>
      </x:c>
      <x:c r="H5" s="71" t="n">
        <x:v>0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Generator response must contain exactly one BEGIN_SHACL and END_SHACL marker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f40970025147f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RUN-IMO-041-20260830T214508704509Z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RUN-IMO-041-20260830T214508704509Z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RUN-IMO-041-20260830T214508704509Z</x:v>
      </x:c>
      <x:c r="C5" s="45" t="str">
        <x:v>IMO-041</x:v>
      </x:c>
      <x:c r="D5" s="88" t="n">
        <x:v>46264.90647241898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10510.651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RUN-IMO-041-20260830T214508704509Z</x:v>
      </x:c>
      <x:c r="C6" s="47" t="str">
        <x:v>IMO-041</x:v>
      </x:c>
      <x:c r="D6" s="91" t="n">
        <x:v>46264.90647243056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10511.797</x:v>
      </x:c>
      <x:c r="L6" s="93" t="b">
        <x:v>0</x:v>
      </x:c>
      <x:c r="M6" s="47" t="str">
        <x:v>resp_05f4e41449d22213006a94a464cda881968700137ecc9f1ab1</x:v>
      </x:c>
      <x:c r="N6" s="59" t="n">
        <x:v>5126</x:v>
      </x:c>
      <x:c r="O6" s="59" t="n">
        <x:v>1328</x:v>
      </x:c>
      <x:c r="P6" s="59" t="n">
        <x:v>6454</x:v>
      </x:c>
    </x:row>
    <x:row r="7">
      <x:c r="A7" s="47" t="str">
        <x:v>EVT-000018</x:v>
      </x:c>
      <x:c r="B7" s="47" t="str">
        <x:v>RUN-IMO-041-20260830T214508704509Z</x:v>
      </x:c>
      <x:c r="C7" s="47" t="str">
        <x:v>IMO-041</x:v>
      </x:c>
      <x:c r="D7" s="91" t="n">
        <x:v>46264.90649728009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2142.287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EVT-000019</x:v>
      </x:c>
      <x:c r="B8" s="47" t="str">
        <x:v>RUN-IMO-041-20260830T214508704509Z</x:v>
      </x:c>
      <x:c r="C8" s="47" t="str">
        <x:v>IMO-041</x:v>
      </x:c>
      <x:c r="D8" s="91" t="n">
        <x:v>46264.906497303244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2143.791</x:v>
      </x:c>
      <x:c r="L8" s="93" t="b">
        <x:v>0</x:v>
      </x:c>
      <x:c r="M8" s="47" t="str">
        <x:v>resp_003a247f693346a2006a94a46f4fec8193ad0fc24a27e33390</x:v>
      </x:c>
      <x:c r="N8" s="59" t="n">
        <x:v>627</x:v>
      </x:c>
      <x:c r="O8" s="59" t="n">
        <x:v>369</x:v>
      </x:c>
      <x:c r="P8" s="59" t="n">
        <x:v>996</x:v>
      </x:c>
    </x:row>
    <x:row r="9">
      <x:c r="A9" s="47" t="str">
        <x:v>EVT-000025</x:v>
      </x:c>
      <x:c r="B9" s="47" t="str">
        <x:v>RUN-IMO-041-20260830T214508704509Z</x:v>
      </x:c>
      <x:c r="C9" s="47" t="str">
        <x:v>IMO-041</x:v>
      </x:c>
      <x:c r="D9" s="91" t="n">
        <x:v>46264.90652452546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2347.381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EVT-000026</x:v>
      </x:c>
      <x:c r="B10" s="47" t="str">
        <x:v>RUN-IMO-041-20260830T214508704509Z</x:v>
      </x:c>
      <x:c r="C10" s="47" t="str">
        <x:v>IMO-041</x:v>
      </x:c>
      <x:c r="D10" s="91" t="n">
        <x:v>46264.90652453704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2348.487</x:v>
      </x:c>
      <x:c r="L10" s="93" t="b">
        <x:v>0</x:v>
      </x:c>
      <x:c r="M10" s="47" t="str">
        <x:v>resp_081af8362f9d1d8d006a94a47175e48196b2daa1c4f7e07ee1</x:v>
      </x:c>
      <x:c r="N10" s="59" t="n">
        <x:v>627</x:v>
      </x:c>
      <x:c r="O10" s="59" t="n">
        <x:v>393</x:v>
      </x:c>
      <x:c r="P10" s="59" t="n">
        <x:v>1020</x:v>
      </x:c>
    </x:row>
    <x:row r="11">
      <x:c r="A11" s="47" t="str">
        <x:v>EVT-000032</x:v>
      </x:c>
      <x:c r="B11" s="47" t="str">
        <x:v>RUN-IMO-041-20260830T214508704509Z</x:v>
      </x:c>
      <x:c r="C11" s="47" t="str">
        <x:v>IMO-041</x:v>
      </x:c>
      <x:c r="D11" s="91" t="n">
        <x:v>46264.906554155095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2553.053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EVT-000033</x:v>
      </x:c>
      <x:c r="B12" s="49" t="str">
        <x:v>RUN-IMO-041-20260830T214508704509Z</x:v>
      </x:c>
      <x:c r="C12" s="49" t="str">
        <x:v>IMO-041</x:v>
      </x:c>
      <x:c r="D12" s="94" t="n">
        <x:v>46264.906554166664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2554.09</x:v>
      </x:c>
      <x:c r="L12" s="96" t="b">
        <x:v>0</x:v>
      </x:c>
      <x:c r="M12" s="49" t="str">
        <x:v>resp_085a87cab1210dc1006a94a473d3b88190962499dc2dd792d0</x:v>
      </x:c>
      <x:c r="N12" s="60" t="n">
        <x:v>627</x:v>
      </x:c>
      <x:c r="O12" s="60" t="n">
        <x:v>389</x:v>
      </x:c>
      <x:c r="P12" s="60" t="n">
        <x:v>1016</x:v>
      </x:c>
    </x:row>
  </x:sheetData>
  <x:conditionalFormatting sqref="H5:H12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aeba7d7d49431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RUN-IMO-041-20260830T214508704509Z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RUN-IMO-041-20260830T214508704509Z</x:v>
      </x:c>
      <x:c r="B5" s="45" t="str">
        <x:v>IMO-041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hydraulicFluidFreezingOrViscosityControlPresent; domain dependency of openingActuationType</x:v>
      </x:c>
      <x:c r="J5" s="45" t="n">
        <x:v>0</x:v>
      </x:c>
    </x:row>
    <x:row r="6">
      <x:c r="A6" s="47" t="str">
        <x:v>RUN-IMO-041-20260830T214508704509Z</x:v>
      </x:c>
      <x:c r="B6" s="47" t="str">
        <x:v>IMO-041</x:v>
      </x:c>
      <x:c r="C6" s="47" t="str">
        <x:v>hydraulicFluidFreezingOrViscosityControlPresent</x:v>
      </x:c>
      <x:c r="D6" s="48" t="str">
        <x:v>https://w3id.org/nltl/vocab#hydraulicFluidFreezingOrViscosityControlPresent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RUN-IMO-041-20260830T214508704509Z</x:v>
      </x:c>
      <x:c r="B7" s="47" t="str">
        <x:v>IMO-041</x:v>
      </x:c>
      <x:c r="C7" s="47" t="str">
        <x:v>openingActuationType</x:v>
      </x:c>
      <x:c r="D7" s="48" t="str">
        <x:v>https://w3id.org/nltl/vocab#openingActuationType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RUN-IMO-041-20260830T214508704509Z</x:v>
      </x:c>
      <x:c r="B8" s="49" t="str">
        <x:v>IMO-041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d9c84820bb541a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RUN-IMO-041-20260830T214508704509Z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RUN-IMO-041-20260830T214508704509Z</x:v>
      </x:c>
      <x:c r="B5" s="45" t="str">
        <x:v>IMO-041</x:v>
      </x:c>
      <x:c r="C5" s="45" t="str">
        <x:v>FS-BOOL-01</x:v>
      </x:c>
      <x:c r="D5" s="45" t="str">
        <x:v>boolean_state</x:v>
      </x:c>
      <x:c r="E5" s="99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RUN-IMO-041-20260830T214508704509Z</x:v>
      </x:c>
      <x:c r="B6" s="49" t="str">
        <x:v>IMO-041</x:v>
      </x:c>
      <x:c r="C6" s="49" t="str">
        <x:v>FS-BOOL-02</x:v>
      </x:c>
      <x:c r="D6" s="49" t="str">
        <x:v>boolean_state</x:v>
      </x:c>
      <x:c r="E6" s="100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fd3b85b80e4c9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RUN-IMO-041-20260830T214508704509Z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RUN-IMO-041-20260830T214508704509Z</x:v>
      </x:c>
      <x:c r="B5" s="69" t="str">
        <x:v>IMO-041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a3f0257a9d1453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RUN-IMO-041-20260830T214508704509Z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RUN-IMO-041-20260830T214508704509Z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RUN-IMO-041-20260830T214508704509Z</x:v>
      </x:c>
      <x:c r="B5" s="45" t="str">
        <x:v>IMO-041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776708e3cc3a5a65a5ba5769fff4d7524deba51238aaa520a63c4f46c4e84568</x:v>
      </x:c>
      <x:c r="G5" s="58" t="n">
        <x:v>7776</x:v>
      </x:c>
    </x:row>
    <x:row r="6">
      <x:c r="A6" s="47" t="str">
        <x:v>RUN-IMO-041-20260830T214508704509Z</x:v>
      </x:c>
      <x:c r="B6" s="47" t="str">
        <x:v>IMO-041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RUN-IMO-041-20260830T214508704509Z</x:v>
      </x:c>
      <x:c r="B7" s="47" t="str">
        <x:v>IMO-041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cd7734acfde3b0627de41b272ec44d3709b41903a7fec1c668043bd858dc116c</x:v>
      </x:c>
      <x:c r="G7" s="59" t="n">
        <x:v>22400</x:v>
      </x:c>
    </x:row>
    <x:row r="8">
      <x:c r="A8" s="47" t="str">
        <x:v>RUN-IMO-041-20260830T214508704509Z</x:v>
      </x:c>
      <x:c r="B8" s="47" t="str">
        <x:v>IMO-041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fa4802283178f09df0b8db696e54665ca4619df82c28ec3beb163646f4e60a67</x:v>
      </x:c>
      <x:c r="G8" s="59" t="n">
        <x:v>1210</x:v>
      </x:c>
    </x:row>
    <x:row r="9">
      <x:c r="A9" s="47" t="str">
        <x:v>RUN-IMO-041-20260830T214508704509Z</x:v>
      </x:c>
      <x:c r="B9" s="47" t="str">
        <x:v>IMO-041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335b3f42ec8720cea8220f59bf26c1452c67bd2c2381325edb31671cf4170dfb</x:v>
      </x:c>
      <x:c r="G9" s="59" t="n">
        <x:v>2296</x:v>
      </x:c>
    </x:row>
    <x:row r="10">
      <x:c r="A10" s="47" t="str">
        <x:v>RUN-IMO-041-20260830T214508704509Z</x:v>
      </x:c>
      <x:c r="B10" s="47" t="str">
        <x:v>IMO-041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fa4802283178f09df0b8db696e54665ca4619df82c28ec3beb163646f4e60a67</x:v>
      </x:c>
      <x:c r="G10" s="59" t="n">
        <x:v>1210</x:v>
      </x:c>
    </x:row>
    <x:row r="11">
      <x:c r="A11" s="47" t="str">
        <x:v>RUN-IMO-041-20260830T214508704509Z</x:v>
      </x:c>
      <x:c r="B11" s="47" t="str">
        <x:v>IMO-041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335b3f42ec8720cea8220f59bf26c1452c67bd2c2381325edb31671cf4170dfb</x:v>
      </x:c>
      <x:c r="G11" s="59" t="n">
        <x:v>2296</x:v>
      </x:c>
    </x:row>
    <x:row r="12">
      <x:c r="A12" s="47" t="str">
        <x:v>RUN-IMO-041-20260830T214508704509Z</x:v>
      </x:c>
      <x:c r="B12" s="47" t="str">
        <x:v>IMO-041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fa4802283178f09df0b8db696e54665ca4619df82c28ec3beb163646f4e60a67</x:v>
      </x:c>
      <x:c r="G12" s="59" t="n">
        <x:v>1210</x:v>
      </x:c>
    </x:row>
    <x:row r="13">
      <x:c r="A13" s="47" t="str">
        <x:v>RUN-IMO-041-20260830T214508704509Z</x:v>
      </x:c>
      <x:c r="B13" s="47" t="str">
        <x:v>IMO-041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335b3f42ec8720cea8220f59bf26c1452c67bd2c2381325edb31671cf4170dfb</x:v>
      </x:c>
      <x:c r="G13" s="59" t="n">
        <x:v>2296</x:v>
      </x:c>
    </x:row>
    <x:row r="14">
      <x:c r="A14" s="47" t="str">
        <x:v>RUN-IMO-041-20260830T214508704509Z</x:v>
      </x:c>
      <x:c r="B14" s="47" t="str">
        <x:v>IMO-041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fa4802283178f09df0b8db696e54665ca4619df82c28ec3beb163646f4e60a67</x:v>
      </x:c>
      <x:c r="G14" s="59" t="n">
        <x:v>1210</x:v>
      </x:c>
    </x:row>
    <x:row r="15">
      <x:c r="A15" s="49" t="str">
        <x:v>RUN-IMO-041-20260830T214508704509Z</x:v>
      </x:c>
      <x:c r="B15" s="49" t="str">
        <x:v>IMO-041</x:v>
      </x:c>
      <x:c r="C15" s="60" t="n">
        <x:v>1</x:v>
      </x:c>
      <x:c r="D15" s="49" t="str">
        <x:v>deterministic_validation</x:v>
      </x:c>
      <x:c r="E15" s="50" t="str">
        <x:v>artifacts/attempt_01/deterministic_validation.json</x:v>
      </x:c>
      <x:c r="F15" s="49" t="str">
        <x:v>e38cfff55beb414ae0a72b9bfb338250bd6dfc919f12dcecb98eb1ca4a735aba</x:v>
      </x:c>
      <x:c r="G15" s="60" t="n">
        <x:v>481</x:v>
      </x:c>
    </x:row>
  </x:sheetData>
  <x:pageMargins left="0.7" right="0.7" top="0.75" bottom="0.75" header="0.3" footer="0.3"/>
  <x:tableParts count="1">
    <x:tablePart xmlns:r="http://schemas.openxmlformats.org/officeDocument/2006/relationships" r:id="Raaa8a89d43334f7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RUN-IMO-041-20260830T214508704509Z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RUN-IMO-041-20260830T214508704509Z</x:v>
      </x:c>
      <x:c r="B5" s="69" t="str">
        <x:v>IMO-041</x:v>
      </x:c>
      <x:c r="C5" s="71" t="n">
        <x:v>1</x:v>
      </x:c>
      <x:c r="D5" s="69" t="str">
        <x:v>SYNTAX_REPAIR_EXHAUSTED</x:v>
      </x:c>
      <x:c r="E5" s="73" t="str">
        <x:v>Syntax-only repair budget exhausted before semantic validation: Generator response must contain exactly one BEGIN_SHACL and END_SHACL marker</x:v>
      </x:c>
      <x:c r="F5" s="69" t="str">
        <x:v>OPEN</x:v>
      </x:c>
    </x:row>
  </x:sheetData>
  <x:conditionalFormatting sqref="F5:F5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0a182062b2474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RUN-IMO-041-20260830T214508704509Z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