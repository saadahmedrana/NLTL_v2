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68c6701ffc74dfb" /></Relationships>
</file>

<file path=xl/workbook.xml><?xml version="1.0" encoding="utf-8"?>
<x:workbook xmlns:x="http://schemas.openxmlformats.org/spreadsheetml/2006/main">
  <x:sheets>
    <x:sheet xmlns:r="http://schemas.openxmlformats.org/officeDocument/2006/relationships" name="SUMMARY" sheetId="1" r:id="R72146860650f4c5e"/>
    <x:sheet xmlns:r="http://schemas.openxmlformats.org/officeDocument/2006/relationships" name="README" sheetId="2" r:id="Ra09a23bc7c844207"/>
    <x:sheet xmlns:r="http://schemas.openxmlformats.org/officeDocument/2006/relationships" name="REGULATION_QUEUE" sheetId="3" r:id="R983ddf1d448e4a23"/>
    <x:sheet xmlns:r="http://schemas.openxmlformats.org/officeDocument/2006/relationships" name="RUNS" sheetId="4" r:id="R31e847b6eb714bae"/>
    <x:sheet xmlns:r="http://schemas.openxmlformats.org/officeDocument/2006/relationships" name="ITERATIONS" sheetId="5" r:id="R4f484cc2cffb449d"/>
    <x:sheet xmlns:r="http://schemas.openxmlformats.org/officeDocument/2006/relationships" name="API_CALLS" sheetId="6" r:id="R34024d2669534ac1"/>
    <x:sheet xmlns:r="http://schemas.openxmlformats.org/officeDocument/2006/relationships" name="TERM_RETRIEVAL" sheetId="7" r:id="R84c482163b4c436b"/>
    <x:sheet xmlns:r="http://schemas.openxmlformats.org/officeDocument/2006/relationships" name="FEW_SHOT_SELECTION" sheetId="8" r:id="Rc54c2ee8a5de4bdb"/>
    <x:sheet xmlns:r="http://schemas.openxmlformats.org/officeDocument/2006/relationships" name="VALIDATION" sheetId="9" r:id="Re2d39b8fa6124f40"/>
    <x:sheet xmlns:r="http://schemas.openxmlformats.org/officeDocument/2006/relationships" name="VOCAB_MATCHES" sheetId="10" r:id="R7a7591f4631b48b9"/>
    <x:sheet xmlns:r="http://schemas.openxmlformats.org/officeDocument/2006/relationships" name="ARTIFACTS" sheetId="11" r:id="R435c844748304b98"/>
    <x:sheet xmlns:r="http://schemas.openxmlformats.org/officeDocument/2006/relationships" name="UNRESOLVED" sheetId="12" r:id="R0606e9e3744d44c7"/>
    <x:sheet xmlns:r="http://schemas.openxmlformats.org/officeDocument/2006/relationships" name="RDF_TEST_QUEUE" sheetId="13" r:id="Rdbd5798823b9462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c70d48ac3f243ed" /><Relationship Type="http://schemas.openxmlformats.org/officeDocument/2006/relationships/theme" Target="/xl/theme/theme1.xml" Id="R266bbb861c9a4dbd" /><Relationship Type="http://schemas.microsoft.com/office/2022/11/relationships/FeaturePropertyBag" Target="/xl/featurePropertyBag/featurePropertyBag.xml" Id="R388717c5996b4c48" /><Relationship Type="http://schemas.openxmlformats.org/officeDocument/2006/relationships/sharedStrings" Target="/xl/sharedStrings.xml" Id="Rbea840f80aae48f6" /><Relationship Type="http://schemas.openxmlformats.org/officeDocument/2006/relationships/worksheet" Target="/xl/worksheets/sheet1.xml" Id="R72146860650f4c5e" /><Relationship Type="http://schemas.openxmlformats.org/officeDocument/2006/relationships/worksheet" Target="/xl/worksheets/sheet2.xml" Id="Ra09a23bc7c844207" /><Relationship Type="http://schemas.openxmlformats.org/officeDocument/2006/relationships/worksheet" Target="/xl/worksheets/sheet3.xml" Id="R983ddf1d448e4a23" /><Relationship Type="http://schemas.openxmlformats.org/officeDocument/2006/relationships/worksheet" Target="/xl/worksheets/sheet4.xml" Id="R31e847b6eb714bae" /><Relationship Type="http://schemas.openxmlformats.org/officeDocument/2006/relationships/worksheet" Target="/xl/worksheets/sheet5.xml" Id="R4f484cc2cffb449d" /><Relationship Type="http://schemas.openxmlformats.org/officeDocument/2006/relationships/worksheet" Target="/xl/worksheets/sheet6.xml" Id="R34024d2669534ac1" /><Relationship Type="http://schemas.openxmlformats.org/officeDocument/2006/relationships/worksheet" Target="/xl/worksheets/sheet7.xml" Id="R84c482163b4c436b" /><Relationship Type="http://schemas.openxmlformats.org/officeDocument/2006/relationships/worksheet" Target="/xl/worksheets/sheet8.xml" Id="Rc54c2ee8a5de4bdb" /><Relationship Type="http://schemas.openxmlformats.org/officeDocument/2006/relationships/worksheet" Target="/xl/worksheets/sheet9.xml" Id="Re2d39b8fa6124f40" /><Relationship Type="http://schemas.openxmlformats.org/officeDocument/2006/relationships/worksheet" Target="/xl/worksheets/sheet10.xml" Id="R7a7591f4631b48b9" /><Relationship Type="http://schemas.openxmlformats.org/officeDocument/2006/relationships/worksheet" Target="/xl/worksheets/sheet11.xml" Id="R435c844748304b98" /><Relationship Type="http://schemas.openxmlformats.org/officeDocument/2006/relationships/worksheet" Target="/xl/worksheets/sheet12.xml" Id="R0606e9e3744d44c7" /><Relationship Type="http://schemas.openxmlformats.org/officeDocument/2006/relationships/worksheet" Target="/xl/worksheets/sheet13.xml" Id="Rdbd5798823b9462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5796c27725a465b" /></Relationships>
</file>

<file path=xl/worksheets/_rels/sheet3.xml.rels>&#65279;<?xml version="1.0" encoding="utf-8"?><Relationships xmlns="http://schemas.openxmlformats.org/package/2006/relationships"><Relationship Type="http://schemas.openxmlformats.org/officeDocument/2006/relationships/table" Target="/xl/tables/table2.xml" Id="R8979623c952c4e46" /></Relationships>
</file>

<file path=xl/worksheets/_rels/sheet4.xml.rels>&#65279;<?xml version="1.0" encoding="utf-8"?><Relationships xmlns="http://schemas.openxmlformats.org/package/2006/relationships"><Relationship Type="http://schemas.openxmlformats.org/officeDocument/2006/relationships/table" Target="/xl/tables/table3.xml" Id="R842c19d55bc04e24" /></Relationships>
</file>

<file path=xl/worksheets/_rels/sheet5.xml.rels>&#65279;<?xml version="1.0" encoding="utf-8"?><Relationships xmlns="http://schemas.openxmlformats.org/package/2006/relationships"><Relationship Type="http://schemas.openxmlformats.org/officeDocument/2006/relationships/table" Target="/xl/tables/table4.xml" Id="R858a9e9906474db8" /></Relationships>
</file>

<file path=xl/worksheets/_rels/sheet6.xml.rels>&#65279;<?xml version="1.0" encoding="utf-8"?><Relationships xmlns="http://schemas.openxmlformats.org/package/2006/relationships"><Relationship Type="http://schemas.openxmlformats.org/officeDocument/2006/relationships/table" Target="/xl/tables/table5.xml" Id="R69c29472b4964a0b" /></Relationships>
</file>

<file path=xl/worksheets/_rels/sheet7.xml.rels>&#65279;<?xml version="1.0" encoding="utf-8"?><Relationships xmlns="http://schemas.openxmlformats.org/package/2006/relationships"><Relationship Type="http://schemas.openxmlformats.org/officeDocument/2006/relationships/table" Target="/xl/tables/table6.xml" Id="Radbe0c566900450e" /></Relationships>
</file>

<file path=xl/worksheets/_rels/sheet8.xml.rels>&#65279;<?xml version="1.0" encoding="utf-8"?><Relationships xmlns="http://schemas.openxmlformats.org/package/2006/relationships"><Relationship Type="http://schemas.openxmlformats.org/officeDocument/2006/relationships/table" Target="/xl/tables/table7.xml" Id="Ra7f3e5ed030648fa" /></Relationships>
</file>

<file path=xl/worksheets/_rels/sheet9.xml.rels>&#65279;<?xml version="1.0" encoding="utf-8"?><Relationships xmlns="http://schemas.openxmlformats.org/package/2006/relationships"><Relationship Type="http://schemas.openxmlformats.org/officeDocument/2006/relationships/table" Target="/xl/tables/table8.xml" Id="R3a4a64c9c27e44c5" /></Relationships>
</file>

<file path=xl/worksheets/_rels/sheet10.xml.rels>&#65279;<?xml version="1.0" encoding="utf-8"?><Relationships xmlns="http://schemas.openxmlformats.org/package/2006/relationships"><Relationship Type="http://schemas.openxmlformats.org/officeDocument/2006/relationships/table" Target="/xl/tables/table9.xml" Id="Rb64ad16e24f64674" /></Relationships>
</file>

<file path=xl/worksheets/_rels/sheet11.xml.rels>&#65279;<?xml version="1.0" encoding="utf-8"?><Relationships xmlns="http://schemas.openxmlformats.org/package/2006/relationships"><Relationship Type="http://schemas.openxmlformats.org/officeDocument/2006/relationships/table" Target="/xl/tables/table10.xml" Id="R98be1ca024b246bc" /></Relationships>
</file>

<file path=xl/worksheets/_rels/sheet12.xml.rels>&#65279;<?xml version="1.0" encoding="utf-8"?><Relationships xmlns="http://schemas.openxmlformats.org/package/2006/relationships"><Relationship Type="http://schemas.openxmlformats.org/officeDocument/2006/relationships/table" Target="/xl/tables/table11.xml" Id="Rf04a7f4c7ced4ad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RUN-IMO-075-20260830T220419080696Z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COUNTA('API_CALLS'!$A$5:$A$14)</x:f>
        <x:v>10</x:v>
      </x:c>
      <x:c r="C9" s="21"/>
      <x:c r="D9" s="21"/>
    </x:row>
    <x:row r="10">
      <x:c r="A10" s="27" t="str">
        <x:v>Mean API/LLM elapsed ms</x:v>
      </x:c>
      <x:c r="B10" s="28" t="n">
        <x:f>IFERROR(AVERAGE('API_CALLS'!$K$5:$K$14),0)</x:f>
        <x:v>9568.2776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RUN-IMO-075-20260830T220419080696Z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5796c27725a465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RUN-IMO-075-20260830T220419080696Z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TERM_RESOLUTION_UNRESOLVED</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979623c952c4e4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RUN-IMO-075-20260830T220419080696Z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RUN-IMO-075-20260830T220419080696Z</x:v>
      </x:c>
      <x:c r="C5" s="69" t="str">
        <x:v>IMO-075</x:v>
      </x:c>
      <x:c r="D5" s="70" t="n">
        <x:v>46264.91966528935</x:v>
      </x:c>
      <x:c r="E5" s="70" t="n">
        <x:v>46264.92023740741</x:v>
      </x:c>
      <x:c r="F5" s="69" t="str">
        <x:v>final-luna-main-run09</x:v>
      </x:c>
      <x:c r="G5" s="69" t="str">
        <x:v>VOCAB-LOCK-2026-08-22-R13</x:v>
      </x:c>
      <x:c r="H5" s="71" t="n">
        <x:v>2</x:v>
      </x:c>
      <x:c r="I5" s="69" t="str">
        <x:v>TERM_RESOLUTION_UNRESOLVED</x:v>
      </x:c>
      <x:c r="J5" s="72" t="b">
        <x:v>0</x:v>
      </x:c>
      <x:c r="K5" s="69" t="str"/>
      <x:c r="L5" s="73" t="str">
        <x:v>Repair before freezing. Preserve the existing ship target, applicability branch, accessibility assertion, capacity comparison direction, owners, datatypes, and metre unit. Replace the current presence-only storage-distance constraint and message with an actual check of the source condition that the equipment location is as close as practical to the muster or embarkation stations; this requires locating the appropriate canonical location/evidence relationship term if none is supplied. Also encode the 110% ceiling explicitly using permitted DIRECT_CALCULATION arithmetic or an equivalent bounded piecewise encoding (for example, compare integer capacity after scaling by 100 against personsOnBoard multiplied by 110), rather than relying on an implicit decimal comparison.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42c19d55bc04e2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RUN-IMO-075-20260830T220419080696Z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RUN-IMO-075-20260830T220419080696Z</x:v>
      </x:c>
      <x:c r="B5" s="45" t="str">
        <x:v>IMO-075</x:v>
      </x:c>
      <x:c r="C5" s="58" t="n">
        <x:v>1</x:v>
      </x:c>
      <x:c r="D5" s="80" t="b">
        <x:v>1</x:v>
      </x:c>
      <x:c r="E5" s="80" t="b">
        <x:v>0</x:v>
      </x:c>
      <x:c r="F5" s="80" t="b">
        <x:v>0</x:v>
      </x:c>
      <x:c r="G5" s="45" t="str">
        <x:v>REVISE</x:v>
      </x:c>
      <x:c r="H5" s="46" t="str">
        <x:v>Repair the candidate before freezing: encode the declared storageDistanceToMusterOrEmbarkation requirement on the ship with its canonical QuantityValue datatype and metre unit, and constrain it according to the source's “as close as practical to the muster or embarkation stations” condition; do not omit this indexed canonical term. Also replace the unsupported CEIL expression: DIRECT_CALCULATION permits only the registered arithmetic, comparisons, min/max, simple piecewise branches, integer powers, fixed constants, and table lookup/selection, so implement the ceiling result using an allowed bounded formula/table or other permitted piecewise encoding rather than SPARQL CEIL. Preserve the existing applicability, capacity comparison direction, accessibility assertion, owners, and datatypes.</x:v>
      </x:c>
      <x:c r="I5" s="81" t="n">
        <x:v>13077.635</x:v>
      </x:c>
      <x:c r="J5" s="81" t="n">
        <x:v>7176.078</x:v>
      </x:c>
    </x:row>
    <x:row r="6">
      <x:c r="A6" s="49" t="str">
        <x:v>RUN-IMO-075-20260830T220419080696Z</x:v>
      </x:c>
      <x:c r="B6" s="49" t="str">
        <x:v>IMO-075</x:v>
      </x:c>
      <x:c r="C6" s="60" t="n">
        <x:v>2</x:v>
      </x:c>
      <x:c r="D6" s="82" t="b">
        <x:v>1</x:v>
      </x:c>
      <x:c r="E6" s="82" t="b">
        <x:v>0</x:v>
      </x:c>
      <x:c r="F6" s="82" t="b">
        <x:v>1</x:v>
      </x:c>
      <x:c r="G6" s="49" t="str">
        <x:v>STOP_TERM_RESOLUTION</x:v>
      </x:c>
      <x:c r="H6" s="50" t="str">
        <x:v>Repair before freezing. Preserve the existing ship target, applicability branch, accessibility assertion, capacity comparison direction, owners, datatypes, and metre unit. Replace the current presence-only storage-distance constraint and message with an actual check of the source condition that the equipment location is as close as practical to the muster or embarkation stations; this requires locating the appropriate canonical location/evidence relationship term if none is supplied. Also encode the 110% ceiling explicitly using permitted DIRECT_CALCULATION arithmetic or an equivalent bounded piecewise encoding (for example, compare integer capacity after scaling by 100 against personsOnBoard multiplied by 110), rather than relying on an implicit decimal comparison.</x:v>
      </x:c>
      <x:c r="I6" s="83" t="n">
        <x:v>13295.449</x:v>
      </x:c>
      <x:c r="J6" s="83" t="n">
        <x:v>12499.14</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58a9e9906474db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RUN-IMO-075-20260830T220419080696Z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RUN-IMO-075-20260830T220419080696Z</x:v>
      </x:c>
      <x:c r="C5" s="45" t="str">
        <x:v>IMO-075</x:v>
      </x:c>
      <x:c r="D5" s="90" t="n">
        <x:v>46264.919816643516</x:v>
      </x:c>
      <x:c r="E5" s="45" t="str">
        <x:v>generator</x:v>
      </x:c>
      <x:c r="F5" s="45" t="str">
        <x:v>gpt-5.6-luna-2026-07-09</x:v>
      </x:c>
      <x:c r="G5" s="45" t="n">
        <x:v>1</x:v>
      </x:c>
      <x:c r="H5" s="45" t="n">
        <x:v>200</x:v>
      </x:c>
      <x:c r="I5" s="45" t="str">
        <x:v>Ocp-Apim-Subscription-Key</x:v>
      </x:c>
      <x:c r="J5" s="81" t="n">
        <x:v>0</x:v>
      </x:c>
      <x:c r="K5" s="81" t="n">
        <x:v>13075.847</x:v>
      </x:c>
      <x:c r="L5" s="80" t="b">
        <x:v>0</x:v>
      </x:c>
      <x:c r="M5" s="45" t="str"/>
      <x:c r="N5" s="58" t="str"/>
      <x:c r="O5" s="58" t="str"/>
      <x:c r="P5" s="58" t="str"/>
    </x:row>
    <x:row r="6">
      <x:c r="A6" s="47" t="str">
        <x:v>EVT-000016</x:v>
      </x:c>
      <x:c r="B6" s="47" t="str">
        <x:v>RUN-IMO-075-20260830T220419080696Z</x:v>
      </x:c>
      <x:c r="C6" s="47" t="str">
        <x:v>IMO-075</x:v>
      </x:c>
      <x:c r="D6" s="91" t="n">
        <x:v>46264.91981666667</x:v>
      </x:c>
      <x:c r="E6" s="47" t="str">
        <x:v>generator</x:v>
      </x:c>
      <x:c r="F6" s="47" t="str">
        <x:v>gpt-5.6-luna-2026-07-09</x:v>
      </x:c>
      <x:c r="G6" s="47" t="n">
        <x:v>1</x:v>
      </x:c>
      <x:c r="H6" s="47" t="str">
        <x:v>COMPLETED</x:v>
      </x:c>
      <x:c r="I6" s="47" t="str"/>
      <x:c r="J6" s="92" t="n">
        <x:v>0</x:v>
      </x:c>
      <x:c r="K6" s="92" t="n">
        <x:v>13077.635</x:v>
      </x:c>
      <x:c r="L6" s="93" t="b">
        <x:v>0</x:v>
      </x:c>
      <x:c r="M6" s="47" t="str">
        <x:v>resp_026f6969062d6e4a006a94a8e32c088195a823559802337f7a</x:v>
      </x:c>
      <x:c r="N6" s="59" t="n">
        <x:v>6603</x:v>
      </x:c>
      <x:c r="O6" s="59" t="n">
        <x:v>1691</x:v>
      </x:c>
      <x:c r="P6" s="59" t="n">
        <x:v>8294</x:v>
      </x:c>
    </x:row>
    <x:row r="7">
      <x:c r="A7" s="47" t="str">
        <x:v>EVT-000023</x:v>
      </x:c>
      <x:c r="B7" s="47" t="str">
        <x:v>RUN-IMO-075-20260830T220419080696Z</x:v>
      </x:c>
      <x:c r="C7" s="47" t="str">
        <x:v>IMO-075</x:v>
      </x:c>
      <x:c r="D7" s="91" t="n">
        <x:v>46264.91990094908</x:v>
      </x:c>
      <x:c r="E7" s="47" t="str">
        <x:v>validator</x:v>
      </x:c>
      <x:c r="F7" s="47" t="str">
        <x:v>gpt-5.6-luna-2026-07-09</x:v>
      </x:c>
      <x:c r="G7" s="47" t="n">
        <x:v>1</x:v>
      </x:c>
      <x:c r="H7" s="47" t="n">
        <x:v>200</x:v>
      </x:c>
      <x:c r="I7" s="47" t="str">
        <x:v>Ocp-Apim-Subscription-Key</x:v>
      </x:c>
      <x:c r="J7" s="92" t="n">
        <x:v>0</x:v>
      </x:c>
      <x:c r="K7" s="92" t="n">
        <x:v>7174.599</x:v>
      </x:c>
      <x:c r="L7" s="93" t="b">
        <x:v>0</x:v>
      </x:c>
      <x:c r="M7" s="47" t="str"/>
      <x:c r="N7" s="59" t="str"/>
      <x:c r="O7" s="59" t="str"/>
      <x:c r="P7" s="59" t="str"/>
    </x:row>
    <x:row r="8">
      <x:c r="A8" s="47" t="str">
        <x:v>EVT-000024</x:v>
      </x:c>
      <x:c r="B8" s="47" t="str">
        <x:v>RUN-IMO-075-20260830T220419080696Z</x:v>
      </x:c>
      <x:c r="C8" s="47" t="str">
        <x:v>IMO-075</x:v>
      </x:c>
      <x:c r="D8" s="91" t="n">
        <x:v>46264.91990097222</x:v>
      </x:c>
      <x:c r="E8" s="47" t="str">
        <x:v>validator</x:v>
      </x:c>
      <x:c r="F8" s="47" t="str">
        <x:v>gpt-5.6-luna-2026-07-09</x:v>
      </x:c>
      <x:c r="G8" s="47" t="n">
        <x:v>1</x:v>
      </x:c>
      <x:c r="H8" s="47" t="str">
        <x:v>COMPLETED</x:v>
      </x:c>
      <x:c r="I8" s="47" t="str"/>
      <x:c r="J8" s="92" t="n">
        <x:v>0</x:v>
      </x:c>
      <x:c r="K8" s="92" t="n">
        <x:v>7176.078</x:v>
      </x:c>
      <x:c r="L8" s="93" t="b">
        <x:v>0</x:v>
      </x:c>
      <x:c r="M8" s="47" t="str">
        <x:v>resp_0f93a6e6bf7fa22b006a94a8f058e881938798c47daf89ba86</x:v>
      </x:c>
      <x:c r="N8" s="59" t="n">
        <x:v>5657</x:v>
      </x:c>
      <x:c r="O8" s="59" t="n">
        <x:v>683</x:v>
      </x:c>
      <x:c r="P8" s="59" t="n">
        <x:v>6340</x:v>
      </x:c>
    </x:row>
    <x:row r="9">
      <x:c r="A9" s="47" t="str">
        <x:v>EVT-000029</x:v>
      </x:c>
      <x:c r="B9" s="47" t="str">
        <x:v>RUN-IMO-075-20260830T220419080696Z</x:v>
      </x:c>
      <x:c r="C9" s="47" t="str">
        <x:v>IMO-075</x:v>
      </x:c>
      <x:c r="D9" s="91" t="n">
        <x:v>46264.92005488426</x:v>
      </x:c>
      <x:c r="E9" s="47" t="str">
        <x:v>generator</x:v>
      </x:c>
      <x:c r="F9" s="47" t="str">
        <x:v>gpt-5.6-luna-2026-07-09</x:v>
      </x:c>
      <x:c r="G9" s="47" t="n">
        <x:v>1</x:v>
      </x:c>
      <x:c r="H9" s="47" t="n">
        <x:v>200</x:v>
      </x:c>
      <x:c r="I9" s="47" t="str">
        <x:v>Ocp-Apim-Subscription-Key</x:v>
      </x:c>
      <x:c r="J9" s="92" t="n">
        <x:v>0</x:v>
      </x:c>
      <x:c r="K9" s="92" t="n">
        <x:v>13293.983</x:v>
      </x:c>
      <x:c r="L9" s="93" t="b">
        <x:v>0</x:v>
      </x:c>
      <x:c r="M9" s="47" t="str"/>
      <x:c r="N9" s="59" t="str"/>
      <x:c r="O9" s="59" t="str"/>
      <x:c r="P9" s="59" t="str"/>
    </x:row>
    <x:row r="10">
      <x:c r="A10" s="47" t="str">
        <x:v>EVT-000030</x:v>
      </x:c>
      <x:c r="B10" s="47" t="str">
        <x:v>RUN-IMO-075-20260830T220419080696Z</x:v>
      </x:c>
      <x:c r="C10" s="47" t="str">
        <x:v>IMO-075</x:v>
      </x:c>
      <x:c r="D10" s="91" t="n">
        <x:v>46264.92005490741</x:v>
      </x:c>
      <x:c r="E10" s="47" t="str">
        <x:v>generator</x:v>
      </x:c>
      <x:c r="F10" s="47" t="str">
        <x:v>gpt-5.6-luna-2026-07-09</x:v>
      </x:c>
      <x:c r="G10" s="47" t="n">
        <x:v>1</x:v>
      </x:c>
      <x:c r="H10" s="47" t="str">
        <x:v>COMPLETED</x:v>
      </x:c>
      <x:c r="I10" s="47" t="str"/>
      <x:c r="J10" s="92" t="n">
        <x:v>0</x:v>
      </x:c>
      <x:c r="K10" s="92" t="n">
        <x:v>13295.449</x:v>
      </x:c>
      <x:c r="L10" s="93" t="b">
        <x:v>0</x:v>
      </x:c>
      <x:c r="M10" s="47" t="str">
        <x:v>resp_03e3e29a7099d068006a94a8f78d748197980e9a1f76290d60</x:v>
      </x:c>
      <x:c r="N10" s="59" t="n">
        <x:v>6753</x:v>
      </x:c>
      <x:c r="O10" s="59" t="n">
        <x:v>1738</x:v>
      </x:c>
      <x:c r="P10" s="59" t="n">
        <x:v>8491</x:v>
      </x:c>
    </x:row>
    <x:row r="11">
      <x:c r="A11" s="47" t="str">
        <x:v>EVT-000037</x:v>
      </x:c>
      <x:c r="B11" s="47" t="str">
        <x:v>RUN-IMO-075-20260830T220419080696Z</x:v>
      </x:c>
      <x:c r="C11" s="47" t="str">
        <x:v>IMO-075</x:v>
      </x:c>
      <x:c r="D11" s="91" t="n">
        <x:v>46264.920200925924</x:v>
      </x:c>
      <x:c r="E11" s="47" t="str">
        <x:v>validator</x:v>
      </x:c>
      <x:c r="F11" s="47" t="str">
        <x:v>gpt-5.6-luna-2026-07-09</x:v>
      </x:c>
      <x:c r="G11" s="47" t="n">
        <x:v>1</x:v>
      </x:c>
      <x:c r="H11" s="47" t="n">
        <x:v>200</x:v>
      </x:c>
      <x:c r="I11" s="47" t="str">
        <x:v>Ocp-Apim-Subscription-Key</x:v>
      </x:c>
      <x:c r="J11" s="92" t="n">
        <x:v>0</x:v>
      </x:c>
      <x:c r="K11" s="92" t="n">
        <x:v>12497.486</x:v>
      </x:c>
      <x:c r="L11" s="93" t="b">
        <x:v>0</x:v>
      </x:c>
      <x:c r="M11" s="47" t="str"/>
      <x:c r="N11" s="59" t="str"/>
      <x:c r="O11" s="59" t="str"/>
      <x:c r="P11" s="59" t="str"/>
    </x:row>
    <x:row r="12">
      <x:c r="A12" s="47" t="str">
        <x:v>EVT-000038</x:v>
      </x:c>
      <x:c r="B12" s="47" t="str">
        <x:v>RUN-IMO-075-20260830T220419080696Z</x:v>
      </x:c>
      <x:c r="C12" s="47" t="str">
        <x:v>IMO-075</x:v>
      </x:c>
      <x:c r="D12" s="91" t="n">
        <x:v>46264.92020094908</x:v>
      </x:c>
      <x:c r="E12" s="47" t="str">
        <x:v>validator</x:v>
      </x:c>
      <x:c r="F12" s="47" t="str">
        <x:v>gpt-5.6-luna-2026-07-09</x:v>
      </x:c>
      <x:c r="G12" s="47" t="n">
        <x:v>1</x:v>
      </x:c>
      <x:c r="H12" s="47" t="str">
        <x:v>COMPLETED</x:v>
      </x:c>
      <x:c r="I12" s="47" t="str"/>
      <x:c r="J12" s="92" t="n">
        <x:v>0</x:v>
      </x:c>
      <x:c r="K12" s="92" t="n">
        <x:v>12499.14</x:v>
      </x:c>
      <x:c r="L12" s="93" t="b">
        <x:v>0</x:v>
      </x:c>
      <x:c r="M12" s="47" t="str">
        <x:v>resp_021628dbba74a223006a94a904f7788196ba1d8dc10b955e48</x:v>
      </x:c>
      <x:c r="N12" s="59" t="n">
        <x:v>6024</x:v>
      </x:c>
      <x:c r="O12" s="59" t="n">
        <x:v>1187</x:v>
      </x:c>
      <x:c r="P12" s="59" t="n">
        <x:v>7211</x:v>
      </x:c>
    </x:row>
    <x:row r="13">
      <x:c r="A13" s="47" t="str">
        <x:v>EVT-000044</x:v>
      </x:c>
      <x:c r="B13" s="47" t="str">
        <x:v>RUN-IMO-075-20260830T220419080696Z</x:v>
      </x:c>
      <x:c r="C13" s="47" t="str">
        <x:v>IMO-075</x:v>
      </x:c>
      <x:c r="D13" s="91" t="n">
        <x:v>46264.92023739583</x:v>
      </x:c>
      <x:c r="E13" s="47" t="str">
        <x:v>vocabulary_matcher</x:v>
      </x:c>
      <x:c r="F13" s="47" t="str">
        <x:v>gpt-5.6-luna-2026-07-09</x:v>
      </x:c>
      <x:c r="G13" s="47" t="n">
        <x:v>1</x:v>
      </x:c>
      <x:c r="H13" s="47" t="n">
        <x:v>200</x:v>
      </x:c>
      <x:c r="I13" s="47" t="str">
        <x:v>Ocp-Apim-Subscription-Key</x:v>
      </x:c>
      <x:c r="J13" s="92" t="n">
        <x:v>0</x:v>
      </x:c>
      <x:c r="K13" s="92" t="n">
        <x:v>1796.076</x:v>
      </x:c>
      <x:c r="L13" s="93" t="b">
        <x:v>0</x:v>
      </x:c>
      <x:c r="M13" s="47" t="str"/>
      <x:c r="N13" s="59" t="str"/>
      <x:c r="O13" s="59" t="str"/>
      <x:c r="P13" s="59" t="str"/>
    </x:row>
    <x:row r="14">
      <x:c r="A14" s="49" t="str">
        <x:v>EVT-000045</x:v>
      </x:c>
      <x:c r="B14" s="49" t="str">
        <x:v>RUN-IMO-075-20260830T220419080696Z</x:v>
      </x:c>
      <x:c r="C14" s="49" t="str">
        <x:v>IMO-075</x:v>
      </x:c>
      <x:c r="D14" s="94" t="n">
        <x:v>46264.92023739583</x:v>
      </x:c>
      <x:c r="E14" s="49" t="str">
        <x:v>vocabulary_matcher</x:v>
      </x:c>
      <x:c r="F14" s="49" t="str">
        <x:v>gpt-5.6-luna-2026-07-09</x:v>
      </x:c>
      <x:c r="G14" s="49" t="n">
        <x:v>1</x:v>
      </x:c>
      <x:c r="H14" s="49" t="str">
        <x:v>COMPLETED</x:v>
      </x:c>
      <x:c r="I14" s="49" t="str"/>
      <x:c r="J14" s="83" t="n">
        <x:v>0</x:v>
      </x:c>
      <x:c r="K14" s="83" t="n">
        <x:v>1796.483</x:v>
      </x:c>
      <x:c r="L14" s="82" t="b">
        <x:v>0</x:v>
      </x:c>
      <x:c r="M14" s="49" t="str">
        <x:v>resp_0534e7efa8a90275006a94a912caac8197823fc109dc1e9586</x:v>
      </x:c>
      <x:c r="N14" s="60" t="n">
        <x:v>1674</x:v>
      </x:c>
      <x:c r="O14" s="60" t="n">
        <x:v>148</x:v>
      </x:c>
      <x:c r="P14" s="60" t="n">
        <x:v>1822</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9c29472b4964a0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RUN-IMO-075-20260830T220419080696Z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RUN-IMO-075-20260830T220419080696Z</x:v>
      </x:c>
      <x:c r="B5" s="45" t="str">
        <x:v>IMO-075</x:v>
      </x:c>
      <x:c r="C5" s="45" t="str">
        <x:v>availableSurvivalEquipmentCapacity</x:v>
      </x:c>
      <x:c r="D5" s="46" t="str">
        <x:v>https://w3id.org/nltl/vocab#availableSurvivalEquipmentCapacity</x:v>
      </x:c>
      <x:c r="E5" s="45" t="str">
        <x:v>DatatypeProperty</x:v>
      </x:c>
      <x:c r="F5" s="45" t="str">
        <x:v>xsd:integer</x:v>
      </x:c>
      <x:c r="G5" s="45" t="str">
        <x:v>http://www.w3.org/2001/XMLSchema#integer</x:v>
      </x:c>
      <x:c r="H5" s="45" t="str"/>
      <x:c r="I5" s="46" t="str">
        <x:v>linked by the locked 313-requirement index</x:v>
      </x:c>
      <x:c r="J5" s="45" t="n">
        <x:v>0</x:v>
      </x:c>
    </x:row>
    <x:row r="6">
      <x:c r="A6" s="47" t="str">
        <x:v>RUN-IMO-075-20260830T220419080696Z</x:v>
      </x:c>
      <x:c r="B6" s="47" t="str">
        <x:v>IMO-075</x:v>
      </x:c>
      <x:c r="C6" s="47" t="str">
        <x:v>benchmarkEntity</x:v>
      </x:c>
      <x:c r="D6" s="48" t="str">
        <x:v>https://w3id.org/nltl/vocab#benchmarkEntity</x:v>
      </x:c>
      <x:c r="E6" s="47" t="str">
        <x:v>Class</x:v>
      </x:c>
      <x:c r="F6" s="47" t="str"/>
      <x:c r="G6" s="47" t="str"/>
      <x:c r="H6" s="47" t="str"/>
      <x:c r="I6" s="48" t="str">
        <x:v>baseline target infrastructure; domain dependency of availableSurvivalEquipmentCapacity; domain dependency of personalOrGroupSurvivalEquipmentRequired; domain dependency of personsOnBoard; domain dependency of storageAccessibilityStatus; domain dependency of storageDistanceToMusterOrEmbarkation</x:v>
      </x:c>
      <x:c r="J6" s="47" t="n">
        <x:v>0</x:v>
      </x:c>
    </x:row>
    <x:row r="7">
      <x:c r="A7" s="47" t="str">
        <x:v>RUN-IMO-075-20260830T220419080696Z</x:v>
      </x:c>
      <x:c r="B7" s="47" t="str">
        <x:v>IMO-075</x:v>
      </x:c>
      <x:c r="C7" s="47" t="str">
        <x:v>personalOrGroupSurvivalEquipmentRequired</x:v>
      </x:c>
      <x:c r="D7" s="48" t="str">
        <x:v>https://w3id.org/nltl/vocab#personalOrGroupSurvivalEquipmentRequired</x:v>
      </x:c>
      <x:c r="E7" s="47" t="str">
        <x:v>DatatypeProperty</x:v>
      </x:c>
      <x:c r="F7" s="47" t="str">
        <x:v>xsd:boolean</x:v>
      </x:c>
      <x:c r="G7" s="47" t="str">
        <x:v>http://www.w3.org/2001/XMLSchema#boolean</x:v>
      </x:c>
      <x:c r="H7" s="47" t="str"/>
      <x:c r="I7" s="48" t="str">
        <x:v>linked by the locked 313-requirement index</x:v>
      </x:c>
      <x:c r="J7" s="47" t="n">
        <x:v>0</x:v>
      </x:c>
    </x:row>
    <x:row r="8">
      <x:c r="A8" s="47" t="str">
        <x:v>RUN-IMO-075-20260830T220419080696Z</x:v>
      </x:c>
      <x:c r="B8" s="47" t="str">
        <x:v>IMO-075</x:v>
      </x:c>
      <x:c r="C8" s="47" t="str">
        <x:v>personsOnBoard</x:v>
      </x:c>
      <x:c r="D8" s="48" t="str">
        <x:v>https://w3id.org/nltl/vocab#personsOnBoard</x:v>
      </x:c>
      <x:c r="E8" s="47" t="str">
        <x:v>DatatypeProperty</x:v>
      </x:c>
      <x:c r="F8" s="47" t="str">
        <x:v>xsd:integer</x:v>
      </x:c>
      <x:c r="G8" s="47" t="str">
        <x:v>http://www.w3.org/2001/XMLSchema#integer</x:v>
      </x:c>
      <x:c r="H8" s="47" t="str"/>
      <x:c r="I8" s="48" t="str">
        <x:v>linked by the locked 313-requirement index</x:v>
      </x:c>
      <x:c r="J8" s="47" t="n">
        <x:v>0</x:v>
      </x:c>
    </x:row>
    <x:row r="9">
      <x:c r="A9" s="47" t="str">
        <x:v>RUN-IMO-075-20260830T220419080696Z</x:v>
      </x:c>
      <x:c r="B9" s="47" t="str">
        <x:v>IMO-075</x:v>
      </x:c>
      <x:c r="C9" s="47" t="str">
        <x:v>ship</x:v>
      </x:c>
      <x:c r="D9" s="48" t="str">
        <x:v>https://w3id.org/nltl/vocab#ship</x:v>
      </x:c>
      <x:c r="E9" s="47" t="str">
        <x:v>Class</x:v>
      </x:c>
      <x:c r="F9" s="47" t="str"/>
      <x:c r="G9" s="47" t="str"/>
      <x:c r="H9" s="47" t="str"/>
      <x:c r="I9" s="48" t="str">
        <x:v>authoritative required owner class; authoritative requirement target owner; baseline target infrastructure</x:v>
      </x:c>
      <x:c r="J9" s="47" t="n">
        <x:v>0</x:v>
      </x:c>
    </x:row>
    <x:row r="10">
      <x:c r="A10" s="47" t="str">
        <x:v>RUN-IMO-075-20260830T220419080696Z</x:v>
      </x:c>
      <x:c r="B10" s="47" t="str">
        <x:v>IMO-075</x:v>
      </x:c>
      <x:c r="C10" s="47" t="str">
        <x:v>storageAccessibilityStatus</x:v>
      </x:c>
      <x:c r="D10" s="48" t="str">
        <x:v>https://w3id.org/nltl/vocab#storageAccessibilityStatus</x:v>
      </x:c>
      <x:c r="E10" s="47" t="str">
        <x:v>DatatypeProperty</x:v>
      </x:c>
      <x:c r="F10" s="47" t="str">
        <x:v>xsd:boolean</x:v>
      </x:c>
      <x:c r="G10" s="47" t="str">
        <x:v>http://www.w3.org/2001/XMLSchema#boolean</x:v>
      </x:c>
      <x:c r="H10" s="47" t="str"/>
      <x:c r="I10" s="48" t="str">
        <x:v>linked by the locked 313-requirement index</x:v>
      </x:c>
      <x:c r="J10" s="47" t="n">
        <x:v>0</x:v>
      </x:c>
    </x:row>
    <x:row r="11">
      <x:c r="A11" s="49" t="str">
        <x:v>RUN-IMO-075-20260830T220419080696Z</x:v>
      </x:c>
      <x:c r="B11" s="49" t="str">
        <x:v>IMO-075</x:v>
      </x:c>
      <x:c r="C11" s="49" t="str">
        <x:v>storageDistanceToMusterOrEmbarkation</x:v>
      </x:c>
      <x:c r="D11" s="50" t="str">
        <x:v>https://w3id.org/nltl/vocab#storageDistanceToMusterOrEmbarkation</x:v>
      </x:c>
      <x:c r="E11" s="49" t="str">
        <x:v>QuantityProperty</x:v>
      </x:c>
      <x:c r="F11" s="49" t="str"/>
      <x:c r="G11" s="49" t="str">
        <x:v>http://qudt.org/schema/qudt/QuantityValue</x:v>
      </x:c>
      <x:c r="H11" s="49" t="str">
        <x:v>http://qudt.org/vocab/unit/M</x:v>
      </x:c>
      <x:c r="I11" s="50" t="str">
        <x:v>linked by the locked 313-requirement index</x:v>
      </x:c>
      <x:c r="J11" s="49" t="n">
        <x:v>0</x:v>
      </x:c>
    </x:row>
  </x:sheetData>
  <x:pageMargins left="0.7" right="0.7" top="0.75" bottom="0.75" header="0.3" footer="0.3"/>
  <x:tableParts count="1">
    <x:tablePart xmlns:r="http://schemas.openxmlformats.org/officeDocument/2006/relationships" r:id="Radbe0c566900450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RUN-IMO-075-20260830T220419080696Z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RUN-IMO-075-20260830T220419080696Z</x:v>
      </x:c>
      <x:c r="B5" s="45" t="str">
        <x:v>IMO-075</x:v>
      </x:c>
      <x:c r="C5" s="45" t="str">
        <x:v>FS-CALC-02</x:v>
      </x:c>
      <x:c r="D5" s="45" t="str">
        <x:v>comparison_calculation</x:v>
      </x:c>
      <x:c r="E5" s="97" t="n">
        <x:v>0.070175</x:v>
      </x:c>
      <x:c r="F5" s="45" t="str">
        <x:v>calculation | comparison | formula | sparql</x:v>
      </x:c>
      <x:c r="G5" s="45" t="str">
        <x:v>synthetic-few-shot-not-benchmark-ground-truth</x:v>
      </x:c>
    </x:row>
    <x:row r="6">
      <x:c r="A6" s="49" t="str">
        <x:v>RUN-IMO-075-20260830T220419080696Z</x:v>
      </x:c>
      <x:c r="B6" s="49" t="str">
        <x:v>IMO-075</x:v>
      </x:c>
      <x:c r="C6" s="49" t="str">
        <x:v>FS-BOOL-01</x:v>
      </x:c>
      <x:c r="D6" s="49" t="str">
        <x:v>boolean_state</x:v>
      </x:c>
      <x:c r="E6" s="98" t="n">
        <x:v>0.051724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7f3e5ed030648f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RUN-IMO-075-20260830T220419080696Z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RUN-IMO-075-20260830T220419080696Z</x:v>
      </x:c>
      <x:c r="B5" s="45" t="str">
        <x:v>IMO-075</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https://w3id.org/nltl/vocab#availableSurvivalEquipmentCapacity | https://w3id.org/nltl/vocab#personalOrGroupSurvivalEquipmentRequired | https://w3id.org/nltl/vocab#personsOnBoard | https://w3id.org/nltl/vocab#ship | https://w3id.org/nltl/vocab#storageAccessibilityStatus</x:v>
      </x:c>
      <x:c r="O5" s="46" t="str"/>
      <x:c r="P5" s="46" t="str"/>
      <x:c r="Q5" s="46" t="str"/>
    </x:row>
    <x:row r="6">
      <x:c r="A6" s="49" t="str">
        <x:v>RUN-IMO-075-20260830T220419080696Z</x:v>
      </x:c>
      <x:c r="B6" s="49" t="str">
        <x:v>IMO-075</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https://w3id.org/nltl/vocab#availableSurvivalEquipmentCapacity | https://w3id.org/nltl/vocab#personalOrGroupSurvivalEquipmentRequired | https://w3id.org/nltl/vocab#personsOnBoard | https://w3id.org/nltl/vocab#ship | https://w3id.org/nltl/vocab#storageAccessibilityStatus | https://w3id.org/nltl/vocab#storageDistanceToMusterOrEmbarkation</x:v>
      </x:c>
      <x:c r="O6" s="50" t="str"/>
      <x:c r="P6" s="50" t="str"/>
      <x:c r="Q6" s="50" t="str"/>
    </x:row>
  </x:sheetData>
  <x:pageMargins left="0.7" right="0.7" top="0.75" bottom="0.75" header="0.3" footer="0.3"/>
  <x:tableParts count="1">
    <x:tablePart xmlns:r="http://schemas.openxmlformats.org/officeDocument/2006/relationships" r:id="R3a4a64c9c27e44c5"/>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20" hidden="0" customWidth="1"/>
  </x:cols>
  <x:sheetData>
    <x:row r="1">
      <x:c r="A1" s="18" t="str">
        <x:v>NLTL SHACL Pipeline Run Tracker</x:v>
      </x:c>
      <x:c r="B1" s="19"/>
      <x:c r="C1" s="19"/>
      <x:c r="D1" s="19"/>
      <x:c r="E1" s="19"/>
      <x:c r="F1" s="19"/>
      <x:c r="G1" s="19"/>
      <x:c r="H1" s="19"/>
      <x:c r="I1" s="19"/>
      <x:c r="J1" s="19"/>
    </x:row>
    <x:row r="2">
      <x:c r="A2" s="20" t="str">
        <x:v>VOCAB_MATCHES | Run folder: RUN-IMO-075-20260830T220419080696Z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RUN-IMO-075-20260830T220419080696Z</x:v>
      </x:c>
      <x:c r="B5" s="45" t="str">
        <x:v>IMO-075</x:v>
      </x:c>
      <x:c r="C5" s="58" t="n">
        <x:v>2</x:v>
      </x:c>
      <x:c r="D5" s="45" t="str">
        <x:v>matcher_search</x:v>
      </x:c>
      <x:c r="E5" s="46" t="str">
        <x:v>Repair before freezing. Preserve the existing ship target, applicability branch, accessibility assertion, capacity comparison direction, owners, datatypes, and metre unit. Replace the current presence-only storage-distance constraint and message with an actual check of the source condition that the equipment location is as close as practical to the muster or embarkation stations; this requires locating the appropriate canonical location/evidence relationship term if none is supplied. Also encode the 110% ceiling explicitly using permitted DIRECT_CALCULATION arithmetic or an equivalent bounded piecewise encoding (for example, compare integer capacity after scaling by 100 against personsOnBoard multiplied by 110), rather than relying on an implicit decimal comparison.</x:v>
      </x:c>
      <x:c r="F5" s="58" t="n">
        <x:v>3</x:v>
      </x:c>
      <x:c r="G5" s="45" t="str"/>
      <x:c r="H5" s="45" t="str"/>
      <x:c r="I5" s="46" t="str"/>
      <x:c r="J5" s="46" t="str"/>
    </x:row>
    <x:row r="6">
      <x:c r="A6" s="49" t="str">
        <x:v>RUN-IMO-075-20260830T220419080696Z</x:v>
      </x:c>
      <x:c r="B6" s="49" t="str">
        <x:v>IMO-075</x:v>
      </x:c>
      <x:c r="C6" s="60" t="n">
        <x:v>2</x:v>
      </x:c>
      <x:c r="D6" s="49" t="str">
        <x:v>matcher_decision</x:v>
      </x:c>
      <x:c r="E6" s="50" t="str"/>
      <x:c r="F6" s="60" t="str"/>
      <x:c r="G6" s="82" t="b">
        <x:v>0</x:v>
      </x:c>
      <x:c r="H6" s="49" t="str"/>
      <x:c r="I6" s="50" t="str"/>
      <x:c r="J6" s="50" t="str"/>
    </x:row>
  </x:sheetData>
  <x:pageMargins left="0.7" right="0.7" top="0.75" bottom="0.75" header="0.3" footer="0.3"/>
  <x:tableParts count="1">
    <x:tablePart xmlns:r="http://schemas.openxmlformats.org/officeDocument/2006/relationships" r:id="Rb64ad16e24f64674"/>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RUN-IMO-075-20260830T220419080696Z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RUN-IMO-075-20260830T220419080696Z</x:v>
      </x:c>
      <x:c r="B5" s="45" t="str">
        <x:v>IMO-075</x:v>
      </x:c>
      <x:c r="C5" s="58"/>
      <x:c r="D5" s="45" t="str">
        <x:v>initial_context_pack</x:v>
      </x:c>
      <x:c r="E5" s="46" t="str">
        <x:v>artifacts/context_pack_initial.json</x:v>
      </x:c>
      <x:c r="F5" s="45" t="str">
        <x:v>484f96d3c5289983d2ff6c97e26dcaa3009c50da149373ab507d5374d2d5a266</x:v>
      </x:c>
      <x:c r="G5" s="58" t="n">
        <x:v>12079</x:v>
      </x:c>
    </x:row>
    <x:row r="6">
      <x:c r="A6" s="47" t="str">
        <x:v>RUN-IMO-075-20260830T220419080696Z</x:v>
      </x:c>
      <x:c r="B6" s="47" t="str">
        <x:v>IMO-075</x:v>
      </x:c>
      <x:c r="C6" s="59"/>
      <x:c r="D6" s="47" t="str">
        <x:v>few_shot_selection</x:v>
      </x:c>
      <x:c r="E6" s="48" t="str">
        <x:v>artifacts/few_shots_selected.json</x:v>
      </x:c>
      <x:c r="F6" s="47" t="str">
        <x:v>71a13ef3c68d4d68a1c3422a5a790739d0eafcdbb3afdc8654f9beb7538d7a28</x:v>
      </x:c>
      <x:c r="G6" s="59" t="n">
        <x:v>4749</x:v>
      </x:c>
    </x:row>
    <x:row r="7">
      <x:c r="A7" s="47" t="str">
        <x:v>RUN-IMO-075-20260830T220419080696Z</x:v>
      </x:c>
      <x:c r="B7" s="47" t="str">
        <x:v>IMO-075</x:v>
      </x:c>
      <x:c r="C7" s="59" t="n">
        <x:v>1</x:v>
      </x:c>
      <x:c r="D7" s="47" t="str">
        <x:v>generator_prompt</x:v>
      </x:c>
      <x:c r="E7" s="48" t="str">
        <x:v>artifacts/attempt_01/generator_prompt.txt</x:v>
      </x:c>
      <x:c r="F7" s="47" t="str">
        <x:v>da8e0e5b164b495843a3aac3668ed1ae57dc20a707dc0bcac5af5c098b744d8e</x:v>
      </x:c>
      <x:c r="G7" s="59" t="n">
        <x:v>28382</x:v>
      </x:c>
    </x:row>
    <x:row r="8">
      <x:c r="A8" s="47" t="str">
        <x:v>RUN-IMO-075-20260830T220419080696Z</x:v>
      </x:c>
      <x:c r="B8" s="47" t="str">
        <x:v>IMO-075</x:v>
      </x:c>
      <x:c r="C8" s="59" t="n">
        <x:v>1</x:v>
      </x:c>
      <x:c r="D8" s="47" t="str">
        <x:v>generator_raw_response</x:v>
      </x:c>
      <x:c r="E8" s="48" t="str">
        <x:v>artifacts/attempt_01/generator_raw.txt</x:v>
      </x:c>
      <x:c r="F8" s="47" t="str">
        <x:v>b75117a38a15be5703f9fe824704f1d18b5ebf0e2acca52241193d2c80c8371b</x:v>
      </x:c>
      <x:c r="G8" s="59" t="n">
        <x:v>2843</x:v>
      </x:c>
    </x:row>
    <x:row r="9">
      <x:c r="A9" s="47" t="str">
        <x:v>RUN-IMO-075-20260830T220419080696Z</x:v>
      </x:c>
      <x:c r="B9" s="47" t="str">
        <x:v>IMO-075</x:v>
      </x:c>
      <x:c r="C9" s="59" t="n">
        <x:v>1</x:v>
      </x:c>
      <x:c r="D9" s="47" t="str">
        <x:v>candidate_shape</x:v>
      </x:c>
      <x:c r="E9" s="48" t="str">
        <x:v>artifacts/attempt_01/candidate_shape.ttl</x:v>
      </x:c>
      <x:c r="F9" s="47" t="str">
        <x:v>a61eea2bbb47395b3bc11c67344d69881aab700806c561c2a2365180615e33f6</x:v>
      </x:c>
      <x:c r="G9" s="59" t="n">
        <x:v>2818</x:v>
      </x:c>
    </x:row>
    <x:row r="10">
      <x:c r="A10" s="47" t="str">
        <x:v>RUN-IMO-075-20260830T220419080696Z</x:v>
      </x:c>
      <x:c r="B10" s="47" t="str">
        <x:v>IMO-075</x:v>
      </x:c>
      <x:c r="C10" s="59" t="n">
        <x:v>1</x:v>
      </x:c>
      <x:c r="D10" s="47" t="str">
        <x:v>deterministic_validation</x:v>
      </x:c>
      <x:c r="E10" s="48" t="str">
        <x:v>artifacts/attempt_01/deterministic_validation.json</x:v>
      </x:c>
      <x:c r="F10" s="47" t="str">
        <x:v>e68f9e23f0d12a60f07b1da908dfd825b2ea86b7edeb324fcbd653486527f58b</x:v>
      </x:c>
      <x:c r="G10" s="59" t="n">
        <x:v>687</x:v>
      </x:c>
    </x:row>
    <x:row r="11">
      <x:c r="A11" s="47" t="str">
        <x:v>RUN-IMO-075-20260830T220419080696Z</x:v>
      </x:c>
      <x:c r="B11" s="47" t="str">
        <x:v>IMO-075</x:v>
      </x:c>
      <x:c r="C11" s="59" t="n">
        <x:v>1</x:v>
      </x:c>
      <x:c r="D11" s="47" t="str">
        <x:v>validator_prompt</x:v>
      </x:c>
      <x:c r="E11" s="48" t="str">
        <x:v>artifacts/attempt_01/validator_prompt_01.txt</x:v>
      </x:c>
      <x:c r="F11" s="47" t="str">
        <x:v>1910997bbed5cbeb571f4d8415cce54a91658131e71c9bc9683e9d11851cd37e</x:v>
      </x:c>
      <x:c r="G11" s="59" t="n">
        <x:v>24215</x:v>
      </x:c>
    </x:row>
    <x:row r="12">
      <x:c r="A12" s="47" t="str">
        <x:v>RUN-IMO-075-20260830T220419080696Z</x:v>
      </x:c>
      <x:c r="B12" s="47" t="str">
        <x:v>IMO-075</x:v>
      </x:c>
      <x:c r="C12" s="59" t="n">
        <x:v>1</x:v>
      </x:c>
      <x:c r="D12" s="47" t="str">
        <x:v>validator_raw_response</x:v>
      </x:c>
      <x:c r="E12" s="48" t="str">
        <x:v>artifacts/attempt_01/validator_raw_01.txt</x:v>
      </x:c>
      <x:c r="F12" s="47" t="str">
        <x:v>a0b2a3984a8dbe5dc82d78b6836bb7f0ea0562d3bac54bba13649ac0774f244b</x:v>
      </x:c>
      <x:c r="G12" s="59" t="n">
        <x:v>866</x:v>
      </x:c>
    </x:row>
    <x:row r="13">
      <x:c r="A13" s="47" t="str">
        <x:v>RUN-IMO-075-20260830T220419080696Z</x:v>
      </x:c>
      <x:c r="B13" s="47" t="str">
        <x:v>IMO-075</x:v>
      </x:c>
      <x:c r="C13" s="59" t="n">
        <x:v>2</x:v>
      </x:c>
      <x:c r="D13" s="47" t="str">
        <x:v>generator_prompt</x:v>
      </x:c>
      <x:c r="E13" s="48" t="str">
        <x:v>artifacts/attempt_02/generator_prompt.txt</x:v>
      </x:c>
      <x:c r="F13" s="47" t="str">
        <x:v>f479292638dc18f30a74becf7f3fc0fe9e6478b89e7a3f03cb7a3d060b0a21ce</x:v>
      </x:c>
      <x:c r="G13" s="59" t="n">
        <x:v>29189</x:v>
      </x:c>
    </x:row>
    <x:row r="14">
      <x:c r="A14" s="47" t="str">
        <x:v>RUN-IMO-075-20260830T220419080696Z</x:v>
      </x:c>
      <x:c r="B14" s="47" t="str">
        <x:v>IMO-075</x:v>
      </x:c>
      <x:c r="C14" s="59" t="n">
        <x:v>2</x:v>
      </x:c>
      <x:c r="D14" s="47" t="str">
        <x:v>generator_raw_response</x:v>
      </x:c>
      <x:c r="E14" s="48" t="str">
        <x:v>artifacts/attempt_02/generator_raw.txt</x:v>
      </x:c>
      <x:c r="F14" s="47" t="str">
        <x:v>466ad864401edeb3d98e017eb28e8a680885c6fe04bc728358f204acf58f0e2f</x:v>
      </x:c>
      <x:c r="G14" s="59" t="n">
        <x:v>3131</x:v>
      </x:c>
    </x:row>
    <x:row r="15">
      <x:c r="A15" s="47" t="str">
        <x:v>RUN-IMO-075-20260830T220419080696Z</x:v>
      </x:c>
      <x:c r="B15" s="47" t="str">
        <x:v>IMO-075</x:v>
      </x:c>
      <x:c r="C15" s="59" t="n">
        <x:v>2</x:v>
      </x:c>
      <x:c r="D15" s="47" t="str">
        <x:v>candidate_shape</x:v>
      </x:c>
      <x:c r="E15" s="48" t="str">
        <x:v>artifacts/attempt_02/candidate_shape.ttl</x:v>
      </x:c>
      <x:c r="F15" s="47" t="str">
        <x:v>7d141278e50998242975ddb1cf7ebf7799e83d999dd45abe77bdae25224011e5</x:v>
      </x:c>
      <x:c r="G15" s="59" t="n">
        <x:v>3106</x:v>
      </x:c>
    </x:row>
    <x:row r="16">
      <x:c r="A16" s="47" t="str">
        <x:v>RUN-IMO-075-20260830T220419080696Z</x:v>
      </x:c>
      <x:c r="B16" s="47" t="str">
        <x:v>IMO-075</x:v>
      </x:c>
      <x:c r="C16" s="59" t="n">
        <x:v>2</x:v>
      </x:c>
      <x:c r="D16" s="47" t="str">
        <x:v>deterministic_validation</x:v>
      </x:c>
      <x:c r="E16" s="48" t="str">
        <x:v>artifacts/attempt_02/deterministic_validation.json</x:v>
      </x:c>
      <x:c r="F16" s="47" t="str">
        <x:v>66c761898b17a3347a60d21ede941b2081005311168c5dbe98581d53ba8ac645</x:v>
      </x:c>
      <x:c r="G16" s="59" t="n">
        <x:v>759</x:v>
      </x:c>
    </x:row>
    <x:row r="17">
      <x:c r="A17" s="47" t="str">
        <x:v>RUN-IMO-075-20260830T220419080696Z</x:v>
      </x:c>
      <x:c r="B17" s="47" t="str">
        <x:v>IMO-075</x:v>
      </x:c>
      <x:c r="C17" s="59" t="n">
        <x:v>2</x:v>
      </x:c>
      <x:c r="D17" s="47" t="str">
        <x:v>validator_prompt</x:v>
      </x:c>
      <x:c r="E17" s="48" t="str">
        <x:v>artifacts/attempt_02/validator_prompt_01.txt</x:v>
      </x:c>
      <x:c r="F17" s="47" t="str">
        <x:v>bad6c7585be3239e96ce24a05bbd2ec6418c79024d927163e825abade64b7996</x:v>
      </x:c>
      <x:c r="G17" s="59" t="n">
        <x:v>25872</x:v>
      </x:c>
    </x:row>
    <x:row r="18">
      <x:c r="A18" s="47" t="str">
        <x:v>RUN-IMO-075-20260830T220419080696Z</x:v>
      </x:c>
      <x:c r="B18" s="47" t="str">
        <x:v>IMO-075</x:v>
      </x:c>
      <x:c r="C18" s="59" t="n">
        <x:v>2</x:v>
      </x:c>
      <x:c r="D18" s="47" t="str">
        <x:v>validator_raw_response</x:v>
      </x:c>
      <x:c r="E18" s="48" t="str">
        <x:v>artifacts/attempt_02/validator_raw_01.txt</x:v>
      </x:c>
      <x:c r="F18" s="47" t="str">
        <x:v>dcdf7189f09f4aeead5f063cda848f2ece3c262481597901a7828402b0ec8e3d</x:v>
      </x:c>
      <x:c r="G18" s="59" t="n">
        <x:v>839</x:v>
      </x:c>
    </x:row>
    <x:row r="19">
      <x:c r="A19" s="47" t="str">
        <x:v>RUN-IMO-075-20260830T220419080696Z</x:v>
      </x:c>
      <x:c r="B19" s="47" t="str">
        <x:v>IMO-075</x:v>
      </x:c>
      <x:c r="C19" s="59" t="n">
        <x:v>2</x:v>
      </x:c>
      <x:c r="D19" s="47" t="str">
        <x:v>matcher_candidates</x:v>
      </x:c>
      <x:c r="E19" s="48" t="str">
        <x:v>artifacts/attempt_02/matcher_candidates.json</x:v>
      </x:c>
      <x:c r="F19" s="47" t="str">
        <x:v>53c6148573f176101204b9610b3d8875b70efb5d0cbe4de20d45ca7065e75933</x:v>
      </x:c>
      <x:c r="G19" s="59" t="n">
        <x:v>1469</x:v>
      </x:c>
    </x:row>
    <x:row r="20">
      <x:c r="A20" s="47" t="str">
        <x:v>RUN-IMO-075-20260830T220419080696Z</x:v>
      </x:c>
      <x:c r="B20" s="47" t="str">
        <x:v>IMO-075</x:v>
      </x:c>
      <x:c r="C20" s="59" t="n">
        <x:v>2</x:v>
      </x:c>
      <x:c r="D20" s="47" t="str">
        <x:v>vocabulary_matcher_prompt</x:v>
      </x:c>
      <x:c r="E20" s="48" t="str">
        <x:v>artifacts/attempt_02/vocabulary_matcher_prompt_01.txt</x:v>
      </x:c>
      <x:c r="F20" s="47" t="str">
        <x:v>17ad034f2f1ab97ade0cf428c0095f5999c58d6914379c5024c44e2df563e16f</x:v>
      </x:c>
      <x:c r="G20" s="59" t="n">
        <x:v>6965</x:v>
      </x:c>
    </x:row>
    <x:row r="21">
      <x:c r="A21" s="49" t="str">
        <x:v>RUN-IMO-075-20260830T220419080696Z</x:v>
      </x:c>
      <x:c r="B21" s="49" t="str">
        <x:v>IMO-075</x:v>
      </x:c>
      <x:c r="C21" s="60" t="n">
        <x:v>2</x:v>
      </x:c>
      <x:c r="D21" s="49" t="str">
        <x:v>vocabulary_matcher_raw_response</x:v>
      </x:c>
      <x:c r="E21" s="50" t="str">
        <x:v>artifacts/attempt_02/vocabulary_matcher_raw_01.txt</x:v>
      </x:c>
      <x:c r="F21" s="49" t="str">
        <x:v>a47f3adf9d135202e9946cf125e30bbbd6d394508e1f0b8e8b43635fa3d4d053</x:v>
      </x:c>
      <x:c r="G21" s="60" t="n">
        <x:v>89</x:v>
      </x:c>
    </x:row>
  </x:sheetData>
  <x:pageMargins left="0.7" right="0.7" top="0.75" bottom="0.75" header="0.3" footer="0.3"/>
  <x:tableParts count="1">
    <x:tablePart xmlns:r="http://schemas.openxmlformats.org/officeDocument/2006/relationships" r:id="R98be1ca024b246bc"/>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RUN-IMO-075-20260830T220419080696Z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RUN-IMO-075-20260830T220419080696Z</x:v>
      </x:c>
      <x:c r="B5" s="69" t="str">
        <x:v>IMO-075</x:v>
      </x:c>
      <x:c r="C5" s="71" t="n">
        <x:v>2</x:v>
      </x:c>
      <x:c r="D5" s="69" t="str">
        <x:v>TERM_RESOLUTION_UNRESOLVED</x:v>
      </x:c>
      <x:c r="E5" s="73" t="str">
        <x:v>Repair before freezing. Preserve the existing ship target, applicability branch, accessibility assertion, capacity comparison direction, owners, datatypes, and metre unit. Replace the current presence-only storage-distance constraint and message with an actual check of the source condition that the equipment location is as close as practical to the muster or embarkation stations; this requires locating the appropriate canonical location/evidence relationship term if none is supplied. Also encode the 110% ceiling explicitly using permitted DIRECT_CALCULATION arithmetic or an equivalent bounded piecewise encoding (for example, compare integer capacity after scaling by 100 against personsOnBoard multiplied by 110), rather than relying on an implicit decimal comparison.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f04a7f4c7ced4ada"/>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RUN-IMO-075-20260830T220419080696Z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