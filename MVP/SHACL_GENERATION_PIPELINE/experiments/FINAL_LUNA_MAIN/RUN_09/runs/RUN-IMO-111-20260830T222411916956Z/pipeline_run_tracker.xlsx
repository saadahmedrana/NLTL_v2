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tables/table9.xml" ContentType="application/vnd.openxmlformats-officedocument.spreadsheetml.table+xml"/>
  <Override PartName="/xl/worksheets/sheet11.xml" ContentType="application/vnd.openxmlformats-officedocument.spreadsheetml.worksheet+xml"/>
  <Override PartName="/xl/tables/table10.xml" ContentType="application/vnd.openxmlformats-officedocument.spreadsheetml.table+xml"/>
  <Override PartName="/xl/worksheets/sheet12.xml" ContentType="application/vnd.openxmlformats-officedocument.spreadsheetml.worksheet+xml"/>
  <Override PartName="/xl/tables/table11.xml" ContentType="application/vnd.openxmlformats-officedocument.spreadsheetml.table+xml"/>
  <Override PartName="/xl/worksheets/sheet1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b2e33f7affec4f45" /></Relationships>
</file>

<file path=xl/workbook.xml><?xml version="1.0" encoding="utf-8"?>
<x:workbook xmlns:x="http://schemas.openxmlformats.org/spreadsheetml/2006/main">
  <x:sheets>
    <x:sheet xmlns:r="http://schemas.openxmlformats.org/officeDocument/2006/relationships" name="SUMMARY" sheetId="1" r:id="R09604b6857e843c4"/>
    <x:sheet xmlns:r="http://schemas.openxmlformats.org/officeDocument/2006/relationships" name="README" sheetId="2" r:id="Rb421f5c217be478d"/>
    <x:sheet xmlns:r="http://schemas.openxmlformats.org/officeDocument/2006/relationships" name="REGULATION_QUEUE" sheetId="3" r:id="R0c64cad4c4964130"/>
    <x:sheet xmlns:r="http://schemas.openxmlformats.org/officeDocument/2006/relationships" name="RUNS" sheetId="4" r:id="R55f3f0dbd68c4d58"/>
    <x:sheet xmlns:r="http://schemas.openxmlformats.org/officeDocument/2006/relationships" name="ITERATIONS" sheetId="5" r:id="Rd4ce0914938c4203"/>
    <x:sheet xmlns:r="http://schemas.openxmlformats.org/officeDocument/2006/relationships" name="API_CALLS" sheetId="6" r:id="R92003733e56448a6"/>
    <x:sheet xmlns:r="http://schemas.openxmlformats.org/officeDocument/2006/relationships" name="TERM_RETRIEVAL" sheetId="7" r:id="Rde04f01d4c364b37"/>
    <x:sheet xmlns:r="http://schemas.openxmlformats.org/officeDocument/2006/relationships" name="FEW_SHOT_SELECTION" sheetId="8" r:id="Rdd71354680724379"/>
    <x:sheet xmlns:r="http://schemas.openxmlformats.org/officeDocument/2006/relationships" name="VALIDATION" sheetId="9" r:id="Ra73bd46cabae432c"/>
    <x:sheet xmlns:r="http://schemas.openxmlformats.org/officeDocument/2006/relationships" name="VOCAB_MATCHES" sheetId="10" r:id="R598b3feab948436f"/>
    <x:sheet xmlns:r="http://schemas.openxmlformats.org/officeDocument/2006/relationships" name="ARTIFACTS" sheetId="11" r:id="R24bc96bed5c74518"/>
    <x:sheet xmlns:r="http://schemas.openxmlformats.org/officeDocument/2006/relationships" name="UNRESOLVED" sheetId="12" r:id="Rf819d362bfab44e8"/>
    <x:sheet xmlns:r="http://schemas.openxmlformats.org/officeDocument/2006/relationships" name="RDF_TEST_QUEUE" sheetId="13" r:id="Rea3f095589944ea8"/>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5">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1" fontId="0" fillId="0" borderId="2"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1" fontId="6" fillId="0" borderId="2"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48">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3e95c65ea9494034" /><Relationship Type="http://schemas.openxmlformats.org/officeDocument/2006/relationships/theme" Target="/xl/theme/theme1.xml" Id="R4517512771b54c3e" /><Relationship Type="http://schemas.microsoft.com/office/2022/11/relationships/FeaturePropertyBag" Target="/xl/featurePropertyBag/featurePropertyBag.xml" Id="R2bb19de95c6347c3" /><Relationship Type="http://schemas.openxmlformats.org/officeDocument/2006/relationships/sharedStrings" Target="/xl/sharedStrings.xml" Id="R41e3f97acb8b4552" /><Relationship Type="http://schemas.openxmlformats.org/officeDocument/2006/relationships/worksheet" Target="/xl/worksheets/sheet1.xml" Id="R09604b6857e843c4" /><Relationship Type="http://schemas.openxmlformats.org/officeDocument/2006/relationships/worksheet" Target="/xl/worksheets/sheet2.xml" Id="Rb421f5c217be478d" /><Relationship Type="http://schemas.openxmlformats.org/officeDocument/2006/relationships/worksheet" Target="/xl/worksheets/sheet3.xml" Id="R0c64cad4c4964130" /><Relationship Type="http://schemas.openxmlformats.org/officeDocument/2006/relationships/worksheet" Target="/xl/worksheets/sheet4.xml" Id="R55f3f0dbd68c4d58" /><Relationship Type="http://schemas.openxmlformats.org/officeDocument/2006/relationships/worksheet" Target="/xl/worksheets/sheet5.xml" Id="Rd4ce0914938c4203" /><Relationship Type="http://schemas.openxmlformats.org/officeDocument/2006/relationships/worksheet" Target="/xl/worksheets/sheet6.xml" Id="R92003733e56448a6" /><Relationship Type="http://schemas.openxmlformats.org/officeDocument/2006/relationships/worksheet" Target="/xl/worksheets/sheet7.xml" Id="Rde04f01d4c364b37" /><Relationship Type="http://schemas.openxmlformats.org/officeDocument/2006/relationships/worksheet" Target="/xl/worksheets/sheet8.xml" Id="Rdd71354680724379" /><Relationship Type="http://schemas.openxmlformats.org/officeDocument/2006/relationships/worksheet" Target="/xl/worksheets/sheet9.xml" Id="Ra73bd46cabae432c" /><Relationship Type="http://schemas.openxmlformats.org/officeDocument/2006/relationships/worksheet" Target="/xl/worksheets/sheet10.xml" Id="R598b3feab948436f" /><Relationship Type="http://schemas.openxmlformats.org/officeDocument/2006/relationships/worksheet" Target="/xl/worksheets/sheet11.xml" Id="R24bc96bed5c74518" /><Relationship Type="http://schemas.openxmlformats.org/officeDocument/2006/relationships/worksheet" Target="/xl/worksheets/sheet12.xml" Id="Rf819d362bfab44e8" /><Relationship Type="http://schemas.openxmlformats.org/officeDocument/2006/relationships/worksheet" Target="/xl/worksheets/sheet13.xml" Id="Rea3f095589944ea8"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6"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14"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20"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6"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9_VOCABMATCHES" displayName="T9_VOCABMATCHES" ref="A4:J6" headerRowCount="1" totalsRowCount="0" totalsRowShown="0">
  <x:tableColumns count="10">
    <x:tableColumn id="1" name="RUN_ID"/>
    <x:tableColumn id="2" name="REQUIREMENT_ID"/>
    <x:tableColumn id="3" name="ITERATION"/>
    <x:tableColumn id="4" name="EVENT"/>
    <x:tableColumn id="5" name="QUERY_FEEDBACK"/>
    <x:tableColumn id="6" name="CANDIDATE_COUNT"/>
    <x:tableColumn id="7" name="MATCH_FOUND"/>
    <x:tableColumn id="8" name="CANONICAL_LOCAL_NAME"/>
    <x:tableColumn id="9" name="CANONICAL_IRI"/>
    <x:tableColumn id="10" name="FEEDBACK_APPENDIX"/>
  </x:tableColumns>
  <x:tableStyleInfo name="TableStyleMedium2" showFirstColumn="0" showLastColumn="0" showRowStripes="1" showColumnStripes="0"/>
</x:table>
</file>

<file path=xl/tables/table10.xml><?xml version="1.0" encoding="utf-8"?>
<x:table xmlns:x="http://schemas.openxmlformats.org/spreadsheetml/2006/main" id="10" name="T10_ARTIFACTS" displayName="T10_ARTIFACTS" ref="A4:G21"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1.xml><?xml version="1.0" encoding="utf-8"?>
<x:table xmlns:x="http://schemas.openxmlformats.org/spreadsheetml/2006/main" id="11" name="T11_UNRESOLVED" displayName="T11_UNRESOLVED" ref="A4:F5" headerRowCount="1" totalsRowCount="0" totalsRowShown="0">
  <x:tableColumns count="6">
    <x:tableColumn id="1" name="RUN_ID"/>
    <x:tableColumn id="2" name="REQUIREMENT_ID"/>
    <x:tableColumn id="3" name="ITERATION"/>
    <x:tableColumn id="4" name="ISSUE_TYPE"/>
    <x:tableColumn id="5" name="DETAIL"/>
    <x:tableColumn id="6" name="STATU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b6372c32734842a4" /></Relationships>
</file>

<file path=xl/worksheets/_rels/sheet3.xml.rels>&#65279;<?xml version="1.0" encoding="utf-8"?><Relationships xmlns="http://schemas.openxmlformats.org/package/2006/relationships"><Relationship Type="http://schemas.openxmlformats.org/officeDocument/2006/relationships/table" Target="/xl/tables/table2.xml" Id="Rfd179cdb30f047b6" /></Relationships>
</file>

<file path=xl/worksheets/_rels/sheet4.xml.rels>&#65279;<?xml version="1.0" encoding="utf-8"?><Relationships xmlns="http://schemas.openxmlformats.org/package/2006/relationships"><Relationship Type="http://schemas.openxmlformats.org/officeDocument/2006/relationships/table" Target="/xl/tables/table3.xml" Id="R9272af28d6c84065" /></Relationships>
</file>

<file path=xl/worksheets/_rels/sheet5.xml.rels>&#65279;<?xml version="1.0" encoding="utf-8"?><Relationships xmlns="http://schemas.openxmlformats.org/package/2006/relationships"><Relationship Type="http://schemas.openxmlformats.org/officeDocument/2006/relationships/table" Target="/xl/tables/table4.xml" Id="R021268584f16425b" /></Relationships>
</file>

<file path=xl/worksheets/_rels/sheet6.xml.rels>&#65279;<?xml version="1.0" encoding="utf-8"?><Relationships xmlns="http://schemas.openxmlformats.org/package/2006/relationships"><Relationship Type="http://schemas.openxmlformats.org/officeDocument/2006/relationships/table" Target="/xl/tables/table5.xml" Id="R43569414340c467f" /></Relationships>
</file>

<file path=xl/worksheets/_rels/sheet7.xml.rels>&#65279;<?xml version="1.0" encoding="utf-8"?><Relationships xmlns="http://schemas.openxmlformats.org/package/2006/relationships"><Relationship Type="http://schemas.openxmlformats.org/officeDocument/2006/relationships/table" Target="/xl/tables/table6.xml" Id="R3422d57c37d54cc0" /></Relationships>
</file>

<file path=xl/worksheets/_rels/sheet8.xml.rels>&#65279;<?xml version="1.0" encoding="utf-8"?><Relationships xmlns="http://schemas.openxmlformats.org/package/2006/relationships"><Relationship Type="http://schemas.openxmlformats.org/officeDocument/2006/relationships/table" Target="/xl/tables/table7.xml" Id="Rbeeeef4ee5b84e79" /></Relationships>
</file>

<file path=xl/worksheets/_rels/sheet9.xml.rels>&#65279;<?xml version="1.0" encoding="utf-8"?><Relationships xmlns="http://schemas.openxmlformats.org/package/2006/relationships"><Relationship Type="http://schemas.openxmlformats.org/officeDocument/2006/relationships/table" Target="/xl/tables/table8.xml" Id="Rd280fa44466e43dd" /></Relationships>
</file>

<file path=xl/worksheets/_rels/sheet10.xml.rels>&#65279;<?xml version="1.0" encoding="utf-8"?><Relationships xmlns="http://schemas.openxmlformats.org/package/2006/relationships"><Relationship Type="http://schemas.openxmlformats.org/officeDocument/2006/relationships/table" Target="/xl/tables/table9.xml" Id="R620d262bbd2d4cf6" /></Relationships>
</file>

<file path=xl/worksheets/_rels/sheet11.xml.rels>&#65279;<?xml version="1.0" encoding="utf-8"?><Relationships xmlns="http://schemas.openxmlformats.org/package/2006/relationships"><Relationship Type="http://schemas.openxmlformats.org/officeDocument/2006/relationships/table" Target="/xl/tables/table10.xml" Id="Rbef233a8c4064418" /></Relationships>
</file>

<file path=xl/worksheets/_rels/sheet12.xml.rels>&#65279;<?xml version="1.0" encoding="utf-8"?><Relationships xmlns="http://schemas.openxmlformats.org/package/2006/relationships"><Relationship Type="http://schemas.openxmlformats.org/officeDocument/2006/relationships/table" Target="/xl/tables/table11.xml" Id="Rdb4ac00b82b24424"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RUN-IMO-111-20260830T222411916956Z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0</x:v>
      </x:c>
      <x:c r="C8" s="21"/>
      <x:c r="D8" s="21"/>
    </x:row>
    <x:row r="9">
      <x:c r="A9" s="25" t="str">
        <x:v>API/LLM records</x:v>
      </x:c>
      <x:c r="B9" s="26" t="n">
        <x:f>COUNTA('API_CALLS'!$A$5:$A$14)</x:f>
        <x:v>10</x:v>
      </x:c>
      <x:c r="C9" s="21"/>
      <x:c r="D9" s="21"/>
    </x:row>
    <x:row r="10">
      <x:c r="A10" s="27" t="str">
        <x:v>Mean API/LLM elapsed ms</x:v>
      </x:c>
      <x:c r="B10" s="28" t="n">
        <x:f>IFERROR(AVERAGE('API_CALLS'!$K$5:$K$14),0)</x:f>
        <x:v>16990.3623</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RUN-IMO-111-20260830T222411916956Z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b6372c32734842a4"/>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4" hidden="0" customWidth="1"/>
  </x:cols>
  <x:sheetData>
    <x:row r="1">
      <x:c r="A1" s="18" t="str">
        <x:v>NLTL SHACL Pipeline Run Tracker</x:v>
      </x:c>
      <x:c r="B1" s="19"/>
      <x:c r="C1" s="19"/>
      <x:c r="D1" s="19"/>
      <x:c r="E1" s="19"/>
      <x:c r="F1" s="19"/>
      <x:c r="G1" s="19"/>
      <x:c r="H1" s="19"/>
      <x:c r="I1" s="19"/>
      <x:c r="J1" s="19"/>
      <x:c r="K1" s="19"/>
    </x:row>
    <x:row r="2">
      <x:c r="A2" s="20" t="str">
        <x:v>REGULATION_QUEUE | Run folder: RUN-IMO-111-20260830T222411916956Z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TERM_RESOLUTION_UNRESOLVED</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fd179cdb30f047b6"/>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3" hidden="0" customWidth="1"/>
    <x:col min="7" max="7" width="24" hidden="0" customWidth="1"/>
    <x:col min="8" max="8" width="11" hidden="0" customWidth="1"/>
    <x:col min="9" max="9" width="24" hidden="0" customWidth="1"/>
    <x:col min="10" max="10" width="11" hidden="0" customWidth="1"/>
    <x:col min="11" max="11" width="1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RUN-IMO-111-20260830T222411916956Z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SESSION-BATCH-20260830T201120771337Z</x:v>
      </x:c>
      <x:c r="B5" s="69" t="str">
        <x:v>RUN-IMO-111-20260830T222411916956Z</x:v>
      </x:c>
      <x:c r="C5" s="69" t="str">
        <x:v>IMO-111</x:v>
      </x:c>
      <x:c r="D5" s="70" t="n">
        <x:v>46264.933471261575</x:v>
      </x:c>
      <x:c r="E5" s="70" t="n">
        <x:v>46264.93447046296</x:v>
      </x:c>
      <x:c r="F5" s="69" t="str">
        <x:v>final-luna-main-run09</x:v>
      </x:c>
      <x:c r="G5" s="69" t="str">
        <x:v>VOCAB-LOCK-2026-08-22-R13</x:v>
      </x:c>
      <x:c r="H5" s="71" t="n">
        <x:v>2</x:v>
      </x:c>
      <x:c r="I5" s="69" t="str">
        <x:v>TERM_RESOLUTION_UNRESOLVED</x:v>
      </x:c>
      <x:c r="J5" s="72" t="b">
        <x:v>0</x:v>
      </x:c>
      <x:c r="K5" s="69" t="str"/>
      <x:c r="L5" s="73" t="str">
        <x:v>No supplied candidate defines an owner-compatible component or tank path/term with the required domain semantics; the quantity properties remain insufficient to resolve the reported domain mismatch.</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9272af28d6c84065"/>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22"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RUN-IMO-111-20260830T222411916956Z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RUN-IMO-111-20260830T222411916956Z</x:v>
      </x:c>
      <x:c r="B5" s="45" t="str">
        <x:v>IMO-111</x:v>
      </x:c>
      <x:c r="C5" s="58" t="n">
        <x:v>1</x:v>
      </x:c>
      <x:c r="D5" s="80" t="b">
        <x:v>1</x:v>
      </x:c>
      <x:c r="E5" s="80" t="b">
        <x:v>0</x:v>
      </x:c>
      <x:c r="F5" s="80" t="b">
        <x:v>0</x:v>
      </x:c>
      <x:c r="G5" s="45" t="str">
        <x:v>REVISE</x:v>
      </x:c>
      <x:c r="H5" s="46" t="str">
        <x:v>Repair the universal tank-level logic. The candidate uses invented string alternatives for tankType instead of the supplied canonical oilResidueTank and oilyBilgeWaterHoldingTank class terms, and it places unpaired capacity, type, and separation values directly on the ship. Its ship-wide FILTER NOT EXISTS can pass a qualifying tank because another tank has sufficient separation. Encode each applicable tank/case using the supplied component relationship and canonical tank classes, with capacity and separation values paired on that same tank/case node; enforce the condition separately for every qualifying tank. Preserve the applicability conditions, capacity &gt; 30 m3 exception, and inclusive separation threshold &gt;= 0.76 m.</x:v>
      </x:c>
      <x:c r="I5" s="81" t="n">
        <x:v>24166.884</x:v>
      </x:c>
      <x:c r="J5" s="81" t="n">
        <x:v>13062.892</x:v>
      </x:c>
    </x:row>
    <x:row r="6">
      <x:c r="A6" s="49" t="str">
        <x:v>RUN-IMO-111-20260830T222411916956Z</x:v>
      </x:c>
      <x:c r="B6" s="49" t="str">
        <x:v>IMO-111</x:v>
      </x:c>
      <x:c r="C6" s="60" t="n">
        <x:v>2</x:v>
      </x:c>
      <x:c r="D6" s="82" t="b">
        <x:v>1</x:v>
      </x:c>
      <x:c r="E6" s="82" t="b">
        <x:v>0</x:v>
      </x:c>
      <x:c r="F6" s="82" t="b">
        <x:v>1</x:v>
      </x:c>
      <x:c r="G6" s="49" t="str">
        <x:v>STOP_TERM_RESOLUTION</x:v>
      </x:c>
      <x:c r="H6" s="50" t="str">
        <x:v>The universal tank-level logic now correctly uses hasComponent, canonical tank classes, same-tank capacity/separation pairing, capacity &gt; 30 m3, and inclusive separation &gt;= 0.76 m; preserve that repair. However, individualTankCapacity and tankOuterShellSeparation are placed directly on each tank even though their authoritative supplied requiredOwner/domain is ship/benchmarkEntity. Obtain or define canonical owner-compatible component/tank paths or terms, then use those paths while retaining the ship-level applicability checks. The current graph therefore checks properties on entities incompatible with their supplied canonical domains.</x:v>
      </x:c>
      <x:c r="I6" s="83" t="n">
        <x:v>27456.579</x:v>
      </x:c>
      <x:c r="J6" s="83" t="n">
        <x:v>16483.141</x:v>
      </x:c>
    </x:row>
  </x:sheetData>
  <x:conditionalFormatting sqref="G5:G6">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021268584f16425b"/>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20"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RUN-IMO-111-20260830T222411916956Z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EVT-000024</x:v>
      </x:c>
      <x:c r="B5" s="45" t="str">
        <x:v>RUN-IMO-111-20260830T222411916956Z</x:v>
      </x:c>
      <x:c r="C5" s="45" t="str">
        <x:v>IMO-111</x:v>
      </x:c>
      <x:c r="D5" s="90" t="n">
        <x:v>46264.93375098379</x:v>
      </x:c>
      <x:c r="E5" s="45" t="str">
        <x:v>generator</x:v>
      </x:c>
      <x:c r="F5" s="45" t="str">
        <x:v>gpt-5.6-luna-2026-07-09</x:v>
      </x:c>
      <x:c r="G5" s="45" t="n">
        <x:v>1</x:v>
      </x:c>
      <x:c r="H5" s="45" t="n">
        <x:v>200</x:v>
      </x:c>
      <x:c r="I5" s="45" t="str">
        <x:v>Ocp-Apim-Subscription-Key</x:v>
      </x:c>
      <x:c r="J5" s="81" t="n">
        <x:v>0</x:v>
      </x:c>
      <x:c r="K5" s="81" t="n">
        <x:v>24165.484</x:v>
      </x:c>
      <x:c r="L5" s="80" t="b">
        <x:v>0</x:v>
      </x:c>
      <x:c r="M5" s="45" t="str"/>
      <x:c r="N5" s="58" t="str"/>
      <x:c r="O5" s="58" t="str"/>
      <x:c r="P5" s="58" t="str"/>
    </x:row>
    <x:row r="6">
      <x:c r="A6" s="47" t="str">
        <x:v>EVT-000025</x:v>
      </x:c>
      <x:c r="B6" s="47" t="str">
        <x:v>RUN-IMO-111-20260830T222411916956Z</x:v>
      </x:c>
      <x:c r="C6" s="47" t="str">
        <x:v>IMO-111</x:v>
      </x:c>
      <x:c r="D6" s="91" t="n">
        <x:v>46264.93375099537</x:v>
      </x:c>
      <x:c r="E6" s="47" t="str">
        <x:v>generator</x:v>
      </x:c>
      <x:c r="F6" s="47" t="str">
        <x:v>gpt-5.6-luna-2026-07-09</x:v>
      </x:c>
      <x:c r="G6" s="47" t="n">
        <x:v>1</x:v>
      </x:c>
      <x:c r="H6" s="47" t="str">
        <x:v>COMPLETED</x:v>
      </x:c>
      <x:c r="I6" s="47" t="str"/>
      <x:c r="J6" s="92" t="n">
        <x:v>0</x:v>
      </x:c>
      <x:c r="K6" s="92" t="n">
        <x:v>24166.884</x:v>
      </x:c>
      <x:c r="L6" s="93" t="b">
        <x:v>0</x:v>
      </x:c>
      <x:c r="M6" s="47" t="str">
        <x:v>resp_0aebec98dd64720c006a94ad8c03d8819597cf323413196321</x:v>
      </x:c>
      <x:c r="N6" s="59" t="n">
        <x:v>9730</x:v>
      </x:c>
      <x:c r="O6" s="59" t="n">
        <x:v>3047</x:v>
      </x:c>
      <x:c r="P6" s="59" t="n">
        <x:v>12777</x:v>
      </x:c>
    </x:row>
    <x:row r="7">
      <x:c r="A7" s="47" t="str">
        <x:v>EVT-000032</x:v>
      </x:c>
      <x:c r="B7" s="47" t="str">
        <x:v>RUN-IMO-111-20260830T222411916956Z</x:v>
      </x:c>
      <x:c r="C7" s="47" t="str">
        <x:v>IMO-111</x:v>
      </x:c>
      <x:c r="D7" s="91" t="n">
        <x:v>46264.93390366898</x:v>
      </x:c>
      <x:c r="E7" s="47" t="str">
        <x:v>validator</x:v>
      </x:c>
      <x:c r="F7" s="47" t="str">
        <x:v>gpt-5.6-luna-2026-07-09</x:v>
      </x:c>
      <x:c r="G7" s="47" t="n">
        <x:v>1</x:v>
      </x:c>
      <x:c r="H7" s="47" t="n">
        <x:v>200</x:v>
      </x:c>
      <x:c r="I7" s="47" t="str">
        <x:v>Ocp-Apim-Subscription-Key</x:v>
      </x:c>
      <x:c r="J7" s="92" t="n">
        <x:v>0</x:v>
      </x:c>
      <x:c r="K7" s="92" t="n">
        <x:v>13061.348</x:v>
      </x:c>
      <x:c r="L7" s="93" t="b">
        <x:v>0</x:v>
      </x:c>
      <x:c r="M7" s="47" t="str"/>
      <x:c r="N7" s="59" t="str"/>
      <x:c r="O7" s="59" t="str"/>
      <x:c r="P7" s="59" t="str"/>
    </x:row>
    <x:row r="8">
      <x:c r="A8" s="47" t="str">
        <x:v>EVT-000033</x:v>
      </x:c>
      <x:c r="B8" s="47" t="str">
        <x:v>RUN-IMO-111-20260830T222411916956Z</x:v>
      </x:c>
      <x:c r="C8" s="47" t="str">
        <x:v>IMO-111</x:v>
      </x:c>
      <x:c r="D8" s="91" t="n">
        <x:v>46264.93390369213</x:v>
      </x:c>
      <x:c r="E8" s="47" t="str">
        <x:v>validator</x:v>
      </x:c>
      <x:c r="F8" s="47" t="str">
        <x:v>gpt-5.6-luna-2026-07-09</x:v>
      </x:c>
      <x:c r="G8" s="47" t="n">
        <x:v>1</x:v>
      </x:c>
      <x:c r="H8" s="47" t="str">
        <x:v>COMPLETED</x:v>
      </x:c>
      <x:c r="I8" s="47" t="str"/>
      <x:c r="J8" s="92" t="n">
        <x:v>0</x:v>
      </x:c>
      <x:c r="K8" s="92" t="n">
        <x:v>13062.892</x:v>
      </x:c>
      <x:c r="L8" s="93" t="b">
        <x:v>0</x:v>
      </x:c>
      <x:c r="M8" s="47" t="str">
        <x:v>resp_0795cd29d1e89977006a94ada455a08197938c48073aeb6a9b</x:v>
      </x:c>
      <x:c r="N8" s="59" t="n">
        <x:v>8950</x:v>
      </x:c>
      <x:c r="O8" s="59" t="n">
        <x:v>1188</x:v>
      </x:c>
      <x:c r="P8" s="59" t="n">
        <x:v>10138</x:v>
      </x:c>
    </x:row>
    <x:row r="9">
      <x:c r="A9" s="47" t="str">
        <x:v>EVT-000038</x:v>
      </x:c>
      <x:c r="B9" s="47" t="str">
        <x:v>RUN-IMO-111-20260830T222411916956Z</x:v>
      </x:c>
      <x:c r="C9" s="47" t="str">
        <x:v>IMO-111</x:v>
      </x:c>
      <x:c r="D9" s="91" t="n">
        <x:v>46264.9342215162</x:v>
      </x:c>
      <x:c r="E9" s="47" t="str">
        <x:v>generator</x:v>
      </x:c>
      <x:c r="F9" s="47" t="str">
        <x:v>gpt-5.6-luna-2026-07-09</x:v>
      </x:c>
      <x:c r="G9" s="47" t="n">
        <x:v>1</x:v>
      </x:c>
      <x:c r="H9" s="47" t="n">
        <x:v>200</x:v>
      </x:c>
      <x:c r="I9" s="47" t="str">
        <x:v>Ocp-Apim-Subscription-Key</x:v>
      </x:c>
      <x:c r="J9" s="92" t="n">
        <x:v>0</x:v>
      </x:c>
      <x:c r="K9" s="92" t="n">
        <x:v>27455.16</x:v>
      </x:c>
      <x:c r="L9" s="93" t="b">
        <x:v>0</x:v>
      </x:c>
      <x:c r="M9" s="47" t="str"/>
      <x:c r="N9" s="59" t="str"/>
      <x:c r="O9" s="59" t="str"/>
      <x:c r="P9" s="59" t="str"/>
    </x:row>
    <x:row r="10">
      <x:c r="A10" s="47" t="str">
        <x:v>EVT-000039</x:v>
      </x:c>
      <x:c r="B10" s="47" t="str">
        <x:v>RUN-IMO-111-20260830T222411916956Z</x:v>
      </x:c>
      <x:c r="C10" s="47" t="str">
        <x:v>IMO-111</x:v>
      </x:c>
      <x:c r="D10" s="91" t="n">
        <x:v>46264.934221539355</x:v>
      </x:c>
      <x:c r="E10" s="47" t="str">
        <x:v>generator</x:v>
      </x:c>
      <x:c r="F10" s="47" t="str">
        <x:v>gpt-5.6-luna-2026-07-09</x:v>
      </x:c>
      <x:c r="G10" s="47" t="n">
        <x:v>1</x:v>
      </x:c>
      <x:c r="H10" s="47" t="str">
        <x:v>COMPLETED</x:v>
      </x:c>
      <x:c r="I10" s="47" t="str"/>
      <x:c r="J10" s="92" t="n">
        <x:v>0</x:v>
      </x:c>
      <x:c r="K10" s="92" t="n">
        <x:v>27456.579</x:v>
      </x:c>
      <x:c r="L10" s="93" t="b">
        <x:v>0</x:v>
      </x:c>
      <x:c r="M10" s="47" t="str">
        <x:v>resp_0c54bfbba78610a3006a94adb15d24819695b427a7e1fc9949</x:v>
      </x:c>
      <x:c r="N10" s="59" t="n">
        <x:v>9863</x:v>
      </x:c>
      <x:c r="O10" s="59" t="n">
        <x:v>3421</x:v>
      </x:c>
      <x:c r="P10" s="59" t="n">
        <x:v>13284</x:v>
      </x:c>
    </x:row>
    <x:row r="11">
      <x:c r="A11" s="47" t="str">
        <x:v>EVT-000046</x:v>
      </x:c>
      <x:c r="B11" s="47" t="str">
        <x:v>RUN-IMO-111-20260830T222411916956Z</x:v>
      </x:c>
      <x:c r="C11" s="47" t="str">
        <x:v>IMO-111</x:v>
      </x:c>
      <x:c r="D11" s="91" t="n">
        <x:v>46264.93441375</x:v>
      </x:c>
      <x:c r="E11" s="47" t="str">
        <x:v>validator</x:v>
      </x:c>
      <x:c r="F11" s="47" t="str">
        <x:v>gpt-5.6-luna-2026-07-09</x:v>
      </x:c>
      <x:c r="G11" s="47" t="n">
        <x:v>1</x:v>
      </x:c>
      <x:c r="H11" s="47" t="n">
        <x:v>200</x:v>
      </x:c>
      <x:c r="I11" s="47" t="str">
        <x:v>Ocp-Apim-Subscription-Key</x:v>
      </x:c>
      <x:c r="J11" s="92" t="n">
        <x:v>0</x:v>
      </x:c>
      <x:c r="K11" s="92" t="n">
        <x:v>16482.499</x:v>
      </x:c>
      <x:c r="L11" s="93" t="b">
        <x:v>0</x:v>
      </x:c>
      <x:c r="M11" s="47" t="str"/>
      <x:c r="N11" s="59" t="str"/>
      <x:c r="O11" s="59" t="str"/>
      <x:c r="P11" s="59" t="str"/>
    </x:row>
    <x:row r="12">
      <x:c r="A12" s="47" t="str">
        <x:v>EVT-000047</x:v>
      </x:c>
      <x:c r="B12" s="47" t="str">
        <x:v>RUN-IMO-111-20260830T222411916956Z</x:v>
      </x:c>
      <x:c r="C12" s="47" t="str">
        <x:v>IMO-111</x:v>
      </x:c>
      <x:c r="D12" s="91" t="n">
        <x:v>46264.93441376158</x:v>
      </x:c>
      <x:c r="E12" s="47" t="str">
        <x:v>validator</x:v>
      </x:c>
      <x:c r="F12" s="47" t="str">
        <x:v>gpt-5.6-luna-2026-07-09</x:v>
      </x:c>
      <x:c r="G12" s="47" t="n">
        <x:v>1</x:v>
      </x:c>
      <x:c r="H12" s="47" t="str">
        <x:v>COMPLETED</x:v>
      </x:c>
      <x:c r="I12" s="47" t="str"/>
      <x:c r="J12" s="92" t="n">
        <x:v>0</x:v>
      </x:c>
      <x:c r="K12" s="92" t="n">
        <x:v>16483.141</x:v>
      </x:c>
      <x:c r="L12" s="93" t="b">
        <x:v>0</x:v>
      </x:c>
      <x:c r="M12" s="47" t="str">
        <x:v>resp_000e65c28aebcb89006a94adccf23081909046f16a364f6fd8</x:v>
      </x:c>
      <x:c r="N12" s="59" t="n">
        <x:v>9288</x:v>
      </x:c>
      <x:c r="O12" s="59" t="n">
        <x:v>1552</x:v>
      </x:c>
      <x:c r="P12" s="59" t="n">
        <x:v>10840</x:v>
      </x:c>
    </x:row>
    <x:row r="13">
      <x:c r="A13" s="47" t="str">
        <x:v>EVT-000053</x:v>
      </x:c>
      <x:c r="B13" s="47" t="str">
        <x:v>RUN-IMO-111-20260830T222411916956Z</x:v>
      </x:c>
      <x:c r="C13" s="47" t="str">
        <x:v>IMO-111</x:v>
      </x:c>
      <x:c r="D13" s="91" t="n">
        <x:v>46264.93447039352</x:v>
      </x:c>
      <x:c r="E13" s="47" t="str">
        <x:v>vocabulary_matcher</x:v>
      </x:c>
      <x:c r="F13" s="47" t="str">
        <x:v>gpt-5.6-luna-2026-07-09</x:v>
      </x:c>
      <x:c r="G13" s="47" t="n">
        <x:v>1</x:v>
      </x:c>
      <x:c r="H13" s="47" t="n">
        <x:v>200</x:v>
      </x:c>
      <x:c r="I13" s="47" t="str">
        <x:v>Ocp-Apim-Subscription-Key</x:v>
      </x:c>
      <x:c r="J13" s="92" t="n">
        <x:v>0</x:v>
      </x:c>
      <x:c r="K13" s="92" t="n">
        <x:v>3784.059</x:v>
      </x:c>
      <x:c r="L13" s="93" t="b">
        <x:v>0</x:v>
      </x:c>
      <x:c r="M13" s="47" t="str"/>
      <x:c r="N13" s="59" t="str"/>
      <x:c r="O13" s="59" t="str"/>
      <x:c r="P13" s="59" t="str"/>
    </x:row>
    <x:row r="14">
      <x:c r="A14" s="49" t="str">
        <x:v>EVT-000054</x:v>
      </x:c>
      <x:c r="B14" s="49" t="str">
        <x:v>RUN-IMO-111-20260830T222411916956Z</x:v>
      </x:c>
      <x:c r="C14" s="49" t="str">
        <x:v>IMO-111</x:v>
      </x:c>
      <x:c r="D14" s="94" t="n">
        <x:v>46264.93447040509</x:v>
      </x:c>
      <x:c r="E14" s="49" t="str">
        <x:v>vocabulary_matcher</x:v>
      </x:c>
      <x:c r="F14" s="49" t="str">
        <x:v>gpt-5.6-luna-2026-07-09</x:v>
      </x:c>
      <x:c r="G14" s="49" t="n">
        <x:v>1</x:v>
      </x:c>
      <x:c r="H14" s="49" t="str">
        <x:v>COMPLETED</x:v>
      </x:c>
      <x:c r="I14" s="49" t="str"/>
      <x:c r="J14" s="83" t="n">
        <x:v>0</x:v>
      </x:c>
      <x:c r="K14" s="83" t="n">
        <x:v>3785.577</x:v>
      </x:c>
      <x:c r="L14" s="82" t="b">
        <x:v>0</x:v>
      </x:c>
      <x:c r="M14" s="49" t="str">
        <x:v>resp_02bb4cb107e70bb8006a94adde876c81978e6cd501c905f5f1</x:v>
      </x:c>
      <x:c r="N14" s="60" t="n">
        <x:v>2269</x:v>
      </x:c>
      <x:c r="O14" s="60" t="n">
        <x:v>363</x:v>
      </x:c>
      <x:c r="P14" s="60" t="n">
        <x:v>2632</x:v>
      </x:c>
    </x:row>
  </x:sheetData>
  <x:conditionalFormatting sqref="H5:H14">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43569414340c467f"/>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2" hidden="0" customWidth="1"/>
    <x:col min="7" max="7" width="46" hidden="0" customWidth="1"/>
    <x:col min="8" max="8" width="24"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RUN-IMO-111-20260830T222411916956Z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RUN-IMO-111-20260830T222411916956Z</x:v>
      </x:c>
      <x:c r="B5" s="45" t="str">
        <x:v>IMO-111</x:v>
      </x:c>
      <x:c r="C5" s="45" t="str">
        <x:v>benchmarkEntity</x:v>
      </x:c>
      <x:c r="D5" s="46" t="str">
        <x:v>https://w3id.org/nltl/vocab#benchmarkEntity</x:v>
      </x:c>
      <x:c r="E5" s="45" t="str">
        <x:v>Class</x:v>
      </x:c>
      <x:c r="F5" s="45" t="str"/>
      <x:c r="G5" s="45" t="str"/>
      <x:c r="H5" s="45" t="str"/>
      <x:c r="I5" s="46" t="str">
        <x:v>baseline target infrastructure; domain dependency of constructionDate; domain dependency of individualTankCapacity; domain dependency of shipCategory; domain dependency of tankOuterShellSeparation; domain dependency of tankType</x:v>
      </x:c>
      <x:c r="J5" s="45" t="n">
        <x:v>0</x:v>
      </x:c>
    </x:row>
    <x:row r="6">
      <x:c r="A6" s="47" t="str">
        <x:v>RUN-IMO-111-20260830T222411916956Z</x:v>
      </x:c>
      <x:c r="B6" s="47" t="str">
        <x:v>IMO-111</x:v>
      </x:c>
      <x:c r="C6" s="47" t="str">
        <x:v>constructionDate</x:v>
      </x:c>
      <x:c r="D6" s="48" t="str">
        <x:v>https://w3id.org/nltl/vocab#constructionDate</x:v>
      </x:c>
      <x:c r="E6" s="47" t="str">
        <x:v>DatatypeProperty</x:v>
      </x:c>
      <x:c r="F6" s="47" t="str">
        <x:v>xsd:date</x:v>
      </x:c>
      <x:c r="G6" s="47" t="str">
        <x:v>http://www.w3.org/2001/XMLSchema#date</x:v>
      </x:c>
      <x:c r="H6" s="47" t="str"/>
      <x:c r="I6" s="48" t="str">
        <x:v>linked by the locked 313-requirement index</x:v>
      </x:c>
      <x:c r="J6" s="47" t="n">
        <x:v>0</x:v>
      </x:c>
    </x:row>
    <x:row r="7">
      <x:c r="A7" s="47" t="str">
        <x:v>RUN-IMO-111-20260830T222411916956Z</x:v>
      </x:c>
      <x:c r="B7" s="47" t="str">
        <x:v>IMO-111</x:v>
      </x:c>
      <x:c r="C7" s="47" t="str">
        <x:v>hasComponent</x:v>
      </x:c>
      <x:c r="D7" s="48" t="str">
        <x:v>https://w3id.org/nltl/vocab#hasComponent</x:v>
      </x:c>
      <x:c r="E7" s="47" t="str">
        <x:v>ObjectProperty</x:v>
      </x:c>
      <x:c r="F7" s="47" t="str"/>
      <x:c r="G7" s="47" t="str">
        <x:v>https://w3id.org/nltl/vocab#shipComponent</x:v>
      </x:c>
      <x:c r="H7" s="47" t="str"/>
      <x:c r="I7" s="48" t="str">
        <x:v>component-path dependency inferred from the linked term module</x:v>
      </x:c>
      <x:c r="J7" s="47" t="n">
        <x:v>0</x:v>
      </x:c>
    </x:row>
    <x:row r="8">
      <x:c r="A8" s="47" t="str">
        <x:v>RUN-IMO-111-20260830T222411916956Z</x:v>
      </x:c>
      <x:c r="B8" s="47" t="str">
        <x:v>IMO-111</x:v>
      </x:c>
      <x:c r="C8" s="47" t="str">
        <x:v>individualTankCapacity</x:v>
      </x:c>
      <x:c r="D8" s="48" t="str">
        <x:v>https://w3id.org/nltl/vocab#individualTankCapacity</x:v>
      </x:c>
      <x:c r="E8" s="47" t="str">
        <x:v>QuantityProperty</x:v>
      </x:c>
      <x:c r="F8" s="47" t="str"/>
      <x:c r="G8" s="47" t="str">
        <x:v>http://qudt.org/schema/qudt/QuantityValue</x:v>
      </x:c>
      <x:c r="H8" s="47" t="str">
        <x:v>http://qudt.org/vocab/unit/M3</x:v>
      </x:c>
      <x:c r="I8" s="48" t="str">
        <x:v>linked by the locked 313-requirement index</x:v>
      </x:c>
      <x:c r="J8" s="47" t="n">
        <x:v>0</x:v>
      </x:c>
    </x:row>
    <x:row r="9">
      <x:c r="A9" s="47" t="str">
        <x:v>RUN-IMO-111-20260830T222411916956Z</x:v>
      </x:c>
      <x:c r="B9" s="47" t="str">
        <x:v>IMO-111</x:v>
      </x:c>
      <x:c r="C9" s="47" t="str">
        <x:v>machineryComponent</x:v>
      </x:c>
      <x:c r="D9" s="48" t="str">
        <x:v>https://w3id.org/nltl/vocab#machineryComponent</x:v>
      </x:c>
      <x:c r="E9" s="47" t="str">
        <x:v>Class</x:v>
      </x:c>
      <x:c r="F9" s="47" t="str"/>
      <x:c r="G9" s="47" t="str"/>
      <x:c r="H9" s="47" t="str"/>
      <x:c r="I9" s="48" t="str">
        <x:v>range dependency of oilResidueTank; range dependency of oilyBilgeWaterHoldingTank</x:v>
      </x:c>
      <x:c r="J9" s="47" t="n">
        <x:v>0</x:v>
      </x:c>
    </x:row>
    <x:row r="10">
      <x:c r="A10" s="47" t="str">
        <x:v>RUN-IMO-111-20260830T222411916956Z</x:v>
      </x:c>
      <x:c r="B10" s="47" t="str">
        <x:v>IMO-111</x:v>
      </x:c>
      <x:c r="C10" s="47" t="str">
        <x:v>oilResidueTank</x:v>
      </x:c>
      <x:c r="D10" s="48" t="str">
        <x:v>https://w3id.org/nltl/vocab#oilResidueTank</x:v>
      </x:c>
      <x:c r="E10" s="47" t="str">
        <x:v>Class</x:v>
      </x:c>
      <x:c r="F10" s="47" t="str"/>
      <x:c r="G10" s="47" t="str">
        <x:v>https://w3id.org/nltl/vocab#machineryComponent</x:v>
      </x:c>
      <x:c r="H10" s="47" t="str"/>
      <x:c r="I10" s="48" t="str">
        <x:v>linked by the locked 313-requirement index</x:v>
      </x:c>
      <x:c r="J10" s="47" t="n">
        <x:v>0</x:v>
      </x:c>
    </x:row>
    <x:row r="11">
      <x:c r="A11" s="47" t="str">
        <x:v>RUN-IMO-111-20260830T222411916956Z</x:v>
      </x:c>
      <x:c r="B11" s="47" t="str">
        <x:v>IMO-111</x:v>
      </x:c>
      <x:c r="C11" s="47" t="str">
        <x:v>oilyBilgeWaterHoldingTank</x:v>
      </x:c>
      <x:c r="D11" s="48" t="str">
        <x:v>https://w3id.org/nltl/vocab#oilyBilgeWaterHoldingTank</x:v>
      </x:c>
      <x:c r="E11" s="47" t="str">
        <x:v>Class</x:v>
      </x:c>
      <x:c r="F11" s="47" t="str"/>
      <x:c r="G11" s="47" t="str">
        <x:v>https://w3id.org/nltl/vocab#machineryComponent</x:v>
      </x:c>
      <x:c r="H11" s="47" t="str"/>
      <x:c r="I11" s="48" t="str">
        <x:v>linked by the locked 313-requirement index</x:v>
      </x:c>
      <x:c r="J11" s="47" t="n">
        <x:v>0</x:v>
      </x:c>
    </x:row>
    <x:row r="12">
      <x:c r="A12" s="47" t="str">
        <x:v>RUN-IMO-111-20260830T222411916956Z</x:v>
      </x:c>
      <x:c r="B12" s="47" t="str">
        <x:v>IMO-111</x:v>
      </x:c>
      <x:c r="C12" s="47" t="str">
        <x:v>polarShipCategoryA</x:v>
      </x:c>
      <x:c r="D12" s="48" t="str">
        <x:v>https://w3id.org/nltl/vocab#polarShipCategoryA</x:v>
      </x:c>
      <x:c r="E12" s="47" t="str">
        <x:v>NamedIndividual</x:v>
      </x:c>
      <x:c r="F12" s="47" t="str"/>
      <x:c r="G12" s="47" t="str">
        <x:v>https://w3id.org/nltl/vocab#polarShipCategoryValue</x:v>
      </x:c>
      <x:c r="H12" s="47" t="str"/>
      <x:c r="I12" s="48" t="str">
        <x:v>controlled value permitted by the range of shipCategory</x:v>
      </x:c>
      <x:c r="J12" s="47" t="n">
        <x:v>0</x:v>
      </x:c>
    </x:row>
    <x:row r="13">
      <x:c r="A13" s="47" t="str">
        <x:v>RUN-IMO-111-20260830T222411916956Z</x:v>
      </x:c>
      <x:c r="B13" s="47" t="str">
        <x:v>IMO-111</x:v>
      </x:c>
      <x:c r="C13" s="47" t="str">
        <x:v>polarShipCategoryB</x:v>
      </x:c>
      <x:c r="D13" s="48" t="str">
        <x:v>https://w3id.org/nltl/vocab#polarShipCategoryB</x:v>
      </x:c>
      <x:c r="E13" s="47" t="str">
        <x:v>NamedIndividual</x:v>
      </x:c>
      <x:c r="F13" s="47" t="str"/>
      <x:c r="G13" s="47" t="str">
        <x:v>https://w3id.org/nltl/vocab#polarShipCategoryValue</x:v>
      </x:c>
      <x:c r="H13" s="47" t="str"/>
      <x:c r="I13" s="48" t="str">
        <x:v>controlled value permitted by the range of shipCategory</x:v>
      </x:c>
      <x:c r="J13" s="47" t="n">
        <x:v>0</x:v>
      </x:c>
    </x:row>
    <x:row r="14">
      <x:c r="A14" s="47" t="str">
        <x:v>RUN-IMO-111-20260830T222411916956Z</x:v>
      </x:c>
      <x:c r="B14" s="47" t="str">
        <x:v>IMO-111</x:v>
      </x:c>
      <x:c r="C14" s="47" t="str">
        <x:v>polarShipCategoryC</x:v>
      </x:c>
      <x:c r="D14" s="48" t="str">
        <x:v>https://w3id.org/nltl/vocab#polarShipCategoryC</x:v>
      </x:c>
      <x:c r="E14" s="47" t="str">
        <x:v>NamedIndividual</x:v>
      </x:c>
      <x:c r="F14" s="47" t="str"/>
      <x:c r="G14" s="47" t="str">
        <x:v>https://w3id.org/nltl/vocab#polarShipCategoryValue</x:v>
      </x:c>
      <x:c r="H14" s="47" t="str"/>
      <x:c r="I14" s="48" t="str">
        <x:v>controlled value permitted by the range of shipCategory</x:v>
      </x:c>
      <x:c r="J14" s="47" t="n">
        <x:v>0</x:v>
      </x:c>
    </x:row>
    <x:row r="15">
      <x:c r="A15" s="47" t="str">
        <x:v>RUN-IMO-111-20260830T222411916956Z</x:v>
      </x:c>
      <x:c r="B15" s="47" t="str">
        <x:v>IMO-111</x:v>
      </x:c>
      <x:c r="C15" s="47" t="str">
        <x:v>polarShipCategoryValue</x:v>
      </x:c>
      <x:c r="D15" s="48" t="str">
        <x:v>https://w3id.org/nltl/vocab#polarShipCategoryValue</x:v>
      </x:c>
      <x:c r="E15" s="47" t="str">
        <x:v>Class</x:v>
      </x:c>
      <x:c r="F15" s="47" t="str"/>
      <x:c r="G15" s="47" t="str"/>
      <x:c r="H15" s="47" t="str"/>
      <x:c r="I15" s="48" t="str">
        <x:v>range dependency of shipCategory</x:v>
      </x:c>
      <x:c r="J15" s="47" t="n">
        <x:v>0</x:v>
      </x:c>
    </x:row>
    <x:row r="16">
      <x:c r="A16" s="47" t="str">
        <x:v>RUN-IMO-111-20260830T222411916956Z</x:v>
      </x:c>
      <x:c r="B16" s="47" t="str">
        <x:v>IMO-111</x:v>
      </x:c>
      <x:c r="C16" s="47" t="str">
        <x:v>ship</x:v>
      </x:c>
      <x:c r="D16" s="48" t="str">
        <x:v>https://w3id.org/nltl/vocab#ship</x:v>
      </x:c>
      <x:c r="E16" s="47" t="str">
        <x:v>Class</x:v>
      </x:c>
      <x:c r="F16" s="47" t="str"/>
      <x:c r="G16" s="47" t="str"/>
      <x:c r="H16" s="47" t="str"/>
      <x:c r="I16" s="48" t="str">
        <x:v>authoritative required owner class; authoritative requirement target owner; baseline target infrastructure</x:v>
      </x:c>
      <x:c r="J16" s="47" t="n">
        <x:v>0</x:v>
      </x:c>
    </x:row>
    <x:row r="17">
      <x:c r="A17" s="47" t="str">
        <x:v>RUN-IMO-111-20260830T222411916956Z</x:v>
      </x:c>
      <x:c r="B17" s="47" t="str">
        <x:v>IMO-111</x:v>
      </x:c>
      <x:c r="C17" s="47" t="str">
        <x:v>shipCategory</x:v>
      </x:c>
      <x:c r="D17" s="48" t="str">
        <x:v>https://w3id.org/nltl/vocab#shipCategory</x:v>
      </x:c>
      <x:c r="E17" s="47" t="str">
        <x:v>ObjectProperty</x:v>
      </x:c>
      <x:c r="F17" s="47" t="str"/>
      <x:c r="G17" s="47" t="str">
        <x:v>https://w3id.org/nltl/vocab#polarShipCategoryValue</x:v>
      </x:c>
      <x:c r="H17" s="47" t="str"/>
      <x:c r="I17" s="48" t="str">
        <x:v>linked by the locked 313-requirement index</x:v>
      </x:c>
      <x:c r="J17" s="47" t="n">
        <x:v>0</x:v>
      </x:c>
    </x:row>
    <x:row r="18">
      <x:c r="A18" s="47" t="str">
        <x:v>RUN-IMO-111-20260830T222411916956Z</x:v>
      </x:c>
      <x:c r="B18" s="47" t="str">
        <x:v>IMO-111</x:v>
      </x:c>
      <x:c r="C18" s="47" t="str">
        <x:v>shipComponent</x:v>
      </x:c>
      <x:c r="D18" s="48" t="str">
        <x:v>https://w3id.org/nltl/vocab#shipComponent</x:v>
      </x:c>
      <x:c r="E18" s="47" t="str">
        <x:v>Class</x:v>
      </x:c>
      <x:c r="F18" s="47" t="str"/>
      <x:c r="G18" s="47" t="str"/>
      <x:c r="H18" s="47" t="str"/>
      <x:c r="I18" s="48" t="str">
        <x:v>component-path dependency inferred from the linked term module</x:v>
      </x:c>
      <x:c r="J18" s="47" t="n">
        <x:v>0</x:v>
      </x:c>
    </x:row>
    <x:row r="19">
      <x:c r="A19" s="47" t="str">
        <x:v>RUN-IMO-111-20260830T222411916956Z</x:v>
      </x:c>
      <x:c r="B19" s="47" t="str">
        <x:v>IMO-111</x:v>
      </x:c>
      <x:c r="C19" s="47" t="str">
        <x:v>tankOuterShellSeparation</x:v>
      </x:c>
      <x:c r="D19" s="48" t="str">
        <x:v>https://w3id.org/nltl/vocab#tankOuterShellSeparation</x:v>
      </x:c>
      <x:c r="E19" s="47" t="str">
        <x:v>QuantityProperty</x:v>
      </x:c>
      <x:c r="F19" s="47" t="str"/>
      <x:c r="G19" s="47" t="str">
        <x:v>http://qudt.org/schema/qudt/QuantityValue</x:v>
      </x:c>
      <x:c r="H19" s="47" t="str">
        <x:v>http://qudt.org/vocab/unit/M</x:v>
      </x:c>
      <x:c r="I19" s="48" t="str">
        <x:v>linked by the locked 313-requirement index</x:v>
      </x:c>
      <x:c r="J19" s="47" t="n">
        <x:v>0</x:v>
      </x:c>
    </x:row>
    <x:row r="20">
      <x:c r="A20" s="49" t="str">
        <x:v>RUN-IMO-111-20260830T222411916956Z</x:v>
      </x:c>
      <x:c r="B20" s="49" t="str">
        <x:v>IMO-111</x:v>
      </x:c>
      <x:c r="C20" s="49" t="str">
        <x:v>tankType</x:v>
      </x:c>
      <x:c r="D20" s="50" t="str">
        <x:v>https://w3id.org/nltl/vocab#tankType</x:v>
      </x:c>
      <x:c r="E20" s="49" t="str">
        <x:v>DatatypeProperty</x:v>
      </x:c>
      <x:c r="F20" s="49" t="str">
        <x:v>xsd:string</x:v>
      </x:c>
      <x:c r="G20" s="49" t="str">
        <x:v>http://www.w3.org/2001/XMLSchema#string</x:v>
      </x:c>
      <x:c r="H20" s="49" t="str"/>
      <x:c r="I20" s="50" t="str">
        <x:v>linked by the locked 313-requirement index</x:v>
      </x:c>
      <x:c r="J20" s="49" t="n">
        <x:v>0</x:v>
      </x:c>
    </x:row>
  </x:sheetData>
  <x:pageMargins left="0.7" right="0.7" top="0.75" bottom="0.75" header="0.3" footer="0.3"/>
  <x:tableParts count="1">
    <x:tablePart xmlns:r="http://schemas.openxmlformats.org/officeDocument/2006/relationships" r:id="R3422d57c37d54cc0"/>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24"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RUN-IMO-111-20260830T222411916956Z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RUN-IMO-111-20260830T222411916956Z</x:v>
      </x:c>
      <x:c r="B5" s="45" t="str">
        <x:v>IMO-111</x:v>
      </x:c>
      <x:c r="C5" s="45" t="str">
        <x:v>FS-INT-02</x:v>
      </x:c>
      <x:c r="D5" s="45" t="str">
        <x:v>conditional_integrated</x:v>
      </x:c>
      <x:c r="E5" s="97" t="n">
        <x:v>0.039474</x:v>
      </x:c>
      <x:c r="F5" s="45" t="str">
        <x:v>conditional | date | quantity</x:v>
      </x:c>
      <x:c r="G5" s="45" t="str">
        <x:v>synthetic-few-shot-not-benchmark-ground-truth</x:v>
      </x:c>
    </x:row>
    <x:row r="6">
      <x:c r="A6" s="49" t="str">
        <x:v>RUN-IMO-111-20260830T222411916956Z</x:v>
      </x:c>
      <x:c r="B6" s="49" t="str">
        <x:v>IMO-111</x:v>
      </x:c>
      <x:c r="C6" s="49" t="str">
        <x:v>FS-QTY-01</x:v>
      </x:c>
      <x:c r="D6" s="49" t="str">
        <x:v>qudt_quantity</x:v>
      </x:c>
      <x:c r="E6" s="98" t="n">
        <x:v>0.027027</x:v>
      </x:c>
      <x:c r="F6" s="49" t="str">
        <x:v>quantity | qudt</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beeeef4ee5b84e79"/>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RUN-IMO-111-20260830T222411916956Z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RUN-IMO-111-20260830T222411916956Z</x:v>
      </x:c>
      <x:c r="B5" s="45" t="str">
        <x:v>IMO-111</x:v>
      </x:c>
      <x:c r="C5" s="58" t="n">
        <x:v>1</x:v>
      </x:c>
      <x:c r="D5" s="80" t="b">
        <x:v>1</x:v>
      </x:c>
      <x:c r="E5" s="80" t="b">
        <x:v>1</x:v>
      </x:c>
      <x:c r="F5" s="80" t="b">
        <x:v>1</x:v>
      </x:c>
      <x:c r="G5" s="80" t="b">
        <x:v>1</x:v>
      </x:c>
      <x:c r="H5" s="80" t="b">
        <x:v>1</x:v>
      </x:c>
      <x:c r="I5" s="80" t="b">
        <x:v>1</x:v>
      </x:c>
      <x:c r="J5" s="80" t="b">
        <x:v>1</x:v>
      </x:c>
      <x:c r="K5" s="101" t="b">
        <x:v>1</x:v>
      </x:c>
      <x:c r="L5" s="46" t="str"/>
      <x:c r="M5" s="46" t="str"/>
      <x:c r="N5" s="46" t="str">
        <x:v>https://w3id.org/nltl/vocab#constructionDate | https://w3id.org/nltl/vocab#individualTankCapacity | https://w3id.org/nltl/vocab#polarShipCategoryA | https://w3id.org/nltl/vocab#polarShipCategoryB | https://w3id.org/nltl/vocab#polarShipCategoryC | https://w3id.org/nltl/vocab#ship | https://w3id.org/nltl/vocab#shipCategory | https://w3id.org/nltl/vocab#tankOuterShellSeparation | https://w3id.org/nltl/vocab#tankType</x:v>
      </x:c>
      <x:c r="O5" s="46" t="str"/>
      <x:c r="P5" s="46" t="str"/>
      <x:c r="Q5" s="46" t="str"/>
    </x:row>
    <x:row r="6">
      <x:c r="A6" s="49" t="str">
        <x:v>RUN-IMO-111-20260830T222411916956Z</x:v>
      </x:c>
      <x:c r="B6" s="49" t="str">
        <x:v>IMO-111</x:v>
      </x:c>
      <x:c r="C6" s="60" t="n">
        <x:v>2</x:v>
      </x:c>
      <x:c r="D6" s="82" t="b">
        <x:v>1</x:v>
      </x:c>
      <x:c r="E6" s="82" t="b">
        <x:v>1</x:v>
      </x:c>
      <x:c r="F6" s="82" t="b">
        <x:v>1</x:v>
      </x:c>
      <x:c r="G6" s="82" t="b">
        <x:v>1</x:v>
      </x:c>
      <x:c r="H6" s="82" t="b">
        <x:v>1</x:v>
      </x:c>
      <x:c r="I6" s="82" t="b">
        <x:v>1</x:v>
      </x:c>
      <x:c r="J6" s="82" t="b">
        <x:v>1</x:v>
      </x:c>
      <x:c r="K6" s="102" t="b">
        <x:v>1</x:v>
      </x:c>
      <x:c r="L6" s="50" t="str"/>
      <x:c r="M6" s="50" t="str"/>
      <x:c r="N6" s="50" t="str">
        <x:v>https://w3id.org/nltl/vocab#constructionDate | https://w3id.org/nltl/vocab#hasComponent | https://w3id.org/nltl/vocab#individualTankCapacity | https://w3id.org/nltl/vocab#oilResidueTank | https://w3id.org/nltl/vocab#oilyBilgeWaterHoldingTank | https://w3id.org/nltl/vocab#polarShipCategoryA | https://w3id.org/nltl/vocab#polarShipCategoryB | https://w3id.org/nltl/vocab#polarShipCategoryC | https://w3id.org/nltl/vocab#ship | https://w3id.org/nltl/vocab#shipCategory | https://w3id.org/nltl/vocab#tankOuterShellSeparation</x:v>
      </x:c>
      <x:c r="O6" s="50" t="str"/>
      <x:c r="P6" s="50" t="str"/>
      <x:c r="Q6" s="50" t="str"/>
    </x:row>
  </x:sheetData>
  <x:pageMargins left="0.7" right="0.7" top="0.75" bottom="0.75" header="0.3" footer="0.3"/>
  <x:tableParts count="1">
    <x:tablePart xmlns:r="http://schemas.openxmlformats.org/officeDocument/2006/relationships" r:id="Rd280fa44466e43dd"/>
  </x:tableParts>
</x:worksheet>
</file>

<file path=xl/worksheets/sheet10.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8" hidden="0" customWidth="1"/>
    <x:col min="5" max="5" width="52" hidden="0" customWidth="1"/>
    <x:col min="6" max="6" width="17" hidden="0" customWidth="1"/>
    <x:col min="7" max="7" width="13" hidden="0" customWidth="1"/>
    <x:col min="8" max="8" width="40" hidden="0" customWidth="1"/>
    <x:col min="9" max="9" width="52" hidden="0" customWidth="1"/>
    <x:col min="10" max="10" width="52" hidden="0" customWidth="1"/>
  </x:cols>
  <x:sheetData>
    <x:row r="1">
      <x:c r="A1" s="18" t="str">
        <x:v>NLTL SHACL Pipeline Run Tracker</x:v>
      </x:c>
      <x:c r="B1" s="19"/>
      <x:c r="C1" s="19"/>
      <x:c r="D1" s="19"/>
      <x:c r="E1" s="19"/>
      <x:c r="F1" s="19"/>
      <x:c r="G1" s="19"/>
      <x:c r="H1" s="19"/>
      <x:c r="I1" s="19"/>
      <x:c r="J1" s="19"/>
    </x:row>
    <x:row r="2">
      <x:c r="A2" s="20" t="str">
        <x:v>VOCAB_MATCHES | Run folder: RUN-IMO-111-20260830T222411916956Z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45" t="str">
        <x:v>RUN-IMO-111-20260830T222411916956Z</x:v>
      </x:c>
      <x:c r="B5" s="45" t="str">
        <x:v>IMO-111</x:v>
      </x:c>
      <x:c r="C5" s="58" t="n">
        <x:v>2</x:v>
      </x:c>
      <x:c r="D5" s="45" t="str">
        <x:v>matcher_search</x:v>
      </x:c>
      <x:c r="E5" s="46" t="str">
        <x:v>The universal tank-level logic now correctly uses hasComponent, canonical tank classes, same-tank capacity/separation pairing, capacity &gt; 30 m3, and inclusive separation &gt;= 0.76 m; preserve that repair. However, individualTankCapacity and tankOuterShellSeparation are placed directly on each tank even though their authoritative supplied requiredOwner/domain is ship/benchmarkEntity. Obtain or define canonical owner-compatible component/tank paths or terms, then use those paths while retaining the ship-level applicability checks. The current graph therefore checks properties on entities incompatible with their supplied canonical domains.</x:v>
      </x:c>
      <x:c r="F5" s="58" t="n">
        <x:v>5</x:v>
      </x:c>
      <x:c r="G5" s="45" t="str"/>
      <x:c r="H5" s="45" t="str"/>
      <x:c r="I5" s="46" t="str"/>
      <x:c r="J5" s="46" t="str"/>
    </x:row>
    <x:row r="6">
      <x:c r="A6" s="49" t="str">
        <x:v>RUN-IMO-111-20260830T222411916956Z</x:v>
      </x:c>
      <x:c r="B6" s="49" t="str">
        <x:v>IMO-111</x:v>
      </x:c>
      <x:c r="C6" s="60" t="n">
        <x:v>2</x:v>
      </x:c>
      <x:c r="D6" s="49" t="str">
        <x:v>matcher_decision</x:v>
      </x:c>
      <x:c r="E6" s="50" t="str"/>
      <x:c r="F6" s="60" t="str"/>
      <x:c r="G6" s="82" t="b">
        <x:v>0</x:v>
      </x:c>
      <x:c r="H6" s="49" t="str"/>
      <x:c r="I6" s="50" t="str"/>
      <x:c r="J6" s="50" t="str">
        <x:v>No supplied candidate defines an owner-compatible component or tank path/term with the required domain semantics; the quantity properties remain insufficient to resolve the reported domain mismatch.</x:v>
      </x:c>
    </x:row>
  </x:sheetData>
  <x:pageMargins left="0.7" right="0.7" top="0.75" bottom="0.75" header="0.3" footer="0.3"/>
  <x:tableParts count="1">
    <x:tablePart xmlns:r="http://schemas.openxmlformats.org/officeDocument/2006/relationships" r:id="R620d262bbd2d4cf6"/>
  </x:tableParts>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RUN-IMO-111-20260830T222411916956Z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RUN-IMO-111-20260830T222411916956Z</x:v>
      </x:c>
      <x:c r="B5" s="45" t="str">
        <x:v>IMO-111</x:v>
      </x:c>
      <x:c r="C5" s="58"/>
      <x:c r="D5" s="45" t="str">
        <x:v>initial_context_pack</x:v>
      </x:c>
      <x:c r="E5" s="46" t="str">
        <x:v>artifacts/context_pack_initial.json</x:v>
      </x:c>
      <x:c r="F5" s="45" t="str">
        <x:v>7e564e194970ea8016f78823032b57a5ac5704fe321f5fdcdeed182354663c92</x:v>
      </x:c>
      <x:c r="G5" s="58" t="n">
        <x:v>20904</x:v>
      </x:c>
    </x:row>
    <x:row r="6">
      <x:c r="A6" s="47" t="str">
        <x:v>RUN-IMO-111-20260830T222411916956Z</x:v>
      </x:c>
      <x:c r="B6" s="47" t="str">
        <x:v>IMO-111</x:v>
      </x:c>
      <x:c r="C6" s="59"/>
      <x:c r="D6" s="47" t="str">
        <x:v>few_shot_selection</x:v>
      </x:c>
      <x:c r="E6" s="48" t="str">
        <x:v>artifacts/few_shots_selected.json</x:v>
      </x:c>
      <x:c r="F6" s="47" t="str">
        <x:v>66353473e936d2c542e38a400f2ce51bd0bfd6e34803208b1d40421b8412df6b</x:v>
      </x:c>
      <x:c r="G6" s="59" t="n">
        <x:v>6637</x:v>
      </x:c>
    </x:row>
    <x:row r="7">
      <x:c r="A7" s="47" t="str">
        <x:v>RUN-IMO-111-20260830T222411916956Z</x:v>
      </x:c>
      <x:c r="B7" s="47" t="str">
        <x:v>IMO-111</x:v>
      </x:c>
      <x:c r="C7" s="59" t="n">
        <x:v>1</x:v>
      </x:c>
      <x:c r="D7" s="47" t="str">
        <x:v>generator_prompt</x:v>
      </x:c>
      <x:c r="E7" s="48" t="str">
        <x:v>artifacts/attempt_01/generator_prompt.txt</x:v>
      </x:c>
      <x:c r="F7" s="47" t="str">
        <x:v>54f42df7ee3654051fbea2ce95f5b88cc5dd495e31013138aaddb5ad8f85b3b4</x:v>
      </x:c>
      <x:c r="G7" s="59" t="n">
        <x:v>39153</x:v>
      </x:c>
    </x:row>
    <x:row r="8">
      <x:c r="A8" s="47" t="str">
        <x:v>RUN-IMO-111-20260830T222411916956Z</x:v>
      </x:c>
      <x:c r="B8" s="47" t="str">
        <x:v>IMO-111</x:v>
      </x:c>
      <x:c r="C8" s="59" t="n">
        <x:v>1</x:v>
      </x:c>
      <x:c r="D8" s="47" t="str">
        <x:v>generator_raw_response</x:v>
      </x:c>
      <x:c r="E8" s="48" t="str">
        <x:v>artifacts/attempt_01/generator_raw.txt</x:v>
      </x:c>
      <x:c r="F8" s="47" t="str">
        <x:v>00dafcb938f81113a5e4167ed7172ff60a27aec09ce8e20b8a4601115129c2c8</x:v>
      </x:c>
      <x:c r="G8" s="59" t="n">
        <x:v>4014</x:v>
      </x:c>
    </x:row>
    <x:row r="9">
      <x:c r="A9" s="47" t="str">
        <x:v>RUN-IMO-111-20260830T222411916956Z</x:v>
      </x:c>
      <x:c r="B9" s="47" t="str">
        <x:v>IMO-111</x:v>
      </x:c>
      <x:c r="C9" s="59" t="n">
        <x:v>1</x:v>
      </x:c>
      <x:c r="D9" s="47" t="str">
        <x:v>candidate_shape</x:v>
      </x:c>
      <x:c r="E9" s="48" t="str">
        <x:v>artifacts/attempt_01/candidate_shape.ttl</x:v>
      </x:c>
      <x:c r="F9" s="47" t="str">
        <x:v>01594200f1c19afc87a5b84848795aa7b99f1081a278fce15a69db787d53c70a</x:v>
      </x:c>
      <x:c r="G9" s="59" t="n">
        <x:v>3989</x:v>
      </x:c>
    </x:row>
    <x:row r="10">
      <x:c r="A10" s="47" t="str">
        <x:v>RUN-IMO-111-20260830T222411916956Z</x:v>
      </x:c>
      <x:c r="B10" s="47" t="str">
        <x:v>IMO-111</x:v>
      </x:c>
      <x:c r="C10" s="59" t="n">
        <x:v>1</x:v>
      </x:c>
      <x:c r="D10" s="47" t="str">
        <x:v>deterministic_validation</x:v>
      </x:c>
      <x:c r="E10" s="48" t="str">
        <x:v>artifacts/attempt_01/deterministic_validation.json</x:v>
      </x:c>
      <x:c r="F10" s="47" t="str">
        <x:v>1a37028c4015b1f7dbb7fcd7688899fb76f297e248ddabece8450acacc5adb0d</x:v>
      </x:c>
      <x:c r="G10" s="59" t="n">
        <x:v>853</x:v>
      </x:c>
    </x:row>
    <x:row r="11">
      <x:c r="A11" s="47" t="str">
        <x:v>RUN-IMO-111-20260830T222411916956Z</x:v>
      </x:c>
      <x:c r="B11" s="47" t="str">
        <x:v>IMO-111</x:v>
      </x:c>
      <x:c r="C11" s="59" t="n">
        <x:v>1</x:v>
      </x:c>
      <x:c r="D11" s="47" t="str">
        <x:v>validator_prompt</x:v>
      </x:c>
      <x:c r="E11" s="48" t="str">
        <x:v>artifacts/attempt_01/validator_prompt_01.txt</x:v>
      </x:c>
      <x:c r="F11" s="47" t="str">
        <x:v>f76db1ca7dd588fd49b1124b5d83cf8b195faef27004607d72641a7287fdfff2</x:v>
      </x:c>
      <x:c r="G11" s="59" t="n">
        <x:v>35510</x:v>
      </x:c>
    </x:row>
    <x:row r="12">
      <x:c r="A12" s="47" t="str">
        <x:v>RUN-IMO-111-20260830T222411916956Z</x:v>
      </x:c>
      <x:c r="B12" s="47" t="str">
        <x:v>IMO-111</x:v>
      </x:c>
      <x:c r="C12" s="59" t="n">
        <x:v>1</x:v>
      </x:c>
      <x:c r="D12" s="47" t="str">
        <x:v>validator_raw_response</x:v>
      </x:c>
      <x:c r="E12" s="48" t="str">
        <x:v>artifacts/attempt_01/validator_raw_01.txt</x:v>
      </x:c>
      <x:c r="F12" s="47" t="str">
        <x:v>3c91a4fe65262e2080dc8224702455ac22ca8901fd49fbbe3a36fc0ac200141f</x:v>
      </x:c>
      <x:c r="G12" s="59" t="n">
        <x:v>793</x:v>
      </x:c>
    </x:row>
    <x:row r="13">
      <x:c r="A13" s="47" t="str">
        <x:v>RUN-IMO-111-20260830T222411916956Z</x:v>
      </x:c>
      <x:c r="B13" s="47" t="str">
        <x:v>IMO-111</x:v>
      </x:c>
      <x:c r="C13" s="59" t="n">
        <x:v>2</x:v>
      </x:c>
      <x:c r="D13" s="47" t="str">
        <x:v>generator_prompt</x:v>
      </x:c>
      <x:c r="E13" s="48" t="str">
        <x:v>artifacts/attempt_02/generator_prompt.txt</x:v>
      </x:c>
      <x:c r="F13" s="47" t="str">
        <x:v>37f14c899c4987cb941aed66c3f6edf0e4e71d6567b5db9577308786a384f210</x:v>
      </x:c>
      <x:c r="G13" s="59" t="n">
        <x:v>39881</x:v>
      </x:c>
    </x:row>
    <x:row r="14">
      <x:c r="A14" s="47" t="str">
        <x:v>RUN-IMO-111-20260830T222411916956Z</x:v>
      </x:c>
      <x:c r="B14" s="47" t="str">
        <x:v>IMO-111</x:v>
      </x:c>
      <x:c r="C14" s="59" t="n">
        <x:v>2</x:v>
      </x:c>
      <x:c r="D14" s="47" t="str">
        <x:v>generator_raw_response</x:v>
      </x:c>
      <x:c r="E14" s="48" t="str">
        <x:v>artifacts/attempt_02/generator_raw.txt</x:v>
      </x:c>
      <x:c r="F14" s="47" t="str">
        <x:v>a7eaa2ff3efe786c7652f4cbf30f42ea46faa0b5157825c5a9ca09ff0636e0fc</x:v>
      </x:c>
      <x:c r="G14" s="59" t="n">
        <x:v>4684</x:v>
      </x:c>
    </x:row>
    <x:row r="15">
      <x:c r="A15" s="47" t="str">
        <x:v>RUN-IMO-111-20260830T222411916956Z</x:v>
      </x:c>
      <x:c r="B15" s="47" t="str">
        <x:v>IMO-111</x:v>
      </x:c>
      <x:c r="C15" s="59" t="n">
        <x:v>2</x:v>
      </x:c>
      <x:c r="D15" s="47" t="str">
        <x:v>candidate_shape</x:v>
      </x:c>
      <x:c r="E15" s="48" t="str">
        <x:v>artifacts/attempt_02/candidate_shape.ttl</x:v>
      </x:c>
      <x:c r="F15" s="47" t="str">
        <x:v>c12abb2140823ea6709899cfafe3df1e5343054a6e40d7a557467f63b51cb4f8</x:v>
      </x:c>
      <x:c r="G15" s="59" t="n">
        <x:v>4659</x:v>
      </x:c>
    </x:row>
    <x:row r="16">
      <x:c r="A16" s="47" t="str">
        <x:v>RUN-IMO-111-20260830T222411916956Z</x:v>
      </x:c>
      <x:c r="B16" s="47" t="str">
        <x:v>IMO-111</x:v>
      </x:c>
      <x:c r="C16" s="59" t="n">
        <x:v>2</x:v>
      </x:c>
      <x:c r="D16" s="47" t="str">
        <x:v>deterministic_validation</x:v>
      </x:c>
      <x:c r="E16" s="48" t="str">
        <x:v>artifacts/attempt_02/deterministic_validation.json</x:v>
      </x:c>
      <x:c r="F16" s="47" t="str">
        <x:v>50f62b3e9b1422ae23d4e99e2bbfa777f07185d48a282a0794acb6f96129352d</x:v>
      </x:c>
      <x:c r="G16" s="59" t="n">
        <x:v>968</x:v>
      </x:c>
    </x:row>
    <x:row r="17">
      <x:c r="A17" s="47" t="str">
        <x:v>RUN-IMO-111-20260830T222411916956Z</x:v>
      </x:c>
      <x:c r="B17" s="47" t="str">
        <x:v>IMO-111</x:v>
      </x:c>
      <x:c r="C17" s="59" t="n">
        <x:v>2</x:v>
      </x:c>
      <x:c r="D17" s="47" t="str">
        <x:v>validator_prompt</x:v>
      </x:c>
      <x:c r="E17" s="48" t="str">
        <x:v>artifacts/attempt_02/validator_prompt_01.txt</x:v>
      </x:c>
      <x:c r="F17" s="47" t="str">
        <x:v>dc10d37316532331f2ce909e366494aa545593cb204a27336133ace3552d60ac</x:v>
      </x:c>
      <x:c r="G17" s="59" t="n">
        <x:v>37718</x:v>
      </x:c>
    </x:row>
    <x:row r="18">
      <x:c r="A18" s="47" t="str">
        <x:v>RUN-IMO-111-20260830T222411916956Z</x:v>
      </x:c>
      <x:c r="B18" s="47" t="str">
        <x:v>IMO-111</x:v>
      </x:c>
      <x:c r="C18" s="59" t="n">
        <x:v>2</x:v>
      </x:c>
      <x:c r="D18" s="47" t="str">
        <x:v>validator_raw_response</x:v>
      </x:c>
      <x:c r="E18" s="48" t="str">
        <x:v>artifacts/attempt_02/validator_raw_01.txt</x:v>
      </x:c>
      <x:c r="F18" s="47" t="str">
        <x:v>f707db2624bae86da92777cbd55a0ea30fa3309b3aec9d68e5438903131c9ad1</x:v>
      </x:c>
      <x:c r="G18" s="59" t="n">
        <x:v>705</x:v>
      </x:c>
    </x:row>
    <x:row r="19">
      <x:c r="A19" s="47" t="str">
        <x:v>RUN-IMO-111-20260830T222411916956Z</x:v>
      </x:c>
      <x:c r="B19" s="47" t="str">
        <x:v>IMO-111</x:v>
      </x:c>
      <x:c r="C19" s="59" t="n">
        <x:v>2</x:v>
      </x:c>
      <x:c r="D19" s="47" t="str">
        <x:v>matcher_candidates</x:v>
      </x:c>
      <x:c r="E19" s="48" t="str">
        <x:v>artifacts/attempt_02/matcher_candidates.json</x:v>
      </x:c>
      <x:c r="F19" s="47" t="str">
        <x:v>c17ba6df8d26aa6351072380e713fa37159733b0f1d08f85b7aca53311ac61fc</x:v>
      </x:c>
      <x:c r="G19" s="59" t="n">
        <x:v>2846</x:v>
      </x:c>
    </x:row>
    <x:row r="20">
      <x:c r="A20" s="47" t="str">
        <x:v>RUN-IMO-111-20260830T222411916956Z</x:v>
      </x:c>
      <x:c r="B20" s="47" t="str">
        <x:v>IMO-111</x:v>
      </x:c>
      <x:c r="C20" s="59" t="n">
        <x:v>2</x:v>
      </x:c>
      <x:c r="D20" s="47" t="str">
        <x:v>vocabulary_matcher_prompt</x:v>
      </x:c>
      <x:c r="E20" s="48" t="str">
        <x:v>artifacts/attempt_02/vocabulary_matcher_prompt_01.txt</x:v>
      </x:c>
      <x:c r="F20" s="47" t="str">
        <x:v>fa972499f767f39adc6eaf876c9af9d450e0e0430f8caf7a873ed017160e62f1</x:v>
      </x:c>
      <x:c r="G20" s="59" t="n">
        <x:v>9194</x:v>
      </x:c>
    </x:row>
    <x:row r="21">
      <x:c r="A21" s="49" t="str">
        <x:v>RUN-IMO-111-20260830T222411916956Z</x:v>
      </x:c>
      <x:c r="B21" s="49" t="str">
        <x:v>IMO-111</x:v>
      </x:c>
      <x:c r="C21" s="60" t="n">
        <x:v>2</x:v>
      </x:c>
      <x:c r="D21" s="49" t="str">
        <x:v>vocabulary_matcher_raw_response</x:v>
      </x:c>
      <x:c r="E21" s="50" t="str">
        <x:v>artifacts/attempt_02/vocabulary_matcher_raw_01.txt</x:v>
      </x:c>
      <x:c r="F21" s="49" t="str">
        <x:v>3be65d7e737fa7c833146eacf5d30cded2780995653b83a880a76be1c50266bd</x:v>
      </x:c>
      <x:c r="G21" s="60" t="n">
        <x:v>287</x:v>
      </x:c>
    </x:row>
  </x:sheetData>
  <x:pageMargins left="0.7" right="0.7" top="0.75" bottom="0.75" header="0.3" footer="0.3"/>
  <x:tableParts count="1">
    <x:tablePart xmlns:r="http://schemas.openxmlformats.org/officeDocument/2006/relationships" r:id="Rbef233a8c4064418"/>
  </x:tableParts>
</x:worksheet>
</file>

<file path=xl/worksheets/sheet12.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4" hidden="0" customWidth="1"/>
    <x:col min="5" max="5" width="52" hidden="0" customWidth="1"/>
    <x:col min="6" max="6" width="11" hidden="0" customWidth="1"/>
  </x:cols>
  <x:sheetData>
    <x:row r="1">
      <x:c r="A1" s="18" t="str">
        <x:v>NLTL SHACL Pipeline Run Tracker</x:v>
      </x:c>
      <x:c r="B1" s="19"/>
      <x:c r="C1" s="19"/>
      <x:c r="D1" s="19"/>
      <x:c r="E1" s="19"/>
      <x:c r="F1" s="19"/>
    </x:row>
    <x:row r="2">
      <x:c r="A2" s="20" t="str">
        <x:v>UNRESOLVED | Run folder: RUN-IMO-111-20260830T222411916956Z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69" t="str">
        <x:v>RUN-IMO-111-20260830T222411916956Z</x:v>
      </x:c>
      <x:c r="B5" s="69" t="str">
        <x:v>IMO-111</x:v>
      </x:c>
      <x:c r="C5" s="71" t="n">
        <x:v>2</x:v>
      </x:c>
      <x:c r="D5" s="69" t="str">
        <x:v>TERM_RESOLUTION_UNRESOLVED</x:v>
      </x:c>
      <x:c r="E5" s="73" t="str">
        <x:v>No supplied candidate defines an owner-compatible component or tank path/term with the required domain semantics; the quantity properties remain insufficient to resolve the reported domain mismatch.</x:v>
      </x:c>
      <x:c r="F5" s="69" t="str">
        <x:v>OPEN</x:v>
      </x:c>
    </x:row>
  </x:sheetData>
  <x:conditionalFormatting sqref="F5:F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pageMargins left="0.7" right="0.7" top="0.75" bottom="0.75" header="0.3" footer="0.3"/>
  <x:tableParts count="1">
    <x:tablePart xmlns:r="http://schemas.openxmlformats.org/officeDocument/2006/relationships" r:id="Rdb4ac00b82b24424"/>
  </x:tableParts>
</x:worksheet>
</file>

<file path=xl/worksheets/sheet13.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RDF_TEST_QUEUE | Run folder: RUN-IMO-111-20260830T222411916956Z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104" t="str">
        <x:v>No records for this run.</x:v>
      </x:c>
      <x:c r="B5" s="21"/>
      <x:c r="C5" s="21"/>
      <x:c r="D5" s="21"/>
      <x:c r="E5" s="21"/>
      <x:c r="F5" s="21"/>
    </x:row>
  </x:sheetData>
  <x:pageMargins left="0.7" right="0.7" top="0.75" bottom="0.75" header="0.3" footer="0.3"/>
</x:worksheet>
</file>