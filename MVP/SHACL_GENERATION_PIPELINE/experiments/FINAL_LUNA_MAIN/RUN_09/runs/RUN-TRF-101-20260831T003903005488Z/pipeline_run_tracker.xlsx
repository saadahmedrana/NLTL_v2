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489e9251c04786" /></Relationships>
</file>

<file path=xl/workbook.xml><?xml version="1.0" encoding="utf-8"?>
<x:workbook xmlns:x="http://schemas.openxmlformats.org/spreadsheetml/2006/main">
  <x:sheets>
    <x:sheet xmlns:r="http://schemas.openxmlformats.org/officeDocument/2006/relationships" name="SUMMARY" sheetId="1" r:id="Rddf076c70c874e1f"/>
    <x:sheet xmlns:r="http://schemas.openxmlformats.org/officeDocument/2006/relationships" name="README" sheetId="2" r:id="Rc3437c9b101e4c24"/>
    <x:sheet xmlns:r="http://schemas.openxmlformats.org/officeDocument/2006/relationships" name="REGULATION_QUEUE" sheetId="3" r:id="R51d019900070458d"/>
    <x:sheet xmlns:r="http://schemas.openxmlformats.org/officeDocument/2006/relationships" name="RUNS" sheetId="4" r:id="R3ddf21df3cd94f49"/>
    <x:sheet xmlns:r="http://schemas.openxmlformats.org/officeDocument/2006/relationships" name="ITERATIONS" sheetId="5" r:id="R650f37a2000b4f8a"/>
    <x:sheet xmlns:r="http://schemas.openxmlformats.org/officeDocument/2006/relationships" name="API_CALLS" sheetId="6" r:id="Rf1f11064c5d24372"/>
    <x:sheet xmlns:r="http://schemas.openxmlformats.org/officeDocument/2006/relationships" name="TERM_RETRIEVAL" sheetId="7" r:id="R3377b96c270d40e3"/>
    <x:sheet xmlns:r="http://schemas.openxmlformats.org/officeDocument/2006/relationships" name="FEW_SHOT_SELECTION" sheetId="8" r:id="R1023b1b424f349c9"/>
    <x:sheet xmlns:r="http://schemas.openxmlformats.org/officeDocument/2006/relationships" name="VALIDATION" sheetId="9" r:id="Rf0a0ad1a7cb745af"/>
    <x:sheet xmlns:r="http://schemas.openxmlformats.org/officeDocument/2006/relationships" name="VOCAB_MATCHES" sheetId="10" r:id="R762853a99f8b4fbc"/>
    <x:sheet xmlns:r="http://schemas.openxmlformats.org/officeDocument/2006/relationships" name="ARTIFACTS" sheetId="11" r:id="R7b9c6c29cf6e4967"/>
    <x:sheet xmlns:r="http://schemas.openxmlformats.org/officeDocument/2006/relationships" name="UNRESOLVED" sheetId="12" r:id="R1ed993b97ee94165"/>
    <x:sheet xmlns:r="http://schemas.openxmlformats.org/officeDocument/2006/relationships" name="RDF_TEST_QUEUE" sheetId="13" r:id="R4b0eb4dbc48643e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739ac34135c417d" /><Relationship Type="http://schemas.openxmlformats.org/officeDocument/2006/relationships/theme" Target="/xl/theme/theme1.xml" Id="R9b25256cec694b67" /><Relationship Type="http://schemas.microsoft.com/office/2022/11/relationships/FeaturePropertyBag" Target="/xl/featurePropertyBag/featurePropertyBag.xml" Id="Rd159cf70f54a4868" /><Relationship Type="http://schemas.openxmlformats.org/officeDocument/2006/relationships/sharedStrings" Target="/xl/sharedStrings.xml" Id="R09784dd307014767" /><Relationship Type="http://schemas.openxmlformats.org/officeDocument/2006/relationships/worksheet" Target="/xl/worksheets/sheet1.xml" Id="Rddf076c70c874e1f" /><Relationship Type="http://schemas.openxmlformats.org/officeDocument/2006/relationships/worksheet" Target="/xl/worksheets/sheet2.xml" Id="Rc3437c9b101e4c24" /><Relationship Type="http://schemas.openxmlformats.org/officeDocument/2006/relationships/worksheet" Target="/xl/worksheets/sheet3.xml" Id="R51d019900070458d" /><Relationship Type="http://schemas.openxmlformats.org/officeDocument/2006/relationships/worksheet" Target="/xl/worksheets/sheet4.xml" Id="R3ddf21df3cd94f49" /><Relationship Type="http://schemas.openxmlformats.org/officeDocument/2006/relationships/worksheet" Target="/xl/worksheets/sheet5.xml" Id="R650f37a2000b4f8a" /><Relationship Type="http://schemas.openxmlformats.org/officeDocument/2006/relationships/worksheet" Target="/xl/worksheets/sheet6.xml" Id="Rf1f11064c5d24372" /><Relationship Type="http://schemas.openxmlformats.org/officeDocument/2006/relationships/worksheet" Target="/xl/worksheets/sheet7.xml" Id="R3377b96c270d40e3" /><Relationship Type="http://schemas.openxmlformats.org/officeDocument/2006/relationships/worksheet" Target="/xl/worksheets/sheet8.xml" Id="R1023b1b424f349c9" /><Relationship Type="http://schemas.openxmlformats.org/officeDocument/2006/relationships/worksheet" Target="/xl/worksheets/sheet9.xml" Id="Rf0a0ad1a7cb745af" /><Relationship Type="http://schemas.openxmlformats.org/officeDocument/2006/relationships/worksheet" Target="/xl/worksheets/sheet10.xml" Id="R762853a99f8b4fbc" /><Relationship Type="http://schemas.openxmlformats.org/officeDocument/2006/relationships/worksheet" Target="/xl/worksheets/sheet11.xml" Id="R7b9c6c29cf6e4967" /><Relationship Type="http://schemas.openxmlformats.org/officeDocument/2006/relationships/worksheet" Target="/xl/worksheets/sheet12.xml" Id="R1ed993b97ee94165" /><Relationship Type="http://schemas.openxmlformats.org/officeDocument/2006/relationships/worksheet" Target="/xl/worksheets/sheet13.xml" Id="R4b0eb4dbc48643e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8"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2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8"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30"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421cc848aa54539" /></Relationships>
</file>

<file path=xl/worksheets/_rels/sheet3.xml.rels>&#65279;<?xml version="1.0" encoding="utf-8"?><Relationships xmlns="http://schemas.openxmlformats.org/package/2006/relationships"><Relationship Type="http://schemas.openxmlformats.org/officeDocument/2006/relationships/table" Target="/xl/tables/table2.xml" Id="R0ce76f8d29064366" /></Relationships>
</file>

<file path=xl/worksheets/_rels/sheet4.xml.rels>&#65279;<?xml version="1.0" encoding="utf-8"?><Relationships xmlns="http://schemas.openxmlformats.org/package/2006/relationships"><Relationship Type="http://schemas.openxmlformats.org/officeDocument/2006/relationships/table" Target="/xl/tables/table3.xml" Id="R983cb64cd9fa4b0a" /></Relationships>
</file>

<file path=xl/worksheets/_rels/sheet5.xml.rels>&#65279;<?xml version="1.0" encoding="utf-8"?><Relationships xmlns="http://schemas.openxmlformats.org/package/2006/relationships"><Relationship Type="http://schemas.openxmlformats.org/officeDocument/2006/relationships/table" Target="/xl/tables/table4.xml" Id="R807461d17ebc4ec3" /></Relationships>
</file>

<file path=xl/worksheets/_rels/sheet6.xml.rels>&#65279;<?xml version="1.0" encoding="utf-8"?><Relationships xmlns="http://schemas.openxmlformats.org/package/2006/relationships"><Relationship Type="http://schemas.openxmlformats.org/officeDocument/2006/relationships/table" Target="/xl/tables/table5.xml" Id="R87124da6c1be487f" /></Relationships>
</file>

<file path=xl/worksheets/_rels/sheet7.xml.rels>&#65279;<?xml version="1.0" encoding="utf-8"?><Relationships xmlns="http://schemas.openxmlformats.org/package/2006/relationships"><Relationship Type="http://schemas.openxmlformats.org/officeDocument/2006/relationships/table" Target="/xl/tables/table6.xml" Id="R5069df667ed3494c" /></Relationships>
</file>

<file path=xl/worksheets/_rels/sheet8.xml.rels>&#65279;<?xml version="1.0" encoding="utf-8"?><Relationships xmlns="http://schemas.openxmlformats.org/package/2006/relationships"><Relationship Type="http://schemas.openxmlformats.org/officeDocument/2006/relationships/table" Target="/xl/tables/table7.xml" Id="R832389978ad24eee" /></Relationships>
</file>

<file path=xl/worksheets/_rels/sheet9.xml.rels>&#65279;<?xml version="1.0" encoding="utf-8"?><Relationships xmlns="http://schemas.openxmlformats.org/package/2006/relationships"><Relationship Type="http://schemas.openxmlformats.org/officeDocument/2006/relationships/table" Target="/xl/tables/table8.xml" Id="Rafea8b175c3c4f04" /></Relationships>
</file>

<file path=xl/worksheets/_rels/sheet11.xml.rels>&#65279;<?xml version="1.0" encoding="utf-8"?><Relationships xmlns="http://schemas.openxmlformats.org/package/2006/relationships"><Relationship Type="http://schemas.openxmlformats.org/officeDocument/2006/relationships/table" Target="/xl/tables/table9.xml" Id="R93c1caf7b6b84d8b" /></Relationships>
</file>

<file path=xl/worksheets/_rels/sheet12.xml.rels>&#65279;<?xml version="1.0" encoding="utf-8"?><Relationships xmlns="http://schemas.openxmlformats.org/package/2006/relationships"><Relationship Type="http://schemas.openxmlformats.org/officeDocument/2006/relationships/table" Target="/xl/tables/table10.xml" Id="R79c82a7669df4e2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RUN-TRF-101-20260831T003903005488Z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COUNTA('API_CALLS'!$A$5:$A$20)</x:f>
        <x:v>16</x:v>
      </x:c>
      <x:c r="C9" s="21"/>
      <x:c r="D9" s="21"/>
    </x:row>
    <x:row r="10">
      <x:c r="A10" s="27" t="str">
        <x:v>Mean API/LLM elapsed ms</x:v>
      </x:c>
      <x:c r="B10" s="28" t="n">
        <x:f>IFERROR(AVERAGE('API_CALLS'!$K$5:$K$20),0)</x:f>
        <x:v>21852.030000000002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RUN-TRF-101-20260831T003903005488Z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421cc848aa5453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RUN-TRF-101-20260831T003903005488Z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MAX_ATTEMPTS_REACHED</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ce76f8d2906436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RUN-TRF-101-20260831T003903005488Z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SESSION-BATCH-20260830T201120771337Z</x:v>
      </x:c>
      <x:c r="B5" s="69" t="str">
        <x:v>RUN-TRF-101-20260831T003903005488Z</x:v>
      </x:c>
      <x:c r="C5" s="69" t="str">
        <x:v>TRF-101</x:v>
      </x:c>
      <x:c r="D5" s="70" t="n">
        <x:v>46265.027118125</x:v>
      </x:c>
      <x:c r="E5" s="70" t="n">
        <x:v>46265.029156655095</x:v>
      </x:c>
      <x:c r="F5" s="69" t="str">
        <x:v>final-luna-main-run09</x:v>
      </x:c>
      <x:c r="G5" s="69" t="str">
        <x:v>VOCAB-LOCK-2026-08-22-R13</x:v>
      </x:c>
      <x:c r="H5" s="71" t="n">
        <x:v>4</x:v>
      </x:c>
      <x:c r="I5" s="69" t="str">
        <x:v>MAX_ATTEMPTS_REACHED</x:v>
      </x:c>
      <x:c r="J5" s="72" t="b">
        <x:v>0</x:v>
      </x:c>
      <x:c r="K5" s="69" t="str"/>
      <x:c r="L5" s="73" t="str">
        <x:v>Remove sh:datatype qudt:QuantityValue from the bladeFailureLoadApplicationRadiusRatio property shape. This property must point to a QUDT QuantityValue node via sh:node, with qudt:numericValue constrained as xsd:decimal and qudt:unit fixed to UNITLESS; qudt:QuantityValue is a class, not an RDF datatype. Preserve the exact inclusive 0.8 bounds, load-case ownership, approved-analysis evidence and result requirements, supported expected-result-scaled formula tolerances, and the existing status implication.</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983cb64cd9fa4b0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0"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RUN-TRF-101-20260831T003903005488Z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RUN-TRF-101-20260831T003903005488Z</x:v>
      </x:c>
      <x:c r="B5" s="45" t="str">
        <x:v>TRF-101</x:v>
      </x:c>
      <x:c r="C5" s="58" t="n">
        <x:v>1</x:v>
      </x:c>
      <x:c r="D5" s="83" t="b">
        <x:v>1</x:v>
      </x:c>
      <x:c r="E5" s="83" t="b">
        <x:v>0</x:v>
      </x:c>
      <x:c r="F5" s="83" t="b">
        <x:v>0</x:v>
      </x:c>
      <x:c r="G5" s="45" t="str">
        <x:v>REVISE</x:v>
      </x:c>
      <x:c r="H5" s="46" t="str">
        <x:v>Repair the load-case constraint to require bladeFailureLoadApplicationRadiusRatio to equal the exact inclusive dimensionless value 0.8; merely requiring a dimensionless quantity does not encode the 0.8R application requirement. Replace unsupported ABS expressions in the DIRECT_CALCULATION SPARQL with evaluator-supported arithmetic, comparisons, and bounded piecewise logic while retaining tolerance scaled from each expected result. Ensure the approved-analysis alternative also supplies the declared bladeFailureUltimateLoad result (and any other contract-declared mandatory operands/results applicable to that alternative), rather than allowing the alternative to pass with only an approval record.</x:v>
      </x:c>
      <x:c r="I5" s="84" t="n">
        <x:v>29078.642</x:v>
      </x:c>
      <x:c r="J5" s="84" t="n">
        <x:v>13497.944</x:v>
      </x:c>
    </x:row>
    <x:row r="6">
      <x:c r="A6" s="47" t="str">
        <x:v>RUN-TRF-101-20260831T003903005488Z</x:v>
      </x:c>
      <x:c r="B6" s="47" t="str">
        <x:v>TRF-101</x:v>
      </x:c>
      <x:c r="C6" s="59" t="n">
        <x:v>2</x:v>
      </x:c>
      <x:c r="D6" s="85" t="b">
        <x:v>1</x:v>
      </x:c>
      <x:c r="E6" s="85" t="b">
        <x:v>0</x:v>
      </x:c>
      <x:c r="F6" s="85" t="b">
        <x:v>0</x:v>
      </x:c>
      <x:c r="G6" s="47" t="str">
        <x:v>REVISE</x:v>
      </x:c>
      <x:c r="H6" s="48" t="str">
        <x:v>Constrain the approvedNonlinearBladeStressAnalysis object to its canonical approvalRecord range (and preserve the required evidence boundary); the current minCount-only alternative lets any object satisfy the approved-analysis branch. Also constrain hasLoadCase values to the canonical loadCase range rather than relying only on an unconstrained node shape. Retain the prior fixes: exact inclusive 0.8 dimensionless ratio, supported arithmetic with expected-result-scaled tolerances, and the declared bladeFailureUltimateLoad result in the approved alternative. Consolidate the status implication with the bounded calculation validation where feasible so the graph does not use unnecessary separate SPARQL checks.</x:v>
      </x:c>
      <x:c r="I6" s="86" t="n">
        <x:v>28972.782</x:v>
      </x:c>
      <x:c r="J6" s="86" t="n">
        <x:v>20006.199</x:v>
      </x:c>
    </x:row>
    <x:row r="7">
      <x:c r="A7" s="47" t="str">
        <x:v>RUN-TRF-101-20260831T003903005488Z</x:v>
      </x:c>
      <x:c r="B7" s="47" t="str">
        <x:v>TRF-101</x:v>
      </x:c>
      <x:c r="C7" s="59" t="n">
        <x:v>3</x:v>
      </x:c>
      <x:c r="D7" s="85" t="b">
        <x:v>1</x:v>
      </x:c>
      <x:c r="E7" s="85" t="b">
        <x:v>0</x:v>
      </x:c>
      <x:c r="F7" s="85" t="b">
        <x:v>0</x:v>
      </x:c>
      <x:c r="G7" s="47" t="str">
        <x:v>REVISE</x:v>
      </x:c>
      <x:c r="H7" s="48" t="str">
        <x:v>Repair the owner targeting: bladeFailureLoadWeakestDirectionConfirmed is declared on loadCase, but both ApprovedAnalysisBranch and CalculatedBranch incorrectly constrain it directly on the ship, duplicating the fact and targeting the wrong entity. Remove those branch-level ship properties and rely on the required hasLoadCase path and LoadCaseShape constraint (or explicitly constrain the load-case node through that path). Preserve the approved-analysis evidence boundary and result requirement, exact inclusive ratio 0.8, and expected-result-scaled formula tolerances. Encode the exact ratio with equal inclusive bounds (&gt;= 0.8 and &lt;= 0.8, or equivalent SHACL bounds), rather than the current strict-inequality disjunction.</x:v>
      </x:c>
      <x:c r="I7" s="86" t="n">
        <x:v>26824.763</x:v>
      </x:c>
      <x:c r="J7" s="86" t="n">
        <x:v>13932.157</x:v>
      </x:c>
    </x:row>
    <x:row r="8">
      <x:c r="A8" s="49" t="str">
        <x:v>RUN-TRF-101-20260831T003903005488Z</x:v>
      </x:c>
      <x:c r="B8" s="49" t="str">
        <x:v>TRF-101</x:v>
      </x:c>
      <x:c r="C8" s="60" t="n">
        <x:v>4</x:v>
      </x:c>
      <x:c r="D8" s="87" t="b">
        <x:v>0</x:v>
      </x:c>
      <x:c r="E8" s="87" t="b">
        <x:v>0</x:v>
      </x:c>
      <x:c r="F8" s="87" t="b">
        <x:v>0</x:v>
      </x:c>
      <x:c r="G8" s="49" t="str">
        <x:v>REVISE_STATIC_GATE</x:v>
      </x:c>
      <x:c r="H8" s="50" t="str">
        <x:v>Deterministic validation prevents acceptance. Fix: Quantity property bladeFailureLoadApplicationRadiusRatio must point to a QUDT QuantityValue node, not a direct literal datatype
Semantic validator feedback: Remove sh:datatype qudt:QuantityValue from the bladeFailureLoadApplicationRadiusRatio property shape. This property must point to a QUDT QuantityValue node via sh:node, with qudt:numericValue constrained as xsd:decimal and qudt:unit fixed to UNITLESS; qudt:QuantityValue is a class, not an RDF datatype. Preserve the exact inclusive 0.8 bounds, load-case ownership, approved-analysis evidence and result requirements, supported expected-result-scaled formula tolerances, and the existing status implication.</x:v>
      </x:c>
      <x:c r="I8" s="88" t="n">
        <x:v>31999.443</x:v>
      </x:c>
      <x:c r="J8" s="88" t="n">
        <x:v>10509.873</x:v>
      </x:c>
    </x:row>
  </x:sheetData>
  <x:conditionalFormatting sqref="G5:G8">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07461d17ebc4ec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RUN-TRF-101-20260831T003903005488Z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EVT-000029</x:v>
      </x:c>
      <x:c r="B5" s="45" t="str">
        <x:v>RUN-TRF-101-20260831T003903005488Z</x:v>
      </x:c>
      <x:c r="C5" s="45" t="str">
        <x:v>TRF-101</x:v>
      </x:c>
      <x:c r="D5" s="92" t="n">
        <x:v>46265.02745469908</x:v>
      </x:c>
      <x:c r="E5" s="45" t="str">
        <x:v>generator</x:v>
      </x:c>
      <x:c r="F5" s="45" t="str">
        <x:v>gpt-5.6-luna-2026-07-09</x:v>
      </x:c>
      <x:c r="G5" s="45" t="n">
        <x:v>1</x:v>
      </x:c>
      <x:c r="H5" s="45" t="n">
        <x:v>200</x:v>
      </x:c>
      <x:c r="I5" s="45" t="str">
        <x:v>Ocp-Apim-Subscription-Key</x:v>
      </x:c>
      <x:c r="J5" s="84" t="n">
        <x:v>0</x:v>
      </x:c>
      <x:c r="K5" s="84" t="n">
        <x:v>29077.015</x:v>
      </x:c>
      <x:c r="L5" s="83" t="b">
        <x:v>0</x:v>
      </x:c>
      <x:c r="M5" s="45" t="str"/>
      <x:c r="N5" s="58" t="str"/>
      <x:c r="O5" s="58" t="str"/>
      <x:c r="P5" s="58" t="str"/>
    </x:row>
    <x:row r="6">
      <x:c r="A6" s="47" t="str">
        <x:v>EVT-000030</x:v>
      </x:c>
      <x:c r="B6" s="47" t="str">
        <x:v>RUN-TRF-101-20260831T003903005488Z</x:v>
      </x:c>
      <x:c r="C6" s="47" t="str">
        <x:v>TRF-101</x:v>
      </x:c>
      <x:c r="D6" s="93" t="n">
        <x:v>46265.02745472222</x:v>
      </x:c>
      <x:c r="E6" s="47" t="str">
        <x:v>generator</x:v>
      </x:c>
      <x:c r="F6" s="47" t="str">
        <x:v>gpt-5.6-luna-2026-07-09</x:v>
      </x:c>
      <x:c r="G6" s="47" t="n">
        <x:v>1</x:v>
      </x:c>
      <x:c r="H6" s="47" t="str">
        <x:v>COMPLETED</x:v>
      </x:c>
      <x:c r="I6" s="47" t="str"/>
      <x:c r="J6" s="86" t="n">
        <x:v>0</x:v>
      </x:c>
      <x:c r="K6" s="86" t="n">
        <x:v>29078.642</x:v>
      </x:c>
      <x:c r="L6" s="85" t="b">
        <x:v>0</x:v>
      </x:c>
      <x:c r="M6" s="47" t="str">
        <x:v>resp_055ad06070dd4256006a94cd27187c8194ac3b41b9fea75637</x:v>
      </x:c>
      <x:c r="N6" s="59" t="n">
        <x:v>10874</x:v>
      </x:c>
      <x:c r="O6" s="59" t="n">
        <x:v>3909</x:v>
      </x:c>
      <x:c r="P6" s="59" t="n">
        <x:v>14783</x:v>
      </x:c>
    </x:row>
    <x:row r="7">
      <x:c r="A7" s="47" t="str">
        <x:v>EVT-000037</x:v>
      </x:c>
      <x:c r="B7" s="47" t="str">
        <x:v>RUN-TRF-101-20260831T003903005488Z</x:v>
      </x:c>
      <x:c r="C7" s="47" t="str">
        <x:v>TRF-101</x:v>
      </x:c>
      <x:c r="D7" s="93" t="n">
        <x:v>46265.027614652776</x:v>
      </x:c>
      <x:c r="E7" s="47" t="str">
        <x:v>validator</x:v>
      </x:c>
      <x:c r="F7" s="47" t="str">
        <x:v>gpt-5.6-luna-2026-07-09</x:v>
      </x:c>
      <x:c r="G7" s="47" t="n">
        <x:v>1</x:v>
      </x:c>
      <x:c r="H7" s="47" t="n">
        <x:v>200</x:v>
      </x:c>
      <x:c r="I7" s="47" t="str">
        <x:v>Ocp-Apim-Subscription-Key</x:v>
      </x:c>
      <x:c r="J7" s="86" t="n">
        <x:v>0</x:v>
      </x:c>
      <x:c r="K7" s="86" t="n">
        <x:v>13496.403</x:v>
      </x:c>
      <x:c r="L7" s="85" t="b">
        <x:v>0</x:v>
      </x:c>
      <x:c r="M7" s="47" t="str"/>
      <x:c r="N7" s="59" t="str"/>
      <x:c r="O7" s="59" t="str"/>
      <x:c r="P7" s="59" t="str"/>
    </x:row>
    <x:row r="8">
      <x:c r="A8" s="47" t="str">
        <x:v>EVT-000038</x:v>
      </x:c>
      <x:c r="B8" s="47" t="str">
        <x:v>RUN-TRF-101-20260831T003903005488Z</x:v>
      </x:c>
      <x:c r="C8" s="47" t="str">
        <x:v>TRF-101</x:v>
      </x:c>
      <x:c r="D8" s="93" t="n">
        <x:v>46265.02761467593</x:v>
      </x:c>
      <x:c r="E8" s="47" t="str">
        <x:v>validator</x:v>
      </x:c>
      <x:c r="F8" s="47" t="str">
        <x:v>gpt-5.6-luna-2026-07-09</x:v>
      </x:c>
      <x:c r="G8" s="47" t="n">
        <x:v>1</x:v>
      </x:c>
      <x:c r="H8" s="47" t="str">
        <x:v>COMPLETED</x:v>
      </x:c>
      <x:c r="I8" s="47" t="str"/>
      <x:c r="J8" s="86" t="n">
        <x:v>0</x:v>
      </x:c>
      <x:c r="K8" s="86" t="n">
        <x:v>13497.944</x:v>
      </x:c>
      <x:c r="L8" s="85" t="b">
        <x:v>0</x:v>
      </x:c>
      <x:c r="M8" s="47" t="str">
        <x:v>resp_025b428079d9244b006a94cd447e7c81959ada104fbf5d8b18</x:v>
      </x:c>
      <x:c r="N8" s="59" t="n">
        <x:v>12862</x:v>
      </x:c>
      <x:c r="O8" s="59" t="n">
        <x:v>1175</x:v>
      </x:c>
      <x:c r="P8" s="59" t="n">
        <x:v>14037</x:v>
      </x:c>
    </x:row>
    <x:row r="9">
      <x:c r="A9" s="47" t="str">
        <x:v>EVT-000043</x:v>
      </x:c>
      <x:c r="B9" s="47" t="str">
        <x:v>RUN-TRF-101-20260831T003903005488Z</x:v>
      </x:c>
      <x:c r="C9" s="47" t="str">
        <x:v>TRF-101</x:v>
      </x:c>
      <x:c r="D9" s="93" t="n">
        <x:v>46265.02795005787</x:v>
      </x:c>
      <x:c r="E9" s="47" t="str">
        <x:v>generator</x:v>
      </x:c>
      <x:c r="F9" s="47" t="str">
        <x:v>gpt-5.6-luna-2026-07-09</x:v>
      </x:c>
      <x:c r="G9" s="47" t="n">
        <x:v>1</x:v>
      </x:c>
      <x:c r="H9" s="47" t="n">
        <x:v>200</x:v>
      </x:c>
      <x:c r="I9" s="47" t="str">
        <x:v>Ocp-Apim-Subscription-Key</x:v>
      </x:c>
      <x:c r="J9" s="86" t="n">
        <x:v>0</x:v>
      </x:c>
      <x:c r="K9" s="86" t="n">
        <x:v>28971.227</x:v>
      </x:c>
      <x:c r="L9" s="85" t="b">
        <x:v>0</x:v>
      </x:c>
      <x:c r="M9" s="47" t="str"/>
      <x:c r="N9" s="59" t="str"/>
      <x:c r="O9" s="59" t="str"/>
      <x:c r="P9" s="59" t="str"/>
    </x:row>
    <x:row r="10">
      <x:c r="A10" s="47" t="str">
        <x:v>EVT-000044</x:v>
      </x:c>
      <x:c r="B10" s="47" t="str">
        <x:v>RUN-TRF-101-20260831T003903005488Z</x:v>
      </x:c>
      <x:c r="C10" s="47" t="str">
        <x:v>TRF-101</x:v>
      </x:c>
      <x:c r="D10" s="93" t="n">
        <x:v>46265.027950069445</x:v>
      </x:c>
      <x:c r="E10" s="47" t="str">
        <x:v>generator</x:v>
      </x:c>
      <x:c r="F10" s="47" t="str">
        <x:v>gpt-5.6-luna-2026-07-09</x:v>
      </x:c>
      <x:c r="G10" s="47" t="n">
        <x:v>1</x:v>
      </x:c>
      <x:c r="H10" s="47" t="str">
        <x:v>COMPLETED</x:v>
      </x:c>
      <x:c r="I10" s="47" t="str"/>
      <x:c r="J10" s="86" t="n">
        <x:v>0</x:v>
      </x:c>
      <x:c r="K10" s="86" t="n">
        <x:v>28972.782</x:v>
      </x:c>
      <x:c r="L10" s="85" t="b">
        <x:v>0</x:v>
      </x:c>
      <x:c r="M10" s="47" t="str">
        <x:v>resp_02533a7493bffa5f006a94cd51fea881938f7b786ca04717c4</x:v>
      </x:c>
      <x:c r="N10" s="59" t="n">
        <x:v>10994</x:v>
      </x:c>
      <x:c r="O10" s="59" t="n">
        <x:v>3889</x:v>
      </x:c>
      <x:c r="P10" s="59" t="n">
        <x:v>14883</x:v>
      </x:c>
    </x:row>
    <x:row r="11">
      <x:c r="A11" s="47" t="str">
        <x:v>EVT-000051</x:v>
      </x:c>
      <x:c r="B11" s="47" t="str">
        <x:v>RUN-TRF-101-20260831T003903005488Z</x:v>
      </x:c>
      <x:c r="C11" s="47" t="str">
        <x:v>TRF-101</x:v>
      </x:c>
      <x:c r="D11" s="93" t="n">
        <x:v>46265.02818472222</x:v>
      </x:c>
      <x:c r="E11" s="47" t="str">
        <x:v>validator</x:v>
      </x:c>
      <x:c r="F11" s="47" t="str">
        <x:v>gpt-5.6-luna-2026-07-09</x:v>
      </x:c>
      <x:c r="G11" s="47" t="n">
        <x:v>1</x:v>
      </x:c>
      <x:c r="H11" s="47" t="n">
        <x:v>200</x:v>
      </x:c>
      <x:c r="I11" s="47" t="str">
        <x:v>Ocp-Apim-Subscription-Key</x:v>
      </x:c>
      <x:c r="J11" s="86" t="n">
        <x:v>0</x:v>
      </x:c>
      <x:c r="K11" s="86" t="n">
        <x:v>20004.756</x:v>
      </x:c>
      <x:c r="L11" s="85" t="b">
        <x:v>0</x:v>
      </x:c>
      <x:c r="M11" s="47" t="str"/>
      <x:c r="N11" s="59" t="str"/>
      <x:c r="O11" s="59" t="str"/>
      <x:c r="P11" s="59" t="str"/>
    </x:row>
    <x:row r="12">
      <x:c r="A12" s="47" t="str">
        <x:v>EVT-000052</x:v>
      </x:c>
      <x:c r="B12" s="47" t="str">
        <x:v>RUN-TRF-101-20260831T003903005488Z</x:v>
      </x:c>
      <x:c r="C12" s="47" t="str">
        <x:v>TRF-101</x:v>
      </x:c>
      <x:c r="D12" s="93" t="n">
        <x:v>46265.02818474537</x:v>
      </x:c>
      <x:c r="E12" s="47" t="str">
        <x:v>validator</x:v>
      </x:c>
      <x:c r="F12" s="47" t="str">
        <x:v>gpt-5.6-luna-2026-07-09</x:v>
      </x:c>
      <x:c r="G12" s="47" t="n">
        <x:v>1</x:v>
      </x:c>
      <x:c r="H12" s="47" t="str">
        <x:v>COMPLETED</x:v>
      </x:c>
      <x:c r="I12" s="47" t="str"/>
      <x:c r="J12" s="86" t="n">
        <x:v>0</x:v>
      </x:c>
      <x:c r="K12" s="86" t="n">
        <x:v>20006.199</x:v>
      </x:c>
      <x:c r="L12" s="85" t="b">
        <x:v>0</x:v>
      </x:c>
      <x:c r="M12" s="47" t="str">
        <x:v>resp_0f8db9f8dc3d87fe006a94cd6f3c108193b4e7865330736281</x:v>
      </x:c>
      <x:c r="N12" s="59" t="n">
        <x:v>12822</x:v>
      </x:c>
      <x:c r="O12" s="59" t="n">
        <x:v>1699</x:v>
      </x:c>
      <x:c r="P12" s="59" t="n">
        <x:v>14521</x:v>
      </x:c>
    </x:row>
    <x:row r="13">
      <x:c r="A13" s="47" t="str">
        <x:v>EVT-000057</x:v>
      </x:c>
      <x:c r="B13" s="47" t="str">
        <x:v>RUN-TRF-101-20260831T003903005488Z</x:v>
      </x:c>
      <x:c r="C13" s="47" t="str">
        <x:v>TRF-101</x:v>
      </x:c>
      <x:c r="D13" s="93" t="n">
        <x:v>46265.02849525463</x:v>
      </x:c>
      <x:c r="E13" s="47" t="str">
        <x:v>generator</x:v>
      </x:c>
      <x:c r="F13" s="47" t="str">
        <x:v>gpt-5.6-luna-2026-07-09</x:v>
      </x:c>
      <x:c r="G13" s="47" t="n">
        <x:v>1</x:v>
      </x:c>
      <x:c r="H13" s="47" t="n">
        <x:v>200</x:v>
      </x:c>
      <x:c r="I13" s="47" t="str">
        <x:v>Ocp-Apim-Subscription-Key</x:v>
      </x:c>
      <x:c r="J13" s="86" t="n">
        <x:v>0</x:v>
      </x:c>
      <x:c r="K13" s="86" t="n">
        <x:v>26823.263</x:v>
      </x:c>
      <x:c r="L13" s="85" t="b">
        <x:v>0</x:v>
      </x:c>
      <x:c r="M13" s="47" t="str"/>
      <x:c r="N13" s="59" t="str"/>
      <x:c r="O13" s="59" t="str"/>
      <x:c r="P13" s="59" t="str"/>
    </x:row>
    <x:row r="14">
      <x:c r="A14" s="47" t="str">
        <x:v>EVT-000058</x:v>
      </x:c>
      <x:c r="B14" s="47" t="str">
        <x:v>RUN-TRF-101-20260831T003903005488Z</x:v>
      </x:c>
      <x:c r="C14" s="47" t="str">
        <x:v>TRF-101</x:v>
      </x:c>
      <x:c r="D14" s="93" t="n">
        <x:v>46265.02849527778</x:v>
      </x:c>
      <x:c r="E14" s="47" t="str">
        <x:v>generator</x:v>
      </x:c>
      <x:c r="F14" s="47" t="str">
        <x:v>gpt-5.6-luna-2026-07-09</x:v>
      </x:c>
      <x:c r="G14" s="47" t="n">
        <x:v>1</x:v>
      </x:c>
      <x:c r="H14" s="47" t="str">
        <x:v>COMPLETED</x:v>
      </x:c>
      <x:c r="I14" s="47" t="str"/>
      <x:c r="J14" s="86" t="n">
        <x:v>0</x:v>
      </x:c>
      <x:c r="K14" s="86" t="n">
        <x:v>26824.763</x:v>
      </x:c>
      <x:c r="L14" s="85" t="b">
        <x:v>0</x:v>
      </x:c>
      <x:c r="M14" s="47" t="str">
        <x:v>resp_0cc38ff96be1df45006a94cd83406881909aa68fd0bebfa860</x:v>
      </x:c>
      <x:c r="N14" s="59" t="n">
        <x:v>11124</x:v>
      </x:c>
      <x:c r="O14" s="59" t="n">
        <x:v>3935</x:v>
      </x:c>
      <x:c r="P14" s="59" t="n">
        <x:v>15059</x:v>
      </x:c>
    </x:row>
    <x:row r="15">
      <x:c r="A15" s="47" t="str">
        <x:v>EVT-000065</x:v>
      </x:c>
      <x:c r="B15" s="47" t="str">
        <x:v>RUN-TRF-101-20260831T003903005488Z</x:v>
      </x:c>
      <x:c r="C15" s="47" t="str">
        <x:v>TRF-101</x:v>
      </x:c>
      <x:c r="D15" s="93" t="n">
        <x:v>46265.02865998843</x:v>
      </x:c>
      <x:c r="E15" s="47" t="str">
        <x:v>validator</x:v>
      </x:c>
      <x:c r="F15" s="47" t="str">
        <x:v>gpt-5.6-luna-2026-07-09</x:v>
      </x:c>
      <x:c r="G15" s="47" t="n">
        <x:v>1</x:v>
      </x:c>
      <x:c r="H15" s="47" t="n">
        <x:v>200</x:v>
      </x:c>
      <x:c r="I15" s="47" t="str">
        <x:v>Ocp-Apim-Subscription-Key</x:v>
      </x:c>
      <x:c r="J15" s="86" t="n">
        <x:v>0</x:v>
      </x:c>
      <x:c r="K15" s="86" t="n">
        <x:v>13931.72</x:v>
      </x:c>
      <x:c r="L15" s="85" t="b">
        <x:v>0</x:v>
      </x:c>
      <x:c r="M15" s="47" t="str"/>
      <x:c r="N15" s="59" t="str"/>
      <x:c r="O15" s="59" t="str"/>
      <x:c r="P15" s="59" t="str"/>
    </x:row>
    <x:row r="16">
      <x:c r="A16" s="47" t="str">
        <x:v>EVT-000066</x:v>
      </x:c>
      <x:c r="B16" s="47" t="str">
        <x:v>RUN-TRF-101-20260831T003903005488Z</x:v>
      </x:c>
      <x:c r="C16" s="47" t="str">
        <x:v>TRF-101</x:v>
      </x:c>
      <x:c r="D16" s="93" t="n">
        <x:v>46265.02865998843</x:v>
      </x:c>
      <x:c r="E16" s="47" t="str">
        <x:v>validator</x:v>
      </x:c>
      <x:c r="F16" s="47" t="str">
        <x:v>gpt-5.6-luna-2026-07-09</x:v>
      </x:c>
      <x:c r="G16" s="47" t="n">
        <x:v>1</x:v>
      </x:c>
      <x:c r="H16" s="47" t="str">
        <x:v>COMPLETED</x:v>
      </x:c>
      <x:c r="I16" s="47" t="str"/>
      <x:c r="J16" s="86" t="n">
        <x:v>0</x:v>
      </x:c>
      <x:c r="K16" s="86" t="n">
        <x:v>13932.157</x:v>
      </x:c>
      <x:c r="L16" s="85" t="b">
        <x:v>0</x:v>
      </x:c>
      <x:c r="M16" s="47" t="str">
        <x:v>resp_0455340c6d476257006a94cd9e5e108197b90c06392914999a</x:v>
      </x:c>
      <x:c r="N16" s="59" t="n">
        <x:v>13891</x:v>
      </x:c>
      <x:c r="O16" s="59" t="n">
        <x:v>1164</x:v>
      </x:c>
      <x:c r="P16" s="59" t="n">
        <x:v>15055</x:v>
      </x:c>
    </x:row>
    <x:row r="17">
      <x:c r="A17" s="47" t="str">
        <x:v>EVT-000071</x:v>
      </x:c>
      <x:c r="B17" s="47" t="str">
        <x:v>RUN-TRF-101-20260831T003903005488Z</x:v>
      </x:c>
      <x:c r="C17" s="47" t="str">
        <x:v>TRF-101</x:v>
      </x:c>
      <x:c r="D17" s="93" t="n">
        <x:v>46265.02903037037</x:v>
      </x:c>
      <x:c r="E17" s="47" t="str">
        <x:v>generator</x:v>
      </x:c>
      <x:c r="F17" s="47" t="str">
        <x:v>gpt-5.6-luna-2026-07-09</x:v>
      </x:c>
      <x:c r="G17" s="47" t="n">
        <x:v>1</x:v>
      </x:c>
      <x:c r="H17" s="47" t="n">
        <x:v>200</x:v>
      </x:c>
      <x:c r="I17" s="47" t="str">
        <x:v>Ocp-Apim-Subscription-Key</x:v>
      </x:c>
      <x:c r="J17" s="86" t="n">
        <x:v>0</x:v>
      </x:c>
      <x:c r="K17" s="86" t="n">
        <x:v>31997.816</x:v>
      </x:c>
      <x:c r="L17" s="85" t="b">
        <x:v>0</x:v>
      </x:c>
      <x:c r="M17" s="47" t="str"/>
      <x:c r="N17" s="59" t="str"/>
      <x:c r="O17" s="59" t="str"/>
      <x:c r="P17" s="59" t="str"/>
    </x:row>
    <x:row r="18">
      <x:c r="A18" s="47" t="str">
        <x:v>EVT-000072</x:v>
      </x:c>
      <x:c r="B18" s="47" t="str">
        <x:v>RUN-TRF-101-20260831T003903005488Z</x:v>
      </x:c>
      <x:c r="C18" s="47" t="str">
        <x:v>TRF-101</x:v>
      </x:c>
      <x:c r="D18" s="93" t="n">
        <x:v>46265.02903039352</x:v>
      </x:c>
      <x:c r="E18" s="47" t="str">
        <x:v>generator</x:v>
      </x:c>
      <x:c r="F18" s="47" t="str">
        <x:v>gpt-5.6-luna-2026-07-09</x:v>
      </x:c>
      <x:c r="G18" s="47" t="n">
        <x:v>1</x:v>
      </x:c>
      <x:c r="H18" s="47" t="str">
        <x:v>COMPLETED</x:v>
      </x:c>
      <x:c r="I18" s="47" t="str"/>
      <x:c r="J18" s="86" t="n">
        <x:v>0</x:v>
      </x:c>
      <x:c r="K18" s="86" t="n">
        <x:v>31999.443</x:v>
      </x:c>
      <x:c r="L18" s="85" t="b">
        <x:v>0</x:v>
      </x:c>
      <x:c r="M18" s="47" t="str">
        <x:v>resp_00ef88b3d832880e006a94cdac4f8c8196b2e95fc924447323</x:v>
      </x:c>
      <x:c r="N18" s="59" t="n">
        <x:v>11270</x:v>
      </x:c>
      <x:c r="O18" s="59" t="n">
        <x:v>4674</x:v>
      </x:c>
      <x:c r="P18" s="59" t="n">
        <x:v>15944</x:v>
      </x:c>
    </x:row>
    <x:row r="19">
      <x:c r="A19" s="47" t="str">
        <x:v>EVT-000079</x:v>
      </x:c>
      <x:c r="B19" s="47" t="str">
        <x:v>RUN-TRF-101-20260831T003903005488Z</x:v>
      </x:c>
      <x:c r="C19" s="47" t="str">
        <x:v>TRF-101</x:v>
      </x:c>
      <x:c r="D19" s="93" t="n">
        <x:v>46265.029156585646</x:v>
      </x:c>
      <x:c r="E19" s="47" t="str">
        <x:v>validator</x:v>
      </x:c>
      <x:c r="F19" s="47" t="str">
        <x:v>gpt-5.6-luna-2026-07-09</x:v>
      </x:c>
      <x:c r="G19" s="47" t="n">
        <x:v>1</x:v>
      </x:c>
      <x:c r="H19" s="47" t="n">
        <x:v>200</x:v>
      </x:c>
      <x:c r="I19" s="47" t="str">
        <x:v>Ocp-Apim-Subscription-Key</x:v>
      </x:c>
      <x:c r="J19" s="86" t="n">
        <x:v>0</x:v>
      </x:c>
      <x:c r="K19" s="86" t="n">
        <x:v>10508.477</x:v>
      </x:c>
      <x:c r="L19" s="85" t="b">
        <x:v>0</x:v>
      </x:c>
      <x:c r="M19" s="47" t="str"/>
      <x:c r="N19" s="59" t="str"/>
      <x:c r="O19" s="59" t="str"/>
      <x:c r="P19" s="59" t="str"/>
    </x:row>
    <x:row r="20">
      <x:c r="A20" s="49" t="str">
        <x:v>EVT-000080</x:v>
      </x:c>
      <x:c r="B20" s="49" t="str">
        <x:v>RUN-TRF-101-20260831T003903005488Z</x:v>
      </x:c>
      <x:c r="C20" s="49" t="str">
        <x:v>TRF-101</x:v>
      </x:c>
      <x:c r="D20" s="94" t="n">
        <x:v>46265.0291566088</x:v>
      </x:c>
      <x:c r="E20" s="49" t="str">
        <x:v>validator</x:v>
      </x:c>
      <x:c r="F20" s="49" t="str">
        <x:v>gpt-5.6-luna-2026-07-09</x:v>
      </x:c>
      <x:c r="G20" s="49" t="n">
        <x:v>1</x:v>
      </x:c>
      <x:c r="H20" s="49" t="str">
        <x:v>COMPLETED</x:v>
      </x:c>
      <x:c r="I20" s="49" t="str"/>
      <x:c r="J20" s="88" t="n">
        <x:v>0</x:v>
      </x:c>
      <x:c r="K20" s="88" t="n">
        <x:v>10509.873</x:v>
      </x:c>
      <x:c r="L20" s="87" t="b">
        <x:v>0</x:v>
      </x:c>
      <x:c r="M20" s="49" t="str">
        <x:v>resp_0279a8597520c005006a94cdccb3408195a961a5f6b99a8ad0</x:v>
      </x:c>
      <x:c r="N20" s="60" t="n">
        <x:v>14304</x:v>
      </x:c>
      <x:c r="O20" s="60" t="n">
        <x:v>1044</x:v>
      </x:c>
      <x:c r="P20" s="60" t="n">
        <x:v>15348</x:v>
      </x:c>
    </x:row>
  </x:sheetData>
  <x:conditionalFormatting sqref="H5:H2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87124da6c1be487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RUN-TRF-101-20260831T003903005488Z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RUN-TRF-101-20260831T003903005488Z</x:v>
      </x:c>
      <x:c r="B5" s="45" t="str">
        <x:v>TRF-101</x:v>
      </x:c>
      <x:c r="C5" s="45" t="str">
        <x:v>approvalRecord</x:v>
      </x:c>
      <x:c r="D5" s="46" t="str">
        <x:v>https://w3id.org/nltl/vocab#approvalRecord</x:v>
      </x:c>
      <x:c r="E5" s="45" t="str">
        <x:v>Class</x:v>
      </x:c>
      <x:c r="F5" s="45" t="str"/>
      <x:c r="G5" s="45" t="str">
        <x:v>https://w3id.org/nltl/vocab#evidenceArtifact</x:v>
      </x:c>
      <x:c r="H5" s="45" t="str"/>
      <x:c r="I5" s="46" t="str">
        <x:v>range dependency of approvedNonlinearBladeStressAnalysis</x:v>
      </x:c>
      <x:c r="J5" s="45" t="n">
        <x:v>0</x:v>
      </x:c>
    </x:row>
    <x:row r="6">
      <x:c r="A6" s="47" t="str">
        <x:v>RUN-TRF-101-20260831T003903005488Z</x:v>
      </x:c>
      <x:c r="B6" s="47" t="str">
        <x:v>TRF-101</x:v>
      </x:c>
      <x:c r="C6" s="47" t="str">
        <x:v>approvedNonlinearBladeStressAnalysis</x:v>
      </x:c>
      <x:c r="D6" s="48" t="str">
        <x:v>https://w3id.org/nltl/vocab#approvedNonlinearBladeStressAnalysis</x:v>
      </x:c>
      <x:c r="E6" s="47" t="str">
        <x:v>ObjectProperty</x:v>
      </x:c>
      <x:c r="F6" s="47" t="str"/>
      <x:c r="G6" s="47" t="str">
        <x:v>https://w3id.org/nltl/vocab#approvalRecord</x:v>
      </x:c>
      <x:c r="H6" s="47" t="str"/>
      <x:c r="I6" s="48" t="str">
        <x:v>linked by the locked 313-requirement index</x:v>
      </x:c>
      <x:c r="J6" s="47" t="n">
        <x:v>0</x:v>
      </x:c>
    </x:row>
    <x:row r="7">
      <x:c r="A7" s="47" t="str">
        <x:v>RUN-TRF-101-20260831T003903005488Z</x:v>
      </x:c>
      <x:c r="B7" s="47" t="str">
        <x:v>TRF-101</x:v>
      </x:c>
      <x:c r="C7" s="47" t="str">
        <x:v>benchmarkEntity</x:v>
      </x:c>
      <x:c r="D7" s="48" t="str">
        <x:v>https://w3id.org/nltl/vocab#benchmarkEntity</x:v>
      </x:c>
      <x:c r="E7" s="47" t="str">
        <x:v>Class</x:v>
      </x:c>
      <x:c r="F7" s="47" t="str"/>
      <x:c r="G7" s="47" t="str"/>
      <x:c r="H7" s="47" t="str"/>
      <x:c r="I7" s="48" t="str">
        <x:v>baseline target infrastructure; domain dependency of bladeFailureStatus; domain dependency of bladeFailureUltimateLoad; domain dependency of bladeReferenceStrength1; domain dependency of bladeTipOffset; domain dependency of propellerDiameter</x:v>
      </x:c>
      <x:c r="J7" s="47" t="n">
        <x:v>0</x:v>
      </x:c>
    </x:row>
    <x:row r="8">
      <x:c r="A8" s="47" t="str">
        <x:v>RUN-TRF-101-20260831T003903005488Z</x:v>
      </x:c>
      <x:c r="B8" s="47" t="str">
        <x:v>TRF-101</x:v>
      </x:c>
      <x:c r="C8" s="47" t="str">
        <x:v>bladeChordLengthAtWeakestSection</x:v>
      </x:c>
      <x:c r="D8" s="48" t="str">
        <x:v>https://w3id.org/nltl/vocab#bladeChordLengthAtWeakestSection</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RUN-TRF-101-20260831T003903005488Z</x:v>
      </x:c>
      <x:c r="B9" s="47" t="str">
        <x:v>TRF-101</x:v>
      </x:c>
      <x:c r="C9" s="47" t="str">
        <x:v>bladeCylindricalRootRadius</x:v>
      </x:c>
      <x:c r="D9" s="48" t="str">
        <x:v>https://w3id.org/nltl/vocab#bladeCylindricalRootRadius</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RUN-TRF-101-20260831T003903005488Z</x:v>
      </x:c>
      <x:c r="B10" s="47" t="str">
        <x:v>TRF-101</x:v>
      </x:c>
      <x:c r="C10" s="47" t="str">
        <x:v>bladeFailureLoadApplicationRadiusRatio</x:v>
      </x:c>
      <x:c r="D10" s="48" t="str">
        <x:v>https://w3id.org/nltl/vocab#bladeFailureLoadApplicationRadiusRatio</x:v>
      </x:c>
      <x:c r="E10" s="47" t="str">
        <x:v>QuantityProperty</x:v>
      </x:c>
      <x:c r="F10" s="47" t="str"/>
      <x:c r="G10" s="47" t="str">
        <x:v>http://qudt.org/schema/qudt/QuantityValue</x:v>
      </x:c>
      <x:c r="H10" s="47" t="str">
        <x:v>http://qudt.org/vocab/unit/UNITLESS</x:v>
      </x:c>
      <x:c r="I10" s="48" t="str">
        <x:v>linked by the locked 313-requirement index</x:v>
      </x:c>
      <x:c r="J10" s="47" t="n">
        <x:v>0</x:v>
      </x:c>
    </x:row>
    <x:row r="11">
      <x:c r="A11" s="47" t="str">
        <x:v>RUN-TRF-101-20260831T003903005488Z</x:v>
      </x:c>
      <x:c r="B11" s="47" t="str">
        <x:v>TRF-101</x:v>
      </x:c>
      <x:c r="C11" s="47" t="str">
        <x:v>bladeFailureLoadWeakestDirectionConfirmed</x:v>
      </x:c>
      <x:c r="D11" s="48" t="str">
        <x:v>https://w3id.org/nltl/vocab#bladeFailureLoadWeakestDirectionConfirmed</x:v>
      </x:c>
      <x:c r="E11" s="47" t="str">
        <x:v>DatatypeProperty</x:v>
      </x:c>
      <x:c r="F11" s="47" t="str">
        <x:v>xsd:boolean</x:v>
      </x:c>
      <x:c r="G11" s="47" t="str">
        <x:v>http://www.w3.org/2001/XMLSchema#boolean</x:v>
      </x:c>
      <x:c r="H11" s="47" t="str"/>
      <x:c r="I11" s="48" t="str">
        <x:v>linked by the locked 313-requirement index</x:v>
      </x:c>
      <x:c r="J11" s="47" t="n">
        <x:v>0</x:v>
      </x:c>
    </x:row>
    <x:row r="12">
      <x:c r="A12" s="47" t="str">
        <x:v>RUN-TRF-101-20260831T003903005488Z</x:v>
      </x:c>
      <x:c r="B12" s="47" t="str">
        <x:v>TRF-101</x:v>
      </x:c>
      <x:c r="C12" s="47" t="str">
        <x:v>bladeFailureStatus</x:v>
      </x:c>
      <x:c r="D12" s="48" t="str">
        <x:v>https://w3id.org/nltl/vocab#bladeFailureStatus</x:v>
      </x:c>
      <x:c r="E12" s="47" t="str">
        <x:v>DatatypeProperty</x:v>
      </x:c>
      <x:c r="F12" s="47" t="str">
        <x:v>xsd:boolean</x:v>
      </x:c>
      <x:c r="G12" s="47" t="str">
        <x:v>http://www.w3.org/2001/XMLSchema#boolean</x:v>
      </x:c>
      <x:c r="H12" s="47" t="str"/>
      <x:c r="I12" s="48" t="str">
        <x:v>linked by the locked 313-requirement index</x:v>
      </x:c>
      <x:c r="J12" s="47" t="n">
        <x:v>0</x:v>
      </x:c>
    </x:row>
    <x:row r="13">
      <x:c r="A13" s="47" t="str">
        <x:v>RUN-TRF-101-20260831T003903005488Z</x:v>
      </x:c>
      <x:c r="B13" s="47" t="str">
        <x:v>TRF-101</x:v>
      </x:c>
      <x:c r="C13" s="47" t="str">
        <x:v>bladeFailureUltimateLoad</x:v>
      </x:c>
      <x:c r="D13" s="48" t="str">
        <x:v>https://w3id.org/nltl/vocab#bladeFailureUltimateLoad</x:v>
      </x:c>
      <x:c r="E13" s="47" t="str">
        <x:v>QuantityProperty</x:v>
      </x:c>
      <x:c r="F13" s="47" t="str"/>
      <x:c r="G13" s="47" t="str">
        <x:v>http://qudt.org/schema/qudt/QuantityValue</x:v>
      </x:c>
      <x:c r="H13" s="47" t="str">
        <x:v>http://qudt.org/vocab/unit/KiloN</x:v>
      </x:c>
      <x:c r="I13" s="48" t="str">
        <x:v>linked by the locked 313-requirement index</x:v>
      </x:c>
      <x:c r="J13" s="47" t="n">
        <x:v>0</x:v>
      </x:c>
    </x:row>
    <x:row r="14">
      <x:c r="A14" s="47" t="str">
        <x:v>RUN-TRF-101-20260831T003903005488Z</x:v>
      </x:c>
      <x:c r="B14" s="47" t="str">
        <x:v>TRF-101</x:v>
      </x:c>
      <x:c r="C14" s="47" t="str">
        <x:v>bladeMaximumThicknessAtWeakestSection</x:v>
      </x:c>
      <x:c r="D14" s="48" t="str">
        <x:v>https://w3id.org/nltl/vocab#bladeMaximumThicknessAtWeakestSection</x:v>
      </x:c>
      <x:c r="E14" s="47" t="str">
        <x:v>QuantityProperty</x:v>
      </x:c>
      <x:c r="F14" s="47" t="str"/>
      <x:c r="G14" s="47" t="str">
        <x:v>http://qudt.org/schema/qudt/QuantityValue</x:v>
      </x:c>
      <x:c r="H14" s="47" t="str">
        <x:v>http://qudt.org/vocab/unit/M</x:v>
      </x:c>
      <x:c r="I14" s="48" t="str">
        <x:v>linked by the locked 313-requirement index</x:v>
      </x:c>
      <x:c r="J14" s="47" t="n">
        <x:v>0</x:v>
      </x:c>
    </x:row>
    <x:row r="15">
      <x:c r="A15" s="47" t="str">
        <x:v>RUN-TRF-101-20260831T003903005488Z</x:v>
      </x:c>
      <x:c r="B15" s="47" t="str">
        <x:v>TRF-101</x:v>
      </x:c>
      <x:c r="C15" s="47" t="str">
        <x:v>bladeMinimumYieldStrength</x:v>
      </x:c>
      <x:c r="D15" s="48" t="str">
        <x:v>https://w3id.org/nltl/vocab#bladeMinimumYieldStrength</x:v>
      </x:c>
      <x:c r="E15" s="47" t="str">
        <x:v>QuantityProperty</x:v>
      </x:c>
      <x:c r="F15" s="47" t="str"/>
      <x:c r="G15" s="47" t="str">
        <x:v>http://qudt.org/schema/qudt/QuantityValue</x:v>
      </x:c>
      <x:c r="H15" s="47" t="str">
        <x:v>http://qudt.org/vocab/unit/MegaPA</x:v>
      </x:c>
      <x:c r="I15" s="48" t="str">
        <x:v>linked by the locked 313-requirement index</x:v>
      </x:c>
      <x:c r="J15" s="47" t="n">
        <x:v>0</x:v>
      </x:c>
    </x:row>
    <x:row r="16">
      <x:c r="A16" s="47" t="str">
        <x:v>RUN-TRF-101-20260831T003903005488Z</x:v>
      </x:c>
      <x:c r="B16" s="47" t="str">
        <x:v>TRF-101</x:v>
      </x:c>
      <x:c r="C16" s="47" t="str">
        <x:v>bladeReferenceStrength1</x:v>
      </x:c>
      <x:c r="D16" s="48" t="str">
        <x:v>https://w3id.org/nltl/vocab#bladeReferenceStrength1</x:v>
      </x:c>
      <x:c r="E16" s="47" t="str">
        <x:v>QuantityProperty</x:v>
      </x:c>
      <x:c r="F16" s="47" t="str"/>
      <x:c r="G16" s="47" t="str">
        <x:v>http://qudt.org/schema/qudt/QuantityValue</x:v>
      </x:c>
      <x:c r="H16" s="47" t="str">
        <x:v>http://qudt.org/vocab/unit/MegaPA</x:v>
      </x:c>
      <x:c r="I16" s="48" t="str">
        <x:v>linked by the locked 313-requirement index</x:v>
      </x:c>
      <x:c r="J16" s="47" t="n">
        <x:v>0</x:v>
      </x:c>
    </x:row>
    <x:row r="17">
      <x:c r="A17" s="47" t="str">
        <x:v>RUN-TRF-101-20260831T003903005488Z</x:v>
      </x:c>
      <x:c r="B17" s="47" t="str">
        <x:v>TRF-101</x:v>
      </x:c>
      <x:c r="C17" s="47" t="str">
        <x:v>bladeTipOffset</x:v>
      </x:c>
      <x:c r="D17" s="48" t="str">
        <x:v>https://w3id.org/nltl/vocab#bladeTipOffset</x:v>
      </x:c>
      <x:c r="E17" s="47" t="str">
        <x:v>QuantityProperty</x:v>
      </x:c>
      <x:c r="F17" s="47" t="str"/>
      <x:c r="G17" s="47" t="str">
        <x:v>http://qudt.org/schema/qudt/QuantityValue</x:v>
      </x:c>
      <x:c r="H17" s="47" t="str">
        <x:v>http://qudt.org/vocab/unit/M</x:v>
      </x:c>
      <x:c r="I17" s="48" t="str">
        <x:v>linked by the locked 313-requirement index</x:v>
      </x:c>
      <x:c r="J17" s="47" t="n">
        <x:v>0</x:v>
      </x:c>
    </x:row>
    <x:row r="18">
      <x:c r="A18" s="47" t="str">
        <x:v>RUN-TRF-101-20260831T003903005488Z</x:v>
      </x:c>
      <x:c r="B18" s="47" t="str">
        <x:v>TRF-101</x:v>
      </x:c>
      <x:c r="C18" s="47" t="str">
        <x:v>bladeUltimateTensileStrength</x:v>
      </x:c>
      <x:c r="D18" s="48" t="str">
        <x:v>https://w3id.org/nltl/vocab#bladeUltimateTensileStrength</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RUN-TRF-101-20260831T003903005488Z</x:v>
      </x:c>
      <x:c r="B19" s="47" t="str">
        <x:v>TRF-101</x:v>
      </x:c>
      <x:c r="C19" s="47" t="str">
        <x:v>hasComponent</x:v>
      </x:c>
      <x:c r="D19" s="48" t="str">
        <x:v>https://w3id.org/nltl/vocab#hasComponent</x:v>
      </x:c>
      <x:c r="E19" s="47" t="str">
        <x:v>ObjectProperty</x:v>
      </x:c>
      <x:c r="F19" s="47" t="str"/>
      <x:c r="G19" s="47" t="str">
        <x:v>https://w3id.org/nltl/vocab#shipComponent</x:v>
      </x:c>
      <x:c r="H19" s="47" t="str"/>
      <x:c r="I19" s="48" t="str">
        <x:v>component-path dependency inferred from the linked term module</x:v>
      </x:c>
      <x:c r="J19" s="47" t="n">
        <x:v>0</x:v>
      </x:c>
    </x:row>
    <x:row r="20">
      <x:c r="A20" s="47" t="str">
        <x:v>RUN-TRF-101-20260831T003903005488Z</x:v>
      </x:c>
      <x:c r="B20" s="47" t="str">
        <x:v>TRF-101</x:v>
      </x:c>
      <x:c r="C20" s="47" t="str">
        <x:v>hasLoadCase</x:v>
      </x:c>
      <x:c r="D20" s="48" t="str">
        <x:v>https://w3id.org/nltl/vocab#hasLoadCase</x:v>
      </x:c>
      <x:c r="E20" s="47" t="str">
        <x:v>ObjectProperty</x:v>
      </x:c>
      <x:c r="F20" s="47" t="str"/>
      <x:c r="G20" s="47" t="str">
        <x:v>https://w3id.org/nltl/vocab#loadCase</x:v>
      </x:c>
      <x:c r="H20" s="47" t="str"/>
      <x:c r="I20" s="48" t="str">
        <x:v>canonical path from target owner ship to required owner loadCase; linked by the locked 313-requirement index</x:v>
      </x:c>
      <x:c r="J20" s="47" t="n">
        <x:v>0</x:v>
      </x:c>
    </x:row>
    <x:row r="21">
      <x:c r="A21" s="47" t="str">
        <x:v>RUN-TRF-101-20260831T003903005488Z</x:v>
      </x:c>
      <x:c r="B21" s="47" t="str">
        <x:v>TRF-101</x:v>
      </x:c>
      <x:c r="C21" s="47" t="str">
        <x:v>hasPropulsionLoadCase</x:v>
      </x:c>
      <x:c r="D21" s="48" t="str">
        <x:v>https://w3id.org/nltl/vocab#hasPropulsionLoadCase</x:v>
      </x:c>
      <x:c r="E21" s="47" t="str">
        <x:v>ObjectProperty</x:v>
      </x:c>
      <x:c r="F21" s="47" t="str"/>
      <x:c r="G21" s="47" t="str">
        <x:v>https://w3id.org/nltl/vocab#loadCase</x:v>
      </x:c>
      <x:c r="H21" s="47" t="str"/>
      <x:c r="I21" s="48" t="str">
        <x:v>canonical path from target owner ship to required owner loadCase</x:v>
      </x:c>
      <x:c r="J21" s="47" t="n">
        <x:v>0</x:v>
      </x:c>
    </x:row>
    <x:row r="22">
      <x:c r="A22" s="47" t="str">
        <x:v>RUN-TRF-101-20260831T003903005488Z</x:v>
      </x:c>
      <x:c r="B22" s="47" t="str">
        <x:v>TRF-101</x:v>
      </x:c>
      <x:c r="C22" s="47" t="str">
        <x:v>loadCase</x:v>
      </x:c>
      <x:c r="D22" s="48" t="str">
        <x:v>https://w3id.org/nltl/vocab#loadCase</x:v>
      </x:c>
      <x:c r="E22" s="47" t="str">
        <x:v>Class</x:v>
      </x:c>
      <x:c r="F22" s="47" t="str"/>
      <x:c r="G22" s="47" t="str">
        <x:v>https://w3id.org/nltl/vocab#calculationCase</x:v>
      </x:c>
      <x:c r="H22" s="47" t="str"/>
      <x:c r="I22" s="48" t="str">
        <x:v>authoritative required owner class; domain dependency of bladeFailureLoadApplicationRadiusRatio; domain dependency of bladeFailureLoadWeakestDirectionConfirmed; range dependency of hasLoadCase</x:v>
      </x:c>
      <x:c r="J22" s="47" t="n">
        <x:v>0</x:v>
      </x:c>
    </x:row>
    <x:row r="23">
      <x:c r="A23" s="47" t="str">
        <x:v>RUN-TRF-101-20260831T003903005488Z</x:v>
      </x:c>
      <x:c r="B23" s="47" t="str">
        <x:v>TRF-101</x:v>
      </x:c>
      <x:c r="C23" s="47" t="str">
        <x:v>propellerDiameter</x:v>
      </x:c>
      <x:c r="D23" s="48" t="str">
        <x:v>https://w3id.org/nltl/vocab#propellerDiameter</x:v>
      </x:c>
      <x:c r="E23" s="47" t="str">
        <x:v>QuantityProperty</x:v>
      </x:c>
      <x:c r="F23" s="47" t="str"/>
      <x:c r="G23" s="47" t="str">
        <x:v>http://qudt.org/schema/qudt/QuantityValue</x:v>
      </x:c>
      <x:c r="H23" s="47" t="str">
        <x:v>http://qudt.org/vocab/unit/M</x:v>
      </x:c>
      <x:c r="I23" s="48" t="str">
        <x:v>linked by the locked 313-requirement index</x:v>
      </x:c>
      <x:c r="J23" s="47" t="n">
        <x:v>0</x:v>
      </x:c>
    </x:row>
    <x:row r="24">
      <x:c r="A24" s="47" t="str">
        <x:v>RUN-TRF-101-20260831T003903005488Z</x:v>
      </x:c>
      <x:c r="B24" s="47" t="str">
        <x:v>TRF-101</x:v>
      </x:c>
      <x:c r="C24" s="47" t="str">
        <x:v>ship</x:v>
      </x:c>
      <x:c r="D24" s="48" t="str">
        <x:v>https://w3id.org/nltl/vocab#ship</x:v>
      </x:c>
      <x:c r="E24" s="47" t="str">
        <x:v>Class</x:v>
      </x:c>
      <x:c r="F24" s="47" t="str"/>
      <x:c r="G24" s="47" t="str"/>
      <x:c r="H24" s="47" t="str"/>
      <x:c r="I24" s="48" t="str">
        <x:v>authoritative required owner class; authoritative requirement target owner; baseline target infrastructure; domain dependency of approvedNonlinearBladeStressAnalysis; domain dependency of bladeChordLengthAtWeakestSection; domain dependency of bladeCylindricalRootRadius; domain dependency of bladeMaximumThicknessAtWeakestSection; domain dependency of bladeMinimumYieldStrength; domain dependency of bladeUltimateTensileStrength; domain dependency of hasLoadCase</x:v>
      </x:c>
      <x:c r="J24" s="47" t="n">
        <x:v>0</x:v>
      </x:c>
    </x:row>
    <x:row r="25">
      <x:c r="A25" s="49" t="str">
        <x:v>RUN-TRF-101-20260831T003903005488Z</x:v>
      </x:c>
      <x:c r="B25" s="49" t="str">
        <x:v>TRF-101</x:v>
      </x:c>
      <x:c r="C25" s="49" t="str">
        <x:v>shipComponent</x:v>
      </x:c>
      <x:c r="D25" s="50" t="str">
        <x:v>https://w3id.org/nltl/vocab#shipComponent</x:v>
      </x:c>
      <x:c r="E25" s="49" t="str">
        <x:v>Class</x:v>
      </x:c>
      <x:c r="F25" s="49" t="str"/>
      <x:c r="G25" s="49" t="str"/>
      <x:c r="H25" s="49" t="str"/>
      <x:c r="I25" s="50" t="str">
        <x:v>component-path dependency inferred from the linked term module</x:v>
      </x:c>
      <x:c r="J25" s="49" t="n">
        <x:v>0</x:v>
      </x:c>
    </x:row>
  </x:sheetData>
  <x:pageMargins left="0.7" right="0.7" top="0.75" bottom="0.75" header="0.3" footer="0.3"/>
  <x:tableParts count="1">
    <x:tablePart xmlns:r="http://schemas.openxmlformats.org/officeDocument/2006/relationships" r:id="R5069df667ed3494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RUN-TRF-101-20260831T003903005488Z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RUN-TRF-101-20260831T003903005488Z</x:v>
      </x:c>
      <x:c r="B5" s="45" t="str">
        <x:v>TRF-101</x:v>
      </x:c>
      <x:c r="C5" s="45" t="str">
        <x:v>FS-CALC-02</x:v>
      </x:c>
      <x:c r="D5" s="45" t="str">
        <x:v>comparison_calculation</x:v>
      </x:c>
      <x:c r="E5" s="97" t="n">
        <x:v>0.038095</x:v>
      </x:c>
      <x:c r="F5" s="45" t="str">
        <x:v>calculation | comparison | formula | sparql</x:v>
      </x:c>
      <x:c r="G5" s="45" t="str">
        <x:v>synthetic-few-shot-not-benchmark-ground-truth</x:v>
      </x:c>
    </x:row>
    <x:row r="6">
      <x:c r="A6" s="49" t="str">
        <x:v>RUN-TRF-101-20260831T003903005488Z</x:v>
      </x:c>
      <x:c r="B6" s="49" t="str">
        <x:v>TRF-101</x:v>
      </x:c>
      <x:c r="C6" s="49" t="str">
        <x:v>FS-BOOL-01</x:v>
      </x:c>
      <x:c r="D6" s="49" t="str">
        <x:v>boolean_state</x:v>
      </x:c>
      <x:c r="E6" s="98" t="n">
        <x:v>0.028302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32389978ad24ee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52"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RUN-TRF-101-20260831T003903005488Z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RUN-TRF-101-20260831T003903005488Z</x:v>
      </x:c>
      <x:c r="B5" s="45" t="str">
        <x:v>TRF-101</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https://w3id.org/nltl/vocab#approvalRecord | https://w3id.org/nltl/vocab#approvedNonlinearBladeStressAnalysis | https://w3id.org/nltl/vocab#bladeChordLengthAtWeakestSection | https://w3id.org/nltl/vocab#bladeCylindricalRootRadius | https://w3id.org/nltl/vocab#bladeFailureLoadApplicationRadiusRatio | https://w3id.org/nltl/vocab#bladeFailureLoadWeakestDirectionConfirmed | https://w3id.org/nltl/vocab#bladeFailureStatus | https://w3id.org/nltl/vocab#bladeFailureUltimateLoad | https://w3id.org/nltl/vocab#bladeMaximumThicknessAtWeakestSection | https://w3id.org/nltl/vocab#bladeMinimumYieldStrength | https://w3id.org/nltl/vocab#bladeReferenceStrength1 | https://w3id.org/nltl/vocab#bladeTipOffset | https://w3id.org/nltl/vocab#bladeUltimateTensileStrength | https://w3id.org/nltl/vocab#hasLoadCase | https://w3id.org/nltl/vocab#propellerDiameter | https://w3id.org/nltl/vocab#ship</x:v>
      </x:c>
      <x:c r="O5" s="46" t="str"/>
      <x:c r="P5" s="46" t="str"/>
      <x:c r="Q5" s="46" t="str"/>
    </x:row>
    <x:row r="6">
      <x:c r="A6" s="47" t="str">
        <x:v>RUN-TRF-101-20260831T003903005488Z</x:v>
      </x:c>
      <x:c r="B6" s="47" t="str">
        <x:v>TRF-101</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https://w3id.org/nltl/vocab#approvedNonlinearBladeStressAnalysis | https://w3id.org/nltl/vocab#bladeChordLengthAtWeakestSection | https://w3id.org/nltl/vocab#bladeCylindricalRootRadius | https://w3id.org/nltl/vocab#bladeFailureLoadApplicationRadiusRatio | https://w3id.org/nltl/vocab#bladeFailureLoadWeakestDirectionConfirmed | https://w3id.org/nltl/vocab#bladeFailureStatus | https://w3id.org/nltl/vocab#bladeFailureUltimateLoad | https://w3id.org/nltl/vocab#bladeMaximumThicknessAtWeakestSection | https://w3id.org/nltl/vocab#bladeMinimumYieldStrength | https://w3id.org/nltl/vocab#bladeReferenceStrength1 | https://w3id.org/nltl/vocab#bladeTipOffset | https://w3id.org/nltl/vocab#bladeUltimateTensileStrength | https://w3id.org/nltl/vocab#hasLoadCase | https://w3id.org/nltl/vocab#propellerDiameter | https://w3id.org/nltl/vocab#ship</x:v>
      </x:c>
      <x:c r="O6" s="48" t="str"/>
      <x:c r="P6" s="48" t="str"/>
      <x:c r="Q6" s="48" t="str"/>
    </x:row>
    <x:row r="7">
      <x:c r="A7" s="47" t="str">
        <x:v>RUN-TRF-101-20260831T003903005488Z</x:v>
      </x:c>
      <x:c r="B7" s="47" t="str">
        <x:v>TRF-101</x:v>
      </x:c>
      <x:c r="C7" s="59" t="n">
        <x:v>3</x:v>
      </x:c>
      <x:c r="D7" s="85" t="b">
        <x:v>1</x:v>
      </x:c>
      <x:c r="E7" s="85" t="b">
        <x:v>1</x:v>
      </x:c>
      <x:c r="F7" s="85" t="b">
        <x:v>1</x:v>
      </x:c>
      <x:c r="G7" s="85" t="b">
        <x:v>1</x:v>
      </x:c>
      <x:c r="H7" s="85" t="b">
        <x:v>1</x:v>
      </x:c>
      <x:c r="I7" s="85" t="b">
        <x:v>1</x:v>
      </x:c>
      <x:c r="J7" s="85" t="b">
        <x:v>1</x:v>
      </x:c>
      <x:c r="K7" s="103" t="b">
        <x:v>1</x:v>
      </x:c>
      <x:c r="L7" s="48" t="str"/>
      <x:c r="M7" s="48" t="str"/>
      <x:c r="N7" s="48" t="str">
        <x:v>https://w3id.org/nltl/vocab#approvalRecord | https://w3id.org/nltl/vocab#approvedNonlinearBladeStressAnalysis | https://w3id.org/nltl/vocab#bladeChordLengthAtWeakestSection | https://w3id.org/nltl/vocab#bladeCylindricalRootRadius | https://w3id.org/nltl/vocab#bladeFailureLoadApplicationRadiusRatio | https://w3id.org/nltl/vocab#bladeFailureLoadWeakestDirectionConfirmed | https://w3id.org/nltl/vocab#bladeFailureStatus | https://w3id.org/nltl/vocab#bladeFailureUltimateLoad | https://w3id.org/nltl/vocab#bladeMaximumThicknessAtWeakestSection | https://w3id.org/nltl/vocab#bladeMinimumYieldStrength | https://w3id.org/nltl/vocab#bladeReferenceStrength1 | https://w3id.org/nltl/vocab#bladeTipOffset | https://w3id.org/nltl/vocab#bladeUltimateTensileStrength | https://w3id.org/nltl/vocab#hasLoadCase | https://w3id.org/nltl/vocab#loadCase | https://w3id.org/nltl/vocab#propellerDiameter | https://w3id.org/nltl/vocab#ship</x:v>
      </x:c>
      <x:c r="O7" s="48" t="str"/>
      <x:c r="P7" s="48" t="str"/>
      <x:c r="Q7" s="48" t="str"/>
    </x:row>
    <x:row r="8">
      <x:c r="A8" s="49" t="str">
        <x:v>RUN-TRF-101-20260831T003903005488Z</x:v>
      </x:c>
      <x:c r="B8" s="49" t="str">
        <x:v>TRF-101</x:v>
      </x:c>
      <x:c r="C8" s="60" t="n">
        <x:v>4</x:v>
      </x:c>
      <x:c r="D8" s="87" t="b">
        <x:v>0</x:v>
      </x:c>
      <x:c r="E8" s="87" t="b">
        <x:v>1</x:v>
      </x:c>
      <x:c r="F8" s="87" t="b">
        <x:v>1</x:v>
      </x:c>
      <x:c r="G8" s="87" t="b">
        <x:v>1</x:v>
      </x:c>
      <x:c r="H8" s="87" t="b">
        <x:v>1</x:v>
      </x:c>
      <x:c r="I8" s="87" t="b">
        <x:v>1</x:v>
      </x:c>
      <x:c r="J8" s="87" t="b">
        <x:v>0</x:v>
      </x:c>
      <x:c r="K8" s="104" t="b">
        <x:v>1</x:v>
      </x:c>
      <x:c r="L8" s="50" t="str">
        <x:v>Quantity property bladeFailureLoadApplicationRadiusRatio must point to a QUDT QuantityValue node, not a direct literal datatype</x:v>
      </x:c>
      <x:c r="M8" s="50" t="str"/>
      <x:c r="N8" s="50" t="str">
        <x:v>https://w3id.org/nltl/vocab#approvalRecord | https://w3id.org/nltl/vocab#approvedNonlinearBladeStressAnalysis | https://w3id.org/nltl/vocab#bladeChordLengthAtWeakestSection | https://w3id.org/nltl/vocab#bladeCylindricalRootRadius | https://w3id.org/nltl/vocab#bladeFailureLoadApplicationRadiusRatio | https://w3id.org/nltl/vocab#bladeFailureLoadWeakestDirectionConfirmed | https://w3id.org/nltl/vocab#bladeFailureStatus | https://w3id.org/nltl/vocab#bladeFailureUltimateLoad | https://w3id.org/nltl/vocab#bladeMaximumThicknessAtWeakestSection | https://w3id.org/nltl/vocab#bladeMinimumYieldStrength | https://w3id.org/nltl/vocab#bladeReferenceStrength1 | https://w3id.org/nltl/vocab#bladeTipOffset | https://w3id.org/nltl/vocab#bladeUltimateTensileStrength | https://w3id.org/nltl/vocab#hasLoadCase | https://w3id.org/nltl/vocab#loadCase | https://w3id.org/nltl/vocab#propellerDiameter | https://w3id.org/nltl/vocab#ship</x:v>
      </x:c>
      <x:c r="O8" s="50" t="str"/>
      <x:c r="P8" s="50" t="str"/>
      <x:c r="Q8" s="50" t="str"/>
    </x:row>
  </x:sheetData>
  <x:pageMargins left="0.7" right="0.7" top="0.75" bottom="0.75" header="0.3" footer="0.3"/>
  <x:tableParts count="1">
    <x:tablePart xmlns:r="http://schemas.openxmlformats.org/officeDocument/2006/relationships" r:id="Rafea8b175c3c4f0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RUN-TRF-101-20260831T003903005488Z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RUN-TRF-101-20260831T003903005488Z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RUN-TRF-101-20260831T003903005488Z</x:v>
      </x:c>
      <x:c r="B5" s="45" t="str">
        <x:v>TRF-101</x:v>
      </x:c>
      <x:c r="C5" s="58"/>
      <x:c r="D5" s="45" t="str">
        <x:v>initial_context_pack</x:v>
      </x:c>
      <x:c r="E5" s="46" t="str">
        <x:v>artifacts/context_pack_initial.json</x:v>
      </x:c>
      <x:c r="F5" s="45" t="str">
        <x:v>609e676b9beee0d757eb1243d54d95aaae70acff9375166639e115acd26032a4</x:v>
      </x:c>
      <x:c r="G5" s="58" t="n">
        <x:v>28982</x:v>
      </x:c>
    </x:row>
    <x:row r="6">
      <x:c r="A6" s="47" t="str">
        <x:v>RUN-TRF-101-20260831T003903005488Z</x:v>
      </x:c>
      <x:c r="B6" s="47" t="str">
        <x:v>TRF-101</x:v>
      </x:c>
      <x:c r="C6" s="59"/>
      <x:c r="D6" s="47" t="str">
        <x:v>few_shot_selection</x:v>
      </x:c>
      <x:c r="E6" s="48" t="str">
        <x:v>artifacts/few_shots_selected.json</x:v>
      </x:c>
      <x:c r="F6" s="47" t="str">
        <x:v>5ed29d3575ad2cd133608c0137c07c57afdf09e5e598812e5aa6470019aa1f4d</x:v>
      </x:c>
      <x:c r="G6" s="59" t="n">
        <x:v>4749</x:v>
      </x:c>
    </x:row>
    <x:row r="7">
      <x:c r="A7" s="47" t="str">
        <x:v>RUN-TRF-101-20260831T003903005488Z</x:v>
      </x:c>
      <x:c r="B7" s="47" t="str">
        <x:v>TRF-101</x:v>
      </x:c>
      <x:c r="C7" s="59" t="n">
        <x:v>1</x:v>
      </x:c>
      <x:c r="D7" s="47" t="str">
        <x:v>generator_prompt</x:v>
      </x:c>
      <x:c r="E7" s="48" t="str">
        <x:v>artifacts/attempt_01/generator_prompt.txt</x:v>
      </x:c>
      <x:c r="F7" s="47" t="str">
        <x:v>e83011a8de129302b3184f40c1f66a21876ba177ba0d13339ac7e9181cf41bb1</x:v>
      </x:c>
      <x:c r="G7" s="59" t="n">
        <x:v>45285</x:v>
      </x:c>
    </x:row>
    <x:row r="8">
      <x:c r="A8" s="47" t="str">
        <x:v>RUN-TRF-101-20260831T003903005488Z</x:v>
      </x:c>
      <x:c r="B8" s="47" t="str">
        <x:v>TRF-101</x:v>
      </x:c>
      <x:c r="C8" s="59" t="n">
        <x:v>1</x:v>
      </x:c>
      <x:c r="D8" s="47" t="str">
        <x:v>generator_raw_response</x:v>
      </x:c>
      <x:c r="E8" s="48" t="str">
        <x:v>artifacts/attempt_01/generator_raw.txt</x:v>
      </x:c>
      <x:c r="F8" s="47" t="str">
        <x:v>857f4acc312241d72893003624a8c51afa207890aff8bd62d38a5edd854b6e5d</x:v>
      </x:c>
      <x:c r="G8" s="59" t="n">
        <x:v>7270</x:v>
      </x:c>
    </x:row>
    <x:row r="9">
      <x:c r="A9" s="47" t="str">
        <x:v>RUN-TRF-101-20260831T003903005488Z</x:v>
      </x:c>
      <x:c r="B9" s="47" t="str">
        <x:v>TRF-101</x:v>
      </x:c>
      <x:c r="C9" s="59" t="n">
        <x:v>1</x:v>
      </x:c>
      <x:c r="D9" s="47" t="str">
        <x:v>candidate_shape</x:v>
      </x:c>
      <x:c r="E9" s="48" t="str">
        <x:v>artifacts/attempt_01/candidate_shape.ttl</x:v>
      </x:c>
      <x:c r="F9" s="47" t="str">
        <x:v>98fef186ebbdbe51402789b262c1d9504a6569d64064587ded38787723801967</x:v>
      </x:c>
      <x:c r="G9" s="59" t="n">
        <x:v>7245</x:v>
      </x:c>
    </x:row>
    <x:row r="10">
      <x:c r="A10" s="47" t="str">
        <x:v>RUN-TRF-101-20260831T003903005488Z</x:v>
      </x:c>
      <x:c r="B10" s="47" t="str">
        <x:v>TRF-101</x:v>
      </x:c>
      <x:c r="C10" s="59" t="n">
        <x:v>1</x:v>
      </x:c>
      <x:c r="D10" s="47" t="str">
        <x:v>deterministic_validation</x:v>
      </x:c>
      <x:c r="E10" s="48" t="str">
        <x:v>artifacts/attempt_01/deterministic_validation.json</x:v>
      </x:c>
      <x:c r="F10" s="47" t="str">
        <x:v>6b5ebd435dff54d826d9a7c86129cc3fc0ba27a80806bcdd63d3b5e0391c5cc1</x:v>
      </x:c>
      <x:c r="G10" s="59" t="n">
        <x:v>1353</x:v>
      </x:c>
    </x:row>
    <x:row r="11">
      <x:c r="A11" s="47" t="str">
        <x:v>RUN-TRF-101-20260831T003903005488Z</x:v>
      </x:c>
      <x:c r="B11" s="47" t="str">
        <x:v>TRF-101</x:v>
      </x:c>
      <x:c r="C11" s="59" t="n">
        <x:v>1</x:v>
      </x:c>
      <x:c r="D11" s="47" t="str">
        <x:v>validator_prompt</x:v>
      </x:c>
      <x:c r="E11" s="48" t="str">
        <x:v>artifacts/attempt_01/validator_prompt_01.txt</x:v>
      </x:c>
      <x:c r="F11" s="47" t="str">
        <x:v>60b28100fad1e8a28f3cd6a672c28206fc0d4d1672d48917d7fb03728c4db31c</x:v>
      </x:c>
      <x:c r="G11" s="59" t="n">
        <x:v>50496</x:v>
      </x:c>
    </x:row>
    <x:row r="12">
      <x:c r="A12" s="47" t="str">
        <x:v>RUN-TRF-101-20260831T003903005488Z</x:v>
      </x:c>
      <x:c r="B12" s="47" t="str">
        <x:v>TRF-101</x:v>
      </x:c>
      <x:c r="C12" s="59" t="n">
        <x:v>1</x:v>
      </x:c>
      <x:c r="D12" s="47" t="str">
        <x:v>validator_raw_response</x:v>
      </x:c>
      <x:c r="E12" s="48" t="str">
        <x:v>artifacts/attempt_01/validator_raw_01.txt</x:v>
      </x:c>
      <x:c r="F12" s="47" t="str">
        <x:v>a69f194e8867584484312c1e52efc0ca7bfc517c48542572a175e59a51b3d2af</x:v>
      </x:c>
      <x:c r="G12" s="59" t="n">
        <x:v>766</x:v>
      </x:c>
    </x:row>
    <x:row r="13">
      <x:c r="A13" s="47" t="str">
        <x:v>RUN-TRF-101-20260831T003903005488Z</x:v>
      </x:c>
      <x:c r="B13" s="47" t="str">
        <x:v>TRF-101</x:v>
      </x:c>
      <x:c r="C13" s="59" t="n">
        <x:v>2</x:v>
      </x:c>
      <x:c r="D13" s="47" t="str">
        <x:v>generator_prompt</x:v>
      </x:c>
      <x:c r="E13" s="48" t="str">
        <x:v>artifacts/attempt_02/generator_prompt.txt</x:v>
      </x:c>
      <x:c r="F13" s="47" t="str">
        <x:v>4ba4a8a5e3508662d4baf59f907595eb995befbfb4ad4e4e87a796a91a56572d</x:v>
      </x:c>
      <x:c r="G13" s="59" t="n">
        <x:v>45986</x:v>
      </x:c>
    </x:row>
    <x:row r="14">
      <x:c r="A14" s="47" t="str">
        <x:v>RUN-TRF-101-20260831T003903005488Z</x:v>
      </x:c>
      <x:c r="B14" s="47" t="str">
        <x:v>TRF-101</x:v>
      </x:c>
      <x:c r="C14" s="59" t="n">
        <x:v>2</x:v>
      </x:c>
      <x:c r="D14" s="47" t="str">
        <x:v>generator_raw_response</x:v>
      </x:c>
      <x:c r="E14" s="48" t="str">
        <x:v>artifacts/attempt_02/generator_raw.txt</x:v>
      </x:c>
      <x:c r="F14" s="47" t="str">
        <x:v>2f6085a1e1df738380b41a8b297fdf3a2867dc8acc233927ad758fe2af79ff39</x:v>
      </x:c>
      <x:c r="G14" s="59" t="n">
        <x:v>7284</x:v>
      </x:c>
    </x:row>
    <x:row r="15">
      <x:c r="A15" s="47" t="str">
        <x:v>RUN-TRF-101-20260831T003903005488Z</x:v>
      </x:c>
      <x:c r="B15" s="47" t="str">
        <x:v>TRF-101</x:v>
      </x:c>
      <x:c r="C15" s="59" t="n">
        <x:v>2</x:v>
      </x:c>
      <x:c r="D15" s="47" t="str">
        <x:v>candidate_shape</x:v>
      </x:c>
      <x:c r="E15" s="48" t="str">
        <x:v>artifacts/attempt_02/candidate_shape.ttl</x:v>
      </x:c>
      <x:c r="F15" s="47" t="str">
        <x:v>dc3efcd4dd545c358f452e108317a1a8fbec459a19e2385879fab43505d3af76</x:v>
      </x:c>
      <x:c r="G15" s="59" t="n">
        <x:v>7259</x:v>
      </x:c>
    </x:row>
    <x:row r="16">
      <x:c r="A16" s="47" t="str">
        <x:v>RUN-TRF-101-20260831T003903005488Z</x:v>
      </x:c>
      <x:c r="B16" s="47" t="str">
        <x:v>TRF-101</x:v>
      </x:c>
      <x:c r="C16" s="59" t="n">
        <x:v>2</x:v>
      </x:c>
      <x:c r="D16" s="47" t="str">
        <x:v>deterministic_validation</x:v>
      </x:c>
      <x:c r="E16" s="48" t="str">
        <x:v>artifacts/attempt_02/deterministic_validation.json</x:v>
      </x:c>
      <x:c r="F16" s="47" t="str">
        <x:v>b1411814268bd59a148a0ab5910c96d23a9272b56549e08b68ec4c62af180c2d</x:v>
      </x:c>
      <x:c r="G16" s="59" t="n">
        <x:v>1303</x:v>
      </x:c>
    </x:row>
    <x:row r="17">
      <x:c r="A17" s="47" t="str">
        <x:v>RUN-TRF-101-20260831T003903005488Z</x:v>
      </x:c>
      <x:c r="B17" s="47" t="str">
        <x:v>TRF-101</x:v>
      </x:c>
      <x:c r="C17" s="59" t="n">
        <x:v>2</x:v>
      </x:c>
      <x:c r="D17" s="47" t="str">
        <x:v>validator_prompt</x:v>
      </x:c>
      <x:c r="E17" s="48" t="str">
        <x:v>artifacts/attempt_02/validator_prompt_01.txt</x:v>
      </x:c>
      <x:c r="F17" s="47" t="str">
        <x:v>66ec4b52c37f71230db33ca66347c2fa842020f77b2b8651500036b2ca2acd0f</x:v>
      </x:c>
      <x:c r="G17" s="59" t="n">
        <x:v>50874</x:v>
      </x:c>
    </x:row>
    <x:row r="18">
      <x:c r="A18" s="47" t="str">
        <x:v>RUN-TRF-101-20260831T003903005488Z</x:v>
      </x:c>
      <x:c r="B18" s="47" t="str">
        <x:v>TRF-101</x:v>
      </x:c>
      <x:c r="C18" s="59" t="n">
        <x:v>2</x:v>
      </x:c>
      <x:c r="D18" s="47" t="str">
        <x:v>validator_raw_response</x:v>
      </x:c>
      <x:c r="E18" s="48" t="str">
        <x:v>artifacts/attempt_02/validator_raw_01.txt</x:v>
      </x:c>
      <x:c r="F18" s="47" t="str">
        <x:v>672d63c65bf2a118e63a99ded367e7e025a2f2dc9cfa05cff8fd81f1b33e8295</x:v>
      </x:c>
      <x:c r="G18" s="59" t="n">
        <x:v>777</x:v>
      </x:c>
    </x:row>
    <x:row r="19">
      <x:c r="A19" s="47" t="str">
        <x:v>RUN-TRF-101-20260831T003903005488Z</x:v>
      </x:c>
      <x:c r="B19" s="47" t="str">
        <x:v>TRF-101</x:v>
      </x:c>
      <x:c r="C19" s="59" t="n">
        <x:v>3</x:v>
      </x:c>
      <x:c r="D19" s="47" t="str">
        <x:v>generator_prompt</x:v>
      </x:c>
      <x:c r="E19" s="48" t="str">
        <x:v>artifacts/attempt_03/generator_prompt.txt</x:v>
      </x:c>
      <x:c r="F19" s="47" t="str">
        <x:v>3a70f351585160f6225af2cb2e561bd2ffbc7cf45ebf3a391e3ced4bf6d028a6</x:v>
      </x:c>
      <x:c r="G19" s="59" t="n">
        <x:v>46706</x:v>
      </x:c>
    </x:row>
    <x:row r="20">
      <x:c r="A20" s="47" t="str">
        <x:v>RUN-TRF-101-20260831T003903005488Z</x:v>
      </x:c>
      <x:c r="B20" s="47" t="str">
        <x:v>TRF-101</x:v>
      </x:c>
      <x:c r="C20" s="59" t="n">
        <x:v>3</x:v>
      </x:c>
      <x:c r="D20" s="47" t="str">
        <x:v>generator_raw_response</x:v>
      </x:c>
      <x:c r="E20" s="48" t="str">
        <x:v>artifacts/attempt_03/generator_raw.txt</x:v>
      </x:c>
      <x:c r="F20" s="47" t="str">
        <x:v>46089d174d3263347e28e93150adfa3aae7996f9f852fdbdc9f3c4173760bfc7</x:v>
      </x:c>
      <x:c r="G20" s="59" t="n">
        <x:v>9537</x:v>
      </x:c>
    </x:row>
    <x:row r="21">
      <x:c r="A21" s="47" t="str">
        <x:v>RUN-TRF-101-20260831T003903005488Z</x:v>
      </x:c>
      <x:c r="B21" s="47" t="str">
        <x:v>TRF-101</x:v>
      </x:c>
      <x:c r="C21" s="59" t="n">
        <x:v>3</x:v>
      </x:c>
      <x:c r="D21" s="47" t="str">
        <x:v>candidate_shape</x:v>
      </x:c>
      <x:c r="E21" s="48" t="str">
        <x:v>artifacts/attempt_03/candidate_shape.ttl</x:v>
      </x:c>
      <x:c r="F21" s="47" t="str">
        <x:v>a7c1589c1b81c33fbd0b0f48f885a0adf7614767f4bccb85b7a6c8a9a9bdfc9b</x:v>
      </x:c>
      <x:c r="G21" s="59" t="n">
        <x:v>9512</x:v>
      </x:c>
    </x:row>
    <x:row r="22">
      <x:c r="A22" s="47" t="str">
        <x:v>RUN-TRF-101-20260831T003903005488Z</x:v>
      </x:c>
      <x:c r="B22" s="47" t="str">
        <x:v>TRF-101</x:v>
      </x:c>
      <x:c r="C22" s="59" t="n">
        <x:v>3</x:v>
      </x:c>
      <x:c r="D22" s="47" t="str">
        <x:v>deterministic_validation</x:v>
      </x:c>
      <x:c r="E22" s="48" t="str">
        <x:v>artifacts/attempt_03/deterministic_validation.json</x:v>
      </x:c>
      <x:c r="F22" s="47" t="str">
        <x:v>9432471ec24e196c9ef0cc4780cb19b5cca4140d6df4b4a49aff3e0e9b84e5c6</x:v>
      </x:c>
      <x:c r="G22" s="59" t="n">
        <x:v>1397</x:v>
      </x:c>
    </x:row>
    <x:row r="23">
      <x:c r="A23" s="47" t="str">
        <x:v>RUN-TRF-101-20260831T003903005488Z</x:v>
      </x:c>
      <x:c r="B23" s="47" t="str">
        <x:v>TRF-101</x:v>
      </x:c>
      <x:c r="C23" s="59" t="n">
        <x:v>3</x:v>
      </x:c>
      <x:c r="D23" s="47" t="str">
        <x:v>validator_prompt</x:v>
      </x:c>
      <x:c r="E23" s="48" t="str">
        <x:v>artifacts/attempt_03/validator_prompt_01.txt</x:v>
      </x:c>
      <x:c r="F23" s="47" t="str">
        <x:v>8452f337bee4e00b35ccb3d17f49bd5b1b86c19b57def5f8c8142f571034b8e3</x:v>
      </x:c>
      <x:c r="G23" s="59" t="n">
        <x:v>54590</x:v>
      </x:c>
    </x:row>
    <x:row r="24">
      <x:c r="A24" s="47" t="str">
        <x:v>RUN-TRF-101-20260831T003903005488Z</x:v>
      </x:c>
      <x:c r="B24" s="47" t="str">
        <x:v>TRF-101</x:v>
      </x:c>
      <x:c r="C24" s="59" t="n">
        <x:v>3</x:v>
      </x:c>
      <x:c r="D24" s="47" t="str">
        <x:v>validator_raw_response</x:v>
      </x:c>
      <x:c r="E24" s="48" t="str">
        <x:v>artifacts/attempt_03/validator_raw_01.txt</x:v>
      </x:c>
      <x:c r="F24" s="47" t="str">
        <x:v>16177e3602022151b6fd33d1accb152be3124e9718c5dbc95240344208fe11cf</x:v>
      </x:c>
      <x:c r="G24" s="59" t="n">
        <x:v>790</x:v>
      </x:c>
    </x:row>
    <x:row r="25">
      <x:c r="A25" s="47" t="str">
        <x:v>RUN-TRF-101-20260831T003903005488Z</x:v>
      </x:c>
      <x:c r="B25" s="47" t="str">
        <x:v>TRF-101</x:v>
      </x:c>
      <x:c r="C25" s="59" t="n">
        <x:v>4</x:v>
      </x:c>
      <x:c r="D25" s="47" t="str">
        <x:v>generator_prompt</x:v>
      </x:c>
      <x:c r="E25" s="48" t="str">
        <x:v>artifacts/attempt_04/generator_prompt.txt</x:v>
      </x:c>
      <x:c r="F25" s="47" t="str">
        <x:v>96b54d7c41e9963b348901c8649458c1966287a6c5388712234f23d1243841dc</x:v>
      </x:c>
      <x:c r="G25" s="59" t="n">
        <x:v>47439</x:v>
      </x:c>
    </x:row>
    <x:row r="26">
      <x:c r="A26" s="47" t="str">
        <x:v>RUN-TRF-101-20260831T003903005488Z</x:v>
      </x:c>
      <x:c r="B26" s="47" t="str">
        <x:v>TRF-101</x:v>
      </x:c>
      <x:c r="C26" s="59" t="n">
        <x:v>4</x:v>
      </x:c>
      <x:c r="D26" s="47" t="str">
        <x:v>generator_raw_response</x:v>
      </x:c>
      <x:c r="E26" s="48" t="str">
        <x:v>artifacts/attempt_04/generator_raw.txt</x:v>
      </x:c>
      <x:c r="F26" s="47" t="str">
        <x:v>a97e9f61cbd47370feae7c7c377d0c5c27b3aa94df98081dbb0c75fcf43a3b64</x:v>
      </x:c>
      <x:c r="G26" s="59" t="n">
        <x:v>10810</x:v>
      </x:c>
    </x:row>
    <x:row r="27">
      <x:c r="A27" s="47" t="str">
        <x:v>RUN-TRF-101-20260831T003903005488Z</x:v>
      </x:c>
      <x:c r="B27" s="47" t="str">
        <x:v>TRF-101</x:v>
      </x:c>
      <x:c r="C27" s="59" t="n">
        <x:v>4</x:v>
      </x:c>
      <x:c r="D27" s="47" t="str">
        <x:v>candidate_shape</x:v>
      </x:c>
      <x:c r="E27" s="48" t="str">
        <x:v>artifacts/attempt_04/candidate_shape.ttl</x:v>
      </x:c>
      <x:c r="F27" s="47" t="str">
        <x:v>1539621f072f649955cb3fb518aae8651993ac432871b7045e37a138614efbd8</x:v>
      </x:c>
      <x:c r="G27" s="59" t="n">
        <x:v>10785</x:v>
      </x:c>
    </x:row>
    <x:row r="28">
      <x:c r="A28" s="47" t="str">
        <x:v>RUN-TRF-101-20260831T003903005488Z</x:v>
      </x:c>
      <x:c r="B28" s="47" t="str">
        <x:v>TRF-101</x:v>
      </x:c>
      <x:c r="C28" s="59" t="n">
        <x:v>4</x:v>
      </x:c>
      <x:c r="D28" s="47" t="str">
        <x:v>deterministic_validation</x:v>
      </x:c>
      <x:c r="E28" s="48" t="str">
        <x:v>artifacts/attempt_04/deterministic_validation.json</x:v>
      </x:c>
      <x:c r="F28" s="47" t="str">
        <x:v>d2e9ec8e0911f3ced1bd97747b3599074da9f29dea4b49e23df345c4be1cb830</x:v>
      </x:c>
      <x:c r="G28" s="59" t="n">
        <x:v>1536</x:v>
      </x:c>
    </x:row>
    <x:row r="29">
      <x:c r="A29" s="47" t="str">
        <x:v>RUN-TRF-101-20260831T003903005488Z</x:v>
      </x:c>
      <x:c r="B29" s="47" t="str">
        <x:v>TRF-101</x:v>
      </x:c>
      <x:c r="C29" s="59" t="n">
        <x:v>4</x:v>
      </x:c>
      <x:c r="D29" s="47" t="str">
        <x:v>validator_prompt</x:v>
      </x:c>
      <x:c r="E29" s="48" t="str">
        <x:v>artifacts/attempt_04/validator_prompt_01.txt</x:v>
      </x:c>
      <x:c r="F29" s="47" t="str">
        <x:v>d480d0c0258ff83a176c7f870096c723cc20015caa7e7cdb2988823d357bda89</x:v>
      </x:c>
      <x:c r="G29" s="59" t="n">
        <x:v>56783</x:v>
      </x:c>
    </x:row>
    <x:row r="30">
      <x:c r="A30" s="49" t="str">
        <x:v>RUN-TRF-101-20260831T003903005488Z</x:v>
      </x:c>
      <x:c r="B30" s="49" t="str">
        <x:v>TRF-101</x:v>
      </x:c>
      <x:c r="C30" s="60" t="n">
        <x:v>4</x:v>
      </x:c>
      <x:c r="D30" s="49" t="str">
        <x:v>validator_raw_response</x:v>
      </x:c>
      <x:c r="E30" s="50" t="str">
        <x:v>artifacts/attempt_04/validator_raw_01.txt</x:v>
      </x:c>
      <x:c r="F30" s="49" t="str">
        <x:v>097e9f310f2b562b5f578710a53e9af4015183f9797e988d2fe87fa0f202f7f9</x:v>
      </x:c>
      <x:c r="G30" s="60" t="n">
        <x:v>571</x:v>
      </x:c>
    </x:row>
  </x:sheetData>
  <x:pageMargins left="0.7" right="0.7" top="0.75" bottom="0.75" header="0.3" footer="0.3"/>
  <x:tableParts count="1">
    <x:tablePart xmlns:r="http://schemas.openxmlformats.org/officeDocument/2006/relationships" r:id="R93c1caf7b6b84d8b"/>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RUN-TRF-101-20260831T003903005488Z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RUN-TRF-101-20260831T003903005488Z</x:v>
      </x:c>
      <x:c r="B5" s="69" t="str">
        <x:v>TRF-101</x:v>
      </x:c>
      <x:c r="C5" s="71" t="n">
        <x:v>4</x:v>
      </x:c>
      <x:c r="D5" s="69" t="str">
        <x:v>MAX_ATTEMPTS_REACHED</x:v>
      </x:c>
      <x:c r="E5" s="73" t="str">
        <x:v>Remove sh:datatype qudt:QuantityValue from the bladeFailureLoadApplicationRadiusRatio property shape. This property must point to a QUDT QuantityValue node via sh:node, with qudt:numericValue constrained as xsd:decimal and qudt:unit fixed to UNITLESS; qudt:QuantityValue is a class, not an RDF datatype. Preserve the exact inclusive 0.8 bounds, load-case ownership, approved-analysis evidence and result requirements, supported expected-result-scaled formula tolerances, and the existing status implication.</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79c82a7669df4e24"/>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RUN-TRF-101-20260831T003903005488Z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