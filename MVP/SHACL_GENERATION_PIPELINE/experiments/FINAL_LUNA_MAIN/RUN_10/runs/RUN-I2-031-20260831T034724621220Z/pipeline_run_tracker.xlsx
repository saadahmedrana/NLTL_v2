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950cea680394a8f" /></Relationships>
</file>

<file path=xl/workbook.xml><?xml version="1.0" encoding="utf-8"?>
<x:workbook xmlns:x="http://schemas.openxmlformats.org/spreadsheetml/2006/main">
  <x:sheets>
    <x:sheet xmlns:r="http://schemas.openxmlformats.org/officeDocument/2006/relationships" name="SUMMARY" sheetId="1" r:id="R4aae1b57805e4fc7"/>
    <x:sheet xmlns:r="http://schemas.openxmlformats.org/officeDocument/2006/relationships" name="README" sheetId="2" r:id="Rb62db6893a8049e5"/>
    <x:sheet xmlns:r="http://schemas.openxmlformats.org/officeDocument/2006/relationships" name="REGULATION_QUEUE" sheetId="3" r:id="Rf328a7b85a7c4223"/>
    <x:sheet xmlns:r="http://schemas.openxmlformats.org/officeDocument/2006/relationships" name="RUNS" sheetId="4" r:id="R18d668b446584aa6"/>
    <x:sheet xmlns:r="http://schemas.openxmlformats.org/officeDocument/2006/relationships" name="ITERATIONS" sheetId="5" r:id="R14d01aed77ab4122"/>
    <x:sheet xmlns:r="http://schemas.openxmlformats.org/officeDocument/2006/relationships" name="API_CALLS" sheetId="6" r:id="Rb5a2849b36284922"/>
    <x:sheet xmlns:r="http://schemas.openxmlformats.org/officeDocument/2006/relationships" name="TERM_RETRIEVAL" sheetId="7" r:id="Rcf0f038abfee410f"/>
    <x:sheet xmlns:r="http://schemas.openxmlformats.org/officeDocument/2006/relationships" name="FEW_SHOT_SELECTION" sheetId="8" r:id="R3d536537bad84715"/>
    <x:sheet xmlns:r="http://schemas.openxmlformats.org/officeDocument/2006/relationships" name="VALIDATION" sheetId="9" r:id="Re9d793321a764af4"/>
    <x:sheet xmlns:r="http://schemas.openxmlformats.org/officeDocument/2006/relationships" name="VOCAB_MATCHES" sheetId="10" r:id="R5e398a9f578c4854"/>
    <x:sheet xmlns:r="http://schemas.openxmlformats.org/officeDocument/2006/relationships" name="ARTIFACTS" sheetId="11" r:id="R26dd43fe543d4ec9"/>
    <x:sheet xmlns:r="http://schemas.openxmlformats.org/officeDocument/2006/relationships" name="UNRESOLVED" sheetId="12" r:id="R72a70b7b98da4a34"/>
    <x:sheet xmlns:r="http://schemas.openxmlformats.org/officeDocument/2006/relationships" name="RDF_TEST_QUEUE" sheetId="13" r:id="R59c8456e27fe49dc"/>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f3b6f0b45e648db" /><Relationship Type="http://schemas.openxmlformats.org/officeDocument/2006/relationships/theme" Target="/xl/theme/theme1.xml" Id="Rc107b69cb2ad4b28" /><Relationship Type="http://schemas.microsoft.com/office/2022/11/relationships/FeaturePropertyBag" Target="/xl/featurePropertyBag/featurePropertyBag.xml" Id="R2a53b03757c04e21" /><Relationship Type="http://schemas.openxmlformats.org/officeDocument/2006/relationships/sharedStrings" Target="/xl/sharedStrings.xml" Id="Rd9f91970d14747c8" /><Relationship Type="http://schemas.openxmlformats.org/officeDocument/2006/relationships/worksheet" Target="/xl/worksheets/sheet1.xml" Id="R4aae1b57805e4fc7" /><Relationship Type="http://schemas.openxmlformats.org/officeDocument/2006/relationships/worksheet" Target="/xl/worksheets/sheet2.xml" Id="Rb62db6893a8049e5" /><Relationship Type="http://schemas.openxmlformats.org/officeDocument/2006/relationships/worksheet" Target="/xl/worksheets/sheet3.xml" Id="Rf328a7b85a7c4223" /><Relationship Type="http://schemas.openxmlformats.org/officeDocument/2006/relationships/worksheet" Target="/xl/worksheets/sheet4.xml" Id="R18d668b446584aa6" /><Relationship Type="http://schemas.openxmlformats.org/officeDocument/2006/relationships/worksheet" Target="/xl/worksheets/sheet5.xml" Id="R14d01aed77ab4122" /><Relationship Type="http://schemas.openxmlformats.org/officeDocument/2006/relationships/worksheet" Target="/xl/worksheets/sheet6.xml" Id="Rb5a2849b36284922" /><Relationship Type="http://schemas.openxmlformats.org/officeDocument/2006/relationships/worksheet" Target="/xl/worksheets/sheet7.xml" Id="Rcf0f038abfee410f" /><Relationship Type="http://schemas.openxmlformats.org/officeDocument/2006/relationships/worksheet" Target="/xl/worksheets/sheet8.xml" Id="R3d536537bad84715" /><Relationship Type="http://schemas.openxmlformats.org/officeDocument/2006/relationships/worksheet" Target="/xl/worksheets/sheet9.xml" Id="Re9d793321a764af4" /><Relationship Type="http://schemas.openxmlformats.org/officeDocument/2006/relationships/worksheet" Target="/xl/worksheets/sheet10.xml" Id="R5e398a9f578c4854" /><Relationship Type="http://schemas.openxmlformats.org/officeDocument/2006/relationships/worksheet" Target="/xl/worksheets/sheet11.xml" Id="R26dd43fe543d4ec9" /><Relationship Type="http://schemas.openxmlformats.org/officeDocument/2006/relationships/worksheet" Target="/xl/worksheets/sheet12.xml" Id="R72a70b7b98da4a34" /><Relationship Type="http://schemas.openxmlformats.org/officeDocument/2006/relationships/worksheet" Target="/xl/worksheets/sheet13.xml" Id="R59c8456e27fe49dc"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34"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37"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40a7612ae2542fd" /></Relationships>
</file>

<file path=xl/worksheets/_rels/sheet3.xml.rels>&#65279;<?xml version="1.0" encoding="utf-8"?><Relationships xmlns="http://schemas.openxmlformats.org/package/2006/relationships"><Relationship Type="http://schemas.openxmlformats.org/officeDocument/2006/relationships/table" Target="/xl/tables/table2.xml" Id="Rbc4ebdd999944faa" /></Relationships>
</file>

<file path=xl/worksheets/_rels/sheet4.xml.rels>&#65279;<?xml version="1.0" encoding="utf-8"?><Relationships xmlns="http://schemas.openxmlformats.org/package/2006/relationships"><Relationship Type="http://schemas.openxmlformats.org/officeDocument/2006/relationships/table" Target="/xl/tables/table3.xml" Id="R0f81143b6fc5454e" /></Relationships>
</file>

<file path=xl/worksheets/_rels/sheet5.xml.rels>&#65279;<?xml version="1.0" encoding="utf-8"?><Relationships xmlns="http://schemas.openxmlformats.org/package/2006/relationships"><Relationship Type="http://schemas.openxmlformats.org/officeDocument/2006/relationships/table" Target="/xl/tables/table4.xml" Id="R207b19bc962944f3" /></Relationships>
</file>

<file path=xl/worksheets/_rels/sheet6.xml.rels>&#65279;<?xml version="1.0" encoding="utf-8"?><Relationships xmlns="http://schemas.openxmlformats.org/package/2006/relationships"><Relationship Type="http://schemas.openxmlformats.org/officeDocument/2006/relationships/table" Target="/xl/tables/table5.xml" Id="Rb7e0208b83a34ffe" /></Relationships>
</file>

<file path=xl/worksheets/_rels/sheet7.xml.rels>&#65279;<?xml version="1.0" encoding="utf-8"?><Relationships xmlns="http://schemas.openxmlformats.org/package/2006/relationships"><Relationship Type="http://schemas.openxmlformats.org/officeDocument/2006/relationships/table" Target="/xl/tables/table6.xml" Id="R6e8cc6318ee6435e" /></Relationships>
</file>

<file path=xl/worksheets/_rels/sheet8.xml.rels>&#65279;<?xml version="1.0" encoding="utf-8"?><Relationships xmlns="http://schemas.openxmlformats.org/package/2006/relationships"><Relationship Type="http://schemas.openxmlformats.org/officeDocument/2006/relationships/table" Target="/xl/tables/table7.xml" Id="Rb7764d792a2743c7" /></Relationships>
</file>

<file path=xl/worksheets/_rels/sheet9.xml.rels>&#65279;<?xml version="1.0" encoding="utf-8"?><Relationships xmlns="http://schemas.openxmlformats.org/package/2006/relationships"><Relationship Type="http://schemas.openxmlformats.org/officeDocument/2006/relationships/table" Target="/xl/tables/table8.xml" Id="R8443aa43d9ab4289" /></Relationships>
</file>

<file path=xl/worksheets/_rels/sheet10.xml.rels>&#65279;<?xml version="1.0" encoding="utf-8"?><Relationships xmlns="http://schemas.openxmlformats.org/package/2006/relationships"><Relationship Type="http://schemas.openxmlformats.org/officeDocument/2006/relationships/table" Target="/xl/tables/table9.xml" Id="R5e9b37297da74781" /></Relationships>
</file>

<file path=xl/worksheets/_rels/sheet11.xml.rels>&#65279;<?xml version="1.0" encoding="utf-8"?><Relationships xmlns="http://schemas.openxmlformats.org/package/2006/relationships"><Relationship Type="http://schemas.openxmlformats.org/officeDocument/2006/relationships/table" Target="/xl/tables/table10.xml" Id="R6de1676b08974731" /></Relationships>
</file>

<file path=xl/worksheets/_rels/sheet12.xml.rels>&#65279;<?xml version="1.0" encoding="utf-8"?><Relationships xmlns="http://schemas.openxmlformats.org/package/2006/relationships"><Relationship Type="http://schemas.openxmlformats.org/officeDocument/2006/relationships/table" Target="/xl/tables/table11.xml" Id="R2863c678e0aa4d6b"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RUN-I2-031-20260831T034724621220Z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COUNTA('API_CALLS'!$A$5:$A$26)</x:f>
        <x:v>22</x:v>
      </x:c>
      <x:c r="C9" s="21"/>
      <x:c r="D9" s="21"/>
    </x:row>
    <x:row r="10">
      <x:c r="A10" s="27" t="str">
        <x:v>Mean API/LLM elapsed ms</x:v>
      </x:c>
      <x:c r="B10" s="28" t="n">
        <x:f>IFERROR(AVERAGE('API_CALLS'!$K$5:$K$26),0)</x:f>
        <x:v>18487.936727272725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RUN-I2-031-20260831T034724621220Z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f40a7612ae2542fd"/>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RUN-I2-031-20260831T034724621220Z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MAX_ATTEMPTS_REACHED</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bc4ebdd999944faa"/>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RUN-I2-031-20260831T034724621220Z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SESSION-BATCH-20260831T031501646457Z</x:v>
      </x:c>
      <x:c r="B5" s="69" t="str">
        <x:v>RUN-I2-031-20260831T034724621220Z</x:v>
      </x:c>
      <x:c r="C5" s="69" t="str">
        <x:v>I2-031</x:v>
      </x:c>
      <x:c r="D5" s="70" t="n">
        <x:v>46265.15792387731</x:v>
      </x:c>
      <x:c r="E5" s="70" t="n">
        <x:v>46265.16030162037</x:v>
      </x:c>
      <x:c r="F5" s="69" t="str">
        <x:v>final-luna-main-run10</x:v>
      </x:c>
      <x:c r="G5" s="69" t="str">
        <x:v>VOCAB-LOCK-2026-08-22-R13</x:v>
      </x:c>
      <x:c r="H5" s="71" t="n">
        <x:v>4</x:v>
      </x:c>
      <x:c r="I5" s="69" t="str">
        <x:v>MAX_ATTEMPTS_REACHED</x:v>
      </x:c>
      <x:c r="J5" s="72" t="b">
        <x:v>0</x:v>
      </x:c>
      <x:c r="K5" s="69" t="str"/>
      <x:c r="L5" s="73" t="str">
        <x:v>Replace the invented unknown IRI nltl:loadHeightParallelToFrame with the canonical controlled value nltl:loadPatchHeightParallelToFrame in the bottom-load-case orientation constraint; the deterministic vocabulary report is invalid until this is corrected. Preserve the prior valid applicability, owner/path, quantity-unit, frameProfileType, and comparison requirements, and ensure the demand-versus-strength query correlates each load case with its applicable structural-member owner rather than an arbitrary member linked to that case.</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0f81143b6fc5454e"/>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0"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RUN-I2-031-20260831T034724621220Z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RUN-I2-031-20260831T034724621220Z</x:v>
      </x:c>
      <x:c r="B5" s="45" t="str">
        <x:v>I2-031</x:v>
      </x:c>
      <x:c r="C5" s="58" t="n">
        <x:v>1</x:v>
      </x:c>
      <x:c r="D5" s="83" t="b">
        <x:v>1</x:v>
      </x:c>
      <x:c r="E5" s="83" t="b">
        <x:v>0</x:v>
      </x:c>
      <x:c r="F5" s="83" t="b">
        <x:v>0</x:v>
      </x:c>
      <x:c r="G5" s="45" t="str">
        <x:v>REVISE</x:v>
      </x:c>
      <x:c r="H5" s="46" t="str">
        <x:v>Repair the applicability and constraint scope: target only applicable local frames—bottom members and transverse local frames in side structures—instead of requiring transverseFrameOrientation, plasticStrength, and a load case for every structuralMember. Preserve the declared ship→structuralMember→loadCase paths and require the bottom-only patch-load orientation condition on the applicable load case. Add the declared patchLoad, midspanPlasticCollapseLoad, plasticStrength, and combinedShearAndBendingDemand quantity/unit structures, using the canonical unit IRI http://qudt.org/vocab/unit/KiloN rather than http://qudt.org/schema/qudt/KiloN. Constrain all quantity owners according to their canonical domains, encode combined demand &lt;= plastic strength, and retain the plastic-strength relationship to the midspan plastic-collapse load with a tolerance appropriate to the expected derived value. Do not introduce an unrelated universal frameProfileType obligation; if the dependency contract requires that relationship, model it only with an evidence-backed applicability rather than as a blanket ship requirement.</x:v>
      </x:c>
      <x:c r="I5" s="84" t="n">
        <x:v>37599.798</x:v>
      </x:c>
      <x:c r="J5" s="84" t="n">
        <x:v>14967.405</x:v>
      </x:c>
    </x:row>
    <x:row r="6">
      <x:c r="A6" s="47" t="str">
        <x:v>RUN-I2-031-20260831T034724621220Z</x:v>
      </x:c>
      <x:c r="B6" s="47" t="str">
        <x:v>I2-031</x:v>
      </x:c>
      <x:c r="C6" s="59" t="n">
        <x:v>2</x:v>
      </x:c>
      <x:c r="D6" s="85" t="b">
        <x:v>0</x:v>
      </x:c>
      <x:c r="E6" s="85" t="b">
        <x:v>0</x:v>
      </x:c>
      <x:c r="F6" s="85" t="b">
        <x:v>0</x:v>
      </x:c>
      <x:c r="G6" s="47" t="str">
        <x:v>REVISE_STATIC_GATE</x:v>
      </x:c>
      <x:c r="H6" s="48" t="str">
        <x:v>Deterministic validation prevents acceptance. Fix: COMPLETE dependency relationship(s) absent from candidate: frameProfileType
Semantic validator feedback: Add the COMPLETE dependency-contract relationship nltl:frameProfileType on the supplied ship owner, using the canonical term and its declared range/controlled value structure; do not impose it on structural members or invent a blanket unrelated obligation. Preserve the existing applicable-member branching, canonical ship→structuralMember→loadCase paths, quantity/unit constraints, combined-demand ≤ plastic-strength comparison, midspan-load relationship with derived-value tolerance, and bottom-only patch-load orientation.</x:v>
      </x:c>
      <x:c r="I6" s="86" t="n">
        <x:v>17596.155</x:v>
      </x:c>
      <x:c r="J6" s="86" t="n">
        <x:v>7324.724</x:v>
      </x:c>
    </x:row>
    <x:row r="7">
      <x:c r="A7" s="47" t="str">
        <x:v>RUN-I2-031-20260831T034724621220Z</x:v>
      </x:c>
      <x:c r="B7" s="47" t="str">
        <x:v>I2-031</x:v>
      </x:c>
      <x:c r="C7" s="59" t="n">
        <x:v>3</x:v>
      </x:c>
      <x:c r="D7" s="85" t="b">
        <x:v>1</x:v>
      </x:c>
      <x:c r="E7" s="85" t="b">
        <x:v>0</x:v>
      </x:c>
      <x:c r="F7" s="85" t="b">
        <x:v>0</x:v>
      </x:c>
      <x:c r="G7" s="47" t="str">
        <x:v>REVISE</x:v>
      </x:c>
      <x:c r="H7" s="48" t="str">
        <x:v>Repair the direct-static applicability and owner/path checks while preserving the prior valid frameProfileType, canonical ship→structuralMember→loadCase paths, quantity/unit structures, demand &lt;= plasticStrength comparison, midspan-collapse relationship with expected-value tolerance, and bottom-only patch orientation. The SPARQL has a bound-variable error: replace ?missingMemberLoad with ?missingCase when checking midspanPlasticCollapseLoad. Explicitly fail an applicable member that has no hasStructuralMemberLoadCase, rather than only checking cases that exist; require all declared operands on that applicable member/case. Do not let a side-structure member with missing transverseFrameOrientation silently become inapplicable; encode the conditional side-frame applicability and xsd:boolean evidence so absent selection evidence cannot pass. Scope combined-demand and load-case constraints to applicable members instead of unconditionally constraining every target object of hasStructuralMemberLoadCase. Ensure midspanPlasticCollapseLoad and plasticStrength are checked on their declared structuralMember owner, combinedShearAndBendingDemand and loadPatchOrientation on the declared loadCase owner, and patchLoad on the declared ship owner.</x:v>
      </x:c>
      <x:c r="I7" s="86" t="n">
        <x:v>41774.614</x:v>
      </x:c>
      <x:c r="J7" s="86" t="n">
        <x:v>13955.192</x:v>
      </x:c>
    </x:row>
    <x:row r="8">
      <x:c r="A8" s="49" t="str">
        <x:v>RUN-I2-031-20260831T034724621220Z</x:v>
      </x:c>
      <x:c r="B8" s="49" t="str">
        <x:v>I2-031</x:v>
      </x:c>
      <x:c r="C8" s="60" t="n">
        <x:v>4</x:v>
      </x:c>
      <x:c r="D8" s="87" t="b">
        <x:v>0</x:v>
      </x:c>
      <x:c r="E8" s="87" t="b">
        <x:v>0</x:v>
      </x:c>
      <x:c r="F8" s="87" t="b">
        <x:v>1</x:v>
      </x:c>
      <x:c r="G8" s="49" t="str">
        <x:v>REVISE_WITH_MATCH</x:v>
      </x:c>
      <x:c r="H8" s="50" t="str">
        <x:v>Deterministic validation prevents acceptance. Fix: Unknown canonical benchmark IRI(s): https://w3id.org/nltl/vocab#loadHeightParallelToFrame
Semantic validator feedback: Replace the invented unknown IRI nltl:loadHeightParallelToFrame with the canonical controlled value nltl:loadPatchHeightParallelToFrame in the bottom-load-case orientation constraint; the deterministic vocabulary report is invalid until this is corrected. Preserve the prior valid applicability, owner/path, quantity-unit, frameProfileType, and comparison requirements, and ensure the demand-versus-strength query correlates each load case with its applicable structural-member owner rather than an arbitrary member linked to that case.</x:v>
      </x:c>
      <x:c r="I8" s="88" t="n">
        <x:v>28651.902</x:v>
      </x:c>
      <x:c r="J8" s="88" t="n">
        <x:v>18778.056</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207b19bc962944f3"/>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RUN-I2-031-20260831T034724621220Z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EVT-000038</x:v>
      </x:c>
      <x:c r="B5" s="45" t="str">
        <x:v>RUN-I2-031-20260831T034724621220Z</x:v>
      </x:c>
      <x:c r="C5" s="45" t="str">
        <x:v>I2-031</x:v>
      </x:c>
      <x:c r="D5" s="92" t="n">
        <x:v>46265.15835907408</x:v>
      </x:c>
      <x:c r="E5" s="45" t="str">
        <x:v>generator</x:v>
      </x:c>
      <x:c r="F5" s="45" t="str">
        <x:v>gpt-5.6-luna-2026-07-09</x:v>
      </x:c>
      <x:c r="G5" s="45" t="n">
        <x:v>1</x:v>
      </x:c>
      <x:c r="H5" s="45" t="n">
        <x:v>200</x:v>
      </x:c>
      <x:c r="I5" s="45" t="str">
        <x:v>Ocp-Apim-Subscription-Key</x:v>
      </x:c>
      <x:c r="J5" s="84" t="n">
        <x:v>0</x:v>
      </x:c>
      <x:c r="K5" s="84" t="n">
        <x:v>37598.23</x:v>
      </x:c>
      <x:c r="L5" s="83" t="b">
        <x:v>0</x:v>
      </x:c>
      <x:c r="M5" s="45" t="str"/>
      <x:c r="N5" s="58" t="str"/>
      <x:c r="O5" s="58" t="str"/>
      <x:c r="P5" s="58" t="str"/>
    </x:row>
    <x:row r="6">
      <x:c r="A6" s="47" t="str">
        <x:v>EVT-000039</x:v>
      </x:c>
      <x:c r="B6" s="47" t="str">
        <x:v>RUN-I2-031-20260831T034724621220Z</x:v>
      </x:c>
      <x:c r="C6" s="47" t="str">
        <x:v>I2-031</x:v>
      </x:c>
      <x:c r="D6" s="93" t="n">
        <x:v>46265.158359085646</x:v>
      </x:c>
      <x:c r="E6" s="47" t="str">
        <x:v>generator</x:v>
      </x:c>
      <x:c r="F6" s="47" t="str">
        <x:v>gpt-5.6-luna-2026-07-09</x:v>
      </x:c>
      <x:c r="G6" s="47" t="n">
        <x:v>1</x:v>
      </x:c>
      <x:c r="H6" s="47" t="str">
        <x:v>COMPLETED</x:v>
      </x:c>
      <x:c r="I6" s="47" t="str"/>
      <x:c r="J6" s="86" t="n">
        <x:v>0</x:v>
      </x:c>
      <x:c r="K6" s="86" t="n">
        <x:v>37599.798</x:v>
      </x:c>
      <x:c r="L6" s="85" t="b">
        <x:v>0</x:v>
      </x:c>
      <x:c r="M6" s="47" t="str">
        <x:v>resp_02f7cf65dc1beae5006a94f94cb4388194a99d611c7bd35c46</x:v>
      </x:c>
      <x:c r="N6" s="59" t="n">
        <x:v>12990</x:v>
      </x:c>
      <x:c r="O6" s="59" t="n">
        <x:v>4436</x:v>
      </x:c>
      <x:c r="P6" s="59" t="n">
        <x:v>17426</x:v>
      </x:c>
    </x:row>
    <x:row r="7">
      <x:c r="A7" s="47" t="str">
        <x:v>EVT-000044</x:v>
      </x:c>
      <x:c r="B7" s="47" t="str">
        <x:v>RUN-I2-031-20260831T034724621220Z</x:v>
      </x:c>
      <x:c r="C7" s="47" t="str">
        <x:v>I2-031</x:v>
      </x:c>
      <x:c r="D7" s="93" t="n">
        <x:v>46265.15843773148</x:v>
      </x:c>
      <x:c r="E7" s="47" t="str">
        <x:v>syntax_repair</x:v>
      </x:c>
      <x:c r="F7" s="47" t="str">
        <x:v>gpt-5.6-luna-2026-07-09</x:v>
      </x:c>
      <x:c r="G7" s="47" t="n">
        <x:v>1</x:v>
      </x:c>
      <x:c r="H7" s="47" t="n">
        <x:v>200</x:v>
      </x:c>
      <x:c r="I7" s="47" t="str">
        <x:v>Ocp-Apim-Subscription-Key</x:v>
      </x:c>
      <x:c r="J7" s="86" t="n">
        <x:v>0</x:v>
      </x:c>
      <x:c r="K7" s="86" t="n">
        <x:v>6790.046</x:v>
      </x:c>
      <x:c r="L7" s="85" t="b">
        <x:v>0</x:v>
      </x:c>
      <x:c r="M7" s="47" t="str"/>
      <x:c r="N7" s="59" t="str"/>
      <x:c r="O7" s="59" t="str"/>
      <x:c r="P7" s="59" t="str"/>
    </x:row>
    <x:row r="8">
      <x:c r="A8" s="47" t="str">
        <x:v>EVT-000045</x:v>
      </x:c>
      <x:c r="B8" s="47" t="str">
        <x:v>RUN-I2-031-20260831T034724621220Z</x:v>
      </x:c>
      <x:c r="C8" s="47" t="str">
        <x:v>I2-031</x:v>
      </x:c>
      <x:c r="D8" s="93" t="n">
        <x:v>46265.15843775463</x:v>
      </x:c>
      <x:c r="E8" s="47" t="str">
        <x:v>syntax_repair</x:v>
      </x:c>
      <x:c r="F8" s="47" t="str">
        <x:v>gpt-5.6-luna-2026-07-09</x:v>
      </x:c>
      <x:c r="G8" s="47" t="n">
        <x:v>1</x:v>
      </x:c>
      <x:c r="H8" s="47" t="str">
        <x:v>COMPLETED</x:v>
      </x:c>
      <x:c r="I8" s="47" t="str"/>
      <x:c r="J8" s="86" t="n">
        <x:v>0</x:v>
      </x:c>
      <x:c r="K8" s="86" t="n">
        <x:v>6791.649</x:v>
      </x:c>
      <x:c r="L8" s="85" t="b">
        <x:v>0</x:v>
      </x:c>
      <x:c r="M8" s="47" t="str">
        <x:v>resp_0123901ee82c64f5006a94f9724f78819688609bccdf963f19</x:v>
      </x:c>
      <x:c r="N8" s="59" t="n">
        <x:v>1876</x:v>
      </x:c>
      <x:c r="O8" s="59" t="n">
        <x:v>1476</x:v>
      </x:c>
      <x:c r="P8" s="59" t="n">
        <x:v>3352</x:v>
      </x:c>
    </x:row>
    <x:row r="9">
      <x:c r="A9" s="47" t="str">
        <x:v>EVT-000053</x:v>
      </x:c>
      <x:c r="B9" s="47" t="str">
        <x:v>RUN-I2-031-20260831T034724621220Z</x:v>
      </x:c>
      <x:c r="C9" s="47" t="str">
        <x:v>I2-031</x:v>
      </x:c>
      <x:c r="D9" s="93" t="n">
        <x:v>46265.15861268518</x:v>
      </x:c>
      <x:c r="E9" s="47" t="str">
        <x:v>validator</x:v>
      </x:c>
      <x:c r="F9" s="47" t="str">
        <x:v>gpt-5.6-luna-2026-07-09</x:v>
      </x:c>
      <x:c r="G9" s="47" t="n">
        <x:v>1</x:v>
      </x:c>
      <x:c r="H9" s="47" t="n">
        <x:v>200</x:v>
      </x:c>
      <x:c r="I9" s="47" t="str">
        <x:v>Ocp-Apim-Subscription-Key</x:v>
      </x:c>
      <x:c r="J9" s="86" t="n">
        <x:v>0</x:v>
      </x:c>
      <x:c r="K9" s="86" t="n">
        <x:v>14966.282</x:v>
      </x:c>
      <x:c r="L9" s="85" t="b">
        <x:v>0</x:v>
      </x:c>
      <x:c r="M9" s="47" t="str"/>
      <x:c r="N9" s="59" t="str"/>
      <x:c r="O9" s="59" t="str"/>
      <x:c r="P9" s="59" t="str"/>
    </x:row>
    <x:row r="10">
      <x:c r="A10" s="47" t="str">
        <x:v>EVT-000054</x:v>
      </x:c>
      <x:c r="B10" s="47" t="str">
        <x:v>RUN-I2-031-20260831T034724621220Z</x:v>
      </x:c>
      <x:c r="C10" s="47" t="str">
        <x:v>I2-031</x:v>
      </x:c>
      <x:c r="D10" s="93" t="n">
        <x:v>46265.15861269676</x:v>
      </x:c>
      <x:c r="E10" s="47" t="str">
        <x:v>validator</x:v>
      </x:c>
      <x:c r="F10" s="47" t="str">
        <x:v>gpt-5.6-luna-2026-07-09</x:v>
      </x:c>
      <x:c r="G10" s="47" t="n">
        <x:v>1</x:v>
      </x:c>
      <x:c r="H10" s="47" t="str">
        <x:v>COMPLETED</x:v>
      </x:c>
      <x:c r="I10" s="47" t="str"/>
      <x:c r="J10" s="86" t="n">
        <x:v>0</x:v>
      </x:c>
      <x:c r="K10" s="86" t="n">
        <x:v>14967.405</x:v>
      </x:c>
      <x:c r="L10" s="85" t="b">
        <x:v>0</x:v>
      </x:c>
      <x:c r="M10" s="47" t="str">
        <x:v>resp_011174e026a967ef006a94f97941ec8195a700577d2f39d83b</x:v>
      </x:c>
      <x:c r="N10" s="59" t="n">
        <x:v>14377</x:v>
      </x:c>
      <x:c r="O10" s="59" t="n">
        <x:v>1258</x:v>
      </x:c>
      <x:c r="P10" s="59" t="n">
        <x:v>15635</x:v>
      </x:c>
    </x:row>
    <x:row r="11">
      <x:c r="A11" s="47" t="str">
        <x:v>EVT-000059</x:v>
      </x:c>
      <x:c r="B11" s="47" t="str">
        <x:v>RUN-I2-031-20260831T034724621220Z</x:v>
      </x:c>
      <x:c r="C11" s="47" t="str">
        <x:v>I2-031</x:v>
      </x:c>
      <x:c r="D11" s="93" t="n">
        <x:v>46265.158816400464</x:v>
      </x:c>
      <x:c r="E11" s="47" t="str">
        <x:v>generator</x:v>
      </x:c>
      <x:c r="F11" s="47" t="str">
        <x:v>gpt-5.6-luna-2026-07-09</x:v>
      </x:c>
      <x:c r="G11" s="47" t="n">
        <x:v>1</x:v>
      </x:c>
      <x:c r="H11" s="47" t="n">
        <x:v>200</x:v>
      </x:c>
      <x:c r="I11" s="47" t="str">
        <x:v>Ocp-Apim-Subscription-Key</x:v>
      </x:c>
      <x:c r="J11" s="86" t="n">
        <x:v>0</x:v>
      </x:c>
      <x:c r="K11" s="86" t="n">
        <x:v>17594.695</x:v>
      </x:c>
      <x:c r="L11" s="85" t="b">
        <x:v>0</x:v>
      </x:c>
      <x:c r="M11" s="47" t="str"/>
      <x:c r="N11" s="59" t="str"/>
      <x:c r="O11" s="59" t="str"/>
      <x:c r="P11" s="59" t="str"/>
    </x:row>
    <x:row r="12">
      <x:c r="A12" s="47" t="str">
        <x:v>EVT-000060</x:v>
      </x:c>
      <x:c r="B12" s="47" t="str">
        <x:v>RUN-I2-031-20260831T034724621220Z</x:v>
      </x:c>
      <x:c r="C12" s="47" t="str">
        <x:v>I2-031</x:v>
      </x:c>
      <x:c r="D12" s="93" t="n">
        <x:v>46265.15881642361</x:v>
      </x:c>
      <x:c r="E12" s="47" t="str">
        <x:v>generator</x:v>
      </x:c>
      <x:c r="F12" s="47" t="str">
        <x:v>gpt-5.6-luna-2026-07-09</x:v>
      </x:c>
      <x:c r="G12" s="47" t="n">
        <x:v>1</x:v>
      </x:c>
      <x:c r="H12" s="47" t="str">
        <x:v>COMPLETED</x:v>
      </x:c>
      <x:c r="I12" s="47" t="str"/>
      <x:c r="J12" s="86" t="n">
        <x:v>0</x:v>
      </x:c>
      <x:c r="K12" s="86" t="n">
        <x:v>17596.155</x:v>
      </x:c>
      <x:c r="L12" s="85" t="b">
        <x:v>0</x:v>
      </x:c>
      <x:c r="M12" s="47" t="str">
        <x:v>resp_0d6cb34bd778a425006a94f9883c7c8194953e8367b73aec31</x:v>
      </x:c>
      <x:c r="N12" s="59" t="n">
        <x:v>13201</x:v>
      </x:c>
      <x:c r="O12" s="59" t="n">
        <x:v>2519</x:v>
      </x:c>
      <x:c r="P12" s="59" t="n">
        <x:v>15720</x:v>
      </x:c>
    </x:row>
    <x:row r="13">
      <x:c r="A13" s="47" t="str">
        <x:v>EVT-000067</x:v>
      </x:c>
      <x:c r="B13" s="47" t="str">
        <x:v>RUN-I2-031-20260831T034724621220Z</x:v>
      </x:c>
      <x:c r="C13" s="47" t="str">
        <x:v>I2-031</x:v>
      </x:c>
      <x:c r="D13" s="93" t="n">
        <x:v>46265.15890307871</x:v>
      </x:c>
      <x:c r="E13" s="47" t="str">
        <x:v>validator</x:v>
      </x:c>
      <x:c r="F13" s="47" t="str">
        <x:v>gpt-5.6-luna-2026-07-09</x:v>
      </x:c>
      <x:c r="G13" s="47" t="n">
        <x:v>1</x:v>
      </x:c>
      <x:c r="H13" s="47" t="n">
        <x:v>200</x:v>
      </x:c>
      <x:c r="I13" s="47" t="str">
        <x:v>Ocp-Apim-Subscription-Key</x:v>
      </x:c>
      <x:c r="J13" s="86" t="n">
        <x:v>0</x:v>
      </x:c>
      <x:c r="K13" s="86" t="n">
        <x:v>7323.229</x:v>
      </x:c>
      <x:c r="L13" s="85" t="b">
        <x:v>0</x:v>
      </x:c>
      <x:c r="M13" s="47" t="str"/>
      <x:c r="N13" s="59" t="str"/>
      <x:c r="O13" s="59" t="str"/>
      <x:c r="P13" s="59" t="str"/>
    </x:row>
    <x:row r="14">
      <x:c r="A14" s="47" t="str">
        <x:v>EVT-000068</x:v>
      </x:c>
      <x:c r="B14" s="47" t="str">
        <x:v>RUN-I2-031-20260831T034724621220Z</x:v>
      </x:c>
      <x:c r="C14" s="47" t="str">
        <x:v>I2-031</x:v>
      </x:c>
      <x:c r="D14" s="93" t="n">
        <x:v>46265.158903090276</x:v>
      </x:c>
      <x:c r="E14" s="47" t="str">
        <x:v>validator</x:v>
      </x:c>
      <x:c r="F14" s="47" t="str">
        <x:v>gpt-5.6-luna-2026-07-09</x:v>
      </x:c>
      <x:c r="G14" s="47" t="n">
        <x:v>1</x:v>
      </x:c>
      <x:c r="H14" s="47" t="str">
        <x:v>COMPLETED</x:v>
      </x:c>
      <x:c r="I14" s="47" t="str"/>
      <x:c r="J14" s="86" t="n">
        <x:v>0</x:v>
      </x:c>
      <x:c r="K14" s="86" t="n">
        <x:v>7324.724</x:v>
      </x:c>
      <x:c r="L14" s="85" t="b">
        <x:v>0</x:v>
      </x:c>
      <x:c r="M14" s="47" t="str">
        <x:v>resp_0390ee6b5d51c81a006a94f999f9648195b2fcf9a997a779ec</x:v>
      </x:c>
      <x:c r="N14" s="59" t="n">
        <x:v>14647</x:v>
      </x:c>
      <x:c r="O14" s="59" t="n">
        <x:v>635</x:v>
      </x:c>
      <x:c r="P14" s="59" t="n">
        <x:v>15282</x:v>
      </x:c>
    </x:row>
    <x:row r="15">
      <x:c r="A15" s="47" t="str">
        <x:v>EVT-000073</x:v>
      </x:c>
      <x:c r="B15" s="47" t="str">
        <x:v>RUN-I2-031-20260831T034724621220Z</x:v>
      </x:c>
      <x:c r="C15" s="47" t="str">
        <x:v>I2-031</x:v>
      </x:c>
      <x:c r="D15" s="93" t="n">
        <x:v>46265.159386631945</x:v>
      </x:c>
      <x:c r="E15" s="47" t="str">
        <x:v>generator</x:v>
      </x:c>
      <x:c r="F15" s="47" t="str">
        <x:v>gpt-5.6-luna-2026-07-09</x:v>
      </x:c>
      <x:c r="G15" s="47" t="n">
        <x:v>1</x:v>
      </x:c>
      <x:c r="H15" s="47" t="n">
        <x:v>200</x:v>
      </x:c>
      <x:c r="I15" s="47" t="str">
        <x:v>Ocp-Apim-Subscription-Key</x:v>
      </x:c>
      <x:c r="J15" s="86" t="n">
        <x:v>0</x:v>
      </x:c>
      <x:c r="K15" s="86" t="n">
        <x:v>41773.018</x:v>
      </x:c>
      <x:c r="L15" s="85" t="b">
        <x:v>0</x:v>
      </x:c>
      <x:c r="M15" s="47" t="str"/>
      <x:c r="N15" s="59" t="str"/>
      <x:c r="O15" s="59" t="str"/>
      <x:c r="P15" s="59" t="str"/>
    </x:row>
    <x:row r="16">
      <x:c r="A16" s="47" t="str">
        <x:v>EVT-000074</x:v>
      </x:c>
      <x:c r="B16" s="47" t="str">
        <x:v>RUN-I2-031-20260831T034724621220Z</x:v>
      </x:c>
      <x:c r="C16" s="47" t="str">
        <x:v>I2-031</x:v>
      </x:c>
      <x:c r="D16" s="93" t="n">
        <x:v>46265.15938665509</x:v>
      </x:c>
      <x:c r="E16" s="47" t="str">
        <x:v>generator</x:v>
      </x:c>
      <x:c r="F16" s="47" t="str">
        <x:v>gpt-5.6-luna-2026-07-09</x:v>
      </x:c>
      <x:c r="G16" s="47" t="n">
        <x:v>1</x:v>
      </x:c>
      <x:c r="H16" s="47" t="str">
        <x:v>COMPLETED</x:v>
      </x:c>
      <x:c r="I16" s="47" t="str"/>
      <x:c r="J16" s="86" t="n">
        <x:v>0</x:v>
      </x:c>
      <x:c r="K16" s="86" t="n">
        <x:v>41774.614</x:v>
      </x:c>
      <x:c r="L16" s="85" t="b">
        <x:v>0</x:v>
      </x:c>
      <x:c r="M16" s="47" t="str">
        <x:v>resp_00bb7616f9d2c8b5006a94f9a156a88196a7c60585335e9b8b</x:v>
      </x:c>
      <x:c r="N16" s="59" t="n">
        <x:v>13329</x:v>
      </x:c>
      <x:c r="O16" s="59" t="n">
        <x:v>3914</x:v>
      </x:c>
      <x:c r="P16" s="59" t="n">
        <x:v>17243</x:v>
      </x:c>
    </x:row>
    <x:row r="17">
      <x:c r="A17" s="47" t="str">
        <x:v>EVT-000081</x:v>
      </x:c>
      <x:c r="B17" s="47" t="str">
        <x:v>RUN-I2-031-20260831T034724621220Z</x:v>
      </x:c>
      <x:c r="C17" s="47" t="str">
        <x:v>I2-031</x:v>
      </x:c>
      <x:c r="D17" s="93" t="n">
        <x:v>46265.15955017361</x:v>
      </x:c>
      <x:c r="E17" s="47" t="str">
        <x:v>validator</x:v>
      </x:c>
      <x:c r="F17" s="47" t="str">
        <x:v>gpt-5.6-luna-2026-07-09</x:v>
      </x:c>
      <x:c r="G17" s="47" t="n">
        <x:v>1</x:v>
      </x:c>
      <x:c r="H17" s="47" t="n">
        <x:v>200</x:v>
      </x:c>
      <x:c r="I17" s="47" t="str">
        <x:v>Ocp-Apim-Subscription-Key</x:v>
      </x:c>
      <x:c r="J17" s="86" t="n">
        <x:v>0</x:v>
      </x:c>
      <x:c r="K17" s="86" t="n">
        <x:v>13953.701</x:v>
      </x:c>
      <x:c r="L17" s="85" t="b">
        <x:v>0</x:v>
      </x:c>
      <x:c r="M17" s="47" t="str"/>
      <x:c r="N17" s="59" t="str"/>
      <x:c r="O17" s="59" t="str"/>
      <x:c r="P17" s="59" t="str"/>
    </x:row>
    <x:row r="18">
      <x:c r="A18" s="47" t="str">
        <x:v>EVT-000082</x:v>
      </x:c>
      <x:c r="B18" s="47" t="str">
        <x:v>RUN-I2-031-20260831T034724621220Z</x:v>
      </x:c>
      <x:c r="C18" s="47" t="str">
        <x:v>I2-031</x:v>
      </x:c>
      <x:c r="D18" s="93" t="n">
        <x:v>46265.159550185184</x:v>
      </x:c>
      <x:c r="E18" s="47" t="str">
        <x:v>validator</x:v>
      </x:c>
      <x:c r="F18" s="47" t="str">
        <x:v>gpt-5.6-luna-2026-07-09</x:v>
      </x:c>
      <x:c r="G18" s="47" t="n">
        <x:v>1</x:v>
      </x:c>
      <x:c r="H18" s="47" t="str">
        <x:v>COMPLETED</x:v>
      </x:c>
      <x:c r="I18" s="47" t="str"/>
      <x:c r="J18" s="86" t="n">
        <x:v>0</x:v>
      </x:c>
      <x:c r="K18" s="86" t="n">
        <x:v>13955.192</x:v>
      </x:c>
      <x:c r="L18" s="85" t="b">
        <x:v>0</x:v>
      </x:c>
      <x:c r="M18" s="47" t="str">
        <x:v>resp_023b343a2ec362d2006a94f9cb6b308193baab3450fd0e3e8f</x:v>
      </x:c>
      <x:c r="N18" s="59" t="n">
        <x:v>15074</x:v>
      </x:c>
      <x:c r="O18" s="59" t="n">
        <x:v>1150</x:v>
      </x:c>
      <x:c r="P18" s="59" t="n">
        <x:v>16224</x:v>
      </x:c>
    </x:row>
    <x:row r="19">
      <x:c r="A19" s="47" t="str">
        <x:v>EVT-000087</x:v>
      </x:c>
      <x:c r="B19" s="47" t="str">
        <x:v>RUN-I2-031-20260831T034724621220Z</x:v>
      </x:c>
      <x:c r="C19" s="47" t="str">
        <x:v>I2-031</x:v>
      </x:c>
      <x:c r="D19" s="93" t="n">
        <x:v>46265.15988186342</x:v>
      </x:c>
      <x:c r="E19" s="47" t="str">
        <x:v>generator</x:v>
      </x:c>
      <x:c r="F19" s="47" t="str">
        <x:v>gpt-5.6-luna-2026-07-09</x:v>
      </x:c>
      <x:c r="G19" s="47" t="n">
        <x:v>1</x:v>
      </x:c>
      <x:c r="H19" s="47" t="n">
        <x:v>200</x:v>
      </x:c>
      <x:c r="I19" s="47" t="str">
        <x:v>Ocp-Apim-Subscription-Key</x:v>
      </x:c>
      <x:c r="J19" s="86" t="n">
        <x:v>0</x:v>
      </x:c>
      <x:c r="K19" s="86" t="n">
        <x:v>28650.364</x:v>
      </x:c>
      <x:c r="L19" s="85" t="b">
        <x:v>0</x:v>
      </x:c>
      <x:c r="M19" s="47" t="str"/>
      <x:c r="N19" s="59" t="str"/>
      <x:c r="O19" s="59" t="str"/>
      <x:c r="P19" s="59" t="str"/>
    </x:row>
    <x:row r="20">
      <x:c r="A20" s="47" t="str">
        <x:v>EVT-000088</x:v>
      </x:c>
      <x:c r="B20" s="47" t="str">
        <x:v>RUN-I2-031-20260831T034724621220Z</x:v>
      </x:c>
      <x:c r="C20" s="47" t="str">
        <x:v>I2-031</x:v>
      </x:c>
      <x:c r="D20" s="93" t="n">
        <x:v>46265.159881875</x:v>
      </x:c>
      <x:c r="E20" s="47" t="str">
        <x:v>generator</x:v>
      </x:c>
      <x:c r="F20" s="47" t="str">
        <x:v>gpt-5.6-luna-2026-07-09</x:v>
      </x:c>
      <x:c r="G20" s="47" t="n">
        <x:v>1</x:v>
      </x:c>
      <x:c r="H20" s="47" t="str">
        <x:v>COMPLETED</x:v>
      </x:c>
      <x:c r="I20" s="47" t="str"/>
      <x:c r="J20" s="86" t="n">
        <x:v>0</x:v>
      </x:c>
      <x:c r="K20" s="86" t="n">
        <x:v>28651.902</x:v>
      </x:c>
      <x:c r="L20" s="85" t="b">
        <x:v>0</x:v>
      </x:c>
      <x:c r="M20" s="47" t="str">
        <x:v>resp_0f73c79269350dc1006a94f9d939488196a0780264007da3dd</x:v>
      </x:c>
      <x:c r="N20" s="59" t="n">
        <x:v>13560</x:v>
      </x:c>
      <x:c r="O20" s="59" t="n">
        <x:v>3855</x:v>
      </x:c>
      <x:c r="P20" s="59" t="n">
        <x:v>17415</x:v>
      </x:c>
    </x:row>
    <x:row r="21">
      <x:c r="A21" s="47" t="str">
        <x:v>EVT-000093</x:v>
      </x:c>
      <x:c r="B21" s="47" t="str">
        <x:v>RUN-I2-031-20260831T034724621220Z</x:v>
      </x:c>
      <x:c r="C21" s="47" t="str">
        <x:v>I2-031</x:v>
      </x:c>
      <x:c r="D21" s="93" t="n">
        <x:v>46265.16003254629</x:v>
      </x:c>
      <x:c r="E21" s="47" t="str">
        <x:v>syntax_repair</x:v>
      </x:c>
      <x:c r="F21" s="47" t="str">
        <x:v>gpt-5.6-luna-2026-07-09</x:v>
      </x:c>
      <x:c r="G21" s="47" t="n">
        <x:v>1</x:v>
      </x:c>
      <x:c r="H21" s="47" t="n">
        <x:v>200</x:v>
      </x:c>
      <x:c r="I21" s="47" t="str">
        <x:v>Ocp-Apim-Subscription-Key</x:v>
      </x:c>
      <x:c r="J21" s="86" t="n">
        <x:v>0</x:v>
      </x:c>
      <x:c r="K21" s="86" t="n">
        <x:v>12830.63</x:v>
      </x:c>
      <x:c r="L21" s="85" t="b">
        <x:v>0</x:v>
      </x:c>
      <x:c r="M21" s="47" t="str"/>
      <x:c r="N21" s="59" t="str"/>
      <x:c r="O21" s="59" t="str"/>
      <x:c r="P21" s="59" t="str"/>
    </x:row>
    <x:row r="22">
      <x:c r="A22" s="47" t="str">
        <x:v>EVT-000094</x:v>
      </x:c>
      <x:c r="B22" s="47" t="str">
        <x:v>RUN-I2-031-20260831T034724621220Z</x:v>
      </x:c>
      <x:c r="C22" s="47" t="str">
        <x:v>I2-031</x:v>
      </x:c>
      <x:c r="D22" s="93" t="n">
        <x:v>46265.160032569445</x:v>
      </x:c>
      <x:c r="E22" s="47" t="str">
        <x:v>syntax_repair</x:v>
      </x:c>
      <x:c r="F22" s="47" t="str">
        <x:v>gpt-5.6-luna-2026-07-09</x:v>
      </x:c>
      <x:c r="G22" s="47" t="n">
        <x:v>1</x:v>
      </x:c>
      <x:c r="H22" s="47" t="str">
        <x:v>COMPLETED</x:v>
      </x:c>
      <x:c r="I22" s="47" t="str"/>
      <x:c r="J22" s="86" t="n">
        <x:v>0</x:v>
      </x:c>
      <x:c r="K22" s="86" t="n">
        <x:v>12832.112</x:v>
      </x:c>
      <x:c r="L22" s="85" t="b">
        <x:v>0</x:v>
      </x:c>
      <x:c r="M22" s="47" t="str">
        <x:v>resp_0dc37c18e3480d33006a94f9f61df48194b3243844fde12a47</x:v>
      </x:c>
      <x:c r="N22" s="59" t="n">
        <x:v>3175</x:v>
      </x:c>
      <x:c r="O22" s="59" t="n">
        <x:v>2137</x:v>
      </x:c>
      <x:c r="P22" s="59" t="n">
        <x:v>5312</x:v>
      </x:c>
    </x:row>
    <x:row r="23">
      <x:c r="A23" s="47" t="str">
        <x:v>EVT-000102</x:v>
      </x:c>
      <x:c r="B23" s="47" t="str">
        <x:v>RUN-I2-031-20260831T034724621220Z</x:v>
      </x:c>
      <x:c r="C23" s="47" t="str">
        <x:v>I2-031</x:v>
      </x:c>
      <x:c r="D23" s="93" t="n">
        <x:v>46265.160254490744</x:v>
      </x:c>
      <x:c r="E23" s="47" t="str">
        <x:v>validator</x:v>
      </x:c>
      <x:c r="F23" s="47" t="str">
        <x:v>gpt-5.6-luna-2026-07-09</x:v>
      </x:c>
      <x:c r="G23" s="47" t="n">
        <x:v>1</x:v>
      </x:c>
      <x:c r="H23" s="47" t="n">
        <x:v>200</x:v>
      </x:c>
      <x:c r="I23" s="47" t="str">
        <x:v>Ocp-Apim-Subscription-Key</x:v>
      </x:c>
      <x:c r="J23" s="86" t="n">
        <x:v>0</x:v>
      </x:c>
      <x:c r="K23" s="86" t="n">
        <x:v>18777.589</x:v>
      </x:c>
      <x:c r="L23" s="85" t="b">
        <x:v>0</x:v>
      </x:c>
      <x:c r="M23" s="47" t="str"/>
      <x:c r="N23" s="59" t="str"/>
      <x:c r="O23" s="59" t="str"/>
      <x:c r="P23" s="59" t="str"/>
    </x:row>
    <x:row r="24">
      <x:c r="A24" s="47" t="str">
        <x:v>EVT-000103</x:v>
      </x:c>
      <x:c r="B24" s="47" t="str">
        <x:v>RUN-I2-031-20260831T034724621220Z</x:v>
      </x:c>
      <x:c r="C24" s="47" t="str">
        <x:v>I2-031</x:v>
      </x:c>
      <x:c r="D24" s="93" t="n">
        <x:v>46265.160254490744</x:v>
      </x:c>
      <x:c r="E24" s="47" t="str">
        <x:v>validator</x:v>
      </x:c>
      <x:c r="F24" s="47" t="str">
        <x:v>gpt-5.6-luna-2026-07-09</x:v>
      </x:c>
      <x:c r="G24" s="47" t="n">
        <x:v>1</x:v>
      </x:c>
      <x:c r="H24" s="47" t="str">
        <x:v>COMPLETED</x:v>
      </x:c>
      <x:c r="I24" s="47" t="str"/>
      <x:c r="J24" s="86" t="n">
        <x:v>0</x:v>
      </x:c>
      <x:c r="K24" s="86" t="n">
        <x:v>18778.056</x:v>
      </x:c>
      <x:c r="L24" s="85" t="b">
        <x:v>0</x:v>
      </x:c>
      <x:c r="M24" s="47" t="str">
        <x:v>resp_0d4eeec44b097cf5006a94fa035c1c8190bc4f16733c44121b</x:v>
      </x:c>
      <x:c r="N24" s="59" t="n">
        <x:v>16210</x:v>
      </x:c>
      <x:c r="O24" s="59" t="n">
        <x:v>1671</x:v>
      </x:c>
      <x:c r="P24" s="59" t="n">
        <x:v>17881</x:v>
      </x:c>
    </x:row>
    <x:row r="25">
      <x:c r="A25" s="47" t="str">
        <x:v>EVT-000109</x:v>
      </x:c>
      <x:c r="B25" s="47" t="str">
        <x:v>RUN-I2-031-20260831T034724621220Z</x:v>
      </x:c>
      <x:c r="C25" s="47" t="str">
        <x:v>I2-031</x:v>
      </x:c>
      <x:c r="D25" s="93" t="n">
        <x:v>46265.16030157408</x:v>
      </x:c>
      <x:c r="E25" s="47" t="str">
        <x:v>vocabulary_matcher</x:v>
      </x:c>
      <x:c r="F25" s="47" t="str">
        <x:v>gpt-5.6-luna-2026-07-09</x:v>
      </x:c>
      <x:c r="G25" s="47" t="n">
        <x:v>1</x:v>
      </x:c>
      <x:c r="H25" s="47" t="n">
        <x:v>200</x:v>
      </x:c>
      <x:c r="I25" s="47" t="str">
        <x:v>Ocp-Apim-Subscription-Key</x:v>
      </x:c>
      <x:c r="J25" s="86" t="n">
        <x:v>0</x:v>
      </x:c>
      <x:c r="K25" s="86" t="n">
        <x:v>3101.888</x:v>
      </x:c>
      <x:c r="L25" s="85" t="b">
        <x:v>0</x:v>
      </x:c>
      <x:c r="M25" s="47" t="str"/>
      <x:c r="N25" s="59" t="str"/>
      <x:c r="O25" s="59" t="str"/>
      <x:c r="P25" s="59" t="str"/>
    </x:row>
    <x:row r="26">
      <x:c r="A26" s="49" t="str">
        <x:v>EVT-000110</x:v>
      </x:c>
      <x:c r="B26" s="49" t="str">
        <x:v>RUN-I2-031-20260831T034724621220Z</x:v>
      </x:c>
      <x:c r="C26" s="49" t="str">
        <x:v>I2-031</x:v>
      </x:c>
      <x:c r="D26" s="94" t="n">
        <x:v>46265.16030159722</x:v>
      </x:c>
      <x:c r="E26" s="49" t="str">
        <x:v>vocabulary_matcher</x:v>
      </x:c>
      <x:c r="F26" s="49" t="str">
        <x:v>gpt-5.6-luna-2026-07-09</x:v>
      </x:c>
      <x:c r="G26" s="49" t="n">
        <x:v>1</x:v>
      </x:c>
      <x:c r="H26" s="49" t="str">
        <x:v>COMPLETED</x:v>
      </x:c>
      <x:c r="I26" s="49" t="str"/>
      <x:c r="J26" s="88" t="n">
        <x:v>0</x:v>
      </x:c>
      <x:c r="K26" s="88" t="n">
        <x:v>3103.329</x:v>
      </x:c>
      <x:c r="L26" s="87" t="b">
        <x:v>0</x:v>
      </x:c>
      <x:c r="M26" s="49" t="str">
        <x:v>resp_0594157428a81bc9006a94fa1706a881959b58cad267466944</x:v>
      </x:c>
      <x:c r="N26" s="60" t="n">
        <x:v>2722</x:v>
      </x:c>
      <x:c r="O26" s="60" t="n">
        <x:v>131</x:v>
      </x:c>
      <x:c r="P26" s="60" t="n">
        <x:v>2853</x:v>
      </x:c>
    </x:row>
  </x:sheetData>
  <x:conditionalFormatting sqref="H5:H2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b7e0208b83a34ffe"/>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RUN-I2-031-20260831T034724621220Z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RUN-I2-031-20260831T034724621220Z</x:v>
      </x:c>
      <x:c r="B5" s="45" t="str">
        <x:v>I2-031</x:v>
      </x:c>
      <x:c r="C5" s="45" t="str">
        <x:v>benchmarkEntity</x:v>
      </x:c>
      <x:c r="D5" s="46" t="str">
        <x:v>https://w3id.org/nltl/vocab#benchmarkEntity</x:v>
      </x:c>
      <x:c r="E5" s="45" t="str">
        <x:v>Class</x:v>
      </x:c>
      <x:c r="F5" s="45" t="str"/>
      <x:c r="G5" s="45" t="str"/>
      <x:c r="H5" s="45" t="str"/>
      <x:c r="I5" s="46" t="str">
        <x:v>baseline target infrastructure; domain dependency of combinedShearBendingEffect; domain dependency of frameProfileType; domain dependency of patchLoad; domain dependency of plasticCollapseMechanism; range dependency of loadPatchOrientationValue; range dependency of structuralLocationValue</x:v>
      </x:c>
      <x:c r="J5" s="45" t="n">
        <x:v>0</x:v>
      </x:c>
    </x:row>
    <x:row r="6">
      <x:c r="A6" s="47" t="str">
        <x:v>RUN-I2-031-20260831T034724621220Z</x:v>
      </x:c>
      <x:c r="B6" s="47" t="str">
        <x:v>I2-031</x:v>
      </x:c>
      <x:c r="C6" s="47" t="str">
        <x:v>bottomStructureLocation</x:v>
      </x:c>
      <x:c r="D6" s="48" t="str">
        <x:v>https://w3id.org/nltl/vocab#bottomStructureLocation</x:v>
      </x:c>
      <x:c r="E6" s="47" t="str">
        <x:v>NamedIndividual</x:v>
      </x:c>
      <x:c r="F6" s="47" t="str"/>
      <x:c r="G6" s="47" t="str">
        <x:v>https://w3id.org/nltl/vocab#structuralLocationValue</x:v>
      </x:c>
      <x:c r="H6" s="47" t="str"/>
      <x:c r="I6" s="48" t="str">
        <x:v>controlled value permitted by the range of bottomStructureLocation; controlled value permitted by the range of sideStructureLocation; controlled value permitted by the range of structuralLocation; linked by the locked 313-requirement index</x:v>
      </x:c>
      <x:c r="J6" s="47" t="n">
        <x:v>0</x:v>
      </x:c>
    </x:row>
    <x:row r="7">
      <x:c r="A7" s="47" t="str">
        <x:v>RUN-I2-031-20260831T034724621220Z</x:v>
      </x:c>
      <x:c r="B7" s="47" t="str">
        <x:v>I2-031</x:v>
      </x:c>
      <x:c r="C7" s="47" t="str">
        <x:v>combinedShearAndBendingDemand</x:v>
      </x:c>
      <x:c r="D7" s="48" t="str">
        <x:v>https://w3id.org/nltl/vocab#combinedShearAndBendingDemand</x:v>
      </x:c>
      <x:c r="E7" s="47" t="str">
        <x:v>QuantityProperty</x:v>
      </x:c>
      <x:c r="F7" s="47" t="str"/>
      <x:c r="G7" s="47" t="str">
        <x:v>http://qudt.org/schema/qudt/QuantityValue</x:v>
      </x:c>
      <x:c r="H7" s="47" t="str"/>
      <x:c r="I7" s="48" t="str">
        <x:v>linked by the locked 313-requirement index</x:v>
      </x:c>
      <x:c r="J7" s="47" t="n">
        <x:v>0</x:v>
      </x:c>
    </x:row>
    <x:row r="8">
      <x:c r="A8" s="47" t="str">
        <x:v>RUN-I2-031-20260831T034724621220Z</x:v>
      </x:c>
      <x:c r="B8" s="47" t="str">
        <x:v>I2-031</x:v>
      </x:c>
      <x:c r="C8" s="47" t="str">
        <x:v>combinedShearBendingEffect</x:v>
      </x:c>
      <x:c r="D8" s="48" t="str">
        <x:v>https://w3id.org/nltl/vocab#combinedShearBendingEffect</x:v>
      </x:c>
      <x:c r="E8" s="47" t="str">
        <x:v>DatatypeProperty</x:v>
      </x:c>
      <x:c r="F8" s="47" t="str">
        <x:v>xsd:string</x:v>
      </x:c>
      <x:c r="G8" s="47" t="str">
        <x:v>http://www.w3.org/2001/XMLSchema#string</x:v>
      </x:c>
      <x:c r="H8" s="47" t="str"/>
      <x:c r="I8" s="48" t="str">
        <x:v>linked by the locked 313-requirement index</x:v>
      </x:c>
      <x:c r="J8" s="47" t="n">
        <x:v>0</x:v>
      </x:c>
    </x:row>
    <x:row r="9">
      <x:c r="A9" s="47" t="str">
        <x:v>RUN-I2-031-20260831T034724621220Z</x:v>
      </x:c>
      <x:c r="B9" s="47" t="str">
        <x:v>I2-031</x:v>
      </x:c>
      <x:c r="C9" s="47" t="str">
        <x:v>flatBarSection</x:v>
      </x:c>
      <x:c r="D9" s="48" t="str">
        <x:v>https://w3id.org/nltl/vocab#flatBarSection</x:v>
      </x:c>
      <x:c r="E9" s="47" t="str">
        <x:v>NamedIndividual</x:v>
      </x:c>
      <x:c r="F9" s="47" t="str"/>
      <x:c r="G9" s="47" t="str">
        <x:v>https://w3id.org/nltl/vocab#frameProfileTypeValue</x:v>
      </x:c>
      <x:c r="H9" s="47" t="str"/>
      <x:c r="I9" s="48" t="str">
        <x:v>controlled value permitted by the range of frameProfileType</x:v>
      </x:c>
      <x:c r="J9" s="47" t="n">
        <x:v>0</x:v>
      </x:c>
    </x:row>
    <x:row r="10">
      <x:c r="A10" s="47" t="str">
        <x:v>RUN-I2-031-20260831T034724621220Z</x:v>
      </x:c>
      <x:c r="B10" s="47" t="str">
        <x:v>I2-031</x:v>
      </x:c>
      <x:c r="C10" s="47" t="str">
        <x:v>frameProfileType</x:v>
      </x:c>
      <x:c r="D10" s="48" t="str">
        <x:v>https://w3id.org/nltl/vocab#frameProfileType</x:v>
      </x:c>
      <x:c r="E10" s="47" t="str">
        <x:v>ObjectProperty</x:v>
      </x:c>
      <x:c r="F10" s="47" t="str"/>
      <x:c r="G10" s="47" t="str">
        <x:v>https://w3id.org/nltl/vocab#frameProfileTypeValue</x:v>
      </x:c>
      <x:c r="H10" s="47" t="str"/>
      <x:c r="I10" s="48" t="str">
        <x:v>linked by the locked 313-requirement index</x:v>
      </x:c>
      <x:c r="J10" s="47" t="n">
        <x:v>0</x:v>
      </x:c>
    </x:row>
    <x:row r="11">
      <x:c r="A11" s="47" t="str">
        <x:v>RUN-I2-031-20260831T034724621220Z</x:v>
      </x:c>
      <x:c r="B11" s="47" t="str">
        <x:v>I2-031</x:v>
      </x:c>
      <x:c r="C11" s="47" t="str">
        <x:v>frameProfileTypeValue</x:v>
      </x:c>
      <x:c r="D11" s="48" t="str">
        <x:v>https://w3id.org/nltl/vocab#frameProfileTypeValue</x:v>
      </x:c>
      <x:c r="E11" s="47" t="str">
        <x:v>Class</x:v>
      </x:c>
      <x:c r="F11" s="47" t="str"/>
      <x:c r="G11" s="47" t="str">
        <x:v>https://w3id.org/nltl/vocab#benchmarkEntity</x:v>
      </x:c>
      <x:c r="H11" s="47" t="str"/>
      <x:c r="I11" s="48" t="str">
        <x:v>range dependency of frameProfileType</x:v>
      </x:c>
      <x:c r="J11" s="47" t="n">
        <x:v>0</x:v>
      </x:c>
    </x:row>
    <x:row r="12">
      <x:c r="A12" s="47" t="str">
        <x:v>RUN-I2-031-20260831T034724621220Z</x:v>
      </x:c>
      <x:c r="B12" s="47" t="str">
        <x:v>I2-031</x:v>
      </x:c>
      <x:c r="C12" s="47" t="str">
        <x:v>hasComponent</x:v>
      </x:c>
      <x:c r="D12" s="48" t="str">
        <x:v>https://w3id.org/nltl/vocab#hasComponent</x:v>
      </x:c>
      <x:c r="E12" s="47" t="str">
        <x:v>ObjectProperty</x:v>
      </x:c>
      <x:c r="F12" s="47" t="str"/>
      <x:c r="G12" s="47" t="str">
        <x:v>https://w3id.org/nltl/vocab#shipComponent</x:v>
      </x:c>
      <x:c r="H12" s="47" t="str"/>
      <x:c r="I12" s="48" t="str">
        <x:v>component-path dependency inferred from the linked term module</x:v>
      </x:c>
      <x:c r="J12" s="47" t="n">
        <x:v>0</x:v>
      </x:c>
    </x:row>
    <x:row r="13">
      <x:c r="A13" s="47" t="str">
        <x:v>RUN-I2-031-20260831T034724621220Z</x:v>
      </x:c>
      <x:c r="B13" s="47" t="str">
        <x:v>I2-031</x:v>
      </x:c>
      <x:c r="C13" s="47" t="str">
        <x:v>hasLoadCase</x:v>
      </x:c>
      <x:c r="D13" s="48" t="str">
        <x:v>https://w3id.org/nltl/vocab#hasLoadCase</x:v>
      </x:c>
      <x:c r="E13" s="47" t="str">
        <x:v>ObjectProperty</x:v>
      </x:c>
      <x:c r="F13" s="47" t="str"/>
      <x:c r="G13" s="47" t="str">
        <x:v>https://w3id.org/nltl/vocab#loadCase</x:v>
      </x:c>
      <x:c r="H13" s="47" t="str"/>
      <x:c r="I13" s="48" t="str">
        <x:v>canonical path from target owner ship to required owner loadCase</x:v>
      </x:c>
      <x:c r="J13" s="47" t="n">
        <x:v>0</x:v>
      </x:c>
    </x:row>
    <x:row r="14">
      <x:c r="A14" s="47" t="str">
        <x:v>RUN-I2-031-20260831T034724621220Z</x:v>
      </x:c>
      <x:c r="B14" s="47" t="str">
        <x:v>I2-031</x:v>
      </x:c>
      <x:c r="C14" s="47" t="str">
        <x:v>hasPropulsionLoadCase</x:v>
      </x:c>
      <x:c r="D14" s="48" t="str">
        <x:v>https://w3id.org/nltl/vocab#hasPropulsionLoadCase</x:v>
      </x:c>
      <x:c r="E14" s="47" t="str">
        <x:v>ObjectProperty</x:v>
      </x:c>
      <x:c r="F14" s="47" t="str"/>
      <x:c r="G14" s="47" t="str">
        <x:v>https://w3id.org/nltl/vocab#loadCase</x:v>
      </x:c>
      <x:c r="H14" s="47" t="str"/>
      <x:c r="I14" s="48" t="str">
        <x:v>canonical path from target owner ship to required owner loadCase</x:v>
      </x:c>
      <x:c r="J14" s="47" t="n">
        <x:v>0</x:v>
      </x:c>
    </x:row>
    <x:row r="15">
      <x:c r="A15" s="47" t="str">
        <x:v>RUN-I2-031-20260831T034724621220Z</x:v>
      </x:c>
      <x:c r="B15" s="47" t="str">
        <x:v>I2-031</x:v>
      </x:c>
      <x:c r="C15" s="47" t="str">
        <x:v>hasStructuralMember</x:v>
      </x:c>
      <x:c r="D15" s="48" t="str">
        <x:v>https://w3id.org/nltl/vocab#hasStructuralMember</x:v>
      </x:c>
      <x:c r="E15" s="47" t="str">
        <x:v>ObjectProperty</x:v>
      </x:c>
      <x:c r="F15" s="47" t="str"/>
      <x:c r="G15" s="47" t="str">
        <x:v>https://w3id.org/nltl/vocab#structuralMember</x:v>
      </x:c>
      <x:c r="H15" s="47" t="str"/>
      <x:c r="I15" s="48" t="str">
        <x:v>canonical path from target owner ship to required owner structuralMember; linked by the locked 313-requirement index</x:v>
      </x:c>
      <x:c r="J15" s="47" t="n">
        <x:v>0</x:v>
      </x:c>
    </x:row>
    <x:row r="16">
      <x:c r="A16" s="47" t="str">
        <x:v>RUN-I2-031-20260831T034724621220Z</x:v>
      </x:c>
      <x:c r="B16" s="47" t="str">
        <x:v>I2-031</x:v>
      </x:c>
      <x:c r="C16" s="47" t="str">
        <x:v>hasStructuralMemberLoadCase</x:v>
      </x:c>
      <x:c r="D16" s="48" t="str">
        <x:v>https://w3id.org/nltl/vocab#hasStructuralMemberLoadCase</x:v>
      </x:c>
      <x:c r="E16" s="47" t="str">
        <x:v>ObjectProperty</x:v>
      </x:c>
      <x:c r="F16" s="47" t="str"/>
      <x:c r="G16" s="47" t="str">
        <x:v>https://w3id.org/nltl/vocab#loadCase</x:v>
      </x:c>
      <x:c r="H16" s="47" t="str"/>
      <x:c r="I16" s="48" t="str">
        <x:v>linked by the locked 313-requirement index</x:v>
      </x:c>
      <x:c r="J16" s="47" t="n">
        <x:v>0</x:v>
      </x:c>
    </x:row>
    <x:row r="17">
      <x:c r="A17" s="47" t="str">
        <x:v>RUN-I2-031-20260831T034724621220Z</x:v>
      </x:c>
      <x:c r="B17" s="47" t="str">
        <x:v>I2-031</x:v>
      </x:c>
      <x:c r="C17" s="47" t="str">
        <x:v>hullStructure</x:v>
      </x:c>
      <x:c r="D17" s="48" t="str">
        <x:v>https://w3id.org/nltl/vocab#hullStructure</x:v>
      </x:c>
      <x:c r="E17" s="47" t="str">
        <x:v>Class</x:v>
      </x:c>
      <x:c r="F17" s="47" t="str"/>
      <x:c r="G17" s="47" t="str"/>
      <x:c r="H17" s="47" t="str"/>
      <x:c r="I17" s="48" t="str">
        <x:v>range dependency of localFrame; range dependency of structuralMember</x:v>
      </x:c>
      <x:c r="J17" s="47" t="n">
        <x:v>0</x:v>
      </x:c>
    </x:row>
    <x:row r="18">
      <x:c r="A18" s="47" t="str">
        <x:v>RUN-I2-031-20260831T034724621220Z</x:v>
      </x:c>
      <x:c r="B18" s="47" t="str">
        <x:v>I2-031</x:v>
      </x:c>
      <x:c r="C18" s="47" t="str">
        <x:v>loadCase</x:v>
      </x:c>
      <x:c r="D18" s="48" t="str">
        <x:v>https://w3id.org/nltl/vocab#loadCase</x:v>
      </x:c>
      <x:c r="E18" s="47" t="str">
        <x:v>Class</x:v>
      </x:c>
      <x:c r="F18" s="47" t="str"/>
      <x:c r="G18" s="47" t="str">
        <x:v>https://w3id.org/nltl/vocab#calculationCase</x:v>
      </x:c>
      <x:c r="H18" s="47" t="str"/>
      <x:c r="I18" s="48" t="str">
        <x:v>authoritative required owner class; domain dependency of combinedShearAndBendingDemand; domain dependency of loadPatchOrientation; range dependency of hasStructuralMemberLoadCase</x:v>
      </x:c>
      <x:c r="J18" s="47" t="n">
        <x:v>0</x:v>
      </x:c>
    </x:row>
    <x:row r="19">
      <x:c r="A19" s="47" t="str">
        <x:v>RUN-I2-031-20260831T034724621220Z</x:v>
      </x:c>
      <x:c r="B19" s="47" t="str">
        <x:v>I2-031</x:v>
      </x:c>
      <x:c r="C19" s="47" t="str">
        <x:v>loadPatchHeightParallelToFrame</x:v>
      </x:c>
      <x:c r="D19" s="48" t="str">
        <x:v>https://w3id.org/nltl/vocab#loadPatchHeightParallelToFrame</x:v>
      </x:c>
      <x:c r="E19" s="47" t="str">
        <x:v>NamedIndividual</x:v>
      </x:c>
      <x:c r="F19" s="47" t="str"/>
      <x:c r="G19" s="47" t="str">
        <x:v>https://w3id.org/nltl/vocab#loadPatchOrientationValue</x:v>
      </x:c>
      <x:c r="H19" s="47" t="str"/>
      <x:c r="I19" s="48" t="str">
        <x:v>controlled value permitted by the range of loadPatchHeightParallelToFrame; controlled value permitted by the range of loadPatchOrientation; linked by the locked 313-requirement index</x:v>
      </x:c>
      <x:c r="J19" s="47" t="n">
        <x:v>0</x:v>
      </x:c>
    </x:row>
    <x:row r="20">
      <x:c r="A20" s="47" t="str">
        <x:v>RUN-I2-031-20260831T034724621220Z</x:v>
      </x:c>
      <x:c r="B20" s="47" t="str">
        <x:v>I2-031</x:v>
      </x:c>
      <x:c r="C20" s="47" t="str">
        <x:v>loadPatchOrientation</x:v>
      </x:c>
      <x:c r="D20" s="48" t="str">
        <x:v>https://w3id.org/nltl/vocab#loadPatchOrientation</x:v>
      </x:c>
      <x:c r="E20" s="47" t="str">
        <x:v>ObjectProperty</x:v>
      </x:c>
      <x:c r="F20" s="47" t="str"/>
      <x:c r="G20" s="47" t="str">
        <x:v>https://w3id.org/nltl/vocab#loadPatchOrientationValue</x:v>
      </x:c>
      <x:c r="H20" s="47" t="str"/>
      <x:c r="I20" s="48" t="str">
        <x:v>linked by the locked 313-requirement index</x:v>
      </x:c>
      <x:c r="J20" s="47" t="n">
        <x:v>0</x:v>
      </x:c>
    </x:row>
    <x:row r="21">
      <x:c r="A21" s="47" t="str">
        <x:v>RUN-I2-031-20260831T034724621220Z</x:v>
      </x:c>
      <x:c r="B21" s="47" t="str">
        <x:v>I2-031</x:v>
      </x:c>
      <x:c r="C21" s="47" t="str">
        <x:v>loadPatchOrientationValue</x:v>
      </x:c>
      <x:c r="D21" s="48" t="str">
        <x:v>https://w3id.org/nltl/vocab#loadPatchOrientationValue</x:v>
      </x:c>
      <x:c r="E21" s="47" t="str">
        <x:v>Class</x:v>
      </x:c>
      <x:c r="F21" s="47" t="str"/>
      <x:c r="G21" s="47" t="str">
        <x:v>https://w3id.org/nltl/vocab#benchmarkEntity</x:v>
      </x:c>
      <x:c r="H21" s="47" t="str"/>
      <x:c r="I21" s="48" t="str">
        <x:v>linked by the locked 313-requirement index; range dependency of loadPatchHeightParallelToFrame; range dependency of loadPatchOrientation</x:v>
      </x:c>
      <x:c r="J21" s="47" t="n">
        <x:v>0</x:v>
      </x:c>
    </x:row>
    <x:row r="22">
      <x:c r="A22" s="47" t="str">
        <x:v>RUN-I2-031-20260831T034724621220Z</x:v>
      </x:c>
      <x:c r="B22" s="47" t="str">
        <x:v>I2-031</x:v>
      </x:c>
      <x:c r="C22" s="47" t="str">
        <x:v>localFrame</x:v>
      </x:c>
      <x:c r="D22" s="48" t="str">
        <x:v>https://w3id.org/nltl/vocab#localFrame</x:v>
      </x:c>
      <x:c r="E22" s="47" t="str">
        <x:v>Class</x:v>
      </x:c>
      <x:c r="F22" s="47" t="str"/>
      <x:c r="G22" s="47" t="str">
        <x:v>https://w3id.org/nltl/vocab#hullStructure</x:v>
      </x:c>
      <x:c r="H22" s="47" t="str"/>
      <x:c r="I22" s="48" t="str">
        <x:v>linked by the locked 313-requirement index</x:v>
      </x:c>
      <x:c r="J22" s="47" t="n">
        <x:v>0</x:v>
      </x:c>
    </x:row>
    <x:row r="23">
      <x:c r="A23" s="47" t="str">
        <x:v>RUN-I2-031-20260831T034724621220Z</x:v>
      </x:c>
      <x:c r="B23" s="47" t="str">
        <x:v>I2-031</x:v>
      </x:c>
      <x:c r="C23" s="47" t="str">
        <x:v>midspanPlasticCollapseLoad</x:v>
      </x:c>
      <x:c r="D23" s="48" t="str">
        <x:v>https://w3id.org/nltl/vocab#midspanPlasticCollapseLoad</x:v>
      </x:c>
      <x:c r="E23" s="47" t="str">
        <x:v>QuantityProperty</x:v>
      </x:c>
      <x:c r="F23" s="47" t="str"/>
      <x:c r="G23" s="47" t="str">
        <x:v>http://qudt.org/schema/qudt/QuantityValue</x:v>
      </x:c>
      <x:c r="H23" s="47" t="str">
        <x:v>http://qudt.org/vocab/unit/KiloN</x:v>
      </x:c>
      <x:c r="I23" s="48" t="str">
        <x:v>linked by the locked 313-requirement index</x:v>
      </x:c>
      <x:c r="J23" s="47" t="n">
        <x:v>0</x:v>
      </x:c>
    </x:row>
    <x:row r="24">
      <x:c r="A24" s="47" t="str">
        <x:v>RUN-I2-031-20260831T034724621220Z</x:v>
      </x:c>
      <x:c r="B24" s="47" t="str">
        <x:v>I2-031</x:v>
      </x:c>
      <x:c r="C24" s="47" t="str">
        <x:v>patchLoad</x:v>
      </x:c>
      <x:c r="D24" s="48" t="str">
        <x:v>https://w3id.org/nltl/vocab#patchLoad</x:v>
      </x:c>
      <x:c r="E24" s="47" t="str">
        <x:v>QuantityProperty</x:v>
      </x:c>
      <x:c r="F24" s="47" t="str"/>
      <x:c r="G24" s="47" t="str">
        <x:v>http://qudt.org/schema/qudt/QuantityValue</x:v>
      </x:c>
      <x:c r="H24" s="47" t="str">
        <x:v>http://qudt.org/vocab/unit/KiloN</x:v>
      </x:c>
      <x:c r="I24" s="48" t="str">
        <x:v>linked by the locked 313-requirement index</x:v>
      </x:c>
      <x:c r="J24" s="47" t="n">
        <x:v>0</x:v>
      </x:c>
    </x:row>
    <x:row r="25">
      <x:c r="A25" s="47" t="str">
        <x:v>RUN-I2-031-20260831T034724621220Z</x:v>
      </x:c>
      <x:c r="B25" s="47" t="str">
        <x:v>I2-031</x:v>
      </x:c>
      <x:c r="C25" s="47" t="str">
        <x:v>plasticCollapseMechanism</x:v>
      </x:c>
      <x:c r="D25" s="48" t="str">
        <x:v>https://w3id.org/nltl/vocab#plasticCollapseMechanism</x:v>
      </x:c>
      <x:c r="E25" s="47" t="str">
        <x:v>DatatypeProperty</x:v>
      </x:c>
      <x:c r="F25" s="47" t="str">
        <x:v>xsd:string</x:v>
      </x:c>
      <x:c r="G25" s="47" t="str">
        <x:v>http://www.w3.org/2001/XMLSchema#string</x:v>
      </x:c>
      <x:c r="H25" s="47" t="str"/>
      <x:c r="I25" s="48" t="str">
        <x:v>linked by the locked 313-requirement index</x:v>
      </x:c>
      <x:c r="J25" s="47" t="n">
        <x:v>0</x:v>
      </x:c>
    </x:row>
    <x:row r="26">
      <x:c r="A26" s="47" t="str">
        <x:v>RUN-I2-031-20260831T034724621220Z</x:v>
      </x:c>
      <x:c r="B26" s="47" t="str">
        <x:v>I2-031</x:v>
      </x:c>
      <x:c r="C26" s="47" t="str">
        <x:v>plasticStrength</x:v>
      </x:c>
      <x:c r="D26" s="48" t="str">
        <x:v>https://w3id.org/nltl/vocab#plasticStrength</x:v>
      </x:c>
      <x:c r="E26" s="47" t="str">
        <x:v>QuantityProperty</x:v>
      </x:c>
      <x:c r="F26" s="47" t="str"/>
      <x:c r="G26" s="47" t="str">
        <x:v>http://qudt.org/schema/qudt/QuantityValue</x:v>
      </x:c>
      <x:c r="H26" s="47" t="str">
        <x:v>http://qudt.org/vocab/unit/KiloN</x:v>
      </x:c>
      <x:c r="I26" s="48" t="str">
        <x:v>linked by the locked 313-requirement index</x:v>
      </x:c>
      <x:c r="J26" s="47" t="n">
        <x:v>0</x:v>
      </x:c>
    </x:row>
    <x:row r="27">
      <x:c r="A27" s="47" t="str">
        <x:v>RUN-I2-031-20260831T034724621220Z</x:v>
      </x:c>
      <x:c r="B27" s="47" t="str">
        <x:v>I2-031</x:v>
      </x:c>
      <x:c r="C27" s="47" t="str">
        <x:v>profileSection</x:v>
      </x:c>
      <x:c r="D27" s="48" t="str">
        <x:v>https://w3id.org/nltl/vocab#profileSection</x:v>
      </x:c>
      <x:c r="E27" s="47" t="str">
        <x:v>NamedIndividual</x:v>
      </x:c>
      <x:c r="F27" s="47" t="str"/>
      <x:c r="G27" s="47" t="str">
        <x:v>https://w3id.org/nltl/vocab#frameProfileTypeValue</x:v>
      </x:c>
      <x:c r="H27" s="47" t="str"/>
      <x:c r="I27" s="48" t="str">
        <x:v>controlled value permitted by the range of frameProfileType</x:v>
      </x:c>
      <x:c r="J27" s="47" t="n">
        <x:v>0</x:v>
      </x:c>
    </x:row>
    <x:row r="28">
      <x:c r="A28" s="47" t="str">
        <x:v>RUN-I2-031-20260831T034724621220Z</x:v>
      </x:c>
      <x:c r="B28" s="47" t="str">
        <x:v>I2-031</x:v>
      </x:c>
      <x:c r="C28" s="47" t="str">
        <x:v>ship</x:v>
      </x:c>
      <x:c r="D28" s="48" t="str">
        <x:v>https://w3id.org/nltl/vocab#ship</x:v>
      </x:c>
      <x:c r="E28" s="47" t="str">
        <x:v>Class</x:v>
      </x:c>
      <x:c r="F28" s="47" t="str"/>
      <x:c r="G28" s="47" t="str"/>
      <x:c r="H28" s="47" t="str"/>
      <x:c r="I28" s="48" t="str">
        <x:v>authoritative required owner class; authoritative requirement target owner; baseline target infrastructure; domain dependency of hasStructuralMember</x:v>
      </x:c>
      <x:c r="J28" s="47" t="n">
        <x:v>0</x:v>
      </x:c>
    </x:row>
    <x:row r="29">
      <x:c r="A29" s="47" t="str">
        <x:v>RUN-I2-031-20260831T034724621220Z</x:v>
      </x:c>
      <x:c r="B29" s="47" t="str">
        <x:v>I2-031</x:v>
      </x:c>
      <x:c r="C29" s="47" t="str">
        <x:v>shipComponent</x:v>
      </x:c>
      <x:c r="D29" s="48" t="str">
        <x:v>https://w3id.org/nltl/vocab#shipComponent</x:v>
      </x:c>
      <x:c r="E29" s="47" t="str">
        <x:v>Class</x:v>
      </x:c>
      <x:c r="F29" s="47" t="str"/>
      <x:c r="G29" s="47" t="str"/>
      <x:c r="H29" s="47" t="str"/>
      <x:c r="I29" s="48" t="str">
        <x:v>component-path dependency inferred from the linked term module</x:v>
      </x:c>
      <x:c r="J29" s="47" t="n">
        <x:v>0</x:v>
      </x:c>
    </x:row>
    <x:row r="30">
      <x:c r="A30" s="47" t="str">
        <x:v>RUN-I2-031-20260831T034724621220Z</x:v>
      </x:c>
      <x:c r="B30" s="47" t="str">
        <x:v>I2-031</x:v>
      </x:c>
      <x:c r="C30" s="47" t="str">
        <x:v>sideStructureLocation</x:v>
      </x:c>
      <x:c r="D30" s="48" t="str">
        <x:v>https://w3id.org/nltl/vocab#sideStructureLocation</x:v>
      </x:c>
      <x:c r="E30" s="47" t="str">
        <x:v>NamedIndividual</x:v>
      </x:c>
      <x:c r="F30" s="47" t="str"/>
      <x:c r="G30" s="47" t="str">
        <x:v>https://w3id.org/nltl/vocab#structuralLocationValue</x:v>
      </x:c>
      <x:c r="H30" s="47" t="str"/>
      <x:c r="I30" s="48" t="str">
        <x:v>controlled value permitted by the range of bottomStructureLocation; controlled value permitted by the range of sideStructureLocation; controlled value permitted by the range of structuralLocation; linked by the locked 313-requirement index</x:v>
      </x:c>
      <x:c r="J30" s="47" t="n">
        <x:v>0</x:v>
      </x:c>
    </x:row>
    <x:row r="31">
      <x:c r="A31" s="47" t="str">
        <x:v>RUN-I2-031-20260831T034724621220Z</x:v>
      </x:c>
      <x:c r="B31" s="47" t="str">
        <x:v>I2-031</x:v>
      </x:c>
      <x:c r="C31" s="47" t="str">
        <x:v>structuralLocation</x:v>
      </x:c>
      <x:c r="D31" s="48" t="str">
        <x:v>https://w3id.org/nltl/vocab#structuralLocation</x:v>
      </x:c>
      <x:c r="E31" s="47" t="str">
        <x:v>ObjectProperty</x:v>
      </x:c>
      <x:c r="F31" s="47" t="str"/>
      <x:c r="G31" s="47" t="str">
        <x:v>https://w3id.org/nltl/vocab#structuralLocationValue</x:v>
      </x:c>
      <x:c r="H31" s="47" t="str"/>
      <x:c r="I31" s="48" t="str">
        <x:v>linked by the locked 313-requirement index</x:v>
      </x:c>
      <x:c r="J31" s="47" t="n">
        <x:v>0</x:v>
      </x:c>
    </x:row>
    <x:row r="32">
      <x:c r="A32" s="47" t="str">
        <x:v>RUN-I2-031-20260831T034724621220Z</x:v>
      </x:c>
      <x:c r="B32" s="47" t="str">
        <x:v>I2-031</x:v>
      </x:c>
      <x:c r="C32" s="47" t="str">
        <x:v>structuralLocationValue</x:v>
      </x:c>
      <x:c r="D32" s="48" t="str">
        <x:v>https://w3id.org/nltl/vocab#structuralLocationValue</x:v>
      </x:c>
      <x:c r="E32" s="47" t="str">
        <x:v>Class</x:v>
      </x:c>
      <x:c r="F32" s="47" t="str"/>
      <x:c r="G32" s="47" t="str">
        <x:v>https://w3id.org/nltl/vocab#benchmarkEntity</x:v>
      </x:c>
      <x:c r="H32" s="47" t="str"/>
      <x:c r="I32" s="48" t="str">
        <x:v>linked by the locked 313-requirement index; range dependency of bottomStructureLocation; range dependency of sideStructureLocation; range dependency of structuralLocation</x:v>
      </x:c>
      <x:c r="J32" s="47" t="n">
        <x:v>0</x:v>
      </x:c>
    </x:row>
    <x:row r="33">
      <x:c r="A33" s="47" t="str">
        <x:v>RUN-I2-031-20260831T034724621220Z</x:v>
      </x:c>
      <x:c r="B33" s="47" t="str">
        <x:v>I2-031</x:v>
      </x:c>
      <x:c r="C33" s="47" t="str">
        <x:v>structuralMember</x:v>
      </x:c>
      <x:c r="D33" s="48" t="str">
        <x:v>https://w3id.org/nltl/vocab#structuralMember</x:v>
      </x:c>
      <x:c r="E33" s="47" t="str">
        <x:v>Class</x:v>
      </x:c>
      <x:c r="F33" s="47" t="str"/>
      <x:c r="G33" s="47" t="str">
        <x:v>https://w3id.org/nltl/vocab#hullStructure</x:v>
      </x:c>
      <x:c r="H33" s="47" t="str"/>
      <x:c r="I33" s="48" t="str">
        <x:v>authoritative required owner class; domain dependency of hasStructuralMemberLoadCase; domain dependency of midspanPlasticCollapseLoad; domain dependency of plasticStrength; domain dependency of structuralLocation; domain dependency of transverseFrameOrientation; linked by the locked 313-requirement index; range dependency of hasStructuralMember</x:v>
      </x:c>
      <x:c r="J33" s="47" t="n">
        <x:v>0</x:v>
      </x:c>
    </x:row>
    <x:row r="34">
      <x:c r="A34" s="49" t="str">
        <x:v>RUN-I2-031-20260831T034724621220Z</x:v>
      </x:c>
      <x:c r="B34" s="49" t="str">
        <x:v>I2-031</x:v>
      </x:c>
      <x:c r="C34" s="49" t="str">
        <x:v>transverseFrameOrientation</x:v>
      </x:c>
      <x:c r="D34" s="50" t="str">
        <x:v>https://w3id.org/nltl/vocab#transverseFrameOrientation</x:v>
      </x:c>
      <x:c r="E34" s="49" t="str">
        <x:v>DatatypeProperty</x:v>
      </x:c>
      <x:c r="F34" s="49" t="str">
        <x:v>xsd:boolean</x:v>
      </x:c>
      <x:c r="G34" s="49" t="str">
        <x:v>http://www.w3.org/2001/XMLSchema#boolean</x:v>
      </x:c>
      <x:c r="H34" s="49" t="str"/>
      <x:c r="I34" s="50" t="str">
        <x:v>linked by the locked 313-requirement index</x:v>
      </x:c>
      <x:c r="J34" s="49" t="n">
        <x:v>0</x:v>
      </x:c>
    </x:row>
  </x:sheetData>
  <x:pageMargins left="0.7" right="0.7" top="0.75" bottom="0.75" header="0.3" footer="0.3"/>
  <x:tableParts count="1">
    <x:tablePart xmlns:r="http://schemas.openxmlformats.org/officeDocument/2006/relationships" r:id="R6e8cc6318ee6435e"/>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RUN-I2-031-20260831T034724621220Z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RUN-I2-031-20260831T034724621220Z</x:v>
      </x:c>
      <x:c r="B5" s="45" t="str">
        <x:v>I2-031</x:v>
      </x:c>
      <x:c r="C5" s="45" t="str">
        <x:v>FS-BOOL-01</x:v>
      </x:c>
      <x:c r="D5" s="45" t="str">
        <x:v>boolean_state</x:v>
      </x:c>
      <x:c r="E5" s="97" t="n">
        <x:v>0.042857</x:v>
      </x:c>
      <x:c r="F5" s="45" t="str">
        <x:v>boolean | required | value</x:v>
      </x:c>
      <x:c r="G5" s="45" t="str">
        <x:v>synthetic-few-shot-not-benchmark-ground-truth</x:v>
      </x:c>
    </x:row>
    <x:row r="6">
      <x:c r="A6" s="49" t="str">
        <x:v>RUN-I2-031-20260831T034724621220Z</x:v>
      </x:c>
      <x:c r="B6" s="49" t="str">
        <x:v>I2-031</x:v>
      </x:c>
      <x:c r="C6" s="49" t="str">
        <x:v>FS-BOOL-02</x:v>
      </x:c>
      <x:c r="D6" s="49" t="str">
        <x:v>boolean_state</x:v>
      </x:c>
      <x:c r="E6" s="98" t="n">
        <x:v>0.042857</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b7764d792a2743c7"/>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52"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RUN-I2-031-20260831T034724621220Z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RUN-I2-031-20260831T034724621220Z</x:v>
      </x:c>
      <x:c r="B5" s="45" t="str">
        <x:v>I2-031</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https://w3id.org/nltl/vocab#bottomStructureLocation | https://w3id.org/nltl/vocab#combinedShearAndBendingDemand | https://w3id.org/nltl/vocab#frameProfileType | https://w3id.org/nltl/vocab#frameProfileTypeValue | https://w3id.org/nltl/vocab#hasStructuralMember | https://w3id.org/nltl/vocab#hasStructuralMemberLoadCase | https://w3id.org/nltl/vocab#loadPatchHeightParallelToFrame | https://w3id.org/nltl/vocab#loadPatchOrientation | https://w3id.org/nltl/vocab#midspanPlasticCollapseLoad | https://w3id.org/nltl/vocab#patchLoad | https://w3id.org/nltl/vocab#plasticStrength | https://w3id.org/nltl/vocab#ship | https://w3id.org/nltl/vocab#sideStructureLocation | https://w3id.org/nltl/vocab#structuralLocation | https://w3id.org/nltl/vocab#transverseFrameOrientation</x:v>
      </x:c>
      <x:c r="O5" s="46" t="str"/>
      <x:c r="P5" s="46" t="str"/>
      <x:c r="Q5" s="46" t="str"/>
    </x:row>
    <x:row r="6">
      <x:c r="A6" s="47" t="str">
        <x:v>RUN-I2-031-20260831T034724621220Z</x:v>
      </x:c>
      <x:c r="B6" s="47" t="str">
        <x:v>I2-031</x:v>
      </x:c>
      <x:c r="C6" s="59" t="n">
        <x:v>2</x:v>
      </x:c>
      <x:c r="D6" s="85" t="b">
        <x:v>0</x:v>
      </x:c>
      <x:c r="E6" s="85" t="b">
        <x:v>1</x:v>
      </x:c>
      <x:c r="F6" s="85" t="b">
        <x:v>1</x:v>
      </x:c>
      <x:c r="G6" s="85" t="b">
        <x:v>1</x:v>
      </x:c>
      <x:c r="H6" s="85" t="b">
        <x:v>1</x:v>
      </x:c>
      <x:c r="I6" s="85" t="b">
        <x:v>1</x:v>
      </x:c>
      <x:c r="J6" s="85" t="b">
        <x:v>1</x:v>
      </x:c>
      <x:c r="K6" s="103" t="b">
        <x:v>1</x:v>
      </x:c>
      <x:c r="L6" s="48" t="str">
        <x:v>COMPLETE dependency relationship(s) absent from candidate: frameProfileType</x:v>
      </x:c>
      <x:c r="M6" s="48" t="str"/>
      <x:c r="N6" s="48" t="str">
        <x:v>https://w3id.org/nltl/vocab#bottomStructureLocation | https://w3id.org/nltl/vocab#combinedShearAndBendingDemand | https://w3id.org/nltl/vocab#hasStructuralMember | https://w3id.org/nltl/vocab#hasStructuralMemberLoadCase | https://w3id.org/nltl/vocab#loadPatchHeightParallelToFrame | https://w3id.org/nltl/vocab#loadPatchOrientation | https://w3id.org/nltl/vocab#midspanPlasticCollapseLoad | https://w3id.org/nltl/vocab#patchLoad | https://w3id.org/nltl/vocab#plasticCollapseMechanism | https://w3id.org/nltl/vocab#plasticStrength | https://w3id.org/nltl/vocab#ship | https://w3id.org/nltl/vocab#sideStructureLocation | https://w3id.org/nltl/vocab#structuralLocation | https://w3id.org/nltl/vocab#transverseFrameOrientation</x:v>
      </x:c>
      <x:c r="O6" s="48" t="str"/>
      <x:c r="P6" s="48" t="str"/>
      <x:c r="Q6" s="48" t="str"/>
    </x:row>
    <x:row r="7">
      <x:c r="A7" s="47" t="str">
        <x:v>RUN-I2-031-20260831T034724621220Z</x:v>
      </x:c>
      <x:c r="B7" s="47" t="str">
        <x:v>I2-031</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https://w3id.org/nltl/vocab#bottomStructureLocation | https://w3id.org/nltl/vocab#combinedShearAndBendingDemand | https://w3id.org/nltl/vocab#frameProfileType | https://w3id.org/nltl/vocab#frameProfileTypeValue | https://w3id.org/nltl/vocab#hasStructuralMember | https://w3id.org/nltl/vocab#hasStructuralMemberLoadCase | https://w3id.org/nltl/vocab#loadPatchHeightParallelToFrame | https://w3id.org/nltl/vocab#loadPatchOrientation | https://w3id.org/nltl/vocab#midspanPlasticCollapseLoad | https://w3id.org/nltl/vocab#patchLoad | https://w3id.org/nltl/vocab#plasticStrength | https://w3id.org/nltl/vocab#ship | https://w3id.org/nltl/vocab#sideStructureLocation | https://w3id.org/nltl/vocab#structuralLocation | https://w3id.org/nltl/vocab#structuralLocationValue | https://w3id.org/nltl/vocab#transverseFrameOrientation</x:v>
      </x:c>
      <x:c r="O7" s="48" t="str"/>
      <x:c r="P7" s="48" t="str"/>
      <x:c r="Q7" s="48" t="str"/>
    </x:row>
    <x:row r="8">
      <x:c r="A8" s="49" t="str">
        <x:v>RUN-I2-031-20260831T034724621220Z</x:v>
      </x:c>
      <x:c r="B8" s="49" t="str">
        <x:v>I2-031</x:v>
      </x:c>
      <x:c r="C8" s="60" t="n">
        <x:v>4</x:v>
      </x:c>
      <x:c r="D8" s="87" t="b">
        <x:v>0</x:v>
      </x:c>
      <x:c r="E8" s="87" t="b">
        <x:v>1</x:v>
      </x:c>
      <x:c r="F8" s="87" t="b">
        <x:v>1</x:v>
      </x:c>
      <x:c r="G8" s="87" t="b">
        <x:v>1</x:v>
      </x:c>
      <x:c r="H8" s="87" t="b">
        <x:v>1</x:v>
      </x:c>
      <x:c r="I8" s="87" t="b">
        <x:v>0</x:v>
      </x:c>
      <x:c r="J8" s="87" t="b">
        <x:v>1</x:v>
      </x:c>
      <x:c r="K8" s="104" t="b">
        <x:v>1</x:v>
      </x:c>
      <x:c r="L8" s="50" t="str">
        <x:v>Unknown canonical benchmark IRI(s): https://w3id.org/nltl/vocab#loadHeightParallelToFrame</x:v>
      </x:c>
      <x:c r="M8" s="50" t="str"/>
      <x:c r="N8" s="50" t="str">
        <x:v>https://w3id.org/nltl/vocab#bottomStructureLocation | https://w3id.org/nltl/vocab#combinedShearAndBendingDemand | https://w3id.org/nltl/vocab#flatBarSection | https://w3id.org/nltl/vocab#frameProfileType | https://w3id.org/nltl/vocab#frameProfileTypeValue | https://w3id.org/nltl/vocab#hasStructuralMember | https://w3id.org/nltl/vocab#hasStructuralMemberLoadCase | https://w3id.org/nltl/vocab#loadHeightParallelToFrame | https://w3id.org/nltl/vocab#loadPatchOrientation | https://w3id.org/nltl/vocab#loadPatchOrientationValue | https://w3id.org/nltl/vocab#midspanPlasticCollapseLoad | https://w3id.org/nltl/vocab#patchLoad | https://w3id.org/nltl/vocab#plasticStrength | https://w3id.org/nltl/vocab#profileSection | https://w3id.org/nltl/vocab#ship | https://w3id.org/nltl/vocab#sideStructureLocation | https://w3id.org/nltl/vocab#structuralLocation | https://w3id.org/nltl/vocab#transverseFrameOrientation</x:v>
      </x:c>
      <x:c r="O8" s="50" t="str">
        <x:v>https://w3id.org/nltl/vocab#loadHeightParallelToFrame</x:v>
      </x:c>
      <x:c r="P8" s="50" t="str"/>
      <x:c r="Q8" s="50" t="str"/>
    </x:row>
  </x:sheetData>
  <x:pageMargins left="0.7" right="0.7" top="0.75" bottom="0.75" header="0.3" footer="0.3"/>
  <x:tableParts count="1">
    <x:tablePart xmlns:r="http://schemas.openxmlformats.org/officeDocument/2006/relationships" r:id="R8443aa43d9ab4289"/>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RUN-I2-031-20260831T034724621220Z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RUN-I2-031-20260831T034724621220Z</x:v>
      </x:c>
      <x:c r="B5" s="45" t="str">
        <x:v>I2-031</x:v>
      </x:c>
      <x:c r="C5" s="58" t="n">
        <x:v>4</x:v>
      </x:c>
      <x:c r="D5" s="45" t="str">
        <x:v>matcher_search</x:v>
      </x:c>
      <x:c r="E5" s="46" t="str">
        <x:v>Deterministic validation prevents acceptance. Fix: Unknown canonical benchmark IRI(s): https://w3id.org/nltl/vocab#loadHeightParallelToFrame
Semantic validator feedback: Replace the invented unknown IRI nltl:loadHeightParallelToFrame with the canonical controlled value nltl:loadPatchHeightParallelToFrame in the bottom-load-case orientation constraint; the deterministic vocabulary report is invalid until this is corrected. Preserve the prior valid applicability, owner/path, quantity-unit, frameProfileType, and comparison requirements, and ensure the demand-versus-strength query correlates each load case with its applicable structural-member owner rather than an arbitrary member linked to that case.</x:v>
      </x:c>
      <x:c r="F5" s="58" t="n">
        <x:v>6</x:v>
      </x:c>
      <x:c r="G5" s="45" t="str"/>
      <x:c r="H5" s="45" t="str"/>
      <x:c r="I5" s="46" t="str"/>
      <x:c r="J5" s="46" t="str"/>
    </x:row>
    <x:row r="6">
      <x:c r="A6" s="49" t="str">
        <x:v>RUN-I2-031-20260831T034724621220Z</x:v>
      </x:c>
      <x:c r="B6" s="49" t="str">
        <x:v>I2-031</x:v>
      </x:c>
      <x:c r="C6" s="60" t="n">
        <x:v>4</x:v>
      </x:c>
      <x:c r="D6" s="49" t="str">
        <x:v>matcher_decision</x:v>
      </x:c>
      <x:c r="E6" s="50" t="str"/>
      <x:c r="F6" s="60" t="str"/>
      <x:c r="G6" s="87" t="b">
        <x:v>1</x:v>
      </x:c>
      <x:c r="H6" s="49" t="str">
        <x:v>loadPatchHeightParallelToFrame</x:v>
      </x:c>
      <x:c r="I6" s="50" t="str">
        <x:v>https://w3id.org/nltl/vocab#loadPatchHeightParallelToFrame</x:v>
      </x:c>
      <x:c r="J6" s="50" t="str">
        <x:v>Use this exact term because it is the canonical controlled value for the bottom-load-case constraint requiring the patch-load dimension to be parallel with the frame direction.</x:v>
      </x:c>
    </x:row>
  </x:sheetData>
  <x:pageMargins left="0.7" right="0.7" top="0.75" bottom="0.75" header="0.3" footer="0.3"/>
  <x:tableParts count="1">
    <x:tablePart xmlns:r="http://schemas.openxmlformats.org/officeDocument/2006/relationships" r:id="R5e9b37297da74781"/>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RUN-I2-031-20260831T034724621220Z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RUN-I2-031-20260831T034724621220Z</x:v>
      </x:c>
      <x:c r="B5" s="45" t="str">
        <x:v>I2-031</x:v>
      </x:c>
      <x:c r="C5" s="58"/>
      <x:c r="D5" s="45" t="str">
        <x:v>initial_context_pack</x:v>
      </x:c>
      <x:c r="E5" s="46" t="str">
        <x:v>artifacts/context_pack_initial.json</x:v>
      </x:c>
      <x:c r="F5" s="45" t="str">
        <x:v>04240c4da88c14ef2d663a050f2304526205562f600f0b74991de1adce564a0d</x:v>
      </x:c>
      <x:c r="G5" s="58" t="n">
        <x:v>39549</x:v>
      </x:c>
    </x:row>
    <x:row r="6">
      <x:c r="A6" s="47" t="str">
        <x:v>RUN-I2-031-20260831T034724621220Z</x:v>
      </x:c>
      <x:c r="B6" s="47" t="str">
        <x:v>I2-031</x:v>
      </x:c>
      <x:c r="C6" s="59"/>
      <x:c r="D6" s="47" t="str">
        <x:v>few_shot_selection</x:v>
      </x:c>
      <x:c r="E6" s="48" t="str">
        <x:v>artifacts/few_shots_selected.json</x:v>
      </x:c>
      <x:c r="F6" s="47" t="str">
        <x:v>34804d0d7dd84dde9a5596972c425f787c9a54884651c8e2c85d3c9f96a1f944</x:v>
      </x:c>
      <x:c r="G6" s="59" t="n">
        <x:v>3110</x:v>
      </x:c>
    </x:row>
    <x:row r="7">
      <x:c r="A7" s="47" t="str">
        <x:v>RUN-I2-031-20260831T034724621220Z</x:v>
      </x:c>
      <x:c r="B7" s="47" t="str">
        <x:v>I2-031</x:v>
      </x:c>
      <x:c r="C7" s="59" t="n">
        <x:v>1</x:v>
      </x:c>
      <x:c r="D7" s="47" t="str">
        <x:v>generator_prompt</x:v>
      </x:c>
      <x:c r="E7" s="48" t="str">
        <x:v>artifacts/attempt_01/generator_prompt.txt</x:v>
      </x:c>
      <x:c r="F7" s="47" t="str">
        <x:v>0efa660bf087d578b87ff8bcd7eed605376f1c31b4c02d8d548d13c7122ac345</x:v>
      </x:c>
      <x:c r="G7" s="59" t="n">
        <x:v>54173</x:v>
      </x:c>
    </x:row>
    <x:row r="8">
      <x:c r="A8" s="47" t="str">
        <x:v>RUN-I2-031-20260831T034724621220Z</x:v>
      </x:c>
      <x:c r="B8" s="47" t="str">
        <x:v>I2-031</x:v>
      </x:c>
      <x:c r="C8" s="59" t="n">
        <x:v>1</x:v>
      </x:c>
      <x:c r="D8" s="47" t="str">
        <x:v>generator_raw_response</x:v>
      </x:c>
      <x:c r="E8" s="48" t="str">
        <x:v>artifacts/attempt_01/generator_raw.txt</x:v>
      </x:c>
      <x:c r="F8" s="47" t="str">
        <x:v>d9983870adbdd681a420f9ecd6a1f7beb4852083c94c4251368e9dd2ca3aadea</x:v>
      </x:c>
      <x:c r="G8" s="59" t="n">
        <x:v>5473</x:v>
      </x:c>
    </x:row>
    <x:row r="9">
      <x:c r="A9" s="47" t="str">
        <x:v>RUN-I2-031-20260831T034724621220Z</x:v>
      </x:c>
      <x:c r="B9" s="47" t="str">
        <x:v>I2-031</x:v>
      </x:c>
      <x:c r="C9" s="59" t="n">
        <x:v>1</x:v>
      </x:c>
      <x:c r="D9" s="47" t="str">
        <x:v>syntax_repair_prompt</x:v>
      </x:c>
      <x:c r="E9" s="48" t="str">
        <x:v>artifacts/attempt_01/syntax_repair_prompt_01.txt</x:v>
      </x:c>
      <x:c r="F9" s="47" t="str">
        <x:v>ac0b51c8baa13df62eb6f7d0892af419eab28a2c31ebfa40231fc0b29f1cd31d</x:v>
      </x:c>
      <x:c r="G9" s="59" t="n">
        <x:v>6697</x:v>
      </x:c>
    </x:row>
    <x:row r="10">
      <x:c r="A10" s="47" t="str">
        <x:v>RUN-I2-031-20260831T034724621220Z</x:v>
      </x:c>
      <x:c r="B10" s="47" t="str">
        <x:v>I2-031</x:v>
      </x:c>
      <x:c r="C10" s="59" t="n">
        <x:v>1</x:v>
      </x:c>
      <x:c r="D10" s="47" t="str">
        <x:v>syntax_repair_raw_response</x:v>
      </x:c>
      <x:c r="E10" s="48" t="str">
        <x:v>artifacts/attempt_01/syntax_repair_raw_01.txt</x:v>
      </x:c>
      <x:c r="F10" s="47" t="str">
        <x:v>0ffec4edcfb0d325925f8512a9ae0d9aa186190e90c533462f79b631350be9cb</x:v>
      </x:c>
      <x:c r="G10" s="59" t="n">
        <x:v>5471</x:v>
      </x:c>
    </x:row>
    <x:row r="11">
      <x:c r="A11" s="47" t="str">
        <x:v>RUN-I2-031-20260831T034724621220Z</x:v>
      </x:c>
      <x:c r="B11" s="47" t="str">
        <x:v>I2-031</x:v>
      </x:c>
      <x:c r="C11" s="59" t="n">
        <x:v>1</x:v>
      </x:c>
      <x:c r="D11" s="47" t="str">
        <x:v>candidate_shape</x:v>
      </x:c>
      <x:c r="E11" s="48" t="str">
        <x:v>artifacts/attempt_01/candidate_shape.ttl</x:v>
      </x:c>
      <x:c r="F11" s="47" t="str">
        <x:v>841e5f8bfc8c6404274f4fe5ae7b051614fc882e9d59d8c9dd12a496c139a9cc</x:v>
      </x:c>
      <x:c r="G11" s="59" t="n">
        <x:v>5446</x:v>
      </x:c>
    </x:row>
    <x:row r="12">
      <x:c r="A12" s="47" t="str">
        <x:v>RUN-I2-031-20260831T034724621220Z</x:v>
      </x:c>
      <x:c r="B12" s="47" t="str">
        <x:v>I2-031</x:v>
      </x:c>
      <x:c r="C12" s="59" t="n">
        <x:v>1</x:v>
      </x:c>
      <x:c r="D12" s="47" t="str">
        <x:v>deterministic_validation</x:v>
      </x:c>
      <x:c r="E12" s="48" t="str">
        <x:v>artifacts/attempt_01/deterministic_validation.json</x:v>
      </x:c>
      <x:c r="F12" s="47" t="str">
        <x:v>ce0e952105f03d587fd8f9221d49d952af67bc878da17f136a68f9a5afbef287</x:v>
      </x:c>
      <x:c r="G12" s="59" t="n">
        <x:v>1233</x:v>
      </x:c>
    </x:row>
    <x:row r="13">
      <x:c r="A13" s="47" t="str">
        <x:v>RUN-I2-031-20260831T034724621220Z</x:v>
      </x:c>
      <x:c r="B13" s="47" t="str">
        <x:v>I2-031</x:v>
      </x:c>
      <x:c r="C13" s="59" t="n">
        <x:v>1</x:v>
      </x:c>
      <x:c r="D13" s="47" t="str">
        <x:v>validator_prompt</x:v>
      </x:c>
      <x:c r="E13" s="48" t="str">
        <x:v>artifacts/attempt_01/validator_prompt_01.txt</x:v>
      </x:c>
      <x:c r="F13" s="47" t="str">
        <x:v>e1bbd8ad4a2a35ac1f59f4f4e5f95e0f07f6e74ac0d155f460afa824789eb113</x:v>
      </x:c>
      <x:c r="G13" s="59" t="n">
        <x:v>58113</x:v>
      </x:c>
    </x:row>
    <x:row r="14">
      <x:c r="A14" s="47" t="str">
        <x:v>RUN-I2-031-20260831T034724621220Z</x:v>
      </x:c>
      <x:c r="B14" s="47" t="str">
        <x:v>I2-031</x:v>
      </x:c>
      <x:c r="C14" s="59" t="n">
        <x:v>1</x:v>
      </x:c>
      <x:c r="D14" s="47" t="str">
        <x:v>validator_raw_response</x:v>
      </x:c>
      <x:c r="E14" s="48" t="str">
        <x:v>artifacts/attempt_01/validator_raw_01.txt</x:v>
      </x:c>
      <x:c r="F14" s="47" t="str">
        <x:v>8f2bfc9139d4dcd0a66ea5e20b9fb4313a62fee3940b8b5a64df716786b98210</x:v>
      </x:c>
      <x:c r="G14" s="59" t="n">
        <x:v>1190</x:v>
      </x:c>
    </x:row>
    <x:row r="15">
      <x:c r="A15" s="47" t="str">
        <x:v>RUN-I2-031-20260831T034724621220Z</x:v>
      </x:c>
      <x:c r="B15" s="47" t="str">
        <x:v>I2-031</x:v>
      </x:c>
      <x:c r="C15" s="59" t="n">
        <x:v>2</x:v>
      </x:c>
      <x:c r="D15" s="47" t="str">
        <x:v>generator_prompt</x:v>
      </x:c>
      <x:c r="E15" s="48" t="str">
        <x:v>artifacts/attempt_02/generator_prompt.txt</x:v>
      </x:c>
      <x:c r="F15" s="47" t="str">
        <x:v>6b67766e126a61adbdd9ec737f194546407dab1ba9883a88ffabc30037dec773</x:v>
      </x:c>
      <x:c r="G15" s="59" t="n">
        <x:v>55310</x:v>
      </x:c>
    </x:row>
    <x:row r="16">
      <x:c r="A16" s="47" t="str">
        <x:v>RUN-I2-031-20260831T034724621220Z</x:v>
      </x:c>
      <x:c r="B16" s="47" t="str">
        <x:v>I2-031</x:v>
      </x:c>
      <x:c r="C16" s="59" t="n">
        <x:v>2</x:v>
      </x:c>
      <x:c r="D16" s="47" t="str">
        <x:v>generator_raw_response</x:v>
      </x:c>
      <x:c r="E16" s="48" t="str">
        <x:v>artifacts/attempt_02/generator_raw.txt</x:v>
      </x:c>
      <x:c r="F16" s="47" t="str">
        <x:v>77cfeeb43a5a6d76951b53e37b5c8c1aeddfc81c2b9ba48d441bf4c74c386758</x:v>
      </x:c>
      <x:c r="G16" s="59" t="n">
        <x:v>5621</x:v>
      </x:c>
    </x:row>
    <x:row r="17">
      <x:c r="A17" s="47" t="str">
        <x:v>RUN-I2-031-20260831T034724621220Z</x:v>
      </x:c>
      <x:c r="B17" s="47" t="str">
        <x:v>I2-031</x:v>
      </x:c>
      <x:c r="C17" s="59" t="n">
        <x:v>2</x:v>
      </x:c>
      <x:c r="D17" s="47" t="str">
        <x:v>candidate_shape</x:v>
      </x:c>
      <x:c r="E17" s="48" t="str">
        <x:v>artifacts/attempt_02/candidate_shape.ttl</x:v>
      </x:c>
      <x:c r="F17" s="47" t="str">
        <x:v>aedb43e8556e2a0e1c9e32c72f6d8e498103826857ae810c6b2dd66c747cc0c1</x:v>
      </x:c>
      <x:c r="G17" s="59" t="n">
        <x:v>5596</x:v>
      </x:c>
    </x:row>
    <x:row r="18">
      <x:c r="A18" s="47" t="str">
        <x:v>RUN-I2-031-20260831T034724621220Z</x:v>
      </x:c>
      <x:c r="B18" s="47" t="str">
        <x:v>I2-031</x:v>
      </x:c>
      <x:c r="C18" s="59" t="n">
        <x:v>2</x:v>
      </x:c>
      <x:c r="D18" s="47" t="str">
        <x:v>deterministic_validation</x:v>
      </x:c>
      <x:c r="E18" s="48" t="str">
        <x:v>artifacts/attempt_02/deterministic_validation.json</x:v>
      </x:c>
      <x:c r="F18" s="47" t="str">
        <x:v>3bf56c7eb03448481a94e682c2370be393fedd4e51cae486d36e2f4386467610</x:v>
      </x:c>
      <x:c r="G18" s="59" t="n">
        <x:v>1270</x:v>
      </x:c>
    </x:row>
    <x:row r="19">
      <x:c r="A19" s="47" t="str">
        <x:v>RUN-I2-031-20260831T034724621220Z</x:v>
      </x:c>
      <x:c r="B19" s="47" t="str">
        <x:v>I2-031</x:v>
      </x:c>
      <x:c r="C19" s="59" t="n">
        <x:v>2</x:v>
      </x:c>
      <x:c r="D19" s="47" t="str">
        <x:v>validator_prompt</x:v>
      </x:c>
      <x:c r="E19" s="48" t="str">
        <x:v>artifacts/attempt_02/validator_prompt_01.txt</x:v>
      </x:c>
      <x:c r="F19" s="47" t="str">
        <x:v>77c6e9a984d66e5654bff0374a50b49426ef7954071c426f5c5c28b215e1a4ce</x:v>
      </x:c>
      <x:c r="G19" s="59" t="n">
        <x:v>59200</x:v>
      </x:c>
    </x:row>
    <x:row r="20">
      <x:c r="A20" s="47" t="str">
        <x:v>RUN-I2-031-20260831T034724621220Z</x:v>
      </x:c>
      <x:c r="B20" s="47" t="str">
        <x:v>I2-031</x:v>
      </x:c>
      <x:c r="C20" s="59" t="n">
        <x:v>2</x:v>
      </x:c>
      <x:c r="D20" s="47" t="str">
        <x:v>validator_raw_response</x:v>
      </x:c>
      <x:c r="E20" s="48" t="str">
        <x:v>artifacts/attempt_02/validator_raw_01.txt</x:v>
      </x:c>
      <x:c r="F20" s="47" t="str">
        <x:v>2b74bd23325bffc80b4fa2fafc4b2122fbad4d79f58628b5cc664fed777ab5fe</x:v>
      </x:c>
      <x:c r="G20" s="59" t="n">
        <x:v>604</x:v>
      </x:c>
    </x:row>
    <x:row r="21">
      <x:c r="A21" s="47" t="str">
        <x:v>RUN-I2-031-20260831T034724621220Z</x:v>
      </x:c>
      <x:c r="B21" s="47" t="str">
        <x:v>I2-031</x:v>
      </x:c>
      <x:c r="C21" s="59" t="n">
        <x:v>3</x:v>
      </x:c>
      <x:c r="D21" s="47" t="str">
        <x:v>generator_prompt</x:v>
      </x:c>
      <x:c r="E21" s="48" t="str">
        <x:v>artifacts/attempt_03/generator_prompt.txt</x:v>
      </x:c>
      <x:c r="F21" s="47" t="str">
        <x:v>ab8db5cb61a0ef3227b7f36914bc16c1a4813cad015772af1334f922edfb7000</x:v>
      </x:c>
      <x:c r="G21" s="59" t="n">
        <x:v>56014</x:v>
      </x:c>
    </x:row>
    <x:row r="22">
      <x:c r="A22" s="47" t="str">
        <x:v>RUN-I2-031-20260831T034724621220Z</x:v>
      </x:c>
      <x:c r="B22" s="47" t="str">
        <x:v>I2-031</x:v>
      </x:c>
      <x:c r="C22" s="59" t="n">
        <x:v>3</x:v>
      </x:c>
      <x:c r="D22" s="47" t="str">
        <x:v>generator_raw_response</x:v>
      </x:c>
      <x:c r="E22" s="48" t="str">
        <x:v>artifacts/attempt_03/generator_raw.txt</x:v>
      </x:c>
      <x:c r="F22" s="47" t="str">
        <x:v>7bbe82cfe8e84ab546fd69977330b9f5049b2c2f374cd11c08fb527c7c71148b</x:v>
      </x:c>
      <x:c r="G22" s="59" t="n">
        <x:v>7769</x:v>
      </x:c>
    </x:row>
    <x:row r="23">
      <x:c r="A23" s="47" t="str">
        <x:v>RUN-I2-031-20260831T034724621220Z</x:v>
      </x:c>
      <x:c r="B23" s="47" t="str">
        <x:v>I2-031</x:v>
      </x:c>
      <x:c r="C23" s="59" t="n">
        <x:v>3</x:v>
      </x:c>
      <x:c r="D23" s="47" t="str">
        <x:v>candidate_shape</x:v>
      </x:c>
      <x:c r="E23" s="48" t="str">
        <x:v>artifacts/attempt_03/candidate_shape.ttl</x:v>
      </x:c>
      <x:c r="F23" s="47" t="str">
        <x:v>b168c530888f7243510a1cb2b62fc141c69dff00a4820b8d708095d21a7685bd</x:v>
      </x:c>
      <x:c r="G23" s="59" t="n">
        <x:v>7744</x:v>
      </x:c>
    </x:row>
    <x:row r="24">
      <x:c r="A24" s="47" t="str">
        <x:v>RUN-I2-031-20260831T034724621220Z</x:v>
      </x:c>
      <x:c r="B24" s="47" t="str">
        <x:v>I2-031</x:v>
      </x:c>
      <x:c r="C24" s="59" t="n">
        <x:v>3</x:v>
      </x:c>
      <x:c r="D24" s="47" t="str">
        <x:v>deterministic_validation</x:v>
      </x:c>
      <x:c r="E24" s="48" t="str">
        <x:v>artifacts/attempt_03/deterministic_validation.json</x:v>
      </x:c>
      <x:c r="F24" s="47" t="str">
        <x:v>56c578b67b8347e3aab62c455b6371bd60205ea7ea80ecaa926fe0e8dcd842a6</x:v>
      </x:c>
      <x:c r="G24" s="59" t="n">
        <x:v>1292</x:v>
      </x:c>
    </x:row>
    <x:row r="25">
      <x:c r="A25" s="47" t="str">
        <x:v>RUN-I2-031-20260831T034724621220Z</x:v>
      </x:c>
      <x:c r="B25" s="47" t="str">
        <x:v>I2-031</x:v>
      </x:c>
      <x:c r="C25" s="59" t="n">
        <x:v>3</x:v>
      </x:c>
      <x:c r="D25" s="47" t="str">
        <x:v>validator_prompt</x:v>
      </x:c>
      <x:c r="E25" s="48" t="str">
        <x:v>artifacts/attempt_03/validator_prompt_01.txt</x:v>
      </x:c>
      <x:c r="F25" s="47" t="str">
        <x:v>474a23b0667069b6ffd674945caeae6831380d94f018f448a9faad4367df5e6b</x:v>
      </x:c>
      <x:c r="G25" s="59" t="n">
        <x:v>62661</x:v>
      </x:c>
    </x:row>
    <x:row r="26">
      <x:c r="A26" s="47" t="str">
        <x:v>RUN-I2-031-20260831T034724621220Z</x:v>
      </x:c>
      <x:c r="B26" s="47" t="str">
        <x:v>I2-031</x:v>
      </x:c>
      <x:c r="C26" s="59" t="n">
        <x:v>3</x:v>
      </x:c>
      <x:c r="D26" s="47" t="str">
        <x:v>validator_raw_response</x:v>
      </x:c>
      <x:c r="E26" s="48" t="str">
        <x:v>artifacts/attempt_03/validator_raw_01.txt</x:v>
      </x:c>
      <x:c r="F26" s="47" t="str">
        <x:v>525ec38481ad5d8daf4a7c1699d25a6372f2d46952127a86c60f7b9d1ab4b67a</x:v>
      </x:c>
      <x:c r="G26" s="59" t="n">
        <x:v>1316</x:v>
      </x:c>
    </x:row>
    <x:row r="27">
      <x:c r="A27" s="47" t="str">
        <x:v>RUN-I2-031-20260831T034724621220Z</x:v>
      </x:c>
      <x:c r="B27" s="47" t="str">
        <x:v>I2-031</x:v>
      </x:c>
      <x:c r="C27" s="59" t="n">
        <x:v>4</x:v>
      </x:c>
      <x:c r="D27" s="47" t="str">
        <x:v>generator_prompt</x:v>
      </x:c>
      <x:c r="E27" s="48" t="str">
        <x:v>artifacts/attempt_04/generator_prompt.txt</x:v>
      </x:c>
      <x:c r="F27" s="47" t="str">
        <x:v>796fbd801978d83b9a31eb38b3fb509ab6674b4f842e144f369cbc73fcc6cba8</x:v>
      </x:c>
      <x:c r="G27" s="59" t="n">
        <x:v>57279</x:v>
      </x:c>
    </x:row>
    <x:row r="28">
      <x:c r="A28" s="47" t="str">
        <x:v>RUN-I2-031-20260831T034724621220Z</x:v>
      </x:c>
      <x:c r="B28" s="47" t="str">
        <x:v>I2-031</x:v>
      </x:c>
      <x:c r="C28" s="59" t="n">
        <x:v>4</x:v>
      </x:c>
      <x:c r="D28" s="47" t="str">
        <x:v>generator_raw_response</x:v>
      </x:c>
      <x:c r="E28" s="48" t="str">
        <x:v>artifacts/attempt_04/generator_raw.txt</x:v>
      </x:c>
      <x:c r="F28" s="47" t="str">
        <x:v>da9857496bf3ab96a9a5800cc59e84cee10e38841e912d0923cd41bdf940c797</x:v>
      </x:c>
      <x:c r="G28" s="59" t="n">
        <x:v>7868</x:v>
      </x:c>
    </x:row>
    <x:row r="29">
      <x:c r="A29" s="47" t="str">
        <x:v>RUN-I2-031-20260831T034724621220Z</x:v>
      </x:c>
      <x:c r="B29" s="47" t="str">
        <x:v>I2-031</x:v>
      </x:c>
      <x:c r="C29" s="59" t="n">
        <x:v>4</x:v>
      </x:c>
      <x:c r="D29" s="47" t="str">
        <x:v>syntax_repair_prompt</x:v>
      </x:c>
      <x:c r="E29" s="48" t="str">
        <x:v>artifacts/attempt_04/syntax_repair_prompt_01.txt</x:v>
      </x:c>
      <x:c r="F29" s="47" t="str">
        <x:v>189d443e4fc47fca1a50c05fdf1a1ccee627ac8d209e6bcd7f832a0d0f7adb88</x:v>
      </x:c>
      <x:c r="G29" s="59" t="n">
        <x:v>11528</x:v>
      </x:c>
    </x:row>
    <x:row r="30">
      <x:c r="A30" s="47" t="str">
        <x:v>RUN-I2-031-20260831T034724621220Z</x:v>
      </x:c>
      <x:c r="B30" s="47" t="str">
        <x:v>I2-031</x:v>
      </x:c>
      <x:c r="C30" s="59" t="n">
        <x:v>4</x:v>
      </x:c>
      <x:c r="D30" s="47" t="str">
        <x:v>syntax_repair_raw_response</x:v>
      </x:c>
      <x:c r="E30" s="48" t="str">
        <x:v>artifacts/attempt_04/syntax_repair_raw_01.txt</x:v>
      </x:c>
      <x:c r="F30" s="47" t="str">
        <x:v>f61d2a91d30d3af5450dee3e2afe3a32fc522d0031e5000fbc64de35bda97da6</x:v>
      </x:c>
      <x:c r="G30" s="59" t="n">
        <x:v>7871</x:v>
      </x:c>
    </x:row>
    <x:row r="31">
      <x:c r="A31" s="47" t="str">
        <x:v>RUN-I2-031-20260831T034724621220Z</x:v>
      </x:c>
      <x:c r="B31" s="47" t="str">
        <x:v>I2-031</x:v>
      </x:c>
      <x:c r="C31" s="59" t="n">
        <x:v>4</x:v>
      </x:c>
      <x:c r="D31" s="47" t="str">
        <x:v>candidate_shape</x:v>
      </x:c>
      <x:c r="E31" s="48" t="str">
        <x:v>artifacts/attempt_04/candidate_shape.ttl</x:v>
      </x:c>
      <x:c r="F31" s="47" t="str">
        <x:v>11946414fe80348caecf0712b13a5cb6f77d262bd34f7737c70afd26835c956b</x:v>
      </x:c>
      <x:c r="G31" s="59" t="n">
        <x:v>7846</x:v>
      </x:c>
    </x:row>
    <x:row r="32">
      <x:c r="A32" s="47" t="str">
        <x:v>RUN-I2-031-20260831T034724621220Z</x:v>
      </x:c>
      <x:c r="B32" s="47" t="str">
        <x:v>I2-031</x:v>
      </x:c>
      <x:c r="C32" s="59" t="n">
        <x:v>4</x:v>
      </x:c>
      <x:c r="D32" s="47" t="str">
        <x:v>deterministic_validation</x:v>
      </x:c>
      <x:c r="E32" s="48" t="str">
        <x:v>artifacts/attempt_04/deterministic_validation.json</x:v>
      </x:c>
      <x:c r="F32" s="47" t="str">
        <x:v>f563f8767d05ebe1796a4ce5f503cdea08141fad33528ca9c2148a729ec2823a</x:v>
      </x:c>
      <x:c r="G32" s="59" t="n">
        <x:v>1553</x:v>
      </x:c>
    </x:row>
    <x:row r="33">
      <x:c r="A33" s="47" t="str">
        <x:v>RUN-I2-031-20260831T034724621220Z</x:v>
      </x:c>
      <x:c r="B33" s="47" t="str">
        <x:v>I2-031</x:v>
      </x:c>
      <x:c r="C33" s="59" t="n">
        <x:v>4</x:v>
      </x:c>
      <x:c r="D33" s="47" t="str">
        <x:v>validator_prompt</x:v>
      </x:c>
      <x:c r="E33" s="48" t="str">
        <x:v>artifacts/attempt_04/validator_prompt_01.txt</x:v>
      </x:c>
      <x:c r="F33" s="47" t="str">
        <x:v>37b7babe679e24ad47935693351fd6f2c312aa1fc1532dc9461d58ea323e4d04</x:v>
      </x:c>
      <x:c r="G33" s="59" t="n">
        <x:v>65792</x:v>
      </x:c>
    </x:row>
    <x:row r="34">
      <x:c r="A34" s="47" t="str">
        <x:v>RUN-I2-031-20260831T034724621220Z</x:v>
      </x:c>
      <x:c r="B34" s="47" t="str">
        <x:v>I2-031</x:v>
      </x:c>
      <x:c r="C34" s="59" t="n">
        <x:v>4</x:v>
      </x:c>
      <x:c r="D34" s="47" t="str">
        <x:v>validator_raw_response</x:v>
      </x:c>
      <x:c r="E34" s="48" t="str">
        <x:v>artifacts/attempt_04/validator_raw_01.txt</x:v>
      </x:c>
      <x:c r="F34" s="47" t="str">
        <x:v>7df4adb95586c9b8bd0785b79b53356587511abd75d56291cd884b9b65d23aa9</x:v>
      </x:c>
      <x:c r="G34" s="59" t="n">
        <x:v>599</x:v>
      </x:c>
    </x:row>
    <x:row r="35">
      <x:c r="A35" s="47" t="str">
        <x:v>RUN-I2-031-20260831T034724621220Z</x:v>
      </x:c>
      <x:c r="B35" s="47" t="str">
        <x:v>I2-031</x:v>
      </x:c>
      <x:c r="C35" s="59" t="n">
        <x:v>4</x:v>
      </x:c>
      <x:c r="D35" s="47" t="str">
        <x:v>matcher_candidates</x:v>
      </x:c>
      <x:c r="E35" s="48" t="str">
        <x:v>artifacts/attempt_04/matcher_candidates.json</x:v>
      </x:c>
      <x:c r="F35" s="47" t="str">
        <x:v>81f097ec6158e805bb4b6205e3040d368e33327553552a08624071a0af4a13db</x:v>
      </x:c>
      <x:c r="G35" s="59" t="n">
        <x:v>3788</x:v>
      </x:c>
    </x:row>
    <x:row r="36">
      <x:c r="A36" s="47" t="str">
        <x:v>RUN-I2-031-20260831T034724621220Z</x:v>
      </x:c>
      <x:c r="B36" s="47" t="str">
        <x:v>I2-031</x:v>
      </x:c>
      <x:c r="C36" s="59" t="n">
        <x:v>4</x:v>
      </x:c>
      <x:c r="D36" s="47" t="str">
        <x:v>vocabulary_matcher_prompt</x:v>
      </x:c>
      <x:c r="E36" s="48" t="str">
        <x:v>artifacts/attempt_04/vocabulary_matcher_prompt_01.txt</x:v>
      </x:c>
      <x:c r="F36" s="47" t="str">
        <x:v>b228a04508b6129db0fcb47ee9836e8eb0ecc7846176bc26179353c147bcfe95</x:v>
      </x:c>
      <x:c r="G36" s="59" t="n">
        <x:v>11150</x:v>
      </x:c>
    </x:row>
    <x:row r="37">
      <x:c r="A37" s="49" t="str">
        <x:v>RUN-I2-031-20260831T034724621220Z</x:v>
      </x:c>
      <x:c r="B37" s="49" t="str">
        <x:v>I2-031</x:v>
      </x:c>
      <x:c r="C37" s="60" t="n">
        <x:v>4</x:v>
      </x:c>
      <x:c r="D37" s="49" t="str">
        <x:v>vocabulary_matcher_raw_response</x:v>
      </x:c>
      <x:c r="E37" s="50" t="str">
        <x:v>artifacts/attempt_04/vocabulary_matcher_raw_01.txt</x:v>
      </x:c>
      <x:c r="F37" s="49" t="str">
        <x:v>0a99c9909f18f2644ff836d022a58c8cf4e6f8704c3cb7437077a16e94a8e5d5</x:v>
      </x:c>
      <x:c r="G37" s="60" t="n">
        <x:v>352</x:v>
      </x:c>
    </x:row>
  </x:sheetData>
  <x:pageMargins left="0.7" right="0.7" top="0.75" bottom="0.75" header="0.3" footer="0.3"/>
  <x:tableParts count="1">
    <x:tablePart xmlns:r="http://schemas.openxmlformats.org/officeDocument/2006/relationships" r:id="R6de1676b08974731"/>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RUN-I2-031-20260831T034724621220Z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RUN-I2-031-20260831T034724621220Z</x:v>
      </x:c>
      <x:c r="B5" s="69" t="str">
        <x:v>I2-031</x:v>
      </x:c>
      <x:c r="C5" s="71" t="n">
        <x:v>4</x:v>
      </x:c>
      <x:c r="D5" s="69" t="str">
        <x:v>MAX_ATTEMPTS_REACHED</x:v>
      </x:c>
      <x:c r="E5" s="73" t="str">
        <x:v>Replace the invented unknown IRI nltl:loadHeightParallelToFrame with the canonical controlled value nltl:loadPatchHeightParallelToFrame in the bottom-load-case orientation constraint; the deterministic vocabulary report is invalid until this is corrected. Preserve the prior valid applicability, owner/path, quantity-unit, frameProfileType, and comparison requirements, and ensure the demand-versus-strength query correlates each load case with its applicable structural-member owner rather than an arbitrary member linked to that case.</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2863c678e0aa4d6b"/>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RUN-I2-031-20260831T034724621220Z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