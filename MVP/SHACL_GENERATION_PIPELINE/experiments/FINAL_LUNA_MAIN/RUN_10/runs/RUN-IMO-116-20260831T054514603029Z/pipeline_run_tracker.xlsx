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efa7bd529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d0d8e0b1ac4c5d"/>
    <x:sheet xmlns:r="http://schemas.openxmlformats.org/officeDocument/2006/relationships" name="README" sheetId="2" r:id="R9b28d04b5d9b4207"/>
    <x:sheet xmlns:r="http://schemas.openxmlformats.org/officeDocument/2006/relationships" name="REGULATION_QUEUE" sheetId="3" r:id="Rfa66894fb59f4e5e"/>
    <x:sheet xmlns:r="http://schemas.openxmlformats.org/officeDocument/2006/relationships" name="RUNS" sheetId="4" r:id="Rfa0ba31dcfdf4b9e"/>
    <x:sheet xmlns:r="http://schemas.openxmlformats.org/officeDocument/2006/relationships" name="ITERATIONS" sheetId="5" r:id="Rac6abe4dd3d34991"/>
    <x:sheet xmlns:r="http://schemas.openxmlformats.org/officeDocument/2006/relationships" name="API_CALLS" sheetId="6" r:id="R07739a7008e54170"/>
    <x:sheet xmlns:r="http://schemas.openxmlformats.org/officeDocument/2006/relationships" name="TERM_RETRIEVAL" sheetId="7" r:id="Rc73b0d129bee42eb"/>
    <x:sheet xmlns:r="http://schemas.openxmlformats.org/officeDocument/2006/relationships" name="FEW_SHOT_SELECTION" sheetId="8" r:id="R8ba6fe4b68374a28"/>
    <x:sheet xmlns:r="http://schemas.openxmlformats.org/officeDocument/2006/relationships" name="VALIDATION" sheetId="9" r:id="R35eb13476bf64646"/>
    <x:sheet xmlns:r="http://schemas.openxmlformats.org/officeDocument/2006/relationships" name="VOCAB_MATCHES" sheetId="10" r:id="R632d037ea4bd4e71"/>
    <x:sheet xmlns:r="http://schemas.openxmlformats.org/officeDocument/2006/relationships" name="ARTIFACTS" sheetId="11" r:id="Rc18e525ea02b4f55"/>
    <x:sheet xmlns:r="http://schemas.openxmlformats.org/officeDocument/2006/relationships" name="UNRESOLVED" sheetId="12" r:id="Raacdf5b7a2164539"/>
    <x:sheet xmlns:r="http://schemas.openxmlformats.org/officeDocument/2006/relationships" name="RDF_TEST_QUEUE" sheetId="13" r:id="Rcce19e553d70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4e54353cb41d1" /><Relationship Type="http://schemas.openxmlformats.org/officeDocument/2006/relationships/theme" Target="/xl/theme/theme1.xml" Id="R098bc26bbd8943a3" /><Relationship Type="http://schemas.microsoft.com/office/2022/11/relationships/FeaturePropertyBag" Target="/xl/featurePropertyBag/featurePropertyBag.xml" Id="Rae9ada0a22d44b36" /><Relationship Type="http://schemas.openxmlformats.org/officeDocument/2006/relationships/sharedStrings" Target="/xl/sharedStrings.xml" Id="Rcbf018e3920a473d" /><Relationship Type="http://schemas.openxmlformats.org/officeDocument/2006/relationships/worksheet" Target="/xl/worksheets/sheet1.xml" Id="Rf0d0d8e0b1ac4c5d" /><Relationship Type="http://schemas.openxmlformats.org/officeDocument/2006/relationships/worksheet" Target="/xl/worksheets/sheet2.xml" Id="R9b28d04b5d9b4207" /><Relationship Type="http://schemas.openxmlformats.org/officeDocument/2006/relationships/worksheet" Target="/xl/worksheets/sheet3.xml" Id="Rfa66894fb59f4e5e" /><Relationship Type="http://schemas.openxmlformats.org/officeDocument/2006/relationships/worksheet" Target="/xl/worksheets/sheet4.xml" Id="Rfa0ba31dcfdf4b9e" /><Relationship Type="http://schemas.openxmlformats.org/officeDocument/2006/relationships/worksheet" Target="/xl/worksheets/sheet5.xml" Id="Rac6abe4dd3d34991" /><Relationship Type="http://schemas.openxmlformats.org/officeDocument/2006/relationships/worksheet" Target="/xl/worksheets/sheet6.xml" Id="R07739a7008e54170" /><Relationship Type="http://schemas.openxmlformats.org/officeDocument/2006/relationships/worksheet" Target="/xl/worksheets/sheet7.xml" Id="Rc73b0d129bee42eb" /><Relationship Type="http://schemas.openxmlformats.org/officeDocument/2006/relationships/worksheet" Target="/xl/worksheets/sheet8.xml" Id="R8ba6fe4b68374a28" /><Relationship Type="http://schemas.openxmlformats.org/officeDocument/2006/relationships/worksheet" Target="/xl/worksheets/sheet9.xml" Id="R35eb13476bf64646" /><Relationship Type="http://schemas.openxmlformats.org/officeDocument/2006/relationships/worksheet" Target="/xl/worksheets/sheet10.xml" Id="R632d037ea4bd4e71" /><Relationship Type="http://schemas.openxmlformats.org/officeDocument/2006/relationships/worksheet" Target="/xl/worksheets/sheet11.xml" Id="Rc18e525ea02b4f55" /><Relationship Type="http://schemas.openxmlformats.org/officeDocument/2006/relationships/worksheet" Target="/xl/worksheets/sheet12.xml" Id="Raacdf5b7a2164539" /><Relationship Type="http://schemas.openxmlformats.org/officeDocument/2006/relationships/worksheet" Target="/xl/worksheets/sheet13.xml" Id="Rcce19e553d704a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2a7c78cd5b48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3736bde0d041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decf20675540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b8988028e74f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91dcc9e73547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b4510d524341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65e96b113d49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3f4d14a2264a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9b0c8592ef46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b55f9cca2004b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RUN-IMO-116-20260831T054514603029Z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55190.57788888889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RUN-IMO-116-20260831T054514603029Z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2a7c78cd5b48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RUN-IMO-116-20260831T054514603029Z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MAX_ATTEMPTS_REACHED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3736bde0d041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RUN-IMO-116-20260831T054514603029Z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RUN-IMO-116-20260831T054514603029Z</x:v>
      </x:c>
      <x:c r="C5" s="69" t="str">
        <x:v>IMO-116</x:v>
      </x:c>
      <x:c r="D5" s="70" t="n">
        <x:v>46265.23975234954</x:v>
      </x:c>
      <x:c r="E5" s="70" t="n">
        <x:v>46265.24560423611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Reject: the SPARQL constraint is an accidental pass/violation inversion. It SELECTs a ship only when the applicable discharge type, true boolean, true MARPOL status, distance &gt;12 MI_N, nearby ice concentration &gt;0.1, and area-distance record are all present; in SHACL-SPARQL this makes compliant data fail while missing or false obligations can pass. Rewrite it as a violation query for the implication: when sewageDischargeType is "not_comminuted_or_disinfected", require notComminutedOrDisinfected=true, MARPOL compliance=true, distanceToNearestIceShelfOrFastIce with unit MI_N and numericValue &gt;12, nearbyIceConcentration with unit UNITLESS and numericValue &gt;0.1, and a ship-owned distanceFromAreaWithIceConcentrationAboveOneTenth record with unit MI_N. Encode missing, wrong-unit, false, and threshold-failing alternatives as violation branches (for example UNION branches), without OPTIONAL nested inside FILTER NOT EXISTS. Preserve the supplied ship target, canonical QuantityValue structures and units, required ship-owned iceConcentration with UNITLESS, strict &gt;12 comparison, and the conditional association between the recorded area distance and the nearby concentration exceeding 0.1; do not introduce a new vocabulary term or make conditional properties globally mandatory.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ecf20675540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RUN-IMO-116-20260831T054514603029Z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RUN-IMO-116-20260831T054514603029Z</x:v>
      </x:c>
      <x:c r="B5" s="45" t="str">
        <x:v>IMO-116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candidate to encode every declared dependency-contract obligation. In particular, iceConcentration is a declared directConstraintTerm but is omitted: add it on the supplied ship owner with its canonical QuantityValue structure and UNITLESS unit, and use the appropriate declared ice-concentration operand consistently in the &gt;1/10 applicability check. Preserve the existing ship target, conditional sewage applicability, true MARPOL compliance requirement, and strict distance &gt;12 MI_N check.</x:v>
      </x:c>
      <x:c r="I5" s="84" t="n">
        <x:v>44421.66</x:v>
      </x:c>
      <x:c r="J5" s="84" t="n">
        <x:v>14102.449</x:v>
      </x:c>
    </x:row>
    <x:row r="6">
      <x:c r="A6" s="47" t="str">
        <x:v>RUN-IMO-116-20260831T054514603029Z</x:v>
      </x:c>
      <x:c r="B6" s="47" t="str">
        <x:v>IMO-116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conditional logic: the current sh:or false branch lets a ship pass when notComminutedOrDisinfected is false even if sewageDischargeType is "not_comminuted_or_disinfected", and the top-level nearbyIceConcentration requirement still makes unrelated data mandatory. Encode the obligation as an implication driven by the supplied discharge-type applicability (and keep any declared boolean consistent rather than allowing it to override that selector): when the discharge type is "not_comminuted_or_disinfected", require MARPOL compliance true, distanceToNearestIceShelfOrFastIce strictly greater than 12 MI_N, and the declared ice-concentration operand/area-distance recording relationship. Preserve the prior instruction to retain iceConcentration with its canonical QuantityValue and UNITLESS unit, and use the appropriate declared ice-concentration operand consistently in the &gt;1/10 condition. Do not make conditional branch properties globally mandatory or use presence-only logic for the threshold/relationship.</x:v>
      </x:c>
      <x:c r="I6" s="86" t="n">
        <x:v>32481.379</x:v>
      </x:c>
      <x:c r="J6" s="86" t="n">
        <x:v>11973.049</x:v>
      </x:c>
    </x:row>
    <x:row r="7">
      <x:c r="A7" s="47" t="str">
        <x:v>RUN-IMO-116-20260831T054514603029Z</x:v>
      </x:c>
      <x:c r="B7" s="47" t="str">
        <x:v>IMO-116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conditional implication and relationship semantics while preserving the prior instructions. The current sh:or false branch permits sewageDischargeType="not_comminuted_or_disinfected" with notComminutedOrDisinfected=false, and its SPARQL check only rejects the true combination rather than enforcing selector/boolean consistency. Make the selector the applicability driver and require the boolean to be true whenever that selector value is present; do not let the false branch bypass the conditional obligations. Remove the globally mandatory nearbyIceConcentration constraint, since it is conditional input. In the applicable case, retain ship-owned canonical QuantityValue structures and units, require MARPOL compliance true and distanceToNearestIceShelfOrFastIce &gt; 12 MI_N, and encode that the recorded distanceFromAreaWithIceConcentrationAboveOneTenth is specifically associated with an area whose declared ice-concentration operand (the supplied nearbyIceConcentration) exceeds 0.1, rather than checking only presence of the distance result. Preserve the required ship-owned iceConcentration QuantityValue with UNITLESS units and all declared direct terms; do not introduce a new vocabulary term.</x:v>
      </x:c>
      <x:c r="I7" s="86" t="n">
        <x:v>316204.57</x:v>
      </x:c>
      <x:c r="J7" s="86" t="n">
        <x:v>11821.334</x:v>
      </x:c>
    </x:row>
    <x:row r="8">
      <x:c r="A8" s="49" t="str">
        <x:v>RUN-IMO-116-20260831T054514603029Z</x:v>
      </x:c>
      <x:c r="B8" s="49" t="str">
        <x:v>IMO-116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Reject: the SPARQL constraint is an accidental pass/violation inversion. It SELECTs a ship only when the applicable discharge type, true boolean, true MARPOL status, distance &gt;12 MI_N, nearby ice concentration &gt;0.1, and area-distance record are all present; in SHACL-SPARQL this makes compliant data fail while missing or false obligations can pass. Rewrite it as a violation query for the implication: when sewageDischargeType is "not_comminuted_or_disinfected", require notComminutedOrDisinfected=true, MARPOL compliance=true, distanceToNearestIceShelfOrFastIce with unit MI_N and numericValue &gt;12, nearbyIceConcentration with unit UNITLESS and numericValue &gt;0.1, and a ship-owned distanceFromAreaWithIceConcentrationAboveOneTenth record with unit MI_N. Encode missing, wrong-unit, false, and threshold-failing alternatives as violation branches (for example UNION branches), without OPTIONAL nested inside FILTER NOT EXISTS. Preserve the supplied ship target, canonical QuantityValue structures and units, required ship-owned iceConcentration with UNITLESS, strict &gt;12 comparison, and the conditional association between the recorded area distance and the nearby concentration exceeding 0.1; do not introduce a new vocabulary term or make conditional properties globally mandatory.</x:v>
      </x:c>
      <x:c r="I8" s="88" t="n">
        <x:v>50745.632</x:v>
      </x:c>
      <x:c r="J8" s="88" t="n">
        <x:v>23156.652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b8988028e74f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RUN-IMO-116-20260831T054514603029Z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RUN-IMO-116-20260831T054514603029Z</x:v>
      </x:c>
      <x:c r="C5" s="45" t="str">
        <x:v>IMO-116</x:v>
      </x:c>
      <x:c r="D5" s="92" t="n">
        <x:v>46265.240266493056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44419.955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RUN-IMO-116-20260831T054514603029Z</x:v>
      </x:c>
      <x:c r="C6" s="47" t="str">
        <x:v>IMO-116</x:v>
      </x:c>
      <x:c r="D6" s="93" t="n">
        <x:v>46265.2402665162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44421.66</x:v>
      </x:c>
      <x:c r="L6" s="85" t="b">
        <x:v>0</x:v>
      </x:c>
      <x:c r="M6" s="47" t="str">
        <x:v>resp_061016a549e8f259006a9514eab1e881908853094e9bda199d</x:v>
      </x:c>
      <x:c r="N6" s="59" t="n">
        <x:v>8383</x:v>
      </x:c>
      <x:c r="O6" s="59" t="n">
        <x:v>3185</x:v>
      </x:c>
      <x:c r="P6" s="59" t="n">
        <x:v>11568</x:v>
      </x:c>
    </x:row>
    <x:row r="7">
      <x:c r="A7" s="47" t="str">
        <x:v>EVT-000025</x:v>
      </x:c>
      <x:c r="B7" s="47" t="str">
        <x:v>RUN-IMO-116-20260831T054514603029Z</x:v>
      </x:c>
      <x:c r="C7" s="47" t="str">
        <x:v>IMO-116</x:v>
      </x:c>
      <x:c r="D7" s="93" t="n">
        <x:v>46265.24043092593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14101.316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RUN-IMO-116-20260831T054514603029Z</x:v>
      </x:c>
      <x:c r="C8" s="47" t="str">
        <x:v>IMO-116</x:v>
      </x:c>
      <x:c r="D8" s="93" t="n">
        <x:v>46265.2404309375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14102.449</x:v>
      </x:c>
      <x:c r="L8" s="85" t="b">
        <x:v>0</x:v>
      </x:c>
      <x:c r="M8" s="47" t="str">
        <x:v>resp_02fc8884fa47d2b4006a9515173ab081948bb7e2309dbe4ff3</x:v>
      </x:c>
      <x:c r="N8" s="59" t="n">
        <x:v>7597</x:v>
      </x:c>
      <x:c r="O8" s="59" t="n">
        <x:v>627</x:v>
      </x:c>
      <x:c r="P8" s="59" t="n">
        <x:v>8224</x:v>
      </x:c>
    </x:row>
    <x:row r="9">
      <x:c r="A9" s="47" t="str">
        <x:v>EVT-000031</x:v>
      </x:c>
      <x:c r="B9" s="47" t="str">
        <x:v>RUN-IMO-116-20260831T054514603029Z</x:v>
      </x:c>
      <x:c r="C9" s="47" t="str">
        <x:v>IMO-116</x:v>
      </x:c>
      <x:c r="D9" s="93" t="n">
        <x:v>46265.2408069213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32479.869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RUN-IMO-116-20260831T054514603029Z</x:v>
      </x:c>
      <x:c r="C10" s="47" t="str">
        <x:v>IMO-116</x:v>
      </x:c>
      <x:c r="D10" s="93" t="n">
        <x:v>46265.24080694444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32481.379</x:v>
      </x:c>
      <x:c r="L10" s="85" t="b">
        <x:v>0</x:v>
      </x:c>
      <x:c r="M10" s="47" t="str">
        <x:v>resp_0d213f0e8d1fb6cb006a95152552d481949469b2647b6565c2</x:v>
      </x:c>
      <x:c r="N10" s="59" t="n">
        <x:v>8473</x:v>
      </x:c>
      <x:c r="O10" s="59" t="n">
        <x:v>2789</x:v>
      </x:c>
      <x:c r="P10" s="59" t="n">
        <x:v>11262</x:v>
      </x:c>
    </x:row>
    <x:row r="11">
      <x:c r="A11" s="47" t="str">
        <x:v>EVT-000039</x:v>
      </x:c>
      <x:c r="B11" s="47" t="str">
        <x:v>RUN-IMO-116-20260831T054514603029Z</x:v>
      </x:c>
      <x:c r="C11" s="47" t="str">
        <x:v>IMO-116</x:v>
      </x:c>
      <x:c r="D11" s="93" t="n">
        <x:v>46265.240947962964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11971.619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RUN-IMO-116-20260831T054514603029Z</x:v>
      </x:c>
      <x:c r="C12" s="47" t="str">
        <x:v>IMO-116</x:v>
      </x:c>
      <x:c r="D12" s="93" t="n">
        <x:v>46265.24094797454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11973.049</x:v>
      </x:c>
      <x:c r="L12" s="85" t="b">
        <x:v>0</x:v>
      </x:c>
      <x:c r="M12" s="47" t="str">
        <x:v>resp_08560042eb070353006a95154602948196b97a90244796d4c7</x:v>
      </x:c>
      <x:c r="N12" s="59" t="n">
        <x:v>8311</x:v>
      </x:c>
      <x:c r="O12" s="59" t="n">
        <x:v>732</x:v>
      </x:c>
      <x:c r="P12" s="59" t="n">
        <x:v>9043</x:v>
      </x:c>
    </x:row>
    <x:row r="13">
      <x:c r="A13" s="47" t="str">
        <x:v>EVT-000045</x:v>
      </x:c>
      <x:c r="B13" s="47" t="str">
        <x:v>RUN-IMO-116-20260831T054514603029Z</x:v>
      </x:c>
      <x:c r="C13" s="47" t="str">
        <x:v>IMO-116</x:v>
      </x:c>
      <x:c r="D13" s="93" t="n">
        <x:v>46265.24167802084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500</x:v>
      </x:c>
      <x:c r="I13" s="47" t="str">
        <x:v>Ocp-Apim-Subscription-Key</x:v>
      </x:c>
      <x:c r="J13" s="86" t="n">
        <x:v>0</x:v>
      </x:c>
      <x:c r="K13" s="86" t="n">
        <x:v>63069.79</x:v>
      </x:c>
      <x:c r="L13" s="85" t="b">
        <x:v>1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RUN-IMO-116-20260831T054514603029Z</x:v>
      </x:c>
      <x:c r="C14" s="47" t="str">
        <x:v>IMO-116</x:v>
      </x:c>
      <x:c r="D14" s="93" t="n">
        <x:v>46265.24382449074</x:v>
      </x:c>
      <x:c r="E14" s="47" t="str">
        <x:v>generator</x:v>
      </x:c>
      <x:c r="F14" s="47" t="str">
        <x:v>gpt-5.6-luna-2026-07-09</x:v>
      </x:c>
      <x:c r="G14" s="47" t="n">
        <x:v>2</x:v>
      </x:c>
      <x:c r="H14" s="47" t="str">
        <x:v>NETWORK_ERROR</x:v>
      </x:c>
      <x:c r="I14" s="47" t="str">
        <x:v>Ocp-Apim-Subscription-Key</x:v>
      </x:c>
      <x:c r="J14" s="86" t="n">
        <x:v>0</x:v>
      </x:c>
      <x:c r="K14" s="86" t="n">
        <x:v>180008.557</x:v>
      </x:c>
      <x:c r="L14" s="85" t="b">
        <x:v>1</x:v>
      </x:c>
      <x:c r="M14" s="47" t="str"/>
      <x:c r="N14" s="59" t="str"/>
      <x:c r="O14" s="59" t="str"/>
      <x:c r="P14" s="59" t="str"/>
    </x:row>
    <x:row r="15">
      <x:c r="A15" s="47" t="str">
        <x:v>EVT-000051</x:v>
      </x:c>
      <x:c r="B15" s="47" t="str">
        <x:v>RUN-IMO-116-20260831T054514603029Z</x:v>
      </x:c>
      <x:c r="C15" s="47" t="str">
        <x:v>IMO-116</x:v>
      </x:c>
      <x:c r="D15" s="93" t="n">
        <x:v>46265.244607824076</x:v>
      </x:c>
      <x:c r="E15" s="47" t="str">
        <x:v>generator</x:v>
      </x:c>
      <x:c r="F15" s="47" t="str">
        <x:v>gpt-5.6-luna-2026-07-09</x:v>
      </x:c>
      <x:c r="G15" s="47" t="n">
        <x:v>3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56754.729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EVT-000052</x:v>
      </x:c>
      <x:c r="B16" s="47" t="str">
        <x:v>RUN-IMO-116-20260831T054514603029Z</x:v>
      </x:c>
      <x:c r="C16" s="47" t="str">
        <x:v>IMO-116</x:v>
      </x:c>
      <x:c r="D16" s="93" t="n">
        <x:v>46265.24460783565</x:v>
      </x:c>
      <x:c r="E16" s="47" t="str">
        <x:v>generator</x:v>
      </x:c>
      <x:c r="F16" s="47" t="str">
        <x:v>gpt-5.6-luna-2026-07-09</x:v>
      </x:c>
      <x:c r="G16" s="47" t="n">
        <x:v>3</x:v>
      </x:c>
      <x:c r="H16" s="47" t="str">
        <x:v>COMPLETED</x:v>
      </x:c>
      <x:c r="I16" s="47" t="str"/>
      <x:c r="J16" s="86" t="n">
        <x:v>0</x:v>
      </x:c>
      <x:c r="K16" s="86" t="n">
        <x:v>316204.57</x:v>
      </x:c>
      <x:c r="L16" s="85" t="b">
        <x:v>0</x:v>
      </x:c>
      <x:c r="M16" s="47" t="str">
        <x:v>resp_076125edfeab5365006a951655bdd881969e65d79373744fd1</x:v>
      </x:c>
      <x:c r="N16" s="59" t="n">
        <x:v>8672</x:v>
      </x:c>
      <x:c r="O16" s="59" t="n">
        <x:v>3189</x:v>
      </x:c>
      <x:c r="P16" s="59" t="n">
        <x:v>11861</x:v>
      </x:c>
    </x:row>
    <x:row r="17">
      <x:c r="A17" s="47" t="str">
        <x:v>EVT-000059</x:v>
      </x:c>
      <x:c r="B17" s="47" t="str">
        <x:v>RUN-IMO-116-20260831T054514603029Z</x:v>
      </x:c>
      <x:c r="C17" s="47" t="str">
        <x:v>IMO-116</x:v>
      </x:c>
      <x:c r="D17" s="93" t="n">
        <x:v>46265.244746840275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11819.737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EVT-000060</x:v>
      </x:c>
      <x:c r="B18" s="47" t="str">
        <x:v>RUN-IMO-116-20260831T054514603029Z</x:v>
      </x:c>
      <x:c r="C18" s="47" t="str">
        <x:v>IMO-116</x:v>
      </x:c>
      <x:c r="D18" s="93" t="n">
        <x:v>46265.24474686343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11821.334</x:v>
      </x:c>
      <x:c r="L18" s="85" t="b">
        <x:v>0</x:v>
      </x:c>
      <x:c r="M18" s="47" t="str">
        <x:v>resp_0aeda1d943fec7b1006a95168e6f5c8193b27b7fa5595c60fd</x:v>
      </x:c>
      <x:c r="N18" s="59" t="n">
        <x:v>8413</x:v>
      </x:c>
      <x:c r="O18" s="59" t="n">
        <x:v>765</x:v>
      </x:c>
      <x:c r="P18" s="59" t="n">
        <x:v>9178</x:v>
      </x:c>
    </x:row>
    <x:row r="19">
      <x:c r="A19" s="47" t="str">
        <x:v>EVT-000065</x:v>
      </x:c>
      <x:c r="B19" s="47" t="str">
        <x:v>RUN-IMO-116-20260831T054514603029Z</x:v>
      </x:c>
      <x:c r="C19" s="47" t="str">
        <x:v>IMO-116</x:v>
      </x:c>
      <x:c r="D19" s="93" t="n">
        <x:v>46265.24533424769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50743.938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EVT-000066</x:v>
      </x:c>
      <x:c r="B20" s="47" t="str">
        <x:v>RUN-IMO-116-20260831T054514603029Z</x:v>
      </x:c>
      <x:c r="C20" s="47" t="str">
        <x:v>IMO-116</x:v>
      </x:c>
      <x:c r="D20" s="93" t="n">
        <x:v>46265.24533427083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50745.632</x:v>
      </x:c>
      <x:c r="L20" s="85" t="b">
        <x:v>0</x:v>
      </x:c>
      <x:c r="M20" s="47" t="str">
        <x:v>resp_0ed6bb20a52a0586006a95169a4308819486d5c8f70bfca279</x:v>
      </x:c>
      <x:c r="N20" s="59" t="n">
        <x:v>8904</x:v>
      </x:c>
      <x:c r="O20" s="59" t="n">
        <x:v>2647</x:v>
      </x:c>
      <x:c r="P20" s="59" t="n">
        <x:v>11551</x:v>
      </x:c>
    </x:row>
    <x:row r="21">
      <x:c r="A21" s="47" t="str">
        <x:v>EVT-000073</x:v>
      </x:c>
      <x:c r="B21" s="47" t="str">
        <x:v>RUN-IMO-116-20260831T054514603029Z</x:v>
      </x:c>
      <x:c r="C21" s="47" t="str">
        <x:v>IMO-116</x:v>
      </x:c>
      <x:c r="D21" s="93" t="n">
        <x:v>46265.24560415509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23154.167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EVT-000074</x:v>
      </x:c>
      <x:c r="B22" s="49" t="str">
        <x:v>RUN-IMO-116-20260831T054514603029Z</x:v>
      </x:c>
      <x:c r="C22" s="49" t="str">
        <x:v>IMO-116</x:v>
      </x:c>
      <x:c r="D22" s="94" t="n">
        <x:v>46265.24560418981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23156.652</x:v>
      </x:c>
      <x:c r="L22" s="87" t="b">
        <x:v>0</x:v>
      </x:c>
      <x:c r="M22" s="49" t="str">
        <x:v>resp_083c70ff3dfab9c0006a9516cd27548190a6b5af49be38d88a</x:v>
      </x:c>
      <x:c r="N22" s="60" t="n">
        <x:v>8622</x:v>
      </x:c>
      <x:c r="O22" s="60" t="n">
        <x:v>1322</x:v>
      </x:c>
      <x:c r="P22" s="60" t="n">
        <x:v>9944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1dcc9e73547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RUN-IMO-116-20260831T054514603029Z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RUN-IMO-116-20260831T054514603029Z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RUN-IMO-116-20260831T054514603029Z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RUN-IMO-116-20260831T054514603029Z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RUN-IMO-116-20260831T054514603029Z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RUN-IMO-116-20260831T054514603029Z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RUN-IMO-116-20260831T054514603029Z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RUN-IMO-116-20260831T054514603029Z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RUN-IMO-116-20260831T054514603029Z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RUN-IMO-116-20260831T054514603029Z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b4510d524341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RUN-IMO-116-20260831T054514603029Z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RUN-IMO-116-20260831T054514603029Z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RUN-IMO-116-20260831T054514603029Z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5e96b113d49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RUN-IMO-116-20260831T054514603029Z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RUN-IMO-116-20260831T054514603029Z</x:v>
      </x:c>
      <x:c r="B5" s="45" t="str">
        <x:v>IMO-116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46" t="str"/>
      <x:c r="P5" s="46" t="str"/>
      <x:c r="Q5" s="46" t="str"/>
    </x:row>
    <x:row r="6">
      <x:c r="A6" s="47" t="str">
        <x:v>RUN-IMO-116-20260831T054514603029Z</x:v>
      </x:c>
      <x:c r="B6" s="47" t="str">
        <x:v>IMO-116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6" s="48" t="str"/>
      <x:c r="P6" s="48" t="str"/>
      <x:c r="Q6" s="48" t="str"/>
    </x:row>
    <x:row r="7">
      <x:c r="A7" s="47" t="str">
        <x:v>RUN-IMO-116-20260831T054514603029Z</x:v>
      </x:c>
      <x:c r="B7" s="47" t="str">
        <x:v>IMO-116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7" s="48" t="str"/>
      <x:c r="P7" s="48" t="str"/>
      <x:c r="Q7" s="48" t="str"/>
    </x:row>
    <x:row r="8">
      <x:c r="A8" s="49" t="str">
        <x:v>RUN-IMO-116-20260831T054514603029Z</x:v>
      </x:c>
      <x:c r="B8" s="49" t="str">
        <x:v>IMO-116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33f4d14a2264a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RUN-IMO-116-20260831T054514603029Z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RUN-IMO-116-20260831T054514603029Z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RUN-IMO-116-20260831T054514603029Z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RUN-IMO-116-20260831T054514603029Z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RUN-IMO-116-20260831T054514603029Z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RUN-IMO-116-20260831T054514603029Z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c349ef6f8e1e48029cdf8816c6e22370191d5c816becd574db7ce97d48c54d84</x:v>
      </x:c>
      <x:c r="G8" s="59" t="n">
        <x:v>3499</x:v>
      </x:c>
    </x:row>
    <x:row r="9">
      <x:c r="A9" s="47" t="str">
        <x:v>RUN-IMO-116-20260831T054514603029Z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4f5e279c2d2c77d830f03765fe0f794bbb3d49f9d330d095a6a76bbae541be97</x:v>
      </x:c>
      <x:c r="G9" s="59" t="n">
        <x:v>3474</x:v>
      </x:c>
    </x:row>
    <x:row r="10">
      <x:c r="A10" s="47" t="str">
        <x:v>RUN-IMO-116-20260831T054514603029Z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7dd8702f866c84cb724ec428cdbdf57db42b087c2910dbb82a970ce72646c277</x:v>
      </x:c>
      <x:c r="G10" s="59" t="n">
        <x:v>848</x:v>
      </x:c>
    </x:row>
    <x:row r="11">
      <x:c r="A11" s="47" t="str">
        <x:v>RUN-IMO-116-20260831T054514603029Z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2fdc8d2012dc81ce1a772089bc628d222de150c11a1f14982e6d87fa3a621603</x:v>
      </x:c>
      <x:c r="G11" s="59" t="n">
        <x:v>30276</x:v>
      </x:c>
    </x:row>
    <x:row r="12">
      <x:c r="A12" s="47" t="str">
        <x:v>RUN-IMO-116-20260831T054514603029Z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0d9b32535d6b015210c2853fc0a692097f1fddb08fab94739c92beb53a27f2e0</x:v>
      </x:c>
      <x:c r="G12" s="59" t="n">
        <x:v>567</x:v>
      </x:c>
    </x:row>
    <x:row r="13">
      <x:c r="A13" s="47" t="str">
        <x:v>RUN-IMO-116-20260831T054514603029Z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bcf57c12a297f18ce5dde5baeed69ad705a39ee0f41abc8d9e62214f7c9d757f</x:v>
      </x:c>
      <x:c r="G13" s="59" t="n">
        <x:v>34617</x:v>
      </x:c>
    </x:row>
    <x:row r="14">
      <x:c r="A14" s="47" t="str">
        <x:v>RUN-IMO-116-20260831T054514603029Z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9770a64e68208f10ad5eba37045203eff3b405aea61b32406a75c7a82fc4c042</x:v>
      </x:c>
      <x:c r="G14" s="59" t="n">
        <x:v>5691</x:v>
      </x:c>
    </x:row>
    <x:row r="15">
      <x:c r="A15" s="47" t="str">
        <x:v>RUN-IMO-116-20260831T054514603029Z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c13a086a4f95c457e98957667cc08ec68b9f9b046acb71f8ff9c0e8d4e69a4bc</x:v>
      </x:c>
      <x:c r="G15" s="59" t="n">
        <x:v>5666</x:v>
      </x:c>
    </x:row>
    <x:row r="16">
      <x:c r="A16" s="47" t="str">
        <x:v>RUN-IMO-116-20260831T054514603029Z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ee57f95f568804b3bd99a6df1e057684d645ba1a98330afef7e13a5daf4b6c70</x:v>
      </x:c>
      <x:c r="G16" s="59" t="n">
        <x:v>900</x:v>
      </x:c>
    </x:row>
    <x:row r="17">
      <x:c r="A17" s="47" t="str">
        <x:v>RUN-IMO-116-20260831T054514603029Z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bb87093ebcc771aa05f9f2115f6186898f2cfdd1cde8906e62ed3223296a888d</x:v>
      </x:c>
      <x:c r="G17" s="59" t="n">
        <x:v>33491</x:v>
      </x:c>
    </x:row>
    <x:row r="18">
      <x:c r="A18" s="47" t="str">
        <x:v>RUN-IMO-116-20260831T054514603029Z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e2a9c09003eca83f5e60e289ceda98301f82e97611b54db1139479871ff12cdc</x:v>
      </x:c>
      <x:c r="G18" s="59" t="n">
        <x:v>1092</x:v>
      </x:c>
    </x:row>
    <x:row r="19">
      <x:c r="A19" s="47" t="str">
        <x:v>RUN-IMO-116-20260831T054514603029Z</x:v>
      </x:c>
      <x:c r="B19" s="47" t="str">
        <x:v>IMO-116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03c795fe6f647a32d67297aeadc66bbd8c76da2a1000144edfbc0f6abe94cedb</x:v>
      </x:c>
      <x:c r="G19" s="59" t="n">
        <x:v>35652</x:v>
      </x:c>
    </x:row>
    <x:row r="20">
      <x:c r="A20" s="47" t="str">
        <x:v>RUN-IMO-116-20260831T054514603029Z</x:v>
      </x:c>
      <x:c r="B20" s="47" t="str">
        <x:v>IMO-116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48f1a65654025f595d813d4eda5308372cd00f8ad0227ea84454d353e0e985d4</x:v>
      </x:c>
      <x:c r="G20" s="59" t="n">
        <x:v>4517</x:v>
      </x:c>
    </x:row>
    <x:row r="21">
      <x:c r="A21" s="47" t="str">
        <x:v>RUN-IMO-116-20260831T054514603029Z</x:v>
      </x:c>
      <x:c r="B21" s="47" t="str">
        <x:v>IMO-116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540dc02747177534629062cc4cc5cbded16e5ec8188c188b5a9b61cef117c132</x:v>
      </x:c>
      <x:c r="G21" s="59" t="n">
        <x:v>4492</x:v>
      </x:c>
    </x:row>
    <x:row r="22">
      <x:c r="A22" s="47" t="str">
        <x:v>RUN-IMO-116-20260831T054514603029Z</x:v>
      </x:c>
      <x:c r="B22" s="47" t="str">
        <x:v>IMO-116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ee57f95f568804b3bd99a6df1e057684d645ba1a98330afef7e13a5daf4b6c70</x:v>
      </x:c>
      <x:c r="G22" s="59" t="n">
        <x:v>900</x:v>
      </x:c>
    </x:row>
    <x:row r="23">
      <x:c r="A23" s="47" t="str">
        <x:v>RUN-IMO-116-20260831T054514603029Z</x:v>
      </x:c>
      <x:c r="B23" s="47" t="str">
        <x:v>IMO-116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b9b940c835ab01fd8d6d73635578aa8ac4ac499a02318804045f460d2bc43c1a</x:v>
      </x:c>
      <x:c r="G23" s="59" t="n">
        <x:v>33346</x:v>
      </x:c>
    </x:row>
    <x:row r="24">
      <x:c r="A24" s="47" t="str">
        <x:v>RUN-IMO-116-20260831T054514603029Z</x:v>
      </x:c>
      <x:c r="B24" s="47" t="str">
        <x:v>IMO-116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e9f84637b43f9e0dcaa4bc2bcd00cf5af6eaa9c2cfdf178cdf9a7333a1a3f404</x:v>
      </x:c>
      <x:c r="G24" s="59" t="n">
        <x:v>1278</x:v>
      </x:c>
    </x:row>
    <x:row r="25">
      <x:c r="A25" s="47" t="str">
        <x:v>RUN-IMO-116-20260831T054514603029Z</x:v>
      </x:c>
      <x:c r="B25" s="47" t="str">
        <x:v>IMO-116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9fdda1dd9feef8e9e585adf73ac94afdb312675ce7033a79a542f16a88849be2</x:v>
      </x:c>
      <x:c r="G25" s="59" t="n">
        <x:v>36873</x:v>
      </x:c>
    </x:row>
    <x:row r="26">
      <x:c r="A26" s="47" t="str">
        <x:v>RUN-IMO-116-20260831T054514603029Z</x:v>
      </x:c>
      <x:c r="B26" s="47" t="str">
        <x:v>IMO-116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6cf4097f515990d757b105fd9ac7ca11458f9cc62c1221e32670117036ed35ac</x:v>
      </x:c>
      <x:c r="G26" s="59" t="n">
        <x:v>4408</x:v>
      </x:c>
    </x:row>
    <x:row r="27">
      <x:c r="A27" s="47" t="str">
        <x:v>RUN-IMO-116-20260831T054514603029Z</x:v>
      </x:c>
      <x:c r="B27" s="47" t="str">
        <x:v>IMO-116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765867af27d05f1cb552e5d7008f8473911255d9409c784e07f7f298321f688b</x:v>
      </x:c>
      <x:c r="G27" s="59" t="n">
        <x:v>4383</x:v>
      </x:c>
    </x:row>
    <x:row r="28">
      <x:c r="A28" s="47" t="str">
        <x:v>RUN-IMO-116-20260831T054514603029Z</x:v>
      </x:c>
      <x:c r="B28" s="47" t="str">
        <x:v>IMO-116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ee57f95f568804b3bd99a6df1e057684d645ba1a98330afef7e13a5daf4b6c70</x:v>
      </x:c>
      <x:c r="G28" s="59" t="n">
        <x:v>900</x:v>
      </x:c>
    </x:row>
    <x:row r="29">
      <x:c r="A29" s="47" t="str">
        <x:v>RUN-IMO-116-20260831T054514603029Z</x:v>
      </x:c>
      <x:c r="B29" s="47" t="str">
        <x:v>IMO-116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c526bdd27ed3bafc19696a20e7df472f6ab823aeb71f88cbad4b144f6008eaaa</x:v>
      </x:c>
      <x:c r="G29" s="59" t="n">
        <x:v>34444</x:v>
      </x:c>
    </x:row>
    <x:row r="30">
      <x:c r="A30" s="49" t="str">
        <x:v>RUN-IMO-116-20260831T054514603029Z</x:v>
      </x:c>
      <x:c r="B30" s="49" t="str">
        <x:v>IMO-116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951ecd309e43d67f98198ce353f1b6c219657b8ecf1999dd7b74c792bfb11eb9</x:v>
      </x:c>
      <x:c r="G30" s="60" t="n">
        <x:v>1350</x:v>
      </x:c>
    </x:row>
  </x:sheetData>
  <x:pageMargins left="0.7" right="0.7" top="0.75" bottom="0.75" header="0.3" footer="0.3"/>
  <x:tableParts count="1">
    <x:tablePart xmlns:r="http://schemas.openxmlformats.org/officeDocument/2006/relationships" r:id="Re09b0c8592ef46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RUN-IMO-116-20260831T054514603029Z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RUN-IMO-116-20260831T054514603029Z</x:v>
      </x:c>
      <x:c r="B5" s="69" t="str">
        <x:v>IMO-116</x:v>
      </x:c>
      <x:c r="C5" s="71" t="n">
        <x:v>4</x:v>
      </x:c>
      <x:c r="D5" s="69" t="str">
        <x:v>MAX_ATTEMPTS_REACHED</x:v>
      </x:c>
      <x:c r="E5" s="73" t="str">
        <x:v>Reject: the SPARQL constraint is an accidental pass/violation inversion. It SELECTs a ship only when the applicable discharge type, true boolean, true MARPOL status, distance &gt;12 MI_N, nearby ice concentration &gt;0.1, and area-distance record are all present; in SHACL-SPARQL this makes compliant data fail while missing or false obligations can pass. Rewrite it as a violation query for the implication: when sewageDischargeType is "not_comminuted_or_disinfected", require notComminutedOrDisinfected=true, MARPOL compliance=true, distanceToNearestIceShelfOrFastIce with unit MI_N and numericValue &gt;12, nearbyIceConcentration with unit UNITLESS and numericValue &gt;0.1, and a ship-owned distanceFromAreaWithIceConcentrationAboveOneTenth record with unit MI_N. Encode missing, wrong-unit, false, and threshold-failing alternatives as violation branches (for example UNION branches), without OPTIONAL nested inside FILTER NOT EXISTS. Preserve the supplied ship target, canonical QuantityValue structures and units, required ship-owned iceConcentration with UNITLESS, strict &gt;12 comparison, and the conditional association between the recorded area distance and the nearby concentration exceeding 0.1; do not introduce a new vocabulary term or make conditional properties globally mandatory.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5f9cca2004bb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RUN-IMO-116-20260831T054514603029Z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