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4f56ae823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e77e07b629474c"/>
    <x:sheet xmlns:r="http://schemas.openxmlformats.org/officeDocument/2006/relationships" name="README" sheetId="2" r:id="R5497d5fa78fb4bbc"/>
    <x:sheet xmlns:r="http://schemas.openxmlformats.org/officeDocument/2006/relationships" name="REGULATION_QUEUE" sheetId="3" r:id="R531b9f56513c4209"/>
    <x:sheet xmlns:r="http://schemas.openxmlformats.org/officeDocument/2006/relationships" name="RUNS" sheetId="4" r:id="Rb1762c5a22c84994"/>
    <x:sheet xmlns:r="http://schemas.openxmlformats.org/officeDocument/2006/relationships" name="ITERATIONS" sheetId="5" r:id="R92594101e015400e"/>
    <x:sheet xmlns:r="http://schemas.openxmlformats.org/officeDocument/2006/relationships" name="API_CALLS" sheetId="6" r:id="R83b42596cc6f4d6c"/>
    <x:sheet xmlns:r="http://schemas.openxmlformats.org/officeDocument/2006/relationships" name="TERM_RETRIEVAL" sheetId="7" r:id="R35ffe20481f14694"/>
    <x:sheet xmlns:r="http://schemas.openxmlformats.org/officeDocument/2006/relationships" name="FEW_SHOT_SELECTION" sheetId="8" r:id="R0d63f88fe87445fa"/>
    <x:sheet xmlns:r="http://schemas.openxmlformats.org/officeDocument/2006/relationships" name="VALIDATION" sheetId="9" r:id="R88c58be1eed94c01"/>
    <x:sheet xmlns:r="http://schemas.openxmlformats.org/officeDocument/2006/relationships" name="VOCAB_MATCHES" sheetId="10" r:id="R3cc1ef2aaf3549d3"/>
    <x:sheet xmlns:r="http://schemas.openxmlformats.org/officeDocument/2006/relationships" name="ARTIFACTS" sheetId="11" r:id="R8ef1377f333c43f0"/>
    <x:sheet xmlns:r="http://schemas.openxmlformats.org/officeDocument/2006/relationships" name="UNRESOLVED" sheetId="12" r:id="Rbb379e9811b54d2f"/>
    <x:sheet xmlns:r="http://schemas.openxmlformats.org/officeDocument/2006/relationships" name="RDF_TEST_QUEUE" sheetId="13" r:id="Rdbda1be63c254a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0c3400b8b4786" /><Relationship Type="http://schemas.openxmlformats.org/officeDocument/2006/relationships/theme" Target="/xl/theme/theme1.xml" Id="R3e2e769e3e3f424a" /><Relationship Type="http://schemas.microsoft.com/office/2022/11/relationships/FeaturePropertyBag" Target="/xl/featurePropertyBag/featurePropertyBag.xml" Id="R5f7caf36859a49c8" /><Relationship Type="http://schemas.openxmlformats.org/officeDocument/2006/relationships/sharedStrings" Target="/xl/sharedStrings.xml" Id="R315f6287133341a9" /><Relationship Type="http://schemas.openxmlformats.org/officeDocument/2006/relationships/worksheet" Target="/xl/worksheets/sheet1.xml" Id="R72e77e07b629474c" /><Relationship Type="http://schemas.openxmlformats.org/officeDocument/2006/relationships/worksheet" Target="/xl/worksheets/sheet2.xml" Id="R5497d5fa78fb4bbc" /><Relationship Type="http://schemas.openxmlformats.org/officeDocument/2006/relationships/worksheet" Target="/xl/worksheets/sheet3.xml" Id="R531b9f56513c4209" /><Relationship Type="http://schemas.openxmlformats.org/officeDocument/2006/relationships/worksheet" Target="/xl/worksheets/sheet4.xml" Id="Rb1762c5a22c84994" /><Relationship Type="http://schemas.openxmlformats.org/officeDocument/2006/relationships/worksheet" Target="/xl/worksheets/sheet5.xml" Id="R92594101e015400e" /><Relationship Type="http://schemas.openxmlformats.org/officeDocument/2006/relationships/worksheet" Target="/xl/worksheets/sheet6.xml" Id="R83b42596cc6f4d6c" /><Relationship Type="http://schemas.openxmlformats.org/officeDocument/2006/relationships/worksheet" Target="/xl/worksheets/sheet7.xml" Id="R35ffe20481f14694" /><Relationship Type="http://schemas.openxmlformats.org/officeDocument/2006/relationships/worksheet" Target="/xl/worksheets/sheet8.xml" Id="R0d63f88fe87445fa" /><Relationship Type="http://schemas.openxmlformats.org/officeDocument/2006/relationships/worksheet" Target="/xl/worksheets/sheet9.xml" Id="R88c58be1eed94c01" /><Relationship Type="http://schemas.openxmlformats.org/officeDocument/2006/relationships/worksheet" Target="/xl/worksheets/sheet10.xml" Id="R3cc1ef2aaf3549d3" /><Relationship Type="http://schemas.openxmlformats.org/officeDocument/2006/relationships/worksheet" Target="/xl/worksheets/sheet11.xml" Id="R8ef1377f333c43f0" /><Relationship Type="http://schemas.openxmlformats.org/officeDocument/2006/relationships/worksheet" Target="/xl/worksheets/sheet12.xml" Id="Rbb379e9811b54d2f" /><Relationship Type="http://schemas.openxmlformats.org/officeDocument/2006/relationships/worksheet" Target="/xl/worksheets/sheet13.xml" Id="Rdbda1be63c254a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f8afae8a7e41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32d408c0b146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acd2d6e60942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b3741aebcb47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d39a2f61da4f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e1bc6453a244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3259b58e0b4e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99d90001b245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ab8597813044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7ef62c89b3143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RUN-IMO-120-20260831T060010006593Z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38170.29294444444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RUN-IMO-120-20260831T060010006593Z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f8afae8a7e41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RUN-IMO-120-20260831T060010006593Z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MAX_ATTEMPTS_REACHED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32d408c0b146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RUN-IMO-120-20260831T060010006593Z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RUN-IMO-120-20260831T060010006593Z</x:v>
      </x:c>
      <x:c r="C5" s="69" t="str">
        <x:v>IMO-120</x:v>
      </x:c>
      <x:c r="D5" s="70" t="n">
        <x:v>46265.25011582176</x:v>
      </x:c>
      <x:c r="E5" s="70" t="n">
        <x:v>46265.25410046296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non-applicable operating-area branch. NonApplicableOperatingAreaShape currently selects when operatingArea = "Arctic_waters", so it rejects the applicable value and permits the intended non-Arctic branch by accidental pass logic. Encode the complementary condition operatingArea != "Arctic_waters" (or an equivalent portable SHACL Core negation), while preserving the required ship-level arcticWaters = "Arctic_waters" input, foodWasteDischargeToSea applicability logic, nearest-feature distance &gt;= 12 MI_N inclusive check, nearbyIceConcentration &gt; 1 UNITLESS check, and recorded distanceFromAreaWithIceConcentrationAboveOneTenth quantity.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acd2d6e60942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RUN-IMO-120-20260831T060010006593Z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RUN-IMO-120-20260831T060010006593Z</x:v>
      </x:c>
      <x:c r="B5" s="45" t="str">
        <x:v>IMO-120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logic: the nearbyIceConcentration check is inverted. FILTER NOT EXISTS with nearbyIceConcentration &gt; 1 makes the candidate pass when concentration is absent or not above one tenth and fail when the qualifying concentration exists. Encode the positive &gt;1 concentration qualification and require the distanceFromAreaWithIceConcentrationAboveOneTenth quantity to be recorded for that same supplied context, while retaining the nearest-land/ice-shelf/fast-ice distance &gt;= 12 nautical-mile check. Do not duplicate the Arctic applicability fact: use operatingArea = Arctic_waters and foodWasteDischargeToSea = true as the applicability condition unless arcticWaters is an independently required input; if arcticWaters remains required by the dependency contract, use it consistently rather than making two redundant ship facts determine the same area.</x:v>
      </x:c>
      <x:c r="I5" s="84" t="n">
        <x:v>62327.738</x:v>
      </x:c>
      <x:c r="J5" s="84" t="n">
        <x:v>23955.525</x:v>
      </x:c>
    </x:row>
    <x:row r="6">
      <x:c r="A6" s="47" t="str">
        <x:v>RUN-IMO-120-20260831T060010006593Z</x:v>
      </x:c>
      <x:c r="B6" s="47" t="str">
        <x:v>IMO-120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applicability logic. The regulatory condition is determined by operatingArea = "Arctic_waters" and foodWasteDischargeToSea = true; the current sh:or additionally makes arcticWaters = "Arctic_waters" a third determinant, so an applicable ship can incorrectly pass through the non-applicable branch when that redundant fact is absent or differs. Use the positive applicable branch only when operatingArea and discharge have those values, with the complementary non-applicable branch otherwise. Retain arcticWaters only as an independently required input if the dependency contract requires its presence; do not let it create a second, redundant applicability condition. Preserve the nearest distance &gt;= 12 MI_N inclusive check, the nearbyIceConcentration &gt; 1 UNITLESS qualification, and the required recorded distanceFromAreaWithIceConcentrationAboveOneTenth quantity on the same supplied context.</x:v>
      </x:c>
      <x:c r="I6" s="86" t="n">
        <x:v>54941.843</x:v>
      </x:c>
      <x:c r="J6" s="86" t="n">
        <x:v>40711.393</x:v>
      </x:c>
    </x:row>
    <x:row r="7">
      <x:c r="A7" s="47" t="str">
        <x:v>RUN-IMO-120-20260831T060010006593Z</x:v>
      </x:c>
      <x:c r="B7" s="47" t="str">
        <x:v>IMO-120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The applicability encoding still treats arcticWaters inconsistently: it is required at the top level with value "Arctic_waters" but is omitted from the applicable branch, while operatingArea and foodWasteDischargeToSea determine that branch. Because the COMPLETE dependency contract declares arcticWaters as an applicability/direct-constraint term, retain its required ship-level input and include the same value consistently in the applicable condition (or otherwise encode its declared role without creating a conflicting duplicate applicability determinant). Preserve the positive nearbyIceConcentration &gt; 1 UNITLESS check, the required distanceFromAreaWithIceConcentrationAboveOneTenth quantity, and the inclusive nearest-feature distance &gt;= 12 MI_N check.</x:v>
      </x:c>
      <x:c r="I7" s="86" t="n">
        <x:v>57693.892</x:v>
      </x:c>
      <x:c r="J7" s="86" t="n">
        <x:v>31144.308</x:v>
      </x:c>
    </x:row>
    <x:row r="8">
      <x:c r="A8" s="49" t="str">
        <x:v>RUN-IMO-120-20260831T060010006593Z</x:v>
      </x:c>
      <x:c r="B8" s="49" t="str">
        <x:v>IMO-120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non-applicable operating-area branch. NonApplicableOperatingAreaShape currently selects when operatingArea = "Arctic_waters", so it rejects the applicable value and permits the intended non-Arctic branch by accidental pass logic. Encode the complementary condition operatingArea != "Arctic_waters" (or an equivalent portable SHACL Core negation), while preserving the required ship-level arcticWaters = "Arctic_waters" input, foodWasteDischargeToSea applicability logic, nearest-feature distance &gt;= 12 MI_N inclusive check, nearbyIceConcentration &gt; 1 UNITLESS check, and recorded distanceFromAreaWithIceConcentrationAboveOneTenth quantity.</x:v>
      </x:c>
      <x:c r="I8" s="88" t="n">
        <x:v>42919.169</x:v>
      </x:c>
      <x:c r="J8" s="88" t="n">
        <x:v>14469.646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b3741aebcb47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RUN-IMO-120-20260831T060010006593Z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RUN-IMO-120-20260831T060010006593Z</x:v>
      </x:c>
      <x:c r="C5" s="45" t="str">
        <x:v>IMO-120</x:v>
      </x:c>
      <x:c r="D5" s="92" t="n">
        <x:v>46265.25083719908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62326.158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RUN-IMO-120-20260831T060010006593Z</x:v>
      </x:c>
      <x:c r="C6" s="47" t="str">
        <x:v>IMO-120</x:v>
      </x:c>
      <x:c r="D6" s="93" t="n">
        <x:v>46265.25083722222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62327.738</x:v>
      </x:c>
      <x:c r="L6" s="85" t="b">
        <x:v>0</x:v>
      </x:c>
      <x:c r="M6" s="47" t="str">
        <x:v>resp_0a100d2481aa44b7006a95186a1b7c8190a954997f7f1cc006</x:v>
      </x:c>
      <x:c r="N6" s="59" t="n">
        <x:v>8346</x:v>
      </x:c>
      <x:c r="O6" s="59" t="n">
        <x:v>3679</x:v>
      </x:c>
      <x:c r="P6" s="59" t="n">
        <x:v>12025</x:v>
      </x:c>
    </x:row>
    <x:row r="7">
      <x:c r="A7" s="47" t="str">
        <x:v>EVT-000025</x:v>
      </x:c>
      <x:c r="B7" s="47" t="str">
        <x:v>RUN-IMO-120-20260831T060010006593Z</x:v>
      </x:c>
      <x:c r="C7" s="47" t="str">
        <x:v>IMO-120</x:v>
      </x:c>
      <x:c r="D7" s="93" t="n">
        <x:v>46265.25111577546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23954.229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RUN-IMO-120-20260831T060010006593Z</x:v>
      </x:c>
      <x:c r="C8" s="47" t="str">
        <x:v>IMO-120</x:v>
      </x:c>
      <x:c r="D8" s="93" t="n">
        <x:v>46265.25111579861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23955.525</x:v>
      </x:c>
      <x:c r="L8" s="85" t="b">
        <x:v>0</x:v>
      </x:c>
      <x:c r="M8" s="47" t="str">
        <x:v>resp_0fe2c0bb7e089366006a9518a887bc8197b25a32260bf6c57f</x:v>
      </x:c>
      <x:c r="N8" s="59" t="n">
        <x:v>7220</x:v>
      </x:c>
      <x:c r="O8" s="59" t="n">
        <x:v>1219</x:v>
      </x:c>
      <x:c r="P8" s="59" t="n">
        <x:v>8439</x:v>
      </x:c>
    </x:row>
    <x:row r="9">
      <x:c r="A9" s="47" t="str">
        <x:v>EVT-000031</x:v>
      </x:c>
      <x:c r="B9" s="47" t="str">
        <x:v>RUN-IMO-120-20260831T060010006593Z</x:v>
      </x:c>
      <x:c r="C9" s="47" t="str">
        <x:v>IMO-120</x:v>
      </x:c>
      <x:c r="D9" s="93" t="n">
        <x:v>46265.251751724536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54940.44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RUN-IMO-120-20260831T060010006593Z</x:v>
      </x:c>
      <x:c r="C10" s="47" t="str">
        <x:v>IMO-120</x:v>
      </x:c>
      <x:c r="D10" s="93" t="n">
        <x:v>46265.25175173611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54941.843</x:v>
      </x:c>
      <x:c r="L10" s="85" t="b">
        <x:v>0</x:v>
      </x:c>
      <x:c r="M10" s="47" t="str">
        <x:v>resp_04dfe1236e09d86c006a9518c07af88195afae05fb7ab43cf8</x:v>
      </x:c>
      <x:c r="N10" s="59" t="n">
        <x:v>8510</x:v>
      </x:c>
      <x:c r="O10" s="59" t="n">
        <x:v>3443</x:v>
      </x:c>
      <x:c r="P10" s="59" t="n">
        <x:v>11953</x:v>
      </x:c>
    </x:row>
    <x:row r="11">
      <x:c r="A11" s="47" t="str">
        <x:v>EVT-000039</x:v>
      </x:c>
      <x:c r="B11" s="47" t="str">
        <x:v>RUN-IMO-120-20260831T060010006593Z</x:v>
      </x:c>
      <x:c r="C11" s="47" t="str">
        <x:v>IMO-120</x:v>
      </x:c>
      <x:c r="D11" s="93" t="n">
        <x:v>46265.25222515046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40710.974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RUN-IMO-120-20260831T060010006593Z</x:v>
      </x:c>
      <x:c r="C12" s="47" t="str">
        <x:v>IMO-120</x:v>
      </x:c>
      <x:c r="D12" s="93" t="n">
        <x:v>46265.25222515046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40711.393</x:v>
      </x:c>
      <x:c r="L12" s="85" t="b">
        <x:v>0</x:v>
      </x:c>
      <x:c r="M12" s="47" t="str">
        <x:v>resp_0553b170a5575c0f006a9518f7a56881949fc59ecd65262e86</x:v>
      </x:c>
      <x:c r="N12" s="59" t="n">
        <x:v>8174</x:v>
      </x:c>
      <x:c r="O12" s="59" t="n">
        <x:v>2268</x:v>
      </x:c>
      <x:c r="P12" s="59" t="n">
        <x:v>10442</x:v>
      </x:c>
    </x:row>
    <x:row r="13">
      <x:c r="A13" s="47" t="str">
        <x:v>EVT-000045</x:v>
      </x:c>
      <x:c r="B13" s="47" t="str">
        <x:v>RUN-IMO-120-20260831T060010006593Z</x:v>
      </x:c>
      <x:c r="C13" s="47" t="str">
        <x:v>IMO-120</x:v>
      </x:c>
      <x:c r="D13" s="93" t="n">
        <x:v>46265.252892916666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57692.311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RUN-IMO-120-20260831T060010006593Z</x:v>
      </x:c>
      <x:c r="C14" s="47" t="str">
        <x:v>IMO-120</x:v>
      </x:c>
      <x:c r="D14" s="93" t="n">
        <x:v>46265.25289293982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57693.892</x:v>
      </x:c>
      <x:c r="L14" s="85" t="b">
        <x:v>0</x:v>
      </x:c>
      <x:c r="M14" s="47" t="str">
        <x:v>resp_069ceaa9fe901da8006a95192056608195b848e8629ed4e9fc</x:v>
      </x:c>
      <x:c r="N14" s="59" t="n">
        <x:v>8691</x:v>
      </x:c>
      <x:c r="O14" s="59" t="n">
        <x:v>3640</x:v>
      </x:c>
      <x:c r="P14" s="59" t="n">
        <x:v>12331</x:v>
      </x:c>
    </x:row>
    <x:row r="15">
      <x:c r="A15" s="47" t="str">
        <x:v>EVT-000053</x:v>
      </x:c>
      <x:c r="B15" s="47" t="str">
        <x:v>RUN-IMO-120-20260831T060010006593Z</x:v>
      </x:c>
      <x:c r="C15" s="47" t="str">
        <x:v>IMO-120</x:v>
      </x:c>
      <x:c r="D15" s="93" t="n">
        <x:v>46265.25325576389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31142.821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EVT-000054</x:v>
      </x:c>
      <x:c r="B16" s="47" t="str">
        <x:v>RUN-IMO-120-20260831T060010006593Z</x:v>
      </x:c>
      <x:c r="C16" s="47" t="str">
        <x:v>IMO-120</x:v>
      </x:c>
      <x:c r="D16" s="93" t="n">
        <x:v>46265.253255787036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31144.308</x:v>
      </x:c>
      <x:c r="L16" s="85" t="b">
        <x:v>0</x:v>
      </x:c>
      <x:c r="M16" s="47" t="str">
        <x:v>resp_0b9896c104f224ac006a95195ad24881968dbdb932f0aac088</x:v>
      </x:c>
      <x:c r="N16" s="59" t="n">
        <x:v>8471</x:v>
      </x:c>
      <x:c r="O16" s="59" t="n">
        <x:v>1714</x:v>
      </x:c>
      <x:c r="P16" s="59" t="n">
        <x:v>10185</x:v>
      </x:c>
    </x:row>
    <x:row r="17">
      <x:c r="A17" s="47" t="str">
        <x:v>EVT-000060</x:v>
      </x:c>
      <x:c r="B17" s="47" t="str">
        <x:v>RUN-IMO-120-20260831T060010006593Z</x:v>
      </x:c>
      <x:c r="C17" s="47" t="str">
        <x:v>IMO-120</x:v>
      </x:c>
      <x:c r="D17" s="93" t="n">
        <x:v>46265.253752592595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42917.82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EVT-000061</x:v>
      </x:c>
      <x:c r="B18" s="47" t="str">
        <x:v>RUN-IMO-120-20260831T060010006593Z</x:v>
      </x:c>
      <x:c r="C18" s="47" t="str">
        <x:v>IMO-120</x:v>
      </x:c>
      <x:c r="D18" s="93" t="n">
        <x:v>46265.25375261574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42919.169</x:v>
      </x:c>
      <x:c r="L18" s="85" t="b">
        <x:v>0</x:v>
      </x:c>
      <x:c r="M18" s="47" t="str">
        <x:v>resp_014a9f8fccb3c5e4006a951979670c819482644213eebd2b23</x:v>
      </x:c>
      <x:c r="N18" s="59" t="n">
        <x:v>8836</x:v>
      </x:c>
      <x:c r="O18" s="59" t="n">
        <x:v>2872</x:v>
      </x:c>
      <x:c r="P18" s="59" t="n">
        <x:v>11708</x:v>
      </x:c>
    </x:row>
    <x:row r="19">
      <x:c r="A19" s="47" t="str">
        <x:v>EVT-000066</x:v>
      </x:c>
      <x:c r="B19" s="47" t="str">
        <x:v>RUN-IMO-120-20260831T060010006593Z</x:v>
      </x:c>
      <x:c r="C19" s="47" t="str">
        <x:v>IMO-120</x:v>
      </x:c>
      <x:c r="D19" s="93" t="n">
        <x:v>46265.25393064815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15373.659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EVT-000067</x:v>
      </x:c>
      <x:c r="B20" s="47" t="str">
        <x:v>RUN-IMO-120-20260831T060010006593Z</x:v>
      </x:c>
      <x:c r="C20" s="47" t="str">
        <x:v>IMO-120</x:v>
      </x:c>
      <x:c r="D20" s="93" t="n">
        <x:v>46265.25393067129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15375.096</x:v>
      </x:c>
      <x:c r="L20" s="85" t="b">
        <x:v>0</x:v>
      </x:c>
      <x:c r="M20" s="47" t="str">
        <x:v>resp_0172bc4f85dc07e4006a9519a747c8819395fcd323f37bd7ee</x:v>
      </x:c>
      <x:c r="N20" s="59" t="n">
        <x:v>3478</x:v>
      </x:c>
      <x:c r="O20" s="59" t="n">
        <x:v>1371</x:v>
      </x:c>
      <x:c r="P20" s="59" t="n">
        <x:v>4849</x:v>
      </x:c>
    </x:row>
    <x:row r="21">
      <x:c r="A21" s="47" t="str">
        <x:v>EVT-000075</x:v>
      </x:c>
      <x:c r="B21" s="47" t="str">
        <x:v>RUN-IMO-120-20260831T060010006593Z</x:v>
      </x:c>
      <x:c r="C21" s="47" t="str">
        <x:v>IMO-120</x:v>
      </x:c>
      <x:c r="D21" s="93" t="n">
        <x:v>46265.254100405095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14468.251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EVT-000076</x:v>
      </x:c>
      <x:c r="B22" s="49" t="str">
        <x:v>RUN-IMO-120-20260831T060010006593Z</x:v>
      </x:c>
      <x:c r="C22" s="49" t="str">
        <x:v>IMO-120</x:v>
      </x:c>
      <x:c r="D22" s="94" t="n">
        <x:v>46265.25410041666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14469.646</x:v>
      </x:c>
      <x:c r="L22" s="87" t="b">
        <x:v>0</x:v>
      </x:c>
      <x:c r="M22" s="49" t="str">
        <x:v>resp_09d4ea905545f1ee006a9519b3e76c8193ad3320c6d72dec4f</x:v>
      </x:c>
      <x:c r="N22" s="60" t="n">
        <x:v>8673</x:v>
      </x:c>
      <x:c r="O22" s="60" t="n">
        <x:v>672</x:v>
      </x:c>
      <x:c r="P22" s="60" t="n">
        <x:v>9345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d39a2f61da4f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RUN-IMO-120-20260831T060010006593Z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RUN-IMO-120-20260831T060010006593Z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RUN-IMO-120-20260831T060010006593Z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RUN-IMO-120-20260831T060010006593Z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RUN-IMO-120-20260831T060010006593Z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RUN-IMO-120-20260831T060010006593Z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RUN-IMO-120-20260831T060010006593Z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RUN-IMO-120-20260831T060010006593Z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RUN-IMO-120-20260831T060010006593Z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RUN-IMO-120-20260831T060010006593Z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e1bc6453a244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RUN-IMO-120-20260831T060010006593Z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RUN-IMO-120-20260831T060010006593Z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7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RUN-IMO-120-20260831T060010006593Z</x:v>
      </x:c>
      <x:c r="B6" s="49" t="str">
        <x:v>IMO-120</x:v>
      </x:c>
      <x:c r="C6" s="49" t="str">
        <x:v>FS-BOOL-01</x:v>
      </x:c>
      <x:c r="D6" s="49" t="str">
        <x:v>boolean_state</x:v>
      </x:c>
      <x:c r="E6" s="98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3259b58e0b4e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RUN-IMO-120-20260831T060010006593Z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RUN-IMO-120-20260831T060010006593Z</x:v>
      </x:c>
      <x:c r="B5" s="45" t="str">
        <x:v>IMO-120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https://w3id.org/nltl/vocab#arcticWaters | https://w3id.org/nltl/vocab#distanceFromAreaWithIceConcentrationAboveOneTenth | https://w3id.org/nltl/vocab#distanceToNearestLandIceShelfOrFastIce | https://w3id.org/nltl/vocab#foodWasteDischargeToSea | https://w3id.org/nltl/vocab#nearbyIceConcentration | https://w3id.org/nltl/vocab#operatingArea | https://w3id.org/nltl/vocab#ship</x:v>
      </x:c>
      <x:c r="O5" s="46" t="str"/>
      <x:c r="P5" s="46" t="str"/>
      <x:c r="Q5" s="46" t="str"/>
    </x:row>
    <x:row r="6">
      <x:c r="A6" s="47" t="str">
        <x:v>RUN-IMO-120-20260831T060010006593Z</x:v>
      </x:c>
      <x:c r="B6" s="47" t="str">
        <x:v>IMO-120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https://w3id.org/nltl/vocab#arcticWaters | https://w3id.org/nltl/vocab#distanceFromAreaWithIceConcentrationAboveOneTenth | https://w3id.org/nltl/vocab#distanceToNearestLandIceShelfOrFastIce | https://w3id.org/nltl/vocab#foodWasteDischargeToSea | https://w3id.org/nltl/vocab#iceConcentration | https://w3id.org/nltl/vocab#nearbyIceConcentration | https://w3id.org/nltl/vocab#operatingArea | https://w3id.org/nltl/vocab#ship</x:v>
      </x:c>
      <x:c r="O6" s="48" t="str"/>
      <x:c r="P6" s="48" t="str"/>
      <x:c r="Q6" s="48" t="str"/>
    </x:row>
    <x:row r="7">
      <x:c r="A7" s="47" t="str">
        <x:v>RUN-IMO-120-20260831T060010006593Z</x:v>
      </x:c>
      <x:c r="B7" s="47" t="str">
        <x:v>IMO-120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https://w3id.org/nltl/vocab#arcticWaters | https://w3id.org/nltl/vocab#distanceFromAreaWithIceConcentrationAboveOneTenth | https://w3id.org/nltl/vocab#distanceToNearestLandIceShelfOrFastIce | https://w3id.org/nltl/vocab#foodWasteDischargeToSea | https://w3id.org/nltl/vocab#iceConcentration | https://w3id.org/nltl/vocab#nearbyIceConcentration | https://w3id.org/nltl/vocab#operatingArea | https://w3id.org/nltl/vocab#ship</x:v>
      </x:c>
      <x:c r="O7" s="48" t="str"/>
      <x:c r="P7" s="48" t="str"/>
      <x:c r="Q7" s="48" t="str"/>
    </x:row>
    <x:row r="8">
      <x:c r="A8" s="49" t="str">
        <x:v>RUN-IMO-120-20260831T060010006593Z</x:v>
      </x:c>
      <x:c r="B8" s="49" t="str">
        <x:v>IMO-120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https://w3id.org/nltl/vocab#arcticWaters | https://w3id.org/nltl/vocab#distanceFromAreaWithIceConcentrationAboveOneTenth | https://w3id.org/nltl/vocab#distanceToNearestLandIceShelfOrFastIce | https://w3id.org/nltl/vocab#foodWasteDischargeToSea | https://w3id.org/nltl/vocab#iceConcentration | https://w3id.org/nltl/vocab#nearbyIceConcentration | https://w3id.org/nltl/vocab#operatingArea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999d90001b245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RUN-IMO-120-20260831T060010006593Z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RUN-IMO-120-20260831T060010006593Z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RUN-IMO-120-20260831T060010006593Z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9f6a1943525efcbd364095cd226e4fa100700786ef38fa11eccc80eaa230b585</x:v>
      </x:c>
      <x:c r="G5" s="58" t="n">
        <x:v>16104</x:v>
      </x:c>
    </x:row>
    <x:row r="6">
      <x:c r="A6" s="47" t="str">
        <x:v>RUN-IMO-120-20260831T060010006593Z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RUN-IMO-120-20260831T060010006593Z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a8981f115d441d52632c9d2740a05c97eb78831c66436d5109d3db4b1c1fc6fd</x:v>
      </x:c>
      <x:c r="G7" s="59" t="n">
        <x:v>33867</x:v>
      </x:c>
    </x:row>
    <x:row r="8">
      <x:c r="A8" s="47" t="str">
        <x:v>RUN-IMO-120-20260831T060010006593Z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c2986972383d3dfd04f20fad381146aa03bf166a8f8f8da8fdfa08518c706a55</x:v>
      </x:c>
      <x:c r="G8" s="59" t="n">
        <x:v>2742</x:v>
      </x:c>
    </x:row>
    <x:row r="9">
      <x:c r="A9" s="47" t="str">
        <x:v>RUN-IMO-120-20260831T060010006593Z</x:v>
      </x:c>
      <x:c r="B9" s="47" t="str">
        <x:v>IMO-120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479b523c56ac9433957620e5972aa02529f390cc34999be2549fb152adb5d45d</x:v>
      </x:c>
      <x:c r="G9" s="59" t="n">
        <x:v>2717</x:v>
      </x:c>
    </x:row>
    <x:row r="10">
      <x:c r="A10" s="47" t="str">
        <x:v>RUN-IMO-120-20260831T060010006593Z</x:v>
      </x:c>
      <x:c r="B10" s="47" t="str">
        <x:v>IMO-120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0f13eb2856db74fdc87c21acf636f8c3abe7e825c205d942e07099cdd13b3a19</x:v>
      </x:c>
      <x:c r="G10" s="59" t="n">
        <x:v>802</x:v>
      </x:c>
    </x:row>
    <x:row r="11">
      <x:c r="A11" s="47" t="str">
        <x:v>RUN-IMO-120-20260831T060010006593Z</x:v>
      </x:c>
      <x:c r="B11" s="47" t="str">
        <x:v>IMO-120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9f164de439fdf16839139bbe89899bd55581b6e0d583da5665b703b914e058d4</x:v>
      </x:c>
      <x:c r="G11" s="59" t="n">
        <x:v>29034</x:v>
      </x:c>
    </x:row>
    <x:row r="12">
      <x:c r="A12" s="47" t="str">
        <x:v>RUN-IMO-120-20260831T060010006593Z</x:v>
      </x:c>
      <x:c r="B12" s="47" t="str">
        <x:v>IMO-120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e3c43b9964f1fdd3d61a1cd6d76f13bfb4b84c675e35d26838777dca7aea2588</x:v>
      </x:c>
      <x:c r="G12" s="59" t="n">
        <x:v>932</x:v>
      </x:c>
    </x:row>
    <x:row r="13">
      <x:c r="A13" s="47" t="str">
        <x:v>RUN-IMO-120-20260831T060010006593Z</x:v>
      </x:c>
      <x:c r="B13" s="47" t="str">
        <x:v>IMO-120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e8380adde23426c3539c7cb0ec4c5dbf204840932ec1dde65413caec4e19fb88</x:v>
      </x:c>
      <x:c r="G13" s="59" t="n">
        <x:v>34734</x:v>
      </x:c>
    </x:row>
    <x:row r="14">
      <x:c r="A14" s="47" t="str">
        <x:v>RUN-IMO-120-20260831T060010006593Z</x:v>
      </x:c>
      <x:c r="B14" s="47" t="str">
        <x:v>IMO-120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dfd599ea4c4556204694a2a34de8d04b8d182a21f1b6d922b38510bd1eb1a951</x:v>
      </x:c>
      <x:c r="G14" s="59" t="n">
        <x:v>5186</x:v>
      </x:c>
    </x:row>
    <x:row r="15">
      <x:c r="A15" s="47" t="str">
        <x:v>RUN-IMO-120-20260831T060010006593Z</x:v>
      </x:c>
      <x:c r="B15" s="47" t="str">
        <x:v>IMO-120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cf038a085d0c9ab61061c6d7a54f5596228e6f53531cc95ef440fe07d8e1251a</x:v>
      </x:c>
      <x:c r="G15" s="59" t="n">
        <x:v>5161</x:v>
      </x:c>
    </x:row>
    <x:row r="16">
      <x:c r="A16" s="47" t="str">
        <x:v>RUN-IMO-120-20260831T060010006593Z</x:v>
      </x:c>
      <x:c r="B16" s="47" t="str">
        <x:v>IMO-120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ce79438542ff034cf9007440c7d05e07a0285240a52ef428257bda92b43f3769</x:v>
      </x:c>
      <x:c r="G16" s="59" t="n">
        <x:v>854</x:v>
      </x:c>
    </x:row>
    <x:row r="17">
      <x:c r="A17" s="47" t="str">
        <x:v>RUN-IMO-120-20260831T060010006593Z</x:v>
      </x:c>
      <x:c r="B17" s="47" t="str">
        <x:v>IMO-120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b3029854e0a505c69c2ac5066a2946cb6b319afaa3e80ccb40be29857919e7d1</x:v>
      </x:c>
      <x:c r="G17" s="59" t="n">
        <x:v>32894</x:v>
      </x:c>
    </x:row>
    <x:row r="18">
      <x:c r="A18" s="47" t="str">
        <x:v>RUN-IMO-120-20260831T060010006593Z</x:v>
      </x:c>
      <x:c r="B18" s="47" t="str">
        <x:v>IMO-120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49c353ebcb551bbd31dcbf758d23907409810aa31e67932e2bcd95c9815352e8</x:v>
      </x:c>
      <x:c r="G18" s="59" t="n">
        <x:v>974</x:v>
      </x:c>
    </x:row>
    <x:row r="19">
      <x:c r="A19" s="47" t="str">
        <x:v>RUN-IMO-120-20260831T060010006593Z</x:v>
      </x:c>
      <x:c r="B19" s="47" t="str">
        <x:v>IMO-120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cf05ed98f920136393ce6c0d85d2bed516b2cc02f4947606fb6f0fa1f06da201</x:v>
      </x:c>
      <x:c r="G19" s="59" t="n">
        <x:v>35651</x:v>
      </x:c>
    </x:row>
    <x:row r="20">
      <x:c r="A20" s="47" t="str">
        <x:v>RUN-IMO-120-20260831T060010006593Z</x:v>
      </x:c>
      <x:c r="B20" s="47" t="str">
        <x:v>IMO-120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f31b2d93782fb45d713cee9ac2f43d9dc86523f3cc335eca6de2e934ebc571cd</x:v>
      </x:c>
      <x:c r="G20" s="59" t="n">
        <x:v>4838</x:v>
      </x:c>
    </x:row>
    <x:row r="21">
      <x:c r="A21" s="47" t="str">
        <x:v>RUN-IMO-120-20260831T060010006593Z</x:v>
      </x:c>
      <x:c r="B21" s="47" t="str">
        <x:v>IMO-120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60bce223b05a8d719e90f6b865fbe84221f4292a1818f03e0dfc5e59c327e012</x:v>
      </x:c>
      <x:c r="G21" s="59" t="n">
        <x:v>4813</x:v>
      </x:c>
    </x:row>
    <x:row r="22">
      <x:c r="A22" s="47" t="str">
        <x:v>RUN-IMO-120-20260831T060010006593Z</x:v>
      </x:c>
      <x:c r="B22" s="47" t="str">
        <x:v>IMO-120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ce79438542ff034cf9007440c7d05e07a0285240a52ef428257bda92b43f3769</x:v>
      </x:c>
      <x:c r="G22" s="59" t="n">
        <x:v>854</x:v>
      </x:c>
    </x:row>
    <x:row r="23">
      <x:c r="A23" s="47" t="str">
        <x:v>RUN-IMO-120-20260831T060010006593Z</x:v>
      </x:c>
      <x:c r="B23" s="47" t="str">
        <x:v>IMO-120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23c5d197de67f4f778c864a39a0c8cfef00999005daddedcf6d5cf335589bc00</x:v>
      </x:c>
      <x:c r="G23" s="59" t="n">
        <x:v>33476</x:v>
      </x:c>
    </x:row>
    <x:row r="24">
      <x:c r="A24" s="47" t="str">
        <x:v>RUN-IMO-120-20260831T060010006593Z</x:v>
      </x:c>
      <x:c r="B24" s="47" t="str">
        <x:v>IMO-120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d3dd06f4300dfc136a51c868e42731ad13a2b2e6210e480754a2248350e7bc90</x:v>
      </x:c>
      <x:c r="G24" s="59" t="n">
        <x:v>826</x:v>
      </x:c>
    </x:row>
    <x:row r="25">
      <x:c r="A25" s="47" t="str">
        <x:v>RUN-IMO-120-20260831T060010006593Z</x:v>
      </x:c>
      <x:c r="B25" s="47" t="str">
        <x:v>IMO-120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7d35dd72372d1636d69edd06561f218fa6a2e8d6b12dd6e72ee44f1f90f432ca</x:v>
      </x:c>
      <x:c r="G25" s="59" t="n">
        <x:v>36420</x:v>
      </x:c>
    </x:row>
    <x:row r="26">
      <x:c r="A26" s="47" t="str">
        <x:v>RUN-IMO-120-20260831T060010006593Z</x:v>
      </x:c>
      <x:c r="B26" s="47" t="str">
        <x:v>IMO-120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4f443bcbb5a85969135da9815c9f675666222aef012adc0c6e8dc09ff49d1e04</x:v>
      </x:c>
      <x:c r="G26" s="59" t="n">
        <x:v>4853</x:v>
      </x:c>
    </x:row>
    <x:row r="27">
      <x:c r="A27" s="47" t="str">
        <x:v>RUN-IMO-120-20260831T060010006593Z</x:v>
      </x:c>
      <x:c r="B27" s="47" t="str">
        <x:v>IMO-120</x:v>
      </x:c>
      <x:c r="C27" s="59" t="n">
        <x:v>4</x:v>
      </x:c>
      <x:c r="D27" s="47" t="str">
        <x:v>syntax_repair_prompt</x:v>
      </x:c>
      <x:c r="E27" s="48" t="str">
        <x:v>artifacts/attempt_04/syntax_repair_prompt_01.txt</x:v>
      </x:c>
      <x:c r="F27" s="47" t="str">
        <x:v>51579f02b84e0484d6a5cfcdb92c2f0b9bec101296f7b5eb56fefff56ffbad94</x:v>
      </x:c>
      <x:c r="G27" s="59" t="n">
        <x:v>11294</x:v>
      </x:c>
    </x:row>
    <x:row r="28">
      <x:c r="A28" s="47" t="str">
        <x:v>RUN-IMO-120-20260831T060010006593Z</x:v>
      </x:c>
      <x:c r="B28" s="47" t="str">
        <x:v>IMO-120</x:v>
      </x:c>
      <x:c r="C28" s="59" t="n">
        <x:v>4</x:v>
      </x:c>
      <x:c r="D28" s="47" t="str">
        <x:v>syntax_repair_raw_response</x:v>
      </x:c>
      <x:c r="E28" s="48" t="str">
        <x:v>artifacts/attempt_04/syntax_repair_raw_01.txt</x:v>
      </x:c>
      <x:c r="F28" s="47" t="str">
        <x:v>2f10d868579aa9df85860b4ca5890431b0ebf612e17b5695c4d3c79a9867da63</x:v>
      </x:c>
      <x:c r="G28" s="59" t="n">
        <x:v>4855</x:v>
      </x:c>
    </x:row>
    <x:row r="29">
      <x:c r="A29" s="47" t="str">
        <x:v>RUN-IMO-120-20260831T060010006593Z</x:v>
      </x:c>
      <x:c r="B29" s="47" t="str">
        <x:v>IMO-120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fc6a39c604de68af62b54560ed623425492ed1e195d88224cd3c3c440472e30c</x:v>
      </x:c>
      <x:c r="G29" s="59" t="n">
        <x:v>4829</x:v>
      </x:c>
    </x:row>
    <x:row r="30">
      <x:c r="A30" s="47" t="str">
        <x:v>RUN-IMO-120-20260831T060010006593Z</x:v>
      </x:c>
      <x:c r="B30" s="47" t="str">
        <x:v>IMO-120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ce79438542ff034cf9007440c7d05e07a0285240a52ef428257bda92b43f3769</x:v>
      </x:c>
      <x:c r="G30" s="59" t="n">
        <x:v>854</x:v>
      </x:c>
    </x:row>
    <x:row r="31">
      <x:c r="A31" s="47" t="str">
        <x:v>RUN-IMO-120-20260831T060010006593Z</x:v>
      </x:c>
      <x:c r="B31" s="47" t="str">
        <x:v>IMO-120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d20c3b1bad8ec743a3bb0f009b20d55be8107b90a31f115374c1e82d0ef898bc</x:v>
      </x:c>
      <x:c r="G31" s="59" t="n">
        <x:v>34271</x:v>
      </x:c>
    </x:row>
    <x:row r="32">
      <x:c r="A32" s="49" t="str">
        <x:v>RUN-IMO-120-20260831T060010006593Z</x:v>
      </x:c>
      <x:c r="B32" s="49" t="str">
        <x:v>IMO-120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58f6dffa8c3522d2e0e8fadeab6f9533a5ec5051467071deeb3a69a9c2016b18</x:v>
      </x:c>
      <x:c r="G32" s="60" t="n">
        <x:v>720</x:v>
      </x:c>
    </x:row>
  </x:sheetData>
  <x:pageMargins left="0.7" right="0.7" top="0.75" bottom="0.75" header="0.3" footer="0.3"/>
  <x:tableParts count="1">
    <x:tablePart xmlns:r="http://schemas.openxmlformats.org/officeDocument/2006/relationships" r:id="Rd5ab8597813044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RUN-IMO-120-20260831T060010006593Z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RUN-IMO-120-20260831T060010006593Z</x:v>
      </x:c>
      <x:c r="B5" s="69" t="str">
        <x:v>IMO-120</x:v>
      </x:c>
      <x:c r="C5" s="71" t="n">
        <x:v>4</x:v>
      </x:c>
      <x:c r="D5" s="69" t="str">
        <x:v>MAX_ATTEMPTS_REACHED</x:v>
      </x:c>
      <x:c r="E5" s="73" t="str">
        <x:v>Repair the non-applicable operating-area branch. NonApplicableOperatingAreaShape currently selects when operatingArea = "Arctic_waters", so it rejects the applicable value and permits the intended non-Arctic branch by accidental pass logic. Encode the complementary condition operatingArea != "Arctic_waters" (or an equivalent portable SHACL Core negation), while preserving the required ship-level arcticWaters = "Arctic_waters" input, foodWasteDischargeToSea applicability logic, nearest-feature distance &gt;= 12 MI_N inclusive check, nearbyIceConcentration &gt; 1 UNITLESS check, and recorded distanceFromAreaWithIceConcentrationAboveOneTenth quantity.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ef62c89b3143c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RUN-IMO-120-20260831T060010006593Z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