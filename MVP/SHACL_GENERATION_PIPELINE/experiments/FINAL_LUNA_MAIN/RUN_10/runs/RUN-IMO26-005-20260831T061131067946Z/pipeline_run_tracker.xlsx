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b192cf5acbd4117" /></Relationships>
</file>

<file path=xl/workbook.xml><?xml version="1.0" encoding="utf-8"?>
<x:workbook xmlns:x="http://schemas.openxmlformats.org/spreadsheetml/2006/main">
  <x:sheets>
    <x:sheet xmlns:r="http://schemas.openxmlformats.org/officeDocument/2006/relationships" name="SUMMARY" sheetId="1" r:id="R3c8e580ee8054fff"/>
    <x:sheet xmlns:r="http://schemas.openxmlformats.org/officeDocument/2006/relationships" name="README" sheetId="2" r:id="R23599dbcc2a0447c"/>
    <x:sheet xmlns:r="http://schemas.openxmlformats.org/officeDocument/2006/relationships" name="REGULATION_QUEUE" sheetId="3" r:id="R67db0c59ebd14723"/>
    <x:sheet xmlns:r="http://schemas.openxmlformats.org/officeDocument/2006/relationships" name="RUNS" sheetId="4" r:id="R56a86941e807401c"/>
    <x:sheet xmlns:r="http://schemas.openxmlformats.org/officeDocument/2006/relationships" name="ITERATIONS" sheetId="5" r:id="Rf5a7135e3910424e"/>
    <x:sheet xmlns:r="http://schemas.openxmlformats.org/officeDocument/2006/relationships" name="API_CALLS" sheetId="6" r:id="Ref245bd11d85466b"/>
    <x:sheet xmlns:r="http://schemas.openxmlformats.org/officeDocument/2006/relationships" name="TERM_RETRIEVAL" sheetId="7" r:id="Rc9fccf2d1a464393"/>
    <x:sheet xmlns:r="http://schemas.openxmlformats.org/officeDocument/2006/relationships" name="FEW_SHOT_SELECTION" sheetId="8" r:id="R5352a20d20b44f81"/>
    <x:sheet xmlns:r="http://schemas.openxmlformats.org/officeDocument/2006/relationships" name="VALIDATION" sheetId="9" r:id="R5e3cae180e524e36"/>
    <x:sheet xmlns:r="http://schemas.openxmlformats.org/officeDocument/2006/relationships" name="VOCAB_MATCHES" sheetId="10" r:id="Rf72edb0572be41be"/>
    <x:sheet xmlns:r="http://schemas.openxmlformats.org/officeDocument/2006/relationships" name="ARTIFACTS" sheetId="11" r:id="R6bcd79a5376f4f25"/>
    <x:sheet xmlns:r="http://schemas.openxmlformats.org/officeDocument/2006/relationships" name="UNRESOLVED" sheetId="12" r:id="R433167af30844d32"/>
    <x:sheet xmlns:r="http://schemas.openxmlformats.org/officeDocument/2006/relationships" name="RDF_TEST_QUEUE" sheetId="13" r:id="R643452966dc441fc"/>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549530f7b51440f" /><Relationship Type="http://schemas.openxmlformats.org/officeDocument/2006/relationships/theme" Target="/xl/theme/theme1.xml" Id="Reeb38882ba9e482d" /><Relationship Type="http://schemas.microsoft.com/office/2022/11/relationships/FeaturePropertyBag" Target="/xl/featurePropertyBag/featurePropertyBag.xml" Id="R0ba9275d59c3485e" /><Relationship Type="http://schemas.openxmlformats.org/officeDocument/2006/relationships/sharedStrings" Target="/xl/sharedStrings.xml" Id="Re0f071242dcd440f" /><Relationship Type="http://schemas.openxmlformats.org/officeDocument/2006/relationships/worksheet" Target="/xl/worksheets/sheet1.xml" Id="R3c8e580ee8054fff" /><Relationship Type="http://schemas.openxmlformats.org/officeDocument/2006/relationships/worksheet" Target="/xl/worksheets/sheet2.xml" Id="R23599dbcc2a0447c" /><Relationship Type="http://schemas.openxmlformats.org/officeDocument/2006/relationships/worksheet" Target="/xl/worksheets/sheet3.xml" Id="R67db0c59ebd14723" /><Relationship Type="http://schemas.openxmlformats.org/officeDocument/2006/relationships/worksheet" Target="/xl/worksheets/sheet4.xml" Id="R56a86941e807401c" /><Relationship Type="http://schemas.openxmlformats.org/officeDocument/2006/relationships/worksheet" Target="/xl/worksheets/sheet5.xml" Id="Rf5a7135e3910424e" /><Relationship Type="http://schemas.openxmlformats.org/officeDocument/2006/relationships/worksheet" Target="/xl/worksheets/sheet6.xml" Id="Ref245bd11d85466b" /><Relationship Type="http://schemas.openxmlformats.org/officeDocument/2006/relationships/worksheet" Target="/xl/worksheets/sheet7.xml" Id="Rc9fccf2d1a464393" /><Relationship Type="http://schemas.openxmlformats.org/officeDocument/2006/relationships/worksheet" Target="/xl/worksheets/sheet8.xml" Id="R5352a20d20b44f81" /><Relationship Type="http://schemas.openxmlformats.org/officeDocument/2006/relationships/worksheet" Target="/xl/worksheets/sheet9.xml" Id="R5e3cae180e524e36" /><Relationship Type="http://schemas.openxmlformats.org/officeDocument/2006/relationships/worksheet" Target="/xl/worksheets/sheet10.xml" Id="Rf72edb0572be41be" /><Relationship Type="http://schemas.openxmlformats.org/officeDocument/2006/relationships/worksheet" Target="/xl/worksheets/sheet11.xml" Id="R6bcd79a5376f4f25" /><Relationship Type="http://schemas.openxmlformats.org/officeDocument/2006/relationships/worksheet" Target="/xl/worksheets/sheet12.xml" Id="R433167af30844d32" /><Relationship Type="http://schemas.openxmlformats.org/officeDocument/2006/relationships/worksheet" Target="/xl/worksheets/sheet13.xml" Id="R643452966dc441fc"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7"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27"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735c5b396c74219" /></Relationships>
</file>

<file path=xl/worksheets/_rels/sheet3.xml.rels>&#65279;<?xml version="1.0" encoding="utf-8"?><Relationships xmlns="http://schemas.openxmlformats.org/package/2006/relationships"><Relationship Type="http://schemas.openxmlformats.org/officeDocument/2006/relationships/table" Target="/xl/tables/table2.xml" Id="R5424a2c5c3cd4dcc" /></Relationships>
</file>

<file path=xl/worksheets/_rels/sheet4.xml.rels>&#65279;<?xml version="1.0" encoding="utf-8"?><Relationships xmlns="http://schemas.openxmlformats.org/package/2006/relationships"><Relationship Type="http://schemas.openxmlformats.org/officeDocument/2006/relationships/table" Target="/xl/tables/table3.xml" Id="Rd8c221ed0f154068" /></Relationships>
</file>

<file path=xl/worksheets/_rels/sheet5.xml.rels>&#65279;<?xml version="1.0" encoding="utf-8"?><Relationships xmlns="http://schemas.openxmlformats.org/package/2006/relationships"><Relationship Type="http://schemas.openxmlformats.org/officeDocument/2006/relationships/table" Target="/xl/tables/table4.xml" Id="Rca9a45fd93b04371" /></Relationships>
</file>

<file path=xl/worksheets/_rels/sheet6.xml.rels>&#65279;<?xml version="1.0" encoding="utf-8"?><Relationships xmlns="http://schemas.openxmlformats.org/package/2006/relationships"><Relationship Type="http://schemas.openxmlformats.org/officeDocument/2006/relationships/table" Target="/xl/tables/table5.xml" Id="R91fc066bbf564639" /></Relationships>
</file>

<file path=xl/worksheets/_rels/sheet7.xml.rels>&#65279;<?xml version="1.0" encoding="utf-8"?><Relationships xmlns="http://schemas.openxmlformats.org/package/2006/relationships"><Relationship Type="http://schemas.openxmlformats.org/officeDocument/2006/relationships/table" Target="/xl/tables/table6.xml" Id="R061cd93a198441e2" /></Relationships>
</file>

<file path=xl/worksheets/_rels/sheet8.xml.rels>&#65279;<?xml version="1.0" encoding="utf-8"?><Relationships xmlns="http://schemas.openxmlformats.org/package/2006/relationships"><Relationship Type="http://schemas.openxmlformats.org/officeDocument/2006/relationships/table" Target="/xl/tables/table7.xml" Id="Rd919a5674b3b4bc4" /></Relationships>
</file>

<file path=xl/worksheets/_rels/sheet9.xml.rels>&#65279;<?xml version="1.0" encoding="utf-8"?><Relationships xmlns="http://schemas.openxmlformats.org/package/2006/relationships"><Relationship Type="http://schemas.openxmlformats.org/officeDocument/2006/relationships/table" Target="/xl/tables/table8.xml" Id="Rb62591d869664cd9" /></Relationships>
</file>

<file path=xl/worksheets/_rels/sheet10.xml.rels>&#65279;<?xml version="1.0" encoding="utf-8"?><Relationships xmlns="http://schemas.openxmlformats.org/package/2006/relationships"><Relationship Type="http://schemas.openxmlformats.org/officeDocument/2006/relationships/table" Target="/xl/tables/table9.xml" Id="Rbddd1323c0654f8d" /></Relationships>
</file>

<file path=xl/worksheets/_rels/sheet11.xml.rels>&#65279;<?xml version="1.0" encoding="utf-8"?><Relationships xmlns="http://schemas.openxmlformats.org/package/2006/relationships"><Relationship Type="http://schemas.openxmlformats.org/officeDocument/2006/relationships/table" Target="/xl/tables/table10.xml" Id="R7a7fb01044d942f7" /></Relationships>
</file>

<file path=xl/worksheets/_rels/sheet12.xml.rels>&#65279;<?xml version="1.0" encoding="utf-8"?><Relationships xmlns="http://schemas.openxmlformats.org/package/2006/relationships"><Relationship Type="http://schemas.openxmlformats.org/officeDocument/2006/relationships/table" Target="/xl/tables/table11.xml" Id="Rf055a045178540b9"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RUN-IMO26-005-20260831T061131067946Z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COUNTA('API_CALLS'!$A$5:$A$18)</x:f>
        <x:v>14</x:v>
      </x:c>
      <x:c r="C9" s="21"/>
      <x:c r="D9" s="21"/>
    </x:row>
    <x:row r="10">
      <x:c r="A10" s="27" t="str">
        <x:v>Mean API/LLM elapsed ms</x:v>
      </x:c>
      <x:c r="B10" s="28" t="n">
        <x:f>IFERROR(AVERAGE('API_CALLS'!$K$5:$K$18),0)</x:f>
        <x:v>13737.90814285714</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RUN-IMO26-005-20260831T061131067946Z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2735c5b396c74219"/>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RUN-IMO26-005-20260831T061131067946Z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TERM_RESOLUTION_UNRESOLVED</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5424a2c5c3cd4dcc"/>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RUN-IMO26-005-20260831T061131067946Z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SESSION-BATCH-20260831T031501646457Z</x:v>
      </x:c>
      <x:c r="B5" s="69" t="str">
        <x:v>RUN-IMO26-005-20260831T061131067946Z</x:v>
      </x:c>
      <x:c r="C5" s="69" t="str">
        <x:v>IMO26-005</x:v>
      </x:c>
      <x:c r="D5" s="70" t="n">
        <x:v>46265.257998483794</x:v>
      </x:c>
      <x:c r="E5" s="70" t="n">
        <x:v>46265.25912481482</x:v>
      </x:c>
      <x:c r="F5" s="69" t="str">
        <x:v>final-luna-main-run10</x:v>
      </x:c>
      <x:c r="G5" s="69" t="str">
        <x:v>VOCAB-LOCK-2026-08-22-R13</x:v>
      </x:c>
      <x:c r="H5" s="71" t="n">
        <x:v>3</x:v>
      </x:c>
      <x:c r="I5" s="69" t="str">
        <x:v>TERM_RESOLUTION_UNRESOLVED</x:v>
      </x:c>
      <x:c r="J5" s="72" t="b">
        <x:v>0</x:v>
      </x:c>
      <x:c r="K5" s="69" t="str"/>
      <x:c r="L5" s="73" t="str">
        <x:v>Preserve the prior repair: the ship-level intendedArea and Approved status are not qualified to each heading-reference or position-fixing system, so multiple systems can accidentally pass from one global area/status pair. Add or locate the canonical qualified per-system/area structure and bind every supplied system to its corresponding intended area and Approved suitability status, or provide an equivalent bounded SHACL check that evaluates each pairing. Keep all facts on their authoritative ship owner, and do not use presence-only ship-level constraints.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d8c221ed0f154068"/>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RUN-IMO26-005-20260831T061131067946Z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RUN-IMO26-005-20260831T061131067946Z</x:v>
      </x:c>
      <x:c r="B5" s="45" t="str">
        <x:v>IMO26-005</x:v>
      </x:c>
      <x:c r="C5" s="58" t="n">
        <x:v>1</x:v>
      </x:c>
      <x:c r="D5" s="83" t="b">
        <x:v>1</x:v>
      </x:c>
      <x:c r="E5" s="83" t="b">
        <x:v>0</x:v>
      </x:c>
      <x:c r="F5" s="83" t="b">
        <x:v>0</x:v>
      </x:c>
      <x:c r="G5" s="45" t="str">
        <x:v>REVISE</x:v>
      </x:c>
      <x:c r="H5" s="46" t="str">
        <x:v>The candidate does not faithfully encode the universal requirement for every heading-reference and position-fixing system: a ship-level sh:minCount on headingOrPositionSystem and one approval-status value only establish presence of an inventory and a single approved status, without relating each system to its intended area and approved suitability status. Add the canonical qualified per-system/area structure or an equivalent bounded SHACL check that evaluates every supplied system (while keeping all properties on their authoritative ship owner); do not rely on presence-only constraints.</x:v>
      </x:c>
      <x:c r="I5" s="84" t="n">
        <x:v>12660.811</x:v>
      </x:c>
      <x:c r="J5" s="84" t="n">
        <x:v>9275.832</x:v>
      </x:c>
    </x:row>
    <x:row r="6">
      <x:c r="A6" s="47" t="str">
        <x:v>RUN-IMO26-005-20260831T061131067946Z</x:v>
      </x:c>
      <x:c r="B6" s="47" t="str">
        <x:v>IMO26-005</x:v>
      </x:c>
      <x:c r="C6" s="59" t="n">
        <x:v>2</x:v>
      </x:c>
      <x:c r="D6" s="85" t="b">
        <x:v>1</x:v>
      </x:c>
      <x:c r="E6" s="85" t="b">
        <x:v>0</x:v>
      </x:c>
      <x:c r="F6" s="85" t="b">
        <x:v>0</x:v>
      </x:c>
      <x:c r="G6" s="47" t="str">
        <x:v>REVISE</x:v>
      </x:c>
      <x:c r="H6" s="48" t="str">
        <x:v>Preserve the prior repair: this still does not encode a qualified per-system suitability relation. The SPARQL query only requires one ship-level intendedArea string and one ship-level Approved status for the entire inventory, so any number of heading/position systems can accidentally pass without each system being evaluated. Add a canonical qualified per-system/area structure or an equivalent bounded SHACL check that binds each supplied system to its intended area and Approved suitability status, while keeping all properties on their authoritative ship owner; do not use presence-only ship-level constraints.</x:v>
      </x:c>
      <x:c r="I6" s="86" t="n">
        <x:v>26108.879</x:v>
      </x:c>
      <x:c r="J6" s="86" t="n">
        <x:v>6484.586</x:v>
      </x:c>
    </x:row>
    <x:row r="7">
      <x:c r="A7" s="49" t="str">
        <x:v>RUN-IMO26-005-20260831T061131067946Z</x:v>
      </x:c>
      <x:c r="B7" s="49" t="str">
        <x:v>IMO26-005</x:v>
      </x:c>
      <x:c r="C7" s="60" t="n">
        <x:v>3</x:v>
      </x:c>
      <x:c r="D7" s="87" t="b">
        <x:v>1</x:v>
      </x:c>
      <x:c r="E7" s="87" t="b">
        <x:v>0</x:v>
      </x:c>
      <x:c r="F7" s="87" t="b">
        <x:v>1</x:v>
      </x:c>
      <x:c r="G7" s="49" t="str">
        <x:v>STOP_TERM_RESOLUTION</x:v>
      </x:c>
      <x:c r="H7" s="50" t="str">
        <x:v>Preserve the prior repair: the ship-level intendedArea and Approved status are not qualified to each heading-reference or position-fixing system, so multiple systems can accidentally pass from one global area/status pair. Add or locate the canonical qualified per-system/area structure and bind every supplied system to its corresponding intended area and Approved suitability status, or provide an equivalent bounded SHACL check that evaluates each pairing. Keep all facts on their authoritative ship owner, and do not use presence-only ship-level constraints.</x:v>
      </x:c>
      <x:c r="I7" s="88" t="n">
        <x:v>29281.099</x:v>
      </x:c>
      <x:c r="J7" s="88" t="n">
        <x:v>9468.234</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ca9a45fd93b04371"/>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RUN-IMO26-005-20260831T061131067946Z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EVT-000021</x:v>
      </x:c>
      <x:c r="B5" s="45" t="str">
        <x:v>RUN-IMO26-005-20260831T061131067946Z</x:v>
      </x:c>
      <x:c r="C5" s="45" t="str">
        <x:v>IMO26-005</x:v>
      </x:c>
      <x:c r="D5" s="92" t="n">
        <x:v>46265.258145023145</x:v>
      </x:c>
      <x:c r="E5" s="45" t="str">
        <x:v>generator</x:v>
      </x:c>
      <x:c r="F5" s="45" t="str">
        <x:v>gpt-5.6-luna-2026-07-09</x:v>
      </x:c>
      <x:c r="G5" s="45" t="n">
        <x:v>1</x:v>
      </x:c>
      <x:c r="H5" s="45" t="n">
        <x:v>200</x:v>
      </x:c>
      <x:c r="I5" s="45" t="str">
        <x:v>Ocp-Apim-Subscription-Key</x:v>
      </x:c>
      <x:c r="J5" s="84" t="n">
        <x:v>0</x:v>
      </x:c>
      <x:c r="K5" s="84" t="n">
        <x:v>12659.133</x:v>
      </x:c>
      <x:c r="L5" s="83" t="b">
        <x:v>0</x:v>
      </x:c>
      <x:c r="M5" s="45" t="str"/>
      <x:c r="N5" s="58" t="str"/>
      <x:c r="O5" s="58" t="str"/>
      <x:c r="P5" s="58" t="str"/>
    </x:row>
    <x:row r="6">
      <x:c r="A6" s="47" t="str">
        <x:v>EVT-000022</x:v>
      </x:c>
      <x:c r="B6" s="47" t="str">
        <x:v>RUN-IMO26-005-20260831T061131067946Z</x:v>
      </x:c>
      <x:c r="C6" s="47" t="str">
        <x:v>IMO26-005</x:v>
      </x:c>
      <x:c r="D6" s="93" t="n">
        <x:v>46265.2581450463</x:v>
      </x:c>
      <x:c r="E6" s="47" t="str">
        <x:v>generator</x:v>
      </x:c>
      <x:c r="F6" s="47" t="str">
        <x:v>gpt-5.6-luna-2026-07-09</x:v>
      </x:c>
      <x:c r="G6" s="47" t="n">
        <x:v>1</x:v>
      </x:c>
      <x:c r="H6" s="47" t="str">
        <x:v>COMPLETED</x:v>
      </x:c>
      <x:c r="I6" s="47" t="str"/>
      <x:c r="J6" s="86" t="n">
        <x:v>0</x:v>
      </x:c>
      <x:c r="K6" s="86" t="n">
        <x:v>12660.811</x:v>
      </x:c>
      <x:c r="L6" s="85" t="b">
        <x:v>0</x:v>
      </x:c>
      <x:c r="M6" s="47" t="str">
        <x:v>resp_0174cec0c8c9a255006a951b132354819388f08e574b7a8b96</x:v>
      </x:c>
      <x:c r="N6" s="59" t="n">
        <x:v>7074</x:v>
      </x:c>
      <x:c r="O6" s="59" t="n">
        <x:v>822</x:v>
      </x:c>
      <x:c r="P6" s="59" t="n">
        <x:v>7896</x:v>
      </x:c>
    </x:row>
    <x:row r="7">
      <x:c r="A7" s="47" t="str">
        <x:v>EVT-000029</x:v>
      </x:c>
      <x:c r="B7" s="47" t="str">
        <x:v>RUN-IMO26-005-20260831T061131067946Z</x:v>
      </x:c>
      <x:c r="C7" s="47" t="str">
        <x:v>IMO26-005</x:v>
      </x:c>
      <x:c r="D7" s="93" t="n">
        <x:v>46265.25825305556</x:v>
      </x:c>
      <x:c r="E7" s="47" t="str">
        <x:v>validator</x:v>
      </x:c>
      <x:c r="F7" s="47" t="str">
        <x:v>gpt-5.6-luna-2026-07-09</x:v>
      </x:c>
      <x:c r="G7" s="47" t="n">
        <x:v>1</x:v>
      </x:c>
      <x:c r="H7" s="47" t="n">
        <x:v>200</x:v>
      </x:c>
      <x:c r="I7" s="47" t="str">
        <x:v>Ocp-Apim-Subscription-Key</x:v>
      </x:c>
      <x:c r="J7" s="86" t="n">
        <x:v>0</x:v>
      </x:c>
      <x:c r="K7" s="86" t="n">
        <x:v>9274.579</x:v>
      </x:c>
      <x:c r="L7" s="85" t="b">
        <x:v>0</x:v>
      </x:c>
      <x:c r="M7" s="47" t="str"/>
      <x:c r="N7" s="59" t="str"/>
      <x:c r="O7" s="59" t="str"/>
      <x:c r="P7" s="59" t="str"/>
    </x:row>
    <x:row r="8">
      <x:c r="A8" s="47" t="str">
        <x:v>EVT-000030</x:v>
      </x:c>
      <x:c r="B8" s="47" t="str">
        <x:v>RUN-IMO26-005-20260831T061131067946Z</x:v>
      </x:c>
      <x:c r="C8" s="47" t="str">
        <x:v>IMO26-005</x:v>
      </x:c>
      <x:c r="D8" s="93" t="n">
        <x:v>46265.258253078704</x:v>
      </x:c>
      <x:c r="E8" s="47" t="str">
        <x:v>validator</x:v>
      </x:c>
      <x:c r="F8" s="47" t="str">
        <x:v>gpt-5.6-luna-2026-07-09</x:v>
      </x:c>
      <x:c r="G8" s="47" t="n">
        <x:v>1</x:v>
      </x:c>
      <x:c r="H8" s="47" t="str">
        <x:v>COMPLETED</x:v>
      </x:c>
      <x:c r="I8" s="47" t="str"/>
      <x:c r="J8" s="86" t="n">
        <x:v>0</x:v>
      </x:c>
      <x:c r="K8" s="86" t="n">
        <x:v>9275.832</x:v>
      </x:c>
      <x:c r="L8" s="85" t="b">
        <x:v>0</x:v>
      </x:c>
      <x:c r="M8" s="47" t="str">
        <x:v>resp_0df225f79a1e5d39006a951b1fdbe08197b29011673cefa136</x:v>
      </x:c>
      <x:c r="N8" s="59" t="n">
        <x:v>6067</x:v>
      </x:c>
      <x:c r="O8" s="59" t="n">
        <x:v>637</x:v>
      </x:c>
      <x:c r="P8" s="59" t="n">
        <x:v>6704</x:v>
      </x:c>
    </x:row>
    <x:row r="9">
      <x:c r="A9" s="47" t="str">
        <x:v>EVT-000035</x:v>
      </x:c>
      <x:c r="B9" s="47" t="str">
        <x:v>RUN-IMO26-005-20260831T061131067946Z</x:v>
      </x:c>
      <x:c r="C9" s="47" t="str">
        <x:v>IMO26-005</x:v>
      </x:c>
      <x:c r="D9" s="93" t="n">
        <x:v>46265.25855528935</x:v>
      </x:c>
      <x:c r="E9" s="47" t="str">
        <x:v>generator</x:v>
      </x:c>
      <x:c r="F9" s="47" t="str">
        <x:v>gpt-5.6-luna-2026-07-09</x:v>
      </x:c>
      <x:c r="G9" s="47" t="n">
        <x:v>1</x:v>
      </x:c>
      <x:c r="H9" s="47" t="n">
        <x:v>200</x:v>
      </x:c>
      <x:c r="I9" s="47" t="str">
        <x:v>Ocp-Apim-Subscription-Key</x:v>
      </x:c>
      <x:c r="J9" s="86" t="n">
        <x:v>0</x:v>
      </x:c>
      <x:c r="K9" s="86" t="n">
        <x:v>26108.014</x:v>
      </x:c>
      <x:c r="L9" s="85" t="b">
        <x:v>0</x:v>
      </x:c>
      <x:c r="M9" s="47" t="str"/>
      <x:c r="N9" s="59" t="str"/>
      <x:c r="O9" s="59" t="str"/>
      <x:c r="P9" s="59" t="str"/>
    </x:row>
    <x:row r="10">
      <x:c r="A10" s="47" t="str">
        <x:v>EVT-000036</x:v>
      </x:c>
      <x:c r="B10" s="47" t="str">
        <x:v>RUN-IMO26-005-20260831T061131067946Z</x:v>
      </x:c>
      <x:c r="C10" s="47" t="str">
        <x:v>IMO26-005</x:v>
      </x:c>
      <x:c r="D10" s="93" t="n">
        <x:v>46265.25855530093</x:v>
      </x:c>
      <x:c r="E10" s="47" t="str">
        <x:v>generator</x:v>
      </x:c>
      <x:c r="F10" s="47" t="str">
        <x:v>gpt-5.6-luna-2026-07-09</x:v>
      </x:c>
      <x:c r="G10" s="47" t="n">
        <x:v>1</x:v>
      </x:c>
      <x:c r="H10" s="47" t="str">
        <x:v>COMPLETED</x:v>
      </x:c>
      <x:c r="I10" s="47" t="str"/>
      <x:c r="J10" s="86" t="n">
        <x:v>0</x:v>
      </x:c>
      <x:c r="K10" s="86" t="n">
        <x:v>26108.879</x:v>
      </x:c>
      <x:c r="L10" s="85" t="b">
        <x:v>0</x:v>
      </x:c>
      <x:c r="M10" s="47" t="str">
        <x:v>resp_01faf9f66dc5b9b2006a951b2924f08194aef77c72a8a7f998</x:v>
      </x:c>
      <x:c r="N10" s="59" t="n">
        <x:v>7174</x:v>
      </x:c>
      <x:c r="O10" s="59" t="n">
        <x:v>1981</x:v>
      </x:c>
      <x:c r="P10" s="59" t="n">
        <x:v>9155</x:v>
      </x:c>
    </x:row>
    <x:row r="11">
      <x:c r="A11" s="47" t="str">
        <x:v>EVT-000043</x:v>
      </x:c>
      <x:c r="B11" s="47" t="str">
        <x:v>RUN-IMO26-005-20260831T061131067946Z</x:v>
      </x:c>
      <x:c r="C11" s="47" t="str">
        <x:v>IMO26-005</x:v>
      </x:c>
      <x:c r="D11" s="93" t="n">
        <x:v>46265.25863113426</x:v>
      </x:c>
      <x:c r="E11" s="47" t="str">
        <x:v>validator</x:v>
      </x:c>
      <x:c r="F11" s="47" t="str">
        <x:v>gpt-5.6-luna-2026-07-09</x:v>
      </x:c>
      <x:c r="G11" s="47" t="n">
        <x:v>1</x:v>
      </x:c>
      <x:c r="H11" s="47" t="n">
        <x:v>200</x:v>
      </x:c>
      <x:c r="I11" s="47" t="str">
        <x:v>Ocp-Apim-Subscription-Key</x:v>
      </x:c>
      <x:c r="J11" s="86" t="n">
        <x:v>0</x:v>
      </x:c>
      <x:c r="K11" s="86" t="n">
        <x:v>6483.109</x:v>
      </x:c>
      <x:c r="L11" s="85" t="b">
        <x:v>0</x:v>
      </x:c>
      <x:c r="M11" s="47" t="str"/>
      <x:c r="N11" s="59" t="str"/>
      <x:c r="O11" s="59" t="str"/>
      <x:c r="P11" s="59" t="str"/>
    </x:row>
    <x:row r="12">
      <x:c r="A12" s="47" t="str">
        <x:v>EVT-000044</x:v>
      </x:c>
      <x:c r="B12" s="47" t="str">
        <x:v>RUN-IMO26-005-20260831T061131067946Z</x:v>
      </x:c>
      <x:c r="C12" s="47" t="str">
        <x:v>IMO26-005</x:v>
      </x:c>
      <x:c r="D12" s="93" t="n">
        <x:v>46265.258631157405</x:v>
      </x:c>
      <x:c r="E12" s="47" t="str">
        <x:v>validator</x:v>
      </x:c>
      <x:c r="F12" s="47" t="str">
        <x:v>gpt-5.6-luna-2026-07-09</x:v>
      </x:c>
      <x:c r="G12" s="47" t="n">
        <x:v>1</x:v>
      </x:c>
      <x:c r="H12" s="47" t="str">
        <x:v>COMPLETED</x:v>
      </x:c>
      <x:c r="I12" s="47" t="str"/>
      <x:c r="J12" s="86" t="n">
        <x:v>0</x:v>
      </x:c>
      <x:c r="K12" s="86" t="n">
        <x:v>6484.586</x:v>
      </x:c>
      <x:c r="L12" s="85" t="b">
        <x:v>0</x:v>
      </x:c>
      <x:c r="M12" s="47" t="str">
        <x:v>resp_0748d9bd8df9ca3b006a951b4353e08194911e5eb752b7138a</x:v>
      </x:c>
      <x:c r="N12" s="59" t="n">
        <x:v>6376</x:v>
      </x:c>
      <x:c r="O12" s="59" t="n">
        <x:v>377</x:v>
      </x:c>
      <x:c r="P12" s="59" t="n">
        <x:v>6753</x:v>
      </x:c>
    </x:row>
    <x:row r="13">
      <x:c r="A13" s="47" t="str">
        <x:v>EVT-000049</x:v>
      </x:c>
      <x:c r="B13" s="47" t="str">
        <x:v>RUN-IMO26-005-20260831T061131067946Z</x:v>
      </x:c>
      <x:c r="C13" s="47" t="str">
        <x:v>IMO26-005</x:v>
      </x:c>
      <x:c r="D13" s="93" t="n">
        <x:v>46265.25897009259</x:v>
      </x:c>
      <x:c r="E13" s="47" t="str">
        <x:v>generator</x:v>
      </x:c>
      <x:c r="F13" s="47" t="str">
        <x:v>gpt-5.6-luna-2026-07-09</x:v>
      </x:c>
      <x:c r="G13" s="47" t="n">
        <x:v>1</x:v>
      </x:c>
      <x:c r="H13" s="47" t="n">
        <x:v>200</x:v>
      </x:c>
      <x:c r="I13" s="47" t="str">
        <x:v>Ocp-Apim-Subscription-Key</x:v>
      </x:c>
      <x:c r="J13" s="86" t="n">
        <x:v>0</x:v>
      </x:c>
      <x:c r="K13" s="86" t="n">
        <x:v>29279.537</x:v>
      </x:c>
      <x:c r="L13" s="85" t="b">
        <x:v>0</x:v>
      </x:c>
      <x:c r="M13" s="47" t="str"/>
      <x:c r="N13" s="59" t="str"/>
      <x:c r="O13" s="59" t="str"/>
      <x:c r="P13" s="59" t="str"/>
    </x:row>
    <x:row r="14">
      <x:c r="A14" s="47" t="str">
        <x:v>EVT-000050</x:v>
      </x:c>
      <x:c r="B14" s="47" t="str">
        <x:v>RUN-IMO26-005-20260831T061131067946Z</x:v>
      </x:c>
      <x:c r="C14" s="47" t="str">
        <x:v>IMO26-005</x:v>
      </x:c>
      <x:c r="D14" s="93" t="n">
        <x:v>46265.25897011574</x:v>
      </x:c>
      <x:c r="E14" s="47" t="str">
        <x:v>generator</x:v>
      </x:c>
      <x:c r="F14" s="47" t="str">
        <x:v>gpt-5.6-luna-2026-07-09</x:v>
      </x:c>
      <x:c r="G14" s="47" t="n">
        <x:v>1</x:v>
      </x:c>
      <x:c r="H14" s="47" t="str">
        <x:v>COMPLETED</x:v>
      </x:c>
      <x:c r="I14" s="47" t="str"/>
      <x:c r="J14" s="86" t="n">
        <x:v>0</x:v>
      </x:c>
      <x:c r="K14" s="86" t="n">
        <x:v>29281.099</x:v>
      </x:c>
      <x:c r="L14" s="85" t="b">
        <x:v>0</x:v>
      </x:c>
      <x:c r="M14" s="47" t="str">
        <x:v>resp_0de4597fe0098e4d006a951b4a5da8819791adc246cc6cafd5</x:v>
      </x:c>
      <x:c r="N14" s="59" t="n">
        <x:v>7285</x:v>
      </x:c>
      <x:c r="O14" s="59" t="n">
        <x:v>1883</x:v>
      </x:c>
      <x:c r="P14" s="59" t="n">
        <x:v>9168</x:v>
      </x:c>
    </x:row>
    <x:row r="15">
      <x:c r="A15" s="47" t="str">
        <x:v>EVT-000057</x:v>
      </x:c>
      <x:c r="B15" s="47" t="str">
        <x:v>RUN-IMO26-005-20260831T061131067946Z</x:v>
      </x:c>
      <x:c r="C15" s="47" t="str">
        <x:v>IMO26-005</x:v>
      </x:c>
      <x:c r="D15" s="93" t="n">
        <x:v>46265.2590803125</x:v>
      </x:c>
      <x:c r="E15" s="47" t="str">
        <x:v>validator</x:v>
      </x:c>
      <x:c r="F15" s="47" t="str">
        <x:v>gpt-5.6-luna-2026-07-09</x:v>
      </x:c>
      <x:c r="G15" s="47" t="n">
        <x:v>1</x:v>
      </x:c>
      <x:c r="H15" s="47" t="n">
        <x:v>200</x:v>
      </x:c>
      <x:c r="I15" s="47" t="str">
        <x:v>Ocp-Apim-Subscription-Key</x:v>
      </x:c>
      <x:c r="J15" s="86" t="n">
        <x:v>0</x:v>
      </x:c>
      <x:c r="K15" s="86" t="n">
        <x:v>9466.761</x:v>
      </x:c>
      <x:c r="L15" s="85" t="b">
        <x:v>0</x:v>
      </x:c>
      <x:c r="M15" s="47" t="str"/>
      <x:c r="N15" s="59" t="str"/>
      <x:c r="O15" s="59" t="str"/>
      <x:c r="P15" s="59" t="str"/>
    </x:row>
    <x:row r="16">
      <x:c r="A16" s="47" t="str">
        <x:v>EVT-000058</x:v>
      </x:c>
      <x:c r="B16" s="47" t="str">
        <x:v>RUN-IMO26-005-20260831T061131067946Z</x:v>
      </x:c>
      <x:c r="C16" s="47" t="str">
        <x:v>IMO26-005</x:v>
      </x:c>
      <x:c r="D16" s="93" t="n">
        <x:v>46265.259080324075</x:v>
      </x:c>
      <x:c r="E16" s="47" t="str">
        <x:v>validator</x:v>
      </x:c>
      <x:c r="F16" s="47" t="str">
        <x:v>gpt-5.6-luna-2026-07-09</x:v>
      </x:c>
      <x:c r="G16" s="47" t="n">
        <x:v>1</x:v>
      </x:c>
      <x:c r="H16" s="47" t="str">
        <x:v>COMPLETED</x:v>
      </x:c>
      <x:c r="I16" s="47" t="str"/>
      <x:c r="J16" s="86" t="n">
        <x:v>0</x:v>
      </x:c>
      <x:c r="K16" s="86" t="n">
        <x:v>9468.234</x:v>
      </x:c>
      <x:c r="L16" s="85" t="b">
        <x:v>0</x:v>
      </x:c>
      <x:c r="M16" s="47" t="str">
        <x:v>resp_0af75ff99578e188006a951b6727348196b538b2cbe2699619</x:v>
      </x:c>
      <x:c r="N16" s="59" t="n">
        <x:v>6401</x:v>
      </x:c>
      <x:c r="O16" s="59" t="n">
        <x:v>635</x:v>
      </x:c>
      <x:c r="P16" s="59" t="n">
        <x:v>7036</x:v>
      </x:c>
    </x:row>
    <x:row r="17">
      <x:c r="A17" s="47" t="str">
        <x:v>EVT-000065</x:v>
      </x:c>
      <x:c r="B17" s="47" t="str">
        <x:v>RUN-IMO26-005-20260831T061131067946Z</x:v>
      </x:c>
      <x:c r="C17" s="47" t="str">
        <x:v>IMO26-005</x:v>
      </x:c>
      <x:c r="D17" s="93" t="n">
        <x:v>46265.259124791664</x:v>
      </x:c>
      <x:c r="E17" s="47" t="str">
        <x:v>vocabulary_matcher</x:v>
      </x:c>
      <x:c r="F17" s="47" t="str">
        <x:v>gpt-5.6-luna-2026-07-09</x:v>
      </x:c>
      <x:c r="G17" s="47" t="n">
        <x:v>1</x:v>
      </x:c>
      <x:c r="H17" s="47" t="n">
        <x:v>200</x:v>
      </x:c>
      <x:c r="I17" s="47" t="str">
        <x:v>Ocp-Apim-Subscription-Key</x:v>
      </x:c>
      <x:c r="J17" s="86" t="n">
        <x:v>0</x:v>
      </x:c>
      <x:c r="K17" s="86" t="n">
        <x:v>2889.639</x:v>
      </x:c>
      <x:c r="L17" s="85" t="b">
        <x:v>0</x:v>
      </x:c>
      <x:c r="M17" s="47" t="str"/>
      <x:c r="N17" s="59" t="str"/>
      <x:c r="O17" s="59" t="str"/>
      <x:c r="P17" s="59" t="str"/>
    </x:row>
    <x:row r="18">
      <x:c r="A18" s="49" t="str">
        <x:v>EVT-000066</x:v>
      </x:c>
      <x:c r="B18" s="49" t="str">
        <x:v>RUN-IMO26-005-20260831T061131067946Z</x:v>
      </x:c>
      <x:c r="C18" s="49" t="str">
        <x:v>IMO26-005</x:v>
      </x:c>
      <x:c r="D18" s="94" t="n">
        <x:v>46265.25912480324</x:v>
      </x:c>
      <x:c r="E18" s="49" t="str">
        <x:v>vocabulary_matcher</x:v>
      </x:c>
      <x:c r="F18" s="49" t="str">
        <x:v>gpt-5.6-luna-2026-07-09</x:v>
      </x:c>
      <x:c r="G18" s="49" t="n">
        <x:v>1</x:v>
      </x:c>
      <x:c r="H18" s="49" t="str">
        <x:v>COMPLETED</x:v>
      </x:c>
      <x:c r="I18" s="49" t="str"/>
      <x:c r="J18" s="88" t="n">
        <x:v>0</x:v>
      </x:c>
      <x:c r="K18" s="88" t="n">
        <x:v>2890.501</x:v>
      </x:c>
      <x:c r="L18" s="87" t="b">
        <x:v>0</x:v>
      </x:c>
      <x:c r="M18" s="49" t="str">
        <x:v>resp_04d398b4eee91982006a951b71998081908f55011f0e59ab3f</x:v>
      </x:c>
      <x:c r="N18" s="60" t="n">
        <x:v>1485</x:v>
      </x:c>
      <x:c r="O18" s="60" t="n">
        <x:v>129</x:v>
      </x:c>
      <x:c r="P18" s="60" t="n">
        <x:v>1614</x:v>
      </x:c>
    </x:row>
  </x:sheetData>
  <x:conditionalFormatting sqref="H5:H1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91fc066bbf564639"/>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2"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RUN-IMO26-005-20260831T061131067946Z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RUN-IMO26-005-20260831T061131067946Z</x:v>
      </x:c>
      <x:c r="B5" s="45" t="str">
        <x:v>IMO26-005</x:v>
      </x:c>
      <x:c r="C5" s="45" t="str">
        <x:v>benchmarkEntity</x:v>
      </x:c>
      <x:c r="D5" s="46" t="str">
        <x:v>https://w3id.org/nltl/vocab#benchmarkEntity</x:v>
      </x:c>
      <x:c r="E5" s="45" t="str">
        <x:v>Class</x:v>
      </x:c>
      <x:c r="F5" s="45" t="str"/>
      <x:c r="G5" s="45" t="str"/>
      <x:c r="H5" s="45" t="str"/>
      <x:c r="I5" s="46" t="str">
        <x:v>baseline target infrastructure; domain dependency of headingOrPositionSystem; domain dependency of intendedArea; domain dependency of intendedAreaSuitabilityApprovalStatus</x:v>
      </x:c>
      <x:c r="J5" s="45" t="n">
        <x:v>0</x:v>
      </x:c>
    </x:row>
    <x:row r="6">
      <x:c r="A6" s="47" t="str">
        <x:v>RUN-IMO26-005-20260831T061131067946Z</x:v>
      </x:c>
      <x:c r="B6" s="47" t="str">
        <x:v>IMO26-005</x:v>
      </x:c>
      <x:c r="C6" s="47" t="str">
        <x:v>evidenceState</x:v>
      </x:c>
      <x:c r="D6" s="48" t="str">
        <x:v>https://w3id.org/nltl/vocab#evidenceState</x:v>
      </x:c>
      <x:c r="E6" s="47" t="str">
        <x:v>Class</x:v>
      </x:c>
      <x:c r="F6" s="47" t="str"/>
      <x:c r="G6" s="47" t="str"/>
      <x:c r="H6" s="47" t="str"/>
      <x:c r="I6" s="48" t="str">
        <x:v>range dependency of intendedAreaSuitabilityApprovalStatus</x:v>
      </x:c>
      <x:c r="J6" s="47" t="n">
        <x:v>0</x:v>
      </x:c>
    </x:row>
    <x:row r="7">
      <x:c r="A7" s="47" t="str">
        <x:v>RUN-IMO26-005-20260831T061131067946Z</x:v>
      </x:c>
      <x:c r="B7" s="47" t="str">
        <x:v>IMO26-005</x:v>
      </x:c>
      <x:c r="C7" s="47" t="str">
        <x:v>evidenceStateApproved</x:v>
      </x:c>
      <x:c r="D7" s="48" t="str">
        <x:v>https://w3id.org/nltl/vocab#evidenceStateApproved</x:v>
      </x:c>
      <x:c r="E7" s="47" t="str">
        <x:v>NamedIndividual</x:v>
      </x:c>
      <x:c r="F7" s="47" t="str"/>
      <x:c r="G7" s="47" t="str">
        <x:v>https://w3id.org/nltl/vocab#evidenceState</x:v>
      </x:c>
      <x:c r="H7" s="47" t="str"/>
      <x:c r="I7" s="48" t="str">
        <x:v>controlled value permitted by the range of intendedAreaSuitabilityApprovalStatus</x:v>
      </x:c>
      <x:c r="J7" s="47" t="n">
        <x:v>0</x:v>
      </x:c>
    </x:row>
    <x:row r="8">
      <x:c r="A8" s="47" t="str">
        <x:v>RUN-IMO26-005-20260831T061131067946Z</x:v>
      </x:c>
      <x:c r="B8" s="47" t="str">
        <x:v>IMO26-005</x:v>
      </x:c>
      <x:c r="C8" s="47" t="str">
        <x:v>evidenceStateDraft</x:v>
      </x:c>
      <x:c r="D8" s="48" t="str">
        <x:v>https://w3id.org/nltl/vocab#evidenceStateDraft</x:v>
      </x:c>
      <x:c r="E8" s="47" t="str">
        <x:v>NamedIndividual</x:v>
      </x:c>
      <x:c r="F8" s="47" t="str"/>
      <x:c r="G8" s="47" t="str">
        <x:v>https://w3id.org/nltl/vocab#evidenceState</x:v>
      </x:c>
      <x:c r="H8" s="47" t="str"/>
      <x:c r="I8" s="48" t="str">
        <x:v>controlled value permitted by the range of intendedAreaSuitabilityApprovalStatus</x:v>
      </x:c>
      <x:c r="J8" s="47" t="n">
        <x:v>0</x:v>
      </x:c>
    </x:row>
    <x:row r="9">
      <x:c r="A9" s="47" t="str">
        <x:v>RUN-IMO26-005-20260831T061131067946Z</x:v>
      </x:c>
      <x:c r="B9" s="47" t="str">
        <x:v>IMO26-005</x:v>
      </x:c>
      <x:c r="C9" s="47" t="str">
        <x:v>evidenceStateExpired</x:v>
      </x:c>
      <x:c r="D9" s="48" t="str">
        <x:v>https://w3id.org/nltl/vocab#evidenceStateExpired</x:v>
      </x:c>
      <x:c r="E9" s="47" t="str">
        <x:v>NamedIndividual</x:v>
      </x:c>
      <x:c r="F9" s="47" t="str"/>
      <x:c r="G9" s="47" t="str">
        <x:v>https://w3id.org/nltl/vocab#evidenceState</x:v>
      </x:c>
      <x:c r="H9" s="47" t="str"/>
      <x:c r="I9" s="48" t="str">
        <x:v>controlled value permitted by the range of intendedAreaSuitabilityApprovalStatus</x:v>
      </x:c>
      <x:c r="J9" s="47" t="n">
        <x:v>0</x:v>
      </x:c>
    </x:row>
    <x:row r="10">
      <x:c r="A10" s="47" t="str">
        <x:v>RUN-IMO26-005-20260831T061131067946Z</x:v>
      </x:c>
      <x:c r="B10" s="47" t="str">
        <x:v>IMO26-005</x:v>
      </x:c>
      <x:c r="C10" s="47" t="str">
        <x:v>evidenceStateRejected</x:v>
      </x:c>
      <x:c r="D10" s="48" t="str">
        <x:v>https://w3id.org/nltl/vocab#evidenceStateRejected</x:v>
      </x:c>
      <x:c r="E10" s="47" t="str">
        <x:v>NamedIndividual</x:v>
      </x:c>
      <x:c r="F10" s="47" t="str"/>
      <x:c r="G10" s="47" t="str">
        <x:v>https://w3id.org/nltl/vocab#evidenceState</x:v>
      </x:c>
      <x:c r="H10" s="47" t="str"/>
      <x:c r="I10" s="48" t="str">
        <x:v>controlled value permitted by the range of intendedAreaSuitabilityApprovalStatus</x:v>
      </x:c>
      <x:c r="J10" s="47" t="n">
        <x:v>0</x:v>
      </x:c>
    </x:row>
    <x:row r="11">
      <x:c r="A11" s="47" t="str">
        <x:v>RUN-IMO26-005-20260831T061131067946Z</x:v>
      </x:c>
      <x:c r="B11" s="47" t="str">
        <x:v>IMO26-005</x:v>
      </x:c>
      <x:c r="C11" s="47" t="str">
        <x:v>evidenceStateRevoked</x:v>
      </x:c>
      <x:c r="D11" s="48" t="str">
        <x:v>https://w3id.org/nltl/vocab#evidenceStateRevoked</x:v>
      </x:c>
      <x:c r="E11" s="47" t="str">
        <x:v>NamedIndividual</x:v>
      </x:c>
      <x:c r="F11" s="47" t="str"/>
      <x:c r="G11" s="47" t="str">
        <x:v>https://w3id.org/nltl/vocab#evidenceState</x:v>
      </x:c>
      <x:c r="H11" s="47" t="str"/>
      <x:c r="I11" s="48" t="str">
        <x:v>controlled value permitted by the range of intendedAreaSuitabilityApprovalStatus</x:v>
      </x:c>
      <x:c r="J11" s="47" t="n">
        <x:v>0</x:v>
      </x:c>
    </x:row>
    <x:row r="12">
      <x:c r="A12" s="47" t="str">
        <x:v>RUN-IMO26-005-20260831T061131067946Z</x:v>
      </x:c>
      <x:c r="B12" s="47" t="str">
        <x:v>IMO26-005</x:v>
      </x:c>
      <x:c r="C12" s="47" t="str">
        <x:v>evidenceStateSubmitted</x:v>
      </x:c>
      <x:c r="D12" s="48" t="str">
        <x:v>https://w3id.org/nltl/vocab#evidenceStateSubmitted</x:v>
      </x:c>
      <x:c r="E12" s="47" t="str">
        <x:v>NamedIndividual</x:v>
      </x:c>
      <x:c r="F12" s="47" t="str"/>
      <x:c r="G12" s="47" t="str">
        <x:v>https://w3id.org/nltl/vocab#evidenceState</x:v>
      </x:c>
      <x:c r="H12" s="47" t="str"/>
      <x:c r="I12" s="48" t="str">
        <x:v>controlled value permitted by the range of intendedAreaSuitabilityApprovalStatus</x:v>
      </x:c>
      <x:c r="J12" s="47" t="n">
        <x:v>0</x:v>
      </x:c>
    </x:row>
    <x:row r="13">
      <x:c r="A13" s="47" t="str">
        <x:v>RUN-IMO26-005-20260831T061131067946Z</x:v>
      </x:c>
      <x:c r="B13" s="47" t="str">
        <x:v>IMO26-005</x:v>
      </x:c>
      <x:c r="C13" s="47" t="str">
        <x:v>evidenceStateUnderReview</x:v>
      </x:c>
      <x:c r="D13" s="48" t="str">
        <x:v>https://w3id.org/nltl/vocab#evidenceStateUnderReview</x:v>
      </x:c>
      <x:c r="E13" s="47" t="str">
        <x:v>NamedIndividual</x:v>
      </x:c>
      <x:c r="F13" s="47" t="str"/>
      <x:c r="G13" s="47" t="str">
        <x:v>https://w3id.org/nltl/vocab#evidenceState</x:v>
      </x:c>
      <x:c r="H13" s="47" t="str"/>
      <x:c r="I13" s="48" t="str">
        <x:v>controlled value permitted by the range of intendedAreaSuitabilityApprovalStatus</x:v>
      </x:c>
      <x:c r="J13" s="47" t="n">
        <x:v>0</x:v>
      </x:c>
    </x:row>
    <x:row r="14">
      <x:c r="A14" s="47" t="str">
        <x:v>RUN-IMO26-005-20260831T061131067946Z</x:v>
      </x:c>
      <x:c r="B14" s="47" t="str">
        <x:v>IMO26-005</x:v>
      </x:c>
      <x:c r="C14" s="47" t="str">
        <x:v>headingOrPositionSystem</x:v>
      </x:c>
      <x:c r="D14" s="48" t="str">
        <x:v>https://w3id.org/nltl/vocab#headingOrPositionSystem</x:v>
      </x:c>
      <x:c r="E14" s="47" t="str">
        <x:v>DatatypeProperty</x:v>
      </x:c>
      <x:c r="F14" s="47" t="str">
        <x:v>xsd:string</x:v>
      </x:c>
      <x:c r="G14" s="47" t="str">
        <x:v>http://www.w3.org/2001/XMLSchema#string</x:v>
      </x:c>
      <x:c r="H14" s="47" t="str"/>
      <x:c r="I14" s="48" t="str">
        <x:v>linked by the locked 313-requirement index</x:v>
      </x:c>
      <x:c r="J14" s="47" t="n">
        <x:v>0</x:v>
      </x:c>
    </x:row>
    <x:row r="15">
      <x:c r="A15" s="47" t="str">
        <x:v>RUN-IMO26-005-20260831T061131067946Z</x:v>
      </x:c>
      <x:c r="B15" s="47" t="str">
        <x:v>IMO26-005</x:v>
      </x:c>
      <x:c r="C15" s="47" t="str">
        <x:v>intendedArea</x:v>
      </x:c>
      <x:c r="D15" s="48" t="str">
        <x:v>https://w3id.org/nltl/vocab#intendedArea</x:v>
      </x:c>
      <x:c r="E15" s="47" t="str">
        <x:v>DatatypeProperty</x:v>
      </x:c>
      <x:c r="F15" s="47" t="str">
        <x:v>xsd:string</x:v>
      </x:c>
      <x:c r="G15" s="47" t="str">
        <x:v>http://www.w3.org/2001/XMLSchema#string</x:v>
      </x:c>
      <x:c r="H15" s="47" t="str"/>
      <x:c r="I15" s="48" t="str">
        <x:v>linked by the locked 313-requirement index</x:v>
      </x:c>
      <x:c r="J15" s="47" t="n">
        <x:v>0</x:v>
      </x:c>
    </x:row>
    <x:row r="16">
      <x:c r="A16" s="47" t="str">
        <x:v>RUN-IMO26-005-20260831T061131067946Z</x:v>
      </x:c>
      <x:c r="B16" s="47" t="str">
        <x:v>IMO26-005</x:v>
      </x:c>
      <x:c r="C16" s="47" t="str">
        <x:v>intendedAreaSuitabilityApprovalStatus</x:v>
      </x:c>
      <x:c r="D16" s="48" t="str">
        <x:v>https://w3id.org/nltl/vocab#intendedAreaSuitabilityApprovalStatus</x:v>
      </x:c>
      <x:c r="E16" s="47" t="str">
        <x:v>ObjectProperty</x:v>
      </x:c>
      <x:c r="F16" s="47" t="str"/>
      <x:c r="G16" s="47" t="str">
        <x:v>https://w3id.org/nltl/vocab#evidenceState</x:v>
      </x:c>
      <x:c r="H16" s="47" t="str"/>
      <x:c r="I16" s="48" t="str">
        <x:v>linked by the locked 313-requirement index</x:v>
      </x:c>
      <x:c r="J16" s="47" t="n">
        <x:v>0</x:v>
      </x:c>
    </x:row>
    <x:row r="17">
      <x:c r="A17" s="49" t="str">
        <x:v>RUN-IMO26-005-20260831T061131067946Z</x:v>
      </x:c>
      <x:c r="B17" s="49" t="str">
        <x:v>IMO26-005</x:v>
      </x:c>
      <x:c r="C17" s="49" t="str">
        <x:v>ship</x:v>
      </x:c>
      <x:c r="D17" s="50" t="str">
        <x:v>https://w3id.org/nltl/vocab#ship</x:v>
      </x:c>
      <x:c r="E17" s="49" t="str">
        <x:v>Class</x:v>
      </x:c>
      <x:c r="F17" s="49" t="str"/>
      <x:c r="G17" s="49" t="str"/>
      <x:c r="H17" s="49" t="str"/>
      <x:c r="I17" s="50" t="str">
        <x:v>authoritative required owner class; authoritative requirement target owner; baseline target infrastructure</x:v>
      </x:c>
      <x:c r="J17" s="49" t="n">
        <x:v>0</x:v>
      </x:c>
    </x:row>
  </x:sheetData>
  <x:pageMargins left="0.7" right="0.7" top="0.75" bottom="0.75" header="0.3" footer="0.3"/>
  <x:tableParts count="1">
    <x:tablePart xmlns:r="http://schemas.openxmlformats.org/officeDocument/2006/relationships" r:id="R061cd93a198441e2"/>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7" hidden="0" customWidth="1"/>
    <x:col min="5" max="5" width="11" hidden="0" customWidth="1"/>
    <x:col min="6" max="6" width="19"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RUN-IMO26-005-20260831T061131067946Z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RUN-IMO26-005-20260831T061131067946Z</x:v>
      </x:c>
      <x:c r="B5" s="45" t="str">
        <x:v>IMO26-005</x:v>
      </x:c>
      <x:c r="C5" s="45" t="str">
        <x:v>FS-REL-01</x:v>
      </x:c>
      <x:c r="D5" s="45" t="str">
        <x:v>entity_relation</x:v>
      </x:c>
      <x:c r="E5" s="97" t="n">
        <x:v>0.060606</x:v>
      </x:c>
      <x:c r="F5" s="45" t="str">
        <x:v>entity | relation</x:v>
      </x:c>
      <x:c r="G5" s="45" t="str">
        <x:v>synthetic-few-shot-not-benchmark-ground-truth</x:v>
      </x:c>
    </x:row>
    <x:row r="6">
      <x:c r="A6" s="49" t="str">
        <x:v>RUN-IMO26-005-20260831T061131067946Z</x:v>
      </x:c>
      <x:c r="B6" s="49" t="str">
        <x:v>IMO26-005</x:v>
      </x:c>
      <x:c r="C6" s="49" t="str">
        <x:v>FS-REL-02</x:v>
      </x:c>
      <x:c r="D6" s="49" t="str">
        <x:v>entity_relation</x:v>
      </x:c>
      <x:c r="E6" s="98" t="n">
        <x:v>0.060606</x:v>
      </x:c>
      <x:c r="F6" s="49" t="str">
        <x:v>entity | relation</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d919a5674b3b4bc4"/>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RUN-IMO26-005-20260831T061131067946Z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RUN-IMO26-005-20260831T061131067946Z</x:v>
      </x:c>
      <x:c r="B5" s="45" t="str">
        <x:v>IMO26-005</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https://w3id.org/nltl/vocab#evidenceState | https://w3id.org/nltl/vocab#evidenceStateApproved | https://w3id.org/nltl/vocab#headingOrPositionSystem | https://w3id.org/nltl/vocab#intendedArea | https://w3id.org/nltl/vocab#intendedAreaSuitabilityApprovalStatus | https://w3id.org/nltl/vocab#ship</x:v>
      </x:c>
      <x:c r="O5" s="46" t="str"/>
      <x:c r="P5" s="46" t="str"/>
      <x:c r="Q5" s="46" t="str"/>
    </x:row>
    <x:row r="6">
      <x:c r="A6" s="47" t="str">
        <x:v>RUN-IMO26-005-20260831T061131067946Z</x:v>
      </x:c>
      <x:c r="B6" s="47" t="str">
        <x:v>IMO26-005</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https://w3id.org/nltl/vocab#evidenceState | https://w3id.org/nltl/vocab#evidenceStateApproved | https://w3id.org/nltl/vocab#headingOrPositionSystem | https://w3id.org/nltl/vocab#intendedArea | https://w3id.org/nltl/vocab#intendedAreaSuitabilityApprovalStatus | https://w3id.org/nltl/vocab#ship</x:v>
      </x:c>
      <x:c r="O6" s="48" t="str"/>
      <x:c r="P6" s="48" t="str"/>
      <x:c r="Q6" s="48" t="str"/>
    </x:row>
    <x:row r="7">
      <x:c r="A7" s="49" t="str">
        <x:v>RUN-IMO26-005-20260831T061131067946Z</x:v>
      </x:c>
      <x:c r="B7" s="49" t="str">
        <x:v>IMO26-005</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https://w3id.org/nltl/vocab#evidenceState | https://w3id.org/nltl/vocab#evidenceStateApproved | https://w3id.org/nltl/vocab#headingOrPositionSystem | https://w3id.org/nltl/vocab#intendedArea | https://w3id.org/nltl/vocab#intendedAreaSuitabilityApprovalStatus | https://w3id.org/nltl/vocab#ship</x:v>
      </x:c>
      <x:c r="O7" s="50" t="str"/>
      <x:c r="P7" s="50" t="str"/>
      <x:c r="Q7" s="50" t="str"/>
    </x:row>
  </x:sheetData>
  <x:pageMargins left="0.7" right="0.7" top="0.75" bottom="0.75" header="0.3" footer="0.3"/>
  <x:tableParts count="1">
    <x:tablePart xmlns:r="http://schemas.openxmlformats.org/officeDocument/2006/relationships" r:id="Rb62591d869664cd9"/>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20" hidden="0" customWidth="1"/>
  </x:cols>
  <x:sheetData>
    <x:row r="1">
      <x:c r="A1" s="18" t="str">
        <x:v>NLTL SHACL Pipeline Run Tracker</x:v>
      </x:c>
      <x:c r="B1" s="19"/>
      <x:c r="C1" s="19"/>
      <x:c r="D1" s="19"/>
      <x:c r="E1" s="19"/>
      <x:c r="F1" s="19"/>
      <x:c r="G1" s="19"/>
      <x:c r="H1" s="19"/>
      <x:c r="I1" s="19"/>
      <x:c r="J1" s="19"/>
    </x:row>
    <x:row r="2">
      <x:c r="A2" s="20" t="str">
        <x:v>VOCAB_MATCHES | Run folder: RUN-IMO26-005-20260831T061131067946Z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RUN-IMO26-005-20260831T061131067946Z</x:v>
      </x:c>
      <x:c r="B5" s="45" t="str">
        <x:v>IMO26-005</x:v>
      </x:c>
      <x:c r="C5" s="58" t="n">
        <x:v>3</x:v>
      </x:c>
      <x:c r="D5" s="45" t="str">
        <x:v>matcher_search</x:v>
      </x:c>
      <x:c r="E5" s="46" t="str">
        <x:v>Preserve the prior repair: the ship-level intendedArea and Approved status are not qualified to each heading-reference or position-fixing system, so multiple systems can accidentally pass from one global area/status pair. Add or locate the canonical qualified per-system/area structure and bind every supplied system to its corresponding intended area and Approved suitability status, or provide an equivalent bounded SHACL check that evaluates each pairing. Keep all facts on their authoritative ship owner, and do not use presence-only ship-level constraints.</x:v>
      </x:c>
      <x:c r="F5" s="58" t="n">
        <x:v>3</x:v>
      </x:c>
      <x:c r="G5" s="45" t="str"/>
      <x:c r="H5" s="45" t="str"/>
      <x:c r="I5" s="46" t="str"/>
      <x:c r="J5" s="46" t="str"/>
    </x:row>
    <x:row r="6">
      <x:c r="A6" s="49" t="str">
        <x:v>RUN-IMO26-005-20260831T061131067946Z</x:v>
      </x:c>
      <x:c r="B6" s="49" t="str">
        <x:v>IMO26-005</x:v>
      </x:c>
      <x:c r="C6" s="60" t="n">
        <x:v>3</x:v>
      </x:c>
      <x:c r="D6" s="49" t="str">
        <x:v>matcher_decision</x:v>
      </x:c>
      <x:c r="E6" s="50" t="str"/>
      <x:c r="F6" s="60" t="str"/>
      <x:c r="G6" s="87" t="b">
        <x:v>0</x:v>
      </x:c>
      <x:c r="H6" s="49" t="str"/>
      <x:c r="I6" s="50" t="str"/>
      <x:c r="J6" s="50" t="str"/>
    </x:row>
  </x:sheetData>
  <x:pageMargins left="0.7" right="0.7" top="0.75" bottom="0.75" header="0.3" footer="0.3"/>
  <x:tableParts count="1">
    <x:tablePart xmlns:r="http://schemas.openxmlformats.org/officeDocument/2006/relationships" r:id="Rbddd1323c0654f8d"/>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RUN-IMO26-005-20260831T061131067946Z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RUN-IMO26-005-20260831T061131067946Z</x:v>
      </x:c>
      <x:c r="B5" s="45" t="str">
        <x:v>IMO26-005</x:v>
      </x:c>
      <x:c r="C5" s="58"/>
      <x:c r="D5" s="45" t="str">
        <x:v>initial_context_pack</x:v>
      </x:c>
      <x:c r="E5" s="46" t="str">
        <x:v>artifacts/context_pack_initial.json</x:v>
      </x:c>
      <x:c r="F5" s="45" t="str">
        <x:v>3baf29539f203c19b0b4f2b1e38afdfa8daad5308676ec5c645d29dfdcd1d13f</x:v>
      </x:c>
      <x:c r="G5" s="58" t="n">
        <x:v>15158</x:v>
      </x:c>
    </x:row>
    <x:row r="6">
      <x:c r="A6" s="47" t="str">
        <x:v>RUN-IMO26-005-20260831T061131067946Z</x:v>
      </x:c>
      <x:c r="B6" s="47" t="str">
        <x:v>IMO26-005</x:v>
      </x:c>
      <x:c r="C6" s="59"/>
      <x:c r="D6" s="47" t="str">
        <x:v>few_shot_selection</x:v>
      </x:c>
      <x:c r="E6" s="48" t="str">
        <x:v>artifacts/few_shots_selected.json</x:v>
      </x:c>
      <x:c r="F6" s="47" t="str">
        <x:v>5d7d486bd73ff18b04d930810bcd2161ebab3138712401ee92cfead185b6741c</x:v>
      </x:c>
      <x:c r="G6" s="59" t="n">
        <x:v>3790</x:v>
      </x:c>
    </x:row>
    <x:row r="7">
      <x:c r="A7" s="47" t="str">
        <x:v>RUN-IMO26-005-20260831T061131067946Z</x:v>
      </x:c>
      <x:c r="B7" s="47" t="str">
        <x:v>IMO26-005</x:v>
      </x:c>
      <x:c r="C7" s="59" t="n">
        <x:v>1</x:v>
      </x:c>
      <x:c r="D7" s="47" t="str">
        <x:v>generator_prompt</x:v>
      </x:c>
      <x:c r="E7" s="48" t="str">
        <x:v>artifacts/attempt_01/generator_prompt.txt</x:v>
      </x:c>
      <x:c r="F7" s="47" t="str">
        <x:v>b51eb9d40d2ca10e30141bcaff51e5dac7704ba410aac8cf1f9701ffa67392b9</x:v>
      </x:c>
      <x:c r="G7" s="59" t="n">
        <x:v>30498</x:v>
      </x:c>
    </x:row>
    <x:row r="8">
      <x:c r="A8" s="47" t="str">
        <x:v>RUN-IMO26-005-20260831T061131067946Z</x:v>
      </x:c>
      <x:c r="B8" s="47" t="str">
        <x:v>IMO26-005</x:v>
      </x:c>
      <x:c r="C8" s="59" t="n">
        <x:v>1</x:v>
      </x:c>
      <x:c r="D8" s="47" t="str">
        <x:v>generator_raw_response</x:v>
      </x:c>
      <x:c r="E8" s="48" t="str">
        <x:v>artifacts/attempt_01/generator_raw.txt</x:v>
      </x:c>
      <x:c r="F8" s="47" t="str">
        <x:v>bba18782712c21c7c3c2184fd31450c12115f9d2e9581614bb421fa1a61b8ece</x:v>
      </x:c>
      <x:c r="G8" s="59" t="n">
        <x:v>1092</x:v>
      </x:c>
    </x:row>
    <x:row r="9">
      <x:c r="A9" s="47" t="str">
        <x:v>RUN-IMO26-005-20260831T061131067946Z</x:v>
      </x:c>
      <x:c r="B9" s="47" t="str">
        <x:v>IMO26-005</x:v>
      </x:c>
      <x:c r="C9" s="59" t="n">
        <x:v>1</x:v>
      </x:c>
      <x:c r="D9" s="47" t="str">
        <x:v>candidate_shape</x:v>
      </x:c>
      <x:c r="E9" s="48" t="str">
        <x:v>artifacts/attempt_01/candidate_shape.ttl</x:v>
      </x:c>
      <x:c r="F9" s="47" t="str">
        <x:v>c841a178da61f5f16b67586d6052cdb90c87e4115015ab4386201156bab216a6</x:v>
      </x:c>
      <x:c r="G9" s="59" t="n">
        <x:v>1067</x:v>
      </x:c>
    </x:row>
    <x:row r="10">
      <x:c r="A10" s="47" t="str">
        <x:v>RUN-IMO26-005-20260831T061131067946Z</x:v>
      </x:c>
      <x:c r="B10" s="47" t="str">
        <x:v>IMO26-005</x:v>
      </x:c>
      <x:c r="C10" s="59" t="n">
        <x:v>1</x:v>
      </x:c>
      <x:c r="D10" s="47" t="str">
        <x:v>deterministic_validation</x:v>
      </x:c>
      <x:c r="E10" s="48" t="str">
        <x:v>artifacts/attempt_01/deterministic_validation.json</x:v>
      </x:c>
      <x:c r="F10" s="47" t="str">
        <x:v>d942485b69762e1533ab81c5858f7f2ad266a00a2cc2adc506e133e1e458ce76</x:v>
      </x:c>
      <x:c r="G10" s="59" t="n">
        <x:v>715</x:v>
      </x:c>
    </x:row>
    <x:row r="11">
      <x:c r="A11" s="47" t="str">
        <x:v>RUN-IMO26-005-20260831T061131067946Z</x:v>
      </x:c>
      <x:c r="B11" s="47" t="str">
        <x:v>IMO26-005</x:v>
      </x:c>
      <x:c r="C11" s="59" t="n">
        <x:v>1</x:v>
      </x:c>
      <x:c r="D11" s="47" t="str">
        <x:v>validator_prompt</x:v>
      </x:c>
      <x:c r="E11" s="48" t="str">
        <x:v>artifacts/attempt_01/validator_prompt_01.txt</x:v>
      </x:c>
      <x:c r="F11" s="47" t="str">
        <x:v>ec3453b39be05dba2eb52b62cead49ff80d259074dde729204f7f72f9eb8f559</x:v>
      </x:c>
      <x:c r="G11" s="59" t="n">
        <x:v>25701</x:v>
      </x:c>
    </x:row>
    <x:row r="12">
      <x:c r="A12" s="47" t="str">
        <x:v>RUN-IMO26-005-20260831T061131067946Z</x:v>
      </x:c>
      <x:c r="B12" s="47" t="str">
        <x:v>IMO26-005</x:v>
      </x:c>
      <x:c r="C12" s="59" t="n">
        <x:v>1</x:v>
      </x:c>
      <x:c r="D12" s="47" t="str">
        <x:v>validator_raw_response</x:v>
      </x:c>
      <x:c r="E12" s="48" t="str">
        <x:v>artifacts/attempt_01/validator_raw_01.txt</x:v>
      </x:c>
      <x:c r="F12" s="47" t="str">
        <x:v>6ea2d270ca693467ec308bd1ea35811dcacc5f20d7925222239e321fd890bfc5</x:v>
      </x:c>
      <x:c r="G12" s="59" t="n">
        <x:v>657</x:v>
      </x:c>
    </x:row>
    <x:row r="13">
      <x:c r="A13" s="47" t="str">
        <x:v>RUN-IMO26-005-20260831T061131067946Z</x:v>
      </x:c>
      <x:c r="B13" s="47" t="str">
        <x:v>IMO26-005</x:v>
      </x:c>
      <x:c r="C13" s="59" t="n">
        <x:v>2</x:v>
      </x:c>
      <x:c r="D13" s="47" t="str">
        <x:v>generator_prompt</x:v>
      </x:c>
      <x:c r="E13" s="48" t="str">
        <x:v>artifacts/attempt_02/generator_prompt.txt</x:v>
      </x:c>
      <x:c r="F13" s="47" t="str">
        <x:v>1d6e5136e144613aef89ce59fe06e46ed906ff31172342f2c50d4b04cfa8cd1e</x:v>
      </x:c>
      <x:c r="G13" s="59" t="n">
        <x:v>31090</x:v>
      </x:c>
    </x:row>
    <x:row r="14">
      <x:c r="A14" s="47" t="str">
        <x:v>RUN-IMO26-005-20260831T061131067946Z</x:v>
      </x:c>
      <x:c r="B14" s="47" t="str">
        <x:v>IMO26-005</x:v>
      </x:c>
      <x:c r="C14" s="59" t="n">
        <x:v>2</x:v>
      </x:c>
      <x:c r="D14" s="47" t="str">
        <x:v>generator_raw_response</x:v>
      </x:c>
      <x:c r="E14" s="48" t="str">
        <x:v>artifacts/attempt_02/generator_raw.txt</x:v>
      </x:c>
      <x:c r="F14" s="47" t="str">
        <x:v>6f2c7a26442bbd29a69dddf0e654bbbc48f42f6070a5256e3222acd819edd115</x:v>
      </x:c>
      <x:c r="G14" s="59" t="n">
        <x:v>1904</x:v>
      </x:c>
    </x:row>
    <x:row r="15">
      <x:c r="A15" s="47" t="str">
        <x:v>RUN-IMO26-005-20260831T061131067946Z</x:v>
      </x:c>
      <x:c r="B15" s="47" t="str">
        <x:v>IMO26-005</x:v>
      </x:c>
      <x:c r="C15" s="59" t="n">
        <x:v>2</x:v>
      </x:c>
      <x:c r="D15" s="47" t="str">
        <x:v>candidate_shape</x:v>
      </x:c>
      <x:c r="E15" s="48" t="str">
        <x:v>artifacts/attempt_02/candidate_shape.ttl</x:v>
      </x:c>
      <x:c r="F15" s="47" t="str">
        <x:v>3d0acc6f458a9c7d7bafbc057327ec415a15d2b66055f1a7d73975109fc0f277</x:v>
      </x:c>
      <x:c r="G15" s="59" t="n">
        <x:v>1879</x:v>
      </x:c>
    </x:row>
    <x:row r="16">
      <x:c r="A16" s="47" t="str">
        <x:v>RUN-IMO26-005-20260831T061131067946Z</x:v>
      </x:c>
      <x:c r="B16" s="47" t="str">
        <x:v>IMO26-005</x:v>
      </x:c>
      <x:c r="C16" s="59" t="n">
        <x:v>2</x:v>
      </x:c>
      <x:c r="D16" s="47" t="str">
        <x:v>deterministic_validation</x:v>
      </x:c>
      <x:c r="E16" s="48" t="str">
        <x:v>artifacts/attempt_02/deterministic_validation.json</x:v>
      </x:c>
      <x:c r="F16" s="47" t="str">
        <x:v>d942485b69762e1533ab81c5858f7f2ad266a00a2cc2adc506e133e1e458ce76</x:v>
      </x:c>
      <x:c r="G16" s="59" t="n">
        <x:v>715</x:v>
      </x:c>
    </x:row>
    <x:row r="17">
      <x:c r="A17" s="47" t="str">
        <x:v>RUN-IMO26-005-20260831T061131067946Z</x:v>
      </x:c>
      <x:c r="B17" s="47" t="str">
        <x:v>IMO26-005</x:v>
      </x:c>
      <x:c r="C17" s="59" t="n">
        <x:v>2</x:v>
      </x:c>
      <x:c r="D17" s="47" t="str">
        <x:v>validator_prompt</x:v>
      </x:c>
      <x:c r="E17" s="48" t="str">
        <x:v>artifacts/attempt_02/validator_prompt_01.txt</x:v>
      </x:c>
      <x:c r="F17" s="47" t="str">
        <x:v>e4060284c9c08652704b1cd8dae2b90f6d230d6be35d1d9fcab775f1314c180b</x:v>
      </x:c>
      <x:c r="G17" s="59" t="n">
        <x:v>27143</x:v>
      </x:c>
    </x:row>
    <x:row r="18">
      <x:c r="A18" s="47" t="str">
        <x:v>RUN-IMO26-005-20260831T061131067946Z</x:v>
      </x:c>
      <x:c r="B18" s="47" t="str">
        <x:v>IMO26-005</x:v>
      </x:c>
      <x:c r="C18" s="59" t="n">
        <x:v>2</x:v>
      </x:c>
      <x:c r="D18" s="47" t="str">
        <x:v>validator_raw_response</x:v>
      </x:c>
      <x:c r="E18" s="48" t="str">
        <x:v>artifacts/attempt_02/validator_raw_01.txt</x:v>
      </x:c>
      <x:c r="F18" s="47" t="str">
        <x:v>bac81718d216601c3cbf7cd94f12826f6550babeb25b8da6882c691df9e4656e</x:v>
      </x:c>
      <x:c r="G18" s="59" t="n">
        <x:v>678</x:v>
      </x:c>
    </x:row>
    <x:row r="19">
      <x:c r="A19" s="47" t="str">
        <x:v>RUN-IMO26-005-20260831T061131067946Z</x:v>
      </x:c>
      <x:c r="B19" s="47" t="str">
        <x:v>IMO26-005</x:v>
      </x:c>
      <x:c r="C19" s="59" t="n">
        <x:v>3</x:v>
      </x:c>
      <x:c r="D19" s="47" t="str">
        <x:v>generator_prompt</x:v>
      </x:c>
      <x:c r="E19" s="48" t="str">
        <x:v>artifacts/attempt_03/generator_prompt.txt</x:v>
      </x:c>
      <x:c r="F19" s="47" t="str">
        <x:v>a9fffac24ed3d93492ee6e5d884de19f5517bd4b3480bacec352123e8e7c5a42</x:v>
      </x:c>
      <x:c r="G19" s="59" t="n">
        <x:v>31711</x:v>
      </x:c>
    </x:row>
    <x:row r="20">
      <x:c r="A20" s="47" t="str">
        <x:v>RUN-IMO26-005-20260831T061131067946Z</x:v>
      </x:c>
      <x:c r="B20" s="47" t="str">
        <x:v>IMO26-005</x:v>
      </x:c>
      <x:c r="C20" s="59" t="n">
        <x:v>3</x:v>
      </x:c>
      <x:c r="D20" s="47" t="str">
        <x:v>generator_raw_response</x:v>
      </x:c>
      <x:c r="E20" s="48" t="str">
        <x:v>artifacts/attempt_03/generator_raw.txt</x:v>
      </x:c>
      <x:c r="F20" s="47" t="str">
        <x:v>6bfd703e6b251b96e5a1410d6e797cacf81595430880daee9283345e72dc8e65</x:v>
      </x:c>
      <x:c r="G20" s="59" t="n">
        <x:v>1588</x:v>
      </x:c>
    </x:row>
    <x:row r="21">
      <x:c r="A21" s="47" t="str">
        <x:v>RUN-IMO26-005-20260831T061131067946Z</x:v>
      </x:c>
      <x:c r="B21" s="47" t="str">
        <x:v>IMO26-005</x:v>
      </x:c>
      <x:c r="C21" s="59" t="n">
        <x:v>3</x:v>
      </x:c>
      <x:c r="D21" s="47" t="str">
        <x:v>candidate_shape</x:v>
      </x:c>
      <x:c r="E21" s="48" t="str">
        <x:v>artifacts/attempt_03/candidate_shape.ttl</x:v>
      </x:c>
      <x:c r="F21" s="47" t="str">
        <x:v>2d148c2df2981cb2493878d6b109760dfac79159c481ed9db33dc351d72a3c4e</x:v>
      </x:c>
      <x:c r="G21" s="59" t="n">
        <x:v>1563</x:v>
      </x:c>
    </x:row>
    <x:row r="22">
      <x:c r="A22" s="47" t="str">
        <x:v>RUN-IMO26-005-20260831T061131067946Z</x:v>
      </x:c>
      <x:c r="B22" s="47" t="str">
        <x:v>IMO26-005</x:v>
      </x:c>
      <x:c r="C22" s="59" t="n">
        <x:v>3</x:v>
      </x:c>
      <x:c r="D22" s="47" t="str">
        <x:v>deterministic_validation</x:v>
      </x:c>
      <x:c r="E22" s="48" t="str">
        <x:v>artifacts/attempt_03/deterministic_validation.json</x:v>
      </x:c>
      <x:c r="F22" s="47" t="str">
        <x:v>d942485b69762e1533ab81c5858f7f2ad266a00a2cc2adc506e133e1e458ce76</x:v>
      </x:c>
      <x:c r="G22" s="59" t="n">
        <x:v>715</x:v>
      </x:c>
    </x:row>
    <x:row r="23">
      <x:c r="A23" s="47" t="str">
        <x:v>RUN-IMO26-005-20260831T061131067946Z</x:v>
      </x:c>
      <x:c r="B23" s="47" t="str">
        <x:v>IMO26-005</x:v>
      </x:c>
      <x:c r="C23" s="59" t="n">
        <x:v>3</x:v>
      </x:c>
      <x:c r="D23" s="47" t="str">
        <x:v>validator_prompt</x:v>
      </x:c>
      <x:c r="E23" s="48" t="str">
        <x:v>artifacts/attempt_03/validator_prompt_01.txt</x:v>
      </x:c>
      <x:c r="F23" s="47" t="str">
        <x:v>63e712048ee12145af6ccaccea214aeaff4daed6749228e6acceb04868b32176</x:v>
      </x:c>
      <x:c r="G23" s="59" t="n">
        <x:v>27441</x:v>
      </x:c>
    </x:row>
    <x:row r="24">
      <x:c r="A24" s="47" t="str">
        <x:v>RUN-IMO26-005-20260831T061131067946Z</x:v>
      </x:c>
      <x:c r="B24" s="47" t="str">
        <x:v>IMO26-005</x:v>
      </x:c>
      <x:c r="C24" s="59" t="n">
        <x:v>3</x:v>
      </x:c>
      <x:c r="D24" s="47" t="str">
        <x:v>validator_raw_response</x:v>
      </x:c>
      <x:c r="E24" s="48" t="str">
        <x:v>artifacts/attempt_03/validator_raw_01.txt</x:v>
      </x:c>
      <x:c r="F24" s="47" t="str">
        <x:v>9d8436637974482b62d23fb8e079eec8452270684694885e0ce145e9effde254</x:v>
      </x:c>
      <x:c r="G24" s="59" t="n">
        <x:v>624</x:v>
      </x:c>
    </x:row>
    <x:row r="25">
      <x:c r="A25" s="47" t="str">
        <x:v>RUN-IMO26-005-20260831T061131067946Z</x:v>
      </x:c>
      <x:c r="B25" s="47" t="str">
        <x:v>IMO26-005</x:v>
      </x:c>
      <x:c r="C25" s="59" t="n">
        <x:v>3</x:v>
      </x:c>
      <x:c r="D25" s="47" t="str">
        <x:v>matcher_candidates</x:v>
      </x:c>
      <x:c r="E25" s="48" t="str">
        <x:v>artifacts/attempt_03/matcher_candidates.json</x:v>
      </x:c>
      <x:c r="F25" s="47" t="str">
        <x:v>5abe35eb3eaea4a060609ca39e7016fbb77b1bed9092e0ec8da9acf8efab9f8e</x:v>
      </x:c>
      <x:c r="G25" s="59" t="n">
        <x:v>1551</x:v>
      </x:c>
    </x:row>
    <x:row r="26">
      <x:c r="A26" s="47" t="str">
        <x:v>RUN-IMO26-005-20260831T061131067946Z</x:v>
      </x:c>
      <x:c r="B26" s="47" t="str">
        <x:v>IMO26-005</x:v>
      </x:c>
      <x:c r="C26" s="59" t="n">
        <x:v>3</x:v>
      </x:c>
      <x:c r="D26" s="47" t="str">
        <x:v>vocabulary_matcher_prompt</x:v>
      </x:c>
      <x:c r="E26" s="48" t="str">
        <x:v>artifacts/attempt_03/vocabulary_matcher_prompt_01.txt</x:v>
      </x:c>
      <x:c r="F26" s="47" t="str">
        <x:v>2c5922645f325ce622309358da133bd69601448e0a53f16bf0e42c17c726b7b2</x:v>
      </x:c>
      <x:c r="G26" s="59" t="n">
        <x:v>6102</x:v>
      </x:c>
    </x:row>
    <x:row r="27">
      <x:c r="A27" s="49" t="str">
        <x:v>RUN-IMO26-005-20260831T061131067946Z</x:v>
      </x:c>
      <x:c r="B27" s="49" t="str">
        <x:v>IMO26-005</x:v>
      </x:c>
      <x:c r="C27" s="60" t="n">
        <x:v>3</x:v>
      </x:c>
      <x:c r="D27" s="49" t="str">
        <x:v>vocabulary_matcher_raw_response</x:v>
      </x:c>
      <x:c r="E27" s="50" t="str">
        <x:v>artifacts/attempt_03/vocabulary_matcher_raw_01.txt</x:v>
      </x:c>
      <x:c r="F27" s="49" t="str">
        <x:v>a47f3adf9d135202e9946cf125e30bbbd6d394508e1f0b8e8b43635fa3d4d053</x:v>
      </x:c>
      <x:c r="G27" s="60" t="n">
        <x:v>89</x:v>
      </x:c>
    </x:row>
  </x:sheetData>
  <x:pageMargins left="0.7" right="0.7" top="0.75" bottom="0.75" header="0.3" footer="0.3"/>
  <x:tableParts count="1">
    <x:tablePart xmlns:r="http://schemas.openxmlformats.org/officeDocument/2006/relationships" r:id="R7a7fb01044d942f7"/>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RUN-IMO26-005-20260831T061131067946Z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RUN-IMO26-005-20260831T061131067946Z</x:v>
      </x:c>
      <x:c r="B5" s="69" t="str">
        <x:v>IMO26-005</x:v>
      </x:c>
      <x:c r="C5" s="71" t="n">
        <x:v>3</x:v>
      </x:c>
      <x:c r="D5" s="69" t="str">
        <x:v>TERM_RESOLUTION_UNRESOLVED</x:v>
      </x:c>
      <x:c r="E5" s="73" t="str">
        <x:v>Preserve the prior repair: the ship-level intendedArea and Approved status are not qualified to each heading-reference or position-fixing system, so multiple systems can accidentally pass from one global area/status pair. Add or locate the canonical qualified per-system/area structure and bind every supplied system to its corresponding intended area and Approved suitability status, or provide an equivalent bounded SHACL check that evaluates each pairing. Keep all facts on their authoritative ship owner, and do not use presence-only ship-level constraints.</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f055a045178540b9"/>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RUN-IMO26-005-20260831T061131067946Z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