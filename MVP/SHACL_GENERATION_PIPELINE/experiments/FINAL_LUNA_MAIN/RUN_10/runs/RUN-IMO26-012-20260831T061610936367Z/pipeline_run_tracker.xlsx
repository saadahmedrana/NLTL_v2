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f02cc5db9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5f4ba162af4755"/>
    <x:sheet xmlns:r="http://schemas.openxmlformats.org/officeDocument/2006/relationships" name="README" sheetId="2" r:id="R780f0251b8cc4ada"/>
    <x:sheet xmlns:r="http://schemas.openxmlformats.org/officeDocument/2006/relationships" name="REGULATION_QUEUE" sheetId="3" r:id="R5eba3eea722d4080"/>
    <x:sheet xmlns:r="http://schemas.openxmlformats.org/officeDocument/2006/relationships" name="RUNS" sheetId="4" r:id="R78837ad09fab41e1"/>
    <x:sheet xmlns:r="http://schemas.openxmlformats.org/officeDocument/2006/relationships" name="ITERATIONS" sheetId="5" r:id="R964773445a204da9"/>
    <x:sheet xmlns:r="http://schemas.openxmlformats.org/officeDocument/2006/relationships" name="API_CALLS" sheetId="6" r:id="R2fb433a7465d4865"/>
    <x:sheet xmlns:r="http://schemas.openxmlformats.org/officeDocument/2006/relationships" name="TERM_RETRIEVAL" sheetId="7" r:id="Raf3e4804efc64cf8"/>
    <x:sheet xmlns:r="http://schemas.openxmlformats.org/officeDocument/2006/relationships" name="FEW_SHOT_SELECTION" sheetId="8" r:id="R751c291d03ef4b7a"/>
    <x:sheet xmlns:r="http://schemas.openxmlformats.org/officeDocument/2006/relationships" name="VALIDATION" sheetId="9" r:id="R53c213debb304d5e"/>
    <x:sheet xmlns:r="http://schemas.openxmlformats.org/officeDocument/2006/relationships" name="VOCAB_MATCHES" sheetId="10" r:id="Rb19b10a1ee2345dd"/>
    <x:sheet xmlns:r="http://schemas.openxmlformats.org/officeDocument/2006/relationships" name="ARTIFACTS" sheetId="11" r:id="Re6992acb98d045ae"/>
    <x:sheet xmlns:r="http://schemas.openxmlformats.org/officeDocument/2006/relationships" name="UNRESOLVED" sheetId="12" r:id="Rd9a608dc53a941fa"/>
    <x:sheet xmlns:r="http://schemas.openxmlformats.org/officeDocument/2006/relationships" name="RDF_TEST_QUEUE" sheetId="13" r:id="Raa7a65828a88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234c9a73f40ed" /><Relationship Type="http://schemas.openxmlformats.org/officeDocument/2006/relationships/theme" Target="/xl/theme/theme1.xml" Id="Rd9406e66a77b4217" /><Relationship Type="http://schemas.microsoft.com/office/2022/11/relationships/FeaturePropertyBag" Target="/xl/featurePropertyBag/featurePropertyBag.xml" Id="R5f6460ae4db44558" /><Relationship Type="http://schemas.openxmlformats.org/officeDocument/2006/relationships/sharedStrings" Target="/xl/sharedStrings.xml" Id="R556dfe6d961c41b8" /><Relationship Type="http://schemas.openxmlformats.org/officeDocument/2006/relationships/worksheet" Target="/xl/worksheets/sheet1.xml" Id="Ref5f4ba162af4755" /><Relationship Type="http://schemas.openxmlformats.org/officeDocument/2006/relationships/worksheet" Target="/xl/worksheets/sheet2.xml" Id="R780f0251b8cc4ada" /><Relationship Type="http://schemas.openxmlformats.org/officeDocument/2006/relationships/worksheet" Target="/xl/worksheets/sheet3.xml" Id="R5eba3eea722d4080" /><Relationship Type="http://schemas.openxmlformats.org/officeDocument/2006/relationships/worksheet" Target="/xl/worksheets/sheet4.xml" Id="R78837ad09fab41e1" /><Relationship Type="http://schemas.openxmlformats.org/officeDocument/2006/relationships/worksheet" Target="/xl/worksheets/sheet5.xml" Id="R964773445a204da9" /><Relationship Type="http://schemas.openxmlformats.org/officeDocument/2006/relationships/worksheet" Target="/xl/worksheets/sheet6.xml" Id="R2fb433a7465d4865" /><Relationship Type="http://schemas.openxmlformats.org/officeDocument/2006/relationships/worksheet" Target="/xl/worksheets/sheet7.xml" Id="Raf3e4804efc64cf8" /><Relationship Type="http://schemas.openxmlformats.org/officeDocument/2006/relationships/worksheet" Target="/xl/worksheets/sheet8.xml" Id="R751c291d03ef4b7a" /><Relationship Type="http://schemas.openxmlformats.org/officeDocument/2006/relationships/worksheet" Target="/xl/worksheets/sheet9.xml" Id="R53c213debb304d5e" /><Relationship Type="http://schemas.openxmlformats.org/officeDocument/2006/relationships/worksheet" Target="/xl/worksheets/sheet10.xml" Id="Rb19b10a1ee2345dd" /><Relationship Type="http://schemas.openxmlformats.org/officeDocument/2006/relationships/worksheet" Target="/xl/worksheets/sheet11.xml" Id="Re6992acb98d045ae" /><Relationship Type="http://schemas.openxmlformats.org/officeDocument/2006/relationships/worksheet" Target="/xl/worksheets/sheet12.xml" Id="Rd9a608dc53a941fa" /><Relationship Type="http://schemas.openxmlformats.org/officeDocument/2006/relationships/worksheet" Target="/xl/worksheets/sheet13.xml" Id="Raa7a65828a884a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ef8d47f7e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d88633fcdd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4298d39ec2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a5acdfb25344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16e3565d4445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5371e532ae4b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30b3635924c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53a89839b74e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27c99f39f9640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f7e52aa27ff4c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a91f699ba6d47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RUN-IMO26-012-20260831T061610936367Z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19335.2263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RUN-IMO26-012-20260831T061610936367Z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cef8d47f7e41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GENERATION_ACCEPTED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88633fcdd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RUN-IMO26-012-20260831T061610936367Z</x:v>
      </x:c>
      <x:c r="C5" s="69" t="str">
        <x:v>IMO26-012</x:v>
      </x:c>
      <x:c r="D5" s="70" t="n">
        <x:v>46265.26123769676</x:v>
      </x:c>
      <x:c r="E5" s="70" t="n">
        <x:v>46265.2623740625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gates all requirement checks on grossTonnage &gt;= 500, requires at least two distinct ship-owned nonMagneticHeadingMeans nodes, and enforces per-means type, main-power and emergency-power connections, and independence from another distinct same-ship means. Owners, canonical namespace, datatype, and unit usage are consistent with the supplied deterministic records.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298d39ec241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RUN-IMO26-012-20260831T061610936367Z</x:v>
      </x:c>
      <x:c r="B5" s="45" t="str">
        <x:v>IMO26-012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Reject: the candidate omits the verified applicability condition gross_tonnage &gt;= 500, so it incorrectly requires the topology for every ship. Locate and use the canonical gross-tonnage term/path and gate all requirement checks on that condition; do not add a convenience applicability boolean. It also never enforces the required count of at least two distinct nonMagneticHeadingMeans nodes: add a conditional ship-level count/topology check requiring at least two distinct means, while retaining per-means main-power and emergency-power connections and same-ship independence to another distinct means. Ensure the count and independence query are evaluated for the specific target ship rather than an arbitrary ship sharing the equipment node.</x:v>
      </x:c>
      <x:c r="I5" s="81" t="n">
        <x:v>23832.443</x:v>
      </x:c>
      <x:c r="J5" s="81" t="n">
        <x:v>17761.77</x:v>
      </x:c>
    </x:row>
    <x:row r="6">
      <x:c r="A6" s="49" t="str">
        <x:v>RUN-IMO26-012-20260831T061610936367Z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gates all requirement checks on grossTonnage &gt;= 500, requires at least two distinct ship-owned nonMagneticHeadingMeans nodes, and enforces per-means type, main-power and emergency-power connections, and independence from another distinct same-ship means. Owners, canonical namespace, datatype, and unit usage are consistent with the supplied deterministic records.</x:v>
      </x:c>
      <x:c r="I6" s="83" t="n">
        <x:v>36196.642</x:v>
      </x:c>
      <x:c r="J6" s="83" t="n">
        <x:v>16185.618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5acdfb25344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RUN-IMO26-012-20260831T061610936367Z</x:v>
      </x:c>
      <x:c r="C5" s="45" t="str">
        <x:v>IMO26-012</x:v>
      </x:c>
      <x:c r="D5" s="90" t="n">
        <x:v>46265.26151354166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23830.866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RUN-IMO26-012-20260831T061610936367Z</x:v>
      </x:c>
      <x:c r="C6" s="47" t="str">
        <x:v>IMO26-012</x:v>
      </x:c>
      <x:c r="D6" s="91" t="n">
        <x:v>46265.26151355324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23832.443</x:v>
      </x:c>
      <x:c r="L6" s="93" t="b">
        <x:v>0</x:v>
      </x:c>
      <x:c r="M6" s="47" t="str">
        <x:v>resp_04f95c9f4b6f369c006a951c2b14f08195bb10d3c673de70ba</x:v>
      </x:c>
      <x:c r="N6" s="59" t="n">
        <x:v>7217</x:v>
      </x:c>
      <x:c r="O6" s="59" t="n">
        <x:v>2088</x:v>
      </x:c>
      <x:c r="P6" s="59" t="n">
        <x:v>9305</x:v>
      </x:c>
    </x:row>
    <x:row r="7">
      <x:c r="A7" s="47" t="str">
        <x:v>EVT-000026</x:v>
      </x:c>
      <x:c r="B7" s="47" t="str">
        <x:v>RUN-IMO26-012-20260831T061610936367Z</x:v>
      </x:c>
      <x:c r="C7" s="47" t="str">
        <x:v>IMO26-012</x:v>
      </x:c>
      <x:c r="D7" s="91" t="n">
        <x:v>46265.261719953705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17760.16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RUN-IMO26-012-20260831T061610936367Z</x:v>
      </x:c>
      <x:c r="C8" s="47" t="str">
        <x:v>IMO26-012</x:v>
      </x:c>
      <x:c r="D8" s="91" t="n">
        <x:v>46265.26171996528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17761.77</x:v>
      </x:c>
      <x:c r="L8" s="93" t="b">
        <x:v>0</x:v>
      </x:c>
      <x:c r="M8" s="47" t="str">
        <x:v>resp_0f3086ee2e7f1790006a951c42e9e881969e978635bd8c6b2f</x:v>
      </x:c>
      <x:c r="N8" s="59" t="n">
        <x:v>6644</x:v>
      </x:c>
      <x:c r="O8" s="59" t="n">
        <x:v>1190</x:v>
      </x:c>
      <x:c r="P8" s="59" t="n">
        <x:v>7834</x:v>
      </x:c>
    </x:row>
    <x:row r="9">
      <x:c r="A9" s="47" t="str">
        <x:v>EVT-000033</x:v>
      </x:c>
      <x:c r="B9" s="47" t="str">
        <x:v>RUN-IMO26-012-20260831T061610936367Z</x:v>
      </x:c>
      <x:c r="C9" s="47" t="str">
        <x:v>IMO26-012</x:v>
      </x:c>
      <x:c r="D9" s="91" t="n">
        <x:v>46265.26176646991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2702.034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RUN-IMO26-012-20260831T061610936367Z</x:v>
      </x:c>
      <x:c r="C10" s="47" t="str">
        <x:v>IMO26-012</x:v>
      </x:c>
      <x:c r="D10" s="91" t="n">
        <x:v>46265.26176648148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2703.478</x:v>
      </x:c>
      <x:c r="L10" s="93" t="b">
        <x:v>0</x:v>
      </x:c>
      <x:c r="M10" s="47" t="str">
        <x:v>resp_053b171aad625e65006a951c560df481958c3035aca2ff511c</x:v>
      </x:c>
      <x:c r="N10" s="59" t="n">
        <x:v>2072</x:v>
      </x:c>
      <x:c r="O10" s="59" t="n">
        <x:v>199</x:v>
      </x:c>
      <x:c r="P10" s="59" t="n">
        <x:v>2271</x:v>
      </x:c>
    </x:row>
    <x:row r="11">
      <x:c r="A11" s="47" t="str">
        <x:v>EVT-000052</x:v>
      </x:c>
      <x:c r="B11" s="47" t="str">
        <x:v>RUN-IMO26-012-20260831T061610936367Z</x:v>
      </x:c>
      <x:c r="C11" s="47" t="str">
        <x:v>IMO26-012</x:v>
      </x:c>
      <x:c r="D11" s="91" t="n">
        <x:v>46265.26218554398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36195.194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RUN-IMO26-012-20260831T061610936367Z</x:v>
      </x:c>
      <x:c r="C12" s="47" t="str">
        <x:v>IMO26-012</x:v>
      </x:c>
      <x:c r="D12" s="91" t="n">
        <x:v>46265.262185555555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36196.642</x:v>
      </x:c>
      <x:c r="L12" s="93" t="b">
        <x:v>0</x:v>
      </x:c>
      <x:c r="M12" s="47" t="str">
        <x:v>resp_0f7c2f7d21ee5be2006a951c5a1eac8196bacbebfb310a42b0</x:v>
      </x:c>
      <x:c r="N12" s="59" t="n">
        <x:v>7778</x:v>
      </x:c>
      <x:c r="O12" s="59" t="n">
        <x:v>3291</x:v>
      </x:c>
      <x:c r="P12" s="59" t="n">
        <x:v>11069</x:v>
      </x:c>
    </x:row>
    <x:row r="13">
      <x:c r="A13" s="47" t="str">
        <x:v>EVT-000060</x:v>
      </x:c>
      <x:c r="B13" s="47" t="str">
        <x:v>RUN-IMO26-012-20260831T061610936367Z</x:v>
      </x:c>
      <x:c r="C13" s="47" t="str">
        <x:v>IMO26-012</x:v>
      </x:c>
      <x:c r="D13" s="91" t="n">
        <x:v>46265.26237398148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16184.058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EVT-000061</x:v>
      </x:c>
      <x:c r="B14" s="49" t="str">
        <x:v>RUN-IMO26-012-20260831T061610936367Z</x:v>
      </x:c>
      <x:c r="C14" s="49" t="str">
        <x:v>IMO26-012</x:v>
      </x:c>
      <x:c r="D14" s="94" t="n">
        <x:v>46265.26237400463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16185.618</x:v>
      </x:c>
      <x:c r="L14" s="82" t="b">
        <x:v>0</x:v>
      </x:c>
      <x:c r="M14" s="49" t="str">
        <x:v>resp_0e22a9178b93c758006a951c7d00e881908a58a28d5e5c5aee</x:v>
      </x:c>
      <x:c r="N14" s="60" t="n">
        <x:v>7661</x:v>
      </x:c>
      <x:c r="O14" s="60" t="n">
        <x:v>1128</x:v>
      </x:c>
      <x:c r="P14" s="60" t="n">
        <x:v>8789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6e3565d4445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RUN-IMO26-012-20260831T061610936367Z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RUN-IMO26-012-20260831T061610936367Z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RUN-IMO26-012-20260831T061610936367Z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RUN-IMO26-012-20260831T061610936367Z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RUN-IMO26-012-20260831T061610936367Z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RUN-IMO26-012-20260831T061610936367Z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RUN-IMO26-012-20260831T061610936367Z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RUN-IMO26-012-20260831T061610936367Z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RUN-IMO26-012-20260831T061610936367Z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RUN-IMO26-012-20260831T061610936367Z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RUN-IMO26-012-20260831T061610936367Z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RUN-IMO26-012-20260831T061610936367Z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RUN-IMO26-012-20260831T061610936367Z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RUN-IMO26-012-20260831T061610936367Z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RUN-IMO26-012-20260831T061610936367Z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RUN-IMO26-012-20260831T061610936367Z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RUN-IMO26-012-20260831T061610936367Z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RUN-IMO26-012-20260831T061610936367Z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RUN-IMO26-012-20260831T061610936367Z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RUN-IMO26-012-20260831T061610936367Z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9" t="str">
        <x:v>RUN-IMO26-012-20260831T061610936367Z</x:v>
      </x:c>
      <x:c r="B25" s="49" t="str">
        <x:v>IMO26-012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25371e532ae4b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RUN-IMO26-012-20260831T061610936367Z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RUN-IMO26-012-20260831T061610936367Z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RUN-IMO26-012-20260831T061610936367Z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30b3635924c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RUN-IMO26-012-20260831T061610936367Z</x:v>
      </x:c>
      <x:c r="B5" s="45" t="str">
        <x:v>IMO26-012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RUN-IMO26-012-20260831T061610936367Z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653a89839b74e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RUN-IMO26-012-20260831T061610936367Z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RUN-IMO26-012-20260831T061610936367Z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Reject: the candidate omits the verified applicability condition gross_tonnage &gt;= 500, so it incorrectly requires the topology for every ship. Locate and use the canonical gross-tonnage term/path and gate all requirement checks on that condition; do not add a convenience applicability boolean. It also never enforces the required count of at least two distinct nonMagneticHeadingMeans nodes: add a conditional ship-level count/topology check requiring at least two distinct means, while retaining per-means main-power and emergency-power connections and same-ship independence to another distinct means. Ensure the count and independence query are evaluated for the specific target ship rather than an arbitrary ship sharing the equipment node.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RUN-IMO26-012-20260831T061610936367Z</x:v>
      </x:c>
      <x:c r="B6" s="49" t="str">
        <x:v>IMO26-012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grossTonnage</x:v>
      </x:c>
      <x:c r="I6" s="50" t="str">
        <x:v>https://w3id.org/nltl/vocab#grossTonnage</x:v>
      </x:c>
      <x:c r="J6" s="50" t="str">
        <x:v>Use this exact term because the requirement explicitly gates applicability on gross tonnage &gt;= 500; apply the ship-scoped conditional count and topology checks only when this quantity meets that threshold.</x:v>
      </x:c>
    </x:row>
  </x:sheetData>
  <x:pageMargins left="0.7" right="0.7" top="0.75" bottom="0.75" header="0.3" footer="0.3"/>
  <x:tableParts count="1">
    <x:tablePart xmlns:r="http://schemas.openxmlformats.org/officeDocument/2006/relationships" r:id="R527c99f39f96403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RUN-IMO26-012-20260831T061610936367Z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RUN-IMO26-012-20260831T061610936367Z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RUN-IMO26-012-20260831T061610936367Z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RUN-IMO26-012-20260831T061610936367Z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RUN-IMO26-012-20260831T061610936367Z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a4486f2fcfca026fad0051132f4553ac9a74ef83f67cbb06a1fd8d9864acd5a0</x:v>
      </x:c>
      <x:c r="G8" s="59" t="n">
        <x:v>1982</x:v>
      </x:c>
    </x:row>
    <x:row r="9">
      <x:c r="A9" s="47" t="str">
        <x:v>RUN-IMO26-012-20260831T061610936367Z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e12078013fc93f3aa033f3b22dec0e91960ac9554d12031d3f77774f18eeae22</x:v>
      </x:c>
      <x:c r="G9" s="59" t="n">
        <x:v>1957</x:v>
      </x:c>
    </x:row>
    <x:row r="10">
      <x:c r="A10" s="47" t="str">
        <x:v>RUN-IMO26-012-20260831T061610936367Z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RUN-IMO26-012-20260831T061610936367Z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e9e77c1844a4df1fc11952cb537e3a1b0e58b88fb53e5edfe826119f25694822</x:v>
      </x:c>
      <x:c r="G11" s="59" t="n">
        <x:v>27388</x:v>
      </x:c>
    </x:row>
    <x:row r="12">
      <x:c r="A12" s="47" t="str">
        <x:v>RUN-IMO26-012-20260831T061610936367Z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18db143f4b4bc9edaf79a41b45501da2edde6ac378d4875bfbc3c0f20af24558</x:v>
      </x:c>
      <x:c r="G12" s="59" t="n">
        <x:v>808</x:v>
      </x:c>
    </x:row>
    <x:row r="13">
      <x:c r="A13" s="47" t="str">
        <x:v>RUN-IMO26-012-20260831T061610936367Z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e9c9afefe3968e148651f2f37e8fffb00c576abbf1a786ef86dc57c5682d20f6</x:v>
      </x:c>
      <x:c r="G13" s="59" t="n">
        <x:v>2743</x:v>
      </x:c>
    </x:row>
    <x:row r="14">
      <x:c r="A14" s="47" t="str">
        <x:v>RUN-IMO26-012-20260831T061610936367Z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2ea9100b1b3875969a16431458e51549620756c8066a94a145ce284a4677a19b</x:v>
      </x:c>
      <x:c r="G14" s="59" t="n">
        <x:v>8284</x:v>
      </x:c>
    </x:row>
    <x:row r="15">
      <x:c r="A15" s="47" t="str">
        <x:v>RUN-IMO26-012-20260831T061610936367Z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c71e1529d62f4ac8220e70d920a92e1fe1b2c6807103d4e5824a84462c07feb5</x:v>
      </x:c>
      <x:c r="G15" s="59" t="n">
        <x:v>345</x:v>
      </x:c>
    </x:row>
    <x:row r="16">
      <x:c r="A16" s="47" t="str">
        <x:v>RUN-IMO26-012-20260831T061610936367Z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a6e72b28e2ee47b665db4d474a9c2e7e33b20b1a9c3b6f472e9d46ee3cb608d7</x:v>
      </x:c>
      <x:c r="G16" s="59" t="n">
        <x:v>16585</x:v>
      </x:c>
    </x:row>
    <x:row r="17">
      <x:c r="A17" s="47" t="str">
        <x:v>RUN-IMO26-012-20260831T061610936367Z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b93d178bef4cba69d624cb0fddca3cadbc000c51d142f4810744095902157ef5</x:v>
      </x:c>
      <x:c r="G17" s="59" t="n">
        <x:v>32963</x:v>
      </x:c>
    </x:row>
    <x:row r="18">
      <x:c r="A18" s="47" t="str">
        <x:v>RUN-IMO26-012-20260831T061610936367Z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f9423d92e71a4a55ce2308ed0bd9e4bc75e5f939e1c6e619d342024dd90e7ce5</x:v>
      </x:c>
      <x:c r="G18" s="59" t="n">
        <x:v>3655</x:v>
      </x:c>
    </x:row>
    <x:row r="19">
      <x:c r="A19" s="47" t="str">
        <x:v>RUN-IMO26-012-20260831T061610936367Z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c49f29dd38eeed24712d223b8e45e5ee55d31089f3c3f5b3e92bfdbe177464ef</x:v>
      </x:c>
      <x:c r="G19" s="59" t="n">
        <x:v>3630</x:v>
      </x:c>
    </x:row>
    <x:row r="20">
      <x:c r="A20" s="47" t="str">
        <x:v>RUN-IMO26-012-20260831T061610936367Z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RUN-IMO26-012-20260831T061610936367Z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af613b430d8c6d6559bb7dd1532991de23b6c9ceafcfdf2ed684a6fc08ad38ad</x:v>
      </x:c>
      <x:c r="G21" s="59" t="n">
        <x:v>31722</x:v>
      </x:c>
    </x:row>
    <x:row r="22">
      <x:c r="A22" s="47" t="str">
        <x:v>RUN-IMO26-012-20260831T061610936367Z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4a5a84cf5538a1253f451df877f08e0d194980b6f27fd294491d0d335393c317</x:v>
      </x:c>
      <x:c r="G22" s="59" t="n">
        <x:v>452</x:v>
      </x:c>
    </x:row>
    <x:row r="23">
      <x:c r="A23" s="49" t="str">
        <x:v>RUN-IMO26-012-20260831T061610936367Z</x:v>
      </x:c>
      <x:c r="B23" s="49" t="str">
        <x:v>IMO26-012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c49f29dd38eeed24712d223b8e45e5ee55d31089f3c3f5b3e92bfdbe177464ef</x:v>
      </x:c>
      <x:c r="G23" s="60" t="n">
        <x:v>3630</x:v>
      </x:c>
    </x:row>
  </x:sheetData>
  <x:pageMargins left="0.7" right="0.7" top="0.75" bottom="0.75" header="0.3" footer="0.3"/>
  <x:tableParts count="1">
    <x:tablePart xmlns:r="http://schemas.openxmlformats.org/officeDocument/2006/relationships" r:id="R1f7e52aa27ff4c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RUN-IMO26-012-20260831T061610936367Z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RUN-IMO26-012-20260831T061610936367Z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RUN-IMO26-012-20260831T061610936367Z</x:v>
      </x:c>
      <x:c r="B5" s="69" t="str">
        <x:v>IMO26-012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1f699ba6d47ff"/>
  </x:tableParts>
</x:worksheet>
</file>