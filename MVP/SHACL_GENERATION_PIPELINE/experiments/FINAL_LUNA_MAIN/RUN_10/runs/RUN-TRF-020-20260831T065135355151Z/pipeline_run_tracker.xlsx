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a7b2bb47d141d2" /></Relationships>
</file>

<file path=xl/workbook.xml><?xml version="1.0" encoding="utf-8"?>
<x:workbook xmlns:x="http://schemas.openxmlformats.org/spreadsheetml/2006/main">
  <x:sheets>
    <x:sheet xmlns:r="http://schemas.openxmlformats.org/officeDocument/2006/relationships" name="SUMMARY" sheetId="1" r:id="Raec6eee8abb14f18"/>
    <x:sheet xmlns:r="http://schemas.openxmlformats.org/officeDocument/2006/relationships" name="README" sheetId="2" r:id="R903b7bfe47984992"/>
    <x:sheet xmlns:r="http://schemas.openxmlformats.org/officeDocument/2006/relationships" name="REGULATION_QUEUE" sheetId="3" r:id="R425e323e60ea42ac"/>
    <x:sheet xmlns:r="http://schemas.openxmlformats.org/officeDocument/2006/relationships" name="RUNS" sheetId="4" r:id="Racfdf10699114f19"/>
    <x:sheet xmlns:r="http://schemas.openxmlformats.org/officeDocument/2006/relationships" name="ITERATIONS" sheetId="5" r:id="Rb6b31049414d4122"/>
    <x:sheet xmlns:r="http://schemas.openxmlformats.org/officeDocument/2006/relationships" name="API_CALLS" sheetId="6" r:id="Rd25cda4cb75b4c8c"/>
    <x:sheet xmlns:r="http://schemas.openxmlformats.org/officeDocument/2006/relationships" name="TERM_RETRIEVAL" sheetId="7" r:id="R80dc1482e6c84fe5"/>
    <x:sheet xmlns:r="http://schemas.openxmlformats.org/officeDocument/2006/relationships" name="FEW_SHOT_SELECTION" sheetId="8" r:id="R7c05f1d2028f4e2b"/>
    <x:sheet xmlns:r="http://schemas.openxmlformats.org/officeDocument/2006/relationships" name="VALIDATION" sheetId="9" r:id="R380d981d50e4416b"/>
    <x:sheet xmlns:r="http://schemas.openxmlformats.org/officeDocument/2006/relationships" name="VOCAB_MATCHES" sheetId="10" r:id="R30cb5d56e23b4a6a"/>
    <x:sheet xmlns:r="http://schemas.openxmlformats.org/officeDocument/2006/relationships" name="ARTIFACTS" sheetId="11" r:id="R193220758f04462d"/>
    <x:sheet xmlns:r="http://schemas.openxmlformats.org/officeDocument/2006/relationships" name="UNRESOLVED" sheetId="12" r:id="Rfeb146d104624e83"/>
    <x:sheet xmlns:r="http://schemas.openxmlformats.org/officeDocument/2006/relationships" name="RDF_TEST_QUEUE" sheetId="13" r:id="R41c1855864bb44a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c4c27bbbbc646bc" /><Relationship Type="http://schemas.openxmlformats.org/officeDocument/2006/relationships/theme" Target="/xl/theme/theme1.xml" Id="R604f4d6ef5bd4121" /><Relationship Type="http://schemas.microsoft.com/office/2022/11/relationships/FeaturePropertyBag" Target="/xl/featurePropertyBag/featurePropertyBag.xml" Id="R6fc875740ec04b94" /><Relationship Type="http://schemas.openxmlformats.org/officeDocument/2006/relationships/sharedStrings" Target="/xl/sharedStrings.xml" Id="R32af65909516401a" /><Relationship Type="http://schemas.openxmlformats.org/officeDocument/2006/relationships/worksheet" Target="/xl/worksheets/sheet1.xml" Id="Raec6eee8abb14f18" /><Relationship Type="http://schemas.openxmlformats.org/officeDocument/2006/relationships/worksheet" Target="/xl/worksheets/sheet2.xml" Id="R903b7bfe47984992" /><Relationship Type="http://schemas.openxmlformats.org/officeDocument/2006/relationships/worksheet" Target="/xl/worksheets/sheet3.xml" Id="R425e323e60ea42ac" /><Relationship Type="http://schemas.openxmlformats.org/officeDocument/2006/relationships/worksheet" Target="/xl/worksheets/sheet4.xml" Id="Racfdf10699114f19" /><Relationship Type="http://schemas.openxmlformats.org/officeDocument/2006/relationships/worksheet" Target="/xl/worksheets/sheet5.xml" Id="Rb6b31049414d4122" /><Relationship Type="http://schemas.openxmlformats.org/officeDocument/2006/relationships/worksheet" Target="/xl/worksheets/sheet6.xml" Id="Rd25cda4cb75b4c8c" /><Relationship Type="http://schemas.openxmlformats.org/officeDocument/2006/relationships/worksheet" Target="/xl/worksheets/sheet7.xml" Id="R80dc1482e6c84fe5" /><Relationship Type="http://schemas.openxmlformats.org/officeDocument/2006/relationships/worksheet" Target="/xl/worksheets/sheet8.xml" Id="R7c05f1d2028f4e2b" /><Relationship Type="http://schemas.openxmlformats.org/officeDocument/2006/relationships/worksheet" Target="/xl/worksheets/sheet9.xml" Id="R380d981d50e4416b" /><Relationship Type="http://schemas.openxmlformats.org/officeDocument/2006/relationships/worksheet" Target="/xl/worksheets/sheet10.xml" Id="R30cb5d56e23b4a6a" /><Relationship Type="http://schemas.openxmlformats.org/officeDocument/2006/relationships/worksheet" Target="/xl/worksheets/sheet11.xml" Id="R193220758f04462d" /><Relationship Type="http://schemas.openxmlformats.org/officeDocument/2006/relationships/worksheet" Target="/xl/worksheets/sheet12.xml" Id="Rfeb146d104624e83" /><Relationship Type="http://schemas.openxmlformats.org/officeDocument/2006/relationships/worksheet" Target="/xl/worksheets/sheet13.xml" Id="R41c1855864bb44a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5ee800395fc4bad" /></Relationships>
</file>

<file path=xl/worksheets/_rels/sheet3.xml.rels>&#65279;<?xml version="1.0" encoding="utf-8"?><Relationships xmlns="http://schemas.openxmlformats.org/package/2006/relationships"><Relationship Type="http://schemas.openxmlformats.org/officeDocument/2006/relationships/table" Target="/xl/tables/table2.xml" Id="R1b0d0e43195a42c9" /></Relationships>
</file>

<file path=xl/worksheets/_rels/sheet4.xml.rels>&#65279;<?xml version="1.0" encoding="utf-8"?><Relationships xmlns="http://schemas.openxmlformats.org/package/2006/relationships"><Relationship Type="http://schemas.openxmlformats.org/officeDocument/2006/relationships/table" Target="/xl/tables/table3.xml" Id="R7b579b8932e641b5" /></Relationships>
</file>

<file path=xl/worksheets/_rels/sheet5.xml.rels>&#65279;<?xml version="1.0" encoding="utf-8"?><Relationships xmlns="http://schemas.openxmlformats.org/package/2006/relationships"><Relationship Type="http://schemas.openxmlformats.org/officeDocument/2006/relationships/table" Target="/xl/tables/table4.xml" Id="R5892c1c1b4474d60" /></Relationships>
</file>

<file path=xl/worksheets/_rels/sheet6.xml.rels>&#65279;<?xml version="1.0" encoding="utf-8"?><Relationships xmlns="http://schemas.openxmlformats.org/package/2006/relationships"><Relationship Type="http://schemas.openxmlformats.org/officeDocument/2006/relationships/table" Target="/xl/tables/table5.xml" Id="R646b5228a3cf4982" /></Relationships>
</file>

<file path=xl/worksheets/_rels/sheet7.xml.rels>&#65279;<?xml version="1.0" encoding="utf-8"?><Relationships xmlns="http://schemas.openxmlformats.org/package/2006/relationships"><Relationship Type="http://schemas.openxmlformats.org/officeDocument/2006/relationships/table" Target="/xl/tables/table6.xml" Id="Rb3153b230cfb4985" /></Relationships>
</file>

<file path=xl/worksheets/_rels/sheet8.xml.rels>&#65279;<?xml version="1.0" encoding="utf-8"?><Relationships xmlns="http://schemas.openxmlformats.org/package/2006/relationships"><Relationship Type="http://schemas.openxmlformats.org/officeDocument/2006/relationships/table" Target="/xl/tables/table7.xml" Id="R10670131bca54736" /></Relationships>
</file>

<file path=xl/worksheets/_rels/sheet9.xml.rels>&#65279;<?xml version="1.0" encoding="utf-8"?><Relationships xmlns="http://schemas.openxmlformats.org/package/2006/relationships"><Relationship Type="http://schemas.openxmlformats.org/officeDocument/2006/relationships/table" Target="/xl/tables/table8.xml" Id="R3e2d2939dbb54016" /></Relationships>
</file>

<file path=xl/worksheets/_rels/sheet10.xml.rels>&#65279;<?xml version="1.0" encoding="utf-8"?><Relationships xmlns="http://schemas.openxmlformats.org/package/2006/relationships"><Relationship Type="http://schemas.openxmlformats.org/officeDocument/2006/relationships/table" Target="/xl/tables/table9.xml" Id="Rbcef3ba6c9f14fc4" /></Relationships>
</file>

<file path=xl/worksheets/_rels/sheet11.xml.rels>&#65279;<?xml version="1.0" encoding="utf-8"?><Relationships xmlns="http://schemas.openxmlformats.org/package/2006/relationships"><Relationship Type="http://schemas.openxmlformats.org/officeDocument/2006/relationships/table" Target="/xl/tables/table10.xml" Id="R544ad0c541c0425f" /></Relationships>
</file>

<file path=xl/worksheets/_rels/sheet12.xml.rels>&#65279;<?xml version="1.0" encoding="utf-8"?><Relationships xmlns="http://schemas.openxmlformats.org/package/2006/relationships"><Relationship Type="http://schemas.openxmlformats.org/officeDocument/2006/relationships/table" Target="/xl/tables/table11.xml" Id="Rf767f517f30a4b9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RUN-TRF-020-20260831T065135355151Z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COUNTA('API_CALLS'!$A$5:$A$28)</x:f>
        <x:v>24</x:v>
      </x:c>
      <x:c r="C9" s="21"/>
      <x:c r="D9" s="21"/>
    </x:row>
    <x:row r="10">
      <x:c r="A10" s="27" t="str">
        <x:v>Mean API/LLM elapsed ms</x:v>
      </x:c>
      <x:c r="B10" s="28" t="n">
        <x:f>IFERROR(AVERAGE('API_CALLS'!$K$5:$K$28),0)</x:f>
        <x:v>37773.29275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RUN-TRF-020-20260831T065135355151Z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5ee800395fc4ba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RUN-TRF-020-20260831T065135355151Z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MAX_ATTEMPTS_REACHED</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b0d0e43195a42c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RUN-TRF-020-20260831T065135355151Z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RUN-TRF-020-20260831T065135355151Z</x:v>
      </x:c>
      <x:c r="C5" s="69" t="str">
        <x:v>TRF-020</x:v>
      </x:c>
      <x:c r="D5" s="70" t="n">
        <x:v>46265.28582587963</x:v>
      </x:c>
      <x:c r="E5" s="70" t="n">
        <x:v>46265.29112695602</x:v>
      </x:c>
      <x:c r="F5" s="69" t="str">
        <x:v>final-luna-main-run10</x:v>
      </x:c>
      <x:c r="G5" s="69" t="str">
        <x:v>VOCAB-LOCK-2026-08-22-R13</x:v>
      </x:c>
      <x:c r="H5" s="71" t="n">
        <x:v>4</x:v>
      </x:c>
      <x:c r="I5" s="69" t="str">
        <x:v>MAX_ATTEMPTS_REACHED</x:v>
      </x:c>
      <x:c r="J5" s="72" t="b">
        <x:v>0</x:v>
      </x:c>
      <x:c r="K5" s="69" t="str"/>
      <x:c r="L5" s="73" t="str">
        <x:v>Preserve the corrected applicability alternatives and upper-waterline ownership. Add the canonical calculation/path and table-selection terms needed to represent two separate UIWL and LIWL readiness calculations: each must use its corresponding lower/upper resistance input, both must use upperIceWaterlineLength and upperIceWaterlineBreadth, and each must produce its declared result term. Add explicit datatype/unit validation for maximumContinuousRatingPower, which is currently referenced only by SPARQL. Replace the current Ke table query with an exact, complete, non-overlapping Table 3-1 selection; it currently permits wrong combinations (for example, electric or hydraulic propulsion with fixed pitch can satisfy either value) and does not faithfully encode the conventional-propulsion table. Do not add a reconstructed nonlinear formula; preserve the COMPLEX_READINESS boundary.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b579b8932e641b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RUN-TRF-020-20260831T065135355151Z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RUN-TRF-020-20260831T065135355151Z</x:v>
      </x:c>
      <x:c r="B5" s="45" t="str">
        <x:v>TRF-020</x:v>
      </x:c>
      <x:c r="C5" s="58" t="n">
        <x:v>1</x:v>
      </x:c>
      <x:c r="D5" s="83" t="b">
        <x:v>1</x:v>
      </x:c>
      <x:c r="E5" s="83" t="b">
        <x:v>0</x:v>
      </x:c>
      <x:c r="F5" s="83" t="b">
        <x:v>0</x:v>
      </x:c>
      <x:c r="G5" s="45" t="str">
        <x:v>REVISE</x:v>
      </x:c>
      <x:c r="H5" s="46" t="str">
        <x:v>Repair applicability logic. The top-level nltl:iceClass sh:in restriction makes the outside-class non-applicability branch impossible and falsely invalidates non-applicable ships. Remove that restriction (retain required controlled iceClass evidence), and replace the two non-applicability sh:sparql branches: SHACL SPARQL constraints conform when their SELECT returns no rows, so the current date&lt;2003-09-01 and class-NOT-IN queries are inverted inside sh:or and can let applicable or inapplicable cases pass accidentally. Encode positive alternatives with SHACL Core constraints, such as constructionStageDate sh:maxExclusive 2003-09-01 and a sh:not wrapper around the applicable-class sh:in constraint, while retaining the applicable branch and all declared operand, relationship, result, datatype, and unit checks.</x:v>
      </x:c>
      <x:c r="I5" s="84" t="n">
        <x:v>51064.22</x:v>
      </x:c>
      <x:c r="J5" s="84" t="n">
        <x:v>67851.367</x:v>
      </x:c>
    </x:row>
    <x:row r="6">
      <x:c r="A6" s="47" t="str">
        <x:v>RUN-TRF-020-20260831T065135355151Z</x:v>
      </x:c>
      <x:c r="B6" s="47" t="str">
        <x:v>TRF-020</x:v>
      </x:c>
      <x:c r="C6" s="59" t="n">
        <x:v>2</x:v>
      </x:c>
      <x:c r="D6" s="85" t="b">
        <x:v>1</x:v>
      </x:c>
      <x:c r="E6" s="85" t="b">
        <x:v>0</x:v>
      </x:c>
      <x:c r="F6" s="85" t="b">
        <x:v>0</x:v>
      </x:c>
      <x:c r="G6" s="47" t="str">
        <x:v>REVISE</x:v>
      </x:c>
      <x:c r="H6" s="48" t="str">
        <x:v>Do not attach upperIceWaterlineLength and upperIceWaterlineBreadth to the hasLowerIceWaterline node. Those properties belong to the upper ice-waterline owner, and duplicating them on the lower waterline targets the right properties on the wrong entity. Retain the dimensions only on the hasUpperIceWaterline node and encode the lower calculation's use of those same upper-waterline dimensions through the appropriate declared calculation/path structure, while preserving both resistance inputs, both result terms, and the mcrPower &gt;= each-result comparison.</x:v>
      </x:c>
      <x:c r="I6" s="86" t="n">
        <x:v>51194.884</x:v>
      </x:c>
      <x:c r="J6" s="86" t="n">
        <x:v>84286.451</x:v>
      </x:c>
    </x:row>
    <x:row r="7">
      <x:c r="A7" s="47" t="str">
        <x:v>RUN-TRF-020-20260831T065135355151Z</x:v>
      </x:c>
      <x:c r="B7" s="47" t="str">
        <x:v>TRF-020</x:v>
      </x:c>
      <x:c r="C7" s="59" t="n">
        <x:v>3</x:v>
      </x:c>
      <x:c r="D7" s="85" t="b">
        <x:v>1</x:v>
      </x:c>
      <x:c r="E7" s="85" t="b">
        <x:v>0</x:v>
      </x:c>
      <x:c r="F7" s="85" t="b">
        <x:v>1</x:v>
      </x:c>
      <x:c r="G7" s="47" t="str">
        <x:v>REVISE_WITH_MATCH</x:v>
      </x:c>
      <x:c r="H7" s="48" t="str">
        <x:v>Preserve the corrected applicability alternatives and the upper-waterline ownership of upperIceWaterlineLength and upperIceWaterlineBreadth, but add the declared calculation/path structure that represents two separate UIWL and LIWL calculations: each must use its corresponding resistance input while both use the dimensions owned by the upper ice-waterline, and must produce the two required result terms. Also encode the Table 3-1 selection of engineOutputCoefficientKe from propeller count, pitch-control type, and propulsion-system type rather than accepting an arbitrary dimensionless value. The current shape is presence-only for the formula operands and does not establish these calculation relationships or table selection. Locate the canonical calculation/path and table-selection terms needed for this repair.</x:v>
      </x:c>
      <x:c r="I7" s="86" t="n">
        <x:v>44025.975</x:v>
      </x:c>
      <x:c r="J7" s="86" t="n">
        <x:v>33138.541</x:v>
      </x:c>
    </x:row>
    <x:row r="8">
      <x:c r="A8" s="49" t="str">
        <x:v>RUN-TRF-020-20260831T065135355151Z</x:v>
      </x:c>
      <x:c r="B8" s="49" t="str">
        <x:v>TRF-020</x:v>
      </x:c>
      <x:c r="C8" s="60" t="n">
        <x:v>4</x:v>
      </x:c>
      <x:c r="D8" s="87" t="b">
        <x:v>1</x:v>
      </x:c>
      <x:c r="E8" s="87" t="b">
        <x:v>0</x:v>
      </x:c>
      <x:c r="F8" s="87" t="b">
        <x:v>1</x:v>
      </x:c>
      <x:c r="G8" s="49" t="str">
        <x:v>REVISE_WITH_MATCH</x:v>
      </x:c>
      <x:c r="H8" s="50" t="str">
        <x:v>Preserve the corrected applicability alternatives and upper-waterline ownership. Add the canonical calculation/path and table-selection terms needed to represent two separate UIWL and LIWL readiness calculations: each must use its corresponding lower/upper resistance input, both must use upperIceWaterlineLength and upperIceWaterlineBreadth, and each must produce its declared result term. Add explicit datatype/unit validation for maximumContinuousRatingPower, which is currently referenced only by SPARQL. Replace the current Ke table query with an exact, complete, non-overlapping Table 3-1 selection; it currently permits wrong combinations (for example, electric or hydraulic propulsion with fixed pitch can satisfy either value) and does not faithfully encode the conventional-propulsion table. Do not add a reconstructed nonlinear formula; preserve the COMPLEX_READINESS boundary.</x:v>
      </x:c>
      <x:c r="I8" s="88" t="n">
        <x:v>38529.566</x:v>
      </x:c>
      <x:c r="J8" s="88" t="n">
        <x:v>13527.14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892c1c1b4474d6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RUN-TRF-020-20260831T065135355151Z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EVT-000045</x:v>
      </x:c>
      <x:c r="B5" s="45" t="str">
        <x:v>RUN-TRF-020-20260831T065135355151Z</x:v>
      </x:c>
      <x:c r="C5" s="45" t="str">
        <x:v>TRF-020</x:v>
      </x:c>
      <x:c r="D5" s="92" t="n">
        <x:v>46265.2864169213</x:v>
      </x:c>
      <x:c r="E5" s="45" t="str">
        <x:v>generator</x:v>
      </x:c>
      <x:c r="F5" s="45" t="str">
        <x:v>gpt-5.6-luna-2026-07-09</x:v>
      </x:c>
      <x:c r="G5" s="45" t="n">
        <x:v>1</x:v>
      </x:c>
      <x:c r="H5" s="45" t="n">
        <x:v>200</x:v>
      </x:c>
      <x:c r="I5" s="45" t="str">
        <x:v>Ocp-Apim-Subscription-Key</x:v>
      </x:c>
      <x:c r="J5" s="84" t="n">
        <x:v>0</x:v>
      </x:c>
      <x:c r="K5" s="84" t="n">
        <x:v>51062.573</x:v>
      </x:c>
      <x:c r="L5" s="83" t="b">
        <x:v>0</x:v>
      </x:c>
      <x:c r="M5" s="45" t="str"/>
      <x:c r="N5" s="58" t="str"/>
      <x:c r="O5" s="58" t="str"/>
      <x:c r="P5" s="58" t="str"/>
    </x:row>
    <x:row r="6">
      <x:c r="A6" s="47" t="str">
        <x:v>EVT-000046</x:v>
      </x:c>
      <x:c r="B6" s="47" t="str">
        <x:v>RUN-TRF-020-20260831T065135355151Z</x:v>
      </x:c>
      <x:c r="C6" s="47" t="str">
        <x:v>TRF-020</x:v>
      </x:c>
      <x:c r="D6" s="93" t="n">
        <x:v>46265.286416944444</x:v>
      </x:c>
      <x:c r="E6" s="47" t="str">
        <x:v>generator</x:v>
      </x:c>
      <x:c r="F6" s="47" t="str">
        <x:v>gpt-5.6-luna-2026-07-09</x:v>
      </x:c>
      <x:c r="G6" s="47" t="n">
        <x:v>1</x:v>
      </x:c>
      <x:c r="H6" s="47" t="str">
        <x:v>COMPLETED</x:v>
      </x:c>
      <x:c r="I6" s="47" t="str"/>
      <x:c r="J6" s="86" t="n">
        <x:v>0</x:v>
      </x:c>
      <x:c r="K6" s="86" t="n">
        <x:v>51064.22</x:v>
      </x:c>
      <x:c r="L6" s="85" t="b">
        <x:v>0</x:v>
      </x:c>
      <x:c r="M6" s="47" t="str">
        <x:v>resp_02f1ad341de0c474006a9524778bb081958cacbc0ee2c482b0</x:v>
      </x:c>
      <x:c r="N6" s="59" t="n">
        <x:v>17000</x:v>
      </x:c>
      <x:c r="O6" s="59" t="n">
        <x:v>4061</x:v>
      </x:c>
      <x:c r="P6" s="59" t="n">
        <x:v>21061</x:v>
      </x:c>
    </x:row>
    <x:row r="7">
      <x:c r="A7" s="47" t="str">
        <x:v>EVT-000051</x:v>
      </x:c>
      <x:c r="B7" s="47" t="str">
        <x:v>RUN-TRF-020-20260831T065135355151Z</x:v>
      </x:c>
      <x:c r="C7" s="47" t="str">
        <x:v>TRF-020</x:v>
      </x:c>
      <x:c r="D7" s="93" t="n">
        <x:v>46265.28667837963</x:v>
      </x:c>
      <x:c r="E7" s="47" t="str">
        <x:v>syntax_repair</x:v>
      </x:c>
      <x:c r="F7" s="47" t="str">
        <x:v>gpt-5.6-luna-2026-07-09</x:v>
      </x:c>
      <x:c r="G7" s="47" t="n">
        <x:v>1</x:v>
      </x:c>
      <x:c r="H7" s="47" t="n">
        <x:v>200</x:v>
      </x:c>
      <x:c r="I7" s="47" t="str">
        <x:v>Ocp-Apim-Subscription-Key</x:v>
      </x:c>
      <x:c r="J7" s="86" t="n">
        <x:v>0</x:v>
      </x:c>
      <x:c r="K7" s="86" t="n">
        <x:v>22576.909</x:v>
      </x:c>
      <x:c r="L7" s="85" t="b">
        <x:v>0</x:v>
      </x:c>
      <x:c r="M7" s="47" t="str"/>
      <x:c r="N7" s="59" t="str"/>
      <x:c r="O7" s="59" t="str"/>
      <x:c r="P7" s="59" t="str"/>
    </x:row>
    <x:row r="8">
      <x:c r="A8" s="47" t="str">
        <x:v>EVT-000052</x:v>
      </x:c>
      <x:c r="B8" s="47" t="str">
        <x:v>RUN-TRF-020-20260831T065135355151Z</x:v>
      </x:c>
      <x:c r="C8" s="47" t="str">
        <x:v>TRF-020</x:v>
      </x:c>
      <x:c r="D8" s="93" t="n">
        <x:v>46265.28667840278</x:v>
      </x:c>
      <x:c r="E8" s="47" t="str">
        <x:v>syntax_repair</x:v>
      </x:c>
      <x:c r="F8" s="47" t="str">
        <x:v>gpt-5.6-luna-2026-07-09</x:v>
      </x:c>
      <x:c r="G8" s="47" t="n">
        <x:v>1</x:v>
      </x:c>
      <x:c r="H8" s="47" t="str">
        <x:v>COMPLETED</x:v>
      </x:c>
      <x:c r="I8" s="47" t="str"/>
      <x:c r="J8" s="86" t="n">
        <x:v>0</x:v>
      </x:c>
      <x:c r="K8" s="86" t="n">
        <x:v>22578.538</x:v>
      </x:c>
      <x:c r="L8" s="85" t="b">
        <x:v>0</x:v>
      </x:c>
      <x:c r="M8" s="47" t="str">
        <x:v>resp_0c7d036c573bc8c0006a9524aa86e08196b8a9e66a232711c2</x:v>
      </x:c>
      <x:c r="N8" s="59" t="n">
        <x:v>3102</x:v>
      </x:c>
      <x:c r="O8" s="59" t="n">
        <x:v>2531</x:v>
      </x:c>
      <x:c r="P8" s="59" t="n">
        <x:v>5633</x:v>
      </x:c>
    </x:row>
    <x:row r="9">
      <x:c r="A9" s="47" t="str">
        <x:v>EVT-000060</x:v>
      </x:c>
      <x:c r="B9" s="47" t="str">
        <x:v>RUN-TRF-020-20260831T065135355151Z</x:v>
      </x:c>
      <x:c r="C9" s="47" t="str">
        <x:v>TRF-020</x:v>
      </x:c>
      <x:c r="D9" s="93" t="n">
        <x:v>46265.28746771991</x:v>
      </x:c>
      <x:c r="E9" s="47" t="str">
        <x:v>validator</x:v>
      </x:c>
      <x:c r="F9" s="47" t="str">
        <x:v>gpt-5.6-luna-2026-07-09</x:v>
      </x:c>
      <x:c r="G9" s="47" t="n">
        <x:v>1</x:v>
      </x:c>
      <x:c r="H9" s="47" t="n">
        <x:v>200</x:v>
      </x:c>
      <x:c r="I9" s="47" t="str">
        <x:v>Ocp-Apim-Subscription-Key</x:v>
      </x:c>
      <x:c r="J9" s="86" t="n">
        <x:v>0</x:v>
      </x:c>
      <x:c r="K9" s="86" t="n">
        <x:v>67850.188</x:v>
      </x:c>
      <x:c r="L9" s="85" t="b">
        <x:v>0</x:v>
      </x:c>
      <x:c r="M9" s="47" t="str"/>
      <x:c r="N9" s="59" t="str"/>
      <x:c r="O9" s="59" t="str"/>
      <x:c r="P9" s="59" t="str"/>
    </x:row>
    <x:row r="10">
      <x:c r="A10" s="47" t="str">
        <x:v>EVT-000061</x:v>
      </x:c>
      <x:c r="B10" s="47" t="str">
        <x:v>RUN-TRF-020-20260831T065135355151Z</x:v>
      </x:c>
      <x:c r="C10" s="47" t="str">
        <x:v>TRF-020</x:v>
      </x:c>
      <x:c r="D10" s="93" t="n">
        <x:v>46265.28746774306</x:v>
      </x:c>
      <x:c r="E10" s="47" t="str">
        <x:v>validator</x:v>
      </x:c>
      <x:c r="F10" s="47" t="str">
        <x:v>gpt-5.6-luna-2026-07-09</x:v>
      </x:c>
      <x:c r="G10" s="47" t="n">
        <x:v>1</x:v>
      </x:c>
      <x:c r="H10" s="47" t="str">
        <x:v>COMPLETED</x:v>
      </x:c>
      <x:c r="I10" s="47" t="str"/>
      <x:c r="J10" s="86" t="n">
        <x:v>0</x:v>
      </x:c>
      <x:c r="K10" s="86" t="n">
        <x:v>67851.367</x:v>
      </x:c>
      <x:c r="L10" s="85" t="b">
        <x:v>0</x:v>
      </x:c>
      <x:c r="M10" s="47" t="str">
        <x:v>resp_06b6bde1ada7ac99006a9524c24e3081978c75eb6d41ca46f1</x:v>
      </x:c>
      <x:c r="N10" s="59" t="n">
        <x:v>20245</x:v>
      </x:c>
      <x:c r="O10" s="59" t="n">
        <x:v>2020</x:v>
      </x:c>
      <x:c r="P10" s="59" t="n">
        <x:v>22265</x:v>
      </x:c>
    </x:row>
    <x:row r="11">
      <x:c r="A11" s="47" t="str">
        <x:v>EVT-000066</x:v>
      </x:c>
      <x:c r="B11" s="47" t="str">
        <x:v>RUN-TRF-020-20260831T065135355151Z</x:v>
      </x:c>
      <x:c r="C11" s="47" t="str">
        <x:v>TRF-020</x:v>
      </x:c>
      <x:c r="D11" s="93" t="n">
        <x:v>46265.2880603125</x:v>
      </x:c>
      <x:c r="E11" s="47" t="str">
        <x:v>generator</x:v>
      </x:c>
      <x:c r="F11" s="47" t="str">
        <x:v>gpt-5.6-luna-2026-07-09</x:v>
      </x:c>
      <x:c r="G11" s="47" t="n">
        <x:v>1</x:v>
      </x:c>
      <x:c r="H11" s="47" t="n">
        <x:v>200</x:v>
      </x:c>
      <x:c r="I11" s="47" t="str">
        <x:v>Ocp-Apim-Subscription-Key</x:v>
      </x:c>
      <x:c r="J11" s="86" t="n">
        <x:v>0</x:v>
      </x:c>
      <x:c r="K11" s="86" t="n">
        <x:v>51193.299</x:v>
      </x:c>
      <x:c r="L11" s="85" t="b">
        <x:v>0</x:v>
      </x:c>
      <x:c r="M11" s="47" t="str"/>
      <x:c r="N11" s="59" t="str"/>
      <x:c r="O11" s="59" t="str"/>
      <x:c r="P11" s="59" t="str"/>
    </x:row>
    <x:row r="12">
      <x:c r="A12" s="47" t="str">
        <x:v>EVT-000067</x:v>
      </x:c>
      <x:c r="B12" s="47" t="str">
        <x:v>RUN-TRF-020-20260831T065135355151Z</x:v>
      </x:c>
      <x:c r="C12" s="47" t="str">
        <x:v>TRF-020</x:v>
      </x:c>
      <x:c r="D12" s="93" t="n">
        <x:v>46265.288060335646</x:v>
      </x:c>
      <x:c r="E12" s="47" t="str">
        <x:v>generator</x:v>
      </x:c>
      <x:c r="F12" s="47" t="str">
        <x:v>gpt-5.6-luna-2026-07-09</x:v>
      </x:c>
      <x:c r="G12" s="47" t="n">
        <x:v>1</x:v>
      </x:c>
      <x:c r="H12" s="47" t="str">
        <x:v>COMPLETED</x:v>
      </x:c>
      <x:c r="I12" s="47" t="str"/>
      <x:c r="J12" s="86" t="n">
        <x:v>0</x:v>
      </x:c>
      <x:c r="K12" s="86" t="n">
        <x:v>51194.884</x:v>
      </x:c>
      <x:c r="L12" s="85" t="b">
        <x:v>0</x:v>
      </x:c>
      <x:c r="M12" s="47" t="str">
        <x:v>resp_08e46ee5d9e4e585006a95250560a48197b00b2f3c0c26d7d0</x:v>
      </x:c>
      <x:c r="N12" s="59" t="n">
        <x:v>17168</x:v>
      </x:c>
      <x:c r="O12" s="59" t="n">
        <x:v>3729</x:v>
      </x:c>
      <x:c r="P12" s="59" t="n">
        <x:v>20897</x:v>
      </x:c>
    </x:row>
    <x:row r="13">
      <x:c r="A13" s="47" t="str">
        <x:v>EVT-000074</x:v>
      </x:c>
      <x:c r="B13" s="47" t="str">
        <x:v>RUN-TRF-020-20260831T065135355151Z</x:v>
      </x:c>
      <x:c r="C13" s="47" t="str">
        <x:v>TRF-020</x:v>
      </x:c>
      <x:c r="D13" s="93" t="n">
        <x:v>46265.289040474534</x:v>
      </x:c>
      <x:c r="E13" s="47" t="str">
        <x:v>validator</x:v>
      </x:c>
      <x:c r="F13" s="47" t="str">
        <x:v>gpt-5.6-luna-2026-07-09</x:v>
      </x:c>
      <x:c r="G13" s="47" t="n">
        <x:v>1</x:v>
      </x:c>
      <x:c r="H13" s="47" t="n">
        <x:v>200</x:v>
      </x:c>
      <x:c r="I13" s="47" t="str">
        <x:v>Ocp-Apim-Subscription-Key</x:v>
      </x:c>
      <x:c r="J13" s="86" t="n">
        <x:v>0</x:v>
      </x:c>
      <x:c r="K13" s="86" t="n">
        <x:v>84284.652</x:v>
      </x:c>
      <x:c r="L13" s="85" t="b">
        <x:v>0</x:v>
      </x:c>
      <x:c r="M13" s="47" t="str"/>
      <x:c r="N13" s="59" t="str"/>
      <x:c r="O13" s="59" t="str"/>
      <x:c r="P13" s="59" t="str"/>
    </x:row>
    <x:row r="14">
      <x:c r="A14" s="47" t="str">
        <x:v>EVT-000075</x:v>
      </x:c>
      <x:c r="B14" s="47" t="str">
        <x:v>RUN-TRF-020-20260831T065135355151Z</x:v>
      </x:c>
      <x:c r="C14" s="47" t="str">
        <x:v>TRF-020</x:v>
      </x:c>
      <x:c r="D14" s="93" t="n">
        <x:v>46265.289040497686</x:v>
      </x:c>
      <x:c r="E14" s="47" t="str">
        <x:v>validator</x:v>
      </x:c>
      <x:c r="F14" s="47" t="str">
        <x:v>gpt-5.6-luna-2026-07-09</x:v>
      </x:c>
      <x:c r="G14" s="47" t="n">
        <x:v>1</x:v>
      </x:c>
      <x:c r="H14" s="47" t="str">
        <x:v>COMPLETED</x:v>
      </x:c>
      <x:c r="I14" s="47" t="str"/>
      <x:c r="J14" s="86" t="n">
        <x:v>0</x:v>
      </x:c>
      <x:c r="K14" s="86" t="n">
        <x:v>84286.451</x:v>
      </x:c>
      <x:c r="L14" s="85" t="b">
        <x:v>0</x:v>
      </x:c>
      <x:c r="M14" s="47" t="str">
        <x:v>resp_01676c741146faf8006a952538f8888190a53471beb7adfa05</x:v>
      </x:c>
      <x:c r="N14" s="59" t="n">
        <x:v>20392</x:v>
      </x:c>
      <x:c r="O14" s="59" t="n">
        <x:v>1163</x:v>
      </x:c>
      <x:c r="P14" s="59" t="n">
        <x:v>21555</x:v>
      </x:c>
    </x:row>
    <x:row r="15">
      <x:c r="A15" s="47" t="str">
        <x:v>EVT-000080</x:v>
      </x:c>
      <x:c r="B15" s="47" t="str">
        <x:v>RUN-TRF-020-20260831T065135355151Z</x:v>
      </x:c>
      <x:c r="C15" s="47" t="str">
        <x:v>TRF-020</x:v>
      </x:c>
      <x:c r="D15" s="93" t="n">
        <x:v>46265.289550092595</x:v>
      </x:c>
      <x:c r="E15" s="47" t="str">
        <x:v>generator</x:v>
      </x:c>
      <x:c r="F15" s="47" t="str">
        <x:v>gpt-5.6-luna-2026-07-09</x:v>
      </x:c>
      <x:c r="G15" s="47" t="n">
        <x:v>1</x:v>
      </x:c>
      <x:c r="H15" s="47" t="n">
        <x:v>200</x:v>
      </x:c>
      <x:c r="I15" s="47" t="str">
        <x:v>Ocp-Apim-Subscription-Key</x:v>
      </x:c>
      <x:c r="J15" s="86" t="n">
        <x:v>0</x:v>
      </x:c>
      <x:c r="K15" s="86" t="n">
        <x:v>44023.582</x:v>
      </x:c>
      <x:c r="L15" s="85" t="b">
        <x:v>0</x:v>
      </x:c>
      <x:c r="M15" s="47" t="str"/>
      <x:c r="N15" s="59" t="str"/>
      <x:c r="O15" s="59" t="str"/>
      <x:c r="P15" s="59" t="str"/>
    </x:row>
    <x:row r="16">
      <x:c r="A16" s="47" t="str">
        <x:v>EVT-000081</x:v>
      </x:c>
      <x:c r="B16" s="47" t="str">
        <x:v>RUN-TRF-020-20260831T065135355151Z</x:v>
      </x:c>
      <x:c r="C16" s="47" t="str">
        <x:v>TRF-020</x:v>
      </x:c>
      <x:c r="D16" s="93" t="n">
        <x:v>46265.28955011574</x:v>
      </x:c>
      <x:c r="E16" s="47" t="str">
        <x:v>generator</x:v>
      </x:c>
      <x:c r="F16" s="47" t="str">
        <x:v>gpt-5.6-luna-2026-07-09</x:v>
      </x:c>
      <x:c r="G16" s="47" t="n">
        <x:v>1</x:v>
      </x:c>
      <x:c r="H16" s="47" t="str">
        <x:v>COMPLETED</x:v>
      </x:c>
      <x:c r="I16" s="47" t="str"/>
      <x:c r="J16" s="86" t="n">
        <x:v>0</x:v>
      </x:c>
      <x:c r="K16" s="86" t="n">
        <x:v>44025.975</x:v>
      </x:c>
      <x:c r="L16" s="85" t="b">
        <x:v>0</x:v>
      </x:c>
      <x:c r="M16" s="47" t="str">
        <x:v>resp_03dfbb0af94ff963006a95258d47ec81979127e22509e5924e</x:v>
      </x:c>
      <x:c r="N16" s="59" t="n">
        <x:v>17280</x:v>
      </x:c>
      <x:c r="O16" s="59" t="n">
        <x:v>3261</x:v>
      </x:c>
      <x:c r="P16" s="59" t="n">
        <x:v>20541</x:v>
      </x:c>
    </x:row>
    <x:row r="17">
      <x:c r="A17" s="47" t="str">
        <x:v>EVT-000088</x:v>
      </x:c>
      <x:c r="B17" s="47" t="str">
        <x:v>RUN-TRF-020-20260831T065135355151Z</x:v>
      </x:c>
      <x:c r="C17" s="47" t="str">
        <x:v>TRF-020</x:v>
      </x:c>
      <x:c r="D17" s="93" t="n">
        <x:v>46265.289937650465</x:v>
      </x:c>
      <x:c r="E17" s="47" t="str">
        <x:v>validator</x:v>
      </x:c>
      <x:c r="F17" s="47" t="str">
        <x:v>gpt-5.6-luna-2026-07-09</x:v>
      </x:c>
      <x:c r="G17" s="47" t="n">
        <x:v>1</x:v>
      </x:c>
      <x:c r="H17" s="47" t="n">
        <x:v>200</x:v>
      </x:c>
      <x:c r="I17" s="47" t="str">
        <x:v>Ocp-Apim-Subscription-Key</x:v>
      </x:c>
      <x:c r="J17" s="86" t="n">
        <x:v>0</x:v>
      </x:c>
      <x:c r="K17" s="86" t="n">
        <x:v>33137.084</x:v>
      </x:c>
      <x:c r="L17" s="85" t="b">
        <x:v>0</x:v>
      </x:c>
      <x:c r="M17" s="47" t="str"/>
      <x:c r="N17" s="59" t="str"/>
      <x:c r="O17" s="59" t="str"/>
      <x:c r="P17" s="59" t="str"/>
    </x:row>
    <x:row r="18">
      <x:c r="A18" s="47" t="str">
        <x:v>EVT-000089</x:v>
      </x:c>
      <x:c r="B18" s="47" t="str">
        <x:v>RUN-TRF-020-20260831T065135355151Z</x:v>
      </x:c>
      <x:c r="C18" s="47" t="str">
        <x:v>TRF-020</x:v>
      </x:c>
      <x:c r="D18" s="93" t="n">
        <x:v>46265.28993767361</x:v>
      </x:c>
      <x:c r="E18" s="47" t="str">
        <x:v>validator</x:v>
      </x:c>
      <x:c r="F18" s="47" t="str">
        <x:v>gpt-5.6-luna-2026-07-09</x:v>
      </x:c>
      <x:c r="G18" s="47" t="n">
        <x:v>1</x:v>
      </x:c>
      <x:c r="H18" s="47" t="str">
        <x:v>COMPLETED</x:v>
      </x:c>
      <x:c r="I18" s="47" t="str"/>
      <x:c r="J18" s="86" t="n">
        <x:v>0</x:v>
      </x:c>
      <x:c r="K18" s="86" t="n">
        <x:v>33138.541</x:v>
      </x:c>
      <x:c r="L18" s="85" t="b">
        <x:v>0</x:v>
      </x:c>
      <x:c r="M18" s="47" t="str">
        <x:v>resp_0df12b7f9fb401ee006a9525b99a908194addaee3d31cc7576</x:v>
      </x:c>
      <x:c r="N18" s="59" t="n">
        <x:v>20451</x:v>
      </x:c>
      <x:c r="O18" s="59" t="n">
        <x:v>1717</x:v>
      </x:c>
      <x:c r="P18" s="59" t="n">
        <x:v>22168</x:v>
      </x:c>
    </x:row>
    <x:row r="19">
      <x:c r="A19" s="47" t="str">
        <x:v>EVT-000095</x:v>
      </x:c>
      <x:c r="B19" s="47" t="str">
        <x:v>RUN-TRF-020-20260831T065135355151Z</x:v>
      </x:c>
      <x:c r="C19" s="47" t="str">
        <x:v>TRF-020</x:v>
      </x:c>
      <x:c r="D19" s="93" t="n">
        <x:v>46265.290070393516</x:v>
      </x:c>
      <x:c r="E19" s="47" t="str">
        <x:v>vocabulary_matcher</x:v>
      </x:c>
      <x:c r="F19" s="47" t="str">
        <x:v>gpt-5.6-luna-2026-07-09</x:v>
      </x:c>
      <x:c r="G19" s="47" t="n">
        <x:v>1</x:v>
      </x:c>
      <x:c r="H19" s="47" t="n">
        <x:v>200</x:v>
      </x:c>
      <x:c r="I19" s="47" t="str">
        <x:v>Ocp-Apim-Subscription-Key</x:v>
      </x:c>
      <x:c r="J19" s="86" t="n">
        <x:v>0</x:v>
      </x:c>
      <x:c r="K19" s="86" t="n">
        <x:v>10076.076</x:v>
      </x:c>
      <x:c r="L19" s="85" t="b">
        <x:v>0</x:v>
      </x:c>
      <x:c r="M19" s="47" t="str"/>
      <x:c r="N19" s="59" t="str"/>
      <x:c r="O19" s="59" t="str"/>
      <x:c r="P19" s="59" t="str"/>
    </x:row>
    <x:row r="20">
      <x:c r="A20" s="47" t="str">
        <x:v>EVT-000096</x:v>
      </x:c>
      <x:c r="B20" s="47" t="str">
        <x:v>RUN-TRF-020-20260831T065135355151Z</x:v>
      </x:c>
      <x:c r="C20" s="47" t="str">
        <x:v>TRF-020</x:v>
      </x:c>
      <x:c r="D20" s="93" t="n">
        <x:v>46265.29007040509</x:v>
      </x:c>
      <x:c r="E20" s="47" t="str">
        <x:v>vocabulary_matcher</x:v>
      </x:c>
      <x:c r="F20" s="47" t="str">
        <x:v>gpt-5.6-luna-2026-07-09</x:v>
      </x:c>
      <x:c r="G20" s="47" t="n">
        <x:v>1</x:v>
      </x:c>
      <x:c r="H20" s="47" t="str">
        <x:v>COMPLETED</x:v>
      </x:c>
      <x:c r="I20" s="47" t="str"/>
      <x:c r="J20" s="86" t="n">
        <x:v>0</x:v>
      </x:c>
      <x:c r="K20" s="86" t="n">
        <x:v>10077.593</x:v>
      </x:c>
      <x:c r="L20" s="85" t="b">
        <x:v>0</x:v>
      </x:c>
      <x:c r="M20" s="47" t="str">
        <x:v>resp_0736d30044b6bc09006a9525dc2af88190b8f6baee3a994502</x:v>
      </x:c>
      <x:c r="N20" s="59" t="n">
        <x:v>4383</x:v>
      </x:c>
      <x:c r="O20" s="59" t="n">
        <x:v>336</x:v>
      </x:c>
      <x:c r="P20" s="59" t="n">
        <x:v>4719</x:v>
      </x:c>
    </x:row>
    <x:row r="21">
      <x:c r="A21" s="47" t="str">
        <x:v>EVT-000140</x:v>
      </x:c>
      <x:c r="B21" s="47" t="str">
        <x:v>RUN-TRF-020-20260831T065135355151Z</x:v>
      </x:c>
      <x:c r="C21" s="47" t="str">
        <x:v>TRF-020</x:v>
      </x:c>
      <x:c r="D21" s="93" t="n">
        <x:v>46265.2905165162</x:v>
      </x:c>
      <x:c r="E21" s="47" t="str">
        <x:v>generator</x:v>
      </x:c>
      <x:c r="F21" s="47" t="str">
        <x:v>gpt-5.6-luna-2026-07-09</x:v>
      </x:c>
      <x:c r="G21" s="47" t="n">
        <x:v>1</x:v>
      </x:c>
      <x:c r="H21" s="47" t="n">
        <x:v>200</x:v>
      </x:c>
      <x:c r="I21" s="47" t="str">
        <x:v>Ocp-Apim-Subscription-Key</x:v>
      </x:c>
      <x:c r="J21" s="86" t="n">
        <x:v>0</x:v>
      </x:c>
      <x:c r="K21" s="86" t="n">
        <x:v>38527.98</x:v>
      </x:c>
      <x:c r="L21" s="85" t="b">
        <x:v>0</x:v>
      </x:c>
      <x:c r="M21" s="47" t="str"/>
      <x:c r="N21" s="59" t="str"/>
      <x:c r="O21" s="59" t="str"/>
      <x:c r="P21" s="59" t="str"/>
    </x:row>
    <x:row r="22">
      <x:c r="A22" s="47" t="str">
        <x:v>EVT-000141</x:v>
      </x:c>
      <x:c r="B22" s="47" t="str">
        <x:v>RUN-TRF-020-20260831T065135355151Z</x:v>
      </x:c>
      <x:c r="C22" s="47" t="str">
        <x:v>TRF-020</x:v>
      </x:c>
      <x:c r="D22" s="93" t="n">
        <x:v>46265.29051652778</x:v>
      </x:c>
      <x:c r="E22" s="47" t="str">
        <x:v>generator</x:v>
      </x:c>
      <x:c r="F22" s="47" t="str">
        <x:v>gpt-5.6-luna-2026-07-09</x:v>
      </x:c>
      <x:c r="G22" s="47" t="n">
        <x:v>1</x:v>
      </x:c>
      <x:c r="H22" s="47" t="str">
        <x:v>COMPLETED</x:v>
      </x:c>
      <x:c r="I22" s="47" t="str"/>
      <x:c r="J22" s="86" t="n">
        <x:v>0</x:v>
      </x:c>
      <x:c r="K22" s="86" t="n">
        <x:v>38529.566</x:v>
      </x:c>
      <x:c r="L22" s="85" t="b">
        <x:v>0</x:v>
      </x:c>
      <x:c r="M22" s="47" t="str">
        <x:v>resp_091470911fa084bb006a9525e64a248197a9f9871e3875b063</x:v>
      </x:c>
      <x:c r="N22" s="59" t="n">
        <x:v>17500</x:v>
      </x:c>
      <x:c r="O22" s="59" t="n">
        <x:v>3389</x:v>
      </x:c>
      <x:c r="P22" s="59" t="n">
        <x:v>20889</x:v>
      </x:c>
    </x:row>
    <x:row r="23">
      <x:c r="A23" s="47" t="str">
        <x:v>EVT-000146</x:v>
      </x:c>
      <x:c r="B23" s="47" t="str">
        <x:v>RUN-TRF-020-20260831T065135355151Z</x:v>
      </x:c>
      <x:c r="C23" s="47" t="str">
        <x:v>TRF-020</x:v>
      </x:c>
      <x:c r="D23" s="93" t="n">
        <x:v>46265.290897962965</x:v>
      </x:c>
      <x:c r="E23" s="47" t="str">
        <x:v>syntax_repair</x:v>
      </x:c>
      <x:c r="F23" s="47" t="str">
        <x:v>gpt-5.6-luna-2026-07-09</x:v>
      </x:c>
      <x:c r="G23" s="47" t="n">
        <x:v>1</x:v>
      </x:c>
      <x:c r="H23" s="47" t="n">
        <x:v>200</x:v>
      </x:c>
      <x:c r="I23" s="47" t="str">
        <x:v>Ocp-Apim-Subscription-Key</x:v>
      </x:c>
      <x:c r="J23" s="86" t="n">
        <x:v>0</x:v>
      </x:c>
      <x:c r="K23" s="86" t="n">
        <x:v>32587.598</x:v>
      </x:c>
      <x:c r="L23" s="85" t="b">
        <x:v>0</x:v>
      </x:c>
      <x:c r="M23" s="47" t="str"/>
      <x:c r="N23" s="59" t="str"/>
      <x:c r="O23" s="59" t="str"/>
      <x:c r="P23" s="59" t="str"/>
    </x:row>
    <x:row r="24">
      <x:c r="A24" s="47" t="str">
        <x:v>EVT-000147</x:v>
      </x:c>
      <x:c r="B24" s="47" t="str">
        <x:v>RUN-TRF-020-20260831T065135355151Z</x:v>
      </x:c>
      <x:c r="C24" s="47" t="str">
        <x:v>TRF-020</x:v>
      </x:c>
      <x:c r="D24" s="93" t="n">
        <x:v>46265.29089797453</x:v>
      </x:c>
      <x:c r="E24" s="47" t="str">
        <x:v>syntax_repair</x:v>
      </x:c>
      <x:c r="F24" s="47" t="str">
        <x:v>gpt-5.6-luna-2026-07-09</x:v>
      </x:c>
      <x:c r="G24" s="47" t="n">
        <x:v>1</x:v>
      </x:c>
      <x:c r="H24" s="47" t="str">
        <x:v>COMPLETED</x:v>
      </x:c>
      <x:c r="I24" s="47" t="str"/>
      <x:c r="J24" s="86" t="n">
        <x:v>0</x:v>
      </x:c>
      <x:c r="K24" s="86" t="n">
        <x:v>32589.023</x:v>
      </x:c>
      <x:c r="L24" s="85" t="b">
        <x:v>0</x:v>
      </x:c>
      <x:c r="M24" s="47" t="str">
        <x:v>resp_03d974d6214353d0006a95260d1e0481909c029c497b07cb94</x:v>
      </x:c>
      <x:c r="N24" s="59" t="n">
        <x:v>14568</x:v>
      </x:c>
      <x:c r="O24" s="59" t="n">
        <x:v>3033</x:v>
      </x:c>
      <x:c r="P24" s="59" t="n">
        <x:v>17601</x:v>
      </x:c>
    </x:row>
    <x:row r="25">
      <x:c r="A25" s="47" t="str">
        <x:v>EVT-000155</x:v>
      </x:c>
      <x:c r="B25" s="47" t="str">
        <x:v>RUN-TRF-020-20260831T065135355151Z</x:v>
      </x:c>
      <x:c r="C25" s="47" t="str">
        <x:v>TRF-020</x:v>
      </x:c>
      <x:c r="D25" s="93" t="n">
        <x:v>46265.29105886574</x:v>
      </x:c>
      <x:c r="E25" s="47" t="str">
        <x:v>validator</x:v>
      </x:c>
      <x:c r="F25" s="47" t="str">
        <x:v>gpt-5.6-luna-2026-07-09</x:v>
      </x:c>
      <x:c r="G25" s="47" t="n">
        <x:v>1</x:v>
      </x:c>
      <x:c r="H25" s="47" t="n">
        <x:v>200</x:v>
      </x:c>
      <x:c r="I25" s="47" t="str">
        <x:v>Ocp-Apim-Subscription-Key</x:v>
      </x:c>
      <x:c r="J25" s="86" t="n">
        <x:v>0</x:v>
      </x:c>
      <x:c r="K25" s="86" t="n">
        <x:v>13525.691</x:v>
      </x:c>
      <x:c r="L25" s="85" t="b">
        <x:v>0</x:v>
      </x:c>
      <x:c r="M25" s="47" t="str"/>
      <x:c r="N25" s="59" t="str"/>
      <x:c r="O25" s="59" t="str"/>
      <x:c r="P25" s="59" t="str"/>
    </x:row>
    <x:row r="26">
      <x:c r="A26" s="47" t="str">
        <x:v>EVT-000156</x:v>
      </x:c>
      <x:c r="B26" s="47" t="str">
        <x:v>RUN-TRF-020-20260831T065135355151Z</x:v>
      </x:c>
      <x:c r="C26" s="47" t="str">
        <x:v>TRF-020</x:v>
      </x:c>
      <x:c r="D26" s="93" t="n">
        <x:v>46265.291058877316</x:v>
      </x:c>
      <x:c r="E26" s="47" t="str">
        <x:v>validator</x:v>
      </x:c>
      <x:c r="F26" s="47" t="str">
        <x:v>gpt-5.6-luna-2026-07-09</x:v>
      </x:c>
      <x:c r="G26" s="47" t="n">
        <x:v>1</x:v>
      </x:c>
      <x:c r="H26" s="47" t="str">
        <x:v>COMPLETED</x:v>
      </x:c>
      <x:c r="I26" s="47" t="str"/>
      <x:c r="J26" s="86" t="n">
        <x:v>0</x:v>
      </x:c>
      <x:c r="K26" s="86" t="n">
        <x:v>13527.14</x:v>
      </x:c>
      <x:c r="L26" s="85" t="b">
        <x:v>0</x:v>
      </x:c>
      <x:c r="M26" s="47" t="str">
        <x:v>resp_00fa03cd5aa740b6006a95262e2c248195abe85d78bd8e7fb5</x:v>
      </x:c>
      <x:c r="N26" s="59" t="n">
        <x:v>20869</x:v>
      </x:c>
      <x:c r="O26" s="59" t="n">
        <x:v>699</x:v>
      </x:c>
      <x:c r="P26" s="59" t="n">
        <x:v>21568</x:v>
      </x:c>
    </x:row>
    <x:row r="27">
      <x:c r="A27" s="47" t="str">
        <x:v>EVT-000163</x:v>
      </x:c>
      <x:c r="B27" s="47" t="str">
        <x:v>RUN-TRF-020-20260831T065135355151Z</x:v>
      </x:c>
      <x:c r="C27" s="47" t="str">
        <x:v>TRF-020</x:v>
      </x:c>
      <x:c r="D27" s="93" t="n">
        <x:v>46265.29112688657</x:v>
      </x:c>
      <x:c r="E27" s="47" t="str">
        <x:v>vocabulary_matcher</x:v>
      </x:c>
      <x:c r="F27" s="47" t="str">
        <x:v>gpt-5.6-luna-2026-07-09</x:v>
      </x:c>
      <x:c r="G27" s="47" t="n">
        <x:v>1</x:v>
      </x:c>
      <x:c r="H27" s="47" t="n">
        <x:v>200</x:v>
      </x:c>
      <x:c r="I27" s="47" t="str">
        <x:v>Ocp-Apim-Subscription-Key</x:v>
      </x:c>
      <x:c r="J27" s="86" t="n">
        <x:v>0</x:v>
      </x:c>
      <x:c r="K27" s="86" t="n">
        <x:v>4424.347</x:v>
      </x:c>
      <x:c r="L27" s="85" t="b">
        <x:v>0</x:v>
      </x:c>
      <x:c r="M27" s="47" t="str"/>
      <x:c r="N27" s="59" t="str"/>
      <x:c r="O27" s="59" t="str"/>
      <x:c r="P27" s="59" t="str"/>
    </x:row>
    <x:row r="28">
      <x:c r="A28" s="49" t="str">
        <x:v>EVT-000164</x:v>
      </x:c>
      <x:c r="B28" s="49" t="str">
        <x:v>RUN-TRF-020-20260831T065135355151Z</x:v>
      </x:c>
      <x:c r="C28" s="49" t="str">
        <x:v>TRF-020</x:v>
      </x:c>
      <x:c r="D28" s="94" t="n">
        <x:v>46265.291126909724</x:v>
      </x:c>
      <x:c r="E28" s="49" t="str">
        <x:v>vocabulary_matcher</x:v>
      </x:c>
      <x:c r="F28" s="49" t="str">
        <x:v>gpt-5.6-luna-2026-07-09</x:v>
      </x:c>
      <x:c r="G28" s="49" t="n">
        <x:v>1</x:v>
      </x:c>
      <x:c r="H28" s="49" t="str">
        <x:v>COMPLETED</x:v>
      </x:c>
      <x:c r="I28" s="49" t="str"/>
      <x:c r="J28" s="88" t="n">
        <x:v>0</x:v>
      </x:c>
      <x:c r="K28" s="88" t="n">
        <x:v>4425.749</x:v>
      </x:c>
      <x:c r="L28" s="87" t="b">
        <x:v>0</x:v>
      </x:c>
      <x:c r="M28" s="49" t="str">
        <x:v>resp_089415c094071440006a95263d1ab08194b46dd40fd4f4eb67</x:v>
      </x:c>
      <x:c r="N28" s="60" t="n">
        <x:v>4316</x:v>
      </x:c>
      <x:c r="O28" s="60" t="n">
        <x:v>185</x:v>
      </x:c>
      <x:c r="P28" s="60" t="n">
        <x:v>4501</x:v>
      </x:c>
    </x:row>
  </x:sheetData>
  <x:conditionalFormatting sqref="H5:H2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46b5228a3cf498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RUN-TRF-020-20260831T065135355151Z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RUN-TRF-020-20260831T065135355151Z</x:v>
      </x:c>
      <x:c r="B5" s="45" t="str">
        <x:v>TRF-020</x:v>
      </x:c>
      <x:c r="C5" s="45" t="str">
        <x:v>benchmarkEntity</x:v>
      </x:c>
      <x:c r="D5" s="46" t="str">
        <x:v>https://w3id.org/nltl/vocab#benchmarkEntity</x:v>
      </x:c>
      <x:c r="E5" s="45" t="str">
        <x:v>Class</x:v>
      </x:c>
      <x:c r="F5" s="45" t="str"/>
      <x:c r="G5" s="45" t="str"/>
      <x:c r="H5" s="45" t="str"/>
      <x:c r="I5" s="46" t="str">
        <x:v>baseline target infrastructure; domain dependency of brashIceChannelResistanceAtLowerIceWaterline; domain dependency of brashIceChannelResistanceAtUpperIceWaterline; domain dependency of brashIceChannelResistanceRch; domain dependency of constructionStageDate; domain dependency of engineOutputCoefficientKe; domain dependency of iceClass; domain dependency of maximumContinuousRatingPower; domain dependency of minimumRequiredPowerAtLowerIceWaterline; domain dependency of minimumRequiredPowerAtUpperIceWaterline; domain dependency of propellerCount; domain dependency of propellerDiameter; domain dependency of propellerPitchControlType; domain dependency of propulsionSystemType; domain dependency of upperIceWaterlineLength; range dependency of iceWaterline</x:v>
      </x:c>
      <x:c r="J5" s="45" t="n">
        <x:v>0</x:v>
      </x:c>
    </x:row>
    <x:row r="6">
      <x:c r="A6" s="47" t="str">
        <x:v>RUN-TRF-020-20260831T065135355151Z</x:v>
      </x:c>
      <x:c r="B6" s="47" t="str">
        <x:v>TRF-020</x:v>
      </x:c>
      <x:c r="C6" s="47" t="str">
        <x:v>brashIceChannelResistanceAtLowerIceWaterline</x:v>
      </x:c>
      <x:c r="D6" s="48" t="str">
        <x:v>https://w3id.org/nltl/vocab#brashIceChannelResistanceAtLowerIceWaterline</x:v>
      </x:c>
      <x:c r="E6" s="47" t="str">
        <x:v>QuantityProperty</x:v>
      </x:c>
      <x:c r="F6" s="47" t="str"/>
      <x:c r="G6" s="47" t="str">
        <x:v>http://qudt.org/schema/qudt/QuantityValue</x:v>
      </x:c>
      <x:c r="H6" s="47" t="str"/>
      <x:c r="I6" s="48" t="str">
        <x:v>linked by the locked 313-requirement index</x:v>
      </x:c>
      <x:c r="J6" s="47" t="n">
        <x:v>0</x:v>
      </x:c>
    </x:row>
    <x:row r="7">
      <x:c r="A7" s="47" t="str">
        <x:v>RUN-TRF-020-20260831T065135355151Z</x:v>
      </x:c>
      <x:c r="B7" s="47" t="str">
        <x:v>TRF-020</x:v>
      </x:c>
      <x:c r="C7" s="47" t="str">
        <x:v>brashIceChannelResistanceAtUpperIceWaterline</x:v>
      </x:c>
      <x:c r="D7" s="48" t="str">
        <x:v>https://w3id.org/nltl/vocab#brashIceChannelResistanceAtUpperIceWaterline</x:v>
      </x:c>
      <x:c r="E7" s="47" t="str">
        <x:v>QuantityProperty</x:v>
      </x:c>
      <x:c r="F7" s="47" t="str"/>
      <x:c r="G7" s="47" t="str">
        <x:v>http://qudt.org/schema/qudt/QuantityValue</x:v>
      </x:c>
      <x:c r="H7" s="47" t="str"/>
      <x:c r="I7" s="48" t="str">
        <x:v>linked by the locked 313-requirement index</x:v>
      </x:c>
      <x:c r="J7" s="47" t="n">
        <x:v>0</x:v>
      </x:c>
    </x:row>
    <x:row r="8">
      <x:c r="A8" s="47" t="str">
        <x:v>RUN-TRF-020-20260831T065135355151Z</x:v>
      </x:c>
      <x:c r="B8" s="47" t="str">
        <x:v>TRF-020</x:v>
      </x:c>
      <x:c r="C8" s="47" t="str">
        <x:v>brashIceChannelResistanceRch</x:v>
      </x:c>
      <x:c r="D8" s="48" t="str">
        <x:v>https://w3id.org/nltl/vocab#brashIceChannelResistanceRch</x:v>
      </x:c>
      <x:c r="E8" s="47" t="str">
        <x:v>QuantityProperty</x:v>
      </x:c>
      <x:c r="F8" s="47" t="str"/>
      <x:c r="G8" s="47" t="str">
        <x:v>http://qudt.org/schema/qudt/QuantityValue</x:v>
      </x:c>
      <x:c r="H8" s="47" t="str">
        <x:v>http://qudt.org/vocab/unit/N</x:v>
      </x:c>
      <x:c r="I8" s="48" t="str">
        <x:v>linked by the locked 313-requirement index</x:v>
      </x:c>
      <x:c r="J8" s="47" t="n">
        <x:v>0</x:v>
      </x:c>
    </x:row>
    <x:row r="9">
      <x:c r="A9" s="47" t="str">
        <x:v>RUN-TRF-020-20260831T065135355151Z</x:v>
      </x:c>
      <x:c r="B9" s="47" t="str">
        <x:v>TRF-020</x:v>
      </x:c>
      <x:c r="C9" s="47" t="str">
        <x:v>constructionStageDate</x:v>
      </x:c>
      <x:c r="D9" s="48" t="str">
        <x:v>https://w3id.org/nltl/vocab#constructionStageDate</x:v>
      </x:c>
      <x:c r="E9" s="47" t="str">
        <x:v>DatatypeProperty</x:v>
      </x:c>
      <x:c r="F9" s="47" t="str">
        <x:v>xsd:date</x:v>
      </x:c>
      <x:c r="G9" s="47" t="str">
        <x:v>http://www.w3.org/2001/XMLSchema#date</x:v>
      </x:c>
      <x:c r="H9" s="47" t="str"/>
      <x:c r="I9" s="48" t="str">
        <x:v>linked by the locked 313-requirement index</x:v>
      </x:c>
      <x:c r="J9" s="47" t="n">
        <x:v>0</x:v>
      </x:c>
    </x:row>
    <x:row r="10">
      <x:c r="A10" s="47" t="str">
        <x:v>RUN-TRF-020-20260831T065135355151Z</x:v>
      </x:c>
      <x:c r="B10" s="47" t="str">
        <x:v>TRF-020</x:v>
      </x:c>
      <x:c r="C10" s="47" t="str">
        <x:v>controllablePitch</x:v>
      </x:c>
      <x:c r="D10" s="48" t="str">
        <x:v>https://w3id.org/nltl/vocab#controllablePitch</x:v>
      </x:c>
      <x:c r="E10" s="47" t="str">
        <x:v>NamedIndividual</x:v>
      </x:c>
      <x:c r="F10" s="47" t="str"/>
      <x:c r="G10" s="47" t="str">
        <x:v>https://w3id.org/nltl/vocab#propellerPitchControlTypeValue</x:v>
      </x:c>
      <x:c r="H10" s="47" t="str"/>
      <x:c r="I10" s="48" t="str">
        <x:v>controlled value permitted by the range of controllablePitch; controlled value permitted by the range of fixedPitch; controlled value permitted by the range of propellerPitchControlType; linked by the locked 313-requirement index</x:v>
      </x:c>
      <x:c r="J10" s="47" t="n">
        <x:v>0</x:v>
      </x:c>
    </x:row>
    <x:row r="11">
      <x:c r="A11" s="47" t="str">
        <x:v>RUN-TRF-020-20260831T065135355151Z</x:v>
      </x:c>
      <x:c r="B11" s="47" t="str">
        <x:v>TRF-020</x:v>
      </x:c>
      <x:c r="C11" s="47" t="str">
        <x:v>conventionalPropulsionSystem</x:v>
      </x:c>
      <x:c r="D11" s="48" t="str">
        <x:v>https://w3id.org/nltl/vocab#conventionalPropulsionSystem</x:v>
      </x:c>
      <x:c r="E11" s="47" t="str">
        <x:v>NamedIndividual</x:v>
      </x:c>
      <x:c r="F11" s="47" t="str"/>
      <x:c r="G11" s="47" t="str">
        <x:v>https://w3id.org/nltl/vocab#propulsionSystemTypeValue</x:v>
      </x:c>
      <x:c r="H11" s="47" t="str"/>
      <x:c r="I11"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11" s="47" t="n">
        <x:v>0</x:v>
      </x:c>
    </x:row>
    <x:row r="12">
      <x:c r="A12" s="47" t="str">
        <x:v>RUN-TRF-020-20260831T065135355151Z</x:v>
      </x:c>
      <x:c r="B12" s="47" t="str">
        <x:v>TRF-020</x:v>
      </x:c>
      <x:c r="C12" s="47" t="str">
        <x:v>electricPropulsionMachinery</x:v>
      </x:c>
      <x:c r="D12" s="48" t="str">
        <x:v>https://w3id.org/nltl/vocab#electricPropulsionMachinery</x:v>
      </x:c>
      <x:c r="E12" s="47" t="str">
        <x:v>NamedIndividual</x:v>
      </x:c>
      <x:c r="F12" s="47" t="str"/>
      <x:c r="G12" s="47" t="str">
        <x:v>https://w3id.org/nltl/vocab#propulsionSystemTypeValue</x:v>
      </x:c>
      <x:c r="H12" s="47" t="str"/>
      <x:c r="I12"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12" s="47" t="n">
        <x:v>0</x:v>
      </x:c>
    </x:row>
    <x:row r="13">
      <x:c r="A13" s="47" t="str">
        <x:v>RUN-TRF-020-20260831T065135355151Z</x:v>
      </x:c>
      <x:c r="B13" s="47" t="str">
        <x:v>TRF-020</x:v>
      </x:c>
      <x:c r="C13" s="47" t="str">
        <x:v>engineOutputCoefficientKe</x:v>
      </x:c>
      <x:c r="D13" s="48" t="str">
        <x:v>https://w3id.org/nltl/vocab#engineOutputCoefficientKe</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RUN-TRF-020-20260831T065135355151Z</x:v>
      </x:c>
      <x:c r="B14" s="47" t="str">
        <x:v>TRF-020</x:v>
      </x:c>
      <x:c r="C14" s="47" t="str">
        <x:v>fixedPitch</x:v>
      </x:c>
      <x:c r="D14" s="48" t="str">
        <x:v>https://w3id.org/nltl/vocab#fixedPitch</x:v>
      </x:c>
      <x:c r="E14" s="47" t="str">
        <x:v>NamedIndividual</x:v>
      </x:c>
      <x:c r="F14" s="47" t="str"/>
      <x:c r="G14" s="47" t="str">
        <x:v>https://w3id.org/nltl/vocab#propellerPitchControlTypeValue</x:v>
      </x:c>
      <x:c r="H14" s="47" t="str"/>
      <x:c r="I14" s="48" t="str">
        <x:v>controlled value permitted by the range of controllablePitch; controlled value permitted by the range of fixedPitch; controlled value permitted by the range of propellerPitchControlType; linked by the locked 313-requirement index</x:v>
      </x:c>
      <x:c r="J14" s="47" t="n">
        <x:v>0</x:v>
      </x:c>
    </x:row>
    <x:row r="15">
      <x:c r="A15" s="47" t="str">
        <x:v>RUN-TRF-020-20260831T065135355151Z</x:v>
      </x:c>
      <x:c r="B15" s="47" t="str">
        <x:v>TRF-020</x:v>
      </x:c>
      <x:c r="C15" s="47" t="str">
        <x:v>hasComponent</x:v>
      </x:c>
      <x:c r="D15" s="48" t="str">
        <x:v>https://w3id.org/nltl/vocab#hasComponent</x:v>
      </x:c>
      <x:c r="E15" s="47" t="str">
        <x:v>ObjectProperty</x:v>
      </x:c>
      <x:c r="F15" s="47" t="str"/>
      <x:c r="G15" s="47" t="str">
        <x:v>https://w3id.org/nltl/vocab#shipComponent</x:v>
      </x:c>
      <x:c r="H15" s="47" t="str"/>
      <x:c r="I15" s="48" t="str">
        <x:v>component-path dependency inferred from the linked term module</x:v>
      </x:c>
      <x:c r="J15" s="47" t="n">
        <x:v>0</x:v>
      </x:c>
    </x:row>
    <x:row r="16">
      <x:c r="A16" s="47" t="str">
        <x:v>RUN-TRF-020-20260831T065135355151Z</x:v>
      </x:c>
      <x:c r="B16" s="47" t="str">
        <x:v>TRF-020</x:v>
      </x:c>
      <x:c r="C16" s="47" t="str">
        <x:v>hasIntendedIceOperatingWaterline</x:v>
      </x:c>
      <x:c r="D16" s="48" t="str">
        <x:v>https://w3id.org/nltl/vocab#hasIntendedIceOperatingWaterline</x:v>
      </x:c>
      <x:c r="E16" s="47" t="str">
        <x:v>ObjectProperty</x:v>
      </x:c>
      <x:c r="F16" s="47" t="str"/>
      <x:c r="G16" s="47" t="str">
        <x:v>https://w3id.org/nltl/vocab#iceWaterline</x:v>
      </x:c>
      <x:c r="H16" s="47" t="str"/>
      <x:c r="I16" s="48" t="str">
        <x:v>canonical path from target owner ship to required owner iceWaterline</x:v>
      </x:c>
      <x:c r="J16" s="47" t="n">
        <x:v>0</x:v>
      </x:c>
    </x:row>
    <x:row r="17">
      <x:c r="A17" s="47" t="str">
        <x:v>RUN-TRF-020-20260831T065135355151Z</x:v>
      </x:c>
      <x:c r="B17" s="47" t="str">
        <x:v>TRF-020</x:v>
      </x:c>
      <x:c r="C17" s="47" t="str">
        <x:v>hasLowerIceWaterline</x:v>
      </x:c>
      <x:c r="D17" s="48" t="str">
        <x:v>https://w3id.org/nltl/vocab#hasLowerIceWaterline</x:v>
      </x:c>
      <x:c r="E17" s="47" t="str">
        <x:v>ObjectProperty</x:v>
      </x:c>
      <x:c r="F17" s="47" t="str"/>
      <x:c r="G17" s="47" t="str">
        <x:v>https://w3id.org/nltl/vocab#iceWaterline</x:v>
      </x:c>
      <x:c r="H17" s="47" t="str"/>
      <x:c r="I17" s="48" t="str">
        <x:v>canonical path from target owner ship to required owner iceWaterline; linked by the locked 313-requirement index</x:v>
      </x:c>
      <x:c r="J17" s="47" t="n">
        <x:v>0</x:v>
      </x:c>
    </x:row>
    <x:row r="18">
      <x:c r="A18" s="47" t="str">
        <x:v>RUN-TRF-020-20260831T065135355151Z</x:v>
      </x:c>
      <x:c r="B18" s="47" t="str">
        <x:v>TRF-020</x:v>
      </x:c>
      <x:c r="C18" s="47" t="str">
        <x:v>hasUpperIceWaterline</x:v>
      </x:c>
      <x:c r="D18" s="48" t="str">
        <x:v>https://w3id.org/nltl/vocab#hasUpperIceWaterline</x:v>
      </x:c>
      <x:c r="E18" s="47" t="str">
        <x:v>ObjectProperty</x:v>
      </x:c>
      <x:c r="F18" s="47" t="str"/>
      <x:c r="G18" s="47" t="str">
        <x:v>https://w3id.org/nltl/vocab#iceWaterline</x:v>
      </x:c>
      <x:c r="H18" s="47" t="str"/>
      <x:c r="I18" s="48" t="str">
        <x:v>canonical path from target owner ship to required owner iceWaterline; linked by the locked 313-requirement index</x:v>
      </x:c>
      <x:c r="J18" s="47" t="n">
        <x:v>0</x:v>
      </x:c>
    </x:row>
    <x:row r="19">
      <x:c r="A19" s="47" t="str">
        <x:v>RUN-TRF-020-20260831T065135355151Z</x:v>
      </x:c>
      <x:c r="B19" s="47" t="str">
        <x:v>TRF-020</x:v>
      </x:c>
      <x:c r="C19" s="47" t="str">
        <x:v>hydraulicPropulsionMachinery</x:v>
      </x:c>
      <x:c r="D19" s="48" t="str">
        <x:v>https://w3id.org/nltl/vocab#hydraulicPropulsionMachinery</x:v>
      </x:c>
      <x:c r="E19" s="47" t="str">
        <x:v>NamedIndividual</x:v>
      </x:c>
      <x:c r="F19" s="47" t="str"/>
      <x:c r="G19" s="47" t="str">
        <x:v>https://w3id.org/nltl/vocab#propulsionSystemTypeValue</x:v>
      </x:c>
      <x:c r="H19" s="47" t="str"/>
      <x:c r="I19"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19" s="47" t="n">
        <x:v>0</x:v>
      </x:c>
    </x:row>
    <x:row r="20">
      <x:c r="A20" s="47" t="str">
        <x:v>RUN-TRF-020-20260831T065135355151Z</x:v>
      </x:c>
      <x:c r="B20" s="47" t="str">
        <x:v>TRF-020</x:v>
      </x:c>
      <x:c r="C20" s="47" t="str">
        <x:v>iceClass</x:v>
      </x:c>
      <x:c r="D20" s="48" t="str">
        <x:v>https://w3id.org/nltl/vocab#iceClass</x:v>
      </x:c>
      <x:c r="E20" s="47" t="str">
        <x:v>ObjectProperty</x:v>
      </x:c>
      <x:c r="F20" s="47" t="str"/>
      <x:c r="G20" s="47" t="str">
        <x:v>https://w3id.org/nltl/vocab#iceClassValue</x:v>
      </x:c>
      <x:c r="H20" s="47" t="str"/>
      <x:c r="I20" s="48" t="str">
        <x:v>linked by the locked 313-requirement index</x:v>
      </x:c>
      <x:c r="J20" s="47" t="n">
        <x:v>0</x:v>
      </x:c>
    </x:row>
    <x:row r="21">
      <x:c r="A21" s="47" t="str">
        <x:v>RUN-TRF-020-20260831T065135355151Z</x:v>
      </x:c>
      <x:c r="B21" s="47" t="str">
        <x:v>TRF-020</x:v>
      </x:c>
      <x:c r="C21" s="47" t="str">
        <x:v>iceClassIa</x:v>
      </x:c>
      <x:c r="D21" s="48" t="str">
        <x:v>https://w3id.org/nltl/vocab#iceClassIa</x:v>
      </x:c>
      <x:c r="E21" s="47" t="str">
        <x:v>NamedIndividual</x:v>
      </x:c>
      <x:c r="F21" s="47" t="str"/>
      <x:c r="G21" s="47" t="str">
        <x:v>https://w3id.org/nltl/vocab#iceClassValue</x:v>
      </x:c>
      <x:c r="H21" s="47" t="str"/>
      <x:c r="I21" s="48" t="str">
        <x:v>controlled value permitted by the range of iceClass</x:v>
      </x:c>
      <x:c r="J21" s="47" t="n">
        <x:v>0</x:v>
      </x:c>
    </x:row>
    <x:row r="22">
      <x:c r="A22" s="47" t="str">
        <x:v>RUN-TRF-020-20260831T065135355151Z</x:v>
      </x:c>
      <x:c r="B22" s="47" t="str">
        <x:v>TRF-020</x:v>
      </x:c>
      <x:c r="C22" s="47" t="str">
        <x:v>iceClassIaSuper</x:v>
      </x:c>
      <x:c r="D22" s="48" t="str">
        <x:v>https://w3id.org/nltl/vocab#iceClassIaSuper</x:v>
      </x:c>
      <x:c r="E22" s="47" t="str">
        <x:v>NamedIndividual</x:v>
      </x:c>
      <x:c r="F22" s="47" t="str"/>
      <x:c r="G22" s="47" t="str">
        <x:v>https://w3id.org/nltl/vocab#iceClassValue</x:v>
      </x:c>
      <x:c r="H22" s="47" t="str"/>
      <x:c r="I22" s="48" t="str">
        <x:v>controlled value permitted by the range of iceClass</x:v>
      </x:c>
      <x:c r="J22" s="47" t="n">
        <x:v>0</x:v>
      </x:c>
    </x:row>
    <x:row r="23">
      <x:c r="A23" s="47" t="str">
        <x:v>RUN-TRF-020-20260831T065135355151Z</x:v>
      </x:c>
      <x:c r="B23" s="47" t="str">
        <x:v>TRF-020</x:v>
      </x:c>
      <x:c r="C23" s="47" t="str">
        <x:v>iceClassIb</x:v>
      </x:c>
      <x:c r="D23" s="48" t="str">
        <x:v>https://w3id.org/nltl/vocab#iceClassIb</x:v>
      </x:c>
      <x:c r="E23" s="47" t="str">
        <x:v>NamedIndividual</x:v>
      </x:c>
      <x:c r="F23" s="47" t="str"/>
      <x:c r="G23" s="47" t="str">
        <x:v>https://w3id.org/nltl/vocab#iceClassValue</x:v>
      </x:c>
      <x:c r="H23" s="47" t="str"/>
      <x:c r="I23" s="48" t="str">
        <x:v>controlled value permitted by the range of iceClass</x:v>
      </x:c>
      <x:c r="J23" s="47" t="n">
        <x:v>0</x:v>
      </x:c>
    </x:row>
    <x:row r="24">
      <x:c r="A24" s="47" t="str">
        <x:v>RUN-TRF-020-20260831T065135355151Z</x:v>
      </x:c>
      <x:c r="B24" s="47" t="str">
        <x:v>TRF-020</x:v>
      </x:c>
      <x:c r="C24" s="47" t="str">
        <x:v>iceClassIc</x:v>
      </x:c>
      <x:c r="D24" s="48" t="str">
        <x:v>https://w3id.org/nltl/vocab#iceClassIc</x:v>
      </x:c>
      <x:c r="E24" s="47" t="str">
        <x:v>NamedIndividual</x:v>
      </x:c>
      <x:c r="F24" s="47" t="str"/>
      <x:c r="G24" s="47" t="str">
        <x:v>https://w3id.org/nltl/vocab#iceClassValue</x:v>
      </x:c>
      <x:c r="H24" s="47" t="str"/>
      <x:c r="I24" s="48" t="str">
        <x:v>controlled value permitted by the range of iceClass</x:v>
      </x:c>
      <x:c r="J24" s="47" t="n">
        <x:v>0</x:v>
      </x:c>
    </x:row>
    <x:row r="25">
      <x:c r="A25" s="47" t="str">
        <x:v>RUN-TRF-020-20260831T065135355151Z</x:v>
      </x:c>
      <x:c r="B25" s="47" t="str">
        <x:v>TRF-020</x:v>
      </x:c>
      <x:c r="C25" s="47" t="str">
        <x:v>iceClassIi</x:v>
      </x:c>
      <x:c r="D25" s="48" t="str">
        <x:v>https://w3id.org/nltl/vocab#iceClassIi</x:v>
      </x:c>
      <x:c r="E25" s="47" t="str">
        <x:v>NamedIndividual</x:v>
      </x:c>
      <x:c r="F25" s="47" t="str"/>
      <x:c r="G25" s="47" t="str">
        <x:v>https://w3id.org/nltl/vocab#iceClassValue</x:v>
      </x:c>
      <x:c r="H25" s="47" t="str"/>
      <x:c r="I25" s="48" t="str">
        <x:v>controlled value permitted by the range of iceClass</x:v>
      </x:c>
      <x:c r="J25" s="47" t="n">
        <x:v>0</x:v>
      </x:c>
    </x:row>
    <x:row r="26">
      <x:c r="A26" s="47" t="str">
        <x:v>RUN-TRF-020-20260831T065135355151Z</x:v>
      </x:c>
      <x:c r="B26" s="47" t="str">
        <x:v>TRF-020</x:v>
      </x:c>
      <x:c r="C26" s="47" t="str">
        <x:v>iceClassIii</x:v>
      </x:c>
      <x:c r="D26" s="48" t="str">
        <x:v>https://w3id.org/nltl/vocab#iceClassIii</x:v>
      </x:c>
      <x:c r="E26" s="47" t="str">
        <x:v>NamedIndividual</x:v>
      </x:c>
      <x:c r="F26" s="47" t="str"/>
      <x:c r="G26" s="47" t="str">
        <x:v>https://w3id.org/nltl/vocab#iceClassValue</x:v>
      </x:c>
      <x:c r="H26" s="47" t="str"/>
      <x:c r="I26" s="48" t="str">
        <x:v>controlled value permitted by the range of iceClass</x:v>
      </x:c>
      <x:c r="J26" s="47" t="n">
        <x:v>0</x:v>
      </x:c>
    </x:row>
    <x:row r="27">
      <x:c r="A27" s="47" t="str">
        <x:v>RUN-TRF-020-20260831T065135355151Z</x:v>
      </x:c>
      <x:c r="B27" s="47" t="str">
        <x:v>TRF-020</x:v>
      </x:c>
      <x:c r="C27" s="47" t="str">
        <x:v>iceClassValue</x:v>
      </x:c>
      <x:c r="D27" s="48" t="str">
        <x:v>https://w3id.org/nltl/vocab#iceClassValue</x:v>
      </x:c>
      <x:c r="E27" s="47" t="str">
        <x:v>Class</x:v>
      </x:c>
      <x:c r="F27" s="47" t="str"/>
      <x:c r="G27" s="47" t="str"/>
      <x:c r="H27" s="47" t="str"/>
      <x:c r="I27" s="48" t="str">
        <x:v>range dependency of iceClass</x:v>
      </x:c>
      <x:c r="J27" s="47" t="n">
        <x:v>0</x:v>
      </x:c>
    </x:row>
    <x:row r="28">
      <x:c r="A28" s="47" t="str">
        <x:v>RUN-TRF-020-20260831T065135355151Z</x:v>
      </x:c>
      <x:c r="B28" s="47" t="str">
        <x:v>TRF-020</x:v>
      </x:c>
      <x:c r="C28" s="47" t="str">
        <x:v>iceWaterline</x:v>
      </x:c>
      <x:c r="D28" s="48" t="str">
        <x:v>https://w3id.org/nltl/vocab#iceWaterline</x:v>
      </x:c>
      <x:c r="E28" s="47" t="str">
        <x:v>Class</x:v>
      </x:c>
      <x:c r="F28" s="47" t="str"/>
      <x:c r="G28" s="47" t="str">
        <x:v>https://w3id.org/nltl/vocab#benchmarkEntity</x:v>
      </x:c>
      <x:c r="H28" s="47" t="str"/>
      <x:c r="I28" s="48" t="str">
        <x:v>authoritative required owner class; domain dependency of upperIceWaterlineBreadth; linked by the locked 313-requirement index; range dependency of hasLowerIceWaterline; range dependency of hasUpperIceWaterline</x:v>
      </x:c>
      <x:c r="J28" s="47" t="n">
        <x:v>0</x:v>
      </x:c>
    </x:row>
    <x:row r="29">
      <x:c r="A29" s="47" t="str">
        <x:v>RUN-TRF-020-20260831T065135355151Z</x:v>
      </x:c>
      <x:c r="B29" s="47" t="str">
        <x:v>TRF-020</x:v>
      </x:c>
      <x:c r="C29" s="47" t="str">
        <x:v>maximumContinuousRatingPower</x:v>
      </x:c>
      <x:c r="D29" s="48" t="str">
        <x:v>https://w3id.org/nltl/vocab#maximumContinuousRatingPower</x:v>
      </x:c>
      <x:c r="E29" s="47" t="str">
        <x:v>QuantityProperty</x:v>
      </x:c>
      <x:c r="F29" s="47" t="str"/>
      <x:c r="G29" s="47" t="str">
        <x:v>http://qudt.org/schema/qudt/QuantityValue</x:v>
      </x:c>
      <x:c r="H29" s="47" t="str">
        <x:v>http://qudt.org/vocab/unit/KiloW</x:v>
      </x:c>
      <x:c r="I29" s="48" t="str">
        <x:v>linked by the locked 313-requirement index</x:v>
      </x:c>
      <x:c r="J29" s="47" t="n">
        <x:v>0</x:v>
      </x:c>
    </x:row>
    <x:row r="30">
      <x:c r="A30" s="47" t="str">
        <x:v>RUN-TRF-020-20260831T065135355151Z</x:v>
      </x:c>
      <x:c r="B30" s="47" t="str">
        <x:v>TRF-020</x:v>
      </x:c>
      <x:c r="C30" s="47" t="str">
        <x:v>minimumRequiredPowerAtLowerIceWaterline</x:v>
      </x:c>
      <x:c r="D30" s="48" t="str">
        <x:v>https://w3id.org/nltl/vocab#minimumRequiredPowerAtLowerIceWaterline</x:v>
      </x:c>
      <x:c r="E30" s="47" t="str">
        <x:v>QuantityProperty</x:v>
      </x:c>
      <x:c r="F30" s="47" t="str"/>
      <x:c r="G30" s="47" t="str">
        <x:v>http://qudt.org/schema/qudt/QuantityValue</x:v>
      </x:c>
      <x:c r="H30" s="47" t="str">
        <x:v>http://qudt.org/vocab/unit/KiloW</x:v>
      </x:c>
      <x:c r="I30" s="48" t="str">
        <x:v>linked by the locked 313-requirement index</x:v>
      </x:c>
      <x:c r="J30" s="47" t="n">
        <x:v>0</x:v>
      </x:c>
    </x:row>
    <x:row r="31">
      <x:c r="A31" s="47" t="str">
        <x:v>RUN-TRF-020-20260831T065135355151Z</x:v>
      </x:c>
      <x:c r="B31" s="47" t="str">
        <x:v>TRF-020</x:v>
      </x:c>
      <x:c r="C31" s="47" t="str">
        <x:v>minimumRequiredPowerAtUpperIceWaterline</x:v>
      </x:c>
      <x:c r="D31" s="48" t="str">
        <x:v>https://w3id.org/nltl/vocab#minimumRequiredPowerAtUpperIceWaterline</x:v>
      </x:c>
      <x:c r="E31" s="47" t="str">
        <x:v>QuantityProperty</x:v>
      </x:c>
      <x:c r="F31" s="47" t="str"/>
      <x:c r="G31" s="47" t="str">
        <x:v>http://qudt.org/schema/qudt/QuantityValue</x:v>
      </x:c>
      <x:c r="H31" s="47" t="str">
        <x:v>http://qudt.org/vocab/unit/KiloW</x:v>
      </x:c>
      <x:c r="I31" s="48" t="str">
        <x:v>linked by the locked 313-requirement index</x:v>
      </x:c>
      <x:c r="J31" s="47" t="n">
        <x:v>0</x:v>
      </x:c>
    </x:row>
    <x:row r="32">
      <x:c r="A32" s="47" t="str">
        <x:v>RUN-TRF-020-20260831T065135355151Z</x:v>
      </x:c>
      <x:c r="B32" s="47" t="str">
        <x:v>TRF-020</x:v>
      </x:c>
      <x:c r="C32" s="47" t="str">
        <x:v>propellerCount</x:v>
      </x:c>
      <x:c r="D32" s="48" t="str">
        <x:v>https://w3id.org/nltl/vocab#propellerCount</x:v>
      </x:c>
      <x:c r="E32" s="47" t="str">
        <x:v>DatatypeProperty</x:v>
      </x:c>
      <x:c r="F32" s="47" t="str">
        <x:v>xsd:integer</x:v>
      </x:c>
      <x:c r="G32" s="47" t="str">
        <x:v>http://www.w3.org/2001/XMLSchema#integer</x:v>
      </x:c>
      <x:c r="H32" s="47" t="str"/>
      <x:c r="I32" s="48" t="str">
        <x:v>linked by the locked 313-requirement index</x:v>
      </x:c>
      <x:c r="J32" s="47" t="n">
        <x:v>0</x:v>
      </x:c>
    </x:row>
    <x:row r="33">
      <x:c r="A33" s="47" t="str">
        <x:v>RUN-TRF-020-20260831T065135355151Z</x:v>
      </x:c>
      <x:c r="B33" s="47" t="str">
        <x:v>TRF-020</x:v>
      </x:c>
      <x:c r="C33" s="47" t="str">
        <x:v>propellerDiameter</x:v>
      </x:c>
      <x:c r="D33" s="48" t="str">
        <x:v>https://w3id.org/nltl/vocab#propellerDiameter</x:v>
      </x:c>
      <x:c r="E33" s="47" t="str">
        <x:v>QuantityProperty</x:v>
      </x:c>
      <x:c r="F33" s="47" t="str"/>
      <x:c r="G33" s="47" t="str">
        <x:v>http://qudt.org/schema/qudt/QuantityValue</x:v>
      </x:c>
      <x:c r="H33" s="47" t="str">
        <x:v>http://qudt.org/vocab/unit/M</x:v>
      </x:c>
      <x:c r="I33" s="48" t="str">
        <x:v>linked by the locked 313-requirement index</x:v>
      </x:c>
      <x:c r="J33" s="47" t="n">
        <x:v>0</x:v>
      </x:c>
    </x:row>
    <x:row r="34">
      <x:c r="A34" s="47" t="str">
        <x:v>RUN-TRF-020-20260831T065135355151Z</x:v>
      </x:c>
      <x:c r="B34" s="47" t="str">
        <x:v>TRF-020</x:v>
      </x:c>
      <x:c r="C34" s="47" t="str">
        <x:v>propellerPitchControlType</x:v>
      </x:c>
      <x:c r="D34" s="48" t="str">
        <x:v>https://w3id.org/nltl/vocab#propellerPitchControlType</x:v>
      </x:c>
      <x:c r="E34" s="47" t="str">
        <x:v>ObjectProperty</x:v>
      </x:c>
      <x:c r="F34" s="47" t="str"/>
      <x:c r="G34" s="47" t="str">
        <x:v>https://w3id.org/nltl/vocab#propellerPitchControlTypeValue</x:v>
      </x:c>
      <x:c r="H34" s="47" t="str"/>
      <x:c r="I34" s="48" t="str">
        <x:v>linked by the locked 313-requirement index</x:v>
      </x:c>
      <x:c r="J34" s="47" t="n">
        <x:v>0</x:v>
      </x:c>
    </x:row>
    <x:row r="35">
      <x:c r="A35" s="47" t="str">
        <x:v>RUN-TRF-020-20260831T065135355151Z</x:v>
      </x:c>
      <x:c r="B35" s="47" t="str">
        <x:v>TRF-020</x:v>
      </x:c>
      <x:c r="C35" s="47" t="str">
        <x:v>propellerPitchControlTypeValue</x:v>
      </x:c>
      <x:c r="D35" s="48" t="str">
        <x:v>https://w3id.org/nltl/vocab#propellerPitchControlTypeValue</x:v>
      </x:c>
      <x:c r="E35" s="47" t="str">
        <x:v>Class</x:v>
      </x:c>
      <x:c r="F35" s="47" t="str"/>
      <x:c r="G35" s="47" t="str">
        <x:v>https://w3id.org/nltl/vocab#benchmarkEntity</x:v>
      </x:c>
      <x:c r="H35" s="47" t="str"/>
      <x:c r="I35" s="48" t="str">
        <x:v>range dependency of controllablePitch; range dependency of fixedPitch; range dependency of propellerPitchControlType</x:v>
      </x:c>
      <x:c r="J35" s="47" t="n">
        <x:v>0</x:v>
      </x:c>
    </x:row>
    <x:row r="36">
      <x:c r="A36" s="47" t="str">
        <x:v>RUN-TRF-020-20260831T065135355151Z</x:v>
      </x:c>
      <x:c r="B36" s="47" t="str">
        <x:v>TRF-020</x:v>
      </x:c>
      <x:c r="C36" s="47" t="str">
        <x:v>propulsionSystemType</x:v>
      </x:c>
      <x:c r="D36" s="48" t="str">
        <x:v>https://w3id.org/nltl/vocab#propulsionSystemType</x:v>
      </x:c>
      <x:c r="E36" s="47" t="str">
        <x:v>ObjectProperty</x:v>
      </x:c>
      <x:c r="F36" s="47" t="str"/>
      <x:c r="G36" s="47" t="str">
        <x:v>https://w3id.org/nltl/vocab#propulsionSystemTypeValue</x:v>
      </x:c>
      <x:c r="H36" s="47" t="str"/>
      <x:c r="I36" s="48" t="str">
        <x:v>linked by the locked 313-requirement index</x:v>
      </x:c>
      <x:c r="J36" s="47" t="n">
        <x:v>0</x:v>
      </x:c>
    </x:row>
    <x:row r="37">
      <x:c r="A37" s="47" t="str">
        <x:v>RUN-TRF-020-20260831T065135355151Z</x:v>
      </x:c>
      <x:c r="B37" s="47" t="str">
        <x:v>TRF-020</x:v>
      </x:c>
      <x:c r="C37" s="47" t="str">
        <x:v>propulsionSystemTypeValue</x:v>
      </x:c>
      <x:c r="D37" s="48" t="str">
        <x:v>https://w3id.org/nltl/vocab#propulsionSystemTypeValue</x:v>
      </x:c>
      <x:c r="E37" s="47" t="str">
        <x:v>Class</x:v>
      </x:c>
      <x:c r="F37" s="47" t="str"/>
      <x:c r="G37" s="47" t="str">
        <x:v>https://w3id.org/nltl/vocab#benchmarkEntity</x:v>
      </x:c>
      <x:c r="H37" s="47" t="str"/>
      <x:c r="I37" s="48" t="str">
        <x:v>range dependency of conventionalPropulsionSystem; range dependency of electricPropulsionMachinery; range dependency of hydraulicPropulsionMachinery; range dependency of propulsionSystemType</x:v>
      </x:c>
      <x:c r="J37" s="47" t="n">
        <x:v>0</x:v>
      </x:c>
    </x:row>
    <x:row r="38">
      <x:c r="A38" s="47" t="str">
        <x:v>RUN-TRF-020-20260831T065135355151Z</x:v>
      </x:c>
      <x:c r="B38" s="47" t="str">
        <x:v>TRF-020</x:v>
      </x:c>
      <x:c r="C38" s="47" t="str">
        <x:v>ship</x:v>
      </x:c>
      <x:c r="D38" s="48" t="str">
        <x:v>https://w3id.org/nltl/vocab#ship</x:v>
      </x:c>
      <x:c r="E38" s="47" t="str">
        <x:v>Class</x:v>
      </x:c>
      <x:c r="F38" s="47" t="str"/>
      <x:c r="G38" s="47" t="str"/>
      <x:c r="H38" s="47" t="str"/>
      <x:c r="I38" s="48" t="str">
        <x:v>authoritative required owner class; authoritative requirement target owner; baseline target infrastructure; domain dependency of hasLowerIceWaterline; domain dependency of hasUpperIceWaterline</x:v>
      </x:c>
      <x:c r="J38" s="47" t="n">
        <x:v>0</x:v>
      </x:c>
    </x:row>
    <x:row r="39">
      <x:c r="A39" s="47" t="str">
        <x:v>RUN-TRF-020-20260831T065135355151Z</x:v>
      </x:c>
      <x:c r="B39" s="47" t="str">
        <x:v>TRF-020</x:v>
      </x:c>
      <x:c r="C39" s="47" t="str">
        <x:v>shipComponent</x:v>
      </x:c>
      <x:c r="D39" s="48" t="str">
        <x:v>https://w3id.org/nltl/vocab#shipComponent</x:v>
      </x:c>
      <x:c r="E39" s="47" t="str">
        <x:v>Class</x:v>
      </x:c>
      <x:c r="F39" s="47" t="str"/>
      <x:c r="G39" s="47" t="str"/>
      <x:c r="H39" s="47" t="str"/>
      <x:c r="I39" s="48" t="str">
        <x:v>component-path dependency inferred from the linked term module</x:v>
      </x:c>
      <x:c r="J39" s="47" t="n">
        <x:v>0</x:v>
      </x:c>
    </x:row>
    <x:row r="40">
      <x:c r="A40" s="47" t="str">
        <x:v>RUN-TRF-020-20260831T065135355151Z</x:v>
      </x:c>
      <x:c r="B40" s="47" t="str">
        <x:v>TRF-020</x:v>
      </x:c>
      <x:c r="C40" s="47" t="str">
        <x:v>upperIceWaterlineBreadth</x:v>
      </x:c>
      <x:c r="D40" s="48" t="str">
        <x:v>https://w3id.org/nltl/vocab#upperIceWaterlineBreadth</x:v>
      </x:c>
      <x:c r="E40" s="47" t="str">
        <x:v>QuantityProperty</x:v>
      </x:c>
      <x:c r="F40" s="47" t="str"/>
      <x:c r="G40" s="47" t="str">
        <x:v>http://qudt.org/schema/qudt/QuantityValue</x:v>
      </x:c>
      <x:c r="H40" s="47" t="str">
        <x:v>http://qudt.org/vocab/unit/M</x:v>
      </x:c>
      <x:c r="I40" s="48" t="str">
        <x:v>linked by the locked 313-requirement index</x:v>
      </x:c>
      <x:c r="J40" s="47" t="n">
        <x:v>0</x:v>
      </x:c>
    </x:row>
    <x:row r="41">
      <x:c r="A41" s="47" t="str">
        <x:v>RUN-TRF-020-20260831T065135355151Z</x:v>
      </x:c>
      <x:c r="B41" s="47" t="str">
        <x:v>TRF-020</x:v>
      </x:c>
      <x:c r="C41" s="47" t="str">
        <x:v>upperIceWaterlineLength</x:v>
      </x:c>
      <x:c r="D41" s="48" t="str">
        <x:v>https://w3id.org/nltl/vocab#upperIceWaterlineLength</x:v>
      </x:c>
      <x:c r="E41" s="47" t="str">
        <x:v>QuantityProperty</x:v>
      </x:c>
      <x:c r="F41" s="47" t="str"/>
      <x:c r="G41" s="47" t="str">
        <x:v>http://qudt.org/schema/qudt/QuantityValue</x:v>
      </x:c>
      <x:c r="H41" s="47" t="str">
        <x:v>http://qudt.org/vocab/unit/M</x:v>
      </x:c>
      <x:c r="I41" s="48" t="str">
        <x:v>linked by the locked 313-requirement index</x:v>
      </x:c>
      <x:c r="J41" s="47" t="n">
        <x:v>0</x:v>
      </x:c>
    </x:row>
    <x:row r="42">
      <x:c r="A42" s="47" t="str">
        <x:v>RUN-TRF-020-20260831T065135355151Z</x:v>
      </x:c>
      <x:c r="B42" s="47" t="str">
        <x:v>TRF-020</x:v>
      </x:c>
      <x:c r="C42" s="47" t="str">
        <x:v>benchmarkEntity</x:v>
      </x:c>
      <x:c r="D42" s="48" t="str">
        <x:v>https://w3id.org/nltl/vocab#benchmarkEntity</x:v>
      </x:c>
      <x:c r="E42" s="47" t="str">
        <x:v>Class</x:v>
      </x:c>
      <x:c r="F42" s="47" t="str"/>
      <x:c r="G42" s="47" t="str"/>
      <x:c r="H42" s="47" t="str"/>
      <x:c r="I42" s="48" t="str">
        <x:v>baseline target infrastructure; domain dependency of brashIceChannelResistanceAtLowerIceWaterline; domain dependency of brashIceChannelResistanceAtUpperIceWaterline; domain dependency of brashIceChannelResistanceRch; domain dependency of constructionStageDate; domain dependency of engineOutputCoefficientKe; domain dependency of iceClass; domain dependency of maximumContinuousRatingPower; domain dependency of minimumRequiredPowerAtLowerIceWaterline; domain dependency of minimumRequiredPowerAtUpperIceWaterline; domain dependency of propellerCount; domain dependency of propellerDiameter; domain dependency of propellerPitchControlType; domain dependency of propulsionSystemType; domain dependency of upperIceWaterlineLength; range dependency of iceWaterline</x:v>
      </x:c>
      <x:c r="J42" s="47" t="n">
        <x:v>4</x:v>
      </x:c>
    </x:row>
    <x:row r="43">
      <x:c r="A43" s="47" t="str">
        <x:v>RUN-TRF-020-20260831T065135355151Z</x:v>
      </x:c>
      <x:c r="B43" s="47" t="str">
        <x:v>TRF-020</x:v>
      </x:c>
      <x:c r="C43" s="47" t="str">
        <x:v>brashIceChannelResistanceAtLowerIceWaterline</x:v>
      </x:c>
      <x:c r="D43" s="48" t="str">
        <x:v>https://w3id.org/nltl/vocab#brashIceChannelResistanceAtLowerIceWaterline</x:v>
      </x:c>
      <x:c r="E43" s="47" t="str">
        <x:v>QuantityProperty</x:v>
      </x:c>
      <x:c r="F43" s="47" t="str"/>
      <x:c r="G43" s="47" t="str">
        <x:v>http://qudt.org/schema/qudt/QuantityValue</x:v>
      </x:c>
      <x:c r="H43" s="47" t="str"/>
      <x:c r="I43" s="48" t="str">
        <x:v>linked by the locked 313-requirement index</x:v>
      </x:c>
      <x:c r="J43" s="47" t="n">
        <x:v>4</x:v>
      </x:c>
    </x:row>
    <x:row r="44">
      <x:c r="A44" s="47" t="str">
        <x:v>RUN-TRF-020-20260831T065135355151Z</x:v>
      </x:c>
      <x:c r="B44" s="47" t="str">
        <x:v>TRF-020</x:v>
      </x:c>
      <x:c r="C44" s="47" t="str">
        <x:v>brashIceChannelResistanceAtUpperIceWaterline</x:v>
      </x:c>
      <x:c r="D44" s="48" t="str">
        <x:v>https://w3id.org/nltl/vocab#brashIceChannelResistanceAtUpperIceWaterline</x:v>
      </x:c>
      <x:c r="E44" s="47" t="str">
        <x:v>QuantityProperty</x:v>
      </x:c>
      <x:c r="F44" s="47" t="str"/>
      <x:c r="G44" s="47" t="str">
        <x:v>http://qudt.org/schema/qudt/QuantityValue</x:v>
      </x:c>
      <x:c r="H44" s="47" t="str"/>
      <x:c r="I44" s="48" t="str">
        <x:v>linked by the locked 313-requirement index</x:v>
      </x:c>
      <x:c r="J44" s="47" t="n">
        <x:v>4</x:v>
      </x:c>
    </x:row>
    <x:row r="45">
      <x:c r="A45" s="47" t="str">
        <x:v>RUN-TRF-020-20260831T065135355151Z</x:v>
      </x:c>
      <x:c r="B45" s="47" t="str">
        <x:v>TRF-020</x:v>
      </x:c>
      <x:c r="C45" s="47" t="str">
        <x:v>brashIceChannelResistanceRch</x:v>
      </x:c>
      <x:c r="D45" s="48" t="str">
        <x:v>https://w3id.org/nltl/vocab#brashIceChannelResistanceRch</x:v>
      </x:c>
      <x:c r="E45" s="47" t="str">
        <x:v>QuantityProperty</x:v>
      </x:c>
      <x:c r="F45" s="47" t="str"/>
      <x:c r="G45" s="47" t="str">
        <x:v>http://qudt.org/schema/qudt/QuantityValue</x:v>
      </x:c>
      <x:c r="H45" s="47" t="str">
        <x:v>http://qudt.org/vocab/unit/N</x:v>
      </x:c>
      <x:c r="I45" s="48" t="str">
        <x:v>linked by the locked 313-requirement index</x:v>
      </x:c>
      <x:c r="J45" s="47" t="n">
        <x:v>4</x:v>
      </x:c>
    </x:row>
    <x:row r="46">
      <x:c r="A46" s="47" t="str">
        <x:v>RUN-TRF-020-20260831T065135355151Z</x:v>
      </x:c>
      <x:c r="B46" s="47" t="str">
        <x:v>TRF-020</x:v>
      </x:c>
      <x:c r="C46" s="47" t="str">
        <x:v>constructionStageDate</x:v>
      </x:c>
      <x:c r="D46" s="48" t="str">
        <x:v>https://w3id.org/nltl/vocab#constructionStageDate</x:v>
      </x:c>
      <x:c r="E46" s="47" t="str">
        <x:v>DatatypeProperty</x:v>
      </x:c>
      <x:c r="F46" s="47" t="str">
        <x:v>xsd:date</x:v>
      </x:c>
      <x:c r="G46" s="47" t="str">
        <x:v>http://www.w3.org/2001/XMLSchema#date</x:v>
      </x:c>
      <x:c r="H46" s="47" t="str"/>
      <x:c r="I46" s="48" t="str">
        <x:v>linked by the locked 313-requirement index</x:v>
      </x:c>
      <x:c r="J46" s="47" t="n">
        <x:v>4</x:v>
      </x:c>
    </x:row>
    <x:row r="47">
      <x:c r="A47" s="47" t="str">
        <x:v>RUN-TRF-020-20260831T065135355151Z</x:v>
      </x:c>
      <x:c r="B47" s="47" t="str">
        <x:v>TRF-020</x:v>
      </x:c>
      <x:c r="C47" s="47" t="str">
        <x:v>controllablePitch</x:v>
      </x:c>
      <x:c r="D47" s="48" t="str">
        <x:v>https://w3id.org/nltl/vocab#controllablePitch</x:v>
      </x:c>
      <x:c r="E47" s="47" t="str">
        <x:v>NamedIndividual</x:v>
      </x:c>
      <x:c r="F47" s="47" t="str"/>
      <x:c r="G47" s="47" t="str">
        <x:v>https://w3id.org/nltl/vocab#propellerPitchControlTypeValue</x:v>
      </x:c>
      <x:c r="H47" s="47" t="str"/>
      <x:c r="I47" s="48" t="str">
        <x:v>controlled value permitted by the range of controllablePitch; controlled value permitted by the range of fixedPitch; controlled value permitted by the range of propellerPitchControlType; linked by the locked 313-requirement index</x:v>
      </x:c>
      <x:c r="J47" s="47" t="n">
        <x:v>4</x:v>
      </x:c>
    </x:row>
    <x:row r="48">
      <x:c r="A48" s="47" t="str">
        <x:v>RUN-TRF-020-20260831T065135355151Z</x:v>
      </x:c>
      <x:c r="B48" s="47" t="str">
        <x:v>TRF-020</x:v>
      </x:c>
      <x:c r="C48" s="47" t="str">
        <x:v>conventionalPropulsionSystem</x:v>
      </x:c>
      <x:c r="D48" s="48" t="str">
        <x:v>https://w3id.org/nltl/vocab#conventionalPropulsionSystem</x:v>
      </x:c>
      <x:c r="E48" s="47" t="str">
        <x:v>NamedIndividual</x:v>
      </x:c>
      <x:c r="F48" s="47" t="str"/>
      <x:c r="G48" s="47" t="str">
        <x:v>https://w3id.org/nltl/vocab#propulsionSystemTypeValue</x:v>
      </x:c>
      <x:c r="H48" s="47" t="str"/>
      <x:c r="I48"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48" s="47" t="n">
        <x:v>4</x:v>
      </x:c>
    </x:row>
    <x:row r="49">
      <x:c r="A49" s="47" t="str">
        <x:v>RUN-TRF-020-20260831T065135355151Z</x:v>
      </x:c>
      <x:c r="B49" s="47" t="str">
        <x:v>TRF-020</x:v>
      </x:c>
      <x:c r="C49" s="47" t="str">
        <x:v>electricPropulsionMachinery</x:v>
      </x:c>
      <x:c r="D49" s="48" t="str">
        <x:v>https://w3id.org/nltl/vocab#electricPropulsionMachinery</x:v>
      </x:c>
      <x:c r="E49" s="47" t="str">
        <x:v>NamedIndividual</x:v>
      </x:c>
      <x:c r="F49" s="47" t="str"/>
      <x:c r="G49" s="47" t="str">
        <x:v>https://w3id.org/nltl/vocab#propulsionSystemTypeValue</x:v>
      </x:c>
      <x:c r="H49" s="47" t="str"/>
      <x:c r="I49"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49" s="47" t="n">
        <x:v>4</x:v>
      </x:c>
    </x:row>
    <x:row r="50">
      <x:c r="A50" s="47" t="str">
        <x:v>RUN-TRF-020-20260831T065135355151Z</x:v>
      </x:c>
      <x:c r="B50" s="47" t="str">
        <x:v>TRF-020</x:v>
      </x:c>
      <x:c r="C50" s="47" t="str">
        <x:v>engineOutputCoefficientKe</x:v>
      </x:c>
      <x:c r="D50" s="48" t="str">
        <x:v>https://w3id.org/nltl/vocab#engineOutputCoefficientKe</x:v>
      </x:c>
      <x:c r="E50" s="47" t="str">
        <x:v>QuantityProperty</x:v>
      </x:c>
      <x:c r="F50" s="47" t="str"/>
      <x:c r="G50" s="47" t="str">
        <x:v>http://qudt.org/schema/qudt/QuantityValue</x:v>
      </x:c>
      <x:c r="H50" s="47" t="str">
        <x:v>http://qudt.org/vocab/unit/UNITLESS</x:v>
      </x:c>
      <x:c r="I50" s="48" t="str">
        <x:v>linked by the locked 313-requirement index; verified vocabulary-matcher addition</x:v>
      </x:c>
      <x:c r="J50" s="47" t="n">
        <x:v>4</x:v>
      </x:c>
    </x:row>
    <x:row r="51">
      <x:c r="A51" s="47" t="str">
        <x:v>RUN-TRF-020-20260831T065135355151Z</x:v>
      </x:c>
      <x:c r="B51" s="47" t="str">
        <x:v>TRF-020</x:v>
      </x:c>
      <x:c r="C51" s="47" t="str">
        <x:v>fixedPitch</x:v>
      </x:c>
      <x:c r="D51" s="48" t="str">
        <x:v>https://w3id.org/nltl/vocab#fixedPitch</x:v>
      </x:c>
      <x:c r="E51" s="47" t="str">
        <x:v>NamedIndividual</x:v>
      </x:c>
      <x:c r="F51" s="47" t="str"/>
      <x:c r="G51" s="47" t="str">
        <x:v>https://w3id.org/nltl/vocab#propellerPitchControlTypeValue</x:v>
      </x:c>
      <x:c r="H51" s="47" t="str"/>
      <x:c r="I51" s="48" t="str">
        <x:v>controlled value permitted by the range of controllablePitch; controlled value permitted by the range of fixedPitch; controlled value permitted by the range of propellerPitchControlType; linked by the locked 313-requirement index</x:v>
      </x:c>
      <x:c r="J51" s="47" t="n">
        <x:v>4</x:v>
      </x:c>
    </x:row>
    <x:row r="52">
      <x:c r="A52" s="47" t="str">
        <x:v>RUN-TRF-020-20260831T065135355151Z</x:v>
      </x:c>
      <x:c r="B52" s="47" t="str">
        <x:v>TRF-020</x:v>
      </x:c>
      <x:c r="C52" s="47" t="str">
        <x:v>hasComponent</x:v>
      </x:c>
      <x:c r="D52" s="48" t="str">
        <x:v>https://w3id.org/nltl/vocab#hasComponent</x:v>
      </x:c>
      <x:c r="E52" s="47" t="str">
        <x:v>ObjectProperty</x:v>
      </x:c>
      <x:c r="F52" s="47" t="str"/>
      <x:c r="G52" s="47" t="str">
        <x:v>https://w3id.org/nltl/vocab#shipComponent</x:v>
      </x:c>
      <x:c r="H52" s="47" t="str"/>
      <x:c r="I52" s="48" t="str">
        <x:v>component-path dependency inferred from the linked term module</x:v>
      </x:c>
      <x:c r="J52" s="47" t="n">
        <x:v>4</x:v>
      </x:c>
    </x:row>
    <x:row r="53">
      <x:c r="A53" s="47" t="str">
        <x:v>RUN-TRF-020-20260831T065135355151Z</x:v>
      </x:c>
      <x:c r="B53" s="47" t="str">
        <x:v>TRF-020</x:v>
      </x:c>
      <x:c r="C53" s="47" t="str">
        <x:v>hasIntendedIceOperatingWaterline</x:v>
      </x:c>
      <x:c r="D53" s="48" t="str">
        <x:v>https://w3id.org/nltl/vocab#hasIntendedIceOperatingWaterline</x:v>
      </x:c>
      <x:c r="E53" s="47" t="str">
        <x:v>ObjectProperty</x:v>
      </x:c>
      <x:c r="F53" s="47" t="str"/>
      <x:c r="G53" s="47" t="str">
        <x:v>https://w3id.org/nltl/vocab#iceWaterline</x:v>
      </x:c>
      <x:c r="H53" s="47" t="str"/>
      <x:c r="I53" s="48" t="str">
        <x:v>canonical path from target owner ship to required owner iceWaterline</x:v>
      </x:c>
      <x:c r="J53" s="47" t="n">
        <x:v>4</x:v>
      </x:c>
    </x:row>
    <x:row r="54">
      <x:c r="A54" s="47" t="str">
        <x:v>RUN-TRF-020-20260831T065135355151Z</x:v>
      </x:c>
      <x:c r="B54" s="47" t="str">
        <x:v>TRF-020</x:v>
      </x:c>
      <x:c r="C54" s="47" t="str">
        <x:v>hasLowerIceWaterline</x:v>
      </x:c>
      <x:c r="D54" s="48" t="str">
        <x:v>https://w3id.org/nltl/vocab#hasLowerIceWaterline</x:v>
      </x:c>
      <x:c r="E54" s="47" t="str">
        <x:v>ObjectProperty</x:v>
      </x:c>
      <x:c r="F54" s="47" t="str"/>
      <x:c r="G54" s="47" t="str">
        <x:v>https://w3id.org/nltl/vocab#iceWaterline</x:v>
      </x:c>
      <x:c r="H54" s="47" t="str"/>
      <x:c r="I54" s="48" t="str">
        <x:v>canonical path from target owner ship to required owner iceWaterline; linked by the locked 313-requirement index</x:v>
      </x:c>
      <x:c r="J54" s="47" t="n">
        <x:v>4</x:v>
      </x:c>
    </x:row>
    <x:row r="55">
      <x:c r="A55" s="47" t="str">
        <x:v>RUN-TRF-020-20260831T065135355151Z</x:v>
      </x:c>
      <x:c r="B55" s="47" t="str">
        <x:v>TRF-020</x:v>
      </x:c>
      <x:c r="C55" s="47" t="str">
        <x:v>hasUpperIceWaterline</x:v>
      </x:c>
      <x:c r="D55" s="48" t="str">
        <x:v>https://w3id.org/nltl/vocab#hasUpperIceWaterline</x:v>
      </x:c>
      <x:c r="E55" s="47" t="str">
        <x:v>ObjectProperty</x:v>
      </x:c>
      <x:c r="F55" s="47" t="str"/>
      <x:c r="G55" s="47" t="str">
        <x:v>https://w3id.org/nltl/vocab#iceWaterline</x:v>
      </x:c>
      <x:c r="H55" s="47" t="str"/>
      <x:c r="I55" s="48" t="str">
        <x:v>canonical path from target owner ship to required owner iceWaterline; linked by the locked 313-requirement index</x:v>
      </x:c>
      <x:c r="J55" s="47" t="n">
        <x:v>4</x:v>
      </x:c>
    </x:row>
    <x:row r="56">
      <x:c r="A56" s="47" t="str">
        <x:v>RUN-TRF-020-20260831T065135355151Z</x:v>
      </x:c>
      <x:c r="B56" s="47" t="str">
        <x:v>TRF-020</x:v>
      </x:c>
      <x:c r="C56" s="47" t="str">
        <x:v>hydraulicPropulsionMachinery</x:v>
      </x:c>
      <x:c r="D56" s="48" t="str">
        <x:v>https://w3id.org/nltl/vocab#hydraulicPropulsionMachinery</x:v>
      </x:c>
      <x:c r="E56" s="47" t="str">
        <x:v>NamedIndividual</x:v>
      </x:c>
      <x:c r="F56" s="47" t="str"/>
      <x:c r="G56" s="47" t="str">
        <x:v>https://w3id.org/nltl/vocab#propulsionSystemTypeValue</x:v>
      </x:c>
      <x:c r="H56" s="47" t="str"/>
      <x:c r="I56"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56" s="47" t="n">
        <x:v>4</x:v>
      </x:c>
    </x:row>
    <x:row r="57">
      <x:c r="A57" s="47" t="str">
        <x:v>RUN-TRF-020-20260831T065135355151Z</x:v>
      </x:c>
      <x:c r="B57" s="47" t="str">
        <x:v>TRF-020</x:v>
      </x:c>
      <x:c r="C57" s="47" t="str">
        <x:v>iceClass</x:v>
      </x:c>
      <x:c r="D57" s="48" t="str">
        <x:v>https://w3id.org/nltl/vocab#iceClass</x:v>
      </x:c>
      <x:c r="E57" s="47" t="str">
        <x:v>ObjectProperty</x:v>
      </x:c>
      <x:c r="F57" s="47" t="str"/>
      <x:c r="G57" s="47" t="str">
        <x:v>https://w3id.org/nltl/vocab#iceClassValue</x:v>
      </x:c>
      <x:c r="H57" s="47" t="str"/>
      <x:c r="I57" s="48" t="str">
        <x:v>linked by the locked 313-requirement index</x:v>
      </x:c>
      <x:c r="J57" s="47" t="n">
        <x:v>4</x:v>
      </x:c>
    </x:row>
    <x:row r="58">
      <x:c r="A58" s="47" t="str">
        <x:v>RUN-TRF-020-20260831T065135355151Z</x:v>
      </x:c>
      <x:c r="B58" s="47" t="str">
        <x:v>TRF-020</x:v>
      </x:c>
      <x:c r="C58" s="47" t="str">
        <x:v>iceClassIa</x:v>
      </x:c>
      <x:c r="D58" s="48" t="str">
        <x:v>https://w3id.org/nltl/vocab#iceClassIa</x:v>
      </x:c>
      <x:c r="E58" s="47" t="str">
        <x:v>NamedIndividual</x:v>
      </x:c>
      <x:c r="F58" s="47" t="str"/>
      <x:c r="G58" s="47" t="str">
        <x:v>https://w3id.org/nltl/vocab#iceClassValue</x:v>
      </x:c>
      <x:c r="H58" s="47" t="str"/>
      <x:c r="I58" s="48" t="str">
        <x:v>controlled value permitted by the range of iceClass</x:v>
      </x:c>
      <x:c r="J58" s="47" t="n">
        <x:v>4</x:v>
      </x:c>
    </x:row>
    <x:row r="59">
      <x:c r="A59" s="47" t="str">
        <x:v>RUN-TRF-020-20260831T065135355151Z</x:v>
      </x:c>
      <x:c r="B59" s="47" t="str">
        <x:v>TRF-020</x:v>
      </x:c>
      <x:c r="C59" s="47" t="str">
        <x:v>iceClassIaSuper</x:v>
      </x:c>
      <x:c r="D59" s="48" t="str">
        <x:v>https://w3id.org/nltl/vocab#iceClassIaSuper</x:v>
      </x:c>
      <x:c r="E59" s="47" t="str">
        <x:v>NamedIndividual</x:v>
      </x:c>
      <x:c r="F59" s="47" t="str"/>
      <x:c r="G59" s="47" t="str">
        <x:v>https://w3id.org/nltl/vocab#iceClassValue</x:v>
      </x:c>
      <x:c r="H59" s="47" t="str"/>
      <x:c r="I59" s="48" t="str">
        <x:v>controlled value permitted by the range of iceClass</x:v>
      </x:c>
      <x:c r="J59" s="47" t="n">
        <x:v>4</x:v>
      </x:c>
    </x:row>
    <x:row r="60">
      <x:c r="A60" s="47" t="str">
        <x:v>RUN-TRF-020-20260831T065135355151Z</x:v>
      </x:c>
      <x:c r="B60" s="47" t="str">
        <x:v>TRF-020</x:v>
      </x:c>
      <x:c r="C60" s="47" t="str">
        <x:v>iceClassIb</x:v>
      </x:c>
      <x:c r="D60" s="48" t="str">
        <x:v>https://w3id.org/nltl/vocab#iceClassIb</x:v>
      </x:c>
      <x:c r="E60" s="47" t="str">
        <x:v>NamedIndividual</x:v>
      </x:c>
      <x:c r="F60" s="47" t="str"/>
      <x:c r="G60" s="47" t="str">
        <x:v>https://w3id.org/nltl/vocab#iceClassValue</x:v>
      </x:c>
      <x:c r="H60" s="47" t="str"/>
      <x:c r="I60" s="48" t="str">
        <x:v>controlled value permitted by the range of iceClass</x:v>
      </x:c>
      <x:c r="J60" s="47" t="n">
        <x:v>4</x:v>
      </x:c>
    </x:row>
    <x:row r="61">
      <x:c r="A61" s="47" t="str">
        <x:v>RUN-TRF-020-20260831T065135355151Z</x:v>
      </x:c>
      <x:c r="B61" s="47" t="str">
        <x:v>TRF-020</x:v>
      </x:c>
      <x:c r="C61" s="47" t="str">
        <x:v>iceClassIc</x:v>
      </x:c>
      <x:c r="D61" s="48" t="str">
        <x:v>https://w3id.org/nltl/vocab#iceClassIc</x:v>
      </x:c>
      <x:c r="E61" s="47" t="str">
        <x:v>NamedIndividual</x:v>
      </x:c>
      <x:c r="F61" s="47" t="str"/>
      <x:c r="G61" s="47" t="str">
        <x:v>https://w3id.org/nltl/vocab#iceClassValue</x:v>
      </x:c>
      <x:c r="H61" s="47" t="str"/>
      <x:c r="I61" s="48" t="str">
        <x:v>controlled value permitted by the range of iceClass</x:v>
      </x:c>
      <x:c r="J61" s="47" t="n">
        <x:v>4</x:v>
      </x:c>
    </x:row>
    <x:row r="62">
      <x:c r="A62" s="47" t="str">
        <x:v>RUN-TRF-020-20260831T065135355151Z</x:v>
      </x:c>
      <x:c r="B62" s="47" t="str">
        <x:v>TRF-020</x:v>
      </x:c>
      <x:c r="C62" s="47" t="str">
        <x:v>iceClassIi</x:v>
      </x:c>
      <x:c r="D62" s="48" t="str">
        <x:v>https://w3id.org/nltl/vocab#iceClassIi</x:v>
      </x:c>
      <x:c r="E62" s="47" t="str">
        <x:v>NamedIndividual</x:v>
      </x:c>
      <x:c r="F62" s="47" t="str"/>
      <x:c r="G62" s="47" t="str">
        <x:v>https://w3id.org/nltl/vocab#iceClassValue</x:v>
      </x:c>
      <x:c r="H62" s="47" t="str"/>
      <x:c r="I62" s="48" t="str">
        <x:v>controlled value permitted by the range of iceClass</x:v>
      </x:c>
      <x:c r="J62" s="47" t="n">
        <x:v>4</x:v>
      </x:c>
    </x:row>
    <x:row r="63">
      <x:c r="A63" s="47" t="str">
        <x:v>RUN-TRF-020-20260831T065135355151Z</x:v>
      </x:c>
      <x:c r="B63" s="47" t="str">
        <x:v>TRF-020</x:v>
      </x:c>
      <x:c r="C63" s="47" t="str">
        <x:v>iceClassIii</x:v>
      </x:c>
      <x:c r="D63" s="48" t="str">
        <x:v>https://w3id.org/nltl/vocab#iceClassIii</x:v>
      </x:c>
      <x:c r="E63" s="47" t="str">
        <x:v>NamedIndividual</x:v>
      </x:c>
      <x:c r="F63" s="47" t="str"/>
      <x:c r="G63" s="47" t="str">
        <x:v>https://w3id.org/nltl/vocab#iceClassValue</x:v>
      </x:c>
      <x:c r="H63" s="47" t="str"/>
      <x:c r="I63" s="48" t="str">
        <x:v>controlled value permitted by the range of iceClass</x:v>
      </x:c>
      <x:c r="J63" s="47" t="n">
        <x:v>4</x:v>
      </x:c>
    </x:row>
    <x:row r="64">
      <x:c r="A64" s="47" t="str">
        <x:v>RUN-TRF-020-20260831T065135355151Z</x:v>
      </x:c>
      <x:c r="B64" s="47" t="str">
        <x:v>TRF-020</x:v>
      </x:c>
      <x:c r="C64" s="47" t="str">
        <x:v>iceClassValue</x:v>
      </x:c>
      <x:c r="D64" s="48" t="str">
        <x:v>https://w3id.org/nltl/vocab#iceClassValue</x:v>
      </x:c>
      <x:c r="E64" s="47" t="str">
        <x:v>Class</x:v>
      </x:c>
      <x:c r="F64" s="47" t="str"/>
      <x:c r="G64" s="47" t="str"/>
      <x:c r="H64" s="47" t="str"/>
      <x:c r="I64" s="48" t="str">
        <x:v>range dependency of iceClass</x:v>
      </x:c>
      <x:c r="J64" s="47" t="n">
        <x:v>4</x:v>
      </x:c>
    </x:row>
    <x:row r="65">
      <x:c r="A65" s="47" t="str">
        <x:v>RUN-TRF-020-20260831T065135355151Z</x:v>
      </x:c>
      <x:c r="B65" s="47" t="str">
        <x:v>TRF-020</x:v>
      </x:c>
      <x:c r="C65" s="47" t="str">
        <x:v>iceWaterline</x:v>
      </x:c>
      <x:c r="D65" s="48" t="str">
        <x:v>https://w3id.org/nltl/vocab#iceWaterline</x:v>
      </x:c>
      <x:c r="E65" s="47" t="str">
        <x:v>Class</x:v>
      </x:c>
      <x:c r="F65" s="47" t="str"/>
      <x:c r="G65" s="47" t="str">
        <x:v>https://w3id.org/nltl/vocab#benchmarkEntity</x:v>
      </x:c>
      <x:c r="H65" s="47" t="str"/>
      <x:c r="I65" s="48" t="str">
        <x:v>authoritative required owner class; domain dependency of upperIceWaterlineBreadth; linked by the locked 313-requirement index; range dependency of hasLowerIceWaterline; range dependency of hasUpperIceWaterline</x:v>
      </x:c>
      <x:c r="J65" s="47" t="n">
        <x:v>4</x:v>
      </x:c>
    </x:row>
    <x:row r="66">
      <x:c r="A66" s="47" t="str">
        <x:v>RUN-TRF-020-20260831T065135355151Z</x:v>
      </x:c>
      <x:c r="B66" s="47" t="str">
        <x:v>TRF-020</x:v>
      </x:c>
      <x:c r="C66" s="47" t="str">
        <x:v>maximumContinuousRatingPower</x:v>
      </x:c>
      <x:c r="D66" s="48" t="str">
        <x:v>https://w3id.org/nltl/vocab#maximumContinuousRatingPower</x:v>
      </x:c>
      <x:c r="E66" s="47" t="str">
        <x:v>QuantityProperty</x:v>
      </x:c>
      <x:c r="F66" s="47" t="str"/>
      <x:c r="G66" s="47" t="str">
        <x:v>http://qudt.org/schema/qudt/QuantityValue</x:v>
      </x:c>
      <x:c r="H66" s="47" t="str">
        <x:v>http://qudt.org/vocab/unit/KiloW</x:v>
      </x:c>
      <x:c r="I66" s="48" t="str">
        <x:v>linked by the locked 313-requirement index</x:v>
      </x:c>
      <x:c r="J66" s="47" t="n">
        <x:v>4</x:v>
      </x:c>
    </x:row>
    <x:row r="67">
      <x:c r="A67" s="47" t="str">
        <x:v>RUN-TRF-020-20260831T065135355151Z</x:v>
      </x:c>
      <x:c r="B67" s="47" t="str">
        <x:v>TRF-020</x:v>
      </x:c>
      <x:c r="C67" s="47" t="str">
        <x:v>minimumRequiredPowerAtLowerIceWaterline</x:v>
      </x:c>
      <x:c r="D67" s="48" t="str">
        <x:v>https://w3id.org/nltl/vocab#minimumRequiredPowerAtLowerIceWaterline</x:v>
      </x:c>
      <x:c r="E67" s="47" t="str">
        <x:v>QuantityProperty</x:v>
      </x:c>
      <x:c r="F67" s="47" t="str"/>
      <x:c r="G67" s="47" t="str">
        <x:v>http://qudt.org/schema/qudt/QuantityValue</x:v>
      </x:c>
      <x:c r="H67" s="47" t="str">
        <x:v>http://qudt.org/vocab/unit/KiloW</x:v>
      </x:c>
      <x:c r="I67" s="48" t="str">
        <x:v>linked by the locked 313-requirement index</x:v>
      </x:c>
      <x:c r="J67" s="47" t="n">
        <x:v>4</x:v>
      </x:c>
    </x:row>
    <x:row r="68">
      <x:c r="A68" s="47" t="str">
        <x:v>RUN-TRF-020-20260831T065135355151Z</x:v>
      </x:c>
      <x:c r="B68" s="47" t="str">
        <x:v>TRF-020</x:v>
      </x:c>
      <x:c r="C68" s="47" t="str">
        <x:v>minimumRequiredPowerAtUpperIceWaterline</x:v>
      </x:c>
      <x:c r="D68" s="48" t="str">
        <x:v>https://w3id.org/nltl/vocab#minimumRequiredPowerAtUpperIceWaterline</x:v>
      </x:c>
      <x:c r="E68" s="47" t="str">
        <x:v>QuantityProperty</x:v>
      </x:c>
      <x:c r="F68" s="47" t="str"/>
      <x:c r="G68" s="47" t="str">
        <x:v>http://qudt.org/schema/qudt/QuantityValue</x:v>
      </x:c>
      <x:c r="H68" s="47" t="str">
        <x:v>http://qudt.org/vocab/unit/KiloW</x:v>
      </x:c>
      <x:c r="I68" s="48" t="str">
        <x:v>linked by the locked 313-requirement index</x:v>
      </x:c>
      <x:c r="J68" s="47" t="n">
        <x:v>4</x:v>
      </x:c>
    </x:row>
    <x:row r="69">
      <x:c r="A69" s="47" t="str">
        <x:v>RUN-TRF-020-20260831T065135355151Z</x:v>
      </x:c>
      <x:c r="B69" s="47" t="str">
        <x:v>TRF-020</x:v>
      </x:c>
      <x:c r="C69" s="47" t="str">
        <x:v>propellerCount</x:v>
      </x:c>
      <x:c r="D69" s="48" t="str">
        <x:v>https://w3id.org/nltl/vocab#propellerCount</x:v>
      </x:c>
      <x:c r="E69" s="47" t="str">
        <x:v>DatatypeProperty</x:v>
      </x:c>
      <x:c r="F69" s="47" t="str">
        <x:v>xsd:integer</x:v>
      </x:c>
      <x:c r="G69" s="47" t="str">
        <x:v>http://www.w3.org/2001/XMLSchema#integer</x:v>
      </x:c>
      <x:c r="H69" s="47" t="str"/>
      <x:c r="I69" s="48" t="str">
        <x:v>linked by the locked 313-requirement index</x:v>
      </x:c>
      <x:c r="J69" s="47" t="n">
        <x:v>4</x:v>
      </x:c>
    </x:row>
    <x:row r="70">
      <x:c r="A70" s="47" t="str">
        <x:v>RUN-TRF-020-20260831T065135355151Z</x:v>
      </x:c>
      <x:c r="B70" s="47" t="str">
        <x:v>TRF-020</x:v>
      </x:c>
      <x:c r="C70" s="47" t="str">
        <x:v>propellerDiameter</x:v>
      </x:c>
      <x:c r="D70" s="48" t="str">
        <x:v>https://w3id.org/nltl/vocab#propellerDiameter</x:v>
      </x:c>
      <x:c r="E70" s="47" t="str">
        <x:v>QuantityProperty</x:v>
      </x:c>
      <x:c r="F70" s="47" t="str"/>
      <x:c r="G70" s="47" t="str">
        <x:v>http://qudt.org/schema/qudt/QuantityValue</x:v>
      </x:c>
      <x:c r="H70" s="47" t="str">
        <x:v>http://qudt.org/vocab/unit/M</x:v>
      </x:c>
      <x:c r="I70" s="48" t="str">
        <x:v>linked by the locked 313-requirement index</x:v>
      </x:c>
      <x:c r="J70" s="47" t="n">
        <x:v>4</x:v>
      </x:c>
    </x:row>
    <x:row r="71">
      <x:c r="A71" s="47" t="str">
        <x:v>RUN-TRF-020-20260831T065135355151Z</x:v>
      </x:c>
      <x:c r="B71" s="47" t="str">
        <x:v>TRF-020</x:v>
      </x:c>
      <x:c r="C71" s="47" t="str">
        <x:v>propellerPitchControlType</x:v>
      </x:c>
      <x:c r="D71" s="48" t="str">
        <x:v>https://w3id.org/nltl/vocab#propellerPitchControlType</x:v>
      </x:c>
      <x:c r="E71" s="47" t="str">
        <x:v>ObjectProperty</x:v>
      </x:c>
      <x:c r="F71" s="47" t="str"/>
      <x:c r="G71" s="47" t="str">
        <x:v>https://w3id.org/nltl/vocab#propellerPitchControlTypeValue</x:v>
      </x:c>
      <x:c r="H71" s="47" t="str"/>
      <x:c r="I71" s="48" t="str">
        <x:v>linked by the locked 313-requirement index</x:v>
      </x:c>
      <x:c r="J71" s="47" t="n">
        <x:v>4</x:v>
      </x:c>
    </x:row>
    <x:row r="72">
      <x:c r="A72" s="47" t="str">
        <x:v>RUN-TRF-020-20260831T065135355151Z</x:v>
      </x:c>
      <x:c r="B72" s="47" t="str">
        <x:v>TRF-020</x:v>
      </x:c>
      <x:c r="C72" s="47" t="str">
        <x:v>propellerPitchControlTypeValue</x:v>
      </x:c>
      <x:c r="D72" s="48" t="str">
        <x:v>https://w3id.org/nltl/vocab#propellerPitchControlTypeValue</x:v>
      </x:c>
      <x:c r="E72" s="47" t="str">
        <x:v>Class</x:v>
      </x:c>
      <x:c r="F72" s="47" t="str"/>
      <x:c r="G72" s="47" t="str">
        <x:v>https://w3id.org/nltl/vocab#benchmarkEntity</x:v>
      </x:c>
      <x:c r="H72" s="47" t="str"/>
      <x:c r="I72" s="48" t="str">
        <x:v>range dependency of controllablePitch; range dependency of fixedPitch; range dependency of propellerPitchControlType</x:v>
      </x:c>
      <x:c r="J72" s="47" t="n">
        <x:v>4</x:v>
      </x:c>
    </x:row>
    <x:row r="73">
      <x:c r="A73" s="47" t="str">
        <x:v>RUN-TRF-020-20260831T065135355151Z</x:v>
      </x:c>
      <x:c r="B73" s="47" t="str">
        <x:v>TRF-020</x:v>
      </x:c>
      <x:c r="C73" s="47" t="str">
        <x:v>propulsionSystemType</x:v>
      </x:c>
      <x:c r="D73" s="48" t="str">
        <x:v>https://w3id.org/nltl/vocab#propulsionSystemType</x:v>
      </x:c>
      <x:c r="E73" s="47" t="str">
        <x:v>ObjectProperty</x:v>
      </x:c>
      <x:c r="F73" s="47" t="str"/>
      <x:c r="G73" s="47" t="str">
        <x:v>https://w3id.org/nltl/vocab#propulsionSystemTypeValue</x:v>
      </x:c>
      <x:c r="H73" s="47" t="str"/>
      <x:c r="I73" s="48" t="str">
        <x:v>linked by the locked 313-requirement index</x:v>
      </x:c>
      <x:c r="J73" s="47" t="n">
        <x:v>4</x:v>
      </x:c>
    </x:row>
    <x:row r="74">
      <x:c r="A74" s="47" t="str">
        <x:v>RUN-TRF-020-20260831T065135355151Z</x:v>
      </x:c>
      <x:c r="B74" s="47" t="str">
        <x:v>TRF-020</x:v>
      </x:c>
      <x:c r="C74" s="47" t="str">
        <x:v>propulsionSystemTypeValue</x:v>
      </x:c>
      <x:c r="D74" s="48" t="str">
        <x:v>https://w3id.org/nltl/vocab#propulsionSystemTypeValue</x:v>
      </x:c>
      <x:c r="E74" s="47" t="str">
        <x:v>Class</x:v>
      </x:c>
      <x:c r="F74" s="47" t="str"/>
      <x:c r="G74" s="47" t="str">
        <x:v>https://w3id.org/nltl/vocab#benchmarkEntity</x:v>
      </x:c>
      <x:c r="H74" s="47" t="str"/>
      <x:c r="I74" s="48" t="str">
        <x:v>range dependency of conventionalPropulsionSystem; range dependency of electricPropulsionMachinery; range dependency of hydraulicPropulsionMachinery; range dependency of propulsionSystemType</x:v>
      </x:c>
      <x:c r="J74" s="47" t="n">
        <x:v>4</x:v>
      </x:c>
    </x:row>
    <x:row r="75">
      <x:c r="A75" s="47" t="str">
        <x:v>RUN-TRF-020-20260831T065135355151Z</x:v>
      </x:c>
      <x:c r="B75" s="47" t="str">
        <x:v>TRF-020</x:v>
      </x:c>
      <x:c r="C75" s="47" t="str">
        <x:v>ship</x:v>
      </x:c>
      <x:c r="D75" s="48" t="str">
        <x:v>https://w3id.org/nltl/vocab#ship</x:v>
      </x:c>
      <x:c r="E75" s="47" t="str">
        <x:v>Class</x:v>
      </x:c>
      <x:c r="F75" s="47" t="str"/>
      <x:c r="G75" s="47" t="str"/>
      <x:c r="H75" s="47" t="str"/>
      <x:c r="I75" s="48" t="str">
        <x:v>authoritative required owner class; authoritative requirement target owner; baseline target infrastructure; domain dependency of hasLowerIceWaterline; domain dependency of hasUpperIceWaterline</x:v>
      </x:c>
      <x:c r="J75" s="47" t="n">
        <x:v>4</x:v>
      </x:c>
    </x:row>
    <x:row r="76">
      <x:c r="A76" s="47" t="str">
        <x:v>RUN-TRF-020-20260831T065135355151Z</x:v>
      </x:c>
      <x:c r="B76" s="47" t="str">
        <x:v>TRF-020</x:v>
      </x:c>
      <x:c r="C76" s="47" t="str">
        <x:v>shipComponent</x:v>
      </x:c>
      <x:c r="D76" s="48" t="str">
        <x:v>https://w3id.org/nltl/vocab#shipComponent</x:v>
      </x:c>
      <x:c r="E76" s="47" t="str">
        <x:v>Class</x:v>
      </x:c>
      <x:c r="F76" s="47" t="str"/>
      <x:c r="G76" s="47" t="str"/>
      <x:c r="H76" s="47" t="str"/>
      <x:c r="I76" s="48" t="str">
        <x:v>component-path dependency inferred from the linked term module</x:v>
      </x:c>
      <x:c r="J76" s="47" t="n">
        <x:v>4</x:v>
      </x:c>
    </x:row>
    <x:row r="77">
      <x:c r="A77" s="47" t="str">
        <x:v>RUN-TRF-020-20260831T065135355151Z</x:v>
      </x:c>
      <x:c r="B77" s="47" t="str">
        <x:v>TRF-020</x:v>
      </x:c>
      <x:c r="C77" s="47" t="str">
        <x:v>upperIceWaterlineBreadth</x:v>
      </x:c>
      <x:c r="D77" s="48" t="str">
        <x:v>https://w3id.org/nltl/vocab#upperIceWaterlineBreadth</x:v>
      </x:c>
      <x:c r="E77" s="47" t="str">
        <x:v>QuantityProperty</x:v>
      </x:c>
      <x:c r="F77" s="47" t="str"/>
      <x:c r="G77" s="47" t="str">
        <x:v>http://qudt.org/schema/qudt/QuantityValue</x:v>
      </x:c>
      <x:c r="H77" s="47" t="str">
        <x:v>http://qudt.org/vocab/unit/M</x:v>
      </x:c>
      <x:c r="I77" s="48" t="str">
        <x:v>linked by the locked 313-requirement index</x:v>
      </x:c>
      <x:c r="J77" s="47" t="n">
        <x:v>4</x:v>
      </x:c>
    </x:row>
    <x:row r="78">
      <x:c r="A78" s="49" t="str">
        <x:v>RUN-TRF-020-20260831T065135355151Z</x:v>
      </x:c>
      <x:c r="B78" s="49" t="str">
        <x:v>TRF-020</x:v>
      </x:c>
      <x:c r="C78" s="49" t="str">
        <x:v>upperIceWaterlineLength</x:v>
      </x:c>
      <x:c r="D78" s="50" t="str">
        <x:v>https://w3id.org/nltl/vocab#upperIceWaterlineLength</x:v>
      </x:c>
      <x:c r="E78" s="49" t="str">
        <x:v>QuantityProperty</x:v>
      </x:c>
      <x:c r="F78" s="49" t="str"/>
      <x:c r="G78" s="49" t="str">
        <x:v>http://qudt.org/schema/qudt/QuantityValue</x:v>
      </x:c>
      <x:c r="H78" s="49" t="str">
        <x:v>http://qudt.org/vocab/unit/M</x:v>
      </x:c>
      <x:c r="I78" s="50" t="str">
        <x:v>linked by the locked 313-requirement index</x:v>
      </x:c>
      <x:c r="J78" s="49" t="n">
        <x:v>4</x:v>
      </x:c>
    </x:row>
  </x:sheetData>
  <x:pageMargins left="0.7" right="0.7" top="0.75" bottom="0.75" header="0.3" footer="0.3"/>
  <x:tableParts count="1">
    <x:tablePart xmlns:r="http://schemas.openxmlformats.org/officeDocument/2006/relationships" r:id="Rb3153b230cfb498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RUN-TRF-020-20260831T065135355151Z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RUN-TRF-020-20260831T065135355151Z</x:v>
      </x:c>
      <x:c r="B5" s="45" t="str">
        <x:v>TRF-020</x:v>
      </x:c>
      <x:c r="C5" s="45" t="str">
        <x:v>FS-COMPLEX-READINESS-01</x:v>
      </x:c>
      <x:c r="D5" s="45" t="str">
        <x:v>complex_readiness_external_calculation</x:v>
      </x:c>
      <x:c r="E5" s="97" t="n">
        <x:v>2.057554</x:v>
      </x:c>
      <x:c r="F5" s="45" t="str">
        <x:v>calculation | complex | engineering | evidence | external | inputs | readiness | results</x:v>
      </x:c>
      <x:c r="G5" s="45" t="str">
        <x:v>synthetic-few-shot-not-benchmark-ground-truth</x:v>
      </x:c>
    </x:row>
    <x:row r="6">
      <x:c r="A6" s="49" t="str">
        <x:v>RUN-TRF-020-20260831T065135355151Z</x:v>
      </x:c>
      <x:c r="B6" s="49" t="str">
        <x:v>TRF-020</x:v>
      </x:c>
      <x:c r="C6" s="49" t="str">
        <x:v>FS-COMPLEX-READINESS-02</x:v>
      </x:c>
      <x:c r="D6" s="49" t="str">
        <x:v>complex_readiness_with_direct_residual_check</x:v>
      </x:c>
      <x:c r="E6" s="98" t="n">
        <x:v>2.034722</x:v>
      </x:c>
      <x:c r="F6" s="49" t="str">
        <x:v>complex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0670131bca5473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RUN-TRF-020-20260831T065135355151Z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RUN-TRF-020-20260831T065135355151Z</x:v>
      </x:c>
      <x:c r="B5" s="45" t="str">
        <x:v>TRF-020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https://w3id.org/nltl/vocab#brashIceChannelResistanceAtLowerIceWaterline | https://w3id.org/nltl/vocab#brashIceChannelResistanceAtUpperIceWaterline | https://w3id.org/nltl/vocab#constructionStageDate | https://w3id.org/nltl/vocab#controllablePitch | https://w3id.org/nltl/vocab#conventionalPropulsionSystem | https://w3id.org/nltl/vocab#electricPropulsionMachinery | https://w3id.org/nltl/vocab#engineOutputCoefficientKe | https://w3id.org/nltl/vocab#fixedPitch | https://w3id.org/nltl/vocab#hasLowerIceWaterline | https://w3id.org/nltl/vocab#hasUpperIceWaterline | https://w3id.org/nltl/vocab#hydraulicPropulsionMachinery | https://w3id.org/nltl/vocab#iceClass | https://w3id.org/nltl/vocab#iceClassIa | https://w3id.org/nltl/vocab#iceClassIaSuper | https://w3id.org/nltl/vocab#iceClassIb | https://w3id.org/nltl/vocab#iceClassIc | https://w3id.org/nltl/vocab#iceWaterline | https://w3id.org/nltl/vocab#maximumContinuousRatingPower | https://w3id.org/nltl/vocab#minimumRequiredPowerAtLowerIceWaterline | https://w3id.org/nltl/vocab#minimumRequiredPowerAtUpperIceWaterline | https://w3id.org/nltl/vocab#propellerCount | https://w3id.org/nltl/vocab#propellerDiameter | https://w3id.org/nltl/vocab#propellerPitchControlType | https://w3id.org/nltl/vocab#propulsionSystemType | https://w3id.org/nltl/vocab#ship | https://w3id.org/nltl/vocab#upperIceWaterlineBreadth | https://w3id.org/nltl/vocab#upperIceWaterlineLength</x:v>
      </x:c>
      <x:c r="O5" s="46" t="str"/>
      <x:c r="P5" s="46" t="str"/>
      <x:c r="Q5" s="46" t="str"/>
    </x:row>
    <x:row r="6">
      <x:c r="A6" s="47" t="str">
        <x:v>RUN-TRF-020-20260831T065135355151Z</x:v>
      </x:c>
      <x:c r="B6" s="47" t="str">
        <x:v>TRF-020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https://w3id.org/nltl/vocab#brashIceChannelResistanceAtLowerIceWaterline | https://w3id.org/nltl/vocab#brashIceChannelResistanceAtUpperIceWaterline | https://w3id.org/nltl/vocab#constructionStageDate | https://w3id.org/nltl/vocab#controllablePitch | https://w3id.org/nltl/vocab#conventionalPropulsionSystem | https://w3id.org/nltl/vocab#electricPropulsionMachinery | https://w3id.org/nltl/vocab#engineOutputCoefficientKe | https://w3id.org/nltl/vocab#fixedPitch | https://w3id.org/nltl/vocab#hasLowerIceWaterline | https://w3id.org/nltl/vocab#hasUpperIceWaterline | https://w3id.org/nltl/vocab#hydraulicPropulsionMachinery | https://w3id.org/nltl/vocab#iceClass | https://w3id.org/nltl/vocab#iceClassIa | https://w3id.org/nltl/vocab#iceClassIaSuper | https://w3id.org/nltl/vocab#iceClassIb | https://w3id.org/nltl/vocab#iceClassIc | https://w3id.org/nltl/vocab#iceClassValue | https://w3id.org/nltl/vocab#iceWaterline | https://w3id.org/nltl/vocab#maximumContinuousRatingPower | https://w3id.org/nltl/vocab#minimumRequiredPowerAtLowerIceWaterline | https://w3id.org/nltl/vocab#minimumRequiredPowerAtUpperIceWaterline | https://w3id.org/nltl/vocab#propellerCount | https://w3id.org/nltl/vocab#propellerDiameter | https://w3id.org/nltl/vocab#propellerPitchControlType | https://w3id.org/nltl/vocab#propulsionSystemType | https://w3id.org/nltl/vocab#ship | https://w3id.org/nltl/vocab#upperIceWaterlineBreadth | https://w3id.org/nltl/vocab#upperIceWaterlineLength</x:v>
      </x:c>
      <x:c r="O6" s="48" t="str"/>
      <x:c r="P6" s="48" t="str"/>
      <x:c r="Q6" s="48" t="str"/>
    </x:row>
    <x:row r="7">
      <x:c r="A7" s="47" t="str">
        <x:v>RUN-TRF-020-20260831T065135355151Z</x:v>
      </x:c>
      <x:c r="B7" s="47" t="str">
        <x:v>TRF-020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https://w3id.org/nltl/vocab#brashIceChannelResistanceAtLowerIceWaterline | https://w3id.org/nltl/vocab#brashIceChannelResistanceAtUpperIceWaterline | https://w3id.org/nltl/vocab#constructionStageDate | https://w3id.org/nltl/vocab#controllablePitch | https://w3id.org/nltl/vocab#conventionalPropulsionSystem | https://w3id.org/nltl/vocab#electricPropulsionMachinery | https://w3id.org/nltl/vocab#engineOutputCoefficientKe | https://w3id.org/nltl/vocab#fixedPitch | https://w3id.org/nltl/vocab#hasLowerIceWaterline | https://w3id.org/nltl/vocab#hasUpperIceWaterline | https://w3id.org/nltl/vocab#hydraulicPropulsionMachinery | https://w3id.org/nltl/vocab#iceClass | https://w3id.org/nltl/vocab#iceClassIa | https://w3id.org/nltl/vocab#iceClassIaSuper | https://w3id.org/nltl/vocab#iceClassIb | https://w3id.org/nltl/vocab#iceClassIc | https://w3id.org/nltl/vocab#iceClassValue | https://w3id.org/nltl/vocab#iceWaterline | https://w3id.org/nltl/vocab#maximumContinuousRatingPower | https://w3id.org/nltl/vocab#minimumRequiredPowerAtLowerIceWaterline | https://w3id.org/nltl/vocab#minimumRequiredPowerAtUpperIceWaterline | https://w3id.org/nltl/vocab#propellerCount | https://w3id.org/nltl/vocab#propellerDiameter | https://w3id.org/nltl/vocab#propellerPitchControlType | https://w3id.org/nltl/vocab#propellerPitchControlTypeValue | https://w3id.org/nltl/vocab#propulsionSystemType | https://w3id.org/nltl/vocab#propulsionSystemTypeValue | https://w3id.org/nltl/vocab#ship | https://w3id.org/nltl/vocab#upperIceWaterlineBreadth | https://w3id.org/nltl/vocab#upperIceWaterlineLength</x:v>
      </x:c>
      <x:c r="O7" s="48" t="str"/>
      <x:c r="P7" s="48" t="str"/>
      <x:c r="Q7" s="48" t="str"/>
    </x:row>
    <x:row r="8">
      <x:c r="A8" s="49" t="str">
        <x:v>RUN-TRF-020-20260831T065135355151Z</x:v>
      </x:c>
      <x:c r="B8" s="49" t="str">
        <x:v>TRF-020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https://w3id.org/nltl/vocab#brashIceChannelResistanceAtLowerIceWaterline | https://w3id.org/nltl/vocab#brashIceChannelResistanceAtUpperIceWaterline | https://w3id.org/nltl/vocab#constructionStageDate | https://w3id.org/nltl/vocab#controllablePitch | https://w3id.org/nltl/vocab#conventionalPropulsionSystem | https://w3id.org/nltl/vocab#electricPropulsionMachinery | https://w3id.org/nltl/vocab#engineOutputCoefficientKe | https://w3id.org/nltl/vocab#fixedPitch | https://w3id.org/nltl/vocab#hasLowerIceWaterline | https://w3id.org/nltl/vocab#hasUpperIceWaterline | https://w3id.org/nltl/vocab#hydraulicPropulsionMachinery | https://w3id.org/nltl/vocab#iceClass | https://w3id.org/nltl/vocab#iceClassIa | https://w3id.org/nltl/vocab#iceClassIaSuper | https://w3id.org/nltl/vocab#iceClassIb | https://w3id.org/nltl/vocab#iceClassIc | https://w3id.org/nltl/vocab#iceClassValue | https://w3id.org/nltl/vocab#iceWaterline | https://w3id.org/nltl/vocab#maximumContinuousRatingPower | https://w3id.org/nltl/vocab#minimumRequiredPowerAtLowerIceWaterline | https://w3id.org/nltl/vocab#minimumRequiredPowerAtUpperIceWaterline | https://w3id.org/nltl/vocab#propellerCount | https://w3id.org/nltl/vocab#propellerDiameter | https://w3id.org/nltl/vocab#propellerPitchControlType | https://w3id.org/nltl/vocab#propulsionSystemType | https://w3id.org/nltl/vocab#ship | https://w3id.org/nltl/vocab#upperIceWaterlineBreadth | https://w3id.org/nltl/vocab#upperIceWaterlineLength</x:v>
      </x:c>
      <x:c r="O8" s="50" t="str"/>
      <x:c r="P8" s="50" t="str"/>
      <x:c r="Q8" s="50" t="str"/>
    </x:row>
  </x:sheetData>
  <x:pageMargins left="0.7" right="0.7" top="0.75" bottom="0.75" header="0.3" footer="0.3"/>
  <x:tableParts count="1">
    <x:tablePart xmlns:r="http://schemas.openxmlformats.org/officeDocument/2006/relationships" r:id="R3e2d2939dbb5401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RUN-TRF-020-20260831T065135355151Z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RUN-TRF-020-20260831T065135355151Z</x:v>
      </x:c>
      <x:c r="B5" s="45" t="str">
        <x:v>TRF-020</x:v>
      </x:c>
      <x:c r="C5" s="58" t="n">
        <x:v>3</x:v>
      </x:c>
      <x:c r="D5" s="45" t="str">
        <x:v>matcher_search</x:v>
      </x:c>
      <x:c r="E5" s="46" t="str">
        <x:v>Preserve the corrected applicability alternatives and the upper-waterline ownership of upperIceWaterlineLength and upperIceWaterlineBreadth, but add the declared calculation/path structure that represents two separate UIWL and LIWL calculations: each must use its corresponding resistance input while both use the dimensions owned by the upper ice-waterline, and must produce the two required result terms. Also encode the Table 3-1 selection of engineOutputCoefficientKe from propeller count, pitch-control type, and propulsion-system type rather than accepting an arbitrary dimensionless value. The current shape is presence-only for the formula operands and does not establish these calculation relationships or table selection. Locate the canonical calculation/path and table-selection terms needed for this repair.</x:v>
      </x:c>
      <x:c r="F5" s="58" t="n">
        <x:v>9</x:v>
      </x:c>
      <x:c r="G5" s="45" t="str"/>
      <x:c r="H5" s="45" t="str"/>
      <x:c r="I5" s="46" t="str"/>
      <x:c r="J5" s="46" t="str"/>
    </x:row>
    <x:row r="6">
      <x:c r="A6" s="47" t="str">
        <x:v>RUN-TRF-020-20260831T065135355151Z</x:v>
      </x:c>
      <x:c r="B6" s="47" t="str">
        <x:v>TRF-020</x:v>
      </x:c>
      <x:c r="C6" s="59" t="n">
        <x:v>3</x:v>
      </x:c>
      <x:c r="D6" s="47" t="str">
        <x:v>matcher_decision</x:v>
      </x:c>
      <x:c r="E6" s="48" t="str"/>
      <x:c r="F6" s="59" t="str"/>
      <x:c r="G6" s="85" t="b">
        <x:v>1</x:v>
      </x:c>
      <x:c r="H6" s="47" t="str">
        <x:v>engineOutputCoefficientKe</x:v>
      </x:c>
      <x:c r="I6" s="48" t="str">
        <x:v>https://w3id.org/nltl/vocab#engineOutputCoefficientKe</x:v>
      </x:c>
      <x:c r="J6" s="48" t="str">
        <x:v>Use this exact term because it is the canonical unitless quantity property for the engine-output coefficient Ke that must be selected from Table 3-1 using propeller count, pitch-control type, and propulsion-system type.</x:v>
      </x:c>
    </x:row>
    <x:row r="7">
      <x:c r="A7" s="47" t="str">
        <x:v>RUN-TRF-020-20260831T065135355151Z</x:v>
      </x:c>
      <x:c r="B7" s="47" t="str">
        <x:v>TRF-020</x:v>
      </x:c>
      <x:c r="C7" s="59" t="n">
        <x:v>4</x:v>
      </x:c>
      <x:c r="D7" s="47" t="str">
        <x:v>matcher_search</x:v>
      </x:c>
      <x:c r="E7" s="48" t="str">
        <x:v>Preserve the corrected applicability alternatives and upper-waterline ownership. Add the canonical calculation/path and table-selection terms needed to represent two separate UIWL and LIWL readiness calculations: each must use its corresponding lower/upper resistance input, both must use upperIceWaterlineLength and upperIceWaterlineBreadth, and each must produce its declared result term. Add explicit datatype/unit validation for maximumContinuousRatingPower, which is currently referenced only by SPARQL. Replace the current Ke table query with an exact, complete, non-overlapping Table 3-1 selection; it currently permits wrong combinations (for example, electric or hydraulic propulsion with fixed pitch can satisfy either value) and does not faithfully encode the conventional-propulsion table. Do not add a reconstructed nonlinear formula; preserve the COMPLEX_READINESS boundary.</x:v>
      </x:c>
      <x:c r="F7" s="59" t="n">
        <x:v>8</x:v>
      </x:c>
      <x:c r="G7" s="47" t="str"/>
      <x:c r="H7" s="47" t="str"/>
      <x:c r="I7" s="48" t="str"/>
      <x:c r="J7" s="48" t="str"/>
    </x:row>
    <x:row r="8">
      <x:c r="A8" s="49" t="str">
        <x:v>RUN-TRF-020-20260831T065135355151Z</x:v>
      </x:c>
      <x:c r="B8" s="49" t="str">
        <x:v>TRF-020</x:v>
      </x:c>
      <x:c r="C8" s="60" t="n">
        <x:v>4</x:v>
      </x:c>
      <x:c r="D8" s="49" t="str">
        <x:v>matcher_decision</x:v>
      </x:c>
      <x:c r="E8" s="50" t="str"/>
      <x:c r="F8" s="60" t="str"/>
      <x:c r="G8" s="87" t="b">
        <x:v>1</x:v>
      </x:c>
      <x:c r="H8" s="49" t="str">
        <x:v>maximumContinuousRatingPower</x:v>
      </x:c>
      <x:c r="I8" s="50" t="str">
        <x:v>https://w3id.org/nltl/vocab#maximumContinuousRatingPower</x:v>
      </x:c>
      <x:c r="J8" s="50" t="str">
        <x:v>Use this exact term because the requirement directly compares maximum continuous rating power against both calculated minimum powers, and this canonical QuantityProperty has the required QuantityValue range and kilowatt unit for explicit datatype and unit validation.</x:v>
      </x:c>
    </x:row>
  </x:sheetData>
  <x:pageMargins left="0.7" right="0.7" top="0.75" bottom="0.75" header="0.3" footer="0.3"/>
  <x:tableParts count="1">
    <x:tablePart xmlns:r="http://schemas.openxmlformats.org/officeDocument/2006/relationships" r:id="Rbcef3ba6c9f14fc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RUN-TRF-020-20260831T065135355151Z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RUN-TRF-020-20260831T065135355151Z</x:v>
      </x:c>
      <x:c r="B5" s="45" t="str">
        <x:v>TRF-020</x:v>
      </x:c>
      <x:c r="C5" s="58"/>
      <x:c r="D5" s="45" t="str">
        <x:v>initial_context_pack</x:v>
      </x:c>
      <x:c r="E5" s="46" t="str">
        <x:v>artifacts/context_pack_initial.json</x:v>
      </x:c>
      <x:c r="F5" s="45" t="str">
        <x:v>357028f3a7f46748481e836274ecdc37dc6d7b0f5caa8c4edc5c0f29ff36ee23</x:v>
      </x:c>
      <x:c r="G5" s="58" t="n">
        <x:v>50392</x:v>
      </x:c>
    </x:row>
    <x:row r="6">
      <x:c r="A6" s="47" t="str">
        <x:v>RUN-TRF-020-20260831T065135355151Z</x:v>
      </x:c>
      <x:c r="B6" s="47" t="str">
        <x:v>TRF-020</x:v>
      </x:c>
      <x:c r="C6" s="59"/>
      <x:c r="D6" s="47" t="str">
        <x:v>few_shot_selection</x:v>
      </x:c>
      <x:c r="E6" s="48" t="str">
        <x:v>artifacts/few_shots_selected.json</x:v>
      </x:c>
      <x:c r="F6" s="47" t="str">
        <x:v>563231127d67b8f390195b01633b313eb09ab15e47c1b9984459501f7da53ae3</x:v>
      </x:c>
      <x:c r="G6" s="59" t="n">
        <x:v>6569</x:v>
      </x:c>
    </x:row>
    <x:row r="7">
      <x:c r="A7" s="47" t="str">
        <x:v>RUN-TRF-020-20260831T065135355151Z</x:v>
      </x:c>
      <x:c r="B7" s="47" t="str">
        <x:v>TRF-020</x:v>
      </x:c>
      <x:c r="C7" s="59" t="n">
        <x:v>1</x:v>
      </x:c>
      <x:c r="D7" s="47" t="str">
        <x:v>generator_prompt</x:v>
      </x:c>
      <x:c r="E7" s="48" t="str">
        <x:v>artifacts/attempt_01/generator_prompt.txt</x:v>
      </x:c>
      <x:c r="F7" s="47" t="str">
        <x:v>1ffb2983dc6def41b33f2ed4f6c55354ce028bbc7257d66876c48e6343b01e87</x:v>
      </x:c>
      <x:c r="G7" s="59" t="n">
        <x:v>68607</x:v>
      </x:c>
    </x:row>
    <x:row r="8">
      <x:c r="A8" s="47" t="str">
        <x:v>RUN-TRF-020-20260831T065135355151Z</x:v>
      </x:c>
      <x:c r="B8" s="47" t="str">
        <x:v>TRF-020</x:v>
      </x:c>
      <x:c r="C8" s="59" t="n">
        <x:v>1</x:v>
      </x:c>
      <x:c r="D8" s="47" t="str">
        <x:v>generator_raw_response</x:v>
      </x:c>
      <x:c r="E8" s="48" t="str">
        <x:v>artifacts/attempt_01/generator_raw.txt</x:v>
      </x:c>
      <x:c r="F8" s="47" t="str">
        <x:v>985a8a310658542604aa647cda3c9ed79e5cfd03cd96848bbd3b50e05003ded0</x:v>
      </x:c>
      <x:c r="G8" s="59" t="n">
        <x:v>11403</x:v>
      </x:c>
    </x:row>
    <x:row r="9">
      <x:c r="A9" s="47" t="str">
        <x:v>RUN-TRF-020-20260831T065135355151Z</x:v>
      </x:c>
      <x:c r="B9" s="47" t="str">
        <x:v>TRF-020</x:v>
      </x:c>
      <x:c r="C9" s="59" t="n">
        <x:v>1</x:v>
      </x:c>
      <x:c r="D9" s="47" t="str">
        <x:v>syntax_repair_prompt</x:v>
      </x:c>
      <x:c r="E9" s="48" t="str">
        <x:v>artifacts/attempt_01/syntax_repair_prompt_01.txt</x:v>
      </x:c>
      <x:c r="F9" s="47" t="str">
        <x:v>e4c6b6a0898c0bd1bde216326bcd60c21509bf388c43b9c7540e96d73e9b0f6b</x:v>
      </x:c>
      <x:c r="G9" s="59" t="n">
        <x:v>12943</x:v>
      </x:c>
    </x:row>
    <x:row r="10">
      <x:c r="A10" s="47" t="str">
        <x:v>RUN-TRF-020-20260831T065135355151Z</x:v>
      </x:c>
      <x:c r="B10" s="47" t="str">
        <x:v>TRF-020</x:v>
      </x:c>
      <x:c r="C10" s="59" t="n">
        <x:v>1</x:v>
      </x:c>
      <x:c r="D10" s="47" t="str">
        <x:v>syntax_repair_raw_response</x:v>
      </x:c>
      <x:c r="E10" s="48" t="str">
        <x:v>artifacts/attempt_01/syntax_repair_raw_01.txt</x:v>
      </x:c>
      <x:c r="F10" s="47" t="str">
        <x:v>83a2abd05594b0fed3d626a1fa984c9b44de3bf910102a8531166242d41532b2</x:v>
      </x:c>
      <x:c r="G10" s="59" t="n">
        <x:v>11399</x:v>
      </x:c>
    </x:row>
    <x:row r="11">
      <x:c r="A11" s="47" t="str">
        <x:v>RUN-TRF-020-20260831T065135355151Z</x:v>
      </x:c>
      <x:c r="B11" s="47" t="str">
        <x:v>TRF-020</x:v>
      </x:c>
      <x:c r="C11" s="59" t="n">
        <x:v>1</x:v>
      </x:c>
      <x:c r="D11" s="47" t="str">
        <x:v>candidate_shape</x:v>
      </x:c>
      <x:c r="E11" s="48" t="str">
        <x:v>artifacts/attempt_01/candidate_shape.ttl</x:v>
      </x:c>
      <x:c r="F11" s="47" t="str">
        <x:v>68ddab106f9272bf0b320cd055bcb1372b866b7f21e19c9c13f56556b7ed9b2a</x:v>
      </x:c>
      <x:c r="G11" s="59" t="n">
        <x:v>11374</x:v>
      </x:c>
    </x:row>
    <x:row r="12">
      <x:c r="A12" s="47" t="str">
        <x:v>RUN-TRF-020-20260831T065135355151Z</x:v>
      </x:c>
      <x:c r="B12" s="47" t="str">
        <x:v>TRF-020</x:v>
      </x:c>
      <x:c r="C12" s="59" t="n">
        <x:v>1</x:v>
      </x:c>
      <x:c r="D12" s="47" t="str">
        <x:v>deterministic_validation</x:v>
      </x:c>
      <x:c r="E12" s="48" t="str">
        <x:v>artifacts/attempt_01/deterministic_validation.json</x:v>
      </x:c>
      <x:c r="F12" s="47" t="str">
        <x:v>65afd27fa124ceb2d6a9323157ea36691a7556e12376f65c28aeff1218adae53</x:v>
      </x:c>
      <x:c r="G12" s="59" t="n">
        <x:v>1943</x:v>
      </x:c>
    </x:row>
    <x:row r="13">
      <x:c r="A13" s="47" t="str">
        <x:v>RUN-TRF-020-20260831T065135355151Z</x:v>
      </x:c>
      <x:c r="B13" s="47" t="str">
        <x:v>TRF-020</x:v>
      </x:c>
      <x:c r="C13" s="59" t="n">
        <x:v>1</x:v>
      </x:c>
      <x:c r="D13" s="47" t="str">
        <x:v>validator_prompt</x:v>
      </x:c>
      <x:c r="E13" s="48" t="str">
        <x:v>artifacts/attempt_01/validator_prompt_01.txt</x:v>
      </x:c>
      <x:c r="F13" s="47" t="str">
        <x:v>555a6c15c0b41a8963ec40d81e36101bc197db5632f0dfc98735aae8d8df928c</x:v>
      </x:c>
      <x:c r="G13" s="59" t="n">
        <x:v>80308</x:v>
      </x:c>
    </x:row>
    <x:row r="14">
      <x:c r="A14" s="47" t="str">
        <x:v>RUN-TRF-020-20260831T065135355151Z</x:v>
      </x:c>
      <x:c r="B14" s="47" t="str">
        <x:v>TRF-020</x:v>
      </x:c>
      <x:c r="C14" s="59" t="n">
        <x:v>1</x:v>
      </x:c>
      <x:c r="D14" s="47" t="str">
        <x:v>validator_raw_response</x:v>
      </x:c>
      <x:c r="E14" s="48" t="str">
        <x:v>artifacts/attempt_01/validator_raw_01.txt</x:v>
      </x:c>
      <x:c r="F14" s="47" t="str">
        <x:v>f7df669c0eecb780510deac7ee7ddc6a7ef11edab4fba1577252309ef6cf9fb8</x:v>
      </x:c>
      <x:c r="G14" s="59" t="n">
        <x:v>882</x:v>
      </x:c>
    </x:row>
    <x:row r="15">
      <x:c r="A15" s="47" t="str">
        <x:v>RUN-TRF-020-20260831T065135355151Z</x:v>
      </x:c>
      <x:c r="B15" s="47" t="str">
        <x:v>TRF-020</x:v>
      </x:c>
      <x:c r="C15" s="59" t="n">
        <x:v>2</x:v>
      </x:c>
      <x:c r="D15" s="47" t="str">
        <x:v>generator_prompt</x:v>
      </x:c>
      <x:c r="E15" s="48" t="str">
        <x:v>artifacts/attempt_02/generator_prompt.txt</x:v>
      </x:c>
      <x:c r="F15" s="47" t="str">
        <x:v>a8621a171e9e0479afa87c72dd66f359b9fd4bcc8ad5049d7b86f6e9f6fb89ee</x:v>
      </x:c>
      <x:c r="G15" s="59" t="n">
        <x:v>69424</x:v>
      </x:c>
    </x:row>
    <x:row r="16">
      <x:c r="A16" s="47" t="str">
        <x:v>RUN-TRF-020-20260831T065135355151Z</x:v>
      </x:c>
      <x:c r="B16" s="47" t="str">
        <x:v>TRF-020</x:v>
      </x:c>
      <x:c r="C16" s="59" t="n">
        <x:v>2</x:v>
      </x:c>
      <x:c r="D16" s="47" t="str">
        <x:v>generator_raw_response</x:v>
      </x:c>
      <x:c r="E16" s="48" t="str">
        <x:v>artifacts/attempt_02/generator_raw.txt</x:v>
      </x:c>
      <x:c r="F16" s="47" t="str">
        <x:v>5f66ef948dd3a5b6d84a5962e6c7d3c668f315480fabd9c768fecd7809ff61ef</x:v>
      </x:c>
      <x:c r="G16" s="59" t="n">
        <x:v>11226</x:v>
      </x:c>
    </x:row>
    <x:row r="17">
      <x:c r="A17" s="47" t="str">
        <x:v>RUN-TRF-020-20260831T065135355151Z</x:v>
      </x:c>
      <x:c r="B17" s="47" t="str">
        <x:v>TRF-020</x:v>
      </x:c>
      <x:c r="C17" s="59" t="n">
        <x:v>2</x:v>
      </x:c>
      <x:c r="D17" s="47" t="str">
        <x:v>candidate_shape</x:v>
      </x:c>
      <x:c r="E17" s="48" t="str">
        <x:v>artifacts/attempt_02/candidate_shape.ttl</x:v>
      </x:c>
      <x:c r="F17" s="47" t="str">
        <x:v>892fecf7b9821a4e835790a8682644450c2e076f93c47cbc5eea4155c729b652</x:v>
      </x:c>
      <x:c r="G17" s="59" t="n">
        <x:v>11201</x:v>
      </x:c>
    </x:row>
    <x:row r="18">
      <x:c r="A18" s="47" t="str">
        <x:v>RUN-TRF-020-20260831T065135355151Z</x:v>
      </x:c>
      <x:c r="B18" s="47" t="str">
        <x:v>TRF-020</x:v>
      </x:c>
      <x:c r="C18" s="59" t="n">
        <x:v>2</x:v>
      </x:c>
      <x:c r="D18" s="47" t="str">
        <x:v>deterministic_validation</x:v>
      </x:c>
      <x:c r="E18" s="48" t="str">
        <x:v>artifacts/attempt_02/deterministic_validation.json</x:v>
      </x:c>
      <x:c r="F18" s="47" t="str">
        <x:v>373a4de7c8f8ed6fda73bc25ef9230faeb8e55dce95e5a6ee5c117953a31a4a7</x:v>
      </x:c>
      <x:c r="G18" s="59" t="n">
        <x:v>1992</x:v>
      </x:c>
    </x:row>
    <x:row r="19">
      <x:c r="A19" s="47" t="str">
        <x:v>RUN-TRF-020-20260831T065135355151Z</x:v>
      </x:c>
      <x:c r="B19" s="47" t="str">
        <x:v>TRF-020</x:v>
      </x:c>
      <x:c r="C19" s="59" t="n">
        <x:v>2</x:v>
      </x:c>
      <x:c r="D19" s="47" t="str">
        <x:v>validator_prompt</x:v>
      </x:c>
      <x:c r="E19" s="48" t="str">
        <x:v>artifacts/attempt_02/validator_prompt_01.txt</x:v>
      </x:c>
      <x:c r="F19" s="47" t="str">
        <x:v>9a9ae5b34a340098d9bc1b662b35abeaa4ea772f3e3bf054f5985911653fcc6f</x:v>
      </x:c>
      <x:c r="G19" s="59" t="n">
        <x:v>81274</x:v>
      </x:c>
    </x:row>
    <x:row r="20">
      <x:c r="A20" s="47" t="str">
        <x:v>RUN-TRF-020-20260831T065135355151Z</x:v>
      </x:c>
      <x:c r="B20" s="47" t="str">
        <x:v>TRF-020</x:v>
      </x:c>
      <x:c r="C20" s="59" t="n">
        <x:v>2</x:v>
      </x:c>
      <x:c r="D20" s="47" t="str">
        <x:v>validator_raw_response</x:v>
      </x:c>
      <x:c r="E20" s="48" t="str">
        <x:v>artifacts/attempt_02/validator_raw_01.txt</x:v>
      </x:c>
      <x:c r="F20" s="47" t="str">
        <x:v>f76081ea6aa34c5e51724363b1e432e98ae5d5d0acfb74a27528ddbb0b9c7bf7</x:v>
      </x:c>
      <x:c r="G20" s="59" t="n">
        <x:v>621</x:v>
      </x:c>
    </x:row>
    <x:row r="21">
      <x:c r="A21" s="47" t="str">
        <x:v>RUN-TRF-020-20260831T065135355151Z</x:v>
      </x:c>
      <x:c r="B21" s="47" t="str">
        <x:v>TRF-020</x:v>
      </x:c>
      <x:c r="C21" s="59" t="n">
        <x:v>3</x:v>
      </x:c>
      <x:c r="D21" s="47" t="str">
        <x:v>generator_prompt</x:v>
      </x:c>
      <x:c r="E21" s="48" t="str">
        <x:v>artifacts/attempt_03/generator_prompt.txt</x:v>
      </x:c>
      <x:c r="F21" s="47" t="str">
        <x:v>f4ad1fe3f0bb21099e873490071e8380fe54d5b35a4a26d6fd34aa18ae0875ec</x:v>
      </x:c>
      <x:c r="G21" s="59" t="n">
        <x:v>69988</x:v>
      </x:c>
    </x:row>
    <x:row r="22">
      <x:c r="A22" s="47" t="str">
        <x:v>RUN-TRF-020-20260831T065135355151Z</x:v>
      </x:c>
      <x:c r="B22" s="47" t="str">
        <x:v>TRF-020</x:v>
      </x:c>
      <x:c r="C22" s="59" t="n">
        <x:v>3</x:v>
      </x:c>
      <x:c r="D22" s="47" t="str">
        <x:v>generator_raw_response</x:v>
      </x:c>
      <x:c r="E22" s="48" t="str">
        <x:v>artifacts/attempt_03/generator_raw.txt</x:v>
      </x:c>
      <x:c r="F22" s="47" t="str">
        <x:v>31fe8449f54291e5479af81b404937e500bf837dabdb873d21f0b021080abd00</x:v>
      </x:c>
      <x:c r="G22" s="59" t="n">
        <x:v>9835</x:v>
      </x:c>
    </x:row>
    <x:row r="23">
      <x:c r="A23" s="47" t="str">
        <x:v>RUN-TRF-020-20260831T065135355151Z</x:v>
      </x:c>
      <x:c r="B23" s="47" t="str">
        <x:v>TRF-020</x:v>
      </x:c>
      <x:c r="C23" s="59" t="n">
        <x:v>3</x:v>
      </x:c>
      <x:c r="D23" s="47" t="str">
        <x:v>candidate_shape</x:v>
      </x:c>
      <x:c r="E23" s="48" t="str">
        <x:v>artifacts/attempt_03/candidate_shape.ttl</x:v>
      </x:c>
      <x:c r="F23" s="47" t="str">
        <x:v>d0ee15ea5d9f7f17c80317b7c2a0b094a86aa7f5162c7b4f702f80cc182b055a</x:v>
      </x:c>
      <x:c r="G23" s="59" t="n">
        <x:v>9810</x:v>
      </x:c>
    </x:row>
    <x:row r="24">
      <x:c r="A24" s="47" t="str">
        <x:v>RUN-TRF-020-20260831T065135355151Z</x:v>
      </x:c>
      <x:c r="B24" s="47" t="str">
        <x:v>TRF-020</x:v>
      </x:c>
      <x:c r="C24" s="59" t="n">
        <x:v>3</x:v>
      </x:c>
      <x:c r="D24" s="47" t="str">
        <x:v>deterministic_validation</x:v>
      </x:c>
      <x:c r="E24" s="48" t="str">
        <x:v>artifacts/attempt_03/deterministic_validation.json</x:v>
      </x:c>
      <x:c r="F24" s="47" t="str">
        <x:v>4b5838536a8675ff825f15d27cd4dee2b43c0783252d79ac53f81a1c9764ba3d</x:v>
      </x:c>
      <x:c r="G24" s="59" t="n">
        <x:v>2119</x:v>
      </x:c>
    </x:row>
    <x:row r="25">
      <x:c r="A25" s="47" t="str">
        <x:v>RUN-TRF-020-20260831T065135355151Z</x:v>
      </x:c>
      <x:c r="B25" s="47" t="str">
        <x:v>TRF-020</x:v>
      </x:c>
      <x:c r="C25" s="59" t="n">
        <x:v>3</x:v>
      </x:c>
      <x:c r="D25" s="47" t="str">
        <x:v>validator_prompt</x:v>
      </x:c>
      <x:c r="E25" s="48" t="str">
        <x:v>artifacts/attempt_03/validator_prompt_01.txt</x:v>
      </x:c>
      <x:c r="F25" s="47" t="str">
        <x:v>3052880c10e43c181cf2047dd2676a00b443bcd7c344264cfa000ed90165bb30</x:v>
      </x:c>
      <x:c r="G25" s="59" t="n">
        <x:v>81230</x:v>
      </x:c>
    </x:row>
    <x:row r="26">
      <x:c r="A26" s="47" t="str">
        <x:v>RUN-TRF-020-20260831T065135355151Z</x:v>
      </x:c>
      <x:c r="B26" s="47" t="str">
        <x:v>TRF-020</x:v>
      </x:c>
      <x:c r="C26" s="59" t="n">
        <x:v>3</x:v>
      </x:c>
      <x:c r="D26" s="47" t="str">
        <x:v>validator_raw_response</x:v>
      </x:c>
      <x:c r="E26" s="48" t="str">
        <x:v>artifacts/attempt_03/validator_raw_01.txt</x:v>
      </x:c>
      <x:c r="F26" s="47" t="str">
        <x:v>b9b7be46fa8b5ea3ed6b154f9d7ad0cbda488b73c7294f526b1acff033c4baa9</x:v>
      </x:c>
      <x:c r="G26" s="59" t="n">
        <x:v>882</x:v>
      </x:c>
    </x:row>
    <x:row r="27">
      <x:c r="A27" s="47" t="str">
        <x:v>RUN-TRF-020-20260831T065135355151Z</x:v>
      </x:c>
      <x:c r="B27" s="47" t="str">
        <x:v>TRF-020</x:v>
      </x:c>
      <x:c r="C27" s="59" t="n">
        <x:v>3</x:v>
      </x:c>
      <x:c r="D27" s="47" t="str">
        <x:v>matcher_candidates</x:v>
      </x:c>
      <x:c r="E27" s="48" t="str">
        <x:v>artifacts/attempt_03/matcher_candidates.json</x:v>
      </x:c>
      <x:c r="F27" s="47" t="str">
        <x:v>9dc49021f33e2d5bfdf622456bbbeb137299a6f913dd09300dfbbbabf9283b13</x:v>
      </x:c>
      <x:c r="G27" s="59" t="n">
        <x:v>6559</x:v>
      </x:c>
    </x:row>
    <x:row r="28">
      <x:c r="A28" s="47" t="str">
        <x:v>RUN-TRF-020-20260831T065135355151Z</x:v>
      </x:c>
      <x:c r="B28" s="47" t="str">
        <x:v>TRF-020</x:v>
      </x:c>
      <x:c r="C28" s="59" t="n">
        <x:v>3</x:v>
      </x:c>
      <x:c r="D28" s="47" t="str">
        <x:v>vocabulary_matcher_prompt</x:v>
      </x:c>
      <x:c r="E28" s="48" t="str">
        <x:v>artifacts/attempt_03/vocabulary_matcher_prompt_01.txt</x:v>
      </x:c>
      <x:c r="F28" s="47" t="str">
        <x:v>f2f05b1f69bea06a3dc4c80f14a20910a5ace5e916188a4febb8f7dd44b9a23a</x:v>
      </x:c>
      <x:c r="G28" s="59" t="n">
        <x:v>16447</x:v>
      </x:c>
    </x:row>
    <x:row r="29">
      <x:c r="A29" s="47" t="str">
        <x:v>RUN-TRF-020-20260831T065135355151Z</x:v>
      </x:c>
      <x:c r="B29" s="47" t="str">
        <x:v>TRF-020</x:v>
      </x:c>
      <x:c r="C29" s="59" t="n">
        <x:v>3</x:v>
      </x:c>
      <x:c r="D29" s="47" t="str">
        <x:v>vocabulary_matcher_raw_response</x:v>
      </x:c>
      <x:c r="E29" s="48" t="str">
        <x:v>artifacts/attempt_03/vocabulary_matcher_raw_01.txt</x:v>
      </x:c>
      <x:c r="F29" s="47" t="str">
        <x:v>ed45940f1f09d077b251f17cd1680d9b60955bcfcb4eef8a7dea0221867d4e45</x:v>
      </x:c>
      <x:c r="G29" s="59" t="n">
        <x:v>385</x:v>
      </x:c>
    </x:row>
    <x:row r="30">
      <x:c r="A30" s="47" t="str">
        <x:v>RUN-TRF-020-20260831T065135355151Z</x:v>
      </x:c>
      <x:c r="B30" s="47" t="str">
        <x:v>TRF-020</x:v>
      </x:c>
      <x:c r="C30" s="59" t="n">
        <x:v>4</x:v>
      </x:c>
      <x:c r="D30" s="47" t="str">
        <x:v>expanded_context_pack</x:v>
      </x:c>
      <x:c r="E30" s="48" t="str">
        <x:v>artifacts/attempt_04/context_pack_expanded.json</x:v>
      </x:c>
      <x:c r="F30" s="47" t="str">
        <x:v>6ee5d03ddcb3ceba06a7d9f7482bb38c6c6c83989447d3c8646547546891f4e5</x:v>
      </x:c>
      <x:c r="G30" s="59" t="n">
        <x:v>50430</x:v>
      </x:c>
    </x:row>
    <x:row r="31">
      <x:c r="A31" s="47" t="str">
        <x:v>RUN-TRF-020-20260831T065135355151Z</x:v>
      </x:c>
      <x:c r="B31" s="47" t="str">
        <x:v>TRF-020</x:v>
      </x:c>
      <x:c r="C31" s="59" t="n">
        <x:v>4</x:v>
      </x:c>
      <x:c r="D31" s="47" t="str">
        <x:v>generator_prompt</x:v>
      </x:c>
      <x:c r="E31" s="48" t="str">
        <x:v>artifacts/attempt_04/generator_prompt.txt</x:v>
      </x:c>
      <x:c r="F31" s="47" t="str">
        <x:v>1daa29817ee906e31841123532d583326d058917b0859f3ff9e24bf0bc42897e</x:v>
      </x:c>
      <x:c r="G31" s="59" t="n">
        <x:v>71173</x:v>
      </x:c>
    </x:row>
    <x:row r="32">
      <x:c r="A32" s="47" t="str">
        <x:v>RUN-TRF-020-20260831T065135355151Z</x:v>
      </x:c>
      <x:c r="B32" s="47" t="str">
        <x:v>TRF-020</x:v>
      </x:c>
      <x:c r="C32" s="59" t="n">
        <x:v>4</x:v>
      </x:c>
      <x:c r="D32" s="47" t="str">
        <x:v>generator_raw_response</x:v>
      </x:c>
      <x:c r="E32" s="48" t="str">
        <x:v>artifacts/attempt_04/generator_raw.txt</x:v>
      </x:c>
      <x:c r="F32" s="47" t="str">
        <x:v>f3e35ddde5323954ae4bae6f36b8b431bfd2734d1ee84994724038e7f8fbb33c</x:v>
      </x:c>
      <x:c r="G32" s="59" t="n">
        <x:v>11312</x:v>
      </x:c>
    </x:row>
    <x:row r="33">
      <x:c r="A33" s="47" t="str">
        <x:v>RUN-TRF-020-20260831T065135355151Z</x:v>
      </x:c>
      <x:c r="B33" s="47" t="str">
        <x:v>TRF-020</x:v>
      </x:c>
      <x:c r="C33" s="59" t="n">
        <x:v>4</x:v>
      </x:c>
      <x:c r="D33" s="47" t="str">
        <x:v>syntax_repair_prompt</x:v>
      </x:c>
      <x:c r="E33" s="48" t="str">
        <x:v>artifacts/attempt_04/syntax_repair_prompt_01.txt</x:v>
      </x:c>
      <x:c r="F33" s="47" t="str">
        <x:v>5e283623a50d8a9d37f36e8840895b379d6a1837c05976c4ab8c6bc6f9a4cf11</x:v>
      </x:c>
      <x:c r="G33" s="59" t="n">
        <x:v>52252</x:v>
      </x:c>
    </x:row>
    <x:row r="34">
      <x:c r="A34" s="47" t="str">
        <x:v>RUN-TRF-020-20260831T065135355151Z</x:v>
      </x:c>
      <x:c r="B34" s="47" t="str">
        <x:v>TRF-020</x:v>
      </x:c>
      <x:c r="C34" s="59" t="n">
        <x:v>4</x:v>
      </x:c>
      <x:c r="D34" s="47" t="str">
        <x:v>syntax_repair_raw_response</x:v>
      </x:c>
      <x:c r="E34" s="48" t="str">
        <x:v>artifacts/attempt_04/syntax_repair_raw_01.txt</x:v>
      </x:c>
      <x:c r="F34" s="47" t="str">
        <x:v>d8043421f0de844040238a79d829cae21284a74865156079aa77a90fab375350</x:v>
      </x:c>
      <x:c r="G34" s="59" t="n">
        <x:v>11276</x:v>
      </x:c>
    </x:row>
    <x:row r="35">
      <x:c r="A35" s="47" t="str">
        <x:v>RUN-TRF-020-20260831T065135355151Z</x:v>
      </x:c>
      <x:c r="B35" s="47" t="str">
        <x:v>TRF-020</x:v>
      </x:c>
      <x:c r="C35" s="59" t="n">
        <x:v>4</x:v>
      </x:c>
      <x:c r="D35" s="47" t="str">
        <x:v>candidate_shape</x:v>
      </x:c>
      <x:c r="E35" s="48" t="str">
        <x:v>artifacts/attempt_04/candidate_shape.ttl</x:v>
      </x:c>
      <x:c r="F35" s="47" t="str">
        <x:v>1709d56968499c12fe86fe279da294d9dde764e1a34cf67a61996aa37d81cf51</x:v>
      </x:c>
      <x:c r="G35" s="59" t="n">
        <x:v>11251</x:v>
      </x:c>
    </x:row>
    <x:row r="36">
      <x:c r="A36" s="47" t="str">
        <x:v>RUN-TRF-020-20260831T065135355151Z</x:v>
      </x:c>
      <x:c r="B36" s="47" t="str">
        <x:v>TRF-020</x:v>
      </x:c>
      <x:c r="C36" s="59" t="n">
        <x:v>4</x:v>
      </x:c>
      <x:c r="D36" s="47" t="str">
        <x:v>deterministic_validation</x:v>
      </x:c>
      <x:c r="E36" s="48" t="str">
        <x:v>artifacts/attempt_04/deterministic_validation.json</x:v>
      </x:c>
      <x:c r="F36" s="47" t="str">
        <x:v>373a4de7c8f8ed6fda73bc25ef9230faeb8e55dce95e5a6ee5c117953a31a4a7</x:v>
      </x:c>
      <x:c r="G36" s="59" t="n">
        <x:v>1992</x:v>
      </x:c>
    </x:row>
    <x:row r="37">
      <x:c r="A37" s="47" t="str">
        <x:v>RUN-TRF-020-20260831T065135355151Z</x:v>
      </x:c>
      <x:c r="B37" s="47" t="str">
        <x:v>TRF-020</x:v>
      </x:c>
      <x:c r="C37" s="59" t="n">
        <x:v>4</x:v>
      </x:c>
      <x:c r="D37" s="47" t="str">
        <x:v>validator_prompt</x:v>
      </x:c>
      <x:c r="E37" s="48" t="str">
        <x:v>artifacts/attempt_04/validator_prompt_01.txt</x:v>
      </x:c>
      <x:c r="F37" s="47" t="str">
        <x:v>8b0311eb10293887004ceebb7e06323eaf921c7151bfa986ad327ce9c2035352</x:v>
      </x:c>
      <x:c r="G37" s="59" t="n">
        <x:v>83072</x:v>
      </x:c>
    </x:row>
    <x:row r="38">
      <x:c r="A38" s="47" t="str">
        <x:v>RUN-TRF-020-20260831T065135355151Z</x:v>
      </x:c>
      <x:c r="B38" s="47" t="str">
        <x:v>TRF-020</x:v>
      </x:c>
      <x:c r="C38" s="59" t="n">
        <x:v>4</x:v>
      </x:c>
      <x:c r="D38" s="47" t="str">
        <x:v>validator_raw_response</x:v>
      </x:c>
      <x:c r="E38" s="48" t="str">
        <x:v>artifacts/attempt_04/validator_raw_01.txt</x:v>
      </x:c>
      <x:c r="F38" s="47" t="str">
        <x:v>99a9a3b2a6989ca2dfeb232bb15625bc5e49210b1be6111cb18be189539d71bd</x:v>
      </x:c>
      <x:c r="G38" s="59" t="n">
        <x:v>951</x:v>
      </x:c>
    </x:row>
    <x:row r="39">
      <x:c r="A39" s="47" t="str">
        <x:v>RUN-TRF-020-20260831T065135355151Z</x:v>
      </x:c>
      <x:c r="B39" s="47" t="str">
        <x:v>TRF-020</x:v>
      </x:c>
      <x:c r="C39" s="59" t="n">
        <x:v>4</x:v>
      </x:c>
      <x:c r="D39" s="47" t="str">
        <x:v>matcher_candidates</x:v>
      </x:c>
      <x:c r="E39" s="48" t="str">
        <x:v>artifacts/attempt_04/matcher_candidates.json</x:v>
      </x:c>
      <x:c r="F39" s="47" t="str">
        <x:v>99d26f8b60f23d33a092a1734448866879e9334a6fa067eb9eec911c8b220e4f</x:v>
      </x:c>
      <x:c r="G39" s="59" t="n">
        <x:v>6019</x:v>
      </x:c>
    </x:row>
    <x:row r="40">
      <x:c r="A40" s="47" t="str">
        <x:v>RUN-TRF-020-20260831T065135355151Z</x:v>
      </x:c>
      <x:c r="B40" s="47" t="str">
        <x:v>TRF-020</x:v>
      </x:c>
      <x:c r="C40" s="59" t="n">
        <x:v>4</x:v>
      </x:c>
      <x:c r="D40" s="47" t="str">
        <x:v>vocabulary_matcher_prompt</x:v>
      </x:c>
      <x:c r="E40" s="48" t="str">
        <x:v>artifacts/attempt_04/vocabulary_matcher_prompt_01.txt</x:v>
      </x:c>
      <x:c r="F40" s="47" t="str">
        <x:v>35f92776dc6b4dab6e95f50142585c9818f8b11467fd8484b6193ba6b788e115</x:v>
      </x:c>
      <x:c r="G40" s="59" t="n">
        <x:v>15936</x:v>
      </x:c>
    </x:row>
    <x:row r="41">
      <x:c r="A41" s="49" t="str">
        <x:v>RUN-TRF-020-20260831T065135355151Z</x:v>
      </x:c>
      <x:c r="B41" s="49" t="str">
        <x:v>TRF-020</x:v>
      </x:c>
      <x:c r="C41" s="60" t="n">
        <x:v>4</x:v>
      </x:c>
      <x:c r="D41" s="49" t="str">
        <x:v>vocabulary_matcher_raw_response</x:v>
      </x:c>
      <x:c r="E41" s="50" t="str">
        <x:v>artifacts/attempt_04/vocabulary_matcher_raw_01.txt</x:v>
      </x:c>
      <x:c r="F41" s="49" t="str">
        <x:v>6ea20d2becfe5ca83319ba3752bf19ed8e91e86c8bb9f0aed595a6f1b7a2d739</x:v>
      </x:c>
      <x:c r="G41" s="60" t="n">
        <x:v>439</x:v>
      </x:c>
    </x:row>
  </x:sheetData>
  <x:pageMargins left="0.7" right="0.7" top="0.75" bottom="0.75" header="0.3" footer="0.3"/>
  <x:tableParts count="1">
    <x:tablePart xmlns:r="http://schemas.openxmlformats.org/officeDocument/2006/relationships" r:id="R544ad0c541c0425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RUN-TRF-020-20260831T065135355151Z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RUN-TRF-020-20260831T065135355151Z</x:v>
      </x:c>
      <x:c r="B5" s="69" t="str">
        <x:v>TRF-020</x:v>
      </x:c>
      <x:c r="C5" s="71" t="n">
        <x:v>4</x:v>
      </x:c>
      <x:c r="D5" s="69" t="str">
        <x:v>MAX_ATTEMPTS_REACHED</x:v>
      </x:c>
      <x:c r="E5" s="73" t="str">
        <x:v>Preserve the corrected applicability alternatives and upper-waterline ownership. Add the canonical calculation/path and table-selection terms needed to represent two separate UIWL and LIWL readiness calculations: each must use its corresponding lower/upper resistance input, both must use upperIceWaterlineLength and upperIceWaterlineBreadth, and each must produce its declared result term. Add explicit datatype/unit validation for maximumContinuousRatingPower, which is currently referenced only by SPARQL. Replace the current Ke table query with an exact, complete, non-overlapping Table 3-1 selection; it currently permits wrong combinations (for example, electric or hydraulic propulsion with fixed pitch can satisfy either value) and does not faithfully encode the conventional-propulsion table. Do not add a reconstructed nonlinear formula; preserve the COMPLEX_READINESS boundary.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767f517f30a4b9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RUN-TRF-020-20260831T065135355151Z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