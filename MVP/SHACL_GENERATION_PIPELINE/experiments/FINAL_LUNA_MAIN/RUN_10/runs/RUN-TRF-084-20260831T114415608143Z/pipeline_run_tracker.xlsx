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61524ee37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ee4f9d8fbf4738"/>
    <x:sheet xmlns:r="http://schemas.openxmlformats.org/officeDocument/2006/relationships" name="README" sheetId="2" r:id="Ra50d4509978146bd"/>
    <x:sheet xmlns:r="http://schemas.openxmlformats.org/officeDocument/2006/relationships" name="REGULATION_QUEUE" sheetId="3" r:id="R10b7fd7abc304814"/>
    <x:sheet xmlns:r="http://schemas.openxmlformats.org/officeDocument/2006/relationships" name="RUNS" sheetId="4" r:id="R43d3a378ba434a49"/>
    <x:sheet xmlns:r="http://schemas.openxmlformats.org/officeDocument/2006/relationships" name="ITERATIONS" sheetId="5" r:id="R052bc65bb9d24687"/>
    <x:sheet xmlns:r="http://schemas.openxmlformats.org/officeDocument/2006/relationships" name="API_CALLS" sheetId="6" r:id="R1a33996a76394bd1"/>
    <x:sheet xmlns:r="http://schemas.openxmlformats.org/officeDocument/2006/relationships" name="TERM_RETRIEVAL" sheetId="7" r:id="R1cfa9e48977b4a9d"/>
    <x:sheet xmlns:r="http://schemas.openxmlformats.org/officeDocument/2006/relationships" name="FEW_SHOT_SELECTION" sheetId="8" r:id="Rcb23e3ccf41d4a12"/>
    <x:sheet xmlns:r="http://schemas.openxmlformats.org/officeDocument/2006/relationships" name="VALIDATION" sheetId="9" r:id="R26223724e14a4d8c"/>
    <x:sheet xmlns:r="http://schemas.openxmlformats.org/officeDocument/2006/relationships" name="VOCAB_MATCHES" sheetId="10" r:id="Rf0184f6bfbac400a"/>
    <x:sheet xmlns:r="http://schemas.openxmlformats.org/officeDocument/2006/relationships" name="ARTIFACTS" sheetId="11" r:id="R3a716ffef3b14a33"/>
    <x:sheet xmlns:r="http://schemas.openxmlformats.org/officeDocument/2006/relationships" name="UNRESOLVED" sheetId="12" r:id="Rc9055aaeb43d4bc1"/>
    <x:sheet xmlns:r="http://schemas.openxmlformats.org/officeDocument/2006/relationships" name="RDF_TEST_QUEUE" sheetId="13" r:id="Rb8764e21e7dd46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2c30d7914b4289" /><Relationship Type="http://schemas.openxmlformats.org/officeDocument/2006/relationships/theme" Target="/xl/theme/theme1.xml" Id="R3ecc3764004f496b" /><Relationship Type="http://schemas.microsoft.com/office/2022/11/relationships/FeaturePropertyBag" Target="/xl/featurePropertyBag/featurePropertyBag.xml" Id="R8155abb3e4ec47da" /><Relationship Type="http://schemas.openxmlformats.org/officeDocument/2006/relationships/sharedStrings" Target="/xl/sharedStrings.xml" Id="R845daabcf2594e28" /><Relationship Type="http://schemas.openxmlformats.org/officeDocument/2006/relationships/worksheet" Target="/xl/worksheets/sheet1.xml" Id="R86ee4f9d8fbf4738" /><Relationship Type="http://schemas.openxmlformats.org/officeDocument/2006/relationships/worksheet" Target="/xl/worksheets/sheet2.xml" Id="Ra50d4509978146bd" /><Relationship Type="http://schemas.openxmlformats.org/officeDocument/2006/relationships/worksheet" Target="/xl/worksheets/sheet3.xml" Id="R10b7fd7abc304814" /><Relationship Type="http://schemas.openxmlformats.org/officeDocument/2006/relationships/worksheet" Target="/xl/worksheets/sheet4.xml" Id="R43d3a378ba434a49" /><Relationship Type="http://schemas.openxmlformats.org/officeDocument/2006/relationships/worksheet" Target="/xl/worksheets/sheet5.xml" Id="R052bc65bb9d24687" /><Relationship Type="http://schemas.openxmlformats.org/officeDocument/2006/relationships/worksheet" Target="/xl/worksheets/sheet6.xml" Id="R1a33996a76394bd1" /><Relationship Type="http://schemas.openxmlformats.org/officeDocument/2006/relationships/worksheet" Target="/xl/worksheets/sheet7.xml" Id="R1cfa9e48977b4a9d" /><Relationship Type="http://schemas.openxmlformats.org/officeDocument/2006/relationships/worksheet" Target="/xl/worksheets/sheet8.xml" Id="Rcb23e3ccf41d4a12" /><Relationship Type="http://schemas.openxmlformats.org/officeDocument/2006/relationships/worksheet" Target="/xl/worksheets/sheet9.xml" Id="R26223724e14a4d8c" /><Relationship Type="http://schemas.openxmlformats.org/officeDocument/2006/relationships/worksheet" Target="/xl/worksheets/sheet10.xml" Id="Rf0184f6bfbac400a" /><Relationship Type="http://schemas.openxmlformats.org/officeDocument/2006/relationships/worksheet" Target="/xl/worksheets/sheet11.xml" Id="R3a716ffef3b14a33" /><Relationship Type="http://schemas.openxmlformats.org/officeDocument/2006/relationships/worksheet" Target="/xl/worksheets/sheet12.xml" Id="Rc9055aaeb43d4bc1" /><Relationship Type="http://schemas.openxmlformats.org/officeDocument/2006/relationships/worksheet" Target="/xl/worksheets/sheet13.xml" Id="Rb8764e21e7dd46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3c184cd1cb4c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10ec809ce849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bf72a311b541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29f75fdf164c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23ef7dfecc4e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49918a413c44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826d6be2184b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74d731b6df47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0846ec03e9471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e8f1a7125c546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RUN-TRF-084-20260831T114415608143Z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26305.9865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RUN-TRF-084-20260831T114415608143Z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3c184cd1cb4c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RUN-TRF-084-20260831T114415608143Z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GENERATION_ACCEPTED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10ec809ce849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RUN-TRF-084-20260831T114415608143Z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RUN-TRF-084-20260831T114415608143Z</x:v>
      </x:c>
      <x:c r="C5" s="69" t="str">
        <x:v>TRF-084</x:v>
      </x:c>
      <x:c r="D5" s="70" t="n">
        <x:v>46265.489069537034</x:v>
      </x:c>
      <x:c r="E5" s="70" t="n">
        <x:v>46265.49028936343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CP applicability branches, validates the known-branch bollard pitch quantity, and checks the unknown-branch result as 0.7 times the free-running pitch with a permitted expected-result-scaled tolerance. Targets, canonical terms, datatypes, units, and DIRECT_CALCULATION operations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bf72a311b541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RUN-TRF-084-20260831T114415608143Z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RUN-TRF-084-20260831T114415608143Z</x:v>
      </x:c>
      <x:c r="B5" s="45" t="str">
        <x:v>TRF-084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direct-calculation logic: DIRECT_CALCULATION permits only the registered arithmetic/comparison operations, but the formula query uses ABS(), which is not allowed. Replace ABS-based tolerance with permitted operations (for example, using the positive expected pitch result and a scaled tolerance). Also enforce the known branch: when a CP propeller has pitchValueKnown = true, require a valid propellerPitchAtMcrBollard quantity/value, since the requirement still requires P0.7 to correspond to MCR in bollard condition; the current graph imposes no bollard-pitch obligation in that branch.</x:v>
      </x:c>
      <x:c r="I5" s="81" t="n">
        <x:v>36366.122</x:v>
      </x:c>
      <x:c r="J5" s="81" t="n">
        <x:v>11497.679</x:v>
      </x:c>
    </x:row>
    <x:row r="6">
      <x:c r="A6" s="49" t="str">
        <x:v>RUN-TRF-084-20260831T114415608143Z</x:v>
      </x:c>
      <x:c r="B6" s="49" t="str">
        <x:v>TRF-084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CP applicability branches, validates the known-branch bollard pitch quantity, and checks the unknown-branch result as 0.7 times the free-running pitch with a permitted expected-result-scaled tolerance. Targets, canonical terms, datatypes, units, and DIRECT_CALCULATION operations are correct.</x:v>
      </x:c>
      <x:c r="I6" s="83" t="n">
        <x:v>43280.264</x:v>
      </x:c>
      <x:c r="J6" s="83" t="n">
        <x:v>14082.955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29f75fdf164c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RUN-TRF-084-20260831T114415608143Z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RUN-TRF-084-20260831T114415608143Z</x:v>
      </x:c>
      <x:c r="C5" s="45" t="str">
        <x:v>TRF-084</x:v>
      </x:c>
      <x:c r="D5" s="90" t="n">
        <x:v>46265.48949043982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36364.568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RUN-TRF-084-20260831T114415608143Z</x:v>
      </x:c>
      <x:c r="C6" s="47" t="str">
        <x:v>TRF-084</x:v>
      </x:c>
      <x:c r="D6" s="91" t="n">
        <x:v>46265.48949046296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36366.122</x:v>
      </x:c>
      <x:c r="L6" s="93" t="b">
        <x:v>0</x:v>
      </x:c>
      <x:c r="M6" s="47" t="str">
        <x:v>resp_05221fa2ad98cb66006a95690fbfc88190afe0f1fe647f7b5d</x:v>
      </x:c>
      <x:c r="N6" s="59" t="n">
        <x:v>7346</x:v>
      </x:c>
      <x:c r="O6" s="59" t="n">
        <x:v>2749</x:v>
      </x:c>
      <x:c r="P6" s="59" t="n">
        <x:v>10095</x:v>
      </x:c>
    </x:row>
    <x:row r="7">
      <x:c r="A7" s="47" t="str">
        <x:v>EVT-000024</x:v>
      </x:c>
      <x:c r="B7" s="47" t="str">
        <x:v>RUN-TRF-084-20260831T114415608143Z</x:v>
      </x:c>
      <x:c r="C7" s="47" t="str">
        <x:v>TRF-084</x:v>
      </x:c>
      <x:c r="D7" s="91" t="n">
        <x:v>46265.489624375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11496.209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RUN-TRF-084-20260831T114415608143Z</x:v>
      </x:c>
      <x:c r="C8" s="47" t="str">
        <x:v>TRF-084</x:v>
      </x:c>
      <x:c r="D8" s="91" t="n">
        <x:v>46265.48962439815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11497.679</x:v>
      </x:c>
      <x:c r="L8" s="93" t="b">
        <x:v>0</x:v>
      </x:c>
      <x:c r="M8" s="47" t="str">
        <x:v>resp_02bee9d8ca16213d006a95693430c08194896f2511f5daca76</x:v>
      </x:c>
      <x:c r="N8" s="59" t="n">
        <x:v>5937</x:v>
      </x:c>
      <x:c r="O8" s="59" t="n">
        <x:v>924</x:v>
      </x:c>
      <x:c r="P8" s="59" t="n">
        <x:v>6861</x:v>
      </x:c>
    </x:row>
    <x:row r="9">
      <x:c r="A9" s="47" t="str">
        <x:v>EVT-000030</x:v>
      </x:c>
      <x:c r="B9" s="47" t="str">
        <x:v>RUN-TRF-084-20260831T114415608143Z</x:v>
      </x:c>
      <x:c r="C9" s="47" t="str">
        <x:v>TRF-084</x:v>
      </x:c>
      <x:c r="D9" s="91" t="n">
        <x:v>46265.490125358796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43278.733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RUN-TRF-084-20260831T114415608143Z</x:v>
      </x:c>
      <x:c r="C10" s="47" t="str">
        <x:v>TRF-084</x:v>
      </x:c>
      <x:c r="D10" s="91" t="n">
        <x:v>46265.49012537037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43280.264</x:v>
      </x:c>
      <x:c r="L10" s="93" t="b">
        <x:v>0</x:v>
      </x:c>
      <x:c r="M10" s="47" t="str">
        <x:v>resp_090007f9417774b3006a95693fb1b48193b75a4bd45ba67b86</x:v>
      </x:c>
      <x:c r="N10" s="59" t="n">
        <x:v>7467</x:v>
      </x:c>
      <x:c r="O10" s="59" t="n">
        <x:v>3397</x:v>
      </x:c>
      <x:c r="P10" s="59" t="n">
        <x:v>10864</x:v>
      </x:c>
    </x:row>
    <x:row r="11">
      <x:c r="A11" s="47" t="str">
        <x:v>EVT-000038</x:v>
      </x:c>
      <x:c r="B11" s="47" t="str">
        <x:v>RUN-TRF-084-20260831T114415608143Z</x:v>
      </x:c>
      <x:c r="C11" s="47" t="str">
        <x:v>TRF-084</x:v>
      </x:c>
      <x:c r="D11" s="91" t="n">
        <x:v>46265.490289305555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14081.362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RUN-TRF-084-20260831T114415608143Z</x:v>
      </x:c>
      <x:c r="C12" s="49" t="str">
        <x:v>TRF-084</x:v>
      </x:c>
      <x:c r="D12" s="94" t="n">
        <x:v>46265.49028932871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14082.955</x:v>
      </x:c>
      <x:c r="L12" s="82" t="b">
        <x:v>0</x:v>
      </x:c>
      <x:c r="M12" s="49" t="str">
        <x:v>resp_033723b0185c5fa9006a95696b095c819492a9b9911554a1dc</x:v>
      </x:c>
      <x:c r="N12" s="60" t="n">
        <x:v>6222</x:v>
      </x:c>
      <x:c r="O12" s="60" t="n">
        <x:v>990</x:v>
      </x:c>
      <x:c r="P12" s="60" t="n">
        <x:v>7212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23ef7dfecc4e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RUN-TRF-084-20260831T114415608143Z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RUN-TRF-084-20260831T114415608143Z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RUN-TRF-084-20260831T114415608143Z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RUN-TRF-084-20260831T114415608143Z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RUN-TRF-084-20260831T114415608143Z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RUN-TRF-084-20260831T114415608143Z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RUN-TRF-084-20260831T114415608143Z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RUN-TRF-084-20260831T114415608143Z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RUN-TRF-084-20260831T114415608143Z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49918a413c44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RUN-TRF-084-20260831T114415608143Z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RUN-TRF-084-20260831T114415608143Z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7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RUN-TRF-084-20260831T114415608143Z</x:v>
      </x:c>
      <x:c r="B6" s="49" t="str">
        <x:v>TRF-084</x:v>
      </x:c>
      <x:c r="C6" s="49" t="str">
        <x:v>FS-BOOL-01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826d6be2184b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RUN-TRF-084-20260831T114415608143Z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RUN-TRF-084-20260831T114415608143Z</x:v>
      </x:c>
      <x:c r="B5" s="45" t="str">
        <x:v>TRF-084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46" t="str"/>
      <x:c r="P5" s="46" t="str"/>
      <x:c r="Q5" s="46" t="str"/>
    </x:row>
    <x:row r="6">
      <x:c r="A6" s="49" t="str">
        <x:v>RUN-TRF-084-20260831T114415608143Z</x:v>
      </x:c>
      <x:c r="B6" s="49" t="str">
        <x:v>TRF-084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c74d731b6df47f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RUN-TRF-084-20260831T114415608143Z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RUN-TRF-084-20260831T114415608143Z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RUN-TRF-084-20260831T114415608143Z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8ff79ed00dcfda414a9f6b222acf19dd888133e27faaf69e3d468344231def52</x:v>
      </x:c>
      <x:c r="G5" s="58" t="n">
        <x:v>12379</x:v>
      </x:c>
    </x:row>
    <x:row r="6">
      <x:c r="A6" s="47" t="str">
        <x:v>RUN-TRF-084-20260831T114415608143Z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RUN-TRF-084-20260831T114415608143Z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RUN-TRF-084-20260831T114415608143Z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302c9feffb9d9ec2e231fd1d551cdee5b5df210e6a8c6b3dd48881708858bf21</x:v>
      </x:c>
      <x:c r="G8" s="59" t="n">
        <x:v>2209</x:v>
      </x:c>
    </x:row>
    <x:row r="9">
      <x:c r="A9" s="47" t="str">
        <x:v>RUN-TRF-084-20260831T114415608143Z</x:v>
      </x:c>
      <x:c r="B9" s="47" t="str">
        <x:v>TRF-084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299b2d805a5ce54101f3e2274cec8c5095c45ad7af3077876fdb9b5109e1130a</x:v>
      </x:c>
      <x:c r="G9" s="59" t="n">
        <x:v>2184</x:v>
      </x:c>
    </x:row>
    <x:row r="10">
      <x:c r="A10" s="47" t="str">
        <x:v>RUN-TRF-084-20260831T114415608143Z</x:v>
      </x:c>
      <x:c r="B10" s="47" t="str">
        <x:v>TRF-084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40a061e6760c2c056f54eaa73580102faeabe284c290b5b818447321779449da</x:v>
      </x:c>
      <x:c r="G10" s="59" t="n">
        <x:v>657</x:v>
      </x:c>
    </x:row>
    <x:row r="11">
      <x:c r="A11" s="47" t="str">
        <x:v>RUN-TRF-084-20260831T114415608143Z</x:v>
      </x:c>
      <x:c r="B11" s="47" t="str">
        <x:v>TRF-084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4bea61cafdd48afe538ad0ebc6dc1bc6fc398d14f52ab13bf09fb7b5b8872769</x:v>
      </x:c>
      <x:c r="G11" s="59" t="n">
        <x:v>23680</x:v>
      </x:c>
    </x:row>
    <x:row r="12">
      <x:c r="A12" s="47" t="str">
        <x:v>RUN-TRF-084-20260831T114415608143Z</x:v>
      </x:c>
      <x:c r="B12" s="47" t="str">
        <x:v>TRF-084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097e8a9e5cd2fd70bf4b5229e5b8eccf956fe68eea1803bf580297c8ff619d48</x:v>
      </x:c>
      <x:c r="G12" s="59" t="n">
        <x:v>664</x:v>
      </x:c>
    </x:row>
    <x:row r="13">
      <x:c r="A13" s="47" t="str">
        <x:v>RUN-TRF-084-20260831T114415608143Z</x:v>
      </x:c>
      <x:c r="B13" s="47" t="str">
        <x:v>TRF-084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7339cca71e084366563e8ec5a1fe9c06aaa9818e0fe59978398aedb113f35dbc</x:v>
      </x:c>
      <x:c r="G13" s="59" t="n">
        <x:v>30739</x:v>
      </x:c>
    </x:row>
    <x:row r="14">
      <x:c r="A14" s="47" t="str">
        <x:v>RUN-TRF-084-20260831T114415608143Z</x:v>
      </x:c>
      <x:c r="B14" s="47" t="str">
        <x:v>TRF-084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3fac1e33b46294905b6d50f41ba7fe0c7a4207ef8f9dc3393dcf9c900263cacb</x:v>
      </x:c>
      <x:c r="G14" s="59" t="n">
        <x:v>3255</x:v>
      </x:c>
    </x:row>
    <x:row r="15">
      <x:c r="A15" s="47" t="str">
        <x:v>RUN-TRF-084-20260831T114415608143Z</x:v>
      </x:c>
      <x:c r="B15" s="47" t="str">
        <x:v>TRF-084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dfdb1c13d80043a1a3fd45ec742e9384292640f6918a92e20243c858c98288ab</x:v>
      </x:c>
      <x:c r="G15" s="59" t="n">
        <x:v>3230</x:v>
      </x:c>
    </x:row>
    <x:row r="16">
      <x:c r="A16" s="47" t="str">
        <x:v>RUN-TRF-084-20260831T114415608143Z</x:v>
      </x:c>
      <x:c r="B16" s="47" t="str">
        <x:v>TRF-084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40a061e6760c2c056f54eaa73580102faeabe284c290b5b818447321779449da</x:v>
      </x:c>
      <x:c r="G16" s="59" t="n">
        <x:v>657</x:v>
      </x:c>
    </x:row>
    <x:row r="17">
      <x:c r="A17" s="47" t="str">
        <x:v>RUN-TRF-084-20260831T114415608143Z</x:v>
      </x:c>
      <x:c r="B17" s="47" t="str">
        <x:v>TRF-084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2f086e80a1f930665edb7f22562c854142af8daa89c0d8a7409ea37de4c0190d</x:v>
      </x:c>
      <x:c r="G17" s="59" t="n">
        <x:v>25350</x:v>
      </x:c>
    </x:row>
    <x:row r="18">
      <x:c r="A18" s="47" t="str">
        <x:v>RUN-TRF-084-20260831T114415608143Z</x:v>
      </x:c>
      <x:c r="B18" s="47" t="str">
        <x:v>TRF-084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0ca126f1ff97d8ebc6c0aa83d6a51a09c43aa50298116ee6287937c003dfe7f3</x:v>
      </x:c>
      <x:c r="G18" s="59" t="n">
        <x:v>392</x:v>
      </x:c>
    </x:row>
    <x:row r="19">
      <x:c r="A19" s="49" t="str">
        <x:v>RUN-TRF-084-20260831T114415608143Z</x:v>
      </x:c>
      <x:c r="B19" s="49" t="str">
        <x:v>TRF-084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dfdb1c13d80043a1a3fd45ec742e9384292640f6918a92e20243c858c98288ab</x:v>
      </x:c>
      <x:c r="G19" s="60" t="n">
        <x:v>3230</x:v>
      </x:c>
    </x:row>
  </x:sheetData>
  <x:pageMargins left="0.7" right="0.7" top="0.75" bottom="0.75" header="0.3" footer="0.3"/>
  <x:tableParts count="1">
    <x:tablePart xmlns:r="http://schemas.openxmlformats.org/officeDocument/2006/relationships" r:id="Rf20846ec03e947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RUN-TRF-084-20260831T114415608143Z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RUN-TRF-084-20260831T114415608143Z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RUN-TRF-084-20260831T114415608143Z</x:v>
      </x:c>
      <x:c r="B5" s="69" t="str">
        <x:v>TRF-084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8f1a7125c546b7"/>
  </x:tableParts>
</x:worksheet>
</file>