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c80d9d1be704c73" /></Relationships>
</file>

<file path=xl/workbook.xml><?xml version="1.0" encoding="utf-8"?>
<x:workbook xmlns:x="http://schemas.openxmlformats.org/spreadsheetml/2006/main">
  <x:sheets>
    <x:sheet xmlns:r="http://schemas.openxmlformats.org/officeDocument/2006/relationships" name="SUMMARY" sheetId="1" r:id="R197d41c334f94392"/>
    <x:sheet xmlns:r="http://schemas.openxmlformats.org/officeDocument/2006/relationships" name="README" sheetId="2" r:id="R9be099c9b76b489a"/>
    <x:sheet xmlns:r="http://schemas.openxmlformats.org/officeDocument/2006/relationships" name="REGULATION_QUEUE" sheetId="3" r:id="R9a88065acbd741b0"/>
    <x:sheet xmlns:r="http://schemas.openxmlformats.org/officeDocument/2006/relationships" name="RUNS" sheetId="4" r:id="R8051e96963064f36"/>
    <x:sheet xmlns:r="http://schemas.openxmlformats.org/officeDocument/2006/relationships" name="ITERATIONS" sheetId="5" r:id="R8267f8bbe04c447d"/>
    <x:sheet xmlns:r="http://schemas.openxmlformats.org/officeDocument/2006/relationships" name="API_CALLS" sheetId="6" r:id="Ref71adb58f1a48ef"/>
    <x:sheet xmlns:r="http://schemas.openxmlformats.org/officeDocument/2006/relationships" name="TERM_RETRIEVAL" sheetId="7" r:id="Rbedcaa5a56c5474b"/>
    <x:sheet xmlns:r="http://schemas.openxmlformats.org/officeDocument/2006/relationships" name="FEW_SHOT_SELECTION" sheetId="8" r:id="Rd5d86066ed134565"/>
    <x:sheet xmlns:r="http://schemas.openxmlformats.org/officeDocument/2006/relationships" name="VALIDATION" sheetId="9" r:id="R1ca605e4cc4849fc"/>
    <x:sheet xmlns:r="http://schemas.openxmlformats.org/officeDocument/2006/relationships" name="VOCAB_MATCHES" sheetId="10" r:id="R46845e680cb345ed"/>
    <x:sheet xmlns:r="http://schemas.openxmlformats.org/officeDocument/2006/relationships" name="ARTIFACTS" sheetId="11" r:id="R8e3ba239e159430a"/>
    <x:sheet xmlns:r="http://schemas.openxmlformats.org/officeDocument/2006/relationships" name="UNRESOLVED" sheetId="12" r:id="Ra811258fdafe43f7"/>
    <x:sheet xmlns:r="http://schemas.openxmlformats.org/officeDocument/2006/relationships" name="RDF_TEST_QUEUE" sheetId="13" r:id="Rb69b1494e3c0473f"/>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bd2a0b4f912d437c" /><Relationship Type="http://schemas.openxmlformats.org/officeDocument/2006/relationships/theme" Target="/xl/theme/theme1.xml" Id="R4f822f3a80504bb5" /><Relationship Type="http://schemas.microsoft.com/office/2022/11/relationships/FeaturePropertyBag" Target="/xl/featurePropertyBag/featurePropertyBag.xml" Id="Rb8effca420c84b4b" /><Relationship Type="http://schemas.openxmlformats.org/officeDocument/2006/relationships/sharedStrings" Target="/xl/sharedStrings.xml" Id="R00f3c3fd3d2645d5" /><Relationship Type="http://schemas.openxmlformats.org/officeDocument/2006/relationships/worksheet" Target="/xl/worksheets/sheet1.xml" Id="R197d41c334f94392" /><Relationship Type="http://schemas.openxmlformats.org/officeDocument/2006/relationships/worksheet" Target="/xl/worksheets/sheet2.xml" Id="R9be099c9b76b489a" /><Relationship Type="http://schemas.openxmlformats.org/officeDocument/2006/relationships/worksheet" Target="/xl/worksheets/sheet3.xml" Id="R9a88065acbd741b0" /><Relationship Type="http://schemas.openxmlformats.org/officeDocument/2006/relationships/worksheet" Target="/xl/worksheets/sheet4.xml" Id="R8051e96963064f36" /><Relationship Type="http://schemas.openxmlformats.org/officeDocument/2006/relationships/worksheet" Target="/xl/worksheets/sheet5.xml" Id="R8267f8bbe04c447d" /><Relationship Type="http://schemas.openxmlformats.org/officeDocument/2006/relationships/worksheet" Target="/xl/worksheets/sheet6.xml" Id="Ref71adb58f1a48ef" /><Relationship Type="http://schemas.openxmlformats.org/officeDocument/2006/relationships/worksheet" Target="/xl/worksheets/sheet7.xml" Id="Rbedcaa5a56c5474b" /><Relationship Type="http://schemas.openxmlformats.org/officeDocument/2006/relationships/worksheet" Target="/xl/worksheets/sheet8.xml" Id="Rd5d86066ed134565" /><Relationship Type="http://schemas.openxmlformats.org/officeDocument/2006/relationships/worksheet" Target="/xl/worksheets/sheet9.xml" Id="R1ca605e4cc4849fc" /><Relationship Type="http://schemas.openxmlformats.org/officeDocument/2006/relationships/worksheet" Target="/xl/worksheets/sheet10.xml" Id="R46845e680cb345ed" /><Relationship Type="http://schemas.openxmlformats.org/officeDocument/2006/relationships/worksheet" Target="/xl/worksheets/sheet11.xml" Id="R8e3ba239e159430a" /><Relationship Type="http://schemas.openxmlformats.org/officeDocument/2006/relationships/worksheet" Target="/xl/worksheets/sheet12.xml" Id="Ra811258fdafe43f7" /><Relationship Type="http://schemas.openxmlformats.org/officeDocument/2006/relationships/worksheet" Target="/xl/worksheets/sheet13.xml" Id="Rb69b1494e3c0473f"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8"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0"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31"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8"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30"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b4491dc5c6574f27" /></Relationships>
</file>

<file path=xl/worksheets/_rels/sheet3.xml.rels>&#65279;<?xml version="1.0" encoding="utf-8"?><Relationships xmlns="http://schemas.openxmlformats.org/package/2006/relationships"><Relationship Type="http://schemas.openxmlformats.org/officeDocument/2006/relationships/table" Target="/xl/tables/table2.xml" Id="R36bf5eaf33094eb8" /></Relationships>
</file>

<file path=xl/worksheets/_rels/sheet4.xml.rels>&#65279;<?xml version="1.0" encoding="utf-8"?><Relationships xmlns="http://schemas.openxmlformats.org/package/2006/relationships"><Relationship Type="http://schemas.openxmlformats.org/officeDocument/2006/relationships/table" Target="/xl/tables/table3.xml" Id="R86ee61bd6e36477c" /></Relationships>
</file>

<file path=xl/worksheets/_rels/sheet5.xml.rels>&#65279;<?xml version="1.0" encoding="utf-8"?><Relationships xmlns="http://schemas.openxmlformats.org/package/2006/relationships"><Relationship Type="http://schemas.openxmlformats.org/officeDocument/2006/relationships/table" Target="/xl/tables/table4.xml" Id="R0fb8850a70264647" /></Relationships>
</file>

<file path=xl/worksheets/_rels/sheet6.xml.rels>&#65279;<?xml version="1.0" encoding="utf-8"?><Relationships xmlns="http://schemas.openxmlformats.org/package/2006/relationships"><Relationship Type="http://schemas.openxmlformats.org/officeDocument/2006/relationships/table" Target="/xl/tables/table5.xml" Id="R7ea75e78c2b74229" /></Relationships>
</file>

<file path=xl/worksheets/_rels/sheet7.xml.rels>&#65279;<?xml version="1.0" encoding="utf-8"?><Relationships xmlns="http://schemas.openxmlformats.org/package/2006/relationships"><Relationship Type="http://schemas.openxmlformats.org/officeDocument/2006/relationships/table" Target="/xl/tables/table6.xml" Id="R224b9372667a4673" /></Relationships>
</file>

<file path=xl/worksheets/_rels/sheet8.xml.rels>&#65279;<?xml version="1.0" encoding="utf-8"?><Relationships xmlns="http://schemas.openxmlformats.org/package/2006/relationships"><Relationship Type="http://schemas.openxmlformats.org/officeDocument/2006/relationships/table" Target="/xl/tables/table7.xml" Id="Rf2dc5174854744bf" /></Relationships>
</file>

<file path=xl/worksheets/_rels/sheet9.xml.rels>&#65279;<?xml version="1.0" encoding="utf-8"?><Relationships xmlns="http://schemas.openxmlformats.org/package/2006/relationships"><Relationship Type="http://schemas.openxmlformats.org/officeDocument/2006/relationships/table" Target="/xl/tables/table8.xml" Id="R070695af919540f0" /></Relationships>
</file>

<file path=xl/worksheets/_rels/sheet11.xml.rels>&#65279;<?xml version="1.0" encoding="utf-8"?><Relationships xmlns="http://schemas.openxmlformats.org/package/2006/relationships"><Relationship Type="http://schemas.openxmlformats.org/officeDocument/2006/relationships/table" Target="/xl/tables/table9.xml" Id="R4a622085545244b8" /></Relationships>
</file>

<file path=xl/worksheets/_rels/sheet12.xml.rels>&#65279;<?xml version="1.0" encoding="utf-8"?><Relationships xmlns="http://schemas.openxmlformats.org/package/2006/relationships"><Relationship Type="http://schemas.openxmlformats.org/officeDocument/2006/relationships/table" Target="/xl/tables/table10.xml" Id="R6af1d0b597c449fc"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RUN-TRF-085-20260831T114601851412Z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COUNTA('API_CALLS'!$A$5:$A$20)</x:f>
        <x:v>16</x:v>
      </x:c>
      <x:c r="C9" s="21"/>
      <x:c r="D9" s="21"/>
    </x:row>
    <x:row r="10">
      <x:c r="A10" s="27" t="str">
        <x:v>Mean API/LLM elapsed ms</x:v>
      </x:c>
      <x:c r="B10" s="28" t="n">
        <x:f>IFERROR(AVERAGE('API_CALLS'!$K$5:$K$20),0)</x:f>
        <x:v>20454.992875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RUN-TRF-085-20260831T114601851412Z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b4491dc5c6574f27"/>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2" hidden="0" customWidth="1"/>
  </x:cols>
  <x:sheetData>
    <x:row r="1">
      <x:c r="A1" s="18" t="str">
        <x:v>NLTL SHACL Pipeline Run Tracker</x:v>
      </x:c>
      <x:c r="B1" s="19"/>
      <x:c r="C1" s="19"/>
      <x:c r="D1" s="19"/>
      <x:c r="E1" s="19"/>
      <x:c r="F1" s="19"/>
      <x:c r="G1" s="19"/>
      <x:c r="H1" s="19"/>
      <x:c r="I1" s="19"/>
      <x:c r="J1" s="19"/>
      <x:c r="K1" s="19"/>
    </x:row>
    <x:row r="2">
      <x:c r="A2" s="20" t="str">
        <x:v>REGULATION_QUEUE | Run folder: RUN-TRF-085-20260831T114601851412Z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MAX_ATTEMPTS_REACHED</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36bf5eaf33094eb8"/>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2"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RUN-TRF-085-20260831T114601851412Z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SESSION-BATCH-20260831T031501646457Z</x:v>
      </x:c>
      <x:c r="B5" s="69" t="str">
        <x:v>RUN-TRF-085-20260831T114601851412Z</x:v>
      </x:c>
      <x:c r="C5" s="69" t="str">
        <x:v>TRF-085</x:v>
      </x:c>
      <x:c r="D5" s="70" t="n">
        <x:v>46265.490299212965</x:v>
      </x:c>
      <x:c r="E5" s="70" t="n">
        <x:v>46265.492204918984</x:v>
      </x:c>
      <x:c r="F5" s="69" t="str">
        <x:v>final-luna-main-run10</x:v>
      </x:c>
      <x:c r="G5" s="69" t="str">
        <x:v>VOCAB-LOCK-2026-08-22-R13</x:v>
      </x:c>
      <x:c r="H5" s="71" t="n">
        <x:v>4</x:v>
      </x:c>
      <x:c r="I5" s="69" t="str">
        <x:v>MAX_ATTEMPTS_REACHED</x:v>
      </x:c>
      <x:c r="J5" s="72" t="b">
        <x:v>0</x:v>
      </x:c>
      <x:c r="K5" s="69" t="str"/>
      <x:c r="L5" s="73" t="str">
        <x:v>The unknown-speed alternative still omits the required ship-level nltl:propellerRotationalSpeedAtMaximumContinuousRatingBollard property. Add sh:minCount 1 and sh:maxCount 1 in that branch, with the same QuantityValue decimal numericValue and qudt:REV-PER-MIN unit constraints as the known-speed branch. Preserve the existing Table 6-9 input/result equality SPARQL and units; do not rely on SPARQL to catch a missing reported speed.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86ee61bd6e36477c"/>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0"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RUN-TRF-085-20260831T114601851412Z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RUN-TRF-085-20260831T114601851412Z</x:v>
      </x:c>
      <x:c r="B5" s="45" t="str">
        <x:v>TRF-085</x:v>
      </x:c>
      <x:c r="C5" s="58" t="n">
        <x:v>1</x:v>
      </x:c>
      <x:c r="D5" s="83" t="b">
        <x:v>1</x:v>
      </x:c>
      <x:c r="E5" s="83" t="b">
        <x:v>0</x:v>
      </x:c>
      <x:c r="F5" s="83" t="b">
        <x:v>0</x:v>
      </x:c>
      <x:c r="G5" s="45" t="str">
        <x:v>REVISE</x:v>
      </x:c>
      <x:c r="H5" s="46" t="str">
        <x:v>Repair the table-lookup alternative so it requires the ship's propellerRotationalSpeedAtMaximumContinuousRatingBollard with sh:minCount 1. The current SPARQL only reports a mismatch when diameter, speed, lookup input, and lookup result are all present; if speed or another operand is absent, it produces no violation and the branch can pass accidentally. Preserve the existing Table 6-9 input/result equality checks and units.</x:v>
      </x:c>
      <x:c r="I5" s="84" t="n">
        <x:v>33852.508</x:v>
      </x:c>
      <x:c r="J5" s="84" t="n">
        <x:v>11847.163</x:v>
      </x:c>
    </x:row>
    <x:row r="6">
      <x:c r="A6" s="47" t="str">
        <x:v>RUN-TRF-085-20260831T114601851412Z</x:v>
      </x:c>
      <x:c r="B6" s="47" t="str">
        <x:v>TRF-085</x:v>
      </x:c>
      <x:c r="C6" s="59" t="n">
        <x:v>2</x:v>
      </x:c>
      <x:c r="D6" s="85" t="b">
        <x:v>0</x:v>
      </x:c>
      <x:c r="E6" s="85" t="b">
        <x:v>0</x:v>
      </x:c>
      <x:c r="F6" s="85" t="b">
        <x:v>0</x:v>
      </x:c>
      <x:c r="G6" s="47" t="str">
        <x:v>REVISE_STATIC_GATE</x:v>
      </x:c>
      <x:c r="H6" s="48" t="str">
        <x:v>Deterministic validation prevents acceptance. Fix: Unknown canonical benchmark IRI(s): https://w3id.org/nltl/vocab#TRF085Shape
Semantic validator feedback: The prior instruction is satisfied: the lookup alternative now requires the reported bollard propeller speed, diameter, lookup case, and preserves the input/result equality checks. Reject because nltl:TRF085Shape is an unknown canonical vocabulary IRI, making deterministicValidation.valid false. Replace the shape identifier with a blank node shape or a non-vocabulary shape IRI; do not invent or add it as a canonical term.</x:v>
      </x:c>
      <x:c r="I6" s="86" t="n">
        <x:v>23687.719</x:v>
      </x:c>
      <x:c r="J6" s="86" t="n">
        <x:v>12373.968</x:v>
      </x:c>
    </x:row>
    <x:row r="7">
      <x:c r="A7" s="47" t="str">
        <x:v>RUN-TRF-085-20260831T114601851412Z</x:v>
      </x:c>
      <x:c r="B7" s="47" t="str">
        <x:v>TRF-085</x:v>
      </x:c>
      <x:c r="C7" s="59" t="n">
        <x:v>3</x:v>
      </x:c>
      <x:c r="D7" s="85" t="b">
        <x:v>1</x:v>
      </x:c>
      <x:c r="E7" s="85" t="b">
        <x:v>0</x:v>
      </x:c>
      <x:c r="F7" s="85" t="b">
        <x:v>0</x:v>
      </x:c>
      <x:c r="G7" s="47" t="str">
        <x:v>REVISE</x:v>
      </x:c>
      <x:c r="H7" s="48" t="str">
        <x:v>The table-lookup input and result quantities are constrained only by decimal numericValue and have no unit constraints. Since the SPARQL compares their numeric values directly to propeller diameter and bollard propeller speed, require lookupInputQuantity to use http://qudt.org/vocab/unit/M and lookupResultQuantity to use http://qudt.org/vocab/unit/REV-PER-MIN, preserving the required Table 6-9 input/result equality checks and preventing unit-inconsistent values from passing.</x:v>
      </x:c>
      <x:c r="I7" s="86" t="n">
        <x:v>33640.725</x:v>
      </x:c>
      <x:c r="J7" s="86" t="n">
        <x:v>13836.335</x:v>
      </x:c>
    </x:row>
    <x:row r="8">
      <x:c r="A8" s="49" t="str">
        <x:v>RUN-TRF-085-20260831T114601851412Z</x:v>
      </x:c>
      <x:c r="B8" s="49" t="str">
        <x:v>TRF-085</x:v>
      </x:c>
      <x:c r="C8" s="60" t="n">
        <x:v>4</x:v>
      </x:c>
      <x:c r="D8" s="87" t="b">
        <x:v>1</x:v>
      </x:c>
      <x:c r="E8" s="87" t="b">
        <x:v>0</x:v>
      </x:c>
      <x:c r="F8" s="87" t="b">
        <x:v>0</x:v>
      </x:c>
      <x:c r="G8" s="49" t="str">
        <x:v>REVISE</x:v>
      </x:c>
      <x:c r="H8" s="50" t="str">
        <x:v>The unknown-speed alternative still omits the required ship-level nltl:propellerRotationalSpeedAtMaximumContinuousRatingBollard property. Add sh:minCount 1 and sh:maxCount 1 in that branch, with the same QuantityValue decimal numericValue and qudt:REV-PER-MIN unit constraints as the known-speed branch. Preserve the existing Table 6-9 input/result equality SPARQL and units; do not rely on SPARQL to catch a missing reported speed.</x:v>
      </x:c>
      <x:c r="I8" s="88" t="n">
        <x:v>25366.239</x:v>
      </x:c>
      <x:c r="J8" s="88" t="n">
        <x:v>9040.89</x:v>
      </x:c>
    </x:row>
  </x:sheetData>
  <x:conditionalFormatting sqref="G5:G8">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0fb8850a70264647"/>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RUN-TRF-085-20260831T114601851412Z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EVT-000035</x:v>
      </x:c>
      <x:c r="B5" s="45" t="str">
        <x:v>RUN-TRF-085-20260831T114601851412Z</x:v>
      </x:c>
      <x:c r="C5" s="45" t="str">
        <x:v>TRF-085</x:v>
      </x:c>
      <x:c r="D5" s="92" t="n">
        <x:v>46265.490691273146</x:v>
      </x:c>
      <x:c r="E5" s="45" t="str">
        <x:v>generator</x:v>
      </x:c>
      <x:c r="F5" s="45" t="str">
        <x:v>gpt-5.6-luna-2026-07-09</x:v>
      </x:c>
      <x:c r="G5" s="45" t="n">
        <x:v>1</x:v>
      </x:c>
      <x:c r="H5" s="45" t="n">
        <x:v>200</x:v>
      </x:c>
      <x:c r="I5" s="45" t="str">
        <x:v>Ocp-Apim-Subscription-Key</x:v>
      </x:c>
      <x:c r="J5" s="84" t="n">
        <x:v>0</x:v>
      </x:c>
      <x:c r="K5" s="84" t="n">
        <x:v>33850.89</x:v>
      </x:c>
      <x:c r="L5" s="83" t="b">
        <x:v>0</x:v>
      </x:c>
      <x:c r="M5" s="45" t="str"/>
      <x:c r="N5" s="58" t="str"/>
      <x:c r="O5" s="58" t="str"/>
      <x:c r="P5" s="58" t="str"/>
    </x:row>
    <x:row r="6">
      <x:c r="A6" s="47" t="str">
        <x:v>EVT-000036</x:v>
      </x:c>
      <x:c r="B6" s="47" t="str">
        <x:v>RUN-TRF-085-20260831T114601851412Z</x:v>
      </x:c>
      <x:c r="C6" s="47" t="str">
        <x:v>TRF-085</x:v>
      </x:c>
      <x:c r="D6" s="93" t="n">
        <x:v>46265.4906912963</x:v>
      </x:c>
      <x:c r="E6" s="47" t="str">
        <x:v>generator</x:v>
      </x:c>
      <x:c r="F6" s="47" t="str">
        <x:v>gpt-5.6-luna-2026-07-09</x:v>
      </x:c>
      <x:c r="G6" s="47" t="n">
        <x:v>1</x:v>
      </x:c>
      <x:c r="H6" s="47" t="str">
        <x:v>COMPLETED</x:v>
      </x:c>
      <x:c r="I6" s="47" t="str"/>
      <x:c r="J6" s="86" t="n">
        <x:v>0</x:v>
      </x:c>
      <x:c r="K6" s="86" t="n">
        <x:v>33852.508</x:v>
      </x:c>
      <x:c r="L6" s="85" t="b">
        <x:v>0</x:v>
      </x:c>
      <x:c r="M6" s="47" t="str">
        <x:v>resp_0259d4b691eb1383006a956979fd288190a006c9958cba3ecf</x:v>
      </x:c>
      <x:c r="N6" s="59" t="n">
        <x:v>11616</x:v>
      </x:c>
      <x:c r="O6" s="59" t="n">
        <x:v>3021</x:v>
      </x:c>
      <x:c r="P6" s="59" t="n">
        <x:v>14637</x:v>
      </x:c>
    </x:row>
    <x:row r="7">
      <x:c r="A7" s="47" t="str">
        <x:v>EVT-000043</x:v>
      </x:c>
      <x:c r="B7" s="47" t="str">
        <x:v>RUN-TRF-085-20260831T114601851412Z</x:v>
      </x:c>
      <x:c r="C7" s="47" t="str">
        <x:v>TRF-085</x:v>
      </x:c>
      <x:c r="D7" s="93" t="n">
        <x:v>46265.49083069444</x:v>
      </x:c>
      <x:c r="E7" s="47" t="str">
        <x:v>validator</x:v>
      </x:c>
      <x:c r="F7" s="47" t="str">
        <x:v>gpt-5.6-luna-2026-07-09</x:v>
      </x:c>
      <x:c r="G7" s="47" t="n">
        <x:v>1</x:v>
      </x:c>
      <x:c r="H7" s="47" t="n">
        <x:v>200</x:v>
      </x:c>
      <x:c r="I7" s="47" t="str">
        <x:v>Ocp-Apim-Subscription-Key</x:v>
      </x:c>
      <x:c r="J7" s="86" t="n">
        <x:v>0</x:v>
      </x:c>
      <x:c r="K7" s="86" t="n">
        <x:v>11845.533</x:v>
      </x:c>
      <x:c r="L7" s="85" t="b">
        <x:v>0</x:v>
      </x:c>
      <x:c r="M7" s="47" t="str"/>
      <x:c r="N7" s="59" t="str"/>
      <x:c r="O7" s="59" t="str"/>
      <x:c r="P7" s="59" t="str"/>
    </x:row>
    <x:row r="8">
      <x:c r="A8" s="47" t="str">
        <x:v>EVT-000044</x:v>
      </x:c>
      <x:c r="B8" s="47" t="str">
        <x:v>RUN-TRF-085-20260831T114601851412Z</x:v>
      </x:c>
      <x:c r="C8" s="47" t="str">
        <x:v>TRF-085</x:v>
      </x:c>
      <x:c r="D8" s="93" t="n">
        <x:v>46265.490830717594</x:v>
      </x:c>
      <x:c r="E8" s="47" t="str">
        <x:v>validator</x:v>
      </x:c>
      <x:c r="F8" s="47" t="str">
        <x:v>gpt-5.6-luna-2026-07-09</x:v>
      </x:c>
      <x:c r="G8" s="47" t="n">
        <x:v>1</x:v>
      </x:c>
      <x:c r="H8" s="47" t="str">
        <x:v>COMPLETED</x:v>
      </x:c>
      <x:c r="I8" s="47" t="str"/>
      <x:c r="J8" s="86" t="n">
        <x:v>0</x:v>
      </x:c>
      <x:c r="K8" s="86" t="n">
        <x:v>11847.163</x:v>
      </x:c>
      <x:c r="L8" s="85" t="b">
        <x:v>0</x:v>
      </x:c>
      <x:c r="M8" s="47" t="str">
        <x:v>resp_03e36186333530df006a95699c0e0c819386a6a647715ed20d</x:v>
      </x:c>
      <x:c r="N8" s="59" t="n">
        <x:v>12710</x:v>
      </x:c>
      <x:c r="O8" s="59" t="n">
        <x:v>626</x:v>
      </x:c>
      <x:c r="P8" s="59" t="n">
        <x:v>13336</x:v>
      </x:c>
    </x:row>
    <x:row r="9">
      <x:c r="A9" s="47" t="str">
        <x:v>EVT-000049</x:v>
      </x:c>
      <x:c r="B9" s="47" t="str">
        <x:v>RUN-TRF-085-20260831T114601851412Z</x:v>
      </x:c>
      <x:c r="C9" s="47" t="str">
        <x:v>TRF-085</x:v>
      </x:c>
      <x:c r="D9" s="93" t="n">
        <x:v>46265.49110493055</x:v>
      </x:c>
      <x:c r="E9" s="47" t="str">
        <x:v>generator</x:v>
      </x:c>
      <x:c r="F9" s="47" t="str">
        <x:v>gpt-5.6-luna-2026-07-09</x:v>
      </x:c>
      <x:c r="G9" s="47" t="n">
        <x:v>1</x:v>
      </x:c>
      <x:c r="H9" s="47" t="n">
        <x:v>200</x:v>
      </x:c>
      <x:c r="I9" s="47" t="str">
        <x:v>Ocp-Apim-Subscription-Key</x:v>
      </x:c>
      <x:c r="J9" s="86" t="n">
        <x:v>0</x:v>
      </x:c>
      <x:c r="K9" s="86" t="n">
        <x:v>23686.696</x:v>
      </x:c>
      <x:c r="L9" s="85" t="b">
        <x:v>0</x:v>
      </x:c>
      <x:c r="M9" s="47" t="str"/>
      <x:c r="N9" s="59" t="str"/>
      <x:c r="O9" s="59" t="str"/>
      <x:c r="P9" s="59" t="str"/>
    </x:row>
    <x:row r="10">
      <x:c r="A10" s="47" t="str">
        <x:v>EVT-000050</x:v>
      </x:c>
      <x:c r="B10" s="47" t="str">
        <x:v>RUN-TRF-085-20260831T114601851412Z</x:v>
      </x:c>
      <x:c r="C10" s="47" t="str">
        <x:v>TRF-085</x:v>
      </x:c>
      <x:c r="D10" s="93" t="n">
        <x:v>46265.49110494213</x:v>
      </x:c>
      <x:c r="E10" s="47" t="str">
        <x:v>generator</x:v>
      </x:c>
      <x:c r="F10" s="47" t="str">
        <x:v>gpt-5.6-luna-2026-07-09</x:v>
      </x:c>
      <x:c r="G10" s="47" t="n">
        <x:v>1</x:v>
      </x:c>
      <x:c r="H10" s="47" t="str">
        <x:v>COMPLETED</x:v>
      </x:c>
      <x:c r="I10" s="47" t="str"/>
      <x:c r="J10" s="86" t="n">
        <x:v>0</x:v>
      </x:c>
      <x:c r="K10" s="86" t="n">
        <x:v>23687.719</x:v>
      </x:c>
      <x:c r="L10" s="85" t="b">
        <x:v>0</x:v>
      </x:c>
      <x:c r="M10" s="47" t="str">
        <x:v>resp_090c4f177dc1382f006a9569a7e12c819380f9706be45fcb41</x:v>
      </x:c>
      <x:c r="N10" s="59" t="n">
        <x:v>11705</x:v>
      </x:c>
      <x:c r="O10" s="59" t="n">
        <x:v>2256</x:v>
      </x:c>
      <x:c r="P10" s="59" t="n">
        <x:v>13961</x:v>
      </x:c>
    </x:row>
    <x:row r="11">
      <x:c r="A11" s="47" t="str">
        <x:v>EVT-000057</x:v>
      </x:c>
      <x:c r="B11" s="47" t="str">
        <x:v>RUN-TRF-085-20260831T114601851412Z</x:v>
      </x:c>
      <x:c r="C11" s="47" t="str">
        <x:v>TRF-085</x:v>
      </x:c>
      <x:c r="D11" s="93" t="n">
        <x:v>46265.4912525</x:v>
      </x:c>
      <x:c r="E11" s="47" t="str">
        <x:v>validator</x:v>
      </x:c>
      <x:c r="F11" s="47" t="str">
        <x:v>gpt-5.6-luna-2026-07-09</x:v>
      </x:c>
      <x:c r="G11" s="47" t="n">
        <x:v>1</x:v>
      </x:c>
      <x:c r="H11" s="47" t="n">
        <x:v>200</x:v>
      </x:c>
      <x:c r="I11" s="47" t="str">
        <x:v>Ocp-Apim-Subscription-Key</x:v>
      </x:c>
      <x:c r="J11" s="86" t="n">
        <x:v>0</x:v>
      </x:c>
      <x:c r="K11" s="86" t="n">
        <x:v>12373.151</x:v>
      </x:c>
      <x:c r="L11" s="85" t="b">
        <x:v>0</x:v>
      </x:c>
      <x:c r="M11" s="47" t="str"/>
      <x:c r="N11" s="59" t="str"/>
      <x:c r="O11" s="59" t="str"/>
      <x:c r="P11" s="59" t="str"/>
    </x:row>
    <x:row r="12">
      <x:c r="A12" s="47" t="str">
        <x:v>EVT-000058</x:v>
      </x:c>
      <x:c r="B12" s="47" t="str">
        <x:v>RUN-TRF-085-20260831T114601851412Z</x:v>
      </x:c>
      <x:c r="C12" s="47" t="str">
        <x:v>TRF-085</x:v>
      </x:c>
      <x:c r="D12" s="93" t="n">
        <x:v>46265.49125251157</x:v>
      </x:c>
      <x:c r="E12" s="47" t="str">
        <x:v>validator</x:v>
      </x:c>
      <x:c r="F12" s="47" t="str">
        <x:v>gpt-5.6-luna-2026-07-09</x:v>
      </x:c>
      <x:c r="G12" s="47" t="n">
        <x:v>1</x:v>
      </x:c>
      <x:c r="H12" s="47" t="str">
        <x:v>COMPLETED</x:v>
      </x:c>
      <x:c r="I12" s="47" t="str"/>
      <x:c r="J12" s="86" t="n">
        <x:v>0</x:v>
      </x:c>
      <x:c r="K12" s="86" t="n">
        <x:v>12373.968</x:v>
      </x:c>
      <x:c r="L12" s="85" t="b">
        <x:v>0</x:v>
      </x:c>
      <x:c r="M12" s="47" t="str">
        <x:v>resp_031d4a066502f5ec006a9569bff4b48194a949f26d133d13df</x:v>
      </x:c>
      <x:c r="N12" s="59" t="n">
        <x:v>12979</x:v>
      </x:c>
      <x:c r="O12" s="59" t="n">
        <x:v>899</x:v>
      </x:c>
      <x:c r="P12" s="59" t="n">
        <x:v>13878</x:v>
      </x:c>
    </x:row>
    <x:row r="13">
      <x:c r="A13" s="47" t="str">
        <x:v>EVT-000063</x:v>
      </x:c>
      <x:c r="B13" s="47" t="str">
        <x:v>RUN-TRF-085-20260831T114601851412Z</x:v>
      </x:c>
      <x:c r="C13" s="47" t="str">
        <x:v>TRF-085</x:v>
      </x:c>
      <x:c r="D13" s="93" t="n">
        <x:v>46265.491641886576</x:v>
      </x:c>
      <x:c r="E13" s="47" t="str">
        <x:v>generator</x:v>
      </x:c>
      <x:c r="F13" s="47" t="str">
        <x:v>gpt-5.6-luna-2026-07-09</x:v>
      </x:c>
      <x:c r="G13" s="47" t="n">
        <x:v>1</x:v>
      </x:c>
      <x:c r="H13" s="47" t="n">
        <x:v>200</x:v>
      </x:c>
      <x:c r="I13" s="47" t="str">
        <x:v>Ocp-Apim-Subscription-Key</x:v>
      </x:c>
      <x:c r="J13" s="86" t="n">
        <x:v>0</x:v>
      </x:c>
      <x:c r="K13" s="86" t="n">
        <x:v>33639.113</x:v>
      </x:c>
      <x:c r="L13" s="85" t="b">
        <x:v>0</x:v>
      </x:c>
      <x:c r="M13" s="47" t="str"/>
      <x:c r="N13" s="59" t="str"/>
      <x:c r="O13" s="59" t="str"/>
      <x:c r="P13" s="59" t="str"/>
    </x:row>
    <x:row r="14">
      <x:c r="A14" s="47" t="str">
        <x:v>EVT-000064</x:v>
      </x:c>
      <x:c r="B14" s="47" t="str">
        <x:v>RUN-TRF-085-20260831T114601851412Z</x:v>
      </x:c>
      <x:c r="C14" s="47" t="str">
        <x:v>TRF-085</x:v>
      </x:c>
      <x:c r="D14" s="93" t="n">
        <x:v>46265.49164190972</x:v>
      </x:c>
      <x:c r="E14" s="47" t="str">
        <x:v>generator</x:v>
      </x:c>
      <x:c r="F14" s="47" t="str">
        <x:v>gpt-5.6-luna-2026-07-09</x:v>
      </x:c>
      <x:c r="G14" s="47" t="n">
        <x:v>1</x:v>
      </x:c>
      <x:c r="H14" s="47" t="str">
        <x:v>COMPLETED</x:v>
      </x:c>
      <x:c r="I14" s="47" t="str"/>
      <x:c r="J14" s="86" t="n">
        <x:v>0</x:v>
      </x:c>
      <x:c r="K14" s="86" t="n">
        <x:v>33640.725</x:v>
      </x:c>
      <x:c r="L14" s="85" t="b">
        <x:v>0</x:v>
      </x:c>
      <x:c r="M14" s="47" t="str">
        <x:v>resp_0ebd784bf0750c6c006a9569cc6f14819498edd5febcaf8f24</x:v>
      </x:c>
      <x:c r="N14" s="59" t="n">
        <x:v>11831</x:v>
      </x:c>
      <x:c r="O14" s="59" t="n">
        <x:v>3314</x:v>
      </x:c>
      <x:c r="P14" s="59" t="n">
        <x:v>15145</x:v>
      </x:c>
    </x:row>
    <x:row r="15">
      <x:c r="A15" s="47" t="str">
        <x:v>EVT-000071</x:v>
      </x:c>
      <x:c r="B15" s="47" t="str">
        <x:v>RUN-TRF-085-20260831T114601851412Z</x:v>
      </x:c>
      <x:c r="C15" s="47" t="str">
        <x:v>TRF-085</x:v>
      </x:c>
      <x:c r="D15" s="93" t="n">
        <x:v>46265.49180425926</x:v>
      </x:c>
      <x:c r="E15" s="47" t="str">
        <x:v>validator</x:v>
      </x:c>
      <x:c r="F15" s="47" t="str">
        <x:v>gpt-5.6-luna-2026-07-09</x:v>
      </x:c>
      <x:c r="G15" s="47" t="n">
        <x:v>1</x:v>
      </x:c>
      <x:c r="H15" s="47" t="n">
        <x:v>200</x:v>
      </x:c>
      <x:c r="I15" s="47" t="str">
        <x:v>Ocp-Apim-Subscription-Key</x:v>
      </x:c>
      <x:c r="J15" s="86" t="n">
        <x:v>0</x:v>
      </x:c>
      <x:c r="K15" s="86" t="n">
        <x:v>13834.779</x:v>
      </x:c>
      <x:c r="L15" s="85" t="b">
        <x:v>0</x:v>
      </x:c>
      <x:c r="M15" s="47" t="str"/>
      <x:c r="N15" s="59" t="str"/>
      <x:c r="O15" s="59" t="str"/>
      <x:c r="P15" s="59" t="str"/>
    </x:row>
    <x:row r="16">
      <x:c r="A16" s="47" t="str">
        <x:v>EVT-000072</x:v>
      </x:c>
      <x:c r="B16" s="47" t="str">
        <x:v>RUN-TRF-085-20260831T114601851412Z</x:v>
      </x:c>
      <x:c r="C16" s="47" t="str">
        <x:v>TRF-085</x:v>
      </x:c>
      <x:c r="D16" s="93" t="n">
        <x:v>46265.49180427083</x:v>
      </x:c>
      <x:c r="E16" s="47" t="str">
        <x:v>validator</x:v>
      </x:c>
      <x:c r="F16" s="47" t="str">
        <x:v>gpt-5.6-luna-2026-07-09</x:v>
      </x:c>
      <x:c r="G16" s="47" t="n">
        <x:v>1</x:v>
      </x:c>
      <x:c r="H16" s="47" t="str">
        <x:v>COMPLETED</x:v>
      </x:c>
      <x:c r="I16" s="47" t="str"/>
      <x:c r="J16" s="86" t="n">
        <x:v>0</x:v>
      </x:c>
      <x:c r="K16" s="86" t="n">
        <x:v>13836.335</x:v>
      </x:c>
      <x:c r="L16" s="85" t="b">
        <x:v>0</x:v>
      </x:c>
      <x:c r="M16" s="47" t="str">
        <x:v>resp_0f5d61b97820d1d3006a9569ee280c819595ca8fff0e3f55cd</x:v>
      </x:c>
      <x:c r="N16" s="59" t="n">
        <x:v>13109</x:v>
      </x:c>
      <x:c r="O16" s="59" t="n">
        <x:v>1154</x:v>
      </x:c>
      <x:c r="P16" s="59" t="n">
        <x:v>14263</x:v>
      </x:c>
    </x:row>
    <x:row r="17">
      <x:c r="A17" s="47" t="str">
        <x:v>EVT-000077</x:v>
      </x:c>
      <x:c r="B17" s="47" t="str">
        <x:v>RUN-TRF-085-20260831T114601851412Z</x:v>
      </x:c>
      <x:c r="C17" s="47" t="str">
        <x:v>TRF-085</x:v>
      </x:c>
      <x:c r="D17" s="93" t="n">
        <x:v>46265.49209789352</x:v>
      </x:c>
      <x:c r="E17" s="47" t="str">
        <x:v>generator</x:v>
      </x:c>
      <x:c r="F17" s="47" t="str">
        <x:v>gpt-5.6-luna-2026-07-09</x:v>
      </x:c>
      <x:c r="G17" s="47" t="n">
        <x:v>1</x:v>
      </x:c>
      <x:c r="H17" s="47" t="n">
        <x:v>200</x:v>
      </x:c>
      <x:c r="I17" s="47" t="str">
        <x:v>Ocp-Apim-Subscription-Key</x:v>
      </x:c>
      <x:c r="J17" s="86" t="n">
        <x:v>0</x:v>
      </x:c>
      <x:c r="K17" s="86" t="n">
        <x:v>25364.705</x:v>
      </x:c>
      <x:c r="L17" s="85" t="b">
        <x:v>0</x:v>
      </x:c>
      <x:c r="M17" s="47" t="str"/>
      <x:c r="N17" s="59" t="str"/>
      <x:c r="O17" s="59" t="str"/>
      <x:c r="P17" s="59" t="str"/>
    </x:row>
    <x:row r="18">
      <x:c r="A18" s="47" t="str">
        <x:v>EVT-000078</x:v>
      </x:c>
      <x:c r="B18" s="47" t="str">
        <x:v>RUN-TRF-085-20260831T114601851412Z</x:v>
      </x:c>
      <x:c r="C18" s="47" t="str">
        <x:v>TRF-085</x:v>
      </x:c>
      <x:c r="D18" s="93" t="n">
        <x:v>46265.49209791666</x:v>
      </x:c>
      <x:c r="E18" s="47" t="str">
        <x:v>generator</x:v>
      </x:c>
      <x:c r="F18" s="47" t="str">
        <x:v>gpt-5.6-luna-2026-07-09</x:v>
      </x:c>
      <x:c r="G18" s="47" t="n">
        <x:v>1</x:v>
      </x:c>
      <x:c r="H18" s="47" t="str">
        <x:v>COMPLETED</x:v>
      </x:c>
      <x:c r="I18" s="47" t="str"/>
      <x:c r="J18" s="86" t="n">
        <x:v>0</x:v>
      </x:c>
      <x:c r="K18" s="86" t="n">
        <x:v>25366.239</x:v>
      </x:c>
      <x:c r="L18" s="85" t="b">
        <x:v>0</x:v>
      </x:c>
      <x:c r="M18" s="47" t="str">
        <x:v>resp_029db58dd5866fc7006a9569fc0964819581ad62e05749af9b</x:v>
      </x:c>
      <x:c r="N18" s="59" t="n">
        <x:v>11934</x:v>
      </x:c>
      <x:c r="O18" s="59" t="n">
        <x:v>2742</x:v>
      </x:c>
      <x:c r="P18" s="59" t="n">
        <x:v>14676</x:v>
      </x:c>
    </x:row>
    <x:row r="19">
      <x:c r="A19" s="47" t="str">
        <x:v>EVT-000085</x:v>
      </x:c>
      <x:c r="B19" s="47" t="str">
        <x:v>RUN-TRF-085-20260831T114601851412Z</x:v>
      </x:c>
      <x:c r="C19" s="47" t="str">
        <x:v>TRF-085</x:v>
      </x:c>
      <x:c r="D19" s="93" t="n">
        <x:v>46265.49220486111</x:v>
      </x:c>
      <x:c r="E19" s="47" t="str">
        <x:v>validator</x:v>
      </x:c>
      <x:c r="F19" s="47" t="str">
        <x:v>gpt-5.6-luna-2026-07-09</x:v>
      </x:c>
      <x:c r="G19" s="47" t="n">
        <x:v>1</x:v>
      </x:c>
      <x:c r="H19" s="47" t="n">
        <x:v>200</x:v>
      </x:c>
      <x:c r="I19" s="47" t="str">
        <x:v>Ocp-Apim-Subscription-Key</x:v>
      </x:c>
      <x:c r="J19" s="86" t="n">
        <x:v>0</x:v>
      </x:c>
      <x:c r="K19" s="86" t="n">
        <x:v>9039.472</x:v>
      </x:c>
      <x:c r="L19" s="85" t="b">
        <x:v>0</x:v>
      </x:c>
      <x:c r="M19" s="47" t="str"/>
      <x:c r="N19" s="59" t="str"/>
      <x:c r="O19" s="59" t="str"/>
      <x:c r="P19" s="59" t="str"/>
    </x:row>
    <x:row r="20">
      <x:c r="A20" s="49" t="str">
        <x:v>EVT-000086</x:v>
      </x:c>
      <x:c r="B20" s="49" t="str">
        <x:v>RUN-TRF-085-20260831T114601851412Z</x:v>
      </x:c>
      <x:c r="C20" s="49" t="str">
        <x:v>TRF-085</x:v>
      </x:c>
      <x:c r="D20" s="94" t="n">
        <x:v>46265.492204884256</x:v>
      </x:c>
      <x:c r="E20" s="49" t="str">
        <x:v>validator</x:v>
      </x:c>
      <x:c r="F20" s="49" t="str">
        <x:v>gpt-5.6-luna-2026-07-09</x:v>
      </x:c>
      <x:c r="G20" s="49" t="n">
        <x:v>1</x:v>
      </x:c>
      <x:c r="H20" s="49" t="str">
        <x:v>COMPLETED</x:v>
      </x:c>
      <x:c r="I20" s="49" t="str"/>
      <x:c r="J20" s="88" t="n">
        <x:v>0</x:v>
      </x:c>
      <x:c r="K20" s="88" t="n">
        <x:v>9040.89</x:v>
      </x:c>
      <x:c r="L20" s="87" t="b">
        <x:v>0</x:v>
      </x:c>
      <x:c r="M20" s="49" t="str">
        <x:v>resp_0cc7f1c65ae151b6006a956a15c554819589c820eb50e6baac</x:v>
      </x:c>
      <x:c r="N20" s="60" t="n">
        <x:v>12956</x:v>
      </x:c>
      <x:c r="O20" s="60" t="n">
        <x:v>638</x:v>
      </x:c>
      <x:c r="P20" s="60" t="n">
        <x:v>13594</x:v>
      </x:c>
    </x:row>
  </x:sheetData>
  <x:conditionalFormatting sqref="H5:H20">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7ea75e78c2b74229"/>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RUN-TRF-085-20260831T114601851412Z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RUN-TRF-085-20260831T114601851412Z</x:v>
      </x:c>
      <x:c r="B5" s="45" t="str">
        <x:v>TRF-085</x:v>
      </x:c>
      <x:c r="C5" s="45" t="str">
        <x:v>benchmarkEntity</x:v>
      </x:c>
      <x:c r="D5" s="46" t="str">
        <x:v>https://w3id.org/nltl/vocab#benchmarkEntity</x:v>
      </x:c>
      <x:c r="E5" s="45" t="str">
        <x:v>Class</x:v>
      </x:c>
      <x:c r="F5" s="45" t="str"/>
      <x:c r="G5" s="45" t="str"/>
      <x:c r="H5" s="45" t="str"/>
      <x:c r="I5" s="46" t="str">
        <x:v>baseline target infrastructure; domain dependency of propellerDiameter; domain dependency of propellerRotationalSpeedAtMaximumContinuousRatingBollard</x:v>
      </x:c>
      <x:c r="J5" s="45" t="n">
        <x:v>0</x:v>
      </x:c>
    </x:row>
    <x:row r="6">
      <x:c r="A6" s="47" t="str">
        <x:v>RUN-TRF-085-20260831T114601851412Z</x:v>
      </x:c>
      <x:c r="B6" s="47" t="str">
        <x:v>TRF-085</x:v>
      </x:c>
      <x:c r="C6" s="47" t="str">
        <x:v>bollardPropellerSpeedKnown</x:v>
      </x:c>
      <x:c r="D6" s="48" t="str">
        <x:v>https://w3id.org/nltl/vocab#bollardPropellerSpeedKnown</x:v>
      </x:c>
      <x:c r="E6" s="47" t="str">
        <x:v>DatatypeProperty</x:v>
      </x:c>
      <x:c r="F6" s="47" t="str">
        <x:v>xsd:boolean</x:v>
      </x:c>
      <x:c r="G6" s="47" t="str">
        <x:v>http://www.w3.org/2001/XMLSchema#boolean</x:v>
      </x:c>
      <x:c r="H6" s="47" t="str"/>
      <x:c r="I6" s="48" t="str">
        <x:v>linked by the locked 313-requirement index</x:v>
      </x:c>
      <x:c r="J6" s="47" t="n">
        <x:v>0</x:v>
      </x:c>
    </x:row>
    <x:row r="7">
      <x:c r="A7" s="47" t="str">
        <x:v>RUN-TRF-085-20260831T114601851412Z</x:v>
      </x:c>
      <x:c r="B7" s="47" t="str">
        <x:v>TRF-085</x:v>
      </x:c>
      <x:c r="C7" s="47" t="str">
        <x:v>evidenceArtifact</x:v>
      </x:c>
      <x:c r="D7" s="48" t="str">
        <x:v>https://w3id.org/nltl/vocab#evidenceArtifact</x:v>
      </x:c>
      <x:c r="E7" s="47" t="str">
        <x:v>Class</x:v>
      </x:c>
      <x:c r="F7" s="47" t="str"/>
      <x:c r="G7" s="47" t="str"/>
      <x:c r="H7" s="47" t="str"/>
      <x:c r="I7" s="48" t="str">
        <x:v>range dependency of lookupSelectionEvidence</x:v>
      </x:c>
      <x:c r="J7" s="47" t="n">
        <x:v>0</x:v>
      </x:c>
    </x:row>
    <x:row r="8">
      <x:c r="A8" s="47" t="str">
        <x:v>RUN-TRF-085-20260831T114601851412Z</x:v>
      </x:c>
      <x:c r="B8" s="47" t="str">
        <x:v>TRF-085</x:v>
      </x:c>
      <x:c r="C8" s="47" t="str">
        <x:v>hasComponent</x:v>
      </x:c>
      <x:c r="D8" s="48" t="str">
        <x:v>https://w3id.org/nltl/vocab#hasComponent</x:v>
      </x:c>
      <x:c r="E8" s="47" t="str">
        <x:v>ObjectProperty</x:v>
      </x:c>
      <x:c r="F8" s="47" t="str"/>
      <x:c r="G8" s="47" t="str">
        <x:v>https://w3id.org/nltl/vocab#shipComponent</x:v>
      </x:c>
      <x:c r="H8" s="47" t="str"/>
      <x:c r="I8" s="48" t="str">
        <x:v>component-path dependency inferred from the linked term module</x:v>
      </x:c>
      <x:c r="J8" s="47" t="n">
        <x:v>0</x:v>
      </x:c>
    </x:row>
    <x:row r="9">
      <x:c r="A9" s="47" t="str">
        <x:v>RUN-TRF-085-20260831T114601851412Z</x:v>
      </x:c>
      <x:c r="B9" s="47" t="str">
        <x:v>TRF-085</x:v>
      </x:c>
      <x:c r="C9" s="47" t="str">
        <x:v>hasTableLookupCase</x:v>
      </x:c>
      <x:c r="D9" s="48" t="str">
        <x:v>https://w3id.org/nltl/vocab#hasTableLookupCase</x:v>
      </x:c>
      <x:c r="E9" s="47" t="str">
        <x:v>ObjectProperty</x:v>
      </x:c>
      <x:c r="F9" s="47" t="str"/>
      <x:c r="G9" s="47" t="str">
        <x:v>https://w3id.org/nltl/vocab#tableLookupCase</x:v>
      </x:c>
      <x:c r="H9" s="47" t="str"/>
      <x:c r="I9" s="48" t="str">
        <x:v>canonical path from target owner ship to required owner tableLookupCase; linked by the locked 313-requirement index</x:v>
      </x:c>
      <x:c r="J9" s="47" t="n">
        <x:v>0</x:v>
      </x:c>
    </x:row>
    <x:row r="10">
      <x:c r="A10" s="47" t="str">
        <x:v>RUN-TRF-085-20260831T114601851412Z</x:v>
      </x:c>
      <x:c r="B10" s="47" t="str">
        <x:v>TRF-085</x:v>
      </x:c>
      <x:c r="C10" s="47" t="str">
        <x:v>iacsUrI2Table3</x:v>
      </x:c>
      <x:c r="D10" s="48" t="str">
        <x:v>https://w3id.org/nltl/vocab#iacsUrI2Table3</x:v>
      </x:c>
      <x:c r="E10" s="47" t="str">
        <x:v>NamedIndividual</x:v>
      </x:c>
      <x:c r="F10" s="47" t="str"/>
      <x:c r="G10" s="47" t="str">
        <x:v>https://w3id.org/nltl/vocab#tableReferenceValue</x:v>
      </x:c>
      <x:c r="H10" s="47" t="str"/>
      <x:c r="I10" s="48" t="str">
        <x:v>controlled value permitted by the range of tableReference; controlled value permitted by the range of traficomTable6Dash9</x:v>
      </x:c>
      <x:c r="J10" s="47" t="n">
        <x:v>0</x:v>
      </x:c>
    </x:row>
    <x:row r="11">
      <x:c r="A11" s="47" t="str">
        <x:v>RUN-TRF-085-20260831T114601851412Z</x:v>
      </x:c>
      <x:c r="B11" s="47" t="str">
        <x:v>TRF-085</x:v>
      </x:c>
      <x:c r="C11" s="47" t="str">
        <x:v>iacsUrI2Table8</x:v>
      </x:c>
      <x:c r="D11" s="48" t="str">
        <x:v>https://w3id.org/nltl/vocab#iacsUrI2Table8</x:v>
      </x:c>
      <x:c r="E11" s="47" t="str">
        <x:v>NamedIndividual</x:v>
      </x:c>
      <x:c r="F11" s="47" t="str"/>
      <x:c r="G11" s="47" t="str">
        <x:v>https://w3id.org/nltl/vocab#tableReferenceValue</x:v>
      </x:c>
      <x:c r="H11" s="47" t="str"/>
      <x:c r="I11" s="48" t="str">
        <x:v>controlled value permitted by the range of tableReference; controlled value permitted by the range of traficomTable6Dash9</x:v>
      </x:c>
      <x:c r="J11" s="47" t="n">
        <x:v>0</x:v>
      </x:c>
    </x:row>
    <x:row r="12">
      <x:c r="A12" s="47" t="str">
        <x:v>RUN-TRF-085-20260831T114601851412Z</x:v>
      </x:c>
      <x:c r="B12" s="47" t="str">
        <x:v>TRF-085</x:v>
      </x:c>
      <x:c r="C12" s="47" t="str">
        <x:v>lookupInputQuantity</x:v>
      </x:c>
      <x:c r="D12" s="48" t="str">
        <x:v>https://w3id.org/nltl/vocab#lookupInputQuantity</x:v>
      </x:c>
      <x:c r="E12" s="47" t="str">
        <x:v>QuantityProperty</x:v>
      </x:c>
      <x:c r="F12" s="47" t="str"/>
      <x:c r="G12" s="47" t="str">
        <x:v>http://qudt.org/schema/qudt/QuantityValue</x:v>
      </x:c>
      <x:c r="H12" s="47" t="str"/>
      <x:c r="I12" s="48" t="str">
        <x:v>linked by the locked 313-requirement index</x:v>
      </x:c>
      <x:c r="J12" s="47" t="n">
        <x:v>0</x:v>
      </x:c>
    </x:row>
    <x:row r="13">
      <x:c r="A13" s="47" t="str">
        <x:v>RUN-TRF-085-20260831T114601851412Z</x:v>
      </x:c>
      <x:c r="B13" s="47" t="str">
        <x:v>TRF-085</x:v>
      </x:c>
      <x:c r="C13" s="47" t="str">
        <x:v>lookupResultQuantity</x:v>
      </x:c>
      <x:c r="D13" s="48" t="str">
        <x:v>https://w3id.org/nltl/vocab#lookupResultQuantity</x:v>
      </x:c>
      <x:c r="E13" s="47" t="str">
        <x:v>QuantityProperty</x:v>
      </x:c>
      <x:c r="F13" s="47" t="str"/>
      <x:c r="G13" s="47" t="str">
        <x:v>http://qudt.org/schema/qudt/QuantityValue</x:v>
      </x:c>
      <x:c r="H13" s="47" t="str"/>
      <x:c r="I13" s="48" t="str">
        <x:v>linked by the locked 313-requirement index</x:v>
      </x:c>
      <x:c r="J13" s="47" t="n">
        <x:v>0</x:v>
      </x:c>
    </x:row>
    <x:row r="14">
      <x:c r="A14" s="47" t="str">
        <x:v>RUN-TRF-085-20260831T114601851412Z</x:v>
      </x:c>
      <x:c r="B14" s="47" t="str">
        <x:v>TRF-085</x:v>
      </x:c>
      <x:c r="C14" s="47" t="str">
        <x:v>lookupSelectionEvidence</x:v>
      </x:c>
      <x:c r="D14" s="48" t="str">
        <x:v>https://w3id.org/nltl/vocab#lookupSelectionEvidence</x:v>
      </x:c>
      <x:c r="E14" s="47" t="str">
        <x:v>ObjectProperty</x:v>
      </x:c>
      <x:c r="F14" s="47" t="str"/>
      <x:c r="G14" s="47" t="str">
        <x:v>https://w3id.org/nltl/vocab#evidenceArtifact</x:v>
      </x:c>
      <x:c r="H14" s="47" t="str"/>
      <x:c r="I14" s="48" t="str">
        <x:v>linked by the locked 313-requirement index</x:v>
      </x:c>
      <x:c r="J14" s="47" t="n">
        <x:v>0</x:v>
      </x:c>
    </x:row>
    <x:row r="15">
      <x:c r="A15" s="47" t="str">
        <x:v>RUN-TRF-085-20260831T114601851412Z</x:v>
      </x:c>
      <x:c r="B15" s="47" t="str">
        <x:v>TRF-085</x:v>
      </x:c>
      <x:c r="C15" s="47" t="str">
        <x:v>propellerDiameter</x:v>
      </x:c>
      <x:c r="D15" s="48" t="str">
        <x:v>https://w3id.org/nltl/vocab#propellerDiameter</x:v>
      </x:c>
      <x:c r="E15" s="47" t="str">
        <x:v>QuantityProperty</x:v>
      </x:c>
      <x:c r="F15" s="47" t="str"/>
      <x:c r="G15" s="47" t="str">
        <x:v>http://qudt.org/schema/qudt/QuantityValue</x:v>
      </x:c>
      <x:c r="H15" s="47" t="str">
        <x:v>http://qudt.org/vocab/unit/M</x:v>
      </x:c>
      <x:c r="I15" s="48" t="str">
        <x:v>linked by the locked 313-requirement index</x:v>
      </x:c>
      <x:c r="J15" s="47" t="n">
        <x:v>0</x:v>
      </x:c>
    </x:row>
    <x:row r="16">
      <x:c r="A16" s="47" t="str">
        <x:v>RUN-TRF-085-20260831T114601851412Z</x:v>
      </x:c>
      <x:c r="B16" s="47" t="str">
        <x:v>TRF-085</x:v>
      </x:c>
      <x:c r="C16" s="47" t="str">
        <x:v>propellerRotationalSpeedAtMaximumContinuousRatingBollard</x:v>
      </x:c>
      <x:c r="D16" s="48" t="str">
        <x:v>https://w3id.org/nltl/vocab#propellerRotationalSpeedAtMaximumContinuousRatingBollard</x:v>
      </x:c>
      <x:c r="E16" s="47" t="str">
        <x:v>QuantityProperty</x:v>
      </x:c>
      <x:c r="F16" s="47" t="str"/>
      <x:c r="G16" s="47" t="str">
        <x:v>http://qudt.org/schema/qudt/QuantityValue</x:v>
      </x:c>
      <x:c r="H16" s="47" t="str">
        <x:v>http://qudt.org/vocab/unit/REV-PER-MIN</x:v>
      </x:c>
      <x:c r="I16" s="48" t="str">
        <x:v>linked by the locked 313-requirement index</x:v>
      </x:c>
      <x:c r="J16" s="47" t="n">
        <x:v>0</x:v>
      </x:c>
    </x:row>
    <x:row r="17">
      <x:c r="A17" s="47" t="str">
        <x:v>RUN-TRF-085-20260831T114601851412Z</x:v>
      </x:c>
      <x:c r="B17" s="47" t="str">
        <x:v>TRF-085</x:v>
      </x:c>
      <x:c r="C17" s="47" t="str">
        <x:v>ship</x:v>
      </x:c>
      <x:c r="D17" s="48" t="str">
        <x:v>https://w3id.org/nltl/vocab#ship</x:v>
      </x:c>
      <x:c r="E17" s="47" t="str">
        <x:v>Class</x:v>
      </x:c>
      <x:c r="F17" s="47" t="str"/>
      <x:c r="G17" s="47" t="str"/>
      <x:c r="H17" s="47" t="str"/>
      <x:c r="I17" s="48" t="str">
        <x:v>authoritative required owner class; authoritative requirement target owner; baseline target infrastructure; domain dependency of bollardPropellerSpeedKnown; domain dependency of hasTableLookupCase</x:v>
      </x:c>
      <x:c r="J17" s="47" t="n">
        <x:v>0</x:v>
      </x:c>
    </x:row>
    <x:row r="18">
      <x:c r="A18" s="47" t="str">
        <x:v>RUN-TRF-085-20260831T114601851412Z</x:v>
      </x:c>
      <x:c r="B18" s="47" t="str">
        <x:v>TRF-085</x:v>
      </x:c>
      <x:c r="C18" s="47" t="str">
        <x:v>shipComponent</x:v>
      </x:c>
      <x:c r="D18" s="48" t="str">
        <x:v>https://w3id.org/nltl/vocab#shipComponent</x:v>
      </x:c>
      <x:c r="E18" s="47" t="str">
        <x:v>Class</x:v>
      </x:c>
      <x:c r="F18" s="47" t="str"/>
      <x:c r="G18" s="47" t="str"/>
      <x:c r="H18" s="47" t="str"/>
      <x:c r="I18" s="48" t="str">
        <x:v>component-path dependency inferred from the linked term module</x:v>
      </x:c>
      <x:c r="J18" s="47" t="n">
        <x:v>0</x:v>
      </x:c>
    </x:row>
    <x:row r="19">
      <x:c r="A19" s="47" t="str">
        <x:v>RUN-TRF-085-20260831T114601851412Z</x:v>
      </x:c>
      <x:c r="B19" s="47" t="str">
        <x:v>TRF-085</x:v>
      </x:c>
      <x:c r="C19" s="47" t="str">
        <x:v>tableLookupApplied</x:v>
      </x:c>
      <x:c r="D19" s="48" t="str">
        <x:v>https://w3id.org/nltl/vocab#tableLookupApplied</x:v>
      </x:c>
      <x:c r="E19" s="47" t="str">
        <x:v>DatatypeProperty</x:v>
      </x:c>
      <x:c r="F19" s="47" t="str">
        <x:v>xsd:boolean</x:v>
      </x:c>
      <x:c r="G19" s="47" t="str">
        <x:v>http://www.w3.org/2001/XMLSchema#boolean</x:v>
      </x:c>
      <x:c r="H19" s="47" t="str"/>
      <x:c r="I19" s="48" t="str">
        <x:v>linked by the locked 313-requirement index</x:v>
      </x:c>
      <x:c r="J19" s="47" t="n">
        <x:v>0</x:v>
      </x:c>
    </x:row>
    <x:row r="20">
      <x:c r="A20" s="47" t="str">
        <x:v>RUN-TRF-085-20260831T114601851412Z</x:v>
      </x:c>
      <x:c r="B20" s="47" t="str">
        <x:v>TRF-085</x:v>
      </x:c>
      <x:c r="C20" s="47" t="str">
        <x:v>tableLookupCase</x:v>
      </x:c>
      <x:c r="D20" s="48" t="str">
        <x:v>https://w3id.org/nltl/vocab#tableLookupCase</x:v>
      </x:c>
      <x:c r="E20" s="47" t="str">
        <x:v>Class</x:v>
      </x:c>
      <x:c r="F20" s="47" t="str"/>
      <x:c r="G20" s="47" t="str">
        <x:v>https://w3id.org/nltl/vocab#calculationCase</x:v>
      </x:c>
      <x:c r="H20" s="47" t="str"/>
      <x:c r="I20" s="48" t="str">
        <x:v>authoritative required owner class; domain dependency of lookupInputQuantity; domain dependency of lookupResultQuantity; domain dependency of lookupSelectionEvidence; domain dependency of tableLookupApplied; domain dependency of tableReference; range dependency of hasTableLookupCase</x:v>
      </x:c>
      <x:c r="J20" s="47" t="n">
        <x:v>0</x:v>
      </x:c>
    </x:row>
    <x:row r="21">
      <x:c r="A21" s="47" t="str">
        <x:v>RUN-TRF-085-20260831T114601851412Z</x:v>
      </x:c>
      <x:c r="B21" s="47" t="str">
        <x:v>TRF-085</x:v>
      </x:c>
      <x:c r="C21" s="47" t="str">
        <x:v>tableReference</x:v>
      </x:c>
      <x:c r="D21" s="48" t="str">
        <x:v>https://w3id.org/nltl/vocab#tableReference</x:v>
      </x:c>
      <x:c r="E21" s="47" t="str">
        <x:v>ObjectProperty</x:v>
      </x:c>
      <x:c r="F21" s="47" t="str"/>
      <x:c r="G21" s="47" t="str">
        <x:v>https://w3id.org/nltl/vocab#tableReferenceValue</x:v>
      </x:c>
      <x:c r="H21" s="47" t="str"/>
      <x:c r="I21" s="48" t="str">
        <x:v>linked by the locked 313-requirement index</x:v>
      </x:c>
      <x:c r="J21" s="47" t="n">
        <x:v>0</x:v>
      </x:c>
    </x:row>
    <x:row r="22">
      <x:c r="A22" s="47" t="str">
        <x:v>RUN-TRF-085-20260831T114601851412Z</x:v>
      </x:c>
      <x:c r="B22" s="47" t="str">
        <x:v>TRF-085</x:v>
      </x:c>
      <x:c r="C22" s="47" t="str">
        <x:v>tableReferenceValue</x:v>
      </x:c>
      <x:c r="D22" s="48" t="str">
        <x:v>https://w3id.org/nltl/vocab#tableReferenceValue</x:v>
      </x:c>
      <x:c r="E22" s="47" t="str">
        <x:v>Class</x:v>
      </x:c>
      <x:c r="F22" s="47" t="str"/>
      <x:c r="G22" s="47" t="str">
        <x:v>https://w3id.org/nltl/vocab#benchmarkEntity</x:v>
      </x:c>
      <x:c r="H22" s="47" t="str"/>
      <x:c r="I22" s="48" t="str">
        <x:v>range dependency of tableReference; range dependency of traficomTable6Dash9</x:v>
      </x:c>
      <x:c r="J22" s="47" t="n">
        <x:v>0</x:v>
      </x:c>
    </x:row>
    <x:row r="23">
      <x:c r="A23" s="47" t="str">
        <x:v>RUN-TRF-085-20260831T114601851412Z</x:v>
      </x:c>
      <x:c r="B23" s="47" t="str">
        <x:v>TRF-085</x:v>
      </x:c>
      <x:c r="C23" s="47" t="str">
        <x:v>traficomTable4Dash8</x:v>
      </x:c>
      <x:c r="D23" s="48" t="str">
        <x:v>https://w3id.org/nltl/vocab#traficomTable4Dash8</x:v>
      </x:c>
      <x:c r="E23" s="47" t="str">
        <x:v>NamedIndividual</x:v>
      </x:c>
      <x:c r="F23" s="47" t="str"/>
      <x:c r="G23" s="47" t="str">
        <x:v>https://w3id.org/nltl/vocab#tableReferenceValue</x:v>
      </x:c>
      <x:c r="H23" s="47" t="str"/>
      <x:c r="I23" s="48" t="str">
        <x:v>controlled value permitted by the range of tableReference; controlled value permitted by the range of traficomTable6Dash9</x:v>
      </x:c>
      <x:c r="J23" s="47" t="n">
        <x:v>0</x:v>
      </x:c>
    </x:row>
    <x:row r="24">
      <x:c r="A24" s="47" t="str">
        <x:v>RUN-TRF-085-20260831T114601851412Z</x:v>
      </x:c>
      <x:c r="B24" s="47" t="str">
        <x:v>TRF-085</x:v>
      </x:c>
      <x:c r="C24" s="47" t="str">
        <x:v>traficomTable6Dash10</x:v>
      </x:c>
      <x:c r="D24" s="48" t="str">
        <x:v>https://w3id.org/nltl/vocab#traficomTable6Dash10</x:v>
      </x:c>
      <x:c r="E24" s="47" t="str">
        <x:v>NamedIndividual</x:v>
      </x:c>
      <x:c r="F24" s="47" t="str"/>
      <x:c r="G24" s="47" t="str">
        <x:v>https://w3id.org/nltl/vocab#tableReferenceValue</x:v>
      </x:c>
      <x:c r="H24" s="47" t="str"/>
      <x:c r="I24" s="48" t="str">
        <x:v>controlled value permitted by the range of tableReference; controlled value permitted by the range of traficomTable6Dash9</x:v>
      </x:c>
      <x:c r="J24" s="47" t="n">
        <x:v>0</x:v>
      </x:c>
    </x:row>
    <x:row r="25">
      <x:c r="A25" s="47" t="str">
        <x:v>RUN-TRF-085-20260831T114601851412Z</x:v>
      </x:c>
      <x:c r="B25" s="47" t="str">
        <x:v>TRF-085</x:v>
      </x:c>
      <x:c r="C25" s="47" t="str">
        <x:v>traficomTable6Dash14</x:v>
      </x:c>
      <x:c r="D25" s="48" t="str">
        <x:v>https://w3id.org/nltl/vocab#traficomTable6Dash14</x:v>
      </x:c>
      <x:c r="E25" s="47" t="str">
        <x:v>NamedIndividual</x:v>
      </x:c>
      <x:c r="F25" s="47" t="str"/>
      <x:c r="G25" s="47" t="str">
        <x:v>https://w3id.org/nltl/vocab#tableReferenceValue</x:v>
      </x:c>
      <x:c r="H25" s="47" t="str"/>
      <x:c r="I25" s="48" t="str">
        <x:v>controlled value permitted by the range of tableReference; controlled value permitted by the range of traficomTable6Dash9</x:v>
      </x:c>
      <x:c r="J25" s="47" t="n">
        <x:v>0</x:v>
      </x:c>
    </x:row>
    <x:row r="26">
      <x:c r="A26" s="47" t="str">
        <x:v>RUN-TRF-085-20260831T114601851412Z</x:v>
      </x:c>
      <x:c r="B26" s="47" t="str">
        <x:v>TRF-085</x:v>
      </x:c>
      <x:c r="C26" s="47" t="str">
        <x:v>traficomTable6Dash16Reference</x:v>
      </x:c>
      <x:c r="D26" s="48" t="str">
        <x:v>https://w3id.org/nltl/vocab#traficomTable6Dash16Reference</x:v>
      </x:c>
      <x:c r="E26" s="47" t="str">
        <x:v>NamedIndividual</x:v>
      </x:c>
      <x:c r="F26" s="47" t="str"/>
      <x:c r="G26" s="47" t="str">
        <x:v>https://w3id.org/nltl/vocab#tableReferenceValue</x:v>
      </x:c>
      <x:c r="H26" s="47" t="str"/>
      <x:c r="I26" s="48" t="str">
        <x:v>controlled value permitted by the range of tableReference; controlled value permitted by the range of traficomTable6Dash9</x:v>
      </x:c>
      <x:c r="J26" s="47" t="n">
        <x:v>0</x:v>
      </x:c>
    </x:row>
    <x:row r="27">
      <x:c r="A27" s="47" t="str">
        <x:v>RUN-TRF-085-20260831T114601851412Z</x:v>
      </x:c>
      <x:c r="B27" s="47" t="str">
        <x:v>TRF-085</x:v>
      </x:c>
      <x:c r="C27" s="47" t="str">
        <x:v>traficomTable6Dash3Reference</x:v>
      </x:c>
      <x:c r="D27" s="48" t="str">
        <x:v>https://w3id.org/nltl/vocab#traficomTable6Dash3Reference</x:v>
      </x:c>
      <x:c r="E27" s="47" t="str">
        <x:v>NamedIndividual</x:v>
      </x:c>
      <x:c r="F27" s="47" t="str"/>
      <x:c r="G27" s="47" t="str">
        <x:v>https://w3id.org/nltl/vocab#tableReferenceValue</x:v>
      </x:c>
      <x:c r="H27" s="47" t="str"/>
      <x:c r="I27" s="48" t="str">
        <x:v>controlled value permitted by the range of tableReference; controlled value permitted by the range of traficomTable6Dash9</x:v>
      </x:c>
      <x:c r="J27" s="47" t="n">
        <x:v>0</x:v>
      </x:c>
    </x:row>
    <x:row r="28">
      <x:c r="A28" s="47" t="str">
        <x:v>RUN-TRF-085-20260831T114601851412Z</x:v>
      </x:c>
      <x:c r="B28" s="47" t="str">
        <x:v>TRF-085</x:v>
      </x:c>
      <x:c r="C28" s="47" t="str">
        <x:v>traficomTable6Dash6</x:v>
      </x:c>
      <x:c r="D28" s="48" t="str">
        <x:v>https://w3id.org/nltl/vocab#traficomTable6Dash6</x:v>
      </x:c>
      <x:c r="E28" s="47" t="str">
        <x:v>NamedIndividual</x:v>
      </x:c>
      <x:c r="F28" s="47" t="str"/>
      <x:c r="G28" s="47" t="str">
        <x:v>https://w3id.org/nltl/vocab#tableReferenceValue</x:v>
      </x:c>
      <x:c r="H28" s="47" t="str"/>
      <x:c r="I28" s="48" t="str">
        <x:v>controlled value permitted by the range of tableReference; controlled value permitted by the range of traficomTable6Dash9</x:v>
      </x:c>
      <x:c r="J28" s="47" t="n">
        <x:v>0</x:v>
      </x:c>
    </x:row>
    <x:row r="29">
      <x:c r="A29" s="47" t="str">
        <x:v>RUN-TRF-085-20260831T114601851412Z</x:v>
      </x:c>
      <x:c r="B29" s="47" t="str">
        <x:v>TRF-085</x:v>
      </x:c>
      <x:c r="C29" s="47" t="str">
        <x:v>traficomTable6Dash7</x:v>
      </x:c>
      <x:c r="D29" s="48" t="str">
        <x:v>https://w3id.org/nltl/vocab#traficomTable6Dash7</x:v>
      </x:c>
      <x:c r="E29" s="47" t="str">
        <x:v>NamedIndividual</x:v>
      </x:c>
      <x:c r="F29" s="47" t="str"/>
      <x:c r="G29" s="47" t="str">
        <x:v>https://w3id.org/nltl/vocab#tableReferenceValue</x:v>
      </x:c>
      <x:c r="H29" s="47" t="str"/>
      <x:c r="I29" s="48" t="str">
        <x:v>controlled value permitted by the range of tableReference; controlled value permitted by the range of traficomTable6Dash9</x:v>
      </x:c>
      <x:c r="J29" s="47" t="n">
        <x:v>0</x:v>
      </x:c>
    </x:row>
    <x:row r="30">
      <x:c r="A30" s="47" t="str">
        <x:v>RUN-TRF-085-20260831T114601851412Z</x:v>
      </x:c>
      <x:c r="B30" s="47" t="str">
        <x:v>TRF-085</x:v>
      </x:c>
      <x:c r="C30" s="47" t="str">
        <x:v>traficomTable6Dash8</x:v>
      </x:c>
      <x:c r="D30" s="48" t="str">
        <x:v>https://w3id.org/nltl/vocab#traficomTable6Dash8</x:v>
      </x:c>
      <x:c r="E30" s="47" t="str">
        <x:v>NamedIndividual</x:v>
      </x:c>
      <x:c r="F30" s="47" t="str"/>
      <x:c r="G30" s="47" t="str">
        <x:v>https://w3id.org/nltl/vocab#tableReferenceValue</x:v>
      </x:c>
      <x:c r="H30" s="47" t="str"/>
      <x:c r="I30" s="48" t="str">
        <x:v>controlled value permitted by the range of tableReference; controlled value permitted by the range of traficomTable6Dash9</x:v>
      </x:c>
      <x:c r="J30" s="47" t="n">
        <x:v>0</x:v>
      </x:c>
    </x:row>
    <x:row r="31">
      <x:c r="A31" s="49" t="str">
        <x:v>RUN-TRF-085-20260831T114601851412Z</x:v>
      </x:c>
      <x:c r="B31" s="49" t="str">
        <x:v>TRF-085</x:v>
      </x:c>
      <x:c r="C31" s="49" t="str">
        <x:v>traficomTable6Dash9</x:v>
      </x:c>
      <x:c r="D31" s="50" t="str">
        <x:v>https://w3id.org/nltl/vocab#traficomTable6Dash9</x:v>
      </x:c>
      <x:c r="E31" s="49" t="str">
        <x:v>NamedIndividual</x:v>
      </x:c>
      <x:c r="F31" s="49" t="str"/>
      <x:c r="G31" s="49" t="str">
        <x:v>https://w3id.org/nltl/vocab#tableReferenceValue</x:v>
      </x:c>
      <x:c r="H31" s="49" t="str"/>
      <x:c r="I31" s="50" t="str">
        <x:v>controlled value permitted by the range of tableReference; controlled value permitted by the range of traficomTable6Dash9; linked by the locked 313-requirement index</x:v>
      </x:c>
      <x:c r="J31" s="49" t="n">
        <x:v>0</x:v>
      </x:c>
    </x:row>
  </x:sheetData>
  <x:pageMargins left="0.7" right="0.7" top="0.75" bottom="0.75" header="0.3" footer="0.3"/>
  <x:tableParts count="1">
    <x:tablePart xmlns:r="http://schemas.openxmlformats.org/officeDocument/2006/relationships" r:id="R224b9372667a4673"/>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RUN-TRF-085-20260831T114601851412Z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RUN-TRF-085-20260831T114601851412Z</x:v>
      </x:c>
      <x:c r="B5" s="45" t="str">
        <x:v>TRF-085</x:v>
      </x:c>
      <x:c r="C5" s="45" t="str">
        <x:v>FS-BOOL-01</x:v>
      </x:c>
      <x:c r="D5" s="45" t="str">
        <x:v>boolean_state</x:v>
      </x:c>
      <x:c r="E5" s="97" t="n">
        <x:v>0.071429</x:v>
      </x:c>
      <x:c r="F5" s="45" t="str">
        <x:v>boolean | required | value</x:v>
      </x:c>
      <x:c r="G5" s="45" t="str">
        <x:v>synthetic-few-shot-not-benchmark-ground-truth</x:v>
      </x:c>
    </x:row>
    <x:row r="6">
      <x:c r="A6" s="49" t="str">
        <x:v>RUN-TRF-085-20260831T114601851412Z</x:v>
      </x:c>
      <x:c r="B6" s="49" t="str">
        <x:v>TRF-085</x:v>
      </x:c>
      <x:c r="C6" s="49" t="str">
        <x:v>FS-BOOL-02</x:v>
      </x:c>
      <x:c r="D6" s="49" t="str">
        <x:v>boolean_state</x:v>
      </x:c>
      <x:c r="E6" s="98" t="n">
        <x:v>0.071429</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f2dc5174854744bf"/>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52" hidden="0" customWidth="1"/>
    <x:col min="13" max="13" width="20" hidden="0" customWidth="1"/>
    <x:col min="14" max="14" width="52" hidden="0" customWidth="1"/>
    <x:col min="15" max="15" width="41"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RUN-TRF-085-20260831T114601851412Z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RUN-TRF-085-20260831T114601851412Z</x:v>
      </x:c>
      <x:c r="B5" s="45" t="str">
        <x:v>TRF-085</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https://w3id.org/nltl/vocab#bollardPropellerSpeedKnown | https://w3id.org/nltl/vocab#evidenceArtifact | https://w3id.org/nltl/vocab#hasTableLookupCase | https://w3id.org/nltl/vocab#lookupInputQuantity | https://w3id.org/nltl/vocab#lookupResultQuantity | https://w3id.org/nltl/vocab#lookupSelectionEvidence | https://w3id.org/nltl/vocab#propellerDiameter | https://w3id.org/nltl/vocab#propellerRotationalSpeedAtMaximumContinuousRatingBollard | https://w3id.org/nltl/vocab#ship | https://w3id.org/nltl/vocab#tableLookupApplied | https://w3id.org/nltl/vocab#tableLookupCase | https://w3id.org/nltl/vocab#tableReference | https://w3id.org/nltl/vocab#traficomTable6Dash9</x:v>
      </x:c>
      <x:c r="O5" s="46" t="str"/>
      <x:c r="P5" s="46" t="str"/>
      <x:c r="Q5" s="46" t="str"/>
    </x:row>
    <x:row r="6">
      <x:c r="A6" s="47" t="str">
        <x:v>RUN-TRF-085-20260831T114601851412Z</x:v>
      </x:c>
      <x:c r="B6" s="47" t="str">
        <x:v>TRF-085</x:v>
      </x:c>
      <x:c r="C6" s="59" t="n">
        <x:v>2</x:v>
      </x:c>
      <x:c r="D6" s="85" t="b">
        <x:v>0</x:v>
      </x:c>
      <x:c r="E6" s="85" t="b">
        <x:v>1</x:v>
      </x:c>
      <x:c r="F6" s="85" t="b">
        <x:v>1</x:v>
      </x:c>
      <x:c r="G6" s="85" t="b">
        <x:v>1</x:v>
      </x:c>
      <x:c r="H6" s="85" t="b">
        <x:v>1</x:v>
      </x:c>
      <x:c r="I6" s="85" t="b">
        <x:v>0</x:v>
      </x:c>
      <x:c r="J6" s="85" t="b">
        <x:v>1</x:v>
      </x:c>
      <x:c r="K6" s="103" t="b">
        <x:v>1</x:v>
      </x:c>
      <x:c r="L6" s="48" t="str">
        <x:v>Unknown canonical benchmark IRI(s): https://w3id.org/nltl/vocab#TRF085Shape</x:v>
      </x:c>
      <x:c r="M6" s="48" t="str"/>
      <x:c r="N6" s="48" t="str">
        <x:v>https://w3id.org/nltl/vocab#TRF085Shape | https://w3id.org/nltl/vocab#bollardPropellerSpeedKnown | https://w3id.org/nltl/vocab#evidenceArtifact | https://w3id.org/nltl/vocab#hasTableLookupCase | https://w3id.org/nltl/vocab#lookupInputQuantity | https://w3id.org/nltl/vocab#lookupResultQuantity | https://w3id.org/nltl/vocab#lookupSelectionEvidence | https://w3id.org/nltl/vocab#propellerDiameter | https://w3id.org/nltl/vocab#propellerRotationalSpeedAtMaximumContinuousRatingBollard | https://w3id.org/nltl/vocab#ship | https://w3id.org/nltl/vocab#tableLookupApplied | https://w3id.org/nltl/vocab#tableLookupCase | https://w3id.org/nltl/vocab#tableReference | https://w3id.org/nltl/vocab#traficomTable6Dash9</x:v>
      </x:c>
      <x:c r="O6" s="48" t="str">
        <x:v>https://w3id.org/nltl/vocab#TRF085Shape</x:v>
      </x:c>
      <x:c r="P6" s="48" t="str"/>
      <x:c r="Q6" s="48" t="str"/>
    </x:row>
    <x:row r="7">
      <x:c r="A7" s="47" t="str">
        <x:v>RUN-TRF-085-20260831T114601851412Z</x:v>
      </x:c>
      <x:c r="B7" s="47" t="str">
        <x:v>TRF-085</x:v>
      </x:c>
      <x:c r="C7" s="59" t="n">
        <x:v>3</x:v>
      </x:c>
      <x:c r="D7" s="85" t="b">
        <x:v>1</x:v>
      </x:c>
      <x:c r="E7" s="85" t="b">
        <x:v>1</x:v>
      </x:c>
      <x:c r="F7" s="85" t="b">
        <x:v>1</x:v>
      </x:c>
      <x:c r="G7" s="85" t="b">
        <x:v>1</x:v>
      </x:c>
      <x:c r="H7" s="85" t="b">
        <x:v>1</x:v>
      </x:c>
      <x:c r="I7" s="85" t="b">
        <x:v>1</x:v>
      </x:c>
      <x:c r="J7" s="85" t="b">
        <x:v>1</x:v>
      </x:c>
      <x:c r="K7" s="103" t="b">
        <x:v>1</x:v>
      </x:c>
      <x:c r="L7" s="48" t="str"/>
      <x:c r="M7" s="48" t="str"/>
      <x:c r="N7" s="48" t="str">
        <x:v>https://w3id.org/nltl/vocab#bollardPropellerSpeedKnown | https://w3id.org/nltl/vocab#evidenceArtifact | https://w3id.org/nltl/vocab#hasTableLookupCase | https://w3id.org/nltl/vocab#lookupInputQuantity | https://w3id.org/nltl/vocab#lookupResultQuantity | https://w3id.org/nltl/vocab#lookupSelectionEvidence | https://w3id.org/nltl/vocab#propellerDiameter | https://w3id.org/nltl/vocab#propellerRotationalSpeedAtMaximumContinuousRatingBollard | https://w3id.org/nltl/vocab#ship | https://w3id.org/nltl/vocab#tableLookupApplied | https://w3id.org/nltl/vocab#tableLookupCase | https://w3id.org/nltl/vocab#tableReference | https://w3id.org/nltl/vocab#traficomTable6Dash9</x:v>
      </x:c>
      <x:c r="O7" s="48" t="str"/>
      <x:c r="P7" s="48" t="str"/>
      <x:c r="Q7" s="48" t="str"/>
    </x:row>
    <x:row r="8">
      <x:c r="A8" s="49" t="str">
        <x:v>RUN-TRF-085-20260831T114601851412Z</x:v>
      </x:c>
      <x:c r="B8" s="49" t="str">
        <x:v>TRF-085</x:v>
      </x:c>
      <x:c r="C8" s="60" t="n">
        <x:v>4</x:v>
      </x:c>
      <x:c r="D8" s="87" t="b">
        <x:v>1</x:v>
      </x:c>
      <x:c r="E8" s="87" t="b">
        <x:v>1</x:v>
      </x:c>
      <x:c r="F8" s="87" t="b">
        <x:v>1</x:v>
      </x:c>
      <x:c r="G8" s="87" t="b">
        <x:v>1</x:v>
      </x:c>
      <x:c r="H8" s="87" t="b">
        <x:v>1</x:v>
      </x:c>
      <x:c r="I8" s="87" t="b">
        <x:v>1</x:v>
      </x:c>
      <x:c r="J8" s="87" t="b">
        <x:v>1</x:v>
      </x:c>
      <x:c r="K8" s="104" t="b">
        <x:v>1</x:v>
      </x:c>
      <x:c r="L8" s="50" t="str"/>
      <x:c r="M8" s="50" t="str"/>
      <x:c r="N8" s="50" t="str">
        <x:v>https://w3id.org/nltl/vocab#bollardPropellerSpeedKnown | https://w3id.org/nltl/vocab#evidenceArtifact | https://w3id.org/nltl/vocab#hasTableLookupCase | https://w3id.org/nltl/vocab#lookupInputQuantity | https://w3id.org/nltl/vocab#lookupResultQuantity | https://w3id.org/nltl/vocab#lookupSelectionEvidence | https://w3id.org/nltl/vocab#propellerDiameter | https://w3id.org/nltl/vocab#propellerRotationalSpeedAtMaximumContinuousRatingBollard | https://w3id.org/nltl/vocab#ship | https://w3id.org/nltl/vocab#tableLookupApplied | https://w3id.org/nltl/vocab#tableLookupCase | https://w3id.org/nltl/vocab#tableReference | https://w3id.org/nltl/vocab#traficomTable6Dash9</x:v>
      </x:c>
      <x:c r="O8" s="50" t="str"/>
      <x:c r="P8" s="50" t="str"/>
      <x:c r="Q8" s="50" t="str"/>
    </x:row>
  </x:sheetData>
  <x:pageMargins left="0.7" right="0.7" top="0.75" bottom="0.75" header="0.3" footer="0.3"/>
  <x:tableParts count="1">
    <x:tablePart xmlns:r="http://schemas.openxmlformats.org/officeDocument/2006/relationships" r:id="R070695af919540f0"/>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RUN-TRF-085-20260831T114601851412Z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RUN-TRF-085-20260831T114601851412Z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RUN-TRF-085-20260831T114601851412Z</x:v>
      </x:c>
      <x:c r="B5" s="45" t="str">
        <x:v>TRF-085</x:v>
      </x:c>
      <x:c r="C5" s="58"/>
      <x:c r="D5" s="45" t="str">
        <x:v>initial_context_pack</x:v>
      </x:c>
      <x:c r="E5" s="46" t="str">
        <x:v>artifacts/context_pack_initial.json</x:v>
      </x:c>
      <x:c r="F5" s="45" t="str">
        <x:v>f576fe178d20376a2380116e0f3ce6bef172b97baef45e5f33f127ec126f6247</x:v>
      </x:c>
      <x:c r="G5" s="58" t="n">
        <x:v>33977</x:v>
      </x:c>
    </x:row>
    <x:row r="6">
      <x:c r="A6" s="47" t="str">
        <x:v>RUN-TRF-085-20260831T114601851412Z</x:v>
      </x:c>
      <x:c r="B6" s="47" t="str">
        <x:v>TRF-085</x:v>
      </x:c>
      <x:c r="C6" s="59"/>
      <x:c r="D6" s="47" t="str">
        <x:v>few_shot_selection</x:v>
      </x:c>
      <x:c r="E6" s="48" t="str">
        <x:v>artifacts/few_shots_selected.json</x:v>
      </x:c>
      <x:c r="F6" s="47" t="str">
        <x:v>3a6a121f36e5dc06072215cb9a3f74349076a7a9ad5b16c49113372e7909296c</x:v>
      </x:c>
      <x:c r="G6" s="59" t="n">
        <x:v>3110</x:v>
      </x:c>
    </x:row>
    <x:row r="7">
      <x:c r="A7" s="47" t="str">
        <x:v>RUN-TRF-085-20260831T114601851412Z</x:v>
      </x:c>
      <x:c r="B7" s="47" t="str">
        <x:v>TRF-085</x:v>
      </x:c>
      <x:c r="C7" s="59" t="n">
        <x:v>1</x:v>
      </x:c>
      <x:c r="D7" s="47" t="str">
        <x:v>generator_prompt</x:v>
      </x:c>
      <x:c r="E7" s="48" t="str">
        <x:v>artifacts/attempt_01/generator_prompt.txt</x:v>
      </x:c>
      <x:c r="F7" s="47" t="str">
        <x:v>4f1908b825d7ecc9b3fd028b3acf30a50d14011859317dde5a4f626488bb3391</x:v>
      </x:c>
      <x:c r="G7" s="59" t="n">
        <x:v>48601</x:v>
      </x:c>
    </x:row>
    <x:row r="8">
      <x:c r="A8" s="47" t="str">
        <x:v>RUN-TRF-085-20260831T114601851412Z</x:v>
      </x:c>
      <x:c r="B8" s="47" t="str">
        <x:v>TRF-085</x:v>
      </x:c>
      <x:c r="C8" s="59" t="n">
        <x:v>1</x:v>
      </x:c>
      <x:c r="D8" s="47" t="str">
        <x:v>generator_raw_response</x:v>
      </x:c>
      <x:c r="E8" s="48" t="str">
        <x:v>artifacts/attempt_01/generator_raw.txt</x:v>
      </x:c>
      <x:c r="F8" s="47" t="str">
        <x:v>13206d7a8798c45396225cb2d5e1fbf2adda24e544affa8b4f912738d56d0ea8</x:v>
      </x:c>
      <x:c r="G8" s="59" t="n">
        <x:v>5360</x:v>
      </x:c>
    </x:row>
    <x:row r="9">
      <x:c r="A9" s="47" t="str">
        <x:v>RUN-TRF-085-20260831T114601851412Z</x:v>
      </x:c>
      <x:c r="B9" s="47" t="str">
        <x:v>TRF-085</x:v>
      </x:c>
      <x:c r="C9" s="59" t="n">
        <x:v>1</x:v>
      </x:c>
      <x:c r="D9" s="47" t="str">
        <x:v>candidate_shape</x:v>
      </x:c>
      <x:c r="E9" s="48" t="str">
        <x:v>artifacts/attempt_01/candidate_shape.ttl</x:v>
      </x:c>
      <x:c r="F9" s="47" t="str">
        <x:v>269c62e34e7e78d2e79de1bad4482241f623e20878fc77b12756dc760a5234d7</x:v>
      </x:c>
      <x:c r="G9" s="59" t="n">
        <x:v>5335</x:v>
      </x:c>
    </x:row>
    <x:row r="10">
      <x:c r="A10" s="47" t="str">
        <x:v>RUN-TRF-085-20260831T114601851412Z</x:v>
      </x:c>
      <x:c r="B10" s="47" t="str">
        <x:v>TRF-085</x:v>
      </x:c>
      <x:c r="C10" s="59" t="n">
        <x:v>1</x:v>
      </x:c>
      <x:c r="D10" s="47" t="str">
        <x:v>deterministic_validation</x:v>
      </x:c>
      <x:c r="E10" s="48" t="str">
        <x:v>artifacts/attempt_01/deterministic_validation.json</x:v>
      </x:c>
      <x:c r="F10" s="47" t="str">
        <x:v>385a0289eda818906e040dbabafab8814d95f1da87223e7353ba4aaf4a0a7744</x:v>
      </x:c>
      <x:c r="G10" s="59" t="n">
        <x:v>1122</x:v>
      </x:c>
    </x:row>
    <x:row r="11">
      <x:c r="A11" s="47" t="str">
        <x:v>RUN-TRF-085-20260831T114601851412Z</x:v>
      </x:c>
      <x:c r="B11" s="47" t="str">
        <x:v>TRF-085</x:v>
      </x:c>
      <x:c r="C11" s="59" t="n">
        <x:v>1</x:v>
      </x:c>
      <x:c r="D11" s="47" t="str">
        <x:v>validator_prompt</x:v>
      </x:c>
      <x:c r="E11" s="48" t="str">
        <x:v>artifacts/attempt_01/validator_prompt_01.txt</x:v>
      </x:c>
      <x:c r="F11" s="47" t="str">
        <x:v>3ffc027edc84bbc61467bd67e7818c2aa22d3cf6b16575aa328c7d72bb3be950</x:v>
      </x:c>
      <x:c r="G11" s="59" t="n">
        <x:v>51633</x:v>
      </x:c>
    </x:row>
    <x:row r="12">
      <x:c r="A12" s="47" t="str">
        <x:v>RUN-TRF-085-20260831T114601851412Z</x:v>
      </x:c>
      <x:c r="B12" s="47" t="str">
        <x:v>TRF-085</x:v>
      </x:c>
      <x:c r="C12" s="59" t="n">
        <x:v>1</x:v>
      </x:c>
      <x:c r="D12" s="47" t="str">
        <x:v>validator_raw_response</x:v>
      </x:c>
      <x:c r="E12" s="48" t="str">
        <x:v>artifacts/attempt_01/validator_raw_01.txt</x:v>
      </x:c>
      <x:c r="F12" s="47" t="str">
        <x:v>006cdee483257ea57470187f9bae2b3354c49401f55a05d5e7f7429deb0d0020</x:v>
      </x:c>
      <x:c r="G12" s="59" t="n">
        <x:v>490</x:v>
      </x:c>
    </x:row>
    <x:row r="13">
      <x:c r="A13" s="47" t="str">
        <x:v>RUN-TRF-085-20260831T114601851412Z</x:v>
      </x:c>
      <x:c r="B13" s="47" t="str">
        <x:v>TRF-085</x:v>
      </x:c>
      <x:c r="C13" s="59" t="n">
        <x:v>2</x:v>
      </x:c>
      <x:c r="D13" s="47" t="str">
        <x:v>generator_prompt</x:v>
      </x:c>
      <x:c r="E13" s="48" t="str">
        <x:v>artifacts/attempt_02/generator_prompt.txt</x:v>
      </x:c>
      <x:c r="F13" s="47" t="str">
        <x:v>c3c9886075d23fd48b4b891a4e926cd6dac5d630d20acd50de1900eb1e743e62</x:v>
      </x:c>
      <x:c r="G13" s="59" t="n">
        <x:v>49026</x:v>
      </x:c>
    </x:row>
    <x:row r="14">
      <x:c r="A14" s="47" t="str">
        <x:v>RUN-TRF-085-20260831T114601851412Z</x:v>
      </x:c>
      <x:c r="B14" s="47" t="str">
        <x:v>TRF-085</x:v>
      </x:c>
      <x:c r="C14" s="59" t="n">
        <x:v>2</x:v>
      </x:c>
      <x:c r="D14" s="47" t="str">
        <x:v>generator_raw_response</x:v>
      </x:c>
      <x:c r="E14" s="48" t="str">
        <x:v>artifacts/attempt_02/generator_raw.txt</x:v>
      </x:c>
      <x:c r="F14" s="47" t="str">
        <x:v>355af1a3f8926698b0398287445a1933e2500d8e0d765a5381264c8939e2c39a</x:v>
      </x:c>
      <x:c r="G14" s="59" t="n">
        <x:v>6015</x:v>
      </x:c>
    </x:row>
    <x:row r="15">
      <x:c r="A15" s="47" t="str">
        <x:v>RUN-TRF-085-20260831T114601851412Z</x:v>
      </x:c>
      <x:c r="B15" s="47" t="str">
        <x:v>TRF-085</x:v>
      </x:c>
      <x:c r="C15" s="59" t="n">
        <x:v>2</x:v>
      </x:c>
      <x:c r="D15" s="47" t="str">
        <x:v>candidate_shape</x:v>
      </x:c>
      <x:c r="E15" s="48" t="str">
        <x:v>artifacts/attempt_02/candidate_shape.ttl</x:v>
      </x:c>
      <x:c r="F15" s="47" t="str">
        <x:v>de379ae88ffdac4b40a4b292ee455f2b205e97f22131b6a1f0c76e414cfdc076</x:v>
      </x:c>
      <x:c r="G15" s="59" t="n">
        <x:v>5990</x:v>
      </x:c>
    </x:row>
    <x:row r="16">
      <x:c r="A16" s="47" t="str">
        <x:v>RUN-TRF-085-20260831T114601851412Z</x:v>
      </x:c>
      <x:c r="B16" s="47" t="str">
        <x:v>TRF-085</x:v>
      </x:c>
      <x:c r="C16" s="59" t="n">
        <x:v>2</x:v>
      </x:c>
      <x:c r="D16" s="47" t="str">
        <x:v>deterministic_validation</x:v>
      </x:c>
      <x:c r="E16" s="48" t="str">
        <x:v>artifacts/attempt_02/deterministic_validation.json</x:v>
      </x:c>
      <x:c r="F16" s="47" t="str">
        <x:v>64edfb912a9d92450bcbbe3e5ff4b3cc972e0d0237fcd72893c5d06c90a7fa45</x:v>
      </x:c>
      <x:c r="G16" s="59" t="n">
        <x:v>1305</x:v>
      </x:c>
    </x:row>
    <x:row r="17">
      <x:c r="A17" s="47" t="str">
        <x:v>RUN-TRF-085-20260831T114601851412Z</x:v>
      </x:c>
      <x:c r="B17" s="47" t="str">
        <x:v>TRF-085</x:v>
      </x:c>
      <x:c r="C17" s="59" t="n">
        <x:v>2</x:v>
      </x:c>
      <x:c r="D17" s="47" t="str">
        <x:v>validator_prompt</x:v>
      </x:c>
      <x:c r="E17" s="48" t="str">
        <x:v>artifacts/attempt_02/validator_prompt_01.txt</x:v>
      </x:c>
      <x:c r="F17" s="47" t="str">
        <x:v>f296e8285ce24d0bd1ff44511acaa59966f3fdb6c98cb18f683a7b773d07fd75</x:v>
      </x:c>
      <x:c r="G17" s="59" t="n">
        <x:v>53443</x:v>
      </x:c>
    </x:row>
    <x:row r="18">
      <x:c r="A18" s="47" t="str">
        <x:v>RUN-TRF-085-20260831T114601851412Z</x:v>
      </x:c>
      <x:c r="B18" s="47" t="str">
        <x:v>TRF-085</x:v>
      </x:c>
      <x:c r="C18" s="59" t="n">
        <x:v>2</x:v>
      </x:c>
      <x:c r="D18" s="47" t="str">
        <x:v>validator_raw_response</x:v>
      </x:c>
      <x:c r="E18" s="48" t="str">
        <x:v>artifacts/attempt_02/validator_raw_01.txt</x:v>
      </x:c>
      <x:c r="F18" s="47" t="str">
        <x:v>f935cf91ae7bf838999848e065cd7eaee63b59b27a8c793896b4b5625b3ad9bd</x:v>
      </x:c>
      <x:c r="G18" s="59" t="n">
        <x:v>489</x:v>
      </x:c>
    </x:row>
    <x:row r="19">
      <x:c r="A19" s="47" t="str">
        <x:v>RUN-TRF-085-20260831T114601851412Z</x:v>
      </x:c>
      <x:c r="B19" s="47" t="str">
        <x:v>TRF-085</x:v>
      </x:c>
      <x:c r="C19" s="59" t="n">
        <x:v>3</x:v>
      </x:c>
      <x:c r="D19" s="47" t="str">
        <x:v>generator_prompt</x:v>
      </x:c>
      <x:c r="E19" s="48" t="str">
        <x:v>artifacts/attempt_03/generator_prompt.txt</x:v>
      </x:c>
      <x:c r="F19" s="47" t="str">
        <x:v>118292d4816165cf8df04de5d9a17de51e17172708f3d9104a9fa1798e687057</x:v>
      </x:c>
      <x:c r="G19" s="59" t="n">
        <x:v>49615</x:v>
      </x:c>
    </x:row>
    <x:row r="20">
      <x:c r="A20" s="47" t="str">
        <x:v>RUN-TRF-085-20260831T114601851412Z</x:v>
      </x:c>
      <x:c r="B20" s="47" t="str">
        <x:v>TRF-085</x:v>
      </x:c>
      <x:c r="C20" s="59" t="n">
        <x:v>3</x:v>
      </x:c>
      <x:c r="D20" s="47" t="str">
        <x:v>generator_raw_response</x:v>
      </x:c>
      <x:c r="E20" s="48" t="str">
        <x:v>artifacts/attempt_03/generator_raw.txt</x:v>
      </x:c>
      <x:c r="F20" s="47" t="str">
        <x:v>f823e3f3c67ca9a485db0ee4cdc69566169f628c4dce266215a9f09cb44c9481</x:v>
      </x:c>
      <x:c r="G20" s="59" t="n">
        <x:v>5201</x:v>
      </x:c>
    </x:row>
    <x:row r="21">
      <x:c r="A21" s="47" t="str">
        <x:v>RUN-TRF-085-20260831T114601851412Z</x:v>
      </x:c>
      <x:c r="B21" s="47" t="str">
        <x:v>TRF-085</x:v>
      </x:c>
      <x:c r="C21" s="59" t="n">
        <x:v>3</x:v>
      </x:c>
      <x:c r="D21" s="47" t="str">
        <x:v>candidate_shape</x:v>
      </x:c>
      <x:c r="E21" s="48" t="str">
        <x:v>artifacts/attempt_03/candidate_shape.ttl</x:v>
      </x:c>
      <x:c r="F21" s="47" t="str">
        <x:v>5e3184fc41312664587ba9a3f45e681e75e652192e87c88ad1c161356275d756</x:v>
      </x:c>
      <x:c r="G21" s="59" t="n">
        <x:v>5176</x:v>
      </x:c>
    </x:row>
    <x:row r="22">
      <x:c r="A22" s="47" t="str">
        <x:v>RUN-TRF-085-20260831T114601851412Z</x:v>
      </x:c>
      <x:c r="B22" s="47" t="str">
        <x:v>TRF-085</x:v>
      </x:c>
      <x:c r="C22" s="59" t="n">
        <x:v>3</x:v>
      </x:c>
      <x:c r="D22" s="47" t="str">
        <x:v>deterministic_validation</x:v>
      </x:c>
      <x:c r="E22" s="48" t="str">
        <x:v>artifacts/attempt_03/deterministic_validation.json</x:v>
      </x:c>
      <x:c r="F22" s="47" t="str">
        <x:v>385a0289eda818906e040dbabafab8814d95f1da87223e7353ba4aaf4a0a7744</x:v>
      </x:c>
      <x:c r="G22" s="59" t="n">
        <x:v>1122</x:v>
      </x:c>
    </x:row>
    <x:row r="23">
      <x:c r="A23" s="47" t="str">
        <x:v>RUN-TRF-085-20260831T114601851412Z</x:v>
      </x:c>
      <x:c r="B23" s="47" t="str">
        <x:v>TRF-085</x:v>
      </x:c>
      <x:c r="C23" s="59" t="n">
        <x:v>3</x:v>
      </x:c>
      <x:c r="D23" s="47" t="str">
        <x:v>validator_prompt</x:v>
      </x:c>
      <x:c r="E23" s="48" t="str">
        <x:v>artifacts/attempt_03/validator_prompt_01.txt</x:v>
      </x:c>
      <x:c r="F23" s="47" t="str">
        <x:v>b15a5e84a16fb03b00a213a2aea68971da6a3b44ba8ce7cda005cf14b33c9c88</x:v>
      </x:c>
      <x:c r="G23" s="59" t="n">
        <x:v>52521</x:v>
      </x:c>
    </x:row>
    <x:row r="24">
      <x:c r="A24" s="47" t="str">
        <x:v>RUN-TRF-085-20260831T114601851412Z</x:v>
      </x:c>
      <x:c r="B24" s="47" t="str">
        <x:v>TRF-085</x:v>
      </x:c>
      <x:c r="C24" s="59" t="n">
        <x:v>3</x:v>
      </x:c>
      <x:c r="D24" s="47" t="str">
        <x:v>validator_raw_response</x:v>
      </x:c>
      <x:c r="E24" s="48" t="str">
        <x:v>artifacts/attempt_03/validator_raw_01.txt</x:v>
      </x:c>
      <x:c r="F24" s="47" t="str">
        <x:v>ada01682939faf5ae405f908be1859ddce5abc5b39f02828880a0714ea161451</x:v>
      </x:c>
      <x:c r="G24" s="59" t="n">
        <x:v>543</x:v>
      </x:c>
    </x:row>
    <x:row r="25">
      <x:c r="A25" s="47" t="str">
        <x:v>RUN-TRF-085-20260831T114601851412Z</x:v>
      </x:c>
      <x:c r="B25" s="47" t="str">
        <x:v>TRF-085</x:v>
      </x:c>
      <x:c r="C25" s="59" t="n">
        <x:v>4</x:v>
      </x:c>
      <x:c r="D25" s="47" t="str">
        <x:v>generator_prompt</x:v>
      </x:c>
      <x:c r="E25" s="48" t="str">
        <x:v>artifacts/attempt_04/generator_prompt.txt</x:v>
      </x:c>
      <x:c r="F25" s="47" t="str">
        <x:v>76eb88c1498447e8b17d1b4dfb2945e6895f84294c8f1a8143aa4de12c54fc73</x:v>
      </x:c>
      <x:c r="G25" s="59" t="n">
        <x:v>50101</x:v>
      </x:c>
    </x:row>
    <x:row r="26">
      <x:c r="A26" s="47" t="str">
        <x:v>RUN-TRF-085-20260831T114601851412Z</x:v>
      </x:c>
      <x:c r="B26" s="47" t="str">
        <x:v>TRF-085</x:v>
      </x:c>
      <x:c r="C26" s="59" t="n">
        <x:v>4</x:v>
      </x:c>
      <x:c r="D26" s="47" t="str">
        <x:v>generator_raw_response</x:v>
      </x:c>
      <x:c r="E26" s="48" t="str">
        <x:v>artifacts/attempt_04/generator_raw.txt</x:v>
      </x:c>
      <x:c r="F26" s="47" t="str">
        <x:v>3e95924149a2938a5c1e730458811d7f510b17b3157c47f874040bf837517544</x:v>
      </x:c>
      <x:c r="G26" s="59" t="n">
        <x:v>5804</x:v>
      </x:c>
    </x:row>
    <x:row r="27">
      <x:c r="A27" s="47" t="str">
        <x:v>RUN-TRF-085-20260831T114601851412Z</x:v>
      </x:c>
      <x:c r="B27" s="47" t="str">
        <x:v>TRF-085</x:v>
      </x:c>
      <x:c r="C27" s="59" t="n">
        <x:v>4</x:v>
      </x:c>
      <x:c r="D27" s="47" t="str">
        <x:v>candidate_shape</x:v>
      </x:c>
      <x:c r="E27" s="48" t="str">
        <x:v>artifacts/attempt_04/candidate_shape.ttl</x:v>
      </x:c>
      <x:c r="F27" s="47" t="str">
        <x:v>79dd2fc22c9d83497823fd8d6b24cf95841937942b7ceec2afc90085a0556fae</x:v>
      </x:c>
      <x:c r="G27" s="59" t="n">
        <x:v>5779</x:v>
      </x:c>
    </x:row>
    <x:row r="28">
      <x:c r="A28" s="47" t="str">
        <x:v>RUN-TRF-085-20260831T114601851412Z</x:v>
      </x:c>
      <x:c r="B28" s="47" t="str">
        <x:v>TRF-085</x:v>
      </x:c>
      <x:c r="C28" s="59" t="n">
        <x:v>4</x:v>
      </x:c>
      <x:c r="D28" s="47" t="str">
        <x:v>deterministic_validation</x:v>
      </x:c>
      <x:c r="E28" s="48" t="str">
        <x:v>artifacts/attempt_04/deterministic_validation.json</x:v>
      </x:c>
      <x:c r="F28" s="47" t="str">
        <x:v>385a0289eda818906e040dbabafab8814d95f1da87223e7353ba4aaf4a0a7744</x:v>
      </x:c>
      <x:c r="G28" s="59" t="n">
        <x:v>1122</x:v>
      </x:c>
    </x:row>
    <x:row r="29">
      <x:c r="A29" s="47" t="str">
        <x:v>RUN-TRF-085-20260831T114601851412Z</x:v>
      </x:c>
      <x:c r="B29" s="47" t="str">
        <x:v>TRF-085</x:v>
      </x:c>
      <x:c r="C29" s="59" t="n">
        <x:v>4</x:v>
      </x:c>
      <x:c r="D29" s="47" t="str">
        <x:v>validator_prompt</x:v>
      </x:c>
      <x:c r="E29" s="48" t="str">
        <x:v>artifacts/attempt_04/validator_prompt_01.txt</x:v>
      </x:c>
      <x:c r="F29" s="47" t="str">
        <x:v>606889d0251a223976c9597e57146a30f7608de12f61e0af78c0ce04785f0762</x:v>
      </x:c>
      <x:c r="G29" s="59" t="n">
        <x:v>53585</x:v>
      </x:c>
    </x:row>
    <x:row r="30">
      <x:c r="A30" s="49" t="str">
        <x:v>RUN-TRF-085-20260831T114601851412Z</x:v>
      </x:c>
      <x:c r="B30" s="49" t="str">
        <x:v>TRF-085</x:v>
      </x:c>
      <x:c r="C30" s="60" t="n">
        <x:v>4</x:v>
      </x:c>
      <x:c r="D30" s="49" t="str">
        <x:v>validator_raw_response</x:v>
      </x:c>
      <x:c r="E30" s="50" t="str">
        <x:v>artifacts/attempt_04/validator_raw_01.txt</x:v>
      </x:c>
      <x:c r="F30" s="49" t="str">
        <x:v>a1441f74c1763d1022a008b74879a7dfca5eb490c85347a75fdacd4f37039b01</x:v>
      </x:c>
      <x:c r="G30" s="60" t="n">
        <x:v>496</x:v>
      </x:c>
    </x:row>
  </x:sheetData>
  <x:pageMargins left="0.7" right="0.7" top="0.75" bottom="0.75" header="0.3" footer="0.3"/>
  <x:tableParts count="1">
    <x:tablePart xmlns:r="http://schemas.openxmlformats.org/officeDocument/2006/relationships" r:id="R4a622085545244b8"/>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RUN-TRF-085-20260831T114601851412Z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RUN-TRF-085-20260831T114601851412Z</x:v>
      </x:c>
      <x:c r="B5" s="69" t="str">
        <x:v>TRF-085</x:v>
      </x:c>
      <x:c r="C5" s="71" t="n">
        <x:v>4</x:v>
      </x:c>
      <x:c r="D5" s="69" t="str">
        <x:v>MAX_ATTEMPTS_REACHED</x:v>
      </x:c>
      <x:c r="E5" s="73" t="str">
        <x:v>The unknown-speed alternative still omits the required ship-level nltl:propellerRotationalSpeedAtMaximumContinuousRatingBollard property. Add sh:minCount 1 and sh:maxCount 1 in that branch, with the same QuantityValue decimal numericValue and qudt:REV-PER-MIN unit constraints as the known-speed branch. Preserve the existing Table 6-9 input/result equality SPARQL and units; do not rely on SPARQL to catch a missing reported speed.</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6af1d0b597c449fc"/>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RUN-TRF-085-20260831T114601851412Z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