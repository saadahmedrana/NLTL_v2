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d041072d05a4e55" /></Relationships>
</file>

<file path=xl/workbook.xml><?xml version="1.0" encoding="utf-8"?>
<x:workbook xmlns:x="http://schemas.openxmlformats.org/spreadsheetml/2006/main">
  <x:sheets>
    <x:sheet xmlns:r="http://schemas.openxmlformats.org/officeDocument/2006/relationships" name="SUMMARY" sheetId="1" r:id="R01d862e0b397405c"/>
    <x:sheet xmlns:r="http://schemas.openxmlformats.org/officeDocument/2006/relationships" name="README" sheetId="2" r:id="Rfa623b2f3b514a65"/>
    <x:sheet xmlns:r="http://schemas.openxmlformats.org/officeDocument/2006/relationships" name="REGULATION_QUEUE" sheetId="3" r:id="R7512822837734f9a"/>
    <x:sheet xmlns:r="http://schemas.openxmlformats.org/officeDocument/2006/relationships" name="RUNS" sheetId="4" r:id="R1e5b3e9bbe0a4301"/>
    <x:sheet xmlns:r="http://schemas.openxmlformats.org/officeDocument/2006/relationships" name="ITERATIONS" sheetId="5" r:id="R2afa87648e134399"/>
    <x:sheet xmlns:r="http://schemas.openxmlformats.org/officeDocument/2006/relationships" name="API_CALLS" sheetId="6" r:id="R8e9f843fe8e94ecc"/>
    <x:sheet xmlns:r="http://schemas.openxmlformats.org/officeDocument/2006/relationships" name="TERM_RETRIEVAL" sheetId="7" r:id="R3d5ea1410185411f"/>
    <x:sheet xmlns:r="http://schemas.openxmlformats.org/officeDocument/2006/relationships" name="FEW_SHOT_SELECTION" sheetId="8" r:id="R7a68e200e9c54e90"/>
    <x:sheet xmlns:r="http://schemas.openxmlformats.org/officeDocument/2006/relationships" name="VALIDATION" sheetId="9" r:id="R844029abea4e4a03"/>
    <x:sheet xmlns:r="http://schemas.openxmlformats.org/officeDocument/2006/relationships" name="VOCAB_MATCHES" sheetId="10" r:id="Rff69b37f922e43d9"/>
    <x:sheet xmlns:r="http://schemas.openxmlformats.org/officeDocument/2006/relationships" name="ARTIFACTS" sheetId="11" r:id="R4204dfdf887c4557"/>
    <x:sheet xmlns:r="http://schemas.openxmlformats.org/officeDocument/2006/relationships" name="UNRESOLVED" sheetId="12" r:id="R552a2209412f4dd9"/>
    <x:sheet xmlns:r="http://schemas.openxmlformats.org/officeDocument/2006/relationships" name="RDF_TEST_QUEUE" sheetId="13" r:id="R734058ebbd3e443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309cdaef83d4c42" /><Relationship Type="http://schemas.openxmlformats.org/officeDocument/2006/relationships/theme" Target="/xl/theme/theme1.xml" Id="R144a691f5e1e40b8" /><Relationship Type="http://schemas.microsoft.com/office/2022/11/relationships/FeaturePropertyBag" Target="/xl/featurePropertyBag/featurePropertyBag.xml" Id="Rd41764970fc74342" /><Relationship Type="http://schemas.openxmlformats.org/officeDocument/2006/relationships/sharedStrings" Target="/xl/sharedStrings.xml" Id="R42c779ee51b748f5" /><Relationship Type="http://schemas.openxmlformats.org/officeDocument/2006/relationships/worksheet" Target="/xl/worksheets/sheet1.xml" Id="R01d862e0b397405c" /><Relationship Type="http://schemas.openxmlformats.org/officeDocument/2006/relationships/worksheet" Target="/xl/worksheets/sheet2.xml" Id="Rfa623b2f3b514a65" /><Relationship Type="http://schemas.openxmlformats.org/officeDocument/2006/relationships/worksheet" Target="/xl/worksheets/sheet3.xml" Id="R7512822837734f9a" /><Relationship Type="http://schemas.openxmlformats.org/officeDocument/2006/relationships/worksheet" Target="/xl/worksheets/sheet4.xml" Id="R1e5b3e9bbe0a4301" /><Relationship Type="http://schemas.openxmlformats.org/officeDocument/2006/relationships/worksheet" Target="/xl/worksheets/sheet5.xml" Id="R2afa87648e134399" /><Relationship Type="http://schemas.openxmlformats.org/officeDocument/2006/relationships/worksheet" Target="/xl/worksheets/sheet6.xml" Id="R8e9f843fe8e94ecc" /><Relationship Type="http://schemas.openxmlformats.org/officeDocument/2006/relationships/worksheet" Target="/xl/worksheets/sheet7.xml" Id="R3d5ea1410185411f" /><Relationship Type="http://schemas.openxmlformats.org/officeDocument/2006/relationships/worksheet" Target="/xl/worksheets/sheet8.xml" Id="R7a68e200e9c54e90" /><Relationship Type="http://schemas.openxmlformats.org/officeDocument/2006/relationships/worksheet" Target="/xl/worksheets/sheet9.xml" Id="R844029abea4e4a03" /><Relationship Type="http://schemas.openxmlformats.org/officeDocument/2006/relationships/worksheet" Target="/xl/worksheets/sheet10.xml" Id="Rff69b37f922e43d9" /><Relationship Type="http://schemas.openxmlformats.org/officeDocument/2006/relationships/worksheet" Target="/xl/worksheets/sheet11.xml" Id="R4204dfdf887c4557" /><Relationship Type="http://schemas.openxmlformats.org/officeDocument/2006/relationships/worksheet" Target="/xl/worksheets/sheet12.xml" Id="R552a2209412f4dd9" /><Relationship Type="http://schemas.openxmlformats.org/officeDocument/2006/relationships/worksheet" Target="/xl/worksheets/sheet13.xml" Id="R734058ebbd3e443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7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2"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4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d1b30c9dd1f491c" /></Relationships>
</file>

<file path=xl/worksheets/_rels/sheet3.xml.rels>&#65279;<?xml version="1.0" encoding="utf-8"?><Relationships xmlns="http://schemas.openxmlformats.org/package/2006/relationships"><Relationship Type="http://schemas.openxmlformats.org/officeDocument/2006/relationships/table" Target="/xl/tables/table2.xml" Id="R1953876e98424dc8" /></Relationships>
</file>

<file path=xl/worksheets/_rels/sheet4.xml.rels>&#65279;<?xml version="1.0" encoding="utf-8"?><Relationships xmlns="http://schemas.openxmlformats.org/package/2006/relationships"><Relationship Type="http://schemas.openxmlformats.org/officeDocument/2006/relationships/table" Target="/xl/tables/table3.xml" Id="R0d870d6dd8bc4576" /></Relationships>
</file>

<file path=xl/worksheets/_rels/sheet5.xml.rels>&#65279;<?xml version="1.0" encoding="utf-8"?><Relationships xmlns="http://schemas.openxmlformats.org/package/2006/relationships"><Relationship Type="http://schemas.openxmlformats.org/officeDocument/2006/relationships/table" Target="/xl/tables/table4.xml" Id="Rf35f99fa67fc4418" /></Relationships>
</file>

<file path=xl/worksheets/_rels/sheet6.xml.rels>&#65279;<?xml version="1.0" encoding="utf-8"?><Relationships xmlns="http://schemas.openxmlformats.org/package/2006/relationships"><Relationship Type="http://schemas.openxmlformats.org/officeDocument/2006/relationships/table" Target="/xl/tables/table5.xml" Id="R8e266d8671e043d4" /></Relationships>
</file>

<file path=xl/worksheets/_rels/sheet7.xml.rels>&#65279;<?xml version="1.0" encoding="utf-8"?><Relationships xmlns="http://schemas.openxmlformats.org/package/2006/relationships"><Relationship Type="http://schemas.openxmlformats.org/officeDocument/2006/relationships/table" Target="/xl/tables/table6.xml" Id="Radb6a486b2a04306" /></Relationships>
</file>

<file path=xl/worksheets/_rels/sheet8.xml.rels>&#65279;<?xml version="1.0" encoding="utf-8"?><Relationships xmlns="http://schemas.openxmlformats.org/package/2006/relationships"><Relationship Type="http://schemas.openxmlformats.org/officeDocument/2006/relationships/table" Target="/xl/tables/table7.xml" Id="R0e3afc261e56435d" /></Relationships>
</file>

<file path=xl/worksheets/_rels/sheet9.xml.rels>&#65279;<?xml version="1.0" encoding="utf-8"?><Relationships xmlns="http://schemas.openxmlformats.org/package/2006/relationships"><Relationship Type="http://schemas.openxmlformats.org/officeDocument/2006/relationships/table" Target="/xl/tables/table8.xml" Id="Ra090237cabc34b97" /></Relationships>
</file>

<file path=xl/worksheets/_rels/sheet10.xml.rels>&#65279;<?xml version="1.0" encoding="utf-8"?><Relationships xmlns="http://schemas.openxmlformats.org/package/2006/relationships"><Relationship Type="http://schemas.openxmlformats.org/officeDocument/2006/relationships/table" Target="/xl/tables/table9.xml" Id="Reb7b2860ff234aa2" /></Relationships>
</file>

<file path=xl/worksheets/_rels/sheet11.xml.rels>&#65279;<?xml version="1.0" encoding="utf-8"?><Relationships xmlns="http://schemas.openxmlformats.org/package/2006/relationships"><Relationship Type="http://schemas.openxmlformats.org/officeDocument/2006/relationships/table" Target="/xl/tables/table10.xml" Id="R9198785972f64cd1" /></Relationships>
</file>

<file path=xl/worksheets/_rels/sheet12.xml.rels>&#65279;<?xml version="1.0" encoding="utf-8"?><Relationships xmlns="http://schemas.openxmlformats.org/package/2006/relationships"><Relationship Type="http://schemas.openxmlformats.org/officeDocument/2006/relationships/table" Target="/xl/tables/table11.xml" Id="Rf0576c65c6e3429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RUN-TRF-113-20260831T120824954412Z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COUNTA('API_CALLS'!$A$5:$A$28)</x:f>
        <x:v>24</x:v>
      </x:c>
      <x:c r="C9" s="21"/>
      <x:c r="D9" s="21"/>
    </x:row>
    <x:row r="10">
      <x:c r="A10" s="27" t="str">
        <x:v>Mean API/LLM elapsed ms</x:v>
      </x:c>
      <x:c r="B10" s="28" t="n">
        <x:f>IFERROR(AVERAGE('API_CALLS'!$K$5:$K$28),0)</x:f>
        <x:v>12547.143041666664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RUN-TRF-113-20260831T120824954412Z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d1b30c9dd1f491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RUN-TRF-113-20260831T120824954412Z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MAX_ATTEMPTS_REACHED</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953876e98424dc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RUN-TRF-113-20260831T120824954412Z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RUN-TRF-113-20260831T120824954412Z</x:v>
      </x:c>
      <x:c r="C5" s="69" t="str">
        <x:v>TRF-113</x:v>
      </x:c>
      <x:c r="D5" s="70" t="n">
        <x:v>46265.50584438657</x:v>
      </x:c>
      <x:c r="E5" s="70" t="n">
        <x:v>46265.50767960648</x:v>
      </x:c>
      <x:c r="F5" s="69" t="str">
        <x:v>final-luna-main-run10</x:v>
      </x:c>
      <x:c r="G5" s="69" t="str">
        <x:v>VOCAB-LOCK-2026-08-22-R13</x:v>
      </x:c>
      <x:c r="H5" s="71" t="n">
        <x:v>4</x:v>
      </x:c>
      <x:c r="I5" s="69" t="str">
        <x:v>MAX_ATTEMPTS_REACHED</x:v>
      </x:c>
      <x:c r="J5" s="72" t="b">
        <x:v>0</x:v>
      </x:c>
      <x:c r="K5" s="69" t="str"/>
      <x:c r="L5" s="73" t="str">
        <x:v>The graph remains semantically unfaithful despite deterministic validity. Preserve the prior repair instructions and exact canonical nltl:bladePlasticBending with xsd:string on its authoritative ship owner. The three qualified hasComponent checks only assert component-class presence and do not state that each steering mechanism, thruster fitting, and thruster body is designed to withstand blade plastic bending without damage. Likewise, ship-level bladeLossLoad and propellerBladeOrientation presence, plus the load-case boolean, do not connect blade loss and the maximum-load orientation to each studied component or its load case; the affirmative boolean must remain on its declared loadCase owner. The generic evidence link does not establish evidence for the specific design claim. Locate canonical terms and cross-owner paths for the missing withstand/design-capability, blade-loss, component/load-case, maximum-load-orientation, and claim-specific evidence relationships, then constrain them on their authoritative owners while preserving ship-to-loadCase. Activate matching because the required canonical relationship concepts/paths are absent from the scoped vocabulary.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d870d6dd8bc457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RUN-TRF-113-20260831T120824954412Z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RUN-TRF-113-20260831T120824954412Z</x:v>
      </x:c>
      <x:c r="B5" s="45" t="str">
        <x:v>TRF-113</x:v>
      </x:c>
      <x:c r="C5" s="58" t="n">
        <x:v>1</x:v>
      </x:c>
      <x:c r="D5" s="83" t="b">
        <x:v>1</x:v>
      </x:c>
      <x:c r="E5" s="83" t="b">
        <x:v>0</x:v>
      </x:c>
      <x:c r="F5" s="83" t="b">
        <x:v>1</x:v>
      </x:c>
      <x:c r="G5" s="45" t="str">
        <x:v>REVISE_WITH_MATCH</x:v>
      </x:c>
      <x:c r="H5" s="46" t="str">
        <x:v>The graph passes deterministic validation but is not semantically faithful: it only asserts presence of three component classes and an xsd:string, without encoding that each component is designed to withstand blade plastic bending without damage, that blade loss is included, or that the specified orientation is the one producing the maximum load on the component studied. The boolean maximumComponentLoadBladeOrientationConfirmed and unlinked evidence presence are insufficient substitutes and do not relate the design condition, orientation, blade loss, and affected components. Locate canonical terms/paths for the missing design-capability, blade-loss, maximum-load-orientation, and component/load-case relationships; then constrain those terms on their declared owners and connect the evidence to the required design claim. Preserve the ship-to-loadCase path and the declared datatypes.</x:v>
      </x:c>
      <x:c r="I5" s="84" t="n">
        <x:v>27086.702</x:v>
      </x:c>
      <x:c r="J5" s="84" t="n">
        <x:v>10864.28</x:v>
      </x:c>
    </x:row>
    <x:row r="6">
      <x:c r="A6" s="47" t="str">
        <x:v>RUN-TRF-113-20260831T120824954412Z</x:v>
      </x:c>
      <x:c r="B6" s="47" t="str">
        <x:v>TRF-113</x:v>
      </x:c>
      <x:c r="C6" s="59" t="n">
        <x:v>2</x:v>
      </x:c>
      <x:c r="D6" s="85" t="b">
        <x:v>1</x:v>
      </x:c>
      <x:c r="E6" s="85" t="b">
        <x:v>0</x:v>
      </x:c>
      <x:c r="F6" s="85" t="b">
        <x:v>1</x:v>
      </x:c>
      <x:c r="G6" s="47" t="str">
        <x:v>REVISE_WITH_MATCH</x:v>
      </x:c>
      <x:c r="H6" s="48" t="str">
        <x:v>The graph remains semantically unfaithful despite deterministic validity. Preserve the prior repair: locate canonical terms and paths for the design-capability relationship linking the steering mechanism, unit fitting, and thruster body to resistance to plastic blade bending without damage; for the blade-loss condition; for the propeller orientation causing maximum load on the component studied; and for the component/load-case relationships. The current xsd:string presence on the ship, three unqualified component-class presences, bladeLossLoad presence, and boolean maximumComponentLoadBladeOrientationConfirmed do not encode those relationships or the required maximum-load orientation, and the generic evidence artifact is not linked to the required design claim. Keep bladePlasticBending as the exact canonical term and preserve its declared xsd:string datatype, the ship-to-loadCase path, and all authoritative owners. Activate canonical-term/path matching because the required relationship concepts are absent from the scoped vocabulary.</x:v>
      </x:c>
      <x:c r="I6" s="86" t="n">
        <x:v>24768.656</x:v>
      </x:c>
      <x:c r="J6" s="86" t="n">
        <x:v>11545.086</x:v>
      </x:c>
    </x:row>
    <x:row r="7">
      <x:c r="A7" s="47" t="str">
        <x:v>RUN-TRF-113-20260831T120824954412Z</x:v>
      </x:c>
      <x:c r="B7" s="47" t="str">
        <x:v>TRF-113</x:v>
      </x:c>
      <x:c r="C7" s="59" t="n">
        <x:v>3</x:v>
      </x:c>
      <x:c r="D7" s="85" t="b">
        <x:v>1</x:v>
      </x:c>
      <x:c r="E7" s="85" t="b">
        <x:v>0</x:v>
      </x:c>
      <x:c r="F7" s="85" t="b">
        <x:v>1</x:v>
      </x:c>
      <x:c r="G7" s="47" t="str">
        <x:v>REVISE_WITH_MATCH</x:v>
      </x:c>
      <x:c r="H7" s="48" t="str">
        <x:v>The graph remains semantically unfaithful and deterministic validity alone is insufficient. Preserve the prior repair and the exact canonical term nltl:bladePlasticBending with xsd:string. Locate canonical terms and paths for the design-capability relationship connecting the ship’s steering mechanism, unit fitting, and thruster body to withstanding blade plastic bending without damage; for the blade-loss condition; and for the relationship between each studied component, its load case, and the propeller blade orientation producing its maximum load. The current ship-level string, unqualified component-class presence checks, bladeLossLoad presence, and propellerBladeOrientation presence do not encode those relationships or the required withstand/no-damage and maximum-load semantics. Constrain maximumComponentLoadBladeOrientationConfirmed to the affirmative value where it represents the required condition, while retaining it on its declared loadCase owner and retaining the ship-to-loadCase path. Link evidence specifically to the required design claim rather than merely requiring an unqualified evidence artifact. Do not relocate properties from their authoritative owners; use the canonical cross-owner paths found by the matcher.</x:v>
      </x:c>
      <x:c r="I7" s="86" t="n">
        <x:v>19753.124</x:v>
      </x:c>
      <x:c r="J7" s="86" t="n">
        <x:v>11233.77</x:v>
      </x:c>
    </x:row>
    <x:row r="8">
      <x:c r="A8" s="49" t="str">
        <x:v>RUN-TRF-113-20260831T120824954412Z</x:v>
      </x:c>
      <x:c r="B8" s="49" t="str">
        <x:v>TRF-113</x:v>
      </x:c>
      <x:c r="C8" s="60" t="n">
        <x:v>4</x:v>
      </x:c>
      <x:c r="D8" s="87" t="b">
        <x:v>1</x:v>
      </x:c>
      <x:c r="E8" s="87" t="b">
        <x:v>0</x:v>
      </x:c>
      <x:c r="F8" s="87" t="b">
        <x:v>1</x:v>
      </x:c>
      <x:c r="G8" s="49" t="str">
        <x:v>REVISE_WITH_MATCH</x:v>
      </x:c>
      <x:c r="H8" s="50" t="str">
        <x:v>The graph remains semantically unfaithful despite deterministic validity. Preserve the prior repair instructions and exact canonical nltl:bladePlasticBending with xsd:string on its authoritative ship owner. The three qualified hasComponent checks only assert component-class presence and do not state that each steering mechanism, thruster fitting, and thruster body is designed to withstand blade plastic bending without damage. Likewise, ship-level bladeLossLoad and propellerBladeOrientation presence, plus the load-case boolean, do not connect blade loss and the maximum-load orientation to each studied component or its load case; the affirmative boolean must remain on its declared loadCase owner. The generic evidence link does not establish evidence for the specific design claim. Locate canonical terms and cross-owner paths for the missing withstand/design-capability, blade-loss, component/load-case, maximum-load-orientation, and claim-specific evidence relationships, then constrain them on their authoritative owners while preserving ship-to-loadCase. Activate matching because the required canonical relationship concepts/paths are absent from the scoped vocabulary.</x:v>
      </x:c>
      <x:c r="I8" s="88" t="n">
        <x:v>22257.366</x:v>
      </x:c>
      <x:c r="J8" s="88" t="n">
        <x:v>10268.749</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35f99fa67fc441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RUN-TRF-113-20260831T120824954412Z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RUN-TRF-113-20260831T120824954412Z</x:v>
      </x:c>
      <x:c r="C5" s="45" t="str">
        <x:v>TRF-113</x:v>
      </x:c>
      <x:c r="D5" s="92" t="n">
        <x:v>46265.50615789352</x:v>
      </x:c>
      <x:c r="E5" s="45" t="str">
        <x:v>generator</x:v>
      </x:c>
      <x:c r="F5" s="45" t="str">
        <x:v>gpt-5.6-luna-2026-07-09</x:v>
      </x:c>
      <x:c r="G5" s="45" t="n">
        <x:v>1</x:v>
      </x:c>
      <x:c r="H5" s="45" t="n">
        <x:v>200</x:v>
      </x:c>
      <x:c r="I5" s="45" t="str">
        <x:v>Ocp-Apim-Subscription-Key</x:v>
      </x:c>
      <x:c r="J5" s="84" t="n">
        <x:v>0</x:v>
      </x:c>
      <x:c r="K5" s="84" t="n">
        <x:v>27085.445</x:v>
      </x:c>
      <x:c r="L5" s="83" t="b">
        <x:v>0</x:v>
      </x:c>
      <x:c r="M5" s="45" t="str"/>
      <x:c r="N5" s="58" t="str"/>
      <x:c r="O5" s="58" t="str"/>
      <x:c r="P5" s="58" t="str"/>
    </x:row>
    <x:row r="6">
      <x:c r="A6" s="47" t="str">
        <x:v>EVT-000026</x:v>
      </x:c>
      <x:c r="B6" s="47" t="str">
        <x:v>RUN-TRF-113-20260831T120824954412Z</x:v>
      </x:c>
      <x:c r="C6" s="47" t="str">
        <x:v>TRF-113</x:v>
      </x:c>
      <x:c r="D6" s="93" t="n">
        <x:v>46265.506157916665</x:v>
      </x:c>
      <x:c r="E6" s="47" t="str">
        <x:v>generator</x:v>
      </x:c>
      <x:c r="F6" s="47" t="str">
        <x:v>gpt-5.6-luna-2026-07-09</x:v>
      </x:c>
      <x:c r="G6" s="47" t="n">
        <x:v>1</x:v>
      </x:c>
      <x:c r="H6" s="47" t="str">
        <x:v>COMPLETED</x:v>
      </x:c>
      <x:c r="I6" s="47" t="str"/>
      <x:c r="J6" s="86" t="n">
        <x:v>0</x:v>
      </x:c>
      <x:c r="K6" s="86" t="n">
        <x:v>27086.702</x:v>
      </x:c>
      <x:c r="L6" s="85" t="b">
        <x:v>0</x:v>
      </x:c>
      <x:c r="M6" s="47" t="str">
        <x:v>resp_0359bfbeafbcafd3006a956eb91b5081949bc49328f8a9f900</x:v>
      </x:c>
      <x:c r="N6" s="59" t="n">
        <x:v>8833</x:v>
      </x:c>
      <x:c r="O6" s="59" t="n">
        <x:v>2147</x:v>
      </x:c>
      <x:c r="P6" s="59" t="n">
        <x:v>10980</x:v>
      </x:c>
    </x:row>
    <x:row r="7">
      <x:c r="A7" s="47" t="str">
        <x:v>EVT-000033</x:v>
      </x:c>
      <x:c r="B7" s="47" t="str">
        <x:v>RUN-TRF-113-20260831T120824954412Z</x:v>
      </x:c>
      <x:c r="C7" s="47" t="str">
        <x:v>TRF-113</x:v>
      </x:c>
      <x:c r="D7" s="93" t="n">
        <x:v>46265.50628491898</x:v>
      </x:c>
      <x:c r="E7" s="47" t="str">
        <x:v>validator</x:v>
      </x:c>
      <x:c r="F7" s="47" t="str">
        <x:v>gpt-5.6-luna-2026-07-09</x:v>
      </x:c>
      <x:c r="G7" s="47" t="n">
        <x:v>1</x:v>
      </x:c>
      <x:c r="H7" s="47" t="n">
        <x:v>200</x:v>
      </x:c>
      <x:c r="I7" s="47" t="str">
        <x:v>Ocp-Apim-Subscription-Key</x:v>
      </x:c>
      <x:c r="J7" s="86" t="n">
        <x:v>0</x:v>
      </x:c>
      <x:c r="K7" s="86" t="n">
        <x:v>10862.926</x:v>
      </x:c>
      <x:c r="L7" s="85" t="b">
        <x:v>0</x:v>
      </x:c>
      <x:c r="M7" s="47" t="str"/>
      <x:c r="N7" s="59" t="str"/>
      <x:c r="O7" s="59" t="str"/>
      <x:c r="P7" s="59" t="str"/>
    </x:row>
    <x:row r="8">
      <x:c r="A8" s="47" t="str">
        <x:v>EVT-000034</x:v>
      </x:c>
      <x:c r="B8" s="47" t="str">
        <x:v>RUN-TRF-113-20260831T120824954412Z</x:v>
      </x:c>
      <x:c r="C8" s="47" t="str">
        <x:v>TRF-113</x:v>
      </x:c>
      <x:c r="D8" s="93" t="n">
        <x:v>46265.50628494213</x:v>
      </x:c>
      <x:c r="E8" s="47" t="str">
        <x:v>validator</x:v>
      </x:c>
      <x:c r="F8" s="47" t="str">
        <x:v>gpt-5.6-luna-2026-07-09</x:v>
      </x:c>
      <x:c r="G8" s="47" t="n">
        <x:v>1</x:v>
      </x:c>
      <x:c r="H8" s="47" t="str">
        <x:v>COMPLETED</x:v>
      </x:c>
      <x:c r="I8" s="47" t="str"/>
      <x:c r="J8" s="86" t="n">
        <x:v>0</x:v>
      </x:c>
      <x:c r="K8" s="86" t="n">
        <x:v>10864.28</x:v>
      </x:c>
      <x:c r="L8" s="85" t="b">
        <x:v>0</x:v>
      </x:c>
      <x:c r="M8" s="47" t="str">
        <x:v>resp_0a01f3433881a5e7006a956ed440c48190b47b1675468d9624</x:v>
      </x:c>
      <x:c r="N8" s="59" t="n">
        <x:v>8532</x:v>
      </x:c>
      <x:c r="O8" s="59" t="n">
        <x:v>670</x:v>
      </x:c>
      <x:c r="P8" s="59" t="n">
        <x:v>9202</x:v>
      </x:c>
    </x:row>
    <x:row r="9">
      <x:c r="A9" s="47" t="str">
        <x:v>EVT-000040</x:v>
      </x:c>
      <x:c r="B9" s="47" t="str">
        <x:v>RUN-TRF-113-20260831T120824954412Z</x:v>
      </x:c>
      <x:c r="C9" s="47" t="str">
        <x:v>TRF-113</x:v>
      </x:c>
      <x:c r="D9" s="93" t="n">
        <x:v>46265.506357210645</x:v>
      </x:c>
      <x:c r="E9" s="47" t="str">
        <x:v>vocabulary_matcher</x:v>
      </x:c>
      <x:c r="F9" s="47" t="str">
        <x:v>gpt-5.6-luna-2026-07-09</x:v>
      </x:c>
      <x:c r="G9" s="47" t="n">
        <x:v>1</x:v>
      </x:c>
      <x:c r="H9" s="47" t="n">
        <x:v>200</x:v>
      </x:c>
      <x:c r="I9" s="47" t="str">
        <x:v>Ocp-Apim-Subscription-Key</x:v>
      </x:c>
      <x:c r="J9" s="86" t="n">
        <x:v>0</x:v>
      </x:c>
      <x:c r="K9" s="86" t="n">
        <x:v>4696.616</x:v>
      </x:c>
      <x:c r="L9" s="85" t="b">
        <x:v>0</x:v>
      </x:c>
      <x:c r="M9" s="47" t="str"/>
      <x:c r="N9" s="59" t="str"/>
      <x:c r="O9" s="59" t="str"/>
      <x:c r="P9" s="59" t="str"/>
    </x:row>
    <x:row r="10">
      <x:c r="A10" s="47" t="str">
        <x:v>EVT-000041</x:v>
      </x:c>
      <x:c r="B10" s="47" t="str">
        <x:v>RUN-TRF-113-20260831T120824954412Z</x:v>
      </x:c>
      <x:c r="C10" s="47" t="str">
        <x:v>TRF-113</x:v>
      </x:c>
      <x:c r="D10" s="93" t="n">
        <x:v>46265.50635722222</x:v>
      </x:c>
      <x:c r="E10" s="47" t="str">
        <x:v>vocabulary_matcher</x:v>
      </x:c>
      <x:c r="F10" s="47" t="str">
        <x:v>gpt-5.6-luna-2026-07-09</x:v>
      </x:c>
      <x:c r="G10" s="47" t="n">
        <x:v>1</x:v>
      </x:c>
      <x:c r="H10" s="47" t="str">
        <x:v>COMPLETED</x:v>
      </x:c>
      <x:c r="I10" s="47" t="str"/>
      <x:c r="J10" s="86" t="n">
        <x:v>0</x:v>
      </x:c>
      <x:c r="K10" s="86" t="n">
        <x:v>4698.091</x:v>
      </x:c>
      <x:c r="L10" s="85" t="b">
        <x:v>0</x:v>
      </x:c>
      <x:c r="M10" s="47" t="str">
        <x:v>resp_08537b06c4b8846d006a956ee0c1848196b78ce579a9992203</x:v>
      </x:c>
      <x:c r="N10" s="59" t="n">
        <x:v>2172</x:v>
      </x:c>
      <x:c r="O10" s="59" t="n">
        <x:v>319</x:v>
      </x:c>
      <x:c r="P10" s="59" t="n">
        <x:v>2491</x:v>
      </x:c>
    </x:row>
    <x:row r="11">
      <x:c r="A11" s="47" t="str">
        <x:v>EVT-000065</x:v>
      </x:c>
      <x:c r="B11" s="47" t="str">
        <x:v>RUN-TRF-113-20260831T120824954412Z</x:v>
      </x:c>
      <x:c r="C11" s="47" t="str">
        <x:v>TRF-113</x:v>
      </x:c>
      <x:c r="D11" s="93" t="n">
        <x:v>46265.506644016205</x:v>
      </x:c>
      <x:c r="E11" s="47" t="str">
        <x:v>generator</x:v>
      </x:c>
      <x:c r="F11" s="47" t="str">
        <x:v>gpt-5.6-luna-2026-07-09</x:v>
      </x:c>
      <x:c r="G11" s="47" t="n">
        <x:v>1</x:v>
      </x:c>
      <x:c r="H11" s="47" t="n">
        <x:v>200</x:v>
      </x:c>
      <x:c r="I11" s="47" t="str">
        <x:v>Ocp-Apim-Subscription-Key</x:v>
      </x:c>
      <x:c r="J11" s="86" t="n">
        <x:v>0</x:v>
      </x:c>
      <x:c r="K11" s="86" t="n">
        <x:v>24767.044</x:v>
      </x:c>
      <x:c r="L11" s="85" t="b">
        <x:v>0</x:v>
      </x:c>
      <x:c r="M11" s="47" t="str"/>
      <x:c r="N11" s="59" t="str"/>
      <x:c r="O11" s="59" t="str"/>
      <x:c r="P11" s="59" t="str"/>
    </x:row>
    <x:row r="12">
      <x:c r="A12" s="47" t="str">
        <x:v>EVT-000066</x:v>
      </x:c>
      <x:c r="B12" s="47" t="str">
        <x:v>RUN-TRF-113-20260831T120824954412Z</x:v>
      </x:c>
      <x:c r="C12" s="47" t="str">
        <x:v>TRF-113</x:v>
      </x:c>
      <x:c r="D12" s="93" t="n">
        <x:v>46265.50664403935</x:v>
      </x:c>
      <x:c r="E12" s="47" t="str">
        <x:v>generator</x:v>
      </x:c>
      <x:c r="F12" s="47" t="str">
        <x:v>gpt-5.6-luna-2026-07-09</x:v>
      </x:c>
      <x:c r="G12" s="47" t="n">
        <x:v>1</x:v>
      </x:c>
      <x:c r="H12" s="47" t="str">
        <x:v>COMPLETED</x:v>
      </x:c>
      <x:c r="I12" s="47" t="str"/>
      <x:c r="J12" s="86" t="n">
        <x:v>0</x:v>
      </x:c>
      <x:c r="K12" s="86" t="n">
        <x:v>24768.656</x:v>
      </x:c>
      <x:c r="L12" s="85" t="b">
        <x:v>0</x:v>
      </x:c>
      <x:c r="M12" s="47" t="str">
        <x:v>resp_01001f7d230853b8006a956ee563b88190ac7052a49abda077</x:v>
      </x:c>
      <x:c r="N12" s="59" t="n">
        <x:v>9066</x:v>
      </x:c>
      <x:c r="O12" s="59" t="n">
        <x:v>2030</x:v>
      </x:c>
      <x:c r="P12" s="59" t="n">
        <x:v>11096</x:v>
      </x:c>
    </x:row>
    <x:row r="13">
      <x:c r="A13" s="47" t="str">
        <x:v>EVT-000073</x:v>
      </x:c>
      <x:c r="B13" s="47" t="str">
        <x:v>RUN-TRF-113-20260831T120824954412Z</x:v>
      </x:c>
      <x:c r="C13" s="47" t="str">
        <x:v>TRF-113</x:v>
      </x:c>
      <x:c r="D13" s="93" t="n">
        <x:v>46265.50677915509</x:v>
      </x:c>
      <x:c r="E13" s="47" t="str">
        <x:v>validator</x:v>
      </x:c>
      <x:c r="F13" s="47" t="str">
        <x:v>gpt-5.6-luna-2026-07-09</x:v>
      </x:c>
      <x:c r="G13" s="47" t="n">
        <x:v>1</x:v>
      </x:c>
      <x:c r="H13" s="47" t="n">
        <x:v>200</x:v>
      </x:c>
      <x:c r="I13" s="47" t="str">
        <x:v>Ocp-Apim-Subscription-Key</x:v>
      </x:c>
      <x:c r="J13" s="86" t="n">
        <x:v>0</x:v>
      </x:c>
      <x:c r="K13" s="86" t="n">
        <x:v>11543.549</x:v>
      </x:c>
      <x:c r="L13" s="85" t="b">
        <x:v>0</x:v>
      </x:c>
      <x:c r="M13" s="47" t="str"/>
      <x:c r="N13" s="59" t="str"/>
      <x:c r="O13" s="59" t="str"/>
      <x:c r="P13" s="59" t="str"/>
    </x:row>
    <x:row r="14">
      <x:c r="A14" s="47" t="str">
        <x:v>EVT-000074</x:v>
      </x:c>
      <x:c r="B14" s="47" t="str">
        <x:v>RUN-TRF-113-20260831T120824954412Z</x:v>
      </x:c>
      <x:c r="C14" s="47" t="str">
        <x:v>TRF-113</x:v>
      </x:c>
      <x:c r="D14" s="93" t="n">
        <x:v>46265.50677917824</x:v>
      </x:c>
      <x:c r="E14" s="47" t="str">
        <x:v>validator</x:v>
      </x:c>
      <x:c r="F14" s="47" t="str">
        <x:v>gpt-5.6-luna-2026-07-09</x:v>
      </x:c>
      <x:c r="G14" s="47" t="n">
        <x:v>1</x:v>
      </x:c>
      <x:c r="H14" s="47" t="str">
        <x:v>COMPLETED</x:v>
      </x:c>
      <x:c r="I14" s="47" t="str"/>
      <x:c r="J14" s="86" t="n">
        <x:v>0</x:v>
      </x:c>
      <x:c r="K14" s="86" t="n">
        <x:v>11545.086</x:v>
      </x:c>
      <x:c r="L14" s="85" t="b">
        <x:v>0</x:v>
      </x:c>
      <x:c r="M14" s="47" t="str">
        <x:v>resp_0d5f07d93f02a13d006a956efe6a5c8194883282fce78346cf</x:v>
      </x:c>
      <x:c r="N14" s="59" t="n">
        <x:v>9156</x:v>
      </x:c>
      <x:c r="O14" s="59" t="n">
        <x:v>577</x:v>
      </x:c>
      <x:c r="P14" s="59" t="n">
        <x:v>9733</x:v>
      </x:c>
    </x:row>
    <x:row r="15">
      <x:c r="A15" s="47" t="str">
        <x:v>EVT-000081</x:v>
      </x:c>
      <x:c r="B15" s="47" t="str">
        <x:v>RUN-TRF-113-20260831T120824954412Z</x:v>
      </x:c>
      <x:c r="C15" s="47" t="str">
        <x:v>TRF-113</x:v>
      </x:c>
      <x:c r="D15" s="93" t="n">
        <x:v>46265.50682771991</x:v>
      </x:c>
      <x:c r="E15" s="47" t="str">
        <x:v>vocabulary_matcher</x:v>
      </x:c>
      <x:c r="F15" s="47" t="str">
        <x:v>gpt-5.6-luna-2026-07-09</x:v>
      </x:c>
      <x:c r="G15" s="47" t="n">
        <x:v>1</x:v>
      </x:c>
      <x:c r="H15" s="47" t="n">
        <x:v>200</x:v>
      </x:c>
      <x:c r="I15" s="47" t="str">
        <x:v>Ocp-Apim-Subscription-Key</x:v>
      </x:c>
      <x:c r="J15" s="86" t="n">
        <x:v>0</x:v>
      </x:c>
      <x:c r="K15" s="86" t="n">
        <x:v>2422.681</x:v>
      </x:c>
      <x:c r="L15" s="85" t="b">
        <x:v>0</x:v>
      </x:c>
      <x:c r="M15" s="47" t="str"/>
      <x:c r="N15" s="59" t="str"/>
      <x:c r="O15" s="59" t="str"/>
      <x:c r="P15" s="59" t="str"/>
    </x:row>
    <x:row r="16">
      <x:c r="A16" s="47" t="str">
        <x:v>EVT-000082</x:v>
      </x:c>
      <x:c r="B16" s="47" t="str">
        <x:v>RUN-TRF-113-20260831T120824954412Z</x:v>
      </x:c>
      <x:c r="C16" s="47" t="str">
        <x:v>TRF-113</x:v>
      </x:c>
      <x:c r="D16" s="93" t="n">
        <x:v>46265.50682773148</x:v>
      </x:c>
      <x:c r="E16" s="47" t="str">
        <x:v>vocabulary_matcher</x:v>
      </x:c>
      <x:c r="F16" s="47" t="str">
        <x:v>gpt-5.6-luna-2026-07-09</x:v>
      </x:c>
      <x:c r="G16" s="47" t="n">
        <x:v>1</x:v>
      </x:c>
      <x:c r="H16" s="47" t="str">
        <x:v>COMPLETED</x:v>
      </x:c>
      <x:c r="I16" s="47" t="str"/>
      <x:c r="J16" s="86" t="n">
        <x:v>0</x:v>
      </x:c>
      <x:c r="K16" s="86" t="n">
        <x:v>2424.018</x:v>
      </x:c>
      <x:c r="L16" s="85" t="b">
        <x:v>0</x:v>
      </x:c>
      <x:c r="M16" s="47" t="str">
        <x:v>resp_04d8ef369d7bd26c006a956f0bbf3c81958418b5db227d9df8</x:v>
      </x:c>
      <x:c r="N16" s="59" t="n">
        <x:v>2769</x:v>
      </x:c>
      <x:c r="O16" s="59" t="n">
        <x:v>134</x:v>
      </x:c>
      <x:c r="P16" s="59" t="n">
        <x:v>2903</x:v>
      </x:c>
    </x:row>
    <x:row r="17">
      <x:c r="A17" s="47" t="str">
        <x:v>EVT-000106</x:v>
      </x:c>
      <x:c r="B17" s="47" t="str">
        <x:v>RUN-TRF-113-20260831T120824954412Z</x:v>
      </x:c>
      <x:c r="C17" s="47" t="str">
        <x:v>TRF-113</x:v>
      </x:c>
      <x:c r="D17" s="93" t="n">
        <x:v>46265.507056469905</x:v>
      </x:c>
      <x:c r="E17" s="47" t="str">
        <x:v>generator</x:v>
      </x:c>
      <x:c r="F17" s="47" t="str">
        <x:v>gpt-5.6-luna-2026-07-09</x:v>
      </x:c>
      <x:c r="G17" s="47" t="n">
        <x:v>1</x:v>
      </x:c>
      <x:c r="H17" s="47" t="n">
        <x:v>200</x:v>
      </x:c>
      <x:c r="I17" s="47" t="str">
        <x:v>Ocp-Apim-Subscription-Key</x:v>
      </x:c>
      <x:c r="J17" s="86" t="n">
        <x:v>0</x:v>
      </x:c>
      <x:c r="K17" s="86" t="n">
        <x:v>19751.607</x:v>
      </x:c>
      <x:c r="L17" s="85" t="b">
        <x:v>0</x:v>
      </x:c>
      <x:c r="M17" s="47" t="str"/>
      <x:c r="N17" s="59" t="str"/>
      <x:c r="O17" s="59" t="str"/>
      <x:c r="P17" s="59" t="str"/>
    </x:row>
    <x:row r="18">
      <x:c r="A18" s="47" t="str">
        <x:v>EVT-000107</x:v>
      </x:c>
      <x:c r="B18" s="47" t="str">
        <x:v>RUN-TRF-113-20260831T120824954412Z</x:v>
      </x:c>
      <x:c r="C18" s="47" t="str">
        <x:v>TRF-113</x:v>
      </x:c>
      <x:c r="D18" s="93" t="n">
        <x:v>46265.50705648148</x:v>
      </x:c>
      <x:c r="E18" s="47" t="str">
        <x:v>generator</x:v>
      </x:c>
      <x:c r="F18" s="47" t="str">
        <x:v>gpt-5.6-luna-2026-07-09</x:v>
      </x:c>
      <x:c r="G18" s="47" t="n">
        <x:v>1</x:v>
      </x:c>
      <x:c r="H18" s="47" t="str">
        <x:v>COMPLETED</x:v>
      </x:c>
      <x:c r="I18" s="47" t="str"/>
      <x:c r="J18" s="86" t="n">
        <x:v>0</x:v>
      </x:c>
      <x:c r="K18" s="86" t="n">
        <x:v>19753.124</x:v>
      </x:c>
      <x:c r="L18" s="85" t="b">
        <x:v>0</x:v>
      </x:c>
      <x:c r="M18" s="47" t="str">
        <x:v>resp_03b8935d27f6dadf006a956f0e09f0819786f77dc32119dade</x:v>
      </x:c>
      <x:c r="N18" s="59" t="n">
        <x:v>9311</x:v>
      </x:c>
      <x:c r="O18" s="59" t="n">
        <x:v>1763</x:v>
      </x:c>
      <x:c r="P18" s="59" t="n">
        <x:v>11074</x:v>
      </x:c>
    </x:row>
    <x:row r="19">
      <x:c r="A19" s="47" t="str">
        <x:v>EVT-000114</x:v>
      </x:c>
      <x:c r="B19" s="47" t="str">
        <x:v>RUN-TRF-113-20260831T120824954412Z</x:v>
      </x:c>
      <x:c r="C19" s="47" t="str">
        <x:v>TRF-113</x:v>
      </x:c>
      <x:c r="D19" s="93" t="n">
        <x:v>46265.507188020834</x:v>
      </x:c>
      <x:c r="E19" s="47" t="str">
        <x:v>validator</x:v>
      </x:c>
      <x:c r="F19" s="47" t="str">
        <x:v>gpt-5.6-luna-2026-07-09</x:v>
      </x:c>
      <x:c r="G19" s="47" t="n">
        <x:v>1</x:v>
      </x:c>
      <x:c r="H19" s="47" t="n">
        <x:v>200</x:v>
      </x:c>
      <x:c r="I19" s="47" t="str">
        <x:v>Ocp-Apim-Subscription-Key</x:v>
      </x:c>
      <x:c r="J19" s="86" t="n">
        <x:v>0</x:v>
      </x:c>
      <x:c r="K19" s="86" t="n">
        <x:v>11232.366</x:v>
      </x:c>
      <x:c r="L19" s="85" t="b">
        <x:v>0</x:v>
      </x:c>
      <x:c r="M19" s="47" t="str"/>
      <x:c r="N19" s="59" t="str"/>
      <x:c r="O19" s="59" t="str"/>
      <x:c r="P19" s="59" t="str"/>
    </x:row>
    <x:row r="20">
      <x:c r="A20" s="47" t="str">
        <x:v>EVT-000115</x:v>
      </x:c>
      <x:c r="B20" s="47" t="str">
        <x:v>RUN-TRF-113-20260831T120824954412Z</x:v>
      </x:c>
      <x:c r="C20" s="47" t="str">
        <x:v>TRF-113</x:v>
      </x:c>
      <x:c r="D20" s="93" t="n">
        <x:v>46265.50718803241</x:v>
      </x:c>
      <x:c r="E20" s="47" t="str">
        <x:v>validator</x:v>
      </x:c>
      <x:c r="F20" s="47" t="str">
        <x:v>gpt-5.6-luna-2026-07-09</x:v>
      </x:c>
      <x:c r="G20" s="47" t="n">
        <x:v>1</x:v>
      </x:c>
      <x:c r="H20" s="47" t="str">
        <x:v>COMPLETED</x:v>
      </x:c>
      <x:c r="I20" s="47" t="str"/>
      <x:c r="J20" s="86" t="n">
        <x:v>0</x:v>
      </x:c>
      <x:c r="K20" s="86" t="n">
        <x:v>11233.77</x:v>
      </x:c>
      <x:c r="L20" s="85" t="b">
        <x:v>0</x:v>
      </x:c>
      <x:c r="M20" s="47" t="str">
        <x:v>resp_0a5ba0f4fa9e69cd006a956f21f6488196a23bb2acf408f50e</x:v>
      </x:c>
      <x:c r="N20" s="59" t="n">
        <x:v>9442</x:v>
      </x:c>
      <x:c r="O20" s="59" t="n">
        <x:v>754</x:v>
      </x:c>
      <x:c r="P20" s="59" t="n">
        <x:v>10196</x:v>
      </x:c>
    </x:row>
    <x:row r="21">
      <x:c r="A21" s="47" t="str">
        <x:v>EVT-000122</x:v>
      </x:c>
      <x:c r="B21" s="47" t="str">
        <x:v>RUN-TRF-113-20260831T120824954412Z</x:v>
      </x:c>
      <x:c r="C21" s="47" t="str">
        <x:v>TRF-113</x:v>
      </x:c>
      <x:c r="D21" s="93" t="n">
        <x:v>46265.50723899306</x:v>
      </x:c>
      <x:c r="E21" s="47" t="str">
        <x:v>vocabulary_matcher</x:v>
      </x:c>
      <x:c r="F21" s="47" t="str">
        <x:v>gpt-5.6-luna-2026-07-09</x:v>
      </x:c>
      <x:c r="G21" s="47" t="n">
        <x:v>1</x:v>
      </x:c>
      <x:c r="H21" s="47" t="n">
        <x:v>200</x:v>
      </x:c>
      <x:c r="I21" s="47" t="str">
        <x:v>Ocp-Apim-Subscription-Key</x:v>
      </x:c>
      <x:c r="J21" s="86" t="n">
        <x:v>0</x:v>
      </x:c>
      <x:c r="K21" s="86" t="n">
        <x:v>2274.397</x:v>
      </x:c>
      <x:c r="L21" s="85" t="b">
        <x:v>0</x:v>
      </x:c>
      <x:c r="M21" s="47" t="str"/>
      <x:c r="N21" s="59" t="str"/>
      <x:c r="O21" s="59" t="str"/>
      <x:c r="P21" s="59" t="str"/>
    </x:row>
    <x:row r="22">
      <x:c r="A22" s="47" t="str">
        <x:v>EVT-000123</x:v>
      </x:c>
      <x:c r="B22" s="47" t="str">
        <x:v>RUN-TRF-113-20260831T120824954412Z</x:v>
      </x:c>
      <x:c r="C22" s="47" t="str">
        <x:v>TRF-113</x:v>
      </x:c>
      <x:c r="D22" s="93" t="n">
        <x:v>46265.507239004626</x:v>
      </x:c>
      <x:c r="E22" s="47" t="str">
        <x:v>vocabulary_matcher</x:v>
      </x:c>
      <x:c r="F22" s="47" t="str">
        <x:v>gpt-5.6-luna-2026-07-09</x:v>
      </x:c>
      <x:c r="G22" s="47" t="n">
        <x:v>1</x:v>
      </x:c>
      <x:c r="H22" s="47" t="str">
        <x:v>COMPLETED</x:v>
      </x:c>
      <x:c r="I22" s="47" t="str"/>
      <x:c r="J22" s="86" t="n">
        <x:v>0</x:v>
      </x:c>
      <x:c r="K22" s="86" t="n">
        <x:v>2275.653</x:v>
      </x:c>
      <x:c r="L22" s="85" t="b">
        <x:v>0</x:v>
      </x:c>
      <x:c r="M22" s="47" t="str">
        <x:v>resp_0774d9d60d4bf180006a956f2f6c208194b7934f1817945150</x:v>
      </x:c>
      <x:c r="N22" s="59" t="n">
        <x:v>3193</x:v>
      </x:c>
      <x:c r="O22" s="59" t="n">
        <x:v>121</x:v>
      </x:c>
      <x:c r="P22" s="59" t="n">
        <x:v>3314</x:v>
      </x:c>
    </x:row>
    <x:row r="23">
      <x:c r="A23" s="47" t="str">
        <x:v>EVT-000147</x:v>
      </x:c>
      <x:c r="B23" s="47" t="str">
        <x:v>RUN-TRF-113-20260831T120824954412Z</x:v>
      </x:c>
      <x:c r="C23" s="47" t="str">
        <x:v>TRF-113</x:v>
      </x:c>
      <x:c r="D23" s="93" t="n">
        <x:v>46265.50749672454</x:v>
      </x:c>
      <x:c r="E23" s="47" t="str">
        <x:v>generator</x:v>
      </x:c>
      <x:c r="F23" s="47" t="str">
        <x:v>gpt-5.6-luna-2026-07-09</x:v>
      </x:c>
      <x:c r="G23" s="47" t="n">
        <x:v>1</x:v>
      </x:c>
      <x:c r="H23" s="47" t="n">
        <x:v>200</x:v>
      </x:c>
      <x:c r="I23" s="47" t="str">
        <x:v>Ocp-Apim-Subscription-Key</x:v>
      </x:c>
      <x:c r="J23" s="86" t="n">
        <x:v>0</x:v>
      </x:c>
      <x:c r="K23" s="86" t="n">
        <x:v>22256.055</x:v>
      </x:c>
      <x:c r="L23" s="85" t="b">
        <x:v>0</x:v>
      </x:c>
      <x:c r="M23" s="47" t="str"/>
      <x:c r="N23" s="59" t="str"/>
      <x:c r="O23" s="59" t="str"/>
      <x:c r="P23" s="59" t="str"/>
    </x:row>
    <x:row r="24">
      <x:c r="A24" s="47" t="str">
        <x:v>EVT-000148</x:v>
      </x:c>
      <x:c r="B24" s="47" t="str">
        <x:v>RUN-TRF-113-20260831T120824954412Z</x:v>
      </x:c>
      <x:c r="C24" s="47" t="str">
        <x:v>TRF-113</x:v>
      </x:c>
      <x:c r="D24" s="93" t="n">
        <x:v>46265.507496736114</x:v>
      </x:c>
      <x:c r="E24" s="47" t="str">
        <x:v>generator</x:v>
      </x:c>
      <x:c r="F24" s="47" t="str">
        <x:v>gpt-5.6-luna-2026-07-09</x:v>
      </x:c>
      <x:c r="G24" s="47" t="n">
        <x:v>1</x:v>
      </x:c>
      <x:c r="H24" s="47" t="str">
        <x:v>COMPLETED</x:v>
      </x:c>
      <x:c r="I24" s="47" t="str"/>
      <x:c r="J24" s="86" t="n">
        <x:v>0</x:v>
      </x:c>
      <x:c r="K24" s="86" t="n">
        <x:v>22257.366</x:v>
      </x:c>
      <x:c r="L24" s="85" t="b">
        <x:v>0</x:v>
      </x:c>
      <x:c r="M24" s="47" t="str">
        <x:v>resp_0b05df3939b2d547006a956f3190348193a2abbea5bb735e57</x:v>
      </x:c>
      <x:c r="N24" s="59" t="n">
        <x:v>9594</x:v>
      </x:c>
      <x:c r="O24" s="59" t="n">
        <x:v>1969</x:v>
      </x:c>
      <x:c r="P24" s="59" t="n">
        <x:v>11563</x:v>
      </x:c>
    </x:row>
    <x:row r="25">
      <x:c r="A25" s="47" t="str">
        <x:v>EVT-000155</x:v>
      </x:c>
      <x:c r="B25" s="47" t="str">
        <x:v>RUN-TRF-113-20260831T120824954412Z</x:v>
      </x:c>
      <x:c r="C25" s="47" t="str">
        <x:v>TRF-113</x:v>
      </x:c>
      <x:c r="D25" s="93" t="n">
        <x:v>46265.50761706018</x:v>
      </x:c>
      <x:c r="E25" s="47" t="str">
        <x:v>validator</x:v>
      </x:c>
      <x:c r="F25" s="47" t="str">
        <x:v>gpt-5.6-luna-2026-07-09</x:v>
      </x:c>
      <x:c r="G25" s="47" t="n">
        <x:v>1</x:v>
      </x:c>
      <x:c r="H25" s="47" t="n">
        <x:v>200</x:v>
      </x:c>
      <x:c r="I25" s="47" t="str">
        <x:v>Ocp-Apim-Subscription-Key</x:v>
      </x:c>
      <x:c r="J25" s="86" t="n">
        <x:v>0</x:v>
      </x:c>
      <x:c r="K25" s="86" t="n">
        <x:v>10267.382</x:v>
      </x:c>
      <x:c r="L25" s="85" t="b">
        <x:v>0</x:v>
      </x:c>
      <x:c r="M25" s="47" t="str"/>
      <x:c r="N25" s="59" t="str"/>
      <x:c r="O25" s="59" t="str"/>
      <x:c r="P25" s="59" t="str"/>
    </x:row>
    <x:row r="26">
      <x:c r="A26" s="47" t="str">
        <x:v>EVT-000156</x:v>
      </x:c>
      <x:c r="B26" s="47" t="str">
        <x:v>RUN-TRF-113-20260831T120824954412Z</x:v>
      </x:c>
      <x:c r="C26" s="47" t="str">
        <x:v>TRF-113</x:v>
      </x:c>
      <x:c r="D26" s="93" t="n">
        <x:v>46265.50761707176</x:v>
      </x:c>
      <x:c r="E26" s="47" t="str">
        <x:v>validator</x:v>
      </x:c>
      <x:c r="F26" s="47" t="str">
        <x:v>gpt-5.6-luna-2026-07-09</x:v>
      </x:c>
      <x:c r="G26" s="47" t="n">
        <x:v>1</x:v>
      </x:c>
      <x:c r="H26" s="47" t="str">
        <x:v>COMPLETED</x:v>
      </x:c>
      <x:c r="I26" s="47" t="str"/>
      <x:c r="J26" s="86" t="n">
        <x:v>0</x:v>
      </x:c>
      <x:c r="K26" s="86" t="n">
        <x:v>10268.749</x:v>
      </x:c>
      <x:c r="L26" s="85" t="b">
        <x:v>0</x:v>
      </x:c>
      <x:c r="M26" s="47" t="str">
        <x:v>resp_06b42e80adf85086006a956f47f4d481969953ccfc0f87dc98</x:v>
      </x:c>
      <x:c r="N26" s="59" t="n">
        <x:v>9768</x:v>
      </x:c>
      <x:c r="O26" s="59" t="n">
        <x:v>485</x:v>
      </x:c>
      <x:c r="P26" s="59" t="n">
        <x:v>10253</x:v>
      </x:c>
    </x:row>
    <x:row r="27">
      <x:c r="A27" s="47" t="str">
        <x:v>EVT-000163</x:v>
      </x:c>
      <x:c r="B27" s="47" t="str">
        <x:v>RUN-TRF-113-20260831T120824954412Z</x:v>
      </x:c>
      <x:c r="C27" s="47" t="str">
        <x:v>TRF-113</x:v>
      </x:c>
      <x:c r="D27" s="93" t="n">
        <x:v>46265.50767954861</x:v>
      </x:c>
      <x:c r="E27" s="47" t="str">
        <x:v>vocabulary_matcher</x:v>
      </x:c>
      <x:c r="F27" s="47" t="str">
        <x:v>gpt-5.6-luna-2026-07-09</x:v>
      </x:c>
      <x:c r="G27" s="47" t="n">
        <x:v>1</x:v>
      </x:c>
      <x:c r="H27" s="47" t="n">
        <x:v>200</x:v>
      </x:c>
      <x:c r="I27" s="47" t="str">
        <x:v>Ocp-Apim-Subscription-Key</x:v>
      </x:c>
      <x:c r="J27" s="86" t="n">
        <x:v>0</x:v>
      </x:c>
      <x:c r="K27" s="86" t="n">
        <x:v>3397.226</x:v>
      </x:c>
      <x:c r="L27" s="85" t="b">
        <x:v>0</x:v>
      </x:c>
      <x:c r="M27" s="47" t="str"/>
      <x:c r="N27" s="59" t="str"/>
      <x:c r="O27" s="59" t="str"/>
      <x:c r="P27" s="59" t="str"/>
    </x:row>
    <x:row r="28">
      <x:c r="A28" s="49" t="str">
        <x:v>EVT-000164</x:v>
      </x:c>
      <x:c r="B28" s="49" t="str">
        <x:v>RUN-TRF-113-20260831T120824954412Z</x:v>
      </x:c>
      <x:c r="C28" s="49" t="str">
        <x:v>TRF-113</x:v>
      </x:c>
      <x:c r="D28" s="94" t="n">
        <x:v>46265.507679560185</x:v>
      </x:c>
      <x:c r="E28" s="49" t="str">
        <x:v>vocabulary_matcher</x:v>
      </x:c>
      <x:c r="F28" s="49" t="str">
        <x:v>gpt-5.6-luna-2026-07-09</x:v>
      </x:c>
      <x:c r="G28" s="49" t="n">
        <x:v>1</x:v>
      </x:c>
      <x:c r="H28" s="49" t="str">
        <x:v>COMPLETED</x:v>
      </x:c>
      <x:c r="I28" s="49" t="str"/>
      <x:c r="J28" s="88" t="n">
        <x:v>0</x:v>
      </x:c>
      <x:c r="K28" s="88" t="n">
        <x:v>3398.644</x:v>
      </x:c>
      <x:c r="L28" s="87" t="b">
        <x:v>0</x:v>
      </x:c>
      <x:c r="M28" s="49" t="str">
        <x:v>resp_0ad51162897fc9df006a956f5436f08190bc84dc4a1c57a4f4</x:v>
      </x:c>
      <x:c r="N28" s="60" t="n">
        <x:v>3155</x:v>
      </x:c>
      <x:c r="O28" s="60" t="n">
        <x:v>220</x:v>
      </x:c>
      <x:c r="P28" s="60" t="n">
        <x:v>3375</x:v>
      </x:c>
    </x:row>
  </x:sheetData>
  <x:conditionalFormatting sqref="H5:H2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e266d8671e043d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RUN-TRF-113-20260831T120824954412Z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RUN-TRF-113-20260831T120824954412Z</x:v>
      </x:c>
      <x:c r="B5" s="45" t="str">
        <x:v>TRF-113</x:v>
      </x:c>
      <x:c r="C5" s="45" t="str">
        <x:v>benchmarkEntity</x:v>
      </x:c>
      <x:c r="D5" s="46" t="str">
        <x:v>https://w3id.org/nltl/vocab#benchmarkEntity</x:v>
      </x:c>
      <x:c r="E5" s="45" t="str">
        <x:v>Class</x:v>
      </x:c>
      <x:c r="F5" s="45" t="str"/>
      <x:c r="G5" s="45" t="str"/>
      <x:c r="H5" s="45" t="str"/>
      <x:c r="I5" s="46" t="str">
        <x:v>baseline target infrastructure; domain dependency of bladeLossLoad; domain dependency of bladePlasticBending; domain dependency of propellerBladeOrientation</x:v>
      </x:c>
      <x:c r="J5" s="45" t="n">
        <x:v>0</x:v>
      </x:c>
    </x:row>
    <x:row r="6">
      <x:c r="A6" s="47" t="str">
        <x:v>RUN-TRF-113-20260831T120824954412Z</x:v>
      </x:c>
      <x:c r="B6" s="47" t="str">
        <x:v>TRF-113</x:v>
      </x:c>
      <x:c r="C6" s="47" t="str">
        <x:v>bladeLossLoad</x:v>
      </x:c>
      <x:c r="D6" s="48" t="str">
        <x:v>https://w3id.org/nltl/vocab#bladeLossLoad</x:v>
      </x:c>
      <x:c r="E6" s="47" t="str">
        <x:v>QuantityProperty</x:v>
      </x:c>
      <x:c r="F6" s="47" t="str"/>
      <x:c r="G6" s="47" t="str">
        <x:v>http://qudt.org/schema/qudt/QuantityValue</x:v>
      </x:c>
      <x:c r="H6" s="47" t="str">
        <x:v>http://qudt.org/vocab/unit/KiloN</x:v>
      </x:c>
      <x:c r="I6" s="48" t="str">
        <x:v>linked by the locked 313-requirement index</x:v>
      </x:c>
      <x:c r="J6" s="47" t="n">
        <x:v>0</x:v>
      </x:c>
    </x:row>
    <x:row r="7">
      <x:c r="A7" s="47" t="str">
        <x:v>RUN-TRF-113-20260831T120824954412Z</x:v>
      </x:c>
      <x:c r="B7" s="47" t="str">
        <x:v>TRF-113</x:v>
      </x:c>
      <x:c r="C7" s="47" t="str">
        <x:v>bladePlasticBending</x:v>
      </x:c>
      <x:c r="D7" s="48" t="str">
        <x:v>https://w3id.org/nltl/vocab#bladePlasticBending</x:v>
      </x:c>
      <x:c r="E7" s="47" t="str">
        <x:v>DatatypeProperty</x:v>
      </x:c>
      <x:c r="F7" s="47" t="str">
        <x:v>xsd:string</x:v>
      </x:c>
      <x:c r="G7" s="47" t="str">
        <x:v>http://www.w3.org/2001/XMLSchema#string</x:v>
      </x:c>
      <x:c r="H7" s="47" t="str"/>
      <x:c r="I7" s="48" t="str">
        <x:v>linked by the locked 313-requirement index</x:v>
      </x:c>
      <x:c r="J7" s="47" t="n">
        <x:v>0</x:v>
      </x:c>
    </x:row>
    <x:row r="8">
      <x:c r="A8" s="47" t="str">
        <x:v>RUN-TRF-113-20260831T120824954412Z</x:v>
      </x:c>
      <x:c r="B8" s="47" t="str">
        <x:v>TRF-113</x:v>
      </x:c>
      <x:c r="C8" s="47" t="str">
        <x:v>evidenceArtifact</x:v>
      </x:c>
      <x:c r="D8" s="48" t="str">
        <x:v>https://w3id.org/nltl/vocab#evidenceArtifact</x:v>
      </x:c>
      <x:c r="E8" s="47" t="str">
        <x:v>Class</x:v>
      </x:c>
      <x:c r="F8" s="47" t="str"/>
      <x:c r="G8" s="47" t="str"/>
      <x:c r="H8" s="47" t="str"/>
      <x:c r="I8" s="48" t="str">
        <x:v>range dependency of thrusterBladeLossDesignEvidence</x:v>
      </x:c>
      <x:c r="J8" s="47" t="n">
        <x:v>0</x:v>
      </x:c>
    </x:row>
    <x:row r="9">
      <x:c r="A9" s="47" t="str">
        <x:v>RUN-TRF-113-20260831T120824954412Z</x:v>
      </x:c>
      <x:c r="B9" s="47" t="str">
        <x:v>TRF-113</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RUN-TRF-113-20260831T120824954412Z</x:v>
      </x:c>
      <x:c r="B10" s="47" t="str">
        <x:v>TRF-113</x:v>
      </x:c>
      <x:c r="C10" s="47" t="str">
        <x:v>hasLoadCase</x:v>
      </x:c>
      <x:c r="D10" s="48" t="str">
        <x:v>https://w3id.org/nltl/vocab#hasLoadCase</x:v>
      </x:c>
      <x:c r="E10" s="47" t="str">
        <x:v>ObjectProperty</x:v>
      </x:c>
      <x:c r="F10" s="47" t="str"/>
      <x:c r="G10" s="47" t="str">
        <x:v>https://w3id.org/nltl/vocab#loadCase</x:v>
      </x:c>
      <x:c r="H10" s="47" t="str"/>
      <x:c r="I10" s="48" t="str">
        <x:v>canonical path from target owner ship to required owner loadCase</x:v>
      </x:c>
      <x:c r="J10" s="47" t="n">
        <x:v>0</x:v>
      </x:c>
    </x:row>
    <x:row r="11">
      <x:c r="A11" s="47" t="str">
        <x:v>RUN-TRF-113-20260831T120824954412Z</x:v>
      </x:c>
      <x:c r="B11" s="47" t="str">
        <x:v>TRF-113</x:v>
      </x:c>
      <x:c r="C11" s="47" t="str">
        <x:v>hasPropulsionLoadCase</x:v>
      </x:c>
      <x:c r="D11" s="48" t="str">
        <x:v>https://w3id.org/nltl/vocab#hasPropulsionLoadCase</x:v>
      </x:c>
      <x:c r="E11" s="47" t="str">
        <x:v>ObjectProperty</x:v>
      </x:c>
      <x:c r="F11" s="47" t="str"/>
      <x:c r="G11" s="47" t="str">
        <x:v>https://w3id.org/nltl/vocab#loadCase</x:v>
      </x:c>
      <x:c r="H11" s="47" t="str"/>
      <x:c r="I11" s="48" t="str">
        <x:v>canonical path from target owner ship to required owner loadCase</x:v>
      </x:c>
      <x:c r="J11" s="47" t="n">
        <x:v>0</x:v>
      </x:c>
    </x:row>
    <x:row r="12">
      <x:c r="A12" s="47" t="str">
        <x:v>RUN-TRF-113-20260831T120824954412Z</x:v>
      </x:c>
      <x:c r="B12" s="47" t="str">
        <x:v>TRF-113</x:v>
      </x:c>
      <x:c r="C12" s="47" t="str">
        <x:v>loadCase</x:v>
      </x:c>
      <x:c r="D12" s="48" t="str">
        <x:v>https://w3id.org/nltl/vocab#loadCase</x:v>
      </x:c>
      <x:c r="E12" s="47" t="str">
        <x:v>Class</x:v>
      </x:c>
      <x:c r="F12" s="47" t="str"/>
      <x:c r="G12" s="47" t="str">
        <x:v>https://w3id.org/nltl/vocab#calculationCase</x:v>
      </x:c>
      <x:c r="H12" s="47" t="str"/>
      <x:c r="I12" s="48" t="str">
        <x:v>authoritative required owner class; domain dependency of maximumComponentLoadBladeOrientationConfirmed</x:v>
      </x:c>
      <x:c r="J12" s="47" t="n">
        <x:v>0</x:v>
      </x:c>
    </x:row>
    <x:row r="13">
      <x:c r="A13" s="47" t="str">
        <x:v>RUN-TRF-113-20260831T120824954412Z</x:v>
      </x:c>
      <x:c r="B13" s="47" t="str">
        <x:v>TRF-113</x:v>
      </x:c>
      <x:c r="C13" s="47" t="str">
        <x:v>machineryComponent</x:v>
      </x:c>
      <x:c r="D13" s="48" t="str">
        <x:v>https://w3id.org/nltl/vocab#machineryComponent</x:v>
      </x:c>
      <x:c r="E13" s="47" t="str">
        <x:v>Class</x:v>
      </x:c>
      <x:c r="F13" s="47" t="str"/>
      <x:c r="G13" s="47" t="str"/>
      <x:c r="H13" s="47" t="str"/>
      <x:c r="I13" s="48" t="str">
        <x:v>range dependency of steeringMechanism; range dependency of thrusterBody; range dependency of thrusterFitting</x:v>
      </x:c>
      <x:c r="J13" s="47" t="n">
        <x:v>0</x:v>
      </x:c>
    </x:row>
    <x:row r="14">
      <x:c r="A14" s="47" t="str">
        <x:v>RUN-TRF-113-20260831T120824954412Z</x:v>
      </x:c>
      <x:c r="B14" s="47" t="str">
        <x:v>TRF-113</x:v>
      </x:c>
      <x:c r="C14" s="47" t="str">
        <x:v>maximumComponentLoadBladeOrientationConfirmed</x:v>
      </x:c>
      <x:c r="D14" s="48" t="str">
        <x:v>https://w3id.org/nltl/vocab#maximumComponentLoadBladeOrientationConfirmed</x:v>
      </x:c>
      <x:c r="E14" s="47" t="str">
        <x:v>DatatypeProperty</x:v>
      </x:c>
      <x:c r="F14" s="47" t="str">
        <x:v>xsd:boolean</x:v>
      </x:c>
      <x:c r="G14" s="47" t="str">
        <x:v>http://www.w3.org/2001/XMLSchema#boolean</x:v>
      </x:c>
      <x:c r="H14" s="47" t="str"/>
      <x:c r="I14" s="48" t="str">
        <x:v>linked by the locked 313-requirement index</x:v>
      </x:c>
      <x:c r="J14" s="47" t="n">
        <x:v>0</x:v>
      </x:c>
    </x:row>
    <x:row r="15">
      <x:c r="A15" s="47" t="str">
        <x:v>RUN-TRF-113-20260831T120824954412Z</x:v>
      </x:c>
      <x:c r="B15" s="47" t="str">
        <x:v>TRF-113</x:v>
      </x:c>
      <x:c r="C15" s="47" t="str">
        <x:v>propellerBladeOrientation</x:v>
      </x:c>
      <x:c r="D15" s="48" t="str">
        <x:v>https://w3id.org/nltl/vocab#propellerBladeOrientation</x:v>
      </x:c>
      <x:c r="E15" s="47" t="str">
        <x:v>DatatypeProperty</x:v>
      </x:c>
      <x:c r="F15" s="47" t="str">
        <x:v>xsd:string</x:v>
      </x:c>
      <x:c r="G15" s="47" t="str">
        <x:v>http://www.w3.org/2001/XMLSchema#string</x:v>
      </x:c>
      <x:c r="H15" s="47" t="str"/>
      <x:c r="I15" s="48" t="str">
        <x:v>linked by the locked 313-requirement index</x:v>
      </x:c>
      <x:c r="J15" s="47" t="n">
        <x:v>0</x:v>
      </x:c>
    </x:row>
    <x:row r="16">
      <x:c r="A16" s="47" t="str">
        <x:v>RUN-TRF-113-20260831T120824954412Z</x:v>
      </x:c>
      <x:c r="B16" s="47" t="str">
        <x:v>TRF-113</x:v>
      </x:c>
      <x:c r="C16" s="47" t="str">
        <x:v>ship</x:v>
      </x:c>
      <x:c r="D16" s="48" t="str">
        <x:v>https://w3id.org/nltl/vocab#ship</x:v>
      </x:c>
      <x:c r="E16" s="47" t="str">
        <x:v>Class</x:v>
      </x:c>
      <x:c r="F16" s="47" t="str"/>
      <x:c r="G16" s="47" t="str"/>
      <x:c r="H16" s="47" t="str"/>
      <x:c r="I16" s="48" t="str">
        <x:v>authoritative required owner class; authoritative requirement target owner; baseline target infrastructure; domain dependency of thrusterBladeLossDesignEvidence</x:v>
      </x:c>
      <x:c r="J16" s="47" t="n">
        <x:v>0</x:v>
      </x:c>
    </x:row>
    <x:row r="17">
      <x:c r="A17" s="47" t="str">
        <x:v>RUN-TRF-113-20260831T120824954412Z</x:v>
      </x:c>
      <x:c r="B17" s="47" t="str">
        <x:v>TRF-113</x:v>
      </x:c>
      <x:c r="C17" s="47" t="str">
        <x:v>shipComponent</x:v>
      </x:c>
      <x:c r="D17" s="48" t="str">
        <x:v>https://w3id.org/nltl/vocab#shipComponent</x:v>
      </x:c>
      <x:c r="E17" s="47" t="str">
        <x:v>Class</x:v>
      </x:c>
      <x:c r="F17" s="47" t="str"/>
      <x:c r="G17" s="47" t="str"/>
      <x:c r="H17" s="47" t="str"/>
      <x:c r="I17" s="48" t="str">
        <x:v>component-path dependency inferred from the linked term module</x:v>
      </x:c>
      <x:c r="J17" s="47" t="n">
        <x:v>0</x:v>
      </x:c>
    </x:row>
    <x:row r="18">
      <x:c r="A18" s="47" t="str">
        <x:v>RUN-TRF-113-20260831T120824954412Z</x:v>
      </x:c>
      <x:c r="B18" s="47" t="str">
        <x:v>TRF-113</x:v>
      </x:c>
      <x:c r="C18" s="47" t="str">
        <x:v>steeringMechanism</x:v>
      </x:c>
      <x:c r="D18" s="48" t="str">
        <x:v>https://w3id.org/nltl/vocab#steeringMechanism</x:v>
      </x:c>
      <x:c r="E18" s="47" t="str">
        <x:v>Class</x:v>
      </x:c>
      <x:c r="F18" s="47" t="str"/>
      <x:c r="G18" s="47" t="str">
        <x:v>https://w3id.org/nltl/vocab#machineryComponent</x:v>
      </x:c>
      <x:c r="H18" s="47" t="str"/>
      <x:c r="I18" s="48" t="str">
        <x:v>linked by the locked 313-requirement index</x:v>
      </x:c>
      <x:c r="J18" s="47" t="n">
        <x:v>0</x:v>
      </x:c>
    </x:row>
    <x:row r="19">
      <x:c r="A19" s="47" t="str">
        <x:v>RUN-TRF-113-20260831T120824954412Z</x:v>
      </x:c>
      <x:c r="B19" s="47" t="str">
        <x:v>TRF-113</x:v>
      </x:c>
      <x:c r="C19" s="47" t="str">
        <x:v>thrusterBladeLossDesignEvidence</x:v>
      </x:c>
      <x:c r="D19" s="48" t="str">
        <x:v>https://w3id.org/nltl/vocab#thrusterBladeLossDesignEvidence</x:v>
      </x:c>
      <x:c r="E19" s="47" t="str">
        <x:v>ObjectProperty</x:v>
      </x:c>
      <x:c r="F19" s="47" t="str"/>
      <x:c r="G19" s="47" t="str">
        <x:v>https://w3id.org/nltl/vocab#evidenceArtifact</x:v>
      </x:c>
      <x:c r="H19" s="47" t="str"/>
      <x:c r="I19" s="48" t="str">
        <x:v>linked by the locked 313-requirement index</x:v>
      </x:c>
      <x:c r="J19" s="47" t="n">
        <x:v>0</x:v>
      </x:c>
    </x:row>
    <x:row r="20">
      <x:c r="A20" s="47" t="str">
        <x:v>RUN-TRF-113-20260831T120824954412Z</x:v>
      </x:c>
      <x:c r="B20" s="47" t="str">
        <x:v>TRF-113</x:v>
      </x:c>
      <x:c r="C20" s="47" t="str">
        <x:v>thrusterBody</x:v>
      </x:c>
      <x:c r="D20" s="48" t="str">
        <x:v>https://w3id.org/nltl/vocab#thrusterBody</x:v>
      </x:c>
      <x:c r="E20" s="47" t="str">
        <x:v>Class</x:v>
      </x:c>
      <x:c r="F20" s="47" t="str"/>
      <x:c r="G20" s="47" t="str">
        <x:v>https://w3id.org/nltl/vocab#machineryComponent</x:v>
      </x:c>
      <x:c r="H20" s="47" t="str"/>
      <x:c r="I20" s="48" t="str">
        <x:v>linked by the locked 313-requirement index</x:v>
      </x:c>
      <x:c r="J20" s="47" t="n">
        <x:v>0</x:v>
      </x:c>
    </x:row>
    <x:row r="21">
      <x:c r="A21" s="47" t="str">
        <x:v>RUN-TRF-113-20260831T120824954412Z</x:v>
      </x:c>
      <x:c r="B21" s="47" t="str">
        <x:v>TRF-113</x:v>
      </x:c>
      <x:c r="C21" s="47" t="str">
        <x:v>thrusterFitting</x:v>
      </x:c>
      <x:c r="D21" s="48" t="str">
        <x:v>https://w3id.org/nltl/vocab#thrusterFitting</x:v>
      </x:c>
      <x:c r="E21" s="47" t="str">
        <x:v>Class</x:v>
      </x:c>
      <x:c r="F21" s="47" t="str"/>
      <x:c r="G21" s="47" t="str">
        <x:v>https://w3id.org/nltl/vocab#machineryComponent</x:v>
      </x:c>
      <x:c r="H21" s="47" t="str"/>
      <x:c r="I21" s="48" t="str">
        <x:v>linked by the locked 313-requirement index</x:v>
      </x:c>
      <x:c r="J21" s="47" t="n">
        <x:v>0</x:v>
      </x:c>
    </x:row>
    <x:row r="22">
      <x:c r="A22" s="47" t="str">
        <x:v>RUN-TRF-113-20260831T120824954412Z</x:v>
      </x:c>
      <x:c r="B22" s="47" t="str">
        <x:v>TRF-113</x:v>
      </x:c>
      <x:c r="C22" s="47" t="str">
        <x:v>benchmarkEntity</x:v>
      </x:c>
      <x:c r="D22" s="48" t="str">
        <x:v>https://w3id.org/nltl/vocab#benchmarkEntity</x:v>
      </x:c>
      <x:c r="E22" s="47" t="str">
        <x:v>Class</x:v>
      </x:c>
      <x:c r="F22" s="47" t="str"/>
      <x:c r="G22" s="47" t="str"/>
      <x:c r="H22" s="47" t="str"/>
      <x:c r="I22" s="48" t="str">
        <x:v>baseline target infrastructure; domain dependency of bladeLossLoad; domain dependency of bladePlasticBending; domain dependency of propellerBladeOrientation</x:v>
      </x:c>
      <x:c r="J22" s="47" t="n">
        <x:v>2</x:v>
      </x:c>
    </x:row>
    <x:row r="23">
      <x:c r="A23" s="47" t="str">
        <x:v>RUN-TRF-113-20260831T120824954412Z</x:v>
      </x:c>
      <x:c r="B23" s="47" t="str">
        <x:v>TRF-113</x:v>
      </x:c>
      <x:c r="C23" s="47" t="str">
        <x:v>bladeLossLoad</x:v>
      </x:c>
      <x:c r="D23" s="48" t="str">
        <x:v>https://w3id.org/nltl/vocab#bladeLossLoad</x:v>
      </x:c>
      <x:c r="E23" s="47" t="str">
        <x:v>QuantityProperty</x:v>
      </x:c>
      <x:c r="F23" s="47" t="str"/>
      <x:c r="G23" s="47" t="str">
        <x:v>http://qudt.org/schema/qudt/QuantityValue</x:v>
      </x:c>
      <x:c r="H23" s="47" t="str">
        <x:v>http://qudt.org/vocab/unit/KiloN</x:v>
      </x:c>
      <x:c r="I23" s="48" t="str">
        <x:v>linked by the locked 313-requirement index</x:v>
      </x:c>
      <x:c r="J23" s="47" t="n">
        <x:v>2</x:v>
      </x:c>
    </x:row>
    <x:row r="24">
      <x:c r="A24" s="47" t="str">
        <x:v>RUN-TRF-113-20260831T120824954412Z</x:v>
      </x:c>
      <x:c r="B24" s="47" t="str">
        <x:v>TRF-113</x:v>
      </x:c>
      <x:c r="C24" s="47" t="str">
        <x:v>bladePlasticBending</x:v>
      </x:c>
      <x:c r="D24" s="48" t="str">
        <x:v>https://w3id.org/nltl/vocab#bladePlasticBending</x:v>
      </x:c>
      <x:c r="E24" s="47" t="str">
        <x:v>DatatypeProperty</x:v>
      </x:c>
      <x:c r="F24" s="47" t="str">
        <x:v>xsd:string</x:v>
      </x:c>
      <x:c r="G24" s="47" t="str">
        <x:v>http://www.w3.org/2001/XMLSchema#string</x:v>
      </x:c>
      <x:c r="H24" s="47" t="str"/>
      <x:c r="I24" s="48" t="str">
        <x:v>linked by the locked 313-requirement index; verified vocabulary-matcher addition</x:v>
      </x:c>
      <x:c r="J24" s="47" t="n">
        <x:v>2</x:v>
      </x:c>
    </x:row>
    <x:row r="25">
      <x:c r="A25" s="47" t="str">
        <x:v>RUN-TRF-113-20260831T120824954412Z</x:v>
      </x:c>
      <x:c r="B25" s="47" t="str">
        <x:v>TRF-113</x:v>
      </x:c>
      <x:c r="C25" s="47" t="str">
        <x:v>evidenceArtifact</x:v>
      </x:c>
      <x:c r="D25" s="48" t="str">
        <x:v>https://w3id.org/nltl/vocab#evidenceArtifact</x:v>
      </x:c>
      <x:c r="E25" s="47" t="str">
        <x:v>Class</x:v>
      </x:c>
      <x:c r="F25" s="47" t="str"/>
      <x:c r="G25" s="47" t="str"/>
      <x:c r="H25" s="47" t="str"/>
      <x:c r="I25" s="48" t="str">
        <x:v>range dependency of thrusterBladeLossDesignEvidence</x:v>
      </x:c>
      <x:c r="J25" s="47" t="n">
        <x:v>2</x:v>
      </x:c>
    </x:row>
    <x:row r="26">
      <x:c r="A26" s="47" t="str">
        <x:v>RUN-TRF-113-20260831T120824954412Z</x:v>
      </x:c>
      <x:c r="B26" s="47" t="str">
        <x:v>TRF-113</x:v>
      </x:c>
      <x:c r="C26" s="47" t="str">
        <x:v>hasComponent</x:v>
      </x:c>
      <x:c r="D26" s="48" t="str">
        <x:v>https://w3id.org/nltl/vocab#hasComponent</x:v>
      </x:c>
      <x:c r="E26" s="47" t="str">
        <x:v>ObjectProperty</x:v>
      </x:c>
      <x:c r="F26" s="47" t="str"/>
      <x:c r="G26" s="47" t="str">
        <x:v>https://w3id.org/nltl/vocab#shipComponent</x:v>
      </x:c>
      <x:c r="H26" s="47" t="str"/>
      <x:c r="I26" s="48" t="str">
        <x:v>component-path dependency inferred from the linked term module</x:v>
      </x:c>
      <x:c r="J26" s="47" t="n">
        <x:v>2</x:v>
      </x:c>
    </x:row>
    <x:row r="27">
      <x:c r="A27" s="47" t="str">
        <x:v>RUN-TRF-113-20260831T120824954412Z</x:v>
      </x:c>
      <x:c r="B27" s="47" t="str">
        <x:v>TRF-113</x:v>
      </x:c>
      <x:c r="C27" s="47" t="str">
        <x:v>hasLoadCase</x:v>
      </x:c>
      <x:c r="D27" s="48" t="str">
        <x:v>https://w3id.org/nltl/vocab#hasLoadCase</x:v>
      </x:c>
      <x:c r="E27" s="47" t="str">
        <x:v>ObjectProperty</x:v>
      </x:c>
      <x:c r="F27" s="47" t="str"/>
      <x:c r="G27" s="47" t="str">
        <x:v>https://w3id.org/nltl/vocab#loadCase</x:v>
      </x:c>
      <x:c r="H27" s="47" t="str"/>
      <x:c r="I27" s="48" t="str">
        <x:v>canonical path from target owner ship to required owner loadCase</x:v>
      </x:c>
      <x:c r="J27" s="47" t="n">
        <x:v>2</x:v>
      </x:c>
    </x:row>
    <x:row r="28">
      <x:c r="A28" s="47" t="str">
        <x:v>RUN-TRF-113-20260831T120824954412Z</x:v>
      </x:c>
      <x:c r="B28" s="47" t="str">
        <x:v>TRF-113</x:v>
      </x:c>
      <x:c r="C28" s="47" t="str">
        <x:v>hasPropulsionLoadCase</x:v>
      </x:c>
      <x:c r="D28" s="48" t="str">
        <x:v>https://w3id.org/nltl/vocab#hasPropulsionLoadCase</x:v>
      </x:c>
      <x:c r="E28" s="47" t="str">
        <x:v>ObjectProperty</x:v>
      </x:c>
      <x:c r="F28" s="47" t="str"/>
      <x:c r="G28" s="47" t="str">
        <x:v>https://w3id.org/nltl/vocab#loadCase</x:v>
      </x:c>
      <x:c r="H28" s="47" t="str"/>
      <x:c r="I28" s="48" t="str">
        <x:v>canonical path from target owner ship to required owner loadCase</x:v>
      </x:c>
      <x:c r="J28" s="47" t="n">
        <x:v>2</x:v>
      </x:c>
    </x:row>
    <x:row r="29">
      <x:c r="A29" s="47" t="str">
        <x:v>RUN-TRF-113-20260831T120824954412Z</x:v>
      </x:c>
      <x:c r="B29" s="47" t="str">
        <x:v>TRF-113</x:v>
      </x:c>
      <x:c r="C29" s="47" t="str">
        <x:v>loadCase</x:v>
      </x:c>
      <x:c r="D29" s="48" t="str">
        <x:v>https://w3id.org/nltl/vocab#loadCase</x:v>
      </x:c>
      <x:c r="E29" s="47" t="str">
        <x:v>Class</x:v>
      </x:c>
      <x:c r="F29" s="47" t="str"/>
      <x:c r="G29" s="47" t="str">
        <x:v>https://w3id.org/nltl/vocab#calculationCase</x:v>
      </x:c>
      <x:c r="H29" s="47" t="str"/>
      <x:c r="I29" s="48" t="str">
        <x:v>authoritative required owner class; domain dependency of maximumComponentLoadBladeOrientationConfirmed</x:v>
      </x:c>
      <x:c r="J29" s="47" t="n">
        <x:v>2</x:v>
      </x:c>
    </x:row>
    <x:row r="30">
      <x:c r="A30" s="47" t="str">
        <x:v>RUN-TRF-113-20260831T120824954412Z</x:v>
      </x:c>
      <x:c r="B30" s="47" t="str">
        <x:v>TRF-113</x:v>
      </x:c>
      <x:c r="C30" s="47" t="str">
        <x:v>machineryComponent</x:v>
      </x:c>
      <x:c r="D30" s="48" t="str">
        <x:v>https://w3id.org/nltl/vocab#machineryComponent</x:v>
      </x:c>
      <x:c r="E30" s="47" t="str">
        <x:v>Class</x:v>
      </x:c>
      <x:c r="F30" s="47" t="str"/>
      <x:c r="G30" s="47" t="str"/>
      <x:c r="H30" s="47" t="str"/>
      <x:c r="I30" s="48" t="str">
        <x:v>range dependency of steeringMechanism; range dependency of thrusterBody; range dependency of thrusterFitting</x:v>
      </x:c>
      <x:c r="J30" s="47" t="n">
        <x:v>2</x:v>
      </x:c>
    </x:row>
    <x:row r="31">
      <x:c r="A31" s="47" t="str">
        <x:v>RUN-TRF-113-20260831T120824954412Z</x:v>
      </x:c>
      <x:c r="B31" s="47" t="str">
        <x:v>TRF-113</x:v>
      </x:c>
      <x:c r="C31" s="47" t="str">
        <x:v>maximumComponentLoadBladeOrientationConfirmed</x:v>
      </x:c>
      <x:c r="D31" s="48" t="str">
        <x:v>https://w3id.org/nltl/vocab#maximumComponentLoadBladeOrientationConfirmed</x:v>
      </x:c>
      <x:c r="E31" s="47" t="str">
        <x:v>DatatypeProperty</x:v>
      </x:c>
      <x:c r="F31" s="47" t="str">
        <x:v>xsd:boolean</x:v>
      </x:c>
      <x:c r="G31" s="47" t="str">
        <x:v>http://www.w3.org/2001/XMLSchema#boolean</x:v>
      </x:c>
      <x:c r="H31" s="47" t="str"/>
      <x:c r="I31" s="48" t="str">
        <x:v>linked by the locked 313-requirement index</x:v>
      </x:c>
      <x:c r="J31" s="47" t="n">
        <x:v>2</x:v>
      </x:c>
    </x:row>
    <x:row r="32">
      <x:c r="A32" s="47" t="str">
        <x:v>RUN-TRF-113-20260831T120824954412Z</x:v>
      </x:c>
      <x:c r="B32" s="47" t="str">
        <x:v>TRF-113</x:v>
      </x:c>
      <x:c r="C32" s="47" t="str">
        <x:v>propellerBladeOrientation</x:v>
      </x:c>
      <x:c r="D32" s="48" t="str">
        <x:v>https://w3id.org/nltl/vocab#propellerBladeOrientation</x:v>
      </x:c>
      <x:c r="E32" s="47" t="str">
        <x:v>DatatypeProperty</x:v>
      </x:c>
      <x:c r="F32" s="47" t="str">
        <x:v>xsd:string</x:v>
      </x:c>
      <x:c r="G32" s="47" t="str">
        <x:v>http://www.w3.org/2001/XMLSchema#string</x:v>
      </x:c>
      <x:c r="H32" s="47" t="str"/>
      <x:c r="I32" s="48" t="str">
        <x:v>linked by the locked 313-requirement index</x:v>
      </x:c>
      <x:c r="J32" s="47" t="n">
        <x:v>2</x:v>
      </x:c>
    </x:row>
    <x:row r="33">
      <x:c r="A33" s="47" t="str">
        <x:v>RUN-TRF-113-20260831T120824954412Z</x:v>
      </x:c>
      <x:c r="B33" s="47" t="str">
        <x:v>TRF-113</x:v>
      </x:c>
      <x:c r="C33" s="47" t="str">
        <x:v>ship</x:v>
      </x:c>
      <x:c r="D33" s="48" t="str">
        <x:v>https://w3id.org/nltl/vocab#ship</x:v>
      </x:c>
      <x:c r="E33" s="47" t="str">
        <x:v>Class</x:v>
      </x:c>
      <x:c r="F33" s="47" t="str"/>
      <x:c r="G33" s="47" t="str"/>
      <x:c r="H33" s="47" t="str"/>
      <x:c r="I33" s="48" t="str">
        <x:v>authoritative required owner class; authoritative requirement target owner; baseline target infrastructure; domain dependency of thrusterBladeLossDesignEvidence</x:v>
      </x:c>
      <x:c r="J33" s="47" t="n">
        <x:v>2</x:v>
      </x:c>
    </x:row>
    <x:row r="34">
      <x:c r="A34" s="47" t="str">
        <x:v>RUN-TRF-113-20260831T120824954412Z</x:v>
      </x:c>
      <x:c r="B34" s="47" t="str">
        <x:v>TRF-113</x:v>
      </x:c>
      <x:c r="C34" s="47" t="str">
        <x:v>shipComponent</x:v>
      </x:c>
      <x:c r="D34" s="48" t="str">
        <x:v>https://w3id.org/nltl/vocab#shipComponent</x:v>
      </x:c>
      <x:c r="E34" s="47" t="str">
        <x:v>Class</x:v>
      </x:c>
      <x:c r="F34" s="47" t="str"/>
      <x:c r="G34" s="47" t="str"/>
      <x:c r="H34" s="47" t="str"/>
      <x:c r="I34" s="48" t="str">
        <x:v>component-path dependency inferred from the linked term module</x:v>
      </x:c>
      <x:c r="J34" s="47" t="n">
        <x:v>2</x:v>
      </x:c>
    </x:row>
    <x:row r="35">
      <x:c r="A35" s="47" t="str">
        <x:v>RUN-TRF-113-20260831T120824954412Z</x:v>
      </x:c>
      <x:c r="B35" s="47" t="str">
        <x:v>TRF-113</x:v>
      </x:c>
      <x:c r="C35" s="47" t="str">
        <x:v>steeringMechanism</x:v>
      </x:c>
      <x:c r="D35" s="48" t="str">
        <x:v>https://w3id.org/nltl/vocab#steeringMechanism</x:v>
      </x:c>
      <x:c r="E35" s="47" t="str">
        <x:v>Class</x:v>
      </x:c>
      <x:c r="F35" s="47" t="str"/>
      <x:c r="G35" s="47" t="str">
        <x:v>https://w3id.org/nltl/vocab#machineryComponent</x:v>
      </x:c>
      <x:c r="H35" s="47" t="str"/>
      <x:c r="I35" s="48" t="str">
        <x:v>linked by the locked 313-requirement index</x:v>
      </x:c>
      <x:c r="J35" s="47" t="n">
        <x:v>2</x:v>
      </x:c>
    </x:row>
    <x:row r="36">
      <x:c r="A36" s="47" t="str">
        <x:v>RUN-TRF-113-20260831T120824954412Z</x:v>
      </x:c>
      <x:c r="B36" s="47" t="str">
        <x:v>TRF-113</x:v>
      </x:c>
      <x:c r="C36" s="47" t="str">
        <x:v>thrusterBladeLossDesignEvidence</x:v>
      </x:c>
      <x:c r="D36" s="48" t="str">
        <x:v>https://w3id.org/nltl/vocab#thrusterBladeLossDesignEvidence</x:v>
      </x:c>
      <x:c r="E36" s="47" t="str">
        <x:v>ObjectProperty</x:v>
      </x:c>
      <x:c r="F36" s="47" t="str"/>
      <x:c r="G36" s="47" t="str">
        <x:v>https://w3id.org/nltl/vocab#evidenceArtifact</x:v>
      </x:c>
      <x:c r="H36" s="47" t="str"/>
      <x:c r="I36" s="48" t="str">
        <x:v>linked by the locked 313-requirement index</x:v>
      </x:c>
      <x:c r="J36" s="47" t="n">
        <x:v>2</x:v>
      </x:c>
    </x:row>
    <x:row r="37">
      <x:c r="A37" s="47" t="str">
        <x:v>RUN-TRF-113-20260831T120824954412Z</x:v>
      </x:c>
      <x:c r="B37" s="47" t="str">
        <x:v>TRF-113</x:v>
      </x:c>
      <x:c r="C37" s="47" t="str">
        <x:v>thrusterBody</x:v>
      </x:c>
      <x:c r="D37" s="48" t="str">
        <x:v>https://w3id.org/nltl/vocab#thrusterBody</x:v>
      </x:c>
      <x:c r="E37" s="47" t="str">
        <x:v>Class</x:v>
      </x:c>
      <x:c r="F37" s="47" t="str"/>
      <x:c r="G37" s="47" t="str">
        <x:v>https://w3id.org/nltl/vocab#machineryComponent</x:v>
      </x:c>
      <x:c r="H37" s="47" t="str"/>
      <x:c r="I37" s="48" t="str">
        <x:v>linked by the locked 313-requirement index</x:v>
      </x:c>
      <x:c r="J37" s="47" t="n">
        <x:v>2</x:v>
      </x:c>
    </x:row>
    <x:row r="38">
      <x:c r="A38" s="47" t="str">
        <x:v>RUN-TRF-113-20260831T120824954412Z</x:v>
      </x:c>
      <x:c r="B38" s="47" t="str">
        <x:v>TRF-113</x:v>
      </x:c>
      <x:c r="C38" s="47" t="str">
        <x:v>thrusterFitting</x:v>
      </x:c>
      <x:c r="D38" s="48" t="str">
        <x:v>https://w3id.org/nltl/vocab#thrusterFitting</x:v>
      </x:c>
      <x:c r="E38" s="47" t="str">
        <x:v>Class</x:v>
      </x:c>
      <x:c r="F38" s="47" t="str"/>
      <x:c r="G38" s="47" t="str">
        <x:v>https://w3id.org/nltl/vocab#machineryComponent</x:v>
      </x:c>
      <x:c r="H38" s="47" t="str"/>
      <x:c r="I38" s="48" t="str">
        <x:v>linked by the locked 313-requirement index</x:v>
      </x:c>
      <x:c r="J38" s="47" t="n">
        <x:v>2</x:v>
      </x:c>
    </x:row>
    <x:row r="39">
      <x:c r="A39" s="47" t="str">
        <x:v>RUN-TRF-113-20260831T120824954412Z</x:v>
      </x:c>
      <x:c r="B39" s="47" t="str">
        <x:v>TRF-113</x:v>
      </x:c>
      <x:c r="C39" s="47" t="str">
        <x:v>benchmarkEntity</x:v>
      </x:c>
      <x:c r="D39" s="48" t="str">
        <x:v>https://w3id.org/nltl/vocab#benchmarkEntity</x:v>
      </x:c>
      <x:c r="E39" s="47" t="str">
        <x:v>Class</x:v>
      </x:c>
      <x:c r="F39" s="47" t="str"/>
      <x:c r="G39" s="47" t="str"/>
      <x:c r="H39" s="47" t="str"/>
      <x:c r="I39" s="48" t="str">
        <x:v>baseline target infrastructure; domain dependency of bladeLossLoad; domain dependency of bladePlasticBending; domain dependency of propellerBladeOrientation</x:v>
      </x:c>
      <x:c r="J39" s="47" t="n">
        <x:v>3</x:v>
      </x:c>
    </x:row>
    <x:row r="40">
      <x:c r="A40" s="47" t="str">
        <x:v>RUN-TRF-113-20260831T120824954412Z</x:v>
      </x:c>
      <x:c r="B40" s="47" t="str">
        <x:v>TRF-113</x:v>
      </x:c>
      <x:c r="C40" s="47" t="str">
        <x:v>bladeLossLoad</x:v>
      </x:c>
      <x:c r="D40" s="48" t="str">
        <x:v>https://w3id.org/nltl/vocab#bladeLossLoad</x:v>
      </x:c>
      <x:c r="E40" s="47" t="str">
        <x:v>QuantityProperty</x:v>
      </x:c>
      <x:c r="F40" s="47" t="str"/>
      <x:c r="G40" s="47" t="str">
        <x:v>http://qudt.org/schema/qudt/QuantityValue</x:v>
      </x:c>
      <x:c r="H40" s="47" t="str">
        <x:v>http://qudt.org/vocab/unit/KiloN</x:v>
      </x:c>
      <x:c r="I40" s="48" t="str">
        <x:v>linked by the locked 313-requirement index</x:v>
      </x:c>
      <x:c r="J40" s="47" t="n">
        <x:v>3</x:v>
      </x:c>
    </x:row>
    <x:row r="41">
      <x:c r="A41" s="47" t="str">
        <x:v>RUN-TRF-113-20260831T120824954412Z</x:v>
      </x:c>
      <x:c r="B41" s="47" t="str">
        <x:v>TRF-113</x:v>
      </x:c>
      <x:c r="C41" s="47" t="str">
        <x:v>bladePlasticBending</x:v>
      </x:c>
      <x:c r="D41" s="48" t="str">
        <x:v>https://w3id.org/nltl/vocab#bladePlasticBending</x:v>
      </x:c>
      <x:c r="E41" s="47" t="str">
        <x:v>DatatypeProperty</x:v>
      </x:c>
      <x:c r="F41" s="47" t="str">
        <x:v>xsd:string</x:v>
      </x:c>
      <x:c r="G41" s="47" t="str">
        <x:v>http://www.w3.org/2001/XMLSchema#string</x:v>
      </x:c>
      <x:c r="H41" s="47" t="str"/>
      <x:c r="I41" s="48" t="str">
        <x:v>linked by the locked 313-requirement index; verified vocabulary-matcher addition</x:v>
      </x:c>
      <x:c r="J41" s="47" t="n">
        <x:v>3</x:v>
      </x:c>
    </x:row>
    <x:row r="42">
      <x:c r="A42" s="47" t="str">
        <x:v>RUN-TRF-113-20260831T120824954412Z</x:v>
      </x:c>
      <x:c r="B42" s="47" t="str">
        <x:v>TRF-113</x:v>
      </x:c>
      <x:c r="C42" s="47" t="str">
        <x:v>evidenceArtifact</x:v>
      </x:c>
      <x:c r="D42" s="48" t="str">
        <x:v>https://w3id.org/nltl/vocab#evidenceArtifact</x:v>
      </x:c>
      <x:c r="E42" s="47" t="str">
        <x:v>Class</x:v>
      </x:c>
      <x:c r="F42" s="47" t="str"/>
      <x:c r="G42" s="47" t="str"/>
      <x:c r="H42" s="47" t="str"/>
      <x:c r="I42" s="48" t="str">
        <x:v>range dependency of thrusterBladeLossDesignEvidence</x:v>
      </x:c>
      <x:c r="J42" s="47" t="n">
        <x:v>3</x:v>
      </x:c>
    </x:row>
    <x:row r="43">
      <x:c r="A43" s="47" t="str">
        <x:v>RUN-TRF-113-20260831T120824954412Z</x:v>
      </x:c>
      <x:c r="B43" s="47" t="str">
        <x:v>TRF-113</x:v>
      </x:c>
      <x:c r="C43" s="47" t="str">
        <x:v>hasComponent</x:v>
      </x:c>
      <x:c r="D43" s="48" t="str">
        <x:v>https://w3id.org/nltl/vocab#hasComponent</x:v>
      </x:c>
      <x:c r="E43" s="47" t="str">
        <x:v>ObjectProperty</x:v>
      </x:c>
      <x:c r="F43" s="47" t="str"/>
      <x:c r="G43" s="47" t="str">
        <x:v>https://w3id.org/nltl/vocab#shipComponent</x:v>
      </x:c>
      <x:c r="H43" s="47" t="str"/>
      <x:c r="I43" s="48" t="str">
        <x:v>component-path dependency inferred from the linked term module</x:v>
      </x:c>
      <x:c r="J43" s="47" t="n">
        <x:v>3</x:v>
      </x:c>
    </x:row>
    <x:row r="44">
      <x:c r="A44" s="47" t="str">
        <x:v>RUN-TRF-113-20260831T120824954412Z</x:v>
      </x:c>
      <x:c r="B44" s="47" t="str">
        <x:v>TRF-113</x:v>
      </x:c>
      <x:c r="C44" s="47" t="str">
        <x:v>hasLoadCase</x:v>
      </x:c>
      <x:c r="D44" s="48" t="str">
        <x:v>https://w3id.org/nltl/vocab#hasLoadCase</x:v>
      </x:c>
      <x:c r="E44" s="47" t="str">
        <x:v>ObjectProperty</x:v>
      </x:c>
      <x:c r="F44" s="47" t="str"/>
      <x:c r="G44" s="47" t="str">
        <x:v>https://w3id.org/nltl/vocab#loadCase</x:v>
      </x:c>
      <x:c r="H44" s="47" t="str"/>
      <x:c r="I44" s="48" t="str">
        <x:v>canonical path from target owner ship to required owner loadCase</x:v>
      </x:c>
      <x:c r="J44" s="47" t="n">
        <x:v>3</x:v>
      </x:c>
    </x:row>
    <x:row r="45">
      <x:c r="A45" s="47" t="str">
        <x:v>RUN-TRF-113-20260831T120824954412Z</x:v>
      </x:c>
      <x:c r="B45" s="47" t="str">
        <x:v>TRF-113</x:v>
      </x:c>
      <x:c r="C45" s="47" t="str">
        <x:v>hasPropulsionLoadCase</x:v>
      </x:c>
      <x:c r="D45" s="48" t="str">
        <x:v>https://w3id.org/nltl/vocab#hasPropulsionLoadCase</x:v>
      </x:c>
      <x:c r="E45" s="47" t="str">
        <x:v>ObjectProperty</x:v>
      </x:c>
      <x:c r="F45" s="47" t="str"/>
      <x:c r="G45" s="47" t="str">
        <x:v>https://w3id.org/nltl/vocab#loadCase</x:v>
      </x:c>
      <x:c r="H45" s="47" t="str"/>
      <x:c r="I45" s="48" t="str">
        <x:v>canonical path from target owner ship to required owner loadCase</x:v>
      </x:c>
      <x:c r="J45" s="47" t="n">
        <x:v>3</x:v>
      </x:c>
    </x:row>
    <x:row r="46">
      <x:c r="A46" s="47" t="str">
        <x:v>RUN-TRF-113-20260831T120824954412Z</x:v>
      </x:c>
      <x:c r="B46" s="47" t="str">
        <x:v>TRF-113</x:v>
      </x:c>
      <x:c r="C46" s="47" t="str">
        <x:v>loadCase</x:v>
      </x:c>
      <x:c r="D46" s="48" t="str">
        <x:v>https://w3id.org/nltl/vocab#loadCase</x:v>
      </x:c>
      <x:c r="E46" s="47" t="str">
        <x:v>Class</x:v>
      </x:c>
      <x:c r="F46" s="47" t="str"/>
      <x:c r="G46" s="47" t="str">
        <x:v>https://w3id.org/nltl/vocab#calculationCase</x:v>
      </x:c>
      <x:c r="H46" s="47" t="str"/>
      <x:c r="I46" s="48" t="str">
        <x:v>authoritative required owner class; domain dependency of maximumComponentLoadBladeOrientationConfirmed</x:v>
      </x:c>
      <x:c r="J46" s="47" t="n">
        <x:v>3</x:v>
      </x:c>
    </x:row>
    <x:row r="47">
      <x:c r="A47" s="47" t="str">
        <x:v>RUN-TRF-113-20260831T120824954412Z</x:v>
      </x:c>
      <x:c r="B47" s="47" t="str">
        <x:v>TRF-113</x:v>
      </x:c>
      <x:c r="C47" s="47" t="str">
        <x:v>machineryComponent</x:v>
      </x:c>
      <x:c r="D47" s="48" t="str">
        <x:v>https://w3id.org/nltl/vocab#machineryComponent</x:v>
      </x:c>
      <x:c r="E47" s="47" t="str">
        <x:v>Class</x:v>
      </x:c>
      <x:c r="F47" s="47" t="str"/>
      <x:c r="G47" s="47" t="str"/>
      <x:c r="H47" s="47" t="str"/>
      <x:c r="I47" s="48" t="str">
        <x:v>range dependency of steeringMechanism; range dependency of thrusterBody; range dependency of thrusterFitting</x:v>
      </x:c>
      <x:c r="J47" s="47" t="n">
        <x:v>3</x:v>
      </x:c>
    </x:row>
    <x:row r="48">
      <x:c r="A48" s="47" t="str">
        <x:v>RUN-TRF-113-20260831T120824954412Z</x:v>
      </x:c>
      <x:c r="B48" s="47" t="str">
        <x:v>TRF-113</x:v>
      </x:c>
      <x:c r="C48" s="47" t="str">
        <x:v>maximumComponentLoadBladeOrientationConfirmed</x:v>
      </x:c>
      <x:c r="D48" s="48" t="str">
        <x:v>https://w3id.org/nltl/vocab#maximumComponentLoadBladeOrientationConfirmed</x:v>
      </x:c>
      <x:c r="E48" s="47" t="str">
        <x:v>DatatypeProperty</x:v>
      </x:c>
      <x:c r="F48" s="47" t="str">
        <x:v>xsd:boolean</x:v>
      </x:c>
      <x:c r="G48" s="47" t="str">
        <x:v>http://www.w3.org/2001/XMLSchema#boolean</x:v>
      </x:c>
      <x:c r="H48" s="47" t="str"/>
      <x:c r="I48" s="48" t="str">
        <x:v>linked by the locked 313-requirement index</x:v>
      </x:c>
      <x:c r="J48" s="47" t="n">
        <x:v>3</x:v>
      </x:c>
    </x:row>
    <x:row r="49">
      <x:c r="A49" s="47" t="str">
        <x:v>RUN-TRF-113-20260831T120824954412Z</x:v>
      </x:c>
      <x:c r="B49" s="47" t="str">
        <x:v>TRF-113</x:v>
      </x:c>
      <x:c r="C49" s="47" t="str">
        <x:v>propellerBladeOrientation</x:v>
      </x:c>
      <x:c r="D49" s="48" t="str">
        <x:v>https://w3id.org/nltl/vocab#propellerBladeOrientation</x:v>
      </x:c>
      <x:c r="E49" s="47" t="str">
        <x:v>DatatypeProperty</x:v>
      </x:c>
      <x:c r="F49" s="47" t="str">
        <x:v>xsd:string</x:v>
      </x:c>
      <x:c r="G49" s="47" t="str">
        <x:v>http://www.w3.org/2001/XMLSchema#string</x:v>
      </x:c>
      <x:c r="H49" s="47" t="str"/>
      <x:c r="I49" s="48" t="str">
        <x:v>linked by the locked 313-requirement index</x:v>
      </x:c>
      <x:c r="J49" s="47" t="n">
        <x:v>3</x:v>
      </x:c>
    </x:row>
    <x:row r="50">
      <x:c r="A50" s="47" t="str">
        <x:v>RUN-TRF-113-20260831T120824954412Z</x:v>
      </x:c>
      <x:c r="B50" s="47" t="str">
        <x:v>TRF-113</x:v>
      </x:c>
      <x:c r="C50" s="47" t="str">
        <x:v>ship</x:v>
      </x:c>
      <x:c r="D50" s="48" t="str">
        <x:v>https://w3id.org/nltl/vocab#ship</x:v>
      </x:c>
      <x:c r="E50" s="47" t="str">
        <x:v>Class</x:v>
      </x:c>
      <x:c r="F50" s="47" t="str"/>
      <x:c r="G50" s="47" t="str"/>
      <x:c r="H50" s="47" t="str"/>
      <x:c r="I50" s="48" t="str">
        <x:v>authoritative required owner class; authoritative requirement target owner; baseline target infrastructure; domain dependency of thrusterBladeLossDesignEvidence</x:v>
      </x:c>
      <x:c r="J50" s="47" t="n">
        <x:v>3</x:v>
      </x:c>
    </x:row>
    <x:row r="51">
      <x:c r="A51" s="47" t="str">
        <x:v>RUN-TRF-113-20260831T120824954412Z</x:v>
      </x:c>
      <x:c r="B51" s="47" t="str">
        <x:v>TRF-113</x:v>
      </x:c>
      <x:c r="C51" s="47" t="str">
        <x:v>shipComponent</x:v>
      </x:c>
      <x:c r="D51" s="48" t="str">
        <x:v>https://w3id.org/nltl/vocab#shipComponent</x:v>
      </x:c>
      <x:c r="E51" s="47" t="str">
        <x:v>Class</x:v>
      </x:c>
      <x:c r="F51" s="47" t="str"/>
      <x:c r="G51" s="47" t="str"/>
      <x:c r="H51" s="47" t="str"/>
      <x:c r="I51" s="48" t="str">
        <x:v>component-path dependency inferred from the linked term module</x:v>
      </x:c>
      <x:c r="J51" s="47" t="n">
        <x:v>3</x:v>
      </x:c>
    </x:row>
    <x:row r="52">
      <x:c r="A52" s="47" t="str">
        <x:v>RUN-TRF-113-20260831T120824954412Z</x:v>
      </x:c>
      <x:c r="B52" s="47" t="str">
        <x:v>TRF-113</x:v>
      </x:c>
      <x:c r="C52" s="47" t="str">
        <x:v>steeringMechanism</x:v>
      </x:c>
      <x:c r="D52" s="48" t="str">
        <x:v>https://w3id.org/nltl/vocab#steeringMechanism</x:v>
      </x:c>
      <x:c r="E52" s="47" t="str">
        <x:v>Class</x:v>
      </x:c>
      <x:c r="F52" s="47" t="str"/>
      <x:c r="G52" s="47" t="str">
        <x:v>https://w3id.org/nltl/vocab#machineryComponent</x:v>
      </x:c>
      <x:c r="H52" s="47" t="str"/>
      <x:c r="I52" s="48" t="str">
        <x:v>linked by the locked 313-requirement index</x:v>
      </x:c>
      <x:c r="J52" s="47" t="n">
        <x:v>3</x:v>
      </x:c>
    </x:row>
    <x:row r="53">
      <x:c r="A53" s="47" t="str">
        <x:v>RUN-TRF-113-20260831T120824954412Z</x:v>
      </x:c>
      <x:c r="B53" s="47" t="str">
        <x:v>TRF-113</x:v>
      </x:c>
      <x:c r="C53" s="47" t="str">
        <x:v>thrusterBladeLossDesignEvidence</x:v>
      </x:c>
      <x:c r="D53" s="48" t="str">
        <x:v>https://w3id.org/nltl/vocab#thrusterBladeLossDesignEvidence</x:v>
      </x:c>
      <x:c r="E53" s="47" t="str">
        <x:v>ObjectProperty</x:v>
      </x:c>
      <x:c r="F53" s="47" t="str"/>
      <x:c r="G53" s="47" t="str">
        <x:v>https://w3id.org/nltl/vocab#evidenceArtifact</x:v>
      </x:c>
      <x:c r="H53" s="47" t="str"/>
      <x:c r="I53" s="48" t="str">
        <x:v>linked by the locked 313-requirement index</x:v>
      </x:c>
      <x:c r="J53" s="47" t="n">
        <x:v>3</x:v>
      </x:c>
    </x:row>
    <x:row r="54">
      <x:c r="A54" s="47" t="str">
        <x:v>RUN-TRF-113-20260831T120824954412Z</x:v>
      </x:c>
      <x:c r="B54" s="47" t="str">
        <x:v>TRF-113</x:v>
      </x:c>
      <x:c r="C54" s="47" t="str">
        <x:v>thrusterBody</x:v>
      </x:c>
      <x:c r="D54" s="48" t="str">
        <x:v>https://w3id.org/nltl/vocab#thrusterBody</x:v>
      </x:c>
      <x:c r="E54" s="47" t="str">
        <x:v>Class</x:v>
      </x:c>
      <x:c r="F54" s="47" t="str"/>
      <x:c r="G54" s="47" t="str">
        <x:v>https://w3id.org/nltl/vocab#machineryComponent</x:v>
      </x:c>
      <x:c r="H54" s="47" t="str"/>
      <x:c r="I54" s="48" t="str">
        <x:v>linked by the locked 313-requirement index</x:v>
      </x:c>
      <x:c r="J54" s="47" t="n">
        <x:v>3</x:v>
      </x:c>
    </x:row>
    <x:row r="55">
      <x:c r="A55" s="47" t="str">
        <x:v>RUN-TRF-113-20260831T120824954412Z</x:v>
      </x:c>
      <x:c r="B55" s="47" t="str">
        <x:v>TRF-113</x:v>
      </x:c>
      <x:c r="C55" s="47" t="str">
        <x:v>thrusterFitting</x:v>
      </x:c>
      <x:c r="D55" s="48" t="str">
        <x:v>https://w3id.org/nltl/vocab#thrusterFitting</x:v>
      </x:c>
      <x:c r="E55" s="47" t="str">
        <x:v>Class</x:v>
      </x:c>
      <x:c r="F55" s="47" t="str"/>
      <x:c r="G55" s="47" t="str">
        <x:v>https://w3id.org/nltl/vocab#machineryComponent</x:v>
      </x:c>
      <x:c r="H55" s="47" t="str"/>
      <x:c r="I55" s="48" t="str">
        <x:v>linked by the locked 313-requirement index</x:v>
      </x:c>
      <x:c r="J55" s="47" t="n">
        <x:v>3</x:v>
      </x:c>
    </x:row>
    <x:row r="56">
      <x:c r="A56" s="47" t="str">
        <x:v>RUN-TRF-113-20260831T120824954412Z</x:v>
      </x:c>
      <x:c r="B56" s="47" t="str">
        <x:v>TRF-113</x:v>
      </x:c>
      <x:c r="C56" s="47" t="str">
        <x:v>benchmarkEntity</x:v>
      </x:c>
      <x:c r="D56" s="48" t="str">
        <x:v>https://w3id.org/nltl/vocab#benchmarkEntity</x:v>
      </x:c>
      <x:c r="E56" s="47" t="str">
        <x:v>Class</x:v>
      </x:c>
      <x:c r="F56" s="47" t="str"/>
      <x:c r="G56" s="47" t="str"/>
      <x:c r="H56" s="47" t="str"/>
      <x:c r="I56" s="48" t="str">
        <x:v>baseline target infrastructure; domain dependency of bladeLossLoad; domain dependency of bladePlasticBending; domain dependency of propellerBladeOrientation</x:v>
      </x:c>
      <x:c r="J56" s="47" t="n">
        <x:v>4</x:v>
      </x:c>
    </x:row>
    <x:row r="57">
      <x:c r="A57" s="47" t="str">
        <x:v>RUN-TRF-113-20260831T120824954412Z</x:v>
      </x:c>
      <x:c r="B57" s="47" t="str">
        <x:v>TRF-113</x:v>
      </x:c>
      <x:c r="C57" s="47" t="str">
        <x:v>bladeLossLoad</x:v>
      </x:c>
      <x:c r="D57" s="48" t="str">
        <x:v>https://w3id.org/nltl/vocab#bladeLossLoad</x:v>
      </x:c>
      <x:c r="E57" s="47" t="str">
        <x:v>QuantityProperty</x:v>
      </x:c>
      <x:c r="F57" s="47" t="str"/>
      <x:c r="G57" s="47" t="str">
        <x:v>http://qudt.org/schema/qudt/QuantityValue</x:v>
      </x:c>
      <x:c r="H57" s="47" t="str">
        <x:v>http://qudt.org/vocab/unit/KiloN</x:v>
      </x:c>
      <x:c r="I57" s="48" t="str">
        <x:v>linked by the locked 313-requirement index</x:v>
      </x:c>
      <x:c r="J57" s="47" t="n">
        <x:v>4</x:v>
      </x:c>
    </x:row>
    <x:row r="58">
      <x:c r="A58" s="47" t="str">
        <x:v>RUN-TRF-113-20260831T120824954412Z</x:v>
      </x:c>
      <x:c r="B58" s="47" t="str">
        <x:v>TRF-113</x:v>
      </x:c>
      <x:c r="C58" s="47" t="str">
        <x:v>bladePlasticBending</x:v>
      </x:c>
      <x:c r="D58" s="48" t="str">
        <x:v>https://w3id.org/nltl/vocab#bladePlasticBending</x:v>
      </x:c>
      <x:c r="E58" s="47" t="str">
        <x:v>DatatypeProperty</x:v>
      </x:c>
      <x:c r="F58" s="47" t="str">
        <x:v>xsd:string</x:v>
      </x:c>
      <x:c r="G58" s="47" t="str">
        <x:v>http://www.w3.org/2001/XMLSchema#string</x:v>
      </x:c>
      <x:c r="H58" s="47" t="str"/>
      <x:c r="I58" s="48" t="str">
        <x:v>linked by the locked 313-requirement index; verified vocabulary-matcher addition</x:v>
      </x:c>
      <x:c r="J58" s="47" t="n">
        <x:v>4</x:v>
      </x:c>
    </x:row>
    <x:row r="59">
      <x:c r="A59" s="47" t="str">
        <x:v>RUN-TRF-113-20260831T120824954412Z</x:v>
      </x:c>
      <x:c r="B59" s="47" t="str">
        <x:v>TRF-113</x:v>
      </x:c>
      <x:c r="C59" s="47" t="str">
        <x:v>evidenceArtifact</x:v>
      </x:c>
      <x:c r="D59" s="48" t="str">
        <x:v>https://w3id.org/nltl/vocab#evidenceArtifact</x:v>
      </x:c>
      <x:c r="E59" s="47" t="str">
        <x:v>Class</x:v>
      </x:c>
      <x:c r="F59" s="47" t="str"/>
      <x:c r="G59" s="47" t="str"/>
      <x:c r="H59" s="47" t="str"/>
      <x:c r="I59" s="48" t="str">
        <x:v>range dependency of thrusterBladeLossDesignEvidence</x:v>
      </x:c>
      <x:c r="J59" s="47" t="n">
        <x:v>4</x:v>
      </x:c>
    </x:row>
    <x:row r="60">
      <x:c r="A60" s="47" t="str">
        <x:v>RUN-TRF-113-20260831T120824954412Z</x:v>
      </x:c>
      <x:c r="B60" s="47" t="str">
        <x:v>TRF-113</x:v>
      </x:c>
      <x:c r="C60" s="47" t="str">
        <x:v>hasComponent</x:v>
      </x:c>
      <x:c r="D60" s="48" t="str">
        <x:v>https://w3id.org/nltl/vocab#hasComponent</x:v>
      </x:c>
      <x:c r="E60" s="47" t="str">
        <x:v>ObjectProperty</x:v>
      </x:c>
      <x:c r="F60" s="47" t="str"/>
      <x:c r="G60" s="47" t="str">
        <x:v>https://w3id.org/nltl/vocab#shipComponent</x:v>
      </x:c>
      <x:c r="H60" s="47" t="str"/>
      <x:c r="I60" s="48" t="str">
        <x:v>component-path dependency inferred from the linked term module</x:v>
      </x:c>
      <x:c r="J60" s="47" t="n">
        <x:v>4</x:v>
      </x:c>
    </x:row>
    <x:row r="61">
      <x:c r="A61" s="47" t="str">
        <x:v>RUN-TRF-113-20260831T120824954412Z</x:v>
      </x:c>
      <x:c r="B61" s="47" t="str">
        <x:v>TRF-113</x:v>
      </x:c>
      <x:c r="C61" s="47" t="str">
        <x:v>hasLoadCase</x:v>
      </x:c>
      <x:c r="D61" s="48" t="str">
        <x:v>https://w3id.org/nltl/vocab#hasLoadCase</x:v>
      </x:c>
      <x:c r="E61" s="47" t="str">
        <x:v>ObjectProperty</x:v>
      </x:c>
      <x:c r="F61" s="47" t="str"/>
      <x:c r="G61" s="47" t="str">
        <x:v>https://w3id.org/nltl/vocab#loadCase</x:v>
      </x:c>
      <x:c r="H61" s="47" t="str"/>
      <x:c r="I61" s="48" t="str">
        <x:v>canonical path from target owner ship to required owner loadCase</x:v>
      </x:c>
      <x:c r="J61" s="47" t="n">
        <x:v>4</x:v>
      </x:c>
    </x:row>
    <x:row r="62">
      <x:c r="A62" s="47" t="str">
        <x:v>RUN-TRF-113-20260831T120824954412Z</x:v>
      </x:c>
      <x:c r="B62" s="47" t="str">
        <x:v>TRF-113</x:v>
      </x:c>
      <x:c r="C62" s="47" t="str">
        <x:v>hasPropulsionLoadCase</x:v>
      </x:c>
      <x:c r="D62" s="48" t="str">
        <x:v>https://w3id.org/nltl/vocab#hasPropulsionLoadCase</x:v>
      </x:c>
      <x:c r="E62" s="47" t="str">
        <x:v>ObjectProperty</x:v>
      </x:c>
      <x:c r="F62" s="47" t="str"/>
      <x:c r="G62" s="47" t="str">
        <x:v>https://w3id.org/nltl/vocab#loadCase</x:v>
      </x:c>
      <x:c r="H62" s="47" t="str"/>
      <x:c r="I62" s="48" t="str">
        <x:v>canonical path from target owner ship to required owner loadCase</x:v>
      </x:c>
      <x:c r="J62" s="47" t="n">
        <x:v>4</x:v>
      </x:c>
    </x:row>
    <x:row r="63">
      <x:c r="A63" s="47" t="str">
        <x:v>RUN-TRF-113-20260831T120824954412Z</x:v>
      </x:c>
      <x:c r="B63" s="47" t="str">
        <x:v>TRF-113</x:v>
      </x:c>
      <x:c r="C63" s="47" t="str">
        <x:v>loadCase</x:v>
      </x:c>
      <x:c r="D63" s="48" t="str">
        <x:v>https://w3id.org/nltl/vocab#loadCase</x:v>
      </x:c>
      <x:c r="E63" s="47" t="str">
        <x:v>Class</x:v>
      </x:c>
      <x:c r="F63" s="47" t="str"/>
      <x:c r="G63" s="47" t="str">
        <x:v>https://w3id.org/nltl/vocab#calculationCase</x:v>
      </x:c>
      <x:c r="H63" s="47" t="str"/>
      <x:c r="I63" s="48" t="str">
        <x:v>authoritative required owner class; domain dependency of maximumComponentLoadBladeOrientationConfirmed</x:v>
      </x:c>
      <x:c r="J63" s="47" t="n">
        <x:v>4</x:v>
      </x:c>
    </x:row>
    <x:row r="64">
      <x:c r="A64" s="47" t="str">
        <x:v>RUN-TRF-113-20260831T120824954412Z</x:v>
      </x:c>
      <x:c r="B64" s="47" t="str">
        <x:v>TRF-113</x:v>
      </x:c>
      <x:c r="C64" s="47" t="str">
        <x:v>machineryComponent</x:v>
      </x:c>
      <x:c r="D64" s="48" t="str">
        <x:v>https://w3id.org/nltl/vocab#machineryComponent</x:v>
      </x:c>
      <x:c r="E64" s="47" t="str">
        <x:v>Class</x:v>
      </x:c>
      <x:c r="F64" s="47" t="str"/>
      <x:c r="G64" s="47" t="str"/>
      <x:c r="H64" s="47" t="str"/>
      <x:c r="I64" s="48" t="str">
        <x:v>range dependency of steeringMechanism; range dependency of thrusterBody; range dependency of thrusterFitting</x:v>
      </x:c>
      <x:c r="J64" s="47" t="n">
        <x:v>4</x:v>
      </x:c>
    </x:row>
    <x:row r="65">
      <x:c r="A65" s="47" t="str">
        <x:v>RUN-TRF-113-20260831T120824954412Z</x:v>
      </x:c>
      <x:c r="B65" s="47" t="str">
        <x:v>TRF-113</x:v>
      </x:c>
      <x:c r="C65" s="47" t="str">
        <x:v>maximumComponentLoadBladeOrientationConfirmed</x:v>
      </x:c>
      <x:c r="D65" s="48" t="str">
        <x:v>https://w3id.org/nltl/vocab#maximumComponentLoadBladeOrientationConfirmed</x:v>
      </x:c>
      <x:c r="E65" s="47" t="str">
        <x:v>DatatypeProperty</x:v>
      </x:c>
      <x:c r="F65" s="47" t="str">
        <x:v>xsd:boolean</x:v>
      </x:c>
      <x:c r="G65" s="47" t="str">
        <x:v>http://www.w3.org/2001/XMLSchema#boolean</x:v>
      </x:c>
      <x:c r="H65" s="47" t="str"/>
      <x:c r="I65" s="48" t="str">
        <x:v>linked by the locked 313-requirement index</x:v>
      </x:c>
      <x:c r="J65" s="47" t="n">
        <x:v>4</x:v>
      </x:c>
    </x:row>
    <x:row r="66">
      <x:c r="A66" s="47" t="str">
        <x:v>RUN-TRF-113-20260831T120824954412Z</x:v>
      </x:c>
      <x:c r="B66" s="47" t="str">
        <x:v>TRF-113</x:v>
      </x:c>
      <x:c r="C66" s="47" t="str">
        <x:v>propellerBladeOrientation</x:v>
      </x:c>
      <x:c r="D66" s="48" t="str">
        <x:v>https://w3id.org/nltl/vocab#propellerBladeOrientation</x:v>
      </x:c>
      <x:c r="E66" s="47" t="str">
        <x:v>DatatypeProperty</x:v>
      </x:c>
      <x:c r="F66" s="47" t="str">
        <x:v>xsd:string</x:v>
      </x:c>
      <x:c r="G66" s="47" t="str">
        <x:v>http://www.w3.org/2001/XMLSchema#string</x:v>
      </x:c>
      <x:c r="H66" s="47" t="str"/>
      <x:c r="I66" s="48" t="str">
        <x:v>linked by the locked 313-requirement index</x:v>
      </x:c>
      <x:c r="J66" s="47" t="n">
        <x:v>4</x:v>
      </x:c>
    </x:row>
    <x:row r="67">
      <x:c r="A67" s="47" t="str">
        <x:v>RUN-TRF-113-20260831T120824954412Z</x:v>
      </x:c>
      <x:c r="B67" s="47" t="str">
        <x:v>TRF-113</x:v>
      </x:c>
      <x:c r="C67" s="47" t="str">
        <x:v>ship</x:v>
      </x:c>
      <x:c r="D67" s="48" t="str">
        <x:v>https://w3id.org/nltl/vocab#ship</x:v>
      </x:c>
      <x:c r="E67" s="47" t="str">
        <x:v>Class</x:v>
      </x:c>
      <x:c r="F67" s="47" t="str"/>
      <x:c r="G67" s="47" t="str"/>
      <x:c r="H67" s="47" t="str"/>
      <x:c r="I67" s="48" t="str">
        <x:v>authoritative required owner class; authoritative requirement target owner; baseline target infrastructure; domain dependency of thrusterBladeLossDesignEvidence</x:v>
      </x:c>
      <x:c r="J67" s="47" t="n">
        <x:v>4</x:v>
      </x:c>
    </x:row>
    <x:row r="68">
      <x:c r="A68" s="47" t="str">
        <x:v>RUN-TRF-113-20260831T120824954412Z</x:v>
      </x:c>
      <x:c r="B68" s="47" t="str">
        <x:v>TRF-113</x:v>
      </x:c>
      <x:c r="C68" s="47" t="str">
        <x:v>shipComponent</x:v>
      </x:c>
      <x:c r="D68" s="48" t="str">
        <x:v>https://w3id.org/nltl/vocab#shipComponent</x:v>
      </x:c>
      <x:c r="E68" s="47" t="str">
        <x:v>Class</x:v>
      </x:c>
      <x:c r="F68" s="47" t="str"/>
      <x:c r="G68" s="47" t="str"/>
      <x:c r="H68" s="47" t="str"/>
      <x:c r="I68" s="48" t="str">
        <x:v>component-path dependency inferred from the linked term module</x:v>
      </x:c>
      <x:c r="J68" s="47" t="n">
        <x:v>4</x:v>
      </x:c>
    </x:row>
    <x:row r="69">
      <x:c r="A69" s="47" t="str">
        <x:v>RUN-TRF-113-20260831T120824954412Z</x:v>
      </x:c>
      <x:c r="B69" s="47" t="str">
        <x:v>TRF-113</x:v>
      </x:c>
      <x:c r="C69" s="47" t="str">
        <x:v>steeringMechanism</x:v>
      </x:c>
      <x:c r="D69" s="48" t="str">
        <x:v>https://w3id.org/nltl/vocab#steeringMechanism</x:v>
      </x:c>
      <x:c r="E69" s="47" t="str">
        <x:v>Class</x:v>
      </x:c>
      <x:c r="F69" s="47" t="str"/>
      <x:c r="G69" s="47" t="str">
        <x:v>https://w3id.org/nltl/vocab#machineryComponent</x:v>
      </x:c>
      <x:c r="H69" s="47" t="str"/>
      <x:c r="I69" s="48" t="str">
        <x:v>linked by the locked 313-requirement index</x:v>
      </x:c>
      <x:c r="J69" s="47" t="n">
        <x:v>4</x:v>
      </x:c>
    </x:row>
    <x:row r="70">
      <x:c r="A70" s="47" t="str">
        <x:v>RUN-TRF-113-20260831T120824954412Z</x:v>
      </x:c>
      <x:c r="B70" s="47" t="str">
        <x:v>TRF-113</x:v>
      </x:c>
      <x:c r="C70" s="47" t="str">
        <x:v>thrusterBladeLossDesignEvidence</x:v>
      </x:c>
      <x:c r="D70" s="48" t="str">
        <x:v>https://w3id.org/nltl/vocab#thrusterBladeLossDesignEvidence</x:v>
      </x:c>
      <x:c r="E70" s="47" t="str">
        <x:v>ObjectProperty</x:v>
      </x:c>
      <x:c r="F70" s="47" t="str"/>
      <x:c r="G70" s="47" t="str">
        <x:v>https://w3id.org/nltl/vocab#evidenceArtifact</x:v>
      </x:c>
      <x:c r="H70" s="47" t="str"/>
      <x:c r="I70" s="48" t="str">
        <x:v>linked by the locked 313-requirement index</x:v>
      </x:c>
      <x:c r="J70" s="47" t="n">
        <x:v>4</x:v>
      </x:c>
    </x:row>
    <x:row r="71">
      <x:c r="A71" s="47" t="str">
        <x:v>RUN-TRF-113-20260831T120824954412Z</x:v>
      </x:c>
      <x:c r="B71" s="47" t="str">
        <x:v>TRF-113</x:v>
      </x:c>
      <x:c r="C71" s="47" t="str">
        <x:v>thrusterBody</x:v>
      </x:c>
      <x:c r="D71" s="48" t="str">
        <x:v>https://w3id.org/nltl/vocab#thrusterBody</x:v>
      </x:c>
      <x:c r="E71" s="47" t="str">
        <x:v>Class</x:v>
      </x:c>
      <x:c r="F71" s="47" t="str"/>
      <x:c r="G71" s="47" t="str">
        <x:v>https://w3id.org/nltl/vocab#machineryComponent</x:v>
      </x:c>
      <x:c r="H71" s="47" t="str"/>
      <x:c r="I71" s="48" t="str">
        <x:v>linked by the locked 313-requirement index</x:v>
      </x:c>
      <x:c r="J71" s="47" t="n">
        <x:v>4</x:v>
      </x:c>
    </x:row>
    <x:row r="72">
      <x:c r="A72" s="49" t="str">
        <x:v>RUN-TRF-113-20260831T120824954412Z</x:v>
      </x:c>
      <x:c r="B72" s="49" t="str">
        <x:v>TRF-113</x:v>
      </x:c>
      <x:c r="C72" s="49" t="str">
        <x:v>thrusterFitting</x:v>
      </x:c>
      <x:c r="D72" s="50" t="str">
        <x:v>https://w3id.org/nltl/vocab#thrusterFitting</x:v>
      </x:c>
      <x:c r="E72" s="49" t="str">
        <x:v>Class</x:v>
      </x:c>
      <x:c r="F72" s="49" t="str"/>
      <x:c r="G72" s="49" t="str">
        <x:v>https://w3id.org/nltl/vocab#machineryComponent</x:v>
      </x:c>
      <x:c r="H72" s="49" t="str"/>
      <x:c r="I72" s="50" t="str">
        <x:v>linked by the locked 313-requirement index</x:v>
      </x:c>
      <x:c r="J72" s="49" t="n">
        <x:v>4</x:v>
      </x:c>
    </x:row>
  </x:sheetData>
  <x:pageMargins left="0.7" right="0.7" top="0.75" bottom="0.75" header="0.3" footer="0.3"/>
  <x:tableParts count="1">
    <x:tablePart xmlns:r="http://schemas.openxmlformats.org/officeDocument/2006/relationships" r:id="Radb6a486b2a0430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RUN-TRF-113-20260831T120824954412Z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RUN-TRF-113-20260831T120824954412Z</x:v>
      </x:c>
      <x:c r="B5" s="45" t="str">
        <x:v>TRF-113</x:v>
      </x:c>
      <x:c r="C5" s="45" t="str">
        <x:v>FS-QTY-01</x:v>
      </x:c>
      <x:c r="D5" s="45" t="str">
        <x:v>qudt_quantity</x:v>
      </x:c>
      <x:c r="E5" s="97" t="n">
        <x:v>0.055556</x:v>
      </x:c>
      <x:c r="F5" s="45" t="str">
        <x:v>quantity | qudt | unit</x:v>
      </x:c>
      <x:c r="G5" s="45" t="str">
        <x:v>synthetic-few-shot-not-benchmark-ground-truth</x:v>
      </x:c>
    </x:row>
    <x:row r="6">
      <x:c r="A6" s="49" t="str">
        <x:v>RUN-TRF-113-20260831T120824954412Z</x:v>
      </x:c>
      <x:c r="B6" s="49" t="str">
        <x:v>TRF-113</x:v>
      </x:c>
      <x:c r="C6" s="49" t="str">
        <x:v>FS-QTY-02</x:v>
      </x:c>
      <x:c r="D6" s="49" t="str">
        <x:v>qudt_quantity</x:v>
      </x:c>
      <x:c r="E6" s="98" t="n">
        <x:v>0.055556</x:v>
      </x:c>
      <x:c r="F6" s="49" t="str">
        <x:v>quantity | qudt | unit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e3afc261e56435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RUN-TRF-113-20260831T120824954412Z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RUN-TRF-113-20260831T120824954412Z</x:v>
      </x:c>
      <x:c r="B5" s="45" t="str">
        <x:v>TRF-113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https://w3id.org/nltl/vocab#bladePlasticBending | https://w3id.org/nltl/vocab#evidenceArtifact | https://w3id.org/nltl/vocab#hasComponent | https://w3id.org/nltl/vocab#hasPropulsionLoadCase | https://w3id.org/nltl/vocab#maximumComponentLoadBladeOrientationConfirmed | https://w3id.org/nltl/vocab#propellerBladeOrientation | https://w3id.org/nltl/vocab#ship | https://w3id.org/nltl/vocab#steeringMechanism | https://w3id.org/nltl/vocab#thrusterBladeLossDesignEvidence | https://w3id.org/nltl/vocab#thrusterBody | https://w3id.org/nltl/vocab#thrusterFitting</x:v>
      </x:c>
      <x:c r="O5" s="46" t="str"/>
      <x:c r="P5" s="46" t="str"/>
      <x:c r="Q5" s="46" t="str"/>
    </x:row>
    <x:row r="6">
      <x:c r="A6" s="47" t="str">
        <x:v>RUN-TRF-113-20260831T120824954412Z</x:v>
      </x:c>
      <x:c r="B6" s="47" t="str">
        <x:v>TRF-113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https://w3id.org/nltl/vocab#bladeLossLoad | https://w3id.org/nltl/vocab#bladePlasticBending | https://w3id.org/nltl/vocab#evidenceArtifact | https://w3id.org/nltl/vocab#hasComponent | https://w3id.org/nltl/vocab#hasLoadCase | https://w3id.org/nltl/vocab#loadCase | https://w3id.org/nltl/vocab#maximumComponentLoadBladeOrientationConfirmed | https://w3id.org/nltl/vocab#propellerBladeOrientation | https://w3id.org/nltl/vocab#ship | https://w3id.org/nltl/vocab#steeringMechanism | https://w3id.org/nltl/vocab#thrusterBladeLossDesignEvidence | https://w3id.org/nltl/vocab#thrusterBody | https://w3id.org/nltl/vocab#thrusterFitting</x:v>
      </x:c>
      <x:c r="O6" s="48" t="str"/>
      <x:c r="P6" s="48" t="str"/>
      <x:c r="Q6" s="48" t="str"/>
    </x:row>
    <x:row r="7">
      <x:c r="A7" s="47" t="str">
        <x:v>RUN-TRF-113-20260831T120824954412Z</x:v>
      </x:c>
      <x:c r="B7" s="47" t="str">
        <x:v>TRF-113</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https://w3id.org/nltl/vocab#bladeLossLoad | https://w3id.org/nltl/vocab#bladePlasticBending | https://w3id.org/nltl/vocab#evidenceArtifact | https://w3id.org/nltl/vocab#hasComponent | https://w3id.org/nltl/vocab#hasPropulsionLoadCase | https://w3id.org/nltl/vocab#loadCase | https://w3id.org/nltl/vocab#maximumComponentLoadBladeOrientationConfirmed | https://w3id.org/nltl/vocab#propellerBladeOrientation | https://w3id.org/nltl/vocab#ship | https://w3id.org/nltl/vocab#steeringMechanism | https://w3id.org/nltl/vocab#thrusterBladeLossDesignEvidence | https://w3id.org/nltl/vocab#thrusterBody | https://w3id.org/nltl/vocab#thrusterFitting</x:v>
      </x:c>
      <x:c r="O7" s="48" t="str"/>
      <x:c r="P7" s="48" t="str"/>
      <x:c r="Q7" s="48" t="str"/>
    </x:row>
    <x:row r="8">
      <x:c r="A8" s="49" t="str">
        <x:v>RUN-TRF-113-20260831T120824954412Z</x:v>
      </x:c>
      <x:c r="B8" s="49" t="str">
        <x:v>TRF-113</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https://w3id.org/nltl/vocab#bladeLossLoad | https://w3id.org/nltl/vocab#bladePlasticBending | https://w3id.org/nltl/vocab#evidenceArtifact | https://w3id.org/nltl/vocab#hasComponent | https://w3id.org/nltl/vocab#hasLoadCase | https://w3id.org/nltl/vocab#loadCase | https://w3id.org/nltl/vocab#maximumComponentLoadBladeOrientationConfirmed | https://w3id.org/nltl/vocab#propellerBladeOrientation | https://w3id.org/nltl/vocab#ship | https://w3id.org/nltl/vocab#steeringMechanism | https://w3id.org/nltl/vocab#thrusterBladeLossDesignEvidence | https://w3id.org/nltl/vocab#thrusterBody | https://w3id.org/nltl/vocab#thrusterFitting</x:v>
      </x:c>
      <x:c r="O8" s="50" t="str"/>
      <x:c r="P8" s="50" t="str"/>
      <x:c r="Q8" s="50" t="str"/>
    </x:row>
  </x:sheetData>
  <x:pageMargins left="0.7" right="0.7" top="0.75" bottom="0.75" header="0.3" footer="0.3"/>
  <x:tableParts count="1">
    <x:tablePart xmlns:r="http://schemas.openxmlformats.org/officeDocument/2006/relationships" r:id="Ra090237cabc34b97"/>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RUN-TRF-113-20260831T120824954412Z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RUN-TRF-113-20260831T120824954412Z</x:v>
      </x:c>
      <x:c r="B5" s="45" t="str">
        <x:v>TRF-113</x:v>
      </x:c>
      <x:c r="C5" s="58" t="n">
        <x:v>1</x:v>
      </x:c>
      <x:c r="D5" s="45" t="str">
        <x:v>matcher_search</x:v>
      </x:c>
      <x:c r="E5" s="46" t="str">
        <x:v>The graph passes deterministic validation but is not semantically faithful: it only asserts presence of three component classes and an xsd:string, without encoding that each component is designed to withstand blade plastic bending without damage, that blade loss is included, or that the specified orientation is the one producing the maximum load on the component studied. The boolean maximumComponentLoadBladeOrientationConfirmed and unlinked evidence presence are insufficient substitutes and do not relate the design condition, orientation, blade loss, and affected components. Locate canonical terms/paths for the missing design-capability, blade-loss, maximum-load-orientation, and component/load-case relationships; then constrain those terms on their declared owners and connect the evidence to the required design claim. Preserve the ship-to-loadCase path and the declared datatypes.</x:v>
      </x:c>
      <x:c r="F5" s="58" t="n">
        <x:v>5</x:v>
      </x:c>
      <x:c r="G5" s="45" t="str"/>
      <x:c r="H5" s="45" t="str"/>
      <x:c r="I5" s="46" t="str"/>
      <x:c r="J5" s="46" t="str"/>
    </x:row>
    <x:row r="6">
      <x:c r="A6" s="47" t="str">
        <x:v>RUN-TRF-113-20260831T120824954412Z</x:v>
      </x:c>
      <x:c r="B6" s="47" t="str">
        <x:v>TRF-113</x:v>
      </x:c>
      <x:c r="C6" s="59" t="n">
        <x:v>1</x:v>
      </x:c>
      <x:c r="D6" s="47" t="str">
        <x:v>matcher_decision</x:v>
      </x:c>
      <x:c r="E6" s="48" t="str"/>
      <x:c r="F6" s="59" t="str"/>
      <x:c r="G6" s="85" t="b">
        <x:v>1</x:v>
      </x:c>
      <x:c r="H6" s="47" t="str">
        <x:v>bladePlasticBending</x:v>
      </x:c>
      <x:c r="I6" s="48" t="str">
        <x:v>https://w3id.org/nltl/vocab#bladePlasticBending</x:v>
      </x:c>
      <x:c r="J6" s="48" t="str">
        <x:v>Use this exact term because the requirement explicitly requires the steering mechanism, unit fitting, and thruster body to withstand the plastic bending of a blade without damage, and this canonical datatype property directly represents blade plastic bending with its declared xsd:string range.</x:v>
      </x:c>
    </x:row>
    <x:row r="7">
      <x:c r="A7" s="47" t="str">
        <x:v>RUN-TRF-113-20260831T120824954412Z</x:v>
      </x:c>
      <x:c r="B7" s="47" t="str">
        <x:v>TRF-113</x:v>
      </x:c>
      <x:c r="C7" s="59" t="n">
        <x:v>2</x:v>
      </x:c>
      <x:c r="D7" s="47" t="str">
        <x:v>matcher_search</x:v>
      </x:c>
      <x:c r="E7" s="48" t="str">
        <x:v>The graph remains semantically unfaithful despite deterministic validity. Preserve the prior repair: locate canonical terms and paths for the design-capability relationship linking the steering mechanism, unit fitting, and thruster body to resistance to plastic blade bending without damage; for the blade-loss condition; for the propeller orientation causing maximum load on the component studied; and for the component/load-case relationships. The current xsd:string presence on the ship, three unqualified component-class presences, bladeLossLoad presence, and boolean maximumComponentLoadBladeOrientationConfirmed do not encode those relationships or the required maximum-load orientation, and the generic evidence artifact is not linked to the required design claim. Keep bladePlasticBending as the exact canonical term and preserve its declared xsd:string datatype, the ship-to-loadCase path, and all authoritative owners. Activate canonical-term/path matching because the required relationship concepts are absent from the scoped vocabulary.</x:v>
      </x:c>
      <x:c r="F7" s="59" t="n">
        <x:v>8</x:v>
      </x:c>
      <x:c r="G7" s="47" t="str"/>
      <x:c r="H7" s="47" t="str"/>
      <x:c r="I7" s="48" t="str"/>
      <x:c r="J7" s="48" t="str"/>
    </x:row>
    <x:row r="8">
      <x:c r="A8" s="47" t="str">
        <x:v>RUN-TRF-113-20260831T120824954412Z</x:v>
      </x:c>
      <x:c r="B8" s="47" t="str">
        <x:v>TRF-113</x:v>
      </x:c>
      <x:c r="C8" s="59" t="n">
        <x:v>2</x:v>
      </x:c>
      <x:c r="D8" s="47" t="str">
        <x:v>matcher_decision</x:v>
      </x:c>
      <x:c r="E8" s="48" t="str"/>
      <x:c r="F8" s="59" t="str"/>
      <x:c r="G8" s="85" t="b">
        <x:v>1</x:v>
      </x:c>
      <x:c r="H8" s="47" t="str">
        <x:v>bladePlasticBending</x:v>
      </x:c>
      <x:c r="I8" s="48" t="str">
        <x:v>https://w3id.org/nltl/vocab#bladePlasticBending</x:v>
      </x:c>
      <x:c r="J8" s="48" t="str">
        <x:v>Use this exact term because the validator explicitly requires the canonical blade plastic bending concept, and this candidate has the matching definition, DatatypeProperty kind, and declared xsd:string range.</x:v>
      </x:c>
    </x:row>
    <x:row r="9">
      <x:c r="A9" s="47" t="str">
        <x:v>RUN-TRF-113-20260831T120824954412Z</x:v>
      </x:c>
      <x:c r="B9" s="47" t="str">
        <x:v>TRF-113</x:v>
      </x:c>
      <x:c r="C9" s="59" t="n">
        <x:v>3</x:v>
      </x:c>
      <x:c r="D9" s="47" t="str">
        <x:v>matcher_search</x:v>
      </x:c>
      <x:c r="E9" s="48" t="str">
        <x:v>The graph remains semantically unfaithful and deterministic validity alone is insufficient. Preserve the prior repair and the exact canonical term nltl:bladePlasticBending with xsd:string. Locate canonical terms and paths for the design-capability relationship connecting the ship’s steering mechanism, unit fitting, and thruster body to withstanding blade plastic bending without damage; for the blade-loss condition; and for the relationship between each studied component, its load case, and the propeller blade orientation producing its maximum load. The current ship-level string, unqualified component-class presence checks, bladeLossLoad presence, and propellerBladeOrientation presence do not encode those relationships or the required withstand/no-damage and maximum-load semantics. Constrain maximumComponentLoadBladeOrientationConfirmed to the affirmative value where it represents the required condition, while retaining it on its declared loadCase owner and retaining the ship-to-loadCase path. Link evidence specifically to the required design claim rather than merely requiring an unqualified evidence artifact. Do not relocate properties from their authoritative owners; use the canonical cross-owner paths found by the matcher.</x:v>
      </x:c>
      <x:c r="F9" s="59" t="n">
        <x:v>10</x:v>
      </x:c>
      <x:c r="G9" s="47" t="str"/>
      <x:c r="H9" s="47" t="str"/>
      <x:c r="I9" s="48" t="str"/>
      <x:c r="J9" s="48" t="str"/>
    </x:row>
    <x:row r="10">
      <x:c r="A10" s="47" t="str">
        <x:v>RUN-TRF-113-20260831T120824954412Z</x:v>
      </x:c>
      <x:c r="B10" s="47" t="str">
        <x:v>TRF-113</x:v>
      </x:c>
      <x:c r="C10" s="59" t="n">
        <x:v>3</x:v>
      </x:c>
      <x:c r="D10" s="47" t="str">
        <x:v>matcher_decision</x:v>
      </x:c>
      <x:c r="E10" s="48" t="str"/>
      <x:c r="F10" s="59" t="str"/>
      <x:c r="G10" s="85" t="b">
        <x:v>1</x:v>
      </x:c>
      <x:c r="H10" s="47" t="str">
        <x:v>bladePlasticBending</x:v>
      </x:c>
      <x:c r="I10" s="48" t="str">
        <x:v>https://w3id.org/nltl/vocab#bladePlasticBending</x:v>
      </x:c>
      <x:c r="J10" s="48" t="str">
        <x:v>Use this exact term because the validator explicitly requires the canonical blade plastic bending term, and this DatatypeProperty has the required xsd:string range for the design-capability claim.</x:v>
      </x:c>
    </x:row>
    <x:row r="11">
      <x:c r="A11" s="47" t="str">
        <x:v>RUN-TRF-113-20260831T120824954412Z</x:v>
      </x:c>
      <x:c r="B11" s="47" t="str">
        <x:v>TRF-113</x:v>
      </x:c>
      <x:c r="C11" s="59" t="n">
        <x:v>4</x:v>
      </x:c>
      <x:c r="D11" s="47" t="str">
        <x:v>matcher_search</x:v>
      </x:c>
      <x:c r="E11" s="48" t="str">
        <x:v>The graph remains semantically unfaithful despite deterministic validity. Preserve the prior repair instructions and exact canonical nltl:bladePlasticBending with xsd:string on its authoritative ship owner. The three qualified hasComponent checks only assert component-class presence and do not state that each steering mechanism, thruster fitting, and thruster body is designed to withstand blade plastic bending without damage. Likewise, ship-level bladeLossLoad and propellerBladeOrientation presence, plus the load-case boolean, do not connect blade loss and the maximum-load orientation to each studied component or its load case; the affirmative boolean must remain on its declared loadCase owner. The generic evidence link does not establish evidence for the specific design claim. Locate canonical terms and cross-owner paths for the missing withstand/design-capability, blade-loss, component/load-case, maximum-load-orientation, and claim-specific evidence relationships, then constrain them on their authoritative owners while preserving ship-to-loadCase. Activate matching because the required canonical relationship concepts/paths are absent from the scoped vocabulary.</x:v>
      </x:c>
      <x:c r="F11" s="59" t="n">
        <x:v>10</x:v>
      </x:c>
      <x:c r="G11" s="47" t="str"/>
      <x:c r="H11" s="47" t="str"/>
      <x:c r="I11" s="48" t="str"/>
      <x:c r="J11" s="48" t="str"/>
    </x:row>
    <x:row r="12">
      <x:c r="A12" s="49" t="str">
        <x:v>RUN-TRF-113-20260831T120824954412Z</x:v>
      </x:c>
      <x:c r="B12" s="49" t="str">
        <x:v>TRF-113</x:v>
      </x:c>
      <x:c r="C12" s="60" t="n">
        <x:v>4</x:v>
      </x:c>
      <x:c r="D12" s="49" t="str">
        <x:v>matcher_decision</x:v>
      </x:c>
      <x:c r="E12" s="50" t="str"/>
      <x:c r="F12" s="60" t="str"/>
      <x:c r="G12" s="87" t="b">
        <x:v>1</x:v>
      </x:c>
      <x:c r="H12" s="49" t="str">
        <x:v>bladePlasticBending</x:v>
      </x:c>
      <x:c r="I12" s="50" t="str">
        <x:v>https://w3id.org/nltl/vocab#bladePlasticBending</x:v>
      </x:c>
      <x:c r="J12" s="50" t="str">
        <x:v>Use this exact term because the validator explicitly requires nltl:bladePlasticBending as an xsd:string property on the authoritative ship owner for the blade plastic bending design claim.</x:v>
      </x:c>
    </x:row>
  </x:sheetData>
  <x:pageMargins left="0.7" right="0.7" top="0.75" bottom="0.75" header="0.3" footer="0.3"/>
  <x:tableParts count="1">
    <x:tablePart xmlns:r="http://schemas.openxmlformats.org/officeDocument/2006/relationships" r:id="Reb7b2860ff234aa2"/>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RUN-TRF-113-20260831T120824954412Z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RUN-TRF-113-20260831T120824954412Z</x:v>
      </x:c>
      <x:c r="B5" s="45" t="str">
        <x:v>TRF-113</x:v>
      </x:c>
      <x:c r="C5" s="58"/>
      <x:c r="D5" s="45" t="str">
        <x:v>initial_context_pack</x:v>
      </x:c>
      <x:c r="E5" s="46" t="str">
        <x:v>artifacts/context_pack_initial.json</x:v>
      </x:c>
      <x:c r="F5" s="45" t="str">
        <x:v>81a9e107de704d3b62f796af24ffee8f8d3e35ae3b8e930f1b8fcd639410b856</x:v>
      </x:c>
      <x:c r="G5" s="58" t="n">
        <x:v>21394</x:v>
      </x:c>
    </x:row>
    <x:row r="6">
      <x:c r="A6" s="47" t="str">
        <x:v>RUN-TRF-113-20260831T120824954412Z</x:v>
      </x:c>
      <x:c r="B6" s="47" t="str">
        <x:v>TRF-113</x:v>
      </x:c>
      <x:c r="C6" s="59"/>
      <x:c r="D6" s="47" t="str">
        <x:v>few_shot_selection</x:v>
      </x:c>
      <x:c r="E6" s="48" t="str">
        <x:v>artifacts/few_shots_selected.json</x:v>
      </x:c>
      <x:c r="F6" s="47" t="str">
        <x:v>dbe12bc9bf1a174b50cec2c7a164625d2edc3e1a15c1cd018ae8494af96d0280</x:v>
      </x:c>
      <x:c r="G6" s="59" t="n">
        <x:v>4322</x:v>
      </x:c>
    </x:row>
    <x:row r="7">
      <x:c r="A7" s="47" t="str">
        <x:v>RUN-TRF-113-20260831T120824954412Z</x:v>
      </x:c>
      <x:c r="B7" s="47" t="str">
        <x:v>TRF-113</x:v>
      </x:c>
      <x:c r="C7" s="59" t="n">
        <x:v>1</x:v>
      </x:c>
      <x:c r="D7" s="47" t="str">
        <x:v>generator_prompt</x:v>
      </x:c>
      <x:c r="E7" s="48" t="str">
        <x:v>artifacts/attempt_01/generator_prompt.txt</x:v>
      </x:c>
      <x:c r="F7" s="47" t="str">
        <x:v>6fc1da63e8e3ee90737ea5215cbb8ea6c184962ade858f70c0a54cd77bae2c36</x:v>
      </x:c>
      <x:c r="G7" s="59" t="n">
        <x:v>37234</x:v>
      </x:c>
    </x:row>
    <x:row r="8">
      <x:c r="A8" s="47" t="str">
        <x:v>RUN-TRF-113-20260831T120824954412Z</x:v>
      </x:c>
      <x:c r="B8" s="47" t="str">
        <x:v>TRF-113</x:v>
      </x:c>
      <x:c r="C8" s="59" t="n">
        <x:v>1</x:v>
      </x:c>
      <x:c r="D8" s="47" t="str">
        <x:v>generator_raw_response</x:v>
      </x:c>
      <x:c r="E8" s="48" t="str">
        <x:v>artifacts/attempt_01/generator_raw.txt</x:v>
      </x:c>
      <x:c r="F8" s="47" t="str">
        <x:v>7c885a5f3af6aff75060d5f720e3bf07b83a8791f3c6d1b9ee4b1ccff1260eb1</x:v>
      </x:c>
      <x:c r="G8" s="59" t="n">
        <x:v>2458</x:v>
      </x:c>
    </x:row>
    <x:row r="9">
      <x:c r="A9" s="47" t="str">
        <x:v>RUN-TRF-113-20260831T120824954412Z</x:v>
      </x:c>
      <x:c r="B9" s="47" t="str">
        <x:v>TRF-113</x:v>
      </x:c>
      <x:c r="C9" s="59" t="n">
        <x:v>1</x:v>
      </x:c>
      <x:c r="D9" s="47" t="str">
        <x:v>candidate_shape</x:v>
      </x:c>
      <x:c r="E9" s="48" t="str">
        <x:v>artifacts/attempt_01/candidate_shape.ttl</x:v>
      </x:c>
      <x:c r="F9" s="47" t="str">
        <x:v>59ca1802b147e87bb59a5fc0177e5e06afa6dee01601d152ffc736050f028bf6</x:v>
      </x:c>
      <x:c r="G9" s="59" t="n">
        <x:v>2433</x:v>
      </x:c>
    </x:row>
    <x:row r="10">
      <x:c r="A10" s="47" t="str">
        <x:v>RUN-TRF-113-20260831T120824954412Z</x:v>
      </x:c>
      <x:c r="B10" s="47" t="str">
        <x:v>TRF-113</x:v>
      </x:c>
      <x:c r="C10" s="59" t="n">
        <x:v>1</x:v>
      </x:c>
      <x:c r="D10" s="47" t="str">
        <x:v>deterministic_validation</x:v>
      </x:c>
      <x:c r="E10" s="48" t="str">
        <x:v>artifacts/attempt_01/deterministic_validation.json</x:v>
      </x:c>
      <x:c r="F10" s="47" t="str">
        <x:v>4a411eee9114e5a92094b07da4f8c28e6c9b8cf4acda9c9828d8208f7edae689</x:v>
      </x:c>
      <x:c r="G10" s="59" t="n">
        <x:v>1002</x:v>
      </x:c>
    </x:row>
    <x:row r="11">
      <x:c r="A11" s="47" t="str">
        <x:v>RUN-TRF-113-20260831T120824954412Z</x:v>
      </x:c>
      <x:c r="B11" s="47" t="str">
        <x:v>TRF-113</x:v>
      </x:c>
      <x:c r="C11" s="59" t="n">
        <x:v>1</x:v>
      </x:c>
      <x:c r="D11" s="47" t="str">
        <x:v>validator_prompt</x:v>
      </x:c>
      <x:c r="E11" s="48" t="str">
        <x:v>artifacts/attempt_01/validator_prompt_01.txt</x:v>
      </x:c>
      <x:c r="F11" s="47" t="str">
        <x:v>a418fc8b2309a2dc29de86342f4068cef50492cc112c1344161fe915956dba04</x:v>
      </x:c>
      <x:c r="G11" s="59" t="n">
        <x:v>35183</x:v>
      </x:c>
    </x:row>
    <x:row r="12">
      <x:c r="A12" s="47" t="str">
        <x:v>RUN-TRF-113-20260831T120824954412Z</x:v>
      </x:c>
      <x:c r="B12" s="47" t="str">
        <x:v>TRF-113</x:v>
      </x:c>
      <x:c r="C12" s="59" t="n">
        <x:v>1</x:v>
      </x:c>
      <x:c r="D12" s="47" t="str">
        <x:v>validator_raw_response</x:v>
      </x:c>
      <x:c r="E12" s="48" t="str">
        <x:v>artifacts/attempt_01/validator_raw_01.txt</x:v>
      </x:c>
      <x:c r="F12" s="47" t="str">
        <x:v>6d69e2ec23347b0d9da157e56edbb5321a17fbd75399dda38b50488db21cdf56</x:v>
      </x:c>
      <x:c r="G12" s="59" t="n">
        <x:v>955</x:v>
      </x:c>
    </x:row>
    <x:row r="13">
      <x:c r="A13" s="47" t="str">
        <x:v>RUN-TRF-113-20260831T120824954412Z</x:v>
      </x:c>
      <x:c r="B13" s="47" t="str">
        <x:v>TRF-113</x:v>
      </x:c>
      <x:c r="C13" s="59" t="n">
        <x:v>1</x:v>
      </x:c>
      <x:c r="D13" s="47" t="str">
        <x:v>matcher_candidates</x:v>
      </x:c>
      <x:c r="E13" s="48" t="str">
        <x:v>artifacts/attempt_01/matcher_candidates.json</x:v>
      </x:c>
      <x:c r="F13" s="47" t="str">
        <x:v>b4cc18bf2c2b2c175ae4eb5c5df5d9e3d06007d8560aac3d67ef5abb71532bf9</x:v>
      </x:c>
      <x:c r="G13" s="59" t="n">
        <x:v>3202</x:v>
      </x:c>
    </x:row>
    <x:row r="14">
      <x:c r="A14" s="47" t="str">
        <x:v>RUN-TRF-113-20260831T120824954412Z</x:v>
      </x:c>
      <x:c r="B14" s="47" t="str">
        <x:v>TRF-113</x:v>
      </x:c>
      <x:c r="C14" s="59" t="n">
        <x:v>1</x:v>
      </x:c>
      <x:c r="D14" s="47" t="str">
        <x:v>vocabulary_matcher_prompt</x:v>
      </x:c>
      <x:c r="E14" s="48" t="str">
        <x:v>artifacts/attempt_01/vocabulary_matcher_prompt_01.txt</x:v>
      </x:c>
      <x:c r="F14" s="47" t="str">
        <x:v>59e15536dbcfe0ac675815b7fd7a250ed053660d9e4016aa3da03e6b7894ec7c</x:v>
      </x:c>
      <x:c r="G14" s="59" t="n">
        <x:v>9166</x:v>
      </x:c>
    </x:row>
    <x:row r="15">
      <x:c r="A15" s="47" t="str">
        <x:v>RUN-TRF-113-20260831T120824954412Z</x:v>
      </x:c>
      <x:c r="B15" s="47" t="str">
        <x:v>TRF-113</x:v>
      </x:c>
      <x:c r="C15" s="59" t="n">
        <x:v>1</x:v>
      </x:c>
      <x:c r="D15" s="47" t="str">
        <x:v>vocabulary_matcher_raw_response</x:v>
      </x:c>
      <x:c r="E15" s="48" t="str">
        <x:v>artifacts/attempt_01/vocabulary_matcher_raw_01.txt</x:v>
      </x:c>
      <x:c r="F15" s="47" t="str">
        <x:v>37d6ed738be4100d4b78c31f3e95fd8bf8d278b1086fdec9150e0da75b5c5eed</x:v>
      </x:c>
      <x:c r="G15" s="59" t="n">
        <x:v>448</x:v>
      </x:c>
    </x:row>
    <x:row r="16">
      <x:c r="A16" s="47" t="str">
        <x:v>RUN-TRF-113-20260831T120824954412Z</x:v>
      </x:c>
      <x:c r="B16" s="47" t="str">
        <x:v>TRF-113</x:v>
      </x:c>
      <x:c r="C16" s="59" t="n">
        <x:v>2</x:v>
      </x:c>
      <x:c r="D16" s="47" t="str">
        <x:v>expanded_context_pack</x:v>
      </x:c>
      <x:c r="E16" s="48" t="str">
        <x:v>artifacts/attempt_02/context_pack_expanded.json</x:v>
      </x:c>
      <x:c r="F16" s="47" t="str">
        <x:v>4def6150c9630b29b1bd40807d900dd754f9a8e16ba4ea2379dd57f7920fb603</x:v>
      </x:c>
      <x:c r="G16" s="59" t="n">
        <x:v>21432</x:v>
      </x:c>
    </x:row>
    <x:row r="17">
      <x:c r="A17" s="47" t="str">
        <x:v>RUN-TRF-113-20260831T120824954412Z</x:v>
      </x:c>
      <x:c r="B17" s="47" t="str">
        <x:v>TRF-113</x:v>
      </x:c>
      <x:c r="C17" s="59" t="n">
        <x:v>2</x:v>
      </x:c>
      <x:c r="D17" s="47" t="str">
        <x:v>generator_prompt</x:v>
      </x:c>
      <x:c r="E17" s="48" t="str">
        <x:v>artifacts/attempt_02/generator_prompt.txt</x:v>
      </x:c>
      <x:c r="F17" s="47" t="str">
        <x:v>154dc01a31570086a9d53fb49cc822a21065cf179c92c43b362e771bbbf1bec6</x:v>
      </x:c>
      <x:c r="G17" s="59" t="n">
        <x:v>38553</x:v>
      </x:c>
    </x:row>
    <x:row r="18">
      <x:c r="A18" s="47" t="str">
        <x:v>RUN-TRF-113-20260831T120824954412Z</x:v>
      </x:c>
      <x:c r="B18" s="47" t="str">
        <x:v>TRF-113</x:v>
      </x:c>
      <x:c r="C18" s="59" t="n">
        <x:v>2</x:v>
      </x:c>
      <x:c r="D18" s="47" t="str">
        <x:v>generator_raw_response</x:v>
      </x:c>
      <x:c r="E18" s="48" t="str">
        <x:v>artifacts/attempt_02/generator_raw.txt</x:v>
      </x:c>
      <x:c r="F18" s="47" t="str">
        <x:v>21ff9647a60296ce871ff447bea32da66eb440289c188f7a22158c4eb4b67223</x:v>
      </x:c>
      <x:c r="G18" s="59" t="n">
        <x:v>2917</x:v>
      </x:c>
    </x:row>
    <x:row r="19">
      <x:c r="A19" s="47" t="str">
        <x:v>RUN-TRF-113-20260831T120824954412Z</x:v>
      </x:c>
      <x:c r="B19" s="47" t="str">
        <x:v>TRF-113</x:v>
      </x:c>
      <x:c r="C19" s="59" t="n">
        <x:v>2</x:v>
      </x:c>
      <x:c r="D19" s="47" t="str">
        <x:v>candidate_shape</x:v>
      </x:c>
      <x:c r="E19" s="48" t="str">
        <x:v>artifacts/attempt_02/candidate_shape.ttl</x:v>
      </x:c>
      <x:c r="F19" s="47" t="str">
        <x:v>effe3d32fafc1626994b6ce843936dbc8e89826944621334324cd82f5901b596</x:v>
      </x:c>
      <x:c r="G19" s="59" t="n">
        <x:v>2892</x:v>
      </x:c>
    </x:row>
    <x:row r="20">
      <x:c r="A20" s="47" t="str">
        <x:v>RUN-TRF-113-20260831T120824954412Z</x:v>
      </x:c>
      <x:c r="B20" s="47" t="str">
        <x:v>TRF-113</x:v>
      </x:c>
      <x:c r="C20" s="59" t="n">
        <x:v>2</x:v>
      </x:c>
      <x:c r="D20" s="47" t="str">
        <x:v>deterministic_validation</x:v>
      </x:c>
      <x:c r="E20" s="48" t="str">
        <x:v>artifacts/attempt_02/deterministic_validation.json</x:v>
      </x:c>
      <x:c r="F20" s="47" t="str">
        <x:v>208c9c27532e287f27d0125dc6eee89cd6eff6718cca9d7fc5b6a700f56ef527</x:v>
      </x:c>
      <x:c r="G20" s="59" t="n">
        <x:v>1085</x:v>
      </x:c>
    </x:row>
    <x:row r="21">
      <x:c r="A21" s="47" t="str">
        <x:v>RUN-TRF-113-20260831T120824954412Z</x:v>
      </x:c>
      <x:c r="B21" s="47" t="str">
        <x:v>TRF-113</x:v>
      </x:c>
      <x:c r="C21" s="59" t="n">
        <x:v>2</x:v>
      </x:c>
      <x:c r="D21" s="47" t="str">
        <x:v>validator_prompt</x:v>
      </x:c>
      <x:c r="E21" s="48" t="str">
        <x:v>artifacts/attempt_02/validator_prompt_01.txt</x:v>
      </x:c>
      <x:c r="F21" s="47" t="str">
        <x:v>1f54923e9e3ce79ac37dd8c9d2e608174ca36ee75a939f334ea0d6956256e75d</x:v>
      </x:c>
      <x:c r="G21" s="59" t="n">
        <x:v>37706</x:v>
      </x:c>
    </x:row>
    <x:row r="22">
      <x:c r="A22" s="47" t="str">
        <x:v>RUN-TRF-113-20260831T120824954412Z</x:v>
      </x:c>
      <x:c r="B22" s="47" t="str">
        <x:v>TRF-113</x:v>
      </x:c>
      <x:c r="C22" s="59" t="n">
        <x:v>2</x:v>
      </x:c>
      <x:c r="D22" s="47" t="str">
        <x:v>validator_raw_response</x:v>
      </x:c>
      <x:c r="E22" s="48" t="str">
        <x:v>artifacts/attempt_02/validator_raw_01.txt</x:v>
      </x:c>
      <x:c r="F22" s="47" t="str">
        <x:v>aa55ec4176543ea63d1172f437d67b30cce3b0a97cd732758306a5a00464ca9b</x:v>
      </x:c>
      <x:c r="G22" s="59" t="n">
        <x:v>1111</x:v>
      </x:c>
    </x:row>
    <x:row r="23">
      <x:c r="A23" s="47" t="str">
        <x:v>RUN-TRF-113-20260831T120824954412Z</x:v>
      </x:c>
      <x:c r="B23" s="47" t="str">
        <x:v>TRF-113</x:v>
      </x:c>
      <x:c r="C23" s="59" t="n">
        <x:v>2</x:v>
      </x:c>
      <x:c r="D23" s="47" t="str">
        <x:v>matcher_candidates</x:v>
      </x:c>
      <x:c r="E23" s="48" t="str">
        <x:v>artifacts/attempt_02/matcher_candidates.json</x:v>
      </x:c>
      <x:c r="F23" s="47" t="str">
        <x:v>a036a5fe19095f3b3d8fbb0c4a0396a3439890938f8cdb1afd970a56a0a163c0</x:v>
      </x:c>
      <x:c r="G23" s="59" t="n">
        <x:v>5093</x:v>
      </x:c>
    </x:row>
    <x:row r="24">
      <x:c r="A24" s="47" t="str">
        <x:v>RUN-TRF-113-20260831T120824954412Z</x:v>
      </x:c>
      <x:c r="B24" s="47" t="str">
        <x:v>TRF-113</x:v>
      </x:c>
      <x:c r="C24" s="59" t="n">
        <x:v>2</x:v>
      </x:c>
      <x:c r="D24" s="47" t="str">
        <x:v>vocabulary_matcher_prompt</x:v>
      </x:c>
      <x:c r="E24" s="48" t="str">
        <x:v>artifacts/attempt_02/vocabulary_matcher_prompt_01.txt</x:v>
      </x:c>
      <x:c r="F24" s="47" t="str">
        <x:v>34a45394fbf25b0ee277a31df19cba33e3032e0dea6115df6443a9687d973f90</x:v>
      </x:c>
      <x:c r="G24" s="59" t="n">
        <x:v>11333</x:v>
      </x:c>
    </x:row>
    <x:row r="25">
      <x:c r="A25" s="47" t="str">
        <x:v>RUN-TRF-113-20260831T120824954412Z</x:v>
      </x:c>
      <x:c r="B25" s="47" t="str">
        <x:v>TRF-113</x:v>
      </x:c>
      <x:c r="C25" s="59" t="n">
        <x:v>2</x:v>
      </x:c>
      <x:c r="D25" s="47" t="str">
        <x:v>vocabulary_matcher_raw_response</x:v>
      </x:c>
      <x:c r="E25" s="48" t="str">
        <x:v>artifacts/attempt_02/vocabulary_matcher_raw_01.txt</x:v>
      </x:c>
      <x:c r="F25" s="47" t="str">
        <x:v>96e4c78081395cfdc2cf84cb25b83d9186c18265a591f38b28e27b661c8e783b</x:v>
      </x:c>
      <x:c r="G25" s="59" t="n">
        <x:v>362</x:v>
      </x:c>
    </x:row>
    <x:row r="26">
      <x:c r="A26" s="47" t="str">
        <x:v>RUN-TRF-113-20260831T120824954412Z</x:v>
      </x:c>
      <x:c r="B26" s="47" t="str">
        <x:v>TRF-113</x:v>
      </x:c>
      <x:c r="C26" s="59" t="n">
        <x:v>3</x:v>
      </x:c>
      <x:c r="D26" s="47" t="str">
        <x:v>expanded_context_pack</x:v>
      </x:c>
      <x:c r="E26" s="48" t="str">
        <x:v>artifacts/attempt_03/context_pack_expanded.json</x:v>
      </x:c>
      <x:c r="F26" s="47" t="str">
        <x:v>4def6150c9630b29b1bd40807d900dd754f9a8e16ba4ea2379dd57f7920fb603</x:v>
      </x:c>
      <x:c r="G26" s="59" t="n">
        <x:v>21432</x:v>
      </x:c>
    </x:row>
    <x:row r="27">
      <x:c r="A27" s="47" t="str">
        <x:v>RUN-TRF-113-20260831T120824954412Z</x:v>
      </x:c>
      <x:c r="B27" s="47" t="str">
        <x:v>TRF-113</x:v>
      </x:c>
      <x:c r="C27" s="59" t="n">
        <x:v>3</x:v>
      </x:c>
      <x:c r="D27" s="47" t="str">
        <x:v>generator_prompt</x:v>
      </x:c>
      <x:c r="E27" s="48" t="str">
        <x:v>artifacts/attempt_03/generator_prompt.txt</x:v>
      </x:c>
      <x:c r="F27" s="47" t="str">
        <x:v>274c90f8763b5eae4f342b21764ec6aab5d2c6478067179c0098494f2cc8ea27</x:v>
      </x:c>
      <x:c r="G27" s="59" t="n">
        <x:v>39912</x:v>
      </x:c>
    </x:row>
    <x:row r="28">
      <x:c r="A28" s="47" t="str">
        <x:v>RUN-TRF-113-20260831T120824954412Z</x:v>
      </x:c>
      <x:c r="B28" s="47" t="str">
        <x:v>TRF-113</x:v>
      </x:c>
      <x:c r="C28" s="59" t="n">
        <x:v>3</x:v>
      </x:c>
      <x:c r="D28" s="47" t="str">
        <x:v>generator_raw_response</x:v>
      </x:c>
      <x:c r="E28" s="48" t="str">
        <x:v>artifacts/attempt_03/generator_raw.txt</x:v>
      </x:c>
      <x:c r="F28" s="47" t="str">
        <x:v>1ee8f620e612d5335ec886eb16b367934f50bb89d8585fbfa4cb3a0afcfa8207</x:v>
      </x:c>
      <x:c r="G28" s="59" t="n">
        <x:v>3161</x:v>
      </x:c>
    </x:row>
    <x:row r="29">
      <x:c r="A29" s="47" t="str">
        <x:v>RUN-TRF-113-20260831T120824954412Z</x:v>
      </x:c>
      <x:c r="B29" s="47" t="str">
        <x:v>TRF-113</x:v>
      </x:c>
      <x:c r="C29" s="59" t="n">
        <x:v>3</x:v>
      </x:c>
      <x:c r="D29" s="47" t="str">
        <x:v>candidate_shape</x:v>
      </x:c>
      <x:c r="E29" s="48" t="str">
        <x:v>artifacts/attempt_03/candidate_shape.ttl</x:v>
      </x:c>
      <x:c r="F29" s="47" t="str">
        <x:v>20d271bd19b1d78176b4d6de05fa8b30ad79d859aaca18ab88fdf42310925979</x:v>
      </x:c>
      <x:c r="G29" s="59" t="n">
        <x:v>3136</x:v>
      </x:c>
    </x:row>
    <x:row r="30">
      <x:c r="A30" s="47" t="str">
        <x:v>RUN-TRF-113-20260831T120824954412Z</x:v>
      </x:c>
      <x:c r="B30" s="47" t="str">
        <x:v>TRF-113</x:v>
      </x:c>
      <x:c r="C30" s="59" t="n">
        <x:v>3</x:v>
      </x:c>
      <x:c r="D30" s="47" t="str">
        <x:v>deterministic_validation</x:v>
      </x:c>
      <x:c r="E30" s="48" t="str">
        <x:v>artifacts/attempt_03/deterministic_validation.json</x:v>
      </x:c>
      <x:c r="F30" s="47" t="str">
        <x:v>83e23bd3b9f294f2b6f1b9726e36010277bacfd93220cd11f6bf341c38c4be70</x:v>
      </x:c>
      <x:c r="G30" s="59" t="n">
        <x:v>1095</x:v>
      </x:c>
    </x:row>
    <x:row r="31">
      <x:c r="A31" s="47" t="str">
        <x:v>RUN-TRF-113-20260831T120824954412Z</x:v>
      </x:c>
      <x:c r="B31" s="47" t="str">
        <x:v>TRF-113</x:v>
      </x:c>
      <x:c r="C31" s="59" t="n">
        <x:v>3</x:v>
      </x:c>
      <x:c r="D31" s="47" t="str">
        <x:v>validator_prompt</x:v>
      </x:c>
      <x:c r="E31" s="48" t="str">
        <x:v>artifacts/attempt_03/validator_prompt_01.txt</x:v>
      </x:c>
      <x:c r="F31" s="47" t="str">
        <x:v>08490ccae6bf263e926a6382ab7ffb7ccd3f8db8231f21e6670f97a1a4591b69</x:v>
      </x:c>
      <x:c r="G31" s="59" t="n">
        <x:v>39349</x:v>
      </x:c>
    </x:row>
    <x:row r="32">
      <x:c r="A32" s="47" t="str">
        <x:v>RUN-TRF-113-20260831T120824954412Z</x:v>
      </x:c>
      <x:c r="B32" s="47" t="str">
        <x:v>TRF-113</x:v>
      </x:c>
      <x:c r="C32" s="59" t="n">
        <x:v>3</x:v>
      </x:c>
      <x:c r="D32" s="47" t="str">
        <x:v>validator_raw_response</x:v>
      </x:c>
      <x:c r="E32" s="48" t="str">
        <x:v>artifacts/attempt_03/validator_raw_01.txt</x:v>
      </x:c>
      <x:c r="F32" s="47" t="str">
        <x:v>16d2387ab1cb31a0906b6d9c89a755d8c8bc5aec81ade2d5a8edd78525c2b0a8</x:v>
      </x:c>
      <x:c r="G32" s="59" t="n">
        <x:v>1309</x:v>
      </x:c>
    </x:row>
    <x:row r="33">
      <x:c r="A33" s="47" t="str">
        <x:v>RUN-TRF-113-20260831T120824954412Z</x:v>
      </x:c>
      <x:c r="B33" s="47" t="str">
        <x:v>TRF-113</x:v>
      </x:c>
      <x:c r="C33" s="59" t="n">
        <x:v>3</x:v>
      </x:c>
      <x:c r="D33" s="47" t="str">
        <x:v>matcher_candidates</x:v>
      </x:c>
      <x:c r="E33" s="48" t="str">
        <x:v>artifacts/attempt_03/matcher_candidates.json</x:v>
      </x:c>
      <x:c r="F33" s="47" t="str">
        <x:v>4aa916d7a450ab7f7ca7c46e6369021bd1939e531f4f02cf3caff2597ef2c77c</x:v>
      </x:c>
      <x:c r="G33" s="59" t="n">
        <x:v>6498</x:v>
      </x:c>
    </x:row>
    <x:row r="34">
      <x:c r="A34" s="47" t="str">
        <x:v>RUN-TRF-113-20260831T120824954412Z</x:v>
      </x:c>
      <x:c r="B34" s="47" t="str">
        <x:v>TRF-113</x:v>
      </x:c>
      <x:c r="C34" s="59" t="n">
        <x:v>3</x:v>
      </x:c>
      <x:c r="D34" s="47" t="str">
        <x:v>vocabulary_matcher_prompt</x:v>
      </x:c>
      <x:c r="E34" s="48" t="str">
        <x:v>artifacts/attempt_03/vocabulary_matcher_prompt_01.txt</x:v>
      </x:c>
      <x:c r="F34" s="47" t="str">
        <x:v>cee2fd3dcebced977331c07edc9b4ba3103551f16c2d1ab7fac14a67a5a8946e</x:v>
      </x:c>
      <x:c r="G34" s="59" t="n">
        <x:v>13019</x:v>
      </x:c>
    </x:row>
    <x:row r="35">
      <x:c r="A35" s="47" t="str">
        <x:v>RUN-TRF-113-20260831T120824954412Z</x:v>
      </x:c>
      <x:c r="B35" s="47" t="str">
        <x:v>TRF-113</x:v>
      </x:c>
      <x:c r="C35" s="59" t="n">
        <x:v>3</x:v>
      </x:c>
      <x:c r="D35" s="47" t="str">
        <x:v>vocabulary_matcher_raw_response</x:v>
      </x:c>
      <x:c r="E35" s="48" t="str">
        <x:v>artifacts/attempt_03/vocabulary_matcher_raw_01.txt</x:v>
      </x:c>
      <x:c r="F35" s="47" t="str">
        <x:v>087113e2ba4a84ee9bbe486a3761b78d235e946dd28797f2498e1e95b16161f4</x:v>
      </x:c>
      <x:c r="G35" s="59" t="n">
        <x:v>350</x:v>
      </x:c>
    </x:row>
    <x:row r="36">
      <x:c r="A36" s="47" t="str">
        <x:v>RUN-TRF-113-20260831T120824954412Z</x:v>
      </x:c>
      <x:c r="B36" s="47" t="str">
        <x:v>TRF-113</x:v>
      </x:c>
      <x:c r="C36" s="59" t="n">
        <x:v>4</x:v>
      </x:c>
      <x:c r="D36" s="47" t="str">
        <x:v>expanded_context_pack</x:v>
      </x:c>
      <x:c r="E36" s="48" t="str">
        <x:v>artifacts/attempt_04/context_pack_expanded.json</x:v>
      </x:c>
      <x:c r="F36" s="47" t="str">
        <x:v>4def6150c9630b29b1bd40807d900dd754f9a8e16ba4ea2379dd57f7920fb603</x:v>
      </x:c>
      <x:c r="G36" s="59" t="n">
        <x:v>21432</x:v>
      </x:c>
    </x:row>
    <x:row r="37">
      <x:c r="A37" s="47" t="str">
        <x:v>RUN-TRF-113-20260831T120824954412Z</x:v>
      </x:c>
      <x:c r="B37" s="47" t="str">
        <x:v>TRF-113</x:v>
      </x:c>
      <x:c r="C37" s="59" t="n">
        <x:v>4</x:v>
      </x:c>
      <x:c r="D37" s="47" t="str">
        <x:v>generator_prompt</x:v>
      </x:c>
      <x:c r="E37" s="48" t="str">
        <x:v>artifacts/attempt_04/generator_prompt.txt</x:v>
      </x:c>
      <x:c r="F37" s="47" t="str">
        <x:v>81accdb754f62fdfbfb3870802fc06304ecf87133a9ba69011e90b64939ad2c6</x:v>
      </x:c>
      <x:c r="G37" s="59" t="n">
        <x:v>41460</x:v>
      </x:c>
    </x:row>
    <x:row r="38">
      <x:c r="A38" s="47" t="str">
        <x:v>RUN-TRF-113-20260831T120824954412Z</x:v>
      </x:c>
      <x:c r="B38" s="47" t="str">
        <x:v>TRF-113</x:v>
      </x:c>
      <x:c r="C38" s="59" t="n">
        <x:v>4</x:v>
      </x:c>
      <x:c r="D38" s="47" t="str">
        <x:v>generator_raw_response</x:v>
      </x:c>
      <x:c r="E38" s="48" t="str">
        <x:v>artifacts/attempt_04/generator_raw.txt</x:v>
      </x:c>
      <x:c r="F38" s="47" t="str">
        <x:v>27cd749e633fa135f1177092c3b23201feb4ca701a18de7785d2ae261ac49320</x:v>
      </x:c>
      <x:c r="G38" s="59" t="n">
        <x:v>3243</x:v>
      </x:c>
    </x:row>
    <x:row r="39">
      <x:c r="A39" s="47" t="str">
        <x:v>RUN-TRF-113-20260831T120824954412Z</x:v>
      </x:c>
      <x:c r="B39" s="47" t="str">
        <x:v>TRF-113</x:v>
      </x:c>
      <x:c r="C39" s="59" t="n">
        <x:v>4</x:v>
      </x:c>
      <x:c r="D39" s="47" t="str">
        <x:v>candidate_shape</x:v>
      </x:c>
      <x:c r="E39" s="48" t="str">
        <x:v>artifacts/attempt_04/candidate_shape.ttl</x:v>
      </x:c>
      <x:c r="F39" s="47" t="str">
        <x:v>36ee41b0530df10f072fdf27a9e0276ecc75ca69066309c384e598324caf2bc7</x:v>
      </x:c>
      <x:c r="G39" s="59" t="n">
        <x:v>3218</x:v>
      </x:c>
    </x:row>
    <x:row r="40">
      <x:c r="A40" s="47" t="str">
        <x:v>RUN-TRF-113-20260831T120824954412Z</x:v>
      </x:c>
      <x:c r="B40" s="47" t="str">
        <x:v>TRF-113</x:v>
      </x:c>
      <x:c r="C40" s="59" t="n">
        <x:v>4</x:v>
      </x:c>
      <x:c r="D40" s="47" t="str">
        <x:v>deterministic_validation</x:v>
      </x:c>
      <x:c r="E40" s="48" t="str">
        <x:v>artifacts/attempt_04/deterministic_validation.json</x:v>
      </x:c>
      <x:c r="F40" s="47" t="str">
        <x:v>208c9c27532e287f27d0125dc6eee89cd6eff6718cca9d7fc5b6a700f56ef527</x:v>
      </x:c>
      <x:c r="G40" s="59" t="n">
        <x:v>1085</x:v>
      </x:c>
    </x:row>
    <x:row r="41">
      <x:c r="A41" s="47" t="str">
        <x:v>RUN-TRF-113-20260831T120824954412Z</x:v>
      </x:c>
      <x:c r="B41" s="47" t="str">
        <x:v>TRF-113</x:v>
      </x:c>
      <x:c r="C41" s="59" t="n">
        <x:v>4</x:v>
      </x:c>
      <x:c r="D41" s="47" t="str">
        <x:v>validator_prompt</x:v>
      </x:c>
      <x:c r="E41" s="48" t="str">
        <x:v>artifacts/attempt_04/validator_prompt_01.txt</x:v>
      </x:c>
      <x:c r="F41" s="47" t="str">
        <x:v>83055363b1448c7449d3a0f8d535a1eaa3f7fc2cdcad6bcf8bd70e45e118ec0e</x:v>
      </x:c>
      <x:c r="G41" s="59" t="n">
        <x:v>40946</x:v>
      </x:c>
    </x:row>
    <x:row r="42">
      <x:c r="A42" s="47" t="str">
        <x:v>RUN-TRF-113-20260831T120824954412Z</x:v>
      </x:c>
      <x:c r="B42" s="47" t="str">
        <x:v>TRF-113</x:v>
      </x:c>
      <x:c r="C42" s="59" t="n">
        <x:v>4</x:v>
      </x:c>
      <x:c r="D42" s="47" t="str">
        <x:v>validator_raw_response</x:v>
      </x:c>
      <x:c r="E42" s="48" t="str">
        <x:v>artifacts/attempt_04/validator_raw_01.txt</x:v>
      </x:c>
      <x:c r="F42" s="47" t="str">
        <x:v>08e6b2554e2d3df2864fc9c10044678a1143175ae00baad102c875acb3569306</x:v>
      </x:c>
      <x:c r="G42" s="59" t="n">
        <x:v>1244</x:v>
      </x:c>
    </x:row>
    <x:row r="43">
      <x:c r="A43" s="47" t="str">
        <x:v>RUN-TRF-113-20260831T120824954412Z</x:v>
      </x:c>
      <x:c r="B43" s="47" t="str">
        <x:v>TRF-113</x:v>
      </x:c>
      <x:c r="C43" s="59" t="n">
        <x:v>4</x:v>
      </x:c>
      <x:c r="D43" s="47" t="str">
        <x:v>matcher_candidates</x:v>
      </x:c>
      <x:c r="E43" s="48" t="str">
        <x:v>artifacts/attempt_04/matcher_candidates.json</x:v>
      </x:c>
      <x:c r="F43" s="47" t="str">
        <x:v>698547bb7be36da311da5564f92969d6ebe6f99c349c7e73b7933b56ce5c83d7</x:v>
      </x:c>
      <x:c r="G43" s="59" t="n">
        <x:v>6260</x:v>
      </x:c>
    </x:row>
    <x:row r="44">
      <x:c r="A44" s="47" t="str">
        <x:v>RUN-TRF-113-20260831T120824954412Z</x:v>
      </x:c>
      <x:c r="B44" s="47" t="str">
        <x:v>TRF-113</x:v>
      </x:c>
      <x:c r="C44" s="59" t="n">
        <x:v>4</x:v>
      </x:c>
      <x:c r="D44" s="47" t="str">
        <x:v>vocabulary_matcher_prompt</x:v>
      </x:c>
      <x:c r="E44" s="48" t="str">
        <x:v>artifacts/attempt_04/vocabulary_matcher_prompt_01.txt</x:v>
      </x:c>
      <x:c r="F44" s="47" t="str">
        <x:v>df61f2215ddf842a62178375dac1f7e4b355ab151dbe34538cfd27554ca4dc55</x:v>
      </x:c>
      <x:c r="G44" s="59" t="n">
        <x:v>12705</x:v>
      </x:c>
    </x:row>
    <x:row r="45">
      <x:c r="A45" s="49" t="str">
        <x:v>RUN-TRF-113-20260831T120824954412Z</x:v>
      </x:c>
      <x:c r="B45" s="49" t="str">
        <x:v>TRF-113</x:v>
      </x:c>
      <x:c r="C45" s="60" t="n">
        <x:v>4</x:v>
      </x:c>
      <x:c r="D45" s="49" t="str">
        <x:v>vocabulary_matcher_raw_response</x:v>
      </x:c>
      <x:c r="E45" s="50" t="str">
        <x:v>artifacts/attempt_04/vocabulary_matcher_raw_01.txt</x:v>
      </x:c>
      <x:c r="F45" s="49" t="str">
        <x:v>5dd5baf9729f4d8bc8bf592980b864547b6d1c8522561eba383c889cd370d728</x:v>
      </x:c>
      <x:c r="G45" s="60" t="n">
        <x:v>342</x:v>
      </x:c>
    </x:row>
  </x:sheetData>
  <x:pageMargins left="0.7" right="0.7" top="0.75" bottom="0.75" header="0.3" footer="0.3"/>
  <x:tableParts count="1">
    <x:tablePart xmlns:r="http://schemas.openxmlformats.org/officeDocument/2006/relationships" r:id="R9198785972f64cd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RUN-TRF-113-20260831T120824954412Z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RUN-TRF-113-20260831T120824954412Z</x:v>
      </x:c>
      <x:c r="B5" s="69" t="str">
        <x:v>TRF-113</x:v>
      </x:c>
      <x:c r="C5" s="71" t="n">
        <x:v>4</x:v>
      </x:c>
      <x:c r="D5" s="69" t="str">
        <x:v>MAX_ATTEMPTS_REACHED</x:v>
      </x:c>
      <x:c r="E5" s="73" t="str">
        <x:v>The graph remains semantically unfaithful despite deterministic validity. Preserve the prior repair instructions and exact canonical nltl:bladePlasticBending with xsd:string on its authoritative ship owner. The three qualified hasComponent checks only assert component-class presence and do not state that each steering mechanism, thruster fitting, and thruster body is designed to withstand blade plastic bending without damage. Likewise, ship-level bladeLossLoad and propellerBladeOrientation presence, plus the load-case boolean, do not connect blade loss and the maximum-load orientation to each studied component or its load case; the affirmative boolean must remain on its declared loadCase owner. The generic evidence link does not establish evidence for the specific design claim. Locate canonical terms and cross-owner paths for the missing withstand/design-capability, blade-loss, component/load-case, maximum-load-orientation, and claim-specific evidence relationships, then constrain them on their authoritative owners while preserving ship-to-loadCase. Activate matching because the required canonical relationship concepts/paths are absent from the scoped vocabulary.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f0576c65c6e3429d"/>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RUN-TRF-113-20260831T120824954412Z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