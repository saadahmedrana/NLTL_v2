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e4f1578897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fc3acb1a294655"/>
    <x:sheet xmlns:r="http://schemas.openxmlformats.org/officeDocument/2006/relationships" name="README" sheetId="2" r:id="Rdf471e7e3db14985"/>
    <x:sheet xmlns:r="http://schemas.openxmlformats.org/officeDocument/2006/relationships" name="REGULATION_QUEUE" sheetId="3" r:id="R71bc63799bf04807"/>
    <x:sheet xmlns:r="http://schemas.openxmlformats.org/officeDocument/2006/relationships" name="RUNS" sheetId="4" r:id="R5ec90b8735284a57"/>
    <x:sheet xmlns:r="http://schemas.openxmlformats.org/officeDocument/2006/relationships" name="ITERATIONS" sheetId="5" r:id="R10801bb6e6fe4a90"/>
    <x:sheet xmlns:r="http://schemas.openxmlformats.org/officeDocument/2006/relationships" name="API_CALLS" sheetId="6" r:id="Rc460a7cbec7c4616"/>
    <x:sheet xmlns:r="http://schemas.openxmlformats.org/officeDocument/2006/relationships" name="TERM_RETRIEVAL" sheetId="7" r:id="R8fed7d98ba604046"/>
    <x:sheet xmlns:r="http://schemas.openxmlformats.org/officeDocument/2006/relationships" name="FEW_SHOT_SELECTION" sheetId="8" r:id="Rd57a8acaebbe4b34"/>
    <x:sheet xmlns:r="http://schemas.openxmlformats.org/officeDocument/2006/relationships" name="VALIDATION" sheetId="9" r:id="R5453bb254f8e407e"/>
    <x:sheet xmlns:r="http://schemas.openxmlformats.org/officeDocument/2006/relationships" name="VOCAB_MATCHES" sheetId="10" r:id="R9ab6947d8210428e"/>
    <x:sheet xmlns:r="http://schemas.openxmlformats.org/officeDocument/2006/relationships" name="ARTIFACTS" sheetId="11" r:id="R6b60298477a840c9"/>
    <x:sheet xmlns:r="http://schemas.openxmlformats.org/officeDocument/2006/relationships" name="UNRESOLVED" sheetId="12" r:id="Rab6d19d3ebab42e1"/>
    <x:sheet xmlns:r="http://schemas.openxmlformats.org/officeDocument/2006/relationships" name="RDF_TEST_QUEUE" sheetId="13" r:id="Rfc821b11f46f46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7fcacd606945c8" /><Relationship Type="http://schemas.openxmlformats.org/officeDocument/2006/relationships/theme" Target="/xl/theme/theme1.xml" Id="Raabd3a25347d44bb" /><Relationship Type="http://schemas.microsoft.com/office/2022/11/relationships/FeaturePropertyBag" Target="/xl/featurePropertyBag/featurePropertyBag.xml" Id="R40dc81afa2be40b0" /><Relationship Type="http://schemas.openxmlformats.org/officeDocument/2006/relationships/sharedStrings" Target="/xl/sharedStrings.xml" Id="R06e7528ab6f845ce" /><Relationship Type="http://schemas.openxmlformats.org/officeDocument/2006/relationships/worksheet" Target="/xl/worksheets/sheet1.xml" Id="R3bfc3acb1a294655" /><Relationship Type="http://schemas.openxmlformats.org/officeDocument/2006/relationships/worksheet" Target="/xl/worksheets/sheet2.xml" Id="Rdf471e7e3db14985" /><Relationship Type="http://schemas.openxmlformats.org/officeDocument/2006/relationships/worksheet" Target="/xl/worksheets/sheet3.xml" Id="R71bc63799bf04807" /><Relationship Type="http://schemas.openxmlformats.org/officeDocument/2006/relationships/worksheet" Target="/xl/worksheets/sheet4.xml" Id="R5ec90b8735284a57" /><Relationship Type="http://schemas.openxmlformats.org/officeDocument/2006/relationships/worksheet" Target="/xl/worksheets/sheet5.xml" Id="R10801bb6e6fe4a90" /><Relationship Type="http://schemas.openxmlformats.org/officeDocument/2006/relationships/worksheet" Target="/xl/worksheets/sheet6.xml" Id="Rc460a7cbec7c4616" /><Relationship Type="http://schemas.openxmlformats.org/officeDocument/2006/relationships/worksheet" Target="/xl/worksheets/sheet7.xml" Id="R8fed7d98ba604046" /><Relationship Type="http://schemas.openxmlformats.org/officeDocument/2006/relationships/worksheet" Target="/xl/worksheets/sheet8.xml" Id="Rd57a8acaebbe4b34" /><Relationship Type="http://schemas.openxmlformats.org/officeDocument/2006/relationships/worksheet" Target="/xl/worksheets/sheet9.xml" Id="R5453bb254f8e407e" /><Relationship Type="http://schemas.openxmlformats.org/officeDocument/2006/relationships/worksheet" Target="/xl/worksheets/sheet10.xml" Id="R9ab6947d8210428e" /><Relationship Type="http://schemas.openxmlformats.org/officeDocument/2006/relationships/worksheet" Target="/xl/worksheets/sheet11.xml" Id="R6b60298477a840c9" /><Relationship Type="http://schemas.openxmlformats.org/officeDocument/2006/relationships/worksheet" Target="/xl/worksheets/sheet12.xml" Id="Rab6d19d3ebab42e1" /><Relationship Type="http://schemas.openxmlformats.org/officeDocument/2006/relationships/worksheet" Target="/xl/worksheets/sheet13.xml" Id="Rfc821b11f46f46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7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10_ARTIFACTS" displayName="T10_ARTIFACTS" ref="A4:G1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afabdd5c3e4b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30451303b14b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38a3bf491c40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d8230d85e9d42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10c4ba3a64145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9dd7a1e4df049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ee3b767bb6f24c5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8.xml" Id="R43040dbf13b0435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RUN-IMO26-014-20260915T084858534866Z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COUNTA('API_CALLS'!$A$5:$A$7)</x:f>
        <x:v>3</x:v>
      </x:c>
      <x:c r="C9" s="21"/>
      <x:c r="D9" s="21"/>
    </x:row>
    <x:row r="10">
      <x:c r="A10" s="27" t="str">
        <x:v>Mean API/LLM elapsed ms</x:v>
      </x:c>
      <x:c r="B10" s="28" t="n">
        <x:f>IFERROR(AVERAGE('API_CALLS'!$K$5:$K$7),0)</x:f>
        <x:v>5.258333333333333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RUN-IMO26-014-20260915T084858534866Z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3afabdd5c3e4bd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13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RUN-IMO26-014-20260915T084858534866Z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INTERRUPTED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30451303b14b5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1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RUN-IMO26-014-20260915T084858534866Z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SESSION-20260915T084858534749Z</x:v>
      </x:c>
      <x:c r="B5" s="69" t="str">
        <x:v>RUN-IMO26-014-20260915T084858534866Z</x:v>
      </x:c>
      <x:c r="C5" s="69" t="str">
        <x:v>IMO26-014</x:v>
      </x:c>
      <x:c r="D5" s="70" t="n">
        <x:v>46280.36734415509</x:v>
      </x:c>
      <x:c r="E5" s="70" t="n">
        <x:v>46280.36773814815</x:v>
      </x:c>
      <x:c r="F5" s="69" t="str">
        <x:v>full-repair-v2-live-smoke</x:v>
      </x:c>
      <x:c r="G5" s="69" t="str">
        <x:v>VOCAB-LOCK-2026-08-22-R13</x:v>
      </x:c>
      <x:c r="H5" s="71" t="n">
        <x:v>1</x:v>
      </x:c>
      <x:c r="I5" s="69" t="str">
        <x:v>INTERRUPTED</x:v>
      </x:c>
      <x:c r="J5" s="72" t="b">
        <x:v>0</x:v>
      </x:c>
      <x:c r="K5" s="69" t="str"/>
      <x:c r="L5" s="73" t="str">
        <x:v>Run interrupted; completed artifacts are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38a3bf491c401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RUN-IMO26-014-20260915T084858534866Z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5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13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RUN-IMO26-014-20260915T084858534866Z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RUN-IMO26-014-20260915T084858534866Z</x:v>
      </x:c>
      <x:c r="C5" s="45" t="str">
        <x:v>IMO26-014</x:v>
      </x:c>
      <x:c r="D5" s="88" t="n">
        <x:v>46280.36734423611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str">
        <x:v>NETWORK_ERROR</x:v>
      </x:c>
      <x:c r="I5" s="45" t="str">
        <x:v>Ocp-Apim-Subscription-Key</x:v>
      </x:c>
      <x:c r="J5" s="89" t="n">
        <x:v>0</x:v>
      </x:c>
      <x:c r="K5" s="89" t="n">
        <x:v>5.775</x:v>
      </x:c>
      <x:c r="L5" s="90" t="b">
        <x:v>1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RUN-IMO26-014-20260915T084858534866Z</x:v>
      </x:c>
      <x:c r="C6" s="47" t="str">
        <x:v>IMO26-014</x:v>
      </x:c>
      <x:c r="D6" s="91" t="n">
        <x:v>46280.36740523148</x:v>
      </x:c>
      <x:c r="E6" s="47" t="str">
        <x:v>generator</x:v>
      </x:c>
      <x:c r="F6" s="47" t="str">
        <x:v>gpt-5.6-luna-2026-07-09</x:v>
      </x:c>
      <x:c r="G6" s="47" t="n">
        <x:v>2</x:v>
      </x:c>
      <x:c r="H6" s="47" t="str">
        <x:v>NETWORK_ERROR</x:v>
      </x:c>
      <x:c r="I6" s="47" t="str">
        <x:v>Ocp-Apim-Subscription-Key</x:v>
      </x:c>
      <x:c r="J6" s="92" t="n">
        <x:v>0</x:v>
      </x:c>
      <x:c r="K6" s="92" t="n">
        <x:v>5.783</x:v>
      </x:c>
      <x:c r="L6" s="93" t="b">
        <x:v>1</x:v>
      </x:c>
      <x:c r="M6" s="47" t="str"/>
      <x:c r="N6" s="59" t="str"/>
      <x:c r="O6" s="59" t="str"/>
      <x:c r="P6" s="59" t="str"/>
    </x:row>
    <x:row r="7">
      <x:c r="A7" s="49" t="str">
        <x:v>EVT-000018</x:v>
      </x:c>
      <x:c r="B7" s="49" t="str">
        <x:v>RUN-IMO26-014-20260915T084858534866Z</x:v>
      </x:c>
      <x:c r="C7" s="49" t="str">
        <x:v>IMO26-014</x:v>
      </x:c>
      <x:c r="D7" s="94" t="n">
        <x:v>46280.3675224537</x:v>
      </x:c>
      <x:c r="E7" s="49" t="str">
        <x:v>generator</x:v>
      </x:c>
      <x:c r="F7" s="49" t="str">
        <x:v>gpt-5.6-luna-2026-07-09</x:v>
      </x:c>
      <x:c r="G7" s="49" t="n">
        <x:v>3</x:v>
      </x:c>
      <x:c r="H7" s="49" t="str">
        <x:v>NETWORK_ERROR</x:v>
      </x:c>
      <x:c r="I7" s="49" t="str">
        <x:v>Ocp-Apim-Subscription-Key</x:v>
      </x:c>
      <x:c r="J7" s="95" t="n">
        <x:v>0</x:v>
      </x:c>
      <x:c r="K7" s="95" t="n">
        <x:v>4.217</x:v>
      </x:c>
      <x:c r="L7" s="96" t="b">
        <x:v>1</x:v>
      </x:c>
      <x:c r="M7" s="49" t="str"/>
      <x:c r="N7" s="60" t="str"/>
      <x:c r="O7" s="60" t="str"/>
      <x:c r="P7" s="60" t="str"/>
    </x:row>
  </x:sheetData>
  <x:conditionalFormatting sqref="H5:H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8230d85e9d42e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RUN-IMO26-014-20260915T084858534866Z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RUN-IMO26-014-20260915T084858534866Z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RUN-IMO26-014-20260915T084858534866Z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RUN-IMO26-014-20260915T084858534866Z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RUN-IMO26-014-20260915T084858534866Z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10c4ba3a641452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RUN-IMO26-014-20260915T084858534866Z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RUN-IMO26-014-20260915T084858534866Z</x:v>
      </x:c>
      <x:c r="B5" s="45" t="str">
        <x:v>IMO26-014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RUN-IMO26-014-20260915T084858534866Z</x:v>
      </x:c>
      <x:c r="B6" s="49" t="str">
        <x:v>IMO26-014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dd7a1e4df0497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RUN-IMO26-014-20260915T084858534866Z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  <x:c r="K5" s="21"/>
      <x:c r="L5" s="21"/>
      <x:c r="M5" s="21"/>
      <x:c r="N5" s="21"/>
      <x:c r="O5" s="21"/>
      <x:c r="P5" s="21"/>
      <x:c r="Q5" s="2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RUN-IMO26-014-20260915T084858534866Z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RUN-IMO26-014-20260915T084858534866Z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RUN-IMO26-014-20260915T084858534866Z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c40a1ad5ee8b0d1a2d81b9f818de666632ed7e4a257681440da1c5dd29b52cae</x:v>
      </x:c>
      <x:c r="G5" s="58" t="n">
        <x:v>7740</x:v>
      </x:c>
    </x:row>
    <x:row r="6">
      <x:c r="A6" s="47" t="str">
        <x:v>RUN-IMO26-014-20260915T084858534866Z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RUN-IMO26-014-20260915T084858534866Z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f2a5e27eb8cad09e70830390e9648ff8ff3680fa857690e8222148e3f6e50d08</x:v>
      </x:c>
      <x:c r="G7" s="59" t="n">
        <x:v>22364</x:v>
      </x:c>
    </x:row>
    <x:row r="8">
      <x:c r="A8" s="47" t="str">
        <x:v>RUN-IMO26-014-20260915T084858534866Z</x:v>
      </x:c>
      <x:c r="B8" s="47" t="str">
        <x:v>IMO26-014</x:v>
      </x:c>
      <x:c r="C8" s="59" t="n">
        <x:v>1</x:v>
      </x:c>
      <x:c r="D8" s="47" t="str">
        <x:v>structured_current_issues</x:v>
      </x:c>
      <x:c r="E8" s="48" t="str">
        <x:v>artifacts/attempt_01/structured_current_issues.json</x:v>
      </x:c>
      <x:c r="F8" s="47" t="str">
        <x:v>37517e5f3dc66819f61f5a7bb8ace1921282415f10551d2defa5c3eb0985b570</x:v>
      </x:c>
      <x:c r="G8" s="59" t="n">
        <x:v>3</x:v>
      </x:c>
    </x:row>
    <x:row r="9">
      <x:c r="A9" s="47" t="str">
        <x:v>RUN-IMO26-014-20260915T084858534866Z</x:v>
      </x:c>
      <x:c r="B9" s="47" t="str">
        <x:v>IMO26-014</x:v>
      </x:c>
      <x:c r="C9" s="59" t="n">
        <x:v>1</x:v>
      </x:c>
      <x:c r="D9" s="47" t="str">
        <x:v>past_mistakes_to_avoid</x:v>
      </x:c>
      <x:c r="E9" s="48" t="str">
        <x:v>artifacts/attempt_01/past_mistakes_to_avoid.json</x:v>
      </x:c>
      <x:c r="F9" s="47" t="str">
        <x:v>37517e5f3dc66819f61f5a7bb8ace1921282415f10551d2defa5c3eb0985b570</x:v>
      </x:c>
      <x:c r="G9" s="59" t="n">
        <x:v>3</x:v>
      </x:c>
    </x:row>
    <x:row r="10">
      <x:c r="A10" s="47" t="str">
        <x:v>RUN-IMO26-014-20260915T084858534866Z</x:v>
      </x:c>
      <x:c r="B10" s="47" t="str">
        <x:v>IMO26-014</x:v>
      </x:c>
      <x:c r="C10" s="59" t="n">
        <x:v>1</x:v>
      </x:c>
      <x:c r="D10" s="47" t="str">
        <x:v>attempt_metadata</x:v>
      </x:c>
      <x:c r="E10" s="48" t="str">
        <x:v>artifacts/attempt_01/attempt_metadata.json</x:v>
      </x:c>
      <x:c r="F10" s="47" t="str">
        <x:v>933735e7764b9329f90f19db1a7661627b2454b179713ab4cff5ce203b7473bb</x:v>
      </x:c>
      <x:c r="G10" s="59" t="n">
        <x:v>860</x:v>
      </x:c>
    </x:row>
    <x:row r="11">
      <x:c r="A11" s="49" t="str">
        <x:v>RUN-IMO26-014-20260915T084858534866Z</x:v>
      </x:c>
      <x:c r="B11" s="49" t="str">
        <x:v>IMO26-014</x:v>
      </x:c>
      <x:c r="C11" s="60"/>
      <x:c r="D11" s="49" t="str">
        <x:v>last_candidate_metadata</x:v>
      </x:c>
      <x:c r="E11" s="50" t="str">
        <x:v>diagnostics/last_candidate_metadata.json</x:v>
      </x:c>
      <x:c r="F11" s="49" t="str">
        <x:v>76c85b953ee95883d311b40046018667846749210221cbe8a9add3884fcf797a</x:v>
      </x:c>
      <x:c r="G11" s="60" t="n">
        <x:v>378</x:v>
      </x:c>
    </x:row>
  </x:sheetData>
  <x:pageMargins left="0.7" right="0.7" top="0.75" bottom="0.75" header="0.3" footer="0.3"/>
  <x:tableParts count="1">
    <x:tablePart xmlns:r="http://schemas.openxmlformats.org/officeDocument/2006/relationships" r:id="Ree3b767bb6f24c5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RUN-IMO26-014-20260915T084858534866Z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RUN-IMO26-014-20260915T084858534866Z</x:v>
      </x:c>
      <x:c r="B5" s="69" t="str">
        <x:v>IMO26-014</x:v>
      </x:c>
      <x:c r="C5" s="71" t="n">
        <x:v>1</x:v>
      </x:c>
      <x:c r="D5" s="69" t="str">
        <x:v>INTERRUPTED</x:v>
      </x:c>
      <x:c r="E5" s="73" t="str">
        <x:v>Run interrupted; completed artifacts are preserved.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040dbf13b0435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RUN-IMO26-014-20260915T084858534866Z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