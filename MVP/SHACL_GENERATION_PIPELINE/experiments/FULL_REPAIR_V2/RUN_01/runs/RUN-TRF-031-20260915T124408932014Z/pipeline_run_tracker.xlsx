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0d9b6c9c44a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e402f1476c34059"/>
    <x:sheet xmlns:r="http://schemas.openxmlformats.org/officeDocument/2006/relationships" name="README" sheetId="2" r:id="Rfb3b0bbce1454284"/>
    <x:sheet xmlns:r="http://schemas.openxmlformats.org/officeDocument/2006/relationships" name="REGULATION_QUEUE" sheetId="3" r:id="Rc2cab295de034771"/>
    <x:sheet xmlns:r="http://schemas.openxmlformats.org/officeDocument/2006/relationships" name="RUNS" sheetId="4" r:id="Rffe639b5942d4de7"/>
    <x:sheet xmlns:r="http://schemas.openxmlformats.org/officeDocument/2006/relationships" name="ITERATIONS" sheetId="5" r:id="Rb8645e2427fc445c"/>
    <x:sheet xmlns:r="http://schemas.openxmlformats.org/officeDocument/2006/relationships" name="API_CALLS" sheetId="6" r:id="R2675ccf60bc7494a"/>
    <x:sheet xmlns:r="http://schemas.openxmlformats.org/officeDocument/2006/relationships" name="TERM_RETRIEVAL" sheetId="7" r:id="Rfa5191136e96483e"/>
    <x:sheet xmlns:r="http://schemas.openxmlformats.org/officeDocument/2006/relationships" name="FEW_SHOT_SELECTION" sheetId="8" r:id="R3aec17e4d715402a"/>
    <x:sheet xmlns:r="http://schemas.openxmlformats.org/officeDocument/2006/relationships" name="VALIDATION" sheetId="9" r:id="R9b3635901404443b"/>
    <x:sheet xmlns:r="http://schemas.openxmlformats.org/officeDocument/2006/relationships" name="VOCAB_MATCHES" sheetId="10" r:id="R7a94bd30cd684271"/>
    <x:sheet xmlns:r="http://schemas.openxmlformats.org/officeDocument/2006/relationships" name="ARTIFACTS" sheetId="11" r:id="R9271a028763c4888"/>
    <x:sheet xmlns:r="http://schemas.openxmlformats.org/officeDocument/2006/relationships" name="UNRESOLVED" sheetId="12" r:id="R928b681df36649f8"/>
    <x:sheet xmlns:r="http://schemas.openxmlformats.org/officeDocument/2006/relationships" name="RDF_TEST_QUEUE" sheetId="13" r:id="R434c8aa41963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14c741b0bd46a7" /><Relationship Type="http://schemas.openxmlformats.org/officeDocument/2006/relationships/theme" Target="/xl/theme/theme1.xml" Id="R890eb57ddf1240e4" /><Relationship Type="http://schemas.microsoft.com/office/2022/11/relationships/FeaturePropertyBag" Target="/xl/featurePropertyBag/featurePropertyBag.xml" Id="Ra77659bfcf7b41db" /><Relationship Type="http://schemas.openxmlformats.org/officeDocument/2006/relationships/sharedStrings" Target="/xl/sharedStrings.xml" Id="R1e97acdee16945fa" /><Relationship Type="http://schemas.openxmlformats.org/officeDocument/2006/relationships/worksheet" Target="/xl/worksheets/sheet1.xml" Id="R6e402f1476c34059" /><Relationship Type="http://schemas.openxmlformats.org/officeDocument/2006/relationships/worksheet" Target="/xl/worksheets/sheet2.xml" Id="Rfb3b0bbce1454284" /><Relationship Type="http://schemas.openxmlformats.org/officeDocument/2006/relationships/worksheet" Target="/xl/worksheets/sheet3.xml" Id="Rc2cab295de034771" /><Relationship Type="http://schemas.openxmlformats.org/officeDocument/2006/relationships/worksheet" Target="/xl/worksheets/sheet4.xml" Id="Rffe639b5942d4de7" /><Relationship Type="http://schemas.openxmlformats.org/officeDocument/2006/relationships/worksheet" Target="/xl/worksheets/sheet5.xml" Id="Rb8645e2427fc445c" /><Relationship Type="http://schemas.openxmlformats.org/officeDocument/2006/relationships/worksheet" Target="/xl/worksheets/sheet6.xml" Id="R2675ccf60bc7494a" /><Relationship Type="http://schemas.openxmlformats.org/officeDocument/2006/relationships/worksheet" Target="/xl/worksheets/sheet7.xml" Id="Rfa5191136e96483e" /><Relationship Type="http://schemas.openxmlformats.org/officeDocument/2006/relationships/worksheet" Target="/xl/worksheets/sheet8.xml" Id="R3aec17e4d715402a" /><Relationship Type="http://schemas.openxmlformats.org/officeDocument/2006/relationships/worksheet" Target="/xl/worksheets/sheet9.xml" Id="R9b3635901404443b" /><Relationship Type="http://schemas.openxmlformats.org/officeDocument/2006/relationships/worksheet" Target="/xl/worksheets/sheet10.xml" Id="R7a94bd30cd684271" /><Relationship Type="http://schemas.openxmlformats.org/officeDocument/2006/relationships/worksheet" Target="/xl/worksheets/sheet11.xml" Id="R9271a028763c4888" /><Relationship Type="http://schemas.openxmlformats.org/officeDocument/2006/relationships/worksheet" Target="/xl/worksheets/sheet12.xml" Id="R928b681df36649f8" /><Relationship Type="http://schemas.openxmlformats.org/officeDocument/2006/relationships/worksheet" Target="/xl/worksheets/sheet13.xml" Id="R434c8aa4196347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46743c8bbd743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c699a051cd24d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a32dabc11a645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14d97533cf4dd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1452db19e3d45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49da0acdee3436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a9638f8e24471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6026f14099848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21721e7dea4e4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bcba3e52ec44ee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RUN-TRF-031-20260915T124408932014Z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21122.9605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RUN-TRF-031-20260915T124408932014Z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46743c8bbd7435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GENERATION_ACCEPTED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99a051cd24d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RUN-TRF-031-20260915T124408932014Z</x:v>
      </x:c>
      <x:c r="C5" s="69" t="str">
        <x:v>TRF-031</x:v>
      </x:c>
      <x:c r="D5" s="70" t="n">
        <x:v>46280.53065893518</x:v>
      </x:c>
      <x:c r="E5" s="70" t="n">
        <x:v>46280.53115042824</x:v>
      </x:c>
      <x:c r="F5" s="69" t="str">
        <x:v>full-repair-v2-run01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32dabc11a645ab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RUN-TRF-031-20260915T124408932014Z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concrete blocking defect detected in the current candidate.</x:v>
      </x:c>
      <x:c r="I5" s="75" t="n">
        <x:v>21657.405</x:v>
      </x:c>
      <x:c r="J5" s="75" t="n">
        <x:v>20590.79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14d97533cf4dd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RUN-TRF-031-20260915T124408932014Z</x:v>
      </x:c>
      <x:c r="C5" s="45" t="str">
        <x:v>TRF-031</x:v>
      </x:c>
      <x:c r="D5" s="88" t="n">
        <x:v>46280.530909594905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21655.36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RUN-TRF-031-20260915T124408932014Z</x:v>
      </x:c>
      <x:c r="C6" s="47" t="str">
        <x:v>TRF-031</x:v>
      </x:c>
      <x:c r="D6" s="91" t="n">
        <x:v>46280.53090961806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21657.405</x:v>
      </x:c>
      <x:c r="L6" s="93" t="b">
        <x:v>0</x:v>
      </x:c>
      <x:c r="M6" s="47" t="str">
        <x:v>resp_01f71a1a125ea096006aa93d99091c8194a42d5f2e89b23230</x:v>
      </x:c>
      <x:c r="N6" s="59" t="n">
        <x:v>7219</x:v>
      </x:c>
      <x:c r="O6" s="59" t="n">
        <x:v>2388</x:v>
      </x:c>
      <x:c r="P6" s="59" t="n">
        <x:v>9607</x:v>
      </x:c>
    </x:row>
    <x:row r="7">
      <x:c r="A7" s="47" t="str">
        <x:v>EVT-000026</x:v>
      </x:c>
      <x:c r="B7" s="47" t="str">
        <x:v>RUN-TRF-031-20260915T124408932014Z</x:v>
      </x:c>
      <x:c r="C7" s="47" t="str">
        <x:v>TRF-031</x:v>
      </x:c>
      <x:c r="D7" s="91" t="n">
        <x:v>46280.5311503125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20588.287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RUN-TRF-031-20260915T124408932014Z</x:v>
      </x:c>
      <x:c r="C8" s="49" t="str">
        <x:v>TRF-031</x:v>
      </x:c>
      <x:c r="D8" s="94" t="n">
        <x:v>46280.531150347226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20590.79</x:v>
      </x:c>
      <x:c r="L8" s="96" t="b">
        <x:v>0</x:v>
      </x:c>
      <x:c r="M8" s="49" t="str">
        <x:v>resp_04121c79229a6644006aa93daee86081968f74971cd7803538</x:v>
      </x:c>
      <x:c r="N8" s="60" t="n">
        <x:v>6400</x:v>
      </x:c>
      <x:c r="O8" s="60" t="n">
        <x:v>1574</x:v>
      </x:c>
      <x:c r="P8" s="60" t="n">
        <x:v>7974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452db19e3d455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RUN-TRF-031-20260915T124408932014Z</x:v>
      </x:c>
      <x:c r="B5" s="45" t="str">
        <x:v>TRF-031</x:v>
      </x:c>
      <x:c r="C5" s="45" t="str">
        <x:v>allowableShearStress</x:v>
      </x:c>
      <x:c r="D5" s="46" t="str">
        <x:v>https://w3id.org/nltl/vocab#allowableShearStress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RUN-TRF-031-20260915T124408932014Z</x:v>
      </x:c>
      <x:c r="B6" s="47" t="str">
        <x:v>TRF-031</x:v>
      </x:c>
      <x:c r="C6" s="47" t="str">
        <x:v>beamTheoryUsed</x:v>
      </x:c>
      <x:c r="D6" s="48" t="str">
        <x:v>https://w3id.org/nltl/vocab#beamTheoryUsed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RUN-TRF-031-20260915T124408932014Z</x:v>
      </x:c>
      <x:c r="B7" s="47" t="str">
        <x:v>TRF-031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allowableShearStress; domain dependency of beamTheoryUsed; domain dependency of combinedBendingShearStress; domain dependency of vonMisesYieldCriterion; domain dependency of yieldPoint; domain dependency of yieldShearStress</x:v>
      </x:c>
      <x:c r="J7" s="47" t="n">
        <x:v>0</x:v>
      </x:c>
    </x:row>
    <x:row r="8">
      <x:c r="A8" s="47" t="str">
        <x:v>RUN-TRF-031-20260915T124408932014Z</x:v>
      </x:c>
      <x:c r="B8" s="47" t="str">
        <x:v>TRF-031</x:v>
      </x:c>
      <x:c r="C8" s="47" t="str">
        <x:v>combinedBendingShearStress</x:v>
      </x:c>
      <x:c r="D8" s="48" t="str">
        <x:v>https://w3id.org/nltl/vocab#combinedBendingShearStress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http://qudt.org/vocab/unit/MegaPA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RUN-TRF-031-20260915T124408932014Z</x:v>
      </x:c>
      <x:c r="B9" s="47" t="str">
        <x:v>TRF-031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RUN-TRF-031-20260915T124408932014Z</x:v>
      </x:c>
      <x:c r="B10" s="47" t="str">
        <x:v>TRF-031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</x:v>
      </x:c>
      <x:c r="J10" s="47" t="n">
        <x:v>0</x:v>
      </x:c>
    </x:row>
    <x:row r="11">
      <x:c r="A11" s="47" t="str">
        <x:v>RUN-TRF-031-20260915T124408932014Z</x:v>
      </x:c>
      <x:c r="B11" s="47" t="str">
        <x:v>TRF-031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RUN-TRF-031-20260915T124408932014Z</x:v>
      </x:c>
      <x:c r="B12" s="47" t="str">
        <x:v>TRF-031</x:v>
      </x:c>
      <x:c r="C12" s="47" t="str">
        <x:v>vonMisesYieldCriterion</x:v>
      </x:c>
      <x:c r="D12" s="48" t="str">
        <x:v>https://w3id.org/nltl/vocab#vonMisesYieldCriterion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RUN-TRF-031-20260915T124408932014Z</x:v>
      </x:c>
      <x:c r="B13" s="47" t="str">
        <x:v>TRF-031</x:v>
      </x:c>
      <x:c r="C13" s="47" t="str">
        <x:v>yieldPoint</x:v>
      </x:c>
      <x:c r="D13" s="48" t="str">
        <x:v>https://w3id.org/nltl/vocab#yieldPoint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http://qudt.org/vocab/unit/MegaPA</x:v>
      </x:c>
      <x:c r="I13" s="48" t="str">
        <x:v>linked by the locked 313-requirement index</x:v>
      </x:c>
      <x:c r="J13" s="47" t="n">
        <x:v>0</x:v>
      </x:c>
    </x:row>
    <x:row r="14">
      <x:c r="A14" s="49" t="str">
        <x:v>RUN-TRF-031-20260915T124408932014Z</x:v>
      </x:c>
      <x:c r="B14" s="49" t="str">
        <x:v>TRF-031</x:v>
      </x:c>
      <x:c r="C14" s="49" t="str">
        <x:v>yieldShearStress</x:v>
      </x:c>
      <x:c r="D14" s="50" t="str">
        <x:v>https://w3id.org/nltl/vocab#yieldShearStress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http://qudt.org/vocab/unit/MegaPA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49da0acdee3436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RUN-TRF-031-20260915T124408932014Z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RUN-TRF-031-20260915T124408932014Z</x:v>
      </x:c>
      <x:c r="B5" s="45" t="str">
        <x:v>TRF-031</x:v>
      </x:c>
      <x:c r="C5" s="45" t="str">
        <x:v>FS-CALC-02</x:v>
      </x:c>
      <x:c r="D5" s="45" t="str">
        <x:v>comparison_calculation</x:v>
      </x:c>
      <x:c r="E5" s="99" t="n">
        <x:v>0.070175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RUN-TRF-031-20260915T124408932014Z</x:v>
      </x:c>
      <x:c r="B6" s="49" t="str">
        <x:v>TRF-031</x:v>
      </x:c>
      <x:c r="C6" s="49" t="str">
        <x:v>FS-BOOL-01</x:v>
      </x:c>
      <x:c r="D6" s="49" t="str">
        <x:v>boolean_state</x:v>
      </x:c>
      <x:c r="E6" s="100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9638f8e244718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RUN-TRF-031-20260915T124408932014Z</x:v>
      </x:c>
      <x:c r="B5" s="69" t="str">
        <x:v>TRF-031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https://w3id.org/nltl/vocab#allowableShearStress | https://w3id.org/nltl/vocab#beamTheoryUsed | https://w3id.org/nltl/vocab#combinedBendingShearStress | https://w3id.org/nltl/vocab#ship | https://w3id.org/nltl/vocab#yieldPoint | https://w3id.org/nltl/vocab#yieldShearStress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6026f140998484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RUN-TRF-031-20260915T124408932014Z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RUN-TRF-031-20260915T124408932014Z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RUN-TRF-031-20260915T124408932014Z</x:v>
      </x:c>
      <x:c r="B5" s="45" t="str">
        <x:v>TRF-031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df327c10fa1adf56332feb24337160ab5e42ac58ee65ee9b61797c3e5f790997</x:v>
      </x:c>
      <x:c r="G5" s="58" t="n">
        <x:v>14426</x:v>
      </x:c>
    </x:row>
    <x:row r="6">
      <x:c r="A6" s="47" t="str">
        <x:v>RUN-TRF-031-20260915T124408932014Z</x:v>
      </x:c>
      <x:c r="B6" s="47" t="str">
        <x:v>TRF-031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71a13ef3c68d4d68a1c3422a5a790739d0eafcdbb3afdc8654f9beb7538d7a28</x:v>
      </x:c>
      <x:c r="G6" s="59" t="n">
        <x:v>4749</x:v>
      </x:c>
    </x:row>
    <x:row r="7">
      <x:c r="A7" s="47" t="str">
        <x:v>RUN-TRF-031-20260915T124408932014Z</x:v>
      </x:c>
      <x:c r="B7" s="47" t="str">
        <x:v>TRF-031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7a7188d687d6d0d43a1264276a7110234976103a1bfe6f54a8c55bbca5f99659</x:v>
      </x:c>
      <x:c r="G7" s="59" t="n">
        <x:v>30729</x:v>
      </x:c>
    </x:row>
    <x:row r="8">
      <x:c r="A8" s="47" t="str">
        <x:v>RUN-TRF-031-20260915T124408932014Z</x:v>
      </x:c>
      <x:c r="B8" s="47" t="str">
        <x:v>TRF-031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a3486c973c6139b9ef2825d19820da59cfa7e64fa6361a2ffd760428937e2bf1</x:v>
      </x:c>
      <x:c r="G8" s="59" t="n">
        <x:v>5745</x:v>
      </x:c>
    </x:row>
    <x:row r="9">
      <x:c r="A9" s="47" t="str">
        <x:v>RUN-TRF-031-20260915T124408932014Z</x:v>
      </x:c>
      <x:c r="B9" s="47" t="str">
        <x:v>TRF-031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33c96b47aac3e18acc885d1457be94804aee136fefc18a7e0751c52027333051</x:v>
      </x:c>
      <x:c r="G9" s="59" t="n">
        <x:v>5720</x:v>
      </x:c>
    </x:row>
    <x:row r="10">
      <x:c r="A10" s="47" t="str">
        <x:v>RUN-TRF-031-20260915T124408932014Z</x:v>
      </x:c>
      <x:c r="B10" s="47" t="str">
        <x:v>TRF-031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965e12dac91b59d21cd918752fa4372d5a655a675befd6979064112a2ec49aad</x:v>
      </x:c>
      <x:c r="G10" s="59" t="n">
        <x:v>695</x:v>
      </x:c>
    </x:row>
    <x:row r="11">
      <x:c r="A11" s="47" t="str">
        <x:v>RUN-TRF-031-20260915T124408932014Z</x:v>
      </x:c>
      <x:c r="B11" s="47" t="str">
        <x:v>TRF-031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162b4ec5d5d95c3e88436f83a5cfd28341cdbbd23794bd117d3ffaff28885c22</x:v>
      </x:c>
      <x:c r="G11" s="59" t="n">
        <x:v>25436</x:v>
      </x:c>
    </x:row>
    <x:row r="12">
      <x:c r="A12" s="47" t="str">
        <x:v>RUN-TRF-031-20260915T124408932014Z</x:v>
      </x:c>
      <x:c r="B12" s="47" t="str">
        <x:v>TRF-031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e8082ffa031d150609705a932c42f94ce8b7d63c736981cdf71150d09177b831</x:v>
      </x:c>
      <x:c r="G12" s="59" t="n">
        <x:v>68</x:v>
      </x:c>
    </x:row>
    <x:row r="13">
      <x:c r="A13" s="47" t="str">
        <x:v>RUN-TRF-031-20260915T124408932014Z</x:v>
      </x:c>
      <x:c r="B13" s="47" t="str">
        <x:v>TRF-031</x:v>
      </x:c>
      <x:c r="C13" s="59" t="n">
        <x:v>1</x:v>
      </x:c>
      <x:c r="D13" s="47" t="str">
        <x:v>final_accepted_shape</x:v>
      </x:c>
      <x:c r="E13" s="48" t="str">
        <x:v>final/final_shape.ttl</x:v>
      </x:c>
      <x:c r="F13" s="47" t="str">
        <x:v>33c96b47aac3e18acc885d1457be94804aee136fefc18a7e0751c52027333051</x:v>
      </x:c>
      <x:c r="G13" s="59" t="n">
        <x:v>5720</x:v>
      </x:c>
    </x:row>
    <x:row r="14">
      <x:c r="A14" s="47" t="str">
        <x:v>RUN-TRF-031-20260915T124408932014Z</x:v>
      </x:c>
      <x:c r="B14" s="47" t="str">
        <x:v>TRF-031</x:v>
      </x:c>
      <x:c r="C14" s="59" t="n">
        <x:v>1</x:v>
      </x:c>
      <x:c r="D14" s="47" t="str">
        <x:v>structured_current_issues</x:v>
      </x:c>
      <x:c r="E14" s="48" t="str">
        <x:v>artifacts/attempt_01/structured_current_issues.json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RUN-TRF-031-20260915T124408932014Z</x:v>
      </x:c>
      <x:c r="B15" s="47" t="str">
        <x:v>TRF-031</x:v>
      </x:c>
      <x:c r="C15" s="59" t="n">
        <x:v>1</x:v>
      </x:c>
      <x:c r="D15" s="47" t="str">
        <x:v>past_mistakes_to_avoid</x:v>
      </x:c>
      <x:c r="E15" s="48" t="str">
        <x:v>artifacts/attempt_01/past_mistakes_to_avoid.json</x:v>
      </x:c>
      <x:c r="F15" s="47" t="str">
        <x:v>37517e5f3dc66819f61f5a7bb8ace1921282415f10551d2defa5c3eb0985b570</x:v>
      </x:c>
      <x:c r="G15" s="59" t="n">
        <x:v>3</x:v>
      </x:c>
    </x:row>
    <x:row r="16">
      <x:c r="A16" s="47" t="str">
        <x:v>RUN-TRF-031-20260915T124408932014Z</x:v>
      </x:c>
      <x:c r="B16" s="47" t="str">
        <x:v>TRF-031</x:v>
      </x:c>
      <x:c r="C16" s="59" t="n">
        <x:v>1</x:v>
      </x:c>
      <x:c r="D16" s="47" t="str">
        <x:v>attempt_metadata</x:v>
      </x:c>
      <x:c r="E16" s="48" t="str">
        <x:v>artifacts/attempt_01/attempt_metadata.json</x:v>
      </x:c>
      <x:c r="F16" s="47" t="str">
        <x:v>a24f6de665e1c8fd9bca615d2fd0b499e742084c1328b4da30d70828fe61e89e</x:v>
      </x:c>
      <x:c r="G16" s="59" t="n">
        <x:v>920</x:v>
      </x:c>
    </x:row>
    <x:row r="17">
      <x:c r="A17" s="47" t="str">
        <x:v>RUN-TRF-031-20260915T124408932014Z</x:v>
      </x:c>
      <x:c r="B17" s="47" t="str">
        <x:v>TRF-031</x:v>
      </x:c>
      <x:c r="C17" s="59"/>
      <x:c r="D17" s="47" t="str">
        <x:v>last_candidate_raw</x:v>
      </x:c>
      <x:c r="E17" s="48" t="str">
        <x:v>diagnostics/last_candidate_raw.txt</x:v>
      </x:c>
      <x:c r="F17" s="47" t="str">
        <x:v>a3486c973c6139b9ef2825d19820da59cfa7e64fa6361a2ffd760428937e2bf1</x:v>
      </x:c>
      <x:c r="G17" s="59" t="n">
        <x:v>5745</x:v>
      </x:c>
    </x:row>
    <x:row r="18">
      <x:c r="A18" s="47" t="str">
        <x:v>RUN-TRF-031-20260915T124408932014Z</x:v>
      </x:c>
      <x:c r="B18" s="47" t="str">
        <x:v>TRF-031</x:v>
      </x:c>
      <x:c r="C18" s="59"/>
      <x:c r="D18" s="47" t="str">
        <x:v>last_candidate_diagnostic</x:v>
      </x:c>
      <x:c r="E18" s="48" t="str">
        <x:v>diagnostics/last_candidate.ttl</x:v>
      </x:c>
      <x:c r="F18" s="47" t="str">
        <x:v>33c96b47aac3e18acc885d1457be94804aee136fefc18a7e0751c52027333051</x:v>
      </x:c>
      <x:c r="G18" s="59" t="n">
        <x:v>5720</x:v>
      </x:c>
    </x:row>
    <x:row r="19">
      <x:c r="A19" s="49" t="str">
        <x:v>RUN-TRF-031-20260915T124408932014Z</x:v>
      </x:c>
      <x:c r="B19" s="49" t="str">
        <x:v>TRF-031</x:v>
      </x:c>
      <x:c r="C19" s="60"/>
      <x:c r="D19" s="49" t="str">
        <x:v>last_candidate_metadata</x:v>
      </x:c>
      <x:c r="E19" s="50" t="str">
        <x:v>diagnostics/last_candidate_metadata.json</x:v>
      </x:c>
      <x:c r="F19" s="49" t="str">
        <x:v>760ab401fdff90978899bb0046a3bb55350f4254b975a4753c9b2f7b1a06dd7a</x:v>
      </x:c>
      <x:c r="G1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0b21721e7dea4e4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RUN-TRF-031-20260915T124408932014Z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RUN-TRF-031-20260915T124408932014Z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RUN-TRF-031-20260915T124408932014Z</x:v>
      </x:c>
      <x:c r="B5" s="69" t="str">
        <x:v>TRF-031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ba3e52ec44eee"/>
  </x:tableParts>
</x:worksheet>
</file>