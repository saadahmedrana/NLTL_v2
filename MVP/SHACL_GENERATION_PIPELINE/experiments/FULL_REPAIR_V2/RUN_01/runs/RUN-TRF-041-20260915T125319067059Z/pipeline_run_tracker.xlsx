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1b6c996cfed4a95" /></Relationships>
</file>

<file path=xl/workbook.xml><?xml version="1.0" encoding="utf-8"?>
<x:workbook xmlns:x="http://schemas.openxmlformats.org/spreadsheetml/2006/main">
  <x:sheets>
    <x:sheet xmlns:r="http://schemas.openxmlformats.org/officeDocument/2006/relationships" name="SUMMARY" sheetId="1" r:id="R4bdecfdf202643ea"/>
    <x:sheet xmlns:r="http://schemas.openxmlformats.org/officeDocument/2006/relationships" name="README" sheetId="2" r:id="R32554bb4cd004372"/>
    <x:sheet xmlns:r="http://schemas.openxmlformats.org/officeDocument/2006/relationships" name="REGULATION_QUEUE" sheetId="3" r:id="R7fb2a4d0e8be4c0f"/>
    <x:sheet xmlns:r="http://schemas.openxmlformats.org/officeDocument/2006/relationships" name="RUNS" sheetId="4" r:id="Rdced5f5225fb4347"/>
    <x:sheet xmlns:r="http://schemas.openxmlformats.org/officeDocument/2006/relationships" name="ITERATIONS" sheetId="5" r:id="R3175b72441ee4e9d"/>
    <x:sheet xmlns:r="http://schemas.openxmlformats.org/officeDocument/2006/relationships" name="API_CALLS" sheetId="6" r:id="R640f92c532a844ba"/>
    <x:sheet xmlns:r="http://schemas.openxmlformats.org/officeDocument/2006/relationships" name="TERM_RETRIEVAL" sheetId="7" r:id="R6f0cbf30af3047fc"/>
    <x:sheet xmlns:r="http://schemas.openxmlformats.org/officeDocument/2006/relationships" name="FEW_SHOT_SELECTION" sheetId="8" r:id="R0bc22c6d51ee4890"/>
    <x:sheet xmlns:r="http://schemas.openxmlformats.org/officeDocument/2006/relationships" name="VALIDATION" sheetId="9" r:id="Rce22df2bec774af3"/>
    <x:sheet xmlns:r="http://schemas.openxmlformats.org/officeDocument/2006/relationships" name="VOCAB_MATCHES" sheetId="10" r:id="R5de946f7860c4931"/>
    <x:sheet xmlns:r="http://schemas.openxmlformats.org/officeDocument/2006/relationships" name="ARTIFACTS" sheetId="11" r:id="R5b7e4f355d7e42fe"/>
    <x:sheet xmlns:r="http://schemas.openxmlformats.org/officeDocument/2006/relationships" name="UNRESOLVED" sheetId="12" r:id="R00e4e921da194cce"/>
    <x:sheet xmlns:r="http://schemas.openxmlformats.org/officeDocument/2006/relationships" name="RDF_TEST_QUEUE" sheetId="13" r:id="R75fa4b5641a44b3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e4986349cf5451a" /><Relationship Type="http://schemas.openxmlformats.org/officeDocument/2006/relationships/theme" Target="/xl/theme/theme1.xml" Id="R38ff26a57eaa4b4e" /><Relationship Type="http://schemas.microsoft.com/office/2022/11/relationships/FeaturePropertyBag" Target="/xl/featurePropertyBag/featurePropertyBag.xml" Id="R493d05127a2f4e5a" /><Relationship Type="http://schemas.openxmlformats.org/officeDocument/2006/relationships/sharedStrings" Target="/xl/sharedStrings.xml" Id="R59ea770866e842d2" /><Relationship Type="http://schemas.openxmlformats.org/officeDocument/2006/relationships/worksheet" Target="/xl/worksheets/sheet1.xml" Id="R4bdecfdf202643ea" /><Relationship Type="http://schemas.openxmlformats.org/officeDocument/2006/relationships/worksheet" Target="/xl/worksheets/sheet2.xml" Id="R32554bb4cd004372" /><Relationship Type="http://schemas.openxmlformats.org/officeDocument/2006/relationships/worksheet" Target="/xl/worksheets/sheet3.xml" Id="R7fb2a4d0e8be4c0f" /><Relationship Type="http://schemas.openxmlformats.org/officeDocument/2006/relationships/worksheet" Target="/xl/worksheets/sheet4.xml" Id="Rdced5f5225fb4347" /><Relationship Type="http://schemas.openxmlformats.org/officeDocument/2006/relationships/worksheet" Target="/xl/worksheets/sheet5.xml" Id="R3175b72441ee4e9d" /><Relationship Type="http://schemas.openxmlformats.org/officeDocument/2006/relationships/worksheet" Target="/xl/worksheets/sheet6.xml" Id="R640f92c532a844ba" /><Relationship Type="http://schemas.openxmlformats.org/officeDocument/2006/relationships/worksheet" Target="/xl/worksheets/sheet7.xml" Id="R6f0cbf30af3047fc" /><Relationship Type="http://schemas.openxmlformats.org/officeDocument/2006/relationships/worksheet" Target="/xl/worksheets/sheet8.xml" Id="R0bc22c6d51ee4890" /><Relationship Type="http://schemas.openxmlformats.org/officeDocument/2006/relationships/worksheet" Target="/xl/worksheets/sheet9.xml" Id="Rce22df2bec774af3" /><Relationship Type="http://schemas.openxmlformats.org/officeDocument/2006/relationships/worksheet" Target="/xl/worksheets/sheet10.xml" Id="R5de946f7860c4931" /><Relationship Type="http://schemas.openxmlformats.org/officeDocument/2006/relationships/worksheet" Target="/xl/worksheets/sheet11.xml" Id="R5b7e4f355d7e42fe" /><Relationship Type="http://schemas.openxmlformats.org/officeDocument/2006/relationships/worksheet" Target="/xl/worksheets/sheet12.xml" Id="R00e4e921da194cce" /><Relationship Type="http://schemas.openxmlformats.org/officeDocument/2006/relationships/worksheet" Target="/xl/worksheets/sheet13.xml" Id="R75fa4b5641a44b3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4"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68236f9c8324f29" /></Relationships>
</file>

<file path=xl/worksheets/_rels/sheet3.xml.rels>&#65279;<?xml version="1.0" encoding="utf-8"?><Relationships xmlns="http://schemas.openxmlformats.org/package/2006/relationships"><Relationship Type="http://schemas.openxmlformats.org/officeDocument/2006/relationships/table" Target="/xl/tables/table2.xml" Id="R45bfbae311014bf1" /></Relationships>
</file>

<file path=xl/worksheets/_rels/sheet4.xml.rels>&#65279;<?xml version="1.0" encoding="utf-8"?><Relationships xmlns="http://schemas.openxmlformats.org/package/2006/relationships"><Relationship Type="http://schemas.openxmlformats.org/officeDocument/2006/relationships/table" Target="/xl/tables/table3.xml" Id="Rc2951276d1774864" /></Relationships>
</file>

<file path=xl/worksheets/_rels/sheet5.xml.rels>&#65279;<?xml version="1.0" encoding="utf-8"?><Relationships xmlns="http://schemas.openxmlformats.org/package/2006/relationships"><Relationship Type="http://schemas.openxmlformats.org/officeDocument/2006/relationships/table" Target="/xl/tables/table4.xml" Id="R890231ec4dff4146" /></Relationships>
</file>

<file path=xl/worksheets/_rels/sheet6.xml.rels>&#65279;<?xml version="1.0" encoding="utf-8"?><Relationships xmlns="http://schemas.openxmlformats.org/package/2006/relationships"><Relationship Type="http://schemas.openxmlformats.org/officeDocument/2006/relationships/table" Target="/xl/tables/table5.xml" Id="Rbdf19b45be5a41c2" /></Relationships>
</file>

<file path=xl/worksheets/_rels/sheet7.xml.rels>&#65279;<?xml version="1.0" encoding="utf-8"?><Relationships xmlns="http://schemas.openxmlformats.org/package/2006/relationships"><Relationship Type="http://schemas.openxmlformats.org/officeDocument/2006/relationships/table" Target="/xl/tables/table6.xml" Id="Ra2168b5c61bd4c30" /></Relationships>
</file>

<file path=xl/worksheets/_rels/sheet8.xml.rels>&#65279;<?xml version="1.0" encoding="utf-8"?><Relationships xmlns="http://schemas.openxmlformats.org/package/2006/relationships"><Relationship Type="http://schemas.openxmlformats.org/officeDocument/2006/relationships/table" Target="/xl/tables/table7.xml" Id="R44b3a37ae1bd4633" /></Relationships>
</file>

<file path=xl/worksheets/_rels/sheet9.xml.rels>&#65279;<?xml version="1.0" encoding="utf-8"?><Relationships xmlns="http://schemas.openxmlformats.org/package/2006/relationships"><Relationship Type="http://schemas.openxmlformats.org/officeDocument/2006/relationships/table" Target="/xl/tables/table8.xml" Id="R8429b6d0604d4dab" /></Relationships>
</file>

<file path=xl/worksheets/_rels/sheet11.xml.rels>&#65279;<?xml version="1.0" encoding="utf-8"?><Relationships xmlns="http://schemas.openxmlformats.org/package/2006/relationships"><Relationship Type="http://schemas.openxmlformats.org/officeDocument/2006/relationships/table" Target="/xl/tables/table9.xml" Id="R15300ea8d16d4214" /></Relationships>
</file>

<file path=xl/worksheets/_rels/sheet13.xml.rels>&#65279;<?xml version="1.0" encoding="utf-8"?><Relationships xmlns="http://schemas.openxmlformats.org/package/2006/relationships"><Relationship Type="http://schemas.openxmlformats.org/officeDocument/2006/relationships/table" Target="/xl/tables/table10.xml" Id="R9b79a4f70e91490d" /></Relationships>
</file>

<file path=xl/worksheets/sheet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RUN-TRF-041-20260915T125319067059Z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COUNTA('API_CALLS'!$A$5:$A$14)</x:f>
        <x:v>10</x:v>
      </x:c>
      <x:c r="C9" s="21"/>
      <x:c r="D9" s="21"/>
    </x:row>
    <x:row r="10">
      <x:c r="A10" s="27" t="str">
        <x:v>Mean API/LLM elapsed ms</x:v>
      </x:c>
      <x:c r="B10" s="28" t="n">
        <x:f>IFERROR(AVERAGE('API_CALLS'!$K$5:$K$14),0)</x:f>
        <x:v>12767.6062</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RUN-TRF-041-20260915T125319067059Z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e68236f9c8324f29"/>
  </x:tableParts>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RUN-TRF-041-20260915T125319067059Z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GENERATION_ACCEPTED</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45bfbae311014bf1"/>
  </x:tableParts>
</x:worksheet>
</file>

<file path=xl/worksheets/sheet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2"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RUN-TRF-041-20260915T125319067059Z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SESSION-BATCH-20260915T092108806520Z</x:v>
      </x:c>
      <x:c r="B5" s="69" t="str">
        <x:v>RUN-TRF-041-20260915T125319067059Z</x:v>
      </x:c>
      <x:c r="C5" s="69" t="str">
        <x:v>TRF-041</x:v>
      </x:c>
      <x:c r="D5" s="70" t="n">
        <x:v>46280.53702625</x:v>
      </x:c>
      <x:c r="E5" s="70" t="n">
        <x:v>46280.53777239583</x:v>
      </x:c>
      <x:c r="F5" s="69" t="str">
        <x:v>full-repair-v2-run01</x:v>
      </x:c>
      <x:c r="G5" s="69" t="str">
        <x:v>VOCAB-LOCK-2026-08-22-R13</x:v>
      </x:c>
      <x:c r="H5" s="71" t="n">
        <x:v>2</x:v>
      </x:c>
      <x:c r="I5" s="69" t="str">
        <x:v>GENERATION_ACCEPTED</x:v>
      </x:c>
      <x:c r="J5" s="72" t="b">
        <x:v>1</x:v>
      </x:c>
      <x:c r="K5" s="69" t="str">
        <x:v>final/final_shape.ttl</x:v>
      </x:c>
      <x:c r="L5" s="73" t="str">
        <x:v>No concrete blocking defect detected in the current candidate.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c2951276d1774864"/>
  </x:tableParts>
</x:worksheet>
</file>

<file path=xl/worksheets/sheet5.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RUN-TRF-041-20260915T125319067059Z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RUN-TRF-041-20260915T125319067059Z</x:v>
      </x:c>
      <x:c r="B5" s="45" t="str">
        <x:v>TRF-041</x:v>
      </x:c>
      <x:c r="C5" s="58" t="n">
        <x:v>1</x:v>
      </x:c>
      <x:c r="D5" s="80" t="b">
        <x:v>1</x:v>
      </x:c>
      <x:c r="E5" s="80" t="b">
        <x:v>0</x:v>
      </x:c>
      <x:c r="F5" s="80" t="b">
        <x:v>0</x:v>
      </x:c>
      <x:c r="G5" s="45" t="str">
        <x:v>REVISE</x:v>
      </x:c>
      <x:c r="H5" s="46" t="str">
        <x:v>[APPLICABILITY] MainShape/nltl:icePressure and MainShape/nltl:platingPressure: Both pressure quantities are made universally mandatory, although the requirement uses plating pressure only for transverse framing and the other pressure term only for longitudinal framing. This rejects otherwise conforming instances that lack the pressure operand irrelevant to the applicable formula. Required change: Move nltl:platingPressure into the transverse-framing branch and nltl:icePressure into the longitudinal-framing branch, making each mandatory only for its applicable orientation.</x:v>
      </x:c>
      <x:c r="I5" s="81" t="n">
        <x:v>25153.685</x:v>
      </x:c>
      <x:c r="J5" s="81" t="n">
        <x:v>14047.457</x:v>
      </x:c>
    </x:row>
    <x:row r="6">
      <x:c r="A6" s="49" t="str">
        <x:v>RUN-TRF-041-20260915T125319067059Z</x:v>
      </x:c>
      <x:c r="B6" s="49" t="str">
        <x:v>TRF-041</x:v>
      </x:c>
      <x:c r="C6" s="60" t="n">
        <x:v>2</x:v>
      </x:c>
      <x:c r="D6" s="82" t="b">
        <x:v>1</x:v>
      </x:c>
      <x:c r="E6" s="82" t="b">
        <x:v>1</x:v>
      </x:c>
      <x:c r="F6" s="82" t="b">
        <x:v>0</x:v>
      </x:c>
      <x:c r="G6" s="49" t="str">
        <x:v>ACCEPT</x:v>
      </x:c>
      <x:c r="H6" s="50" t="str">
        <x:v>No concrete blocking defect detected in the current candidate.</x:v>
      </x:c>
      <x:c r="I6" s="83" t="n">
        <x:v>8561.792</x:v>
      </x:c>
      <x:c r="J6" s="83" t="n">
        <x:v>7101.652</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890231ec4dff4146"/>
  </x:tableParts>
</x:worksheet>
</file>

<file path=xl/worksheets/sheet6.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RUN-TRF-041-20260915T125319067059Z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EVT-000036</x:v>
      </x:c>
      <x:c r="B5" s="45" t="str">
        <x:v>RUN-TRF-041-20260915T125319067059Z</x:v>
      </x:c>
      <x:c r="C5" s="45" t="str">
        <x:v>TRF-041</x:v>
      </x:c>
      <x:c r="D5" s="90" t="n">
        <x:v>46280.537317395836</x:v>
      </x:c>
      <x:c r="E5" s="45" t="str">
        <x:v>generator</x:v>
      </x:c>
      <x:c r="F5" s="45" t="str">
        <x:v>gpt-5.6-luna-2026-07-09</x:v>
      </x:c>
      <x:c r="G5" s="45" t="n">
        <x:v>1</x:v>
      </x:c>
      <x:c r="H5" s="45" t="n">
        <x:v>200</x:v>
      </x:c>
      <x:c r="I5" s="45" t="str">
        <x:v>Ocp-Apim-Subscription-Key</x:v>
      </x:c>
      <x:c r="J5" s="81" t="n">
        <x:v>0</x:v>
      </x:c>
      <x:c r="K5" s="81" t="n">
        <x:v>25151.816</x:v>
      </x:c>
      <x:c r="L5" s="80" t="b">
        <x:v>0</x:v>
      </x:c>
      <x:c r="M5" s="45" t="str"/>
      <x:c r="N5" s="58" t="str"/>
      <x:c r="O5" s="58" t="str"/>
      <x:c r="P5" s="58" t="str"/>
    </x:row>
    <x:row r="6">
      <x:c r="A6" s="47" t="str">
        <x:v>EVT-000037</x:v>
      </x:c>
      <x:c r="B6" s="47" t="str">
        <x:v>RUN-TRF-041-20260915T125319067059Z</x:v>
      </x:c>
      <x:c r="C6" s="47" t="str">
        <x:v>TRF-041</x:v>
      </x:c>
      <x:c r="D6" s="91" t="n">
        <x:v>46280.53731741898</x:v>
      </x:c>
      <x:c r="E6" s="47" t="str">
        <x:v>generator</x:v>
      </x:c>
      <x:c r="F6" s="47" t="str">
        <x:v>gpt-5.6-luna-2026-07-09</x:v>
      </x:c>
      <x:c r="G6" s="47" t="n">
        <x:v>1</x:v>
      </x:c>
      <x:c r="H6" s="47" t="str">
        <x:v>COMPLETED</x:v>
      </x:c>
      <x:c r="I6" s="47" t="str"/>
      <x:c r="J6" s="92" t="n">
        <x:v>0</x:v>
      </x:c>
      <x:c r="K6" s="92" t="n">
        <x:v>25153.685</x:v>
      </x:c>
      <x:c r="L6" s="93" t="b">
        <x:v>0</x:v>
      </x:c>
      <x:c r="M6" s="47" t="str">
        <x:v>resp_0efde000b45dd26f006aa93fc014e48194a9421cf80ef5c32e</x:v>
      </x:c>
      <x:c r="N6" s="59" t="n">
        <x:v>13273</x:v>
      </x:c>
      <x:c r="O6" s="59" t="n">
        <x:v>2700</x:v>
      </x:c>
      <x:c r="P6" s="59" t="n">
        <x:v>15973</x:v>
      </x:c>
    </x:row>
    <x:row r="7">
      <x:c r="A7" s="47" t="str">
        <x:v>EVT-000041</x:v>
      </x:c>
      <x:c r="B7" s="47" t="str">
        <x:v>RUN-TRF-041-20260915T125319067059Z</x:v>
      </x:c>
      <x:c r="C7" s="47" t="str">
        <x:v>TRF-041</x:v>
      </x:c>
      <x:c r="D7" s="91" t="n">
        <x:v>46280.53742143518</x:v>
      </x:c>
      <x:c r="E7" s="47" t="str">
        <x:v>syntax_repair</x:v>
      </x:c>
      <x:c r="F7" s="47" t="str">
        <x:v>gpt-5.6-luna-2026-07-09</x:v>
      </x:c>
      <x:c r="G7" s="47" t="n">
        <x:v>1</x:v>
      </x:c>
      <x:c r="H7" s="47" t="n">
        <x:v>200</x:v>
      </x:c>
      <x:c r="I7" s="47" t="str">
        <x:v>Ocp-Apim-Subscription-Key</x:v>
      </x:c>
      <x:c r="J7" s="92" t="n">
        <x:v>0</x:v>
      </x:c>
      <x:c r="K7" s="92" t="n">
        <x:v>8976.627</x:v>
      </x:c>
      <x:c r="L7" s="93" t="b">
        <x:v>0</x:v>
      </x:c>
      <x:c r="M7" s="47" t="str"/>
      <x:c r="N7" s="59" t="str"/>
      <x:c r="O7" s="59" t="str"/>
      <x:c r="P7" s="59" t="str"/>
    </x:row>
    <x:row r="8">
      <x:c r="A8" s="47" t="str">
        <x:v>EVT-000042</x:v>
      </x:c>
      <x:c r="B8" s="47" t="str">
        <x:v>RUN-TRF-041-20260915T125319067059Z</x:v>
      </x:c>
      <x:c r="C8" s="47" t="str">
        <x:v>TRF-041</x:v>
      </x:c>
      <x:c r="D8" s="91" t="n">
        <x:v>46280.53742144676</x:v>
      </x:c>
      <x:c r="E8" s="47" t="str">
        <x:v>syntax_repair</x:v>
      </x:c>
      <x:c r="F8" s="47" t="str">
        <x:v>gpt-5.6-luna-2026-07-09</x:v>
      </x:c>
      <x:c r="G8" s="47" t="n">
        <x:v>1</x:v>
      </x:c>
      <x:c r="H8" s="47" t="str">
        <x:v>COMPLETED</x:v>
      </x:c>
      <x:c r="I8" s="47" t="str"/>
      <x:c r="J8" s="92" t="n">
        <x:v>0</x:v>
      </x:c>
      <x:c r="K8" s="92" t="n">
        <x:v>8977.809</x:v>
      </x:c>
      <x:c r="L8" s="93" t="b">
        <x:v>0</x:v>
      </x:c>
      <x:c r="M8" s="47" t="str">
        <x:v>resp_0fbc8d6653a22ee0006aa93fd854d4819680382a724fc5e973</x:v>
      </x:c>
      <x:c r="N8" s="59" t="n">
        <x:v>4010</x:v>
      </x:c>
      <x:c r="O8" s="59" t="n">
        <x:v>1594</x:v>
      </x:c>
      <x:c r="P8" s="59" t="n">
        <x:v>5604</x:v>
      </x:c>
    </x:row>
    <x:row r="9">
      <x:c r="A9" s="47" t="str">
        <x:v>EVT-000049</x:v>
      </x:c>
      <x:c r="B9" s="47" t="str">
        <x:v>RUN-TRF-041-20260915T125319067059Z</x:v>
      </x:c>
      <x:c r="C9" s="47" t="str">
        <x:v>TRF-041</x:v>
      </x:c>
      <x:c r="D9" s="91" t="n">
        <x:v>46280.53758736111</x:v>
      </x:c>
      <x:c r="E9" s="47" t="str">
        <x:v>validator</x:v>
      </x:c>
      <x:c r="F9" s="47" t="str">
        <x:v>gpt-5.6-luna-2026-07-09</x:v>
      </x:c>
      <x:c r="G9" s="47" t="n">
        <x:v>1</x:v>
      </x:c>
      <x:c r="H9" s="47" t="n">
        <x:v>200</x:v>
      </x:c>
      <x:c r="I9" s="47" t="str">
        <x:v>Ocp-Apim-Subscription-Key</x:v>
      </x:c>
      <x:c r="J9" s="92" t="n">
        <x:v>0</x:v>
      </x:c>
      <x:c r="K9" s="92" t="n">
        <x:v>14045.651</x:v>
      </x:c>
      <x:c r="L9" s="93" t="b">
        <x:v>0</x:v>
      </x:c>
      <x:c r="M9" s="47" t="str"/>
      <x:c r="N9" s="59" t="str"/>
      <x:c r="O9" s="59" t="str"/>
      <x:c r="P9" s="59" t="str"/>
    </x:row>
    <x:row r="10">
      <x:c r="A10" s="47" t="str">
        <x:v>EVT-000050</x:v>
      </x:c>
      <x:c r="B10" s="47" t="str">
        <x:v>RUN-TRF-041-20260915T125319067059Z</x:v>
      </x:c>
      <x:c r="C10" s="47" t="str">
        <x:v>TRF-041</x:v>
      </x:c>
      <x:c r="D10" s="91" t="n">
        <x:v>46280.53758738426</x:v>
      </x:c>
      <x:c r="E10" s="47" t="str">
        <x:v>validator</x:v>
      </x:c>
      <x:c r="F10" s="47" t="str">
        <x:v>gpt-5.6-luna-2026-07-09</x:v>
      </x:c>
      <x:c r="G10" s="47" t="n">
        <x:v>1</x:v>
      </x:c>
      <x:c r="H10" s="47" t="str">
        <x:v>COMPLETED</x:v>
      </x:c>
      <x:c r="I10" s="47" t="str"/>
      <x:c r="J10" s="92" t="n">
        <x:v>0</x:v>
      </x:c>
      <x:c r="K10" s="92" t="n">
        <x:v>14047.457</x:v>
      </x:c>
      <x:c r="L10" s="93" t="b">
        <x:v>0</x:v>
      </x:c>
      <x:c r="M10" s="47" t="str">
        <x:v>resp_09e887d23125df7b006aa93fe19ecc8194b8033aff24b42bfd</x:v>
      </x:c>
      <x:c r="N10" s="59" t="n">
        <x:v>13173</x:v>
      </x:c>
      <x:c r="O10" s="59" t="n">
        <x:v>1127</x:v>
      </x:c>
      <x:c r="P10" s="59" t="n">
        <x:v>14300</x:v>
      </x:c>
    </x:row>
    <x:row r="11">
      <x:c r="A11" s="47" t="str">
        <x:v>EVT-000058</x:v>
      </x:c>
      <x:c r="B11" s="47" t="str">
        <x:v>RUN-TRF-041-20260915T125319067059Z</x:v>
      </x:c>
      <x:c r="C11" s="47" t="str">
        <x:v>TRF-041</x:v>
      </x:c>
      <x:c r="D11" s="91" t="n">
        <x:v>46280.5376865625</x:v>
      </x:c>
      <x:c r="E11" s="47" t="str">
        <x:v>generator</x:v>
      </x:c>
      <x:c r="F11" s="47" t="str">
        <x:v>gpt-5.6-luna-2026-07-09</x:v>
      </x:c>
      <x:c r="G11" s="47" t="n">
        <x:v>1</x:v>
      </x:c>
      <x:c r="H11" s="47" t="n">
        <x:v>200</x:v>
      </x:c>
      <x:c r="I11" s="47" t="str">
        <x:v>Ocp-Apim-Subscription-Key</x:v>
      </x:c>
      <x:c r="J11" s="92" t="n">
        <x:v>0</x:v>
      </x:c>
      <x:c r="K11" s="92" t="n">
        <x:v>8559.821</x:v>
      </x:c>
      <x:c r="L11" s="93" t="b">
        <x:v>0</x:v>
      </x:c>
      <x:c r="M11" s="47" t="str"/>
      <x:c r="N11" s="59" t="str"/>
      <x:c r="O11" s="59" t="str"/>
      <x:c r="P11" s="59" t="str"/>
    </x:row>
    <x:row r="12">
      <x:c r="A12" s="47" t="str">
        <x:v>EVT-000059</x:v>
      </x:c>
      <x:c r="B12" s="47" t="str">
        <x:v>RUN-TRF-041-20260915T125319067059Z</x:v>
      </x:c>
      <x:c r="C12" s="47" t="str">
        <x:v>TRF-041</x:v>
      </x:c>
      <x:c r="D12" s="91" t="n">
        <x:v>46280.537686585645</x:v>
      </x:c>
      <x:c r="E12" s="47" t="str">
        <x:v>generator</x:v>
      </x:c>
      <x:c r="F12" s="47" t="str">
        <x:v>gpt-5.6-luna-2026-07-09</x:v>
      </x:c>
      <x:c r="G12" s="47" t="n">
        <x:v>1</x:v>
      </x:c>
      <x:c r="H12" s="47" t="str">
        <x:v>COMPLETED</x:v>
      </x:c>
      <x:c r="I12" s="47" t="str"/>
      <x:c r="J12" s="92" t="n">
        <x:v>0</x:v>
      </x:c>
      <x:c r="K12" s="92" t="n">
        <x:v>8561.792</x:v>
      </x:c>
      <x:c r="L12" s="93" t="b">
        <x:v>0</x:v>
      </x:c>
      <x:c r="M12" s="47" t="str">
        <x:v>resp_0dff203d0a3c4f1c006aa93fefa8d08190a899c5dcda6e9370</x:v>
      </x:c>
      <x:c r="N12" s="59" t="n">
        <x:v>11374</x:v>
      </x:c>
      <x:c r="O12" s="59" t="n">
        <x:v>1548</x:v>
      </x:c>
      <x:c r="P12" s="59" t="n">
        <x:v>12922</x:v>
      </x:c>
    </x:row>
    <x:row r="13">
      <x:c r="A13" s="47" t="str">
        <x:v>EVT-000067</x:v>
      </x:c>
      <x:c r="B13" s="47" t="str">
        <x:v>RUN-TRF-041-20260915T125319067059Z</x:v>
      </x:c>
      <x:c r="C13" s="47" t="str">
        <x:v>TRF-041</x:v>
      </x:c>
      <x:c r="D13" s="91" t="n">
        <x:v>46280.537772268515</x:v>
      </x:c>
      <x:c r="E13" s="47" t="str">
        <x:v>validator</x:v>
      </x:c>
      <x:c r="F13" s="47" t="str">
        <x:v>gpt-5.6-luna-2026-07-09</x:v>
      </x:c>
      <x:c r="G13" s="47" t="n">
        <x:v>1</x:v>
      </x:c>
      <x:c r="H13" s="47" t="n">
        <x:v>200</x:v>
      </x:c>
      <x:c r="I13" s="47" t="str">
        <x:v>Ocp-Apim-Subscription-Key</x:v>
      </x:c>
      <x:c r="J13" s="92" t="n">
        <x:v>0</x:v>
      </x:c>
      <x:c r="K13" s="92" t="n">
        <x:v>7099.752</x:v>
      </x:c>
      <x:c r="L13" s="93" t="b">
        <x:v>0</x:v>
      </x:c>
      <x:c r="M13" s="47" t="str"/>
      <x:c r="N13" s="59" t="str"/>
      <x:c r="O13" s="59" t="str"/>
      <x:c r="P13" s="59" t="str"/>
    </x:row>
    <x:row r="14">
      <x:c r="A14" s="49" t="str">
        <x:v>EVT-000068</x:v>
      </x:c>
      <x:c r="B14" s="49" t="str">
        <x:v>RUN-TRF-041-20260915T125319067059Z</x:v>
      </x:c>
      <x:c r="C14" s="49" t="str">
        <x:v>TRF-041</x:v>
      </x:c>
      <x:c r="D14" s="94" t="n">
        <x:v>46280.53777229167</x:v>
      </x:c>
      <x:c r="E14" s="49" t="str">
        <x:v>validator</x:v>
      </x:c>
      <x:c r="F14" s="49" t="str">
        <x:v>gpt-5.6-luna-2026-07-09</x:v>
      </x:c>
      <x:c r="G14" s="49" t="n">
        <x:v>1</x:v>
      </x:c>
      <x:c r="H14" s="49" t="str">
        <x:v>COMPLETED</x:v>
      </x:c>
      <x:c r="I14" s="49" t="str"/>
      <x:c r="J14" s="83" t="n">
        <x:v>0</x:v>
      </x:c>
      <x:c r="K14" s="83" t="n">
        <x:v>7101.652</x:v>
      </x:c>
      <x:c r="L14" s="82" t="b">
        <x:v>0</x:v>
      </x:c>
      <x:c r="M14" s="49" t="str">
        <x:v>resp_05b7ba10a7ba8e41006aa93ff88c448194941f1d4722bfde19</x:v>
      </x:c>
      <x:c r="N14" s="60" t="n">
        <x:v>13140</x:v>
      </x:c>
      <x:c r="O14" s="60" t="n">
        <x:v>483</x:v>
      </x:c>
      <x:c r="P14" s="60" t="n">
        <x:v>13623</x:v>
      </x:c>
    </x:row>
  </x:sheetData>
  <x:conditionalFormatting sqref="H5:H14">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bdf19b45be5a41c2"/>
  </x:tableParts>
</x:worksheet>
</file>

<file path=xl/worksheets/sheet7.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RUN-TRF-041-20260915T125319067059Z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RUN-TRF-041-20260915T125319067059Z</x:v>
      </x:c>
      <x:c r="B5" s="45" t="str">
        <x:v>TRF-041</x:v>
      </x:c>
      <x:c r="C5" s="45" t="str">
        <x:v>benchmarkEntity</x:v>
      </x:c>
      <x:c r="D5" s="46" t="str">
        <x:v>https://w3id.org/nltl/vocab#benchmarkEntity</x:v>
      </x:c>
      <x:c r="E5" s="45" t="str">
        <x:v>Class</x:v>
      </x:c>
      <x:c r="F5" s="45" t="str"/>
      <x:c r="G5" s="45" t="str"/>
      <x:c r="H5" s="45" t="str"/>
      <x:c r="I5" s="46" t="str">
        <x:v>baseline target infrastructure; domain dependency of corrosionAbrasionAddition; domain dependency of hullStructuralSteelGrade; domain dependency of icePressure; domain dependency of longitudinalPlatingFactorF2; domain dependency of platingFramingOrientation; domain dependency of platingPressure; domain dependency of requiredShellPlatingThickness; domain dependency of spacing; domain dependency of transversePlatingFactorF1; domain dependency of yieldStrength</x:v>
      </x:c>
      <x:c r="J5" s="45" t="n">
        <x:v>0</x:v>
      </x:c>
    </x:row>
    <x:row r="6">
      <x:c r="A6" s="47" t="str">
        <x:v>RUN-TRF-041-20260915T125319067059Z</x:v>
      </x:c>
      <x:c r="B6" s="47" t="str">
        <x:v>TRF-041</x:v>
      </x:c>
      <x:c r="C6" s="47" t="str">
        <x:v>corrosionAbrasionAddition</x:v>
      </x:c>
      <x:c r="D6" s="48" t="str">
        <x:v>https://w3id.org/nltl/vocab#corrosionAbrasionAddition</x:v>
      </x:c>
      <x:c r="E6" s="47" t="str">
        <x:v>QuantityProperty</x:v>
      </x:c>
      <x:c r="F6" s="47" t="str"/>
      <x:c r="G6" s="47" t="str">
        <x:v>http://qudt.org/schema/qudt/QuantityValue</x:v>
      </x:c>
      <x:c r="H6" s="47" t="str">
        <x:v>http://qudt.org/vocab/unit/MilliM</x:v>
      </x:c>
      <x:c r="I6" s="48" t="str">
        <x:v>linked by the locked 313-requirement index</x:v>
      </x:c>
      <x:c r="J6" s="47" t="n">
        <x:v>0</x:v>
      </x:c>
    </x:row>
    <x:row r="7">
      <x:c r="A7" s="47" t="str">
        <x:v>RUN-TRF-041-20260915T125319067059Z</x:v>
      </x:c>
      <x:c r="B7" s="47" t="str">
        <x:v>TRF-041</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RUN-TRF-041-20260915T125319067059Z</x:v>
      </x:c>
      <x:c r="B8" s="47" t="str">
        <x:v>TRF-041</x:v>
      </x:c>
      <x:c r="C8" s="47" t="str">
        <x:v>highStrengthHullStructuralSteel</x:v>
      </x:c>
      <x:c r="D8" s="48" t="str">
        <x:v>https://w3id.org/nltl/vocab#highStrengthHullStructuralSteel</x:v>
      </x:c>
      <x:c r="E8" s="47" t="str">
        <x:v>NamedIndividual</x:v>
      </x:c>
      <x:c r="F8" s="47" t="str"/>
      <x:c r="G8" s="47" t="str">
        <x:v>https://w3id.org/nltl/vocab#steelGradeValue</x:v>
      </x:c>
      <x:c r="H8" s="47" t="str"/>
      <x:c r="I8" s="48" t="str">
        <x:v>controlled value permitted by the range of hullStructuralSteelGrade</x:v>
      </x:c>
      <x:c r="J8" s="47" t="n">
        <x:v>0</x:v>
      </x:c>
    </x:row>
    <x:row r="9">
      <x:c r="A9" s="47" t="str">
        <x:v>RUN-TRF-041-20260915T125319067059Z</x:v>
      </x:c>
      <x:c r="B9" s="47" t="str">
        <x:v>TRF-041</x:v>
      </x:c>
      <x:c r="C9" s="47" t="str">
        <x:v>hullStructuralSteelGrade</x:v>
      </x:c>
      <x:c r="D9" s="48" t="str">
        <x:v>https://w3id.org/nltl/vocab#hullStructuralSteelGrade</x:v>
      </x:c>
      <x:c r="E9" s="47" t="str">
        <x:v>ObjectProperty</x:v>
      </x:c>
      <x:c r="F9" s="47" t="str"/>
      <x:c r="G9" s="47" t="str">
        <x:v>https://w3id.org/nltl/vocab#steelGradeValue</x:v>
      </x:c>
      <x:c r="H9" s="47" t="str"/>
      <x:c r="I9" s="48" t="str">
        <x:v>linked by the locked 313-requirement index</x:v>
      </x:c>
      <x:c r="J9" s="47" t="n">
        <x:v>0</x:v>
      </x:c>
    </x:row>
    <x:row r="10">
      <x:c r="A10" s="47" t="str">
        <x:v>RUN-TRF-041-20260915T125319067059Z</x:v>
      </x:c>
      <x:c r="B10" s="47" t="str">
        <x:v>TRF-041</x:v>
      </x:c>
      <x:c r="C10" s="47" t="str">
        <x:v>icePressure</x:v>
      </x:c>
      <x:c r="D10" s="48" t="str">
        <x:v>https://w3id.org/nltl/vocab#icePressure</x:v>
      </x:c>
      <x:c r="E10" s="47" t="str">
        <x:v>QuantityProperty</x:v>
      </x:c>
      <x:c r="F10" s="47" t="str"/>
      <x:c r="G10" s="47" t="str">
        <x:v>http://qudt.org/schema/qudt/QuantityValue</x:v>
      </x:c>
      <x:c r="H10" s="47" t="str">
        <x:v>http://qudt.org/vocab/unit/MegaPA</x:v>
      </x:c>
      <x:c r="I10" s="48" t="str">
        <x:v>linked by the locked 313-requirement index</x:v>
      </x:c>
      <x:c r="J10" s="47" t="n">
        <x:v>0</x:v>
      </x:c>
    </x:row>
    <x:row r="11">
      <x:c r="A11" s="47" t="str">
        <x:v>RUN-TRF-041-20260915T125319067059Z</x:v>
      </x:c>
      <x:c r="B11" s="47" t="str">
        <x:v>TRF-041</x:v>
      </x:c>
      <x:c r="C11" s="47" t="str">
        <x:v>longitudinalFramingOrientation</x:v>
      </x:c>
      <x:c r="D11" s="48" t="str">
        <x:v>https://w3id.org/nltl/vocab#longitudinalFramingOrientation</x:v>
      </x:c>
      <x:c r="E11" s="47" t="str">
        <x:v>NamedIndividual</x:v>
      </x:c>
      <x:c r="F11" s="47" t="str"/>
      <x:c r="G11" s="47" t="str">
        <x:v>https://w3id.org/nltl/vocab#platingFramingOrientationValue</x:v>
      </x:c>
      <x:c r="H11" s="47" t="str"/>
      <x:c r="I11" s="48" t="str">
        <x:v>controlled value permitted by the range of longitudinalFramingOrientation; controlled value permitted by the range of platingFramingOrientation; controlled value permitted by the range of transverseFramingOrientation; linked by the locked 313-requirement index</x:v>
      </x:c>
      <x:c r="J11" s="47" t="n">
        <x:v>0</x:v>
      </x:c>
    </x:row>
    <x:row r="12">
      <x:c r="A12" s="47" t="str">
        <x:v>RUN-TRF-041-20260915T125319067059Z</x:v>
      </x:c>
      <x:c r="B12" s="47" t="str">
        <x:v>TRF-041</x:v>
      </x:c>
      <x:c r="C12" s="47" t="str">
        <x:v>longitudinalPlatingFactorF2</x:v>
      </x:c>
      <x:c r="D12" s="48" t="str">
        <x:v>https://w3id.org/nltl/vocab#longitudinalPlatingFactorF2</x:v>
      </x:c>
      <x:c r="E12" s="47" t="str">
        <x:v>QuantityProperty</x:v>
      </x:c>
      <x:c r="F12" s="47" t="str"/>
      <x:c r="G12" s="47" t="str">
        <x:v>http://qudt.org/schema/qudt/QuantityValue</x:v>
      </x:c>
      <x:c r="H12" s="47" t="str">
        <x:v>http://qudt.org/vocab/unit/UNITLESS</x:v>
      </x:c>
      <x:c r="I12" s="48" t="str">
        <x:v>linked by the locked 313-requirement index</x:v>
      </x:c>
      <x:c r="J12" s="47" t="n">
        <x:v>0</x:v>
      </x:c>
    </x:row>
    <x:row r="13">
      <x:c r="A13" s="47" t="str">
        <x:v>RUN-TRF-041-20260915T125319067059Z</x:v>
      </x:c>
      <x:c r="B13" s="47" t="str">
        <x:v>TRF-041</x:v>
      </x:c>
      <x:c r="C13" s="47" t="str">
        <x:v>normalStrengthHullStructuralSteel</x:v>
      </x:c>
      <x:c r="D13" s="48" t="str">
        <x:v>https://w3id.org/nltl/vocab#normalStrengthHullStructuralSteel</x:v>
      </x:c>
      <x:c r="E13" s="47" t="str">
        <x:v>NamedIndividual</x:v>
      </x:c>
      <x:c r="F13" s="47" t="str"/>
      <x:c r="G13" s="47" t="str">
        <x:v>https://w3id.org/nltl/vocab#steelGradeValue</x:v>
      </x:c>
      <x:c r="H13" s="47" t="str"/>
      <x:c r="I13" s="48" t="str">
        <x:v>controlled value permitted by the range of hullStructuralSteelGrade</x:v>
      </x:c>
      <x:c r="J13" s="47" t="n">
        <x:v>0</x:v>
      </x:c>
    </x:row>
    <x:row r="14">
      <x:c r="A14" s="47" t="str">
        <x:v>RUN-TRF-041-20260915T125319067059Z</x:v>
      </x:c>
      <x:c r="B14" s="47" t="str">
        <x:v>TRF-041</x:v>
      </x:c>
      <x:c r="C14" s="47" t="str">
        <x:v>plating</x:v>
      </x:c>
      <x:c r="D14" s="48" t="str">
        <x:v>https://w3id.org/nltl/vocab#plating</x:v>
      </x:c>
      <x:c r="E14" s="47" t="str">
        <x:v>Class</x:v>
      </x:c>
      <x:c r="F14" s="47" t="str"/>
      <x:c r="G14" s="47" t="str">
        <x:v>https://w3id.org/nltl/vocab#hullStructure</x:v>
      </x:c>
      <x:c r="H14" s="47" t="str"/>
      <x:c r="I14" s="48" t="str">
        <x:v>authoritative required owner class; authoritative requirement target owner</x:v>
      </x:c>
      <x:c r="J14" s="47" t="n">
        <x:v>0</x:v>
      </x:c>
    </x:row>
    <x:row r="15">
      <x:c r="A15" s="47" t="str">
        <x:v>RUN-TRF-041-20260915T125319067059Z</x:v>
      </x:c>
      <x:c r="B15" s="47" t="str">
        <x:v>TRF-041</x:v>
      </x:c>
      <x:c r="C15" s="47" t="str">
        <x:v>platingFramingOrientation</x:v>
      </x:c>
      <x:c r="D15" s="48" t="str">
        <x:v>https://w3id.org/nltl/vocab#platingFramingOrientation</x:v>
      </x:c>
      <x:c r="E15" s="47" t="str">
        <x:v>ObjectProperty</x:v>
      </x:c>
      <x:c r="F15" s="47" t="str"/>
      <x:c r="G15" s="47" t="str">
        <x:v>https://w3id.org/nltl/vocab#platingFramingOrientationValue</x:v>
      </x:c>
      <x:c r="H15" s="47" t="str"/>
      <x:c r="I15" s="48" t="str">
        <x:v>linked by the locked 313-requirement index</x:v>
      </x:c>
      <x:c r="J15" s="47" t="n">
        <x:v>0</x:v>
      </x:c>
    </x:row>
    <x:row r="16">
      <x:c r="A16" s="47" t="str">
        <x:v>RUN-TRF-041-20260915T125319067059Z</x:v>
      </x:c>
      <x:c r="B16" s="47" t="str">
        <x:v>TRF-041</x:v>
      </x:c>
      <x:c r="C16" s="47" t="str">
        <x:v>platingFramingOrientationValue</x:v>
      </x:c>
      <x:c r="D16" s="48" t="str">
        <x:v>https://w3id.org/nltl/vocab#platingFramingOrientationValue</x:v>
      </x:c>
      <x:c r="E16" s="47" t="str">
        <x:v>Class</x:v>
      </x:c>
      <x:c r="F16" s="47" t="str"/>
      <x:c r="G16" s="47" t="str">
        <x:v>https://w3id.org/nltl/vocab#benchmarkEntity</x:v>
      </x:c>
      <x:c r="H16" s="47" t="str"/>
      <x:c r="I16" s="48" t="str">
        <x:v>range dependency of longitudinalFramingOrientation; range dependency of platingFramingOrientation; range dependency of transverseFramingOrientation</x:v>
      </x:c>
      <x:c r="J16" s="47" t="n">
        <x:v>0</x:v>
      </x:c>
    </x:row>
    <x:row r="17">
      <x:c r="A17" s="47" t="str">
        <x:v>RUN-TRF-041-20260915T125319067059Z</x:v>
      </x:c>
      <x:c r="B17" s="47" t="str">
        <x:v>TRF-041</x:v>
      </x:c>
      <x:c r="C17" s="47" t="str">
        <x:v>platingPressure</x:v>
      </x:c>
      <x:c r="D17" s="48" t="str">
        <x:v>https://w3id.org/nltl/vocab#platingPressure</x:v>
      </x:c>
      <x:c r="E17" s="47" t="str">
        <x:v>QuantityProperty</x:v>
      </x:c>
      <x:c r="F17" s="47" t="str"/>
      <x:c r="G17" s="47" t="str">
        <x:v>http://qudt.org/schema/qudt/QuantityValue</x:v>
      </x:c>
      <x:c r="H17" s="47" t="str">
        <x:v>http://qudt.org/vocab/unit/MegaPA</x:v>
      </x:c>
      <x:c r="I17" s="48" t="str">
        <x:v>linked by the locked 313-requirement index</x:v>
      </x:c>
      <x:c r="J17" s="47" t="n">
        <x:v>0</x:v>
      </x:c>
    </x:row>
    <x:row r="18">
      <x:c r="A18" s="47" t="str">
        <x:v>RUN-TRF-041-20260915T125319067059Z</x:v>
      </x:c>
      <x:c r="B18" s="47" t="str">
        <x:v>TRF-041</x:v>
      </x:c>
      <x:c r="C18" s="47" t="str">
        <x:v>requiredShellPlatingThickness</x:v>
      </x:c>
      <x:c r="D18" s="48" t="str">
        <x:v>https://w3id.org/nltl/vocab#requiredShellPlatingThickness</x:v>
      </x:c>
      <x:c r="E18" s="47" t="str">
        <x:v>QuantityProperty</x:v>
      </x:c>
      <x:c r="F18" s="47" t="str"/>
      <x:c r="G18" s="47" t="str">
        <x:v>http://qudt.org/schema/qudt/QuantityValue</x:v>
      </x:c>
      <x:c r="H18" s="47" t="str">
        <x:v>http://qudt.org/vocab/unit/MilliM</x:v>
      </x:c>
      <x:c r="I18" s="48" t="str">
        <x:v>linked by the locked 313-requirement index</x:v>
      </x:c>
      <x:c r="J18" s="47" t="n">
        <x:v>0</x:v>
      </x:c>
    </x:row>
    <x:row r="19">
      <x:c r="A19" s="47" t="str">
        <x:v>RUN-TRF-041-20260915T125319067059Z</x:v>
      </x:c>
      <x:c r="B19" s="47" t="str">
        <x:v>TRF-041</x:v>
      </x:c>
      <x:c r="C19" s="47" t="str">
        <x:v>ship</x:v>
      </x:c>
      <x:c r="D19" s="48" t="str">
        <x:v>https://w3id.org/nltl/vocab#ship</x:v>
      </x:c>
      <x:c r="E19" s="47" t="str">
        <x:v>Class</x:v>
      </x:c>
      <x:c r="F19" s="47" t="str"/>
      <x:c r="G19" s="47" t="str"/>
      <x:c r="H19" s="47" t="str"/>
      <x:c r="I19" s="48" t="str">
        <x:v>baseline target infrastructure</x:v>
      </x:c>
      <x:c r="J19" s="47" t="n">
        <x:v>0</x:v>
      </x:c>
    </x:row>
    <x:row r="20">
      <x:c r="A20" s="47" t="str">
        <x:v>RUN-TRF-041-20260915T125319067059Z</x:v>
      </x:c>
      <x:c r="B20" s="47" t="str">
        <x:v>TRF-041</x:v>
      </x:c>
      <x:c r="C20" s="47" t="str">
        <x:v>shipComponent</x:v>
      </x:c>
      <x:c r="D20" s="48" t="str">
        <x:v>https://w3id.org/nltl/vocab#shipComponent</x:v>
      </x:c>
      <x:c r="E20" s="47" t="str">
        <x:v>Class</x:v>
      </x:c>
      <x:c r="F20" s="47" t="str"/>
      <x:c r="G20" s="47" t="str"/>
      <x:c r="H20" s="47" t="str"/>
      <x:c r="I20" s="48" t="str">
        <x:v>component-path dependency inferred from the linked term module</x:v>
      </x:c>
      <x:c r="J20" s="47" t="n">
        <x:v>0</x:v>
      </x:c>
    </x:row>
    <x:row r="21">
      <x:c r="A21" s="47" t="str">
        <x:v>RUN-TRF-041-20260915T125319067059Z</x:v>
      </x:c>
      <x:c r="B21" s="47" t="str">
        <x:v>TRF-041</x:v>
      </x:c>
      <x:c r="C21" s="47" t="str">
        <x:v>spacing</x:v>
      </x:c>
      <x:c r="D21" s="48" t="str">
        <x:v>https://w3id.org/nltl/vocab#spacing</x:v>
      </x:c>
      <x:c r="E21" s="47" t="str">
        <x:v>QuantityProperty</x:v>
      </x:c>
      <x:c r="F21" s="47" t="str"/>
      <x:c r="G21" s="47" t="str">
        <x:v>http://qudt.org/schema/qudt/QuantityValue</x:v>
      </x:c>
      <x:c r="H21" s="47" t="str">
        <x:v>http://qudt.org/vocab/unit/M</x:v>
      </x:c>
      <x:c r="I21" s="48" t="str">
        <x:v>linked by the locked 313-requirement index</x:v>
      </x:c>
      <x:c r="J21" s="47" t="n">
        <x:v>0</x:v>
      </x:c>
    </x:row>
    <x:row r="22">
      <x:c r="A22" s="47" t="str">
        <x:v>RUN-TRF-041-20260915T125319067059Z</x:v>
      </x:c>
      <x:c r="B22" s="47" t="str">
        <x:v>TRF-041</x:v>
      </x:c>
      <x:c r="C22" s="47" t="str">
        <x:v>steelGradeAh</x:v>
      </x:c>
      <x:c r="D22" s="48" t="str">
        <x:v>https://w3id.org/nltl/vocab#steelGradeAh</x:v>
      </x:c>
      <x:c r="E22" s="47" t="str">
        <x:v>NamedIndividual</x:v>
      </x:c>
      <x:c r="F22" s="47" t="str"/>
      <x:c r="G22" s="47" t="str">
        <x:v>https://w3id.org/nltl/vocab#steelGradeValue</x:v>
      </x:c>
      <x:c r="H22" s="47" t="str"/>
      <x:c r="I22" s="48" t="str">
        <x:v>controlled value permitted by the range of hullStructuralSteelGrade</x:v>
      </x:c>
      <x:c r="J22" s="47" t="n">
        <x:v>0</x:v>
      </x:c>
    </x:row>
    <x:row r="23">
      <x:c r="A23" s="47" t="str">
        <x:v>RUN-TRF-041-20260915T125319067059Z</x:v>
      </x:c>
      <x:c r="B23" s="47" t="str">
        <x:v>TRF-041</x:v>
      </x:c>
      <x:c r="C23" s="47" t="str">
        <x:v>steelGradeB</x:v>
      </x:c>
      <x:c r="D23" s="48" t="str">
        <x:v>https://w3id.org/nltl/vocab#steelGradeB</x:v>
      </x:c>
      <x:c r="E23" s="47" t="str">
        <x:v>NamedIndividual</x:v>
      </x:c>
      <x:c r="F23" s="47" t="str"/>
      <x:c r="G23" s="47" t="str">
        <x:v>https://w3id.org/nltl/vocab#steelGradeValue</x:v>
      </x:c>
      <x:c r="H23" s="47" t="str"/>
      <x:c r="I23" s="48" t="str">
        <x:v>controlled value permitted by the range of hullStructuralSteelGrade</x:v>
      </x:c>
      <x:c r="J23" s="47" t="n">
        <x:v>0</x:v>
      </x:c>
    </x:row>
    <x:row r="24">
      <x:c r="A24" s="47" t="str">
        <x:v>RUN-TRF-041-20260915T125319067059Z</x:v>
      </x:c>
      <x:c r="B24" s="47" t="str">
        <x:v>TRF-041</x:v>
      </x:c>
      <x:c r="C24" s="47" t="str">
        <x:v>steelGradeD</x:v>
      </x:c>
      <x:c r="D24" s="48" t="str">
        <x:v>https://w3id.org/nltl/vocab#steelGradeD</x:v>
      </x:c>
      <x:c r="E24" s="47" t="str">
        <x:v>NamedIndividual</x:v>
      </x:c>
      <x:c r="F24" s="47" t="str"/>
      <x:c r="G24" s="47" t="str">
        <x:v>https://w3id.org/nltl/vocab#steelGradeValue</x:v>
      </x:c>
      <x:c r="H24" s="47" t="str"/>
      <x:c r="I24" s="48" t="str">
        <x:v>controlled value permitted by the range of hullStructuralSteelGrade</x:v>
      </x:c>
      <x:c r="J24" s="47" t="n">
        <x:v>0</x:v>
      </x:c>
    </x:row>
    <x:row r="25">
      <x:c r="A25" s="47" t="str">
        <x:v>RUN-TRF-041-20260915T125319067059Z</x:v>
      </x:c>
      <x:c r="B25" s="47" t="str">
        <x:v>TRF-041</x:v>
      </x:c>
      <x:c r="C25" s="47" t="str">
        <x:v>steelGradeDh</x:v>
      </x:c>
      <x:c r="D25" s="48" t="str">
        <x:v>https://w3id.org/nltl/vocab#steelGradeDh</x:v>
      </x:c>
      <x:c r="E25" s="47" t="str">
        <x:v>NamedIndividual</x:v>
      </x:c>
      <x:c r="F25" s="47" t="str"/>
      <x:c r="G25" s="47" t="str">
        <x:v>https://w3id.org/nltl/vocab#steelGradeValue</x:v>
      </x:c>
      <x:c r="H25" s="47" t="str"/>
      <x:c r="I25" s="48" t="str">
        <x:v>controlled value permitted by the range of hullStructuralSteelGrade</x:v>
      </x:c>
      <x:c r="J25" s="47" t="n">
        <x:v>0</x:v>
      </x:c>
    </x:row>
    <x:row r="26">
      <x:c r="A26" s="47" t="str">
        <x:v>RUN-TRF-041-20260915T125319067059Z</x:v>
      </x:c>
      <x:c r="B26" s="47" t="str">
        <x:v>TRF-041</x:v>
      </x:c>
      <x:c r="C26" s="47" t="str">
        <x:v>steelGradeE</x:v>
      </x:c>
      <x:c r="D26" s="48" t="str">
        <x:v>https://w3id.org/nltl/vocab#steelGradeE</x:v>
      </x:c>
      <x:c r="E26" s="47" t="str">
        <x:v>NamedIndividual</x:v>
      </x:c>
      <x:c r="F26" s="47" t="str"/>
      <x:c r="G26" s="47" t="str">
        <x:v>https://w3id.org/nltl/vocab#steelGradeValue</x:v>
      </x:c>
      <x:c r="H26" s="47" t="str"/>
      <x:c r="I26" s="48" t="str">
        <x:v>controlled value permitted by the range of hullStructuralSteelGrade</x:v>
      </x:c>
      <x:c r="J26" s="47" t="n">
        <x:v>0</x:v>
      </x:c>
    </x:row>
    <x:row r="27">
      <x:c r="A27" s="47" t="str">
        <x:v>RUN-TRF-041-20260915T125319067059Z</x:v>
      </x:c>
      <x:c r="B27" s="47" t="str">
        <x:v>TRF-041</x:v>
      </x:c>
      <x:c r="C27" s="47" t="str">
        <x:v>steelGradeEh</x:v>
      </x:c>
      <x:c r="D27" s="48" t="str">
        <x:v>https://w3id.org/nltl/vocab#steelGradeEh</x:v>
      </x:c>
      <x:c r="E27" s="47" t="str">
        <x:v>NamedIndividual</x:v>
      </x:c>
      <x:c r="F27" s="47" t="str"/>
      <x:c r="G27" s="47" t="str">
        <x:v>https://w3id.org/nltl/vocab#steelGradeValue</x:v>
      </x:c>
      <x:c r="H27" s="47" t="str"/>
      <x:c r="I27" s="48" t="str">
        <x:v>controlled value permitted by the range of hullStructuralSteelGrade</x:v>
      </x:c>
      <x:c r="J27" s="47" t="n">
        <x:v>0</x:v>
      </x:c>
    </x:row>
    <x:row r="28">
      <x:c r="A28" s="47" t="str">
        <x:v>RUN-TRF-041-20260915T125319067059Z</x:v>
      </x:c>
      <x:c r="B28" s="47" t="str">
        <x:v>TRF-041</x:v>
      </x:c>
      <x:c r="C28" s="47" t="str">
        <x:v>steelGradeFh</x:v>
      </x:c>
      <x:c r="D28" s="48" t="str">
        <x:v>https://w3id.org/nltl/vocab#steelGradeFh</x:v>
      </x:c>
      <x:c r="E28" s="47" t="str">
        <x:v>NamedIndividual</x:v>
      </x:c>
      <x:c r="F28" s="47" t="str"/>
      <x:c r="G28" s="47" t="str">
        <x:v>https://w3id.org/nltl/vocab#steelGradeValue</x:v>
      </x:c>
      <x:c r="H28" s="47" t="str"/>
      <x:c r="I28" s="48" t="str">
        <x:v>controlled value permitted by the range of hullStructuralSteelGrade</x:v>
      </x:c>
      <x:c r="J28" s="47" t="n">
        <x:v>0</x:v>
      </x:c>
    </x:row>
    <x:row r="29">
      <x:c r="A29" s="47" t="str">
        <x:v>RUN-TRF-041-20260915T125319067059Z</x:v>
      </x:c>
      <x:c r="B29" s="47" t="str">
        <x:v>TRF-041</x:v>
      </x:c>
      <x:c r="C29" s="47" t="str">
        <x:v>steelGradeValue</x:v>
      </x:c>
      <x:c r="D29" s="48" t="str">
        <x:v>https://w3id.org/nltl/vocab#steelGradeValue</x:v>
      </x:c>
      <x:c r="E29" s="47" t="str">
        <x:v>Class</x:v>
      </x:c>
      <x:c r="F29" s="47" t="str"/>
      <x:c r="G29" s="47" t="str">
        <x:v>https://w3id.org/nltl/vocab#benchmarkEntity</x:v>
      </x:c>
      <x:c r="H29" s="47" t="str"/>
      <x:c r="I29" s="48" t="str">
        <x:v>range dependency of hullStructuralSteelGrade</x:v>
      </x:c>
      <x:c r="J29" s="47" t="n">
        <x:v>0</x:v>
      </x:c>
    </x:row>
    <x:row r="30">
      <x:c r="A30" s="47" t="str">
        <x:v>RUN-TRF-041-20260915T125319067059Z</x:v>
      </x:c>
      <x:c r="B30" s="47" t="str">
        <x:v>TRF-041</x:v>
      </x:c>
      <x:c r="C30" s="47" t="str">
        <x:v>transverseFramingOrientation</x:v>
      </x:c>
      <x:c r="D30" s="48" t="str">
        <x:v>https://w3id.org/nltl/vocab#transverseFramingOrientation</x:v>
      </x:c>
      <x:c r="E30" s="47" t="str">
        <x:v>NamedIndividual</x:v>
      </x:c>
      <x:c r="F30" s="47" t="str"/>
      <x:c r="G30" s="47" t="str">
        <x:v>https://w3id.org/nltl/vocab#platingFramingOrientationValue</x:v>
      </x:c>
      <x:c r="H30" s="47" t="str"/>
      <x:c r="I30" s="48" t="str">
        <x:v>controlled value permitted by the range of longitudinalFramingOrientation; controlled value permitted by the range of platingFramingOrientation; controlled value permitted by the range of transverseFramingOrientation; linked by the locked 313-requirement index</x:v>
      </x:c>
      <x:c r="J30" s="47" t="n">
        <x:v>0</x:v>
      </x:c>
    </x:row>
    <x:row r="31">
      <x:c r="A31" s="47" t="str">
        <x:v>RUN-TRF-041-20260915T125319067059Z</x:v>
      </x:c>
      <x:c r="B31" s="47" t="str">
        <x:v>TRF-041</x:v>
      </x:c>
      <x:c r="C31" s="47" t="str">
        <x:v>transversePlatingFactorF1</x:v>
      </x:c>
      <x:c r="D31" s="48" t="str">
        <x:v>https://w3id.org/nltl/vocab#transversePlatingFactorF1</x:v>
      </x:c>
      <x:c r="E31" s="47" t="str">
        <x:v>QuantityProperty</x:v>
      </x:c>
      <x:c r="F31" s="47" t="str"/>
      <x:c r="G31" s="47" t="str">
        <x:v>http://qudt.org/schema/qudt/QuantityValue</x:v>
      </x:c>
      <x:c r="H31" s="47" t="str">
        <x:v>http://qudt.org/vocab/unit/UNITLESS</x:v>
      </x:c>
      <x:c r="I31" s="48" t="str">
        <x:v>linked by the locked 313-requirement index</x:v>
      </x:c>
      <x:c r="J31" s="47" t="n">
        <x:v>0</x:v>
      </x:c>
    </x:row>
    <x:row r="32">
      <x:c r="A32" s="49" t="str">
        <x:v>RUN-TRF-041-20260915T125319067059Z</x:v>
      </x:c>
      <x:c r="B32" s="49" t="str">
        <x:v>TRF-041</x:v>
      </x:c>
      <x:c r="C32" s="49" t="str">
        <x:v>yieldStrength</x:v>
      </x:c>
      <x:c r="D32" s="50" t="str">
        <x:v>https://w3id.org/nltl/vocab#yieldStrength</x:v>
      </x:c>
      <x:c r="E32" s="49" t="str">
        <x:v>QuantityProperty</x:v>
      </x:c>
      <x:c r="F32" s="49" t="str"/>
      <x:c r="G32" s="49" t="str">
        <x:v>http://qudt.org/schema/qudt/QuantityValue</x:v>
      </x:c>
      <x:c r="H32" s="49" t="str">
        <x:v>http://qudt.org/vocab/unit/MegaPA</x:v>
      </x:c>
      <x:c r="I32" s="50" t="str">
        <x:v>linked by the locked 313-requirement index</x:v>
      </x:c>
      <x:c r="J32" s="49" t="n">
        <x:v>0</x:v>
      </x:c>
    </x:row>
  </x:sheetData>
  <x:pageMargins left="0.7" right="0.7" top="0.75" bottom="0.75" header="0.3" footer="0.3"/>
  <x:tableParts count="1">
    <x:tablePart xmlns:r="http://schemas.openxmlformats.org/officeDocument/2006/relationships" r:id="Ra2168b5c61bd4c30"/>
  </x:tableParts>
</x:worksheet>
</file>

<file path=xl/worksheets/sheet8.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RUN-TRF-041-20260915T125319067059Z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RUN-TRF-041-20260915T125319067059Z</x:v>
      </x:c>
      <x:c r="B5" s="45" t="str">
        <x:v>TRF-041</x:v>
      </x:c>
      <x:c r="C5" s="45" t="str">
        <x:v>FS-COMPLEX-READINESS-01</x:v>
      </x:c>
      <x:c r="D5" s="45" t="str">
        <x:v>complex_readiness_external_calculation</x:v>
      </x:c>
      <x:c r="E5" s="97" t="n">
        <x:v>2.177778</x:v>
      </x:c>
      <x:c r="F5" s="45" t="str">
        <x:v>calculation | complex | engineering | evidence | external | inputs | readiness | results</x:v>
      </x:c>
      <x:c r="G5" s="45" t="str">
        <x:v>synthetic-few-shot-not-benchmark-ground-truth</x:v>
      </x:c>
    </x:row>
    <x:row r="6">
      <x:c r="A6" s="49" t="str">
        <x:v>RUN-TRF-041-20260915T125319067059Z</x:v>
      </x:c>
      <x:c r="B6" s="49" t="str">
        <x:v>TRF-041</x:v>
      </x:c>
      <x:c r="C6" s="49" t="str">
        <x:v>FS-COMPLEX-READINESS-02</x:v>
      </x:c>
      <x:c r="D6" s="49" t="str">
        <x:v>complex_readiness_with_direct_residual_check</x:v>
      </x:c>
      <x:c r="E6" s="98" t="n">
        <x:v>2.078431</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44b3a37ae1bd4633"/>
  </x:tableParts>
</x:worksheet>
</file>

<file path=xl/worksheets/sheet9.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RUN-TRF-041-20260915T125319067059Z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RUN-TRF-041-20260915T125319067059Z</x:v>
      </x:c>
      <x:c r="B5" s="45" t="str">
        <x:v>TRF-041</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https://w3id.org/nltl/vocab#corrosionAbrasionAddition | https://w3id.org/nltl/vocab#icePressure | https://w3id.org/nltl/vocab#longitudinalFramingOrientation | https://w3id.org/nltl/vocab#longitudinalPlatingFactorF2 | https://w3id.org/nltl/vocab#plating | https://w3id.org/nltl/vocab#platingFramingOrientation | https://w3id.org/nltl/vocab#platingFramingOrientationValue | https://w3id.org/nltl/vocab#platingPressure | https://w3id.org/nltl/vocab#requiredShellPlatingThickness | https://w3id.org/nltl/vocab#spacing | https://w3id.org/nltl/vocab#transverseFramingOrientation | https://w3id.org/nltl/vocab#transversePlatingFactorF1 | https://w3id.org/nltl/vocab#yieldStrength</x:v>
      </x:c>
      <x:c r="O5" s="46" t="str"/>
      <x:c r="P5" s="46" t="str"/>
      <x:c r="Q5" s="46" t="str"/>
    </x:row>
    <x:row r="6">
      <x:c r="A6" s="49" t="str">
        <x:v>RUN-TRF-041-20260915T125319067059Z</x:v>
      </x:c>
      <x:c r="B6" s="49" t="str">
        <x:v>TRF-041</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https://w3id.org/nltl/vocab#corrosionAbrasionAddition | https://w3id.org/nltl/vocab#icePressure | https://w3id.org/nltl/vocab#longitudinalFramingOrientation | https://w3id.org/nltl/vocab#longitudinalPlatingFactorF2 | https://w3id.org/nltl/vocab#plating | https://w3id.org/nltl/vocab#platingFramingOrientation | https://w3id.org/nltl/vocab#platingFramingOrientationValue | https://w3id.org/nltl/vocab#platingPressure | https://w3id.org/nltl/vocab#requiredShellPlatingThickness | https://w3id.org/nltl/vocab#spacing | https://w3id.org/nltl/vocab#transverseFramingOrientation | https://w3id.org/nltl/vocab#transversePlatingFactorF1 | https://w3id.org/nltl/vocab#yieldStrength</x:v>
      </x:c>
      <x:c r="O6" s="50" t="str"/>
      <x:c r="P6" s="50" t="str"/>
      <x:c r="Q6" s="50" t="str"/>
    </x:row>
  </x:sheetData>
  <x:pageMargins left="0.7" right="0.7" top="0.75" bottom="0.75" header="0.3" footer="0.3"/>
  <x:tableParts count="1">
    <x:tablePart xmlns:r="http://schemas.openxmlformats.org/officeDocument/2006/relationships" r:id="R8429b6d0604d4dab"/>
  </x:tableParts>
</x:worksheet>
</file>

<file path=xl/worksheets/sheet10.xml><?xml version="1.0" encoding="utf-8"?>
<x:worksheet xmlns:x="http://schemas.openxmlformats.org/spreadsheetml/2006/main">
  <x:sheetViews>
    <x:sheetView showGridLines="0" workbookViewId="0">
      <x:pane ySplit="4" topLeftCell="A5" activePane="bottomLeft" state="frozen"/>
    </x:sheetView>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RUN-TRF-041-20260915T125319067059Z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RUN-TRF-041-20260915T125319067059Z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RUN-TRF-041-20260915T125319067059Z</x:v>
      </x:c>
      <x:c r="B5" s="45" t="str">
        <x:v>TRF-041</x:v>
      </x:c>
      <x:c r="C5" s="58"/>
      <x:c r="D5" s="45" t="str">
        <x:v>initial_context_pack</x:v>
      </x:c>
      <x:c r="E5" s="46" t="str">
        <x:v>artifacts/context_pack_initial.json</x:v>
      </x:c>
      <x:c r="F5" s="45" t="str">
        <x:v>8e64221db02fdf65cdc32814afd810f5f4e5b965bfdeb488966a199f34cc21fa</x:v>
      </x:c>
      <x:c r="G5" s="58" t="n">
        <x:v>35852</x:v>
      </x:c>
    </x:row>
    <x:row r="6">
      <x:c r="A6" s="47" t="str">
        <x:v>RUN-TRF-041-20260915T125319067059Z</x:v>
      </x:c>
      <x:c r="B6" s="47" t="str">
        <x:v>TRF-041</x:v>
      </x:c>
      <x:c r="C6" s="59"/>
      <x:c r="D6" s="47" t="str">
        <x:v>few_shot_selection</x:v>
      </x:c>
      <x:c r="E6" s="48" t="str">
        <x:v>artifacts/few_shots_selected.json</x:v>
      </x:c>
      <x:c r="F6" s="47" t="str">
        <x:v>62bf6442f6d22f29797b4780b11c45e2e30f8022c5b81f245604d5adda53eaa6</x:v>
      </x:c>
      <x:c r="G6" s="59" t="n">
        <x:v>6555</x:v>
      </x:c>
    </x:row>
    <x:row r="7">
      <x:c r="A7" s="47" t="str">
        <x:v>RUN-TRF-041-20260915T125319067059Z</x:v>
      </x:c>
      <x:c r="B7" s="47" t="str">
        <x:v>TRF-041</x:v>
      </x:c>
      <x:c r="C7" s="59" t="n">
        <x:v>1</x:v>
      </x:c>
      <x:c r="D7" s="47" t="str">
        <x:v>generator_prompt</x:v>
      </x:c>
      <x:c r="E7" s="48" t="str">
        <x:v>artifacts/attempt_01/generator_prompt.txt</x:v>
      </x:c>
      <x:c r="F7" s="47" t="str">
        <x:v>e07b9f7b627cefbf6fd27f25d7927dc7f4d8a20fdd1fea6a41c85dd5987cdfba</x:v>
      </x:c>
      <x:c r="G7" s="59" t="n">
        <x:v>54051</x:v>
      </x:c>
    </x:row>
    <x:row r="8">
      <x:c r="A8" s="47" t="str">
        <x:v>RUN-TRF-041-20260915T125319067059Z</x:v>
      </x:c>
      <x:c r="B8" s="47" t="str">
        <x:v>TRF-041</x:v>
      </x:c>
      <x:c r="C8" s="59" t="n">
        <x:v>1</x:v>
      </x:c>
      <x:c r="D8" s="47" t="str">
        <x:v>generator_raw_response</x:v>
      </x:c>
      <x:c r="E8" s="48" t="str">
        <x:v>artifacts/attempt_01/generator_raw.txt</x:v>
      </x:c>
      <x:c r="F8" s="47" t="str">
        <x:v>cce3d2bf483dc935a9cd43a740a25a84768269035bf9c9b738d9478c54f29ef3</x:v>
      </x:c>
      <x:c r="G8" s="59" t="n">
        <x:v>6510</x:v>
      </x:c>
    </x:row>
    <x:row r="9">
      <x:c r="A9" s="47" t="str">
        <x:v>RUN-TRF-041-20260915T125319067059Z</x:v>
      </x:c>
      <x:c r="B9" s="47" t="str">
        <x:v>TRF-041</x:v>
      </x:c>
      <x:c r="C9" s="59" t="n">
        <x:v>1</x:v>
      </x:c>
      <x:c r="D9" s="47" t="str">
        <x:v>syntax_repair_prompt</x:v>
      </x:c>
      <x:c r="E9" s="48" t="str">
        <x:v>artifacts/attempt_01/syntax_repair_prompt_01.txt</x:v>
      </x:c>
      <x:c r="F9" s="47" t="str">
        <x:v>b94655f24886489833c96489e314125275dc0346fad01caaad4dfa1ffac05591</x:v>
      </x:c>
      <x:c r="G9" s="59" t="n">
        <x:v>14683</x:v>
      </x:c>
    </x:row>
    <x:row r="10">
      <x:c r="A10" s="47" t="str">
        <x:v>RUN-TRF-041-20260915T125319067059Z</x:v>
      </x:c>
      <x:c r="B10" s="47" t="str">
        <x:v>TRF-041</x:v>
      </x:c>
      <x:c r="C10" s="59" t="n">
        <x:v>1</x:v>
      </x:c>
      <x:c r="D10" s="47" t="str">
        <x:v>syntax_repair_raw_response</x:v>
      </x:c>
      <x:c r="E10" s="48" t="str">
        <x:v>artifacts/attempt_01/syntax_repair_raw_01.txt</x:v>
      </x:c>
      <x:c r="F10" s="47" t="str">
        <x:v>8d793af6298d51028b4e4418e2953416460a0a3f1f6ffbec600e1481885e0f6b</x:v>
      </x:c>
      <x:c r="G10" s="59" t="n">
        <x:v>6511</x:v>
      </x:c>
    </x:row>
    <x:row r="11">
      <x:c r="A11" s="47" t="str">
        <x:v>RUN-TRF-041-20260915T125319067059Z</x:v>
      </x:c>
      <x:c r="B11" s="47" t="str">
        <x:v>TRF-041</x:v>
      </x:c>
      <x:c r="C11" s="59" t="n">
        <x:v>1</x:v>
      </x:c>
      <x:c r="D11" s="47" t="str">
        <x:v>candidate_shape</x:v>
      </x:c>
      <x:c r="E11" s="48" t="str">
        <x:v>artifacts/attempt_01/candidate_shape.ttl</x:v>
      </x:c>
      <x:c r="F11" s="47" t="str">
        <x:v>c08420ed528b52de4119d279a80dc437d1fa4a9b5da78656ec743c917ac679d5</x:v>
      </x:c>
      <x:c r="G11" s="59" t="n">
        <x:v>6486</x:v>
      </x:c>
    </x:row>
    <x:row r="12">
      <x:c r="A12" s="47" t="str">
        <x:v>RUN-TRF-041-20260915T125319067059Z</x:v>
      </x:c>
      <x:c r="B12" s="47" t="str">
        <x:v>TRF-041</x:v>
      </x:c>
      <x:c r="C12" s="59" t="n">
        <x:v>1</x:v>
      </x:c>
      <x:c r="D12" s="47" t="str">
        <x:v>deterministic_validation</x:v>
      </x:c>
      <x:c r="E12" s="48" t="str">
        <x:v>artifacts/attempt_01/deterministic_validation.json</x:v>
      </x:c>
      <x:c r="F12" s="47" t="str">
        <x:v>5783c0d1942d402c48779455701e5625ae73dea032c9b3260743fce8f7ee46a7</x:v>
      </x:c>
      <x:c r="G12" s="59" t="n">
        <x:v>1129</x:v>
      </x:c>
    </x:row>
    <x:row r="13">
      <x:c r="A13" s="47" t="str">
        <x:v>RUN-TRF-041-20260915T125319067059Z</x:v>
      </x:c>
      <x:c r="B13" s="47" t="str">
        <x:v>TRF-041</x:v>
      </x:c>
      <x:c r="C13" s="59" t="n">
        <x:v>1</x:v>
      </x:c>
      <x:c r="D13" s="47" t="str">
        <x:v>validator_prompt</x:v>
      </x:c>
      <x:c r="E13" s="48" t="str">
        <x:v>artifacts/attempt_01/validator_prompt_01.txt</x:v>
      </x:c>
      <x:c r="F13" s="47" t="str">
        <x:v>31557f89de987564f2023f941184d417aea80d92a7e200e20883139209b36908</x:v>
      </x:c>
      <x:c r="G13" s="59" t="n">
        <x:v>50948</x:v>
      </x:c>
    </x:row>
    <x:row r="14">
      <x:c r="A14" s="47" t="str">
        <x:v>RUN-TRF-041-20260915T125319067059Z</x:v>
      </x:c>
      <x:c r="B14" s="47" t="str">
        <x:v>TRF-041</x:v>
      </x:c>
      <x:c r="C14" s="59" t="n">
        <x:v>1</x:v>
      </x:c>
      <x:c r="D14" s="47" t="str">
        <x:v>validator_raw_response</x:v>
      </x:c>
      <x:c r="E14" s="48" t="str">
        <x:v>artifacts/attempt_01/validator_raw_01.txt</x:v>
      </x:c>
      <x:c r="F14" s="47" t="str">
        <x:v>7687abef6637dfc9179041a5e35815fef74ebd6de86c3327e479340559989ddf</x:v>
      </x:c>
      <x:c r="G14" s="59" t="n">
        <x:v>877</x:v>
      </x:c>
    </x:row>
    <x:row r="15">
      <x:c r="A15" s="47" t="str">
        <x:v>RUN-TRF-041-20260915T125319067059Z</x:v>
      </x:c>
      <x:c r="B15" s="47" t="str">
        <x:v>TRF-041</x:v>
      </x:c>
      <x:c r="C15" s="59" t="n">
        <x:v>1</x:v>
      </x:c>
      <x:c r="D15" s="47" t="str">
        <x:v>structured_current_issues</x:v>
      </x:c>
      <x:c r="E15" s="48" t="str">
        <x:v>artifacts/attempt_01/structured_current_issues.json</x:v>
      </x:c>
      <x:c r="F15" s="47" t="str">
        <x:v>65909ca2336cd6f58b27064b7bb9ea0e7f818873f7a3a26cd7204fc5bed7debd</x:v>
      </x:c>
      <x:c r="G15" s="59" t="n">
        <x:v>886</x:v>
      </x:c>
    </x:row>
    <x:row r="16">
      <x:c r="A16" s="47" t="str">
        <x:v>RUN-TRF-041-20260915T125319067059Z</x:v>
      </x:c>
      <x:c r="B16" s="47" t="str">
        <x:v>TRF-041</x:v>
      </x:c>
      <x:c r="C16" s="59" t="n">
        <x:v>1</x:v>
      </x:c>
      <x:c r="D16" s="47" t="str">
        <x:v>past_mistakes_to_avoid</x:v>
      </x:c>
      <x:c r="E16" s="48" t="str">
        <x:v>artifacts/attempt_01/past_mistakes_to_avoid.json</x:v>
      </x:c>
      <x:c r="F16" s="47" t="str">
        <x:v>37517e5f3dc66819f61f5a7bb8ace1921282415f10551d2defa5c3eb0985b570</x:v>
      </x:c>
      <x:c r="G16" s="59" t="n">
        <x:v>3</x:v>
      </x:c>
    </x:row>
    <x:row r="17">
      <x:c r="A17" s="47" t="str">
        <x:v>RUN-TRF-041-20260915T125319067059Z</x:v>
      </x:c>
      <x:c r="B17" s="47" t="str">
        <x:v>TRF-041</x:v>
      </x:c>
      <x:c r="C17" s="59" t="n">
        <x:v>1</x:v>
      </x:c>
      <x:c r="D17" s="47" t="str">
        <x:v>attempt_metadata</x:v>
      </x:c>
      <x:c r="E17" s="48" t="str">
        <x:v>artifacts/attempt_01/attempt_metadata.json</x:v>
      </x:c>
      <x:c r="F17" s="47" t="str">
        <x:v>aea566c0a3810e2e1fdbb20a3381fb5285763c0951a22f6a3f0053e3629ba808</x:v>
      </x:c>
      <x:c r="G17" s="59" t="n">
        <x:v>920</x:v>
      </x:c>
    </x:row>
    <x:row r="18">
      <x:c r="A18" s="47" t="str">
        <x:v>RUN-TRF-041-20260915T125319067059Z</x:v>
      </x:c>
      <x:c r="B18" s="47" t="str">
        <x:v>TRF-041</x:v>
      </x:c>
      <x:c r="C18" s="59" t="n">
        <x:v>2</x:v>
      </x:c>
      <x:c r="D18" s="47" t="str">
        <x:v>semantic_repair_prompt</x:v>
      </x:c>
      <x:c r="E18" s="48" t="str">
        <x:v>artifacts/attempt_02/semantic_repair_prompt.txt</x:v>
      </x:c>
      <x:c r="F18" s="47" t="str">
        <x:v>7db5c33952ab8cc6ae7a8c9909178d6cf52f456c4d8a6f6b5d70ba567c4bc64a</x:v>
      </x:c>
      <x:c r="G18" s="59" t="n">
        <x:v>44119</x:v>
      </x:c>
    </x:row>
    <x:row r="19">
      <x:c r="A19" s="47" t="str">
        <x:v>RUN-TRF-041-20260915T125319067059Z</x:v>
      </x:c>
      <x:c r="B19" s="47" t="str">
        <x:v>TRF-041</x:v>
      </x:c>
      <x:c r="C19" s="59" t="n">
        <x:v>2</x:v>
      </x:c>
      <x:c r="D19" s="47" t="str">
        <x:v>semantic_repair_raw_response</x:v>
      </x:c>
      <x:c r="E19" s="48" t="str">
        <x:v>artifacts/attempt_02/semantic_repair_raw.txt</x:v>
      </x:c>
      <x:c r="F19" s="47" t="str">
        <x:v>d53c96b68249ac1d1ccd1f5f526574f17ca2b7870fe95d1bd9a6db5524a3a0b8</x:v>
      </x:c>
      <x:c r="G19" s="59" t="n">
        <x:v>6715</x:v>
      </x:c>
    </x:row>
    <x:row r="20">
      <x:c r="A20" s="47" t="str">
        <x:v>RUN-TRF-041-20260915T125319067059Z</x:v>
      </x:c>
      <x:c r="B20" s="47" t="str">
        <x:v>TRF-041</x:v>
      </x:c>
      <x:c r="C20" s="59" t="n">
        <x:v>2</x:v>
      </x:c>
      <x:c r="D20" s="47" t="str">
        <x:v>candidate_shape</x:v>
      </x:c>
      <x:c r="E20" s="48" t="str">
        <x:v>artifacts/attempt_02/candidate_shape.ttl</x:v>
      </x:c>
      <x:c r="F20" s="47" t="str">
        <x:v>21c26477ab3581b2e4acf83d159e87486537132fffb69f1c903dfcaa89dbc38e</x:v>
      </x:c>
      <x:c r="G20" s="59" t="n">
        <x:v>6690</x:v>
      </x:c>
    </x:row>
    <x:row r="21">
      <x:c r="A21" s="47" t="str">
        <x:v>RUN-TRF-041-20260915T125319067059Z</x:v>
      </x:c>
      <x:c r="B21" s="47" t="str">
        <x:v>TRF-041</x:v>
      </x:c>
      <x:c r="C21" s="59" t="n">
        <x:v>2</x:v>
      </x:c>
      <x:c r="D21" s="47" t="str">
        <x:v>deterministic_validation</x:v>
      </x:c>
      <x:c r="E21" s="48" t="str">
        <x:v>artifacts/attempt_02/deterministic_validation.json</x:v>
      </x:c>
      <x:c r="F21" s="47" t="str">
        <x:v>5783c0d1942d402c48779455701e5625ae73dea032c9b3260743fce8f7ee46a7</x:v>
      </x:c>
      <x:c r="G21" s="59" t="n">
        <x:v>1129</x:v>
      </x:c>
    </x:row>
    <x:row r="22">
      <x:c r="A22" s="47" t="str">
        <x:v>RUN-TRF-041-20260915T125319067059Z</x:v>
      </x:c>
      <x:c r="B22" s="47" t="str">
        <x:v>TRF-041</x:v>
      </x:c>
      <x:c r="C22" s="59" t="n">
        <x:v>2</x:v>
      </x:c>
      <x:c r="D22" s="47" t="str">
        <x:v>repair_diff</x:v>
      </x:c>
      <x:c r="E22" s="48" t="str">
        <x:v>artifacts/attempt_02/repair_diff.json</x:v>
      </x:c>
      <x:c r="F22" s="47" t="str">
        <x:v>dbd397f8017550b770ffd00e9133633787730d32445efa13a795549fd876e7b5</x:v>
      </x:c>
      <x:c r="G22" s="59" t="n">
        <x:v>528</x:v>
      </x:c>
    </x:row>
    <x:row r="23">
      <x:c r="A23" s="47" t="str">
        <x:v>RUN-TRF-041-20260915T125319067059Z</x:v>
      </x:c>
      <x:c r="B23" s="47" t="str">
        <x:v>TRF-041</x:v>
      </x:c>
      <x:c r="C23" s="59" t="n">
        <x:v>2</x:v>
      </x:c>
      <x:c r="D23" s="47" t="str">
        <x:v>validator_prompt</x:v>
      </x:c>
      <x:c r="E23" s="48" t="str">
        <x:v>artifacts/attempt_02/validator_prompt_01.txt</x:v>
      </x:c>
      <x:c r="F23" s="47" t="str">
        <x:v>a159b11e43d6602e3c086e734a78f5510cb63abd665d12e87e67b64c2cea4893</x:v>
      </x:c>
      <x:c r="G23" s="59" t="n">
        <x:v>51146</x:v>
      </x:c>
    </x:row>
    <x:row r="24">
      <x:c r="A24" s="47" t="str">
        <x:v>RUN-TRF-041-20260915T125319067059Z</x:v>
      </x:c>
      <x:c r="B24" s="47" t="str">
        <x:v>TRF-041</x:v>
      </x:c>
      <x:c r="C24" s="59" t="n">
        <x:v>2</x:v>
      </x:c>
      <x:c r="D24" s="47" t="str">
        <x:v>validator_raw_response</x:v>
      </x:c>
      <x:c r="E24" s="48" t="str">
        <x:v>artifacts/attempt_02/validator_raw_01.txt</x:v>
      </x:c>
      <x:c r="F24" s="47" t="str">
        <x:v>e8082ffa031d150609705a932c42f94ce8b7d63c736981cdf71150d09177b831</x:v>
      </x:c>
      <x:c r="G24" s="59" t="n">
        <x:v>68</x:v>
      </x:c>
    </x:row>
    <x:row r="25">
      <x:c r="A25" s="47" t="str">
        <x:v>RUN-TRF-041-20260915T125319067059Z</x:v>
      </x:c>
      <x:c r="B25" s="47" t="str">
        <x:v>TRF-041</x:v>
      </x:c>
      <x:c r="C25" s="59" t="n">
        <x:v>2</x:v>
      </x:c>
      <x:c r="D25" s="47" t="str">
        <x:v>final_accepted_shape</x:v>
      </x:c>
      <x:c r="E25" s="48" t="str">
        <x:v>final/final_shape.ttl</x:v>
      </x:c>
      <x:c r="F25" s="47" t="str">
        <x:v>21c26477ab3581b2e4acf83d159e87486537132fffb69f1c903dfcaa89dbc38e</x:v>
      </x:c>
      <x:c r="G25" s="59" t="n">
        <x:v>6690</x:v>
      </x:c>
    </x:row>
    <x:row r="26">
      <x:c r="A26" s="47" t="str">
        <x:v>RUN-TRF-041-20260915T125319067059Z</x:v>
      </x:c>
      <x:c r="B26" s="47" t="str">
        <x:v>TRF-041</x:v>
      </x:c>
      <x:c r="C26" s="59" t="n">
        <x:v>2</x:v>
      </x:c>
      <x:c r="D26" s="47" t="str">
        <x:v>structured_current_issues</x:v>
      </x:c>
      <x:c r="E26" s="48" t="str">
        <x:v>artifacts/attempt_02/structured_current_issues.json</x:v>
      </x:c>
      <x:c r="F26" s="47" t="str">
        <x:v>37517e5f3dc66819f61f5a7bb8ace1921282415f10551d2defa5c3eb0985b570</x:v>
      </x:c>
      <x:c r="G26" s="59" t="n">
        <x:v>3</x:v>
      </x:c>
    </x:row>
    <x:row r="27">
      <x:c r="A27" s="47" t="str">
        <x:v>RUN-TRF-041-20260915T125319067059Z</x:v>
      </x:c>
      <x:c r="B27" s="47" t="str">
        <x:v>TRF-041</x:v>
      </x:c>
      <x:c r="C27" s="59" t="n">
        <x:v>2</x:v>
      </x:c>
      <x:c r="D27" s="47" t="str">
        <x:v>past_mistakes_to_avoid</x:v>
      </x:c>
      <x:c r="E27" s="48" t="str">
        <x:v>artifacts/attempt_02/past_mistakes_to_avoid.json</x:v>
      </x:c>
      <x:c r="F27" s="47" t="str">
        <x:v>ec83f973557f57759f972046d146a5a3de9f8cffcadd79f6bea2c7094e4dbf47</x:v>
      </x:c>
      <x:c r="G27" s="59" t="n">
        <x:v>125</x:v>
      </x:c>
    </x:row>
    <x:row r="28">
      <x:c r="A28" s="47" t="str">
        <x:v>RUN-TRF-041-20260915T125319067059Z</x:v>
      </x:c>
      <x:c r="B28" s="47" t="str">
        <x:v>TRF-041</x:v>
      </x:c>
      <x:c r="C28" s="59" t="n">
        <x:v>2</x:v>
      </x:c>
      <x:c r="D28" s="47" t="str">
        <x:v>attempt_metadata</x:v>
      </x:c>
      <x:c r="E28" s="48" t="str">
        <x:v>artifacts/attempt_02/attempt_metadata.json</x:v>
      </x:c>
      <x:c r="F28" s="47" t="str">
        <x:v>762ee3fa63723ed7f28265de7bd822e812aec1b75bec1412f199cb9480e88787</x:v>
      </x:c>
      <x:c r="G28" s="59" t="n">
        <x:v>988</x:v>
      </x:c>
    </x:row>
    <x:row r="29">
      <x:c r="A29" s="47" t="str">
        <x:v>RUN-TRF-041-20260915T125319067059Z</x:v>
      </x:c>
      <x:c r="B29" s="47" t="str">
        <x:v>TRF-041</x:v>
      </x:c>
      <x:c r="C29" s="59"/>
      <x:c r="D29" s="47" t="str">
        <x:v>last_candidate_raw</x:v>
      </x:c>
      <x:c r="E29" s="48" t="str">
        <x:v>diagnostics/last_candidate_raw.txt</x:v>
      </x:c>
      <x:c r="F29" s="47" t="str">
        <x:v>d53c96b68249ac1d1ccd1f5f526574f17ca2b7870fe95d1bd9a6db5524a3a0b8</x:v>
      </x:c>
      <x:c r="G29" s="59" t="n">
        <x:v>6715</x:v>
      </x:c>
    </x:row>
    <x:row r="30">
      <x:c r="A30" s="47" t="str">
        <x:v>RUN-TRF-041-20260915T125319067059Z</x:v>
      </x:c>
      <x:c r="B30" s="47" t="str">
        <x:v>TRF-041</x:v>
      </x:c>
      <x:c r="C30" s="59"/>
      <x:c r="D30" s="47" t="str">
        <x:v>last_candidate_diagnostic</x:v>
      </x:c>
      <x:c r="E30" s="48" t="str">
        <x:v>diagnostics/last_candidate.ttl</x:v>
      </x:c>
      <x:c r="F30" s="47" t="str">
        <x:v>21c26477ab3581b2e4acf83d159e87486537132fffb69f1c903dfcaa89dbc38e</x:v>
      </x:c>
      <x:c r="G30" s="59" t="n">
        <x:v>6690</x:v>
      </x:c>
    </x:row>
    <x:row r="31">
      <x:c r="A31" s="49" t="str">
        <x:v>RUN-TRF-041-20260915T125319067059Z</x:v>
      </x:c>
      <x:c r="B31" s="49" t="str">
        <x:v>TRF-041</x:v>
      </x:c>
      <x:c r="C31" s="60"/>
      <x:c r="D31" s="49" t="str">
        <x:v>last_candidate_metadata</x:v>
      </x:c>
      <x:c r="E31" s="50" t="str">
        <x:v>diagnostics/last_candidate_metadata.json</x:v>
      </x:c>
      <x:c r="F31" s="49" t="str">
        <x:v>5f155fc57d2e1426a6e5a3c1e0b611cfd0e2b90a87343209e1967e80aef9fb73</x:v>
      </x:c>
      <x:c r="G31" s="60" t="n">
        <x:v>496</x:v>
      </x:c>
    </x:row>
  </x:sheetData>
  <x:pageMargins left="0.7" right="0.7" top="0.75" bottom="0.75" header="0.3" footer="0.3"/>
  <x:tableParts count="1">
    <x:tablePart xmlns:r="http://schemas.openxmlformats.org/officeDocument/2006/relationships" r:id="R15300ea8d16d4214"/>
  </x:tableParts>
</x:worksheet>
</file>

<file path=xl/worksheets/sheet12.xml><?xml version="1.0" encoding="utf-8"?>
<x:worksheet xmlns:x="http://schemas.openxmlformats.org/spreadsheetml/2006/main">
  <x:sheetViews>
    <x:sheetView showGridLines="0" workbookViewId="0">
      <x:pane ySplit="4" topLeftCell="A5" activePane="bottomLeft" state="frozen"/>
    </x:sheetView>
  </x:sheetViews>
  <x:sheetFormatPr defaultRowHeight="15"/>
  <x:sheetData>
    <x:row r="1">
      <x:c r="A1" s="18" t="str">
        <x:v>NLTL SHACL Pipeline Run Tracker</x:v>
      </x:c>
      <x:c r="B1" s="19"/>
      <x:c r="C1" s="19"/>
      <x:c r="D1" s="19"/>
      <x:c r="E1" s="19"/>
      <x:c r="F1" s="19"/>
    </x:row>
    <x:row r="2">
      <x:c r="A2" s="20" t="str">
        <x:v>UNRESOLVED | Run folder: RUN-TRF-041-20260915T125319067059Z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RUN-TRF-041-20260915T125319067059Z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RUN-TRF-041-20260915T125319067059Z</x:v>
      </x:c>
      <x:c r="B5" s="69" t="str">
        <x:v>TRF-041</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9b79a4f70e91490d"/>
  </x:tableParts>
</x:worksheet>
</file>