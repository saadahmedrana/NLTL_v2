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tables/table10.xml" ContentType="application/vnd.openxmlformats-officedocument.spreadsheetml.table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f83471fe55944e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7f17c4105c8b47f8"/>
    <x:sheet xmlns:r="http://schemas.openxmlformats.org/officeDocument/2006/relationships" name="README" sheetId="2" r:id="R1de4ab9f0d4d4e06"/>
    <x:sheet xmlns:r="http://schemas.openxmlformats.org/officeDocument/2006/relationships" name="REGULATION_QUEUE" sheetId="3" r:id="Rdd1c3cad66dd4ce2"/>
    <x:sheet xmlns:r="http://schemas.openxmlformats.org/officeDocument/2006/relationships" name="RUNS" sheetId="4" r:id="R37e5b5c8d5554167"/>
    <x:sheet xmlns:r="http://schemas.openxmlformats.org/officeDocument/2006/relationships" name="ITERATIONS" sheetId="5" r:id="R719b8f1610ac41d1"/>
    <x:sheet xmlns:r="http://schemas.openxmlformats.org/officeDocument/2006/relationships" name="API_CALLS" sheetId="6" r:id="Ra557d466053f41cd"/>
    <x:sheet xmlns:r="http://schemas.openxmlformats.org/officeDocument/2006/relationships" name="TERM_RETRIEVAL" sheetId="7" r:id="R4fdcba83c1bc42c3"/>
    <x:sheet xmlns:r="http://schemas.openxmlformats.org/officeDocument/2006/relationships" name="FEW_SHOT_SELECTION" sheetId="8" r:id="R557af1b68ed34597"/>
    <x:sheet xmlns:r="http://schemas.openxmlformats.org/officeDocument/2006/relationships" name="VALIDATION" sheetId="9" r:id="Rae0754e1d4f44222"/>
    <x:sheet xmlns:r="http://schemas.openxmlformats.org/officeDocument/2006/relationships" name="VOCAB_MATCHES" sheetId="10" r:id="Rab8b77890528411d"/>
    <x:sheet xmlns:r="http://schemas.openxmlformats.org/officeDocument/2006/relationships" name="ARTIFACTS" sheetId="11" r:id="R27f84d93fe3f4ea0"/>
    <x:sheet xmlns:r="http://schemas.openxmlformats.org/officeDocument/2006/relationships" name="UNRESOLVED" sheetId="12" r:id="R5ea7950ea56844e7"/>
    <x:sheet xmlns:r="http://schemas.openxmlformats.org/officeDocument/2006/relationships" name="RDF_TEST_QUEUE" sheetId="13" r:id="R7c189b27b3e04ab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2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8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085bef52ff145ee" /><Relationship Type="http://schemas.openxmlformats.org/officeDocument/2006/relationships/theme" Target="/xl/theme/theme1.xml" Id="Rbe92c4bef16e4d2d" /><Relationship Type="http://schemas.microsoft.com/office/2022/11/relationships/FeaturePropertyBag" Target="/xl/featurePropertyBag/featurePropertyBag.xml" Id="R3121e07ee3d241dc" /><Relationship Type="http://schemas.openxmlformats.org/officeDocument/2006/relationships/sharedStrings" Target="/xl/sharedStrings.xml" Id="Rffe50fe3f346491a" /><Relationship Type="http://schemas.openxmlformats.org/officeDocument/2006/relationships/worksheet" Target="/xl/worksheets/sheet1.xml" Id="R7f17c4105c8b47f8" /><Relationship Type="http://schemas.openxmlformats.org/officeDocument/2006/relationships/worksheet" Target="/xl/worksheets/sheet2.xml" Id="R1de4ab9f0d4d4e06" /><Relationship Type="http://schemas.openxmlformats.org/officeDocument/2006/relationships/worksheet" Target="/xl/worksheets/sheet3.xml" Id="Rdd1c3cad66dd4ce2" /><Relationship Type="http://schemas.openxmlformats.org/officeDocument/2006/relationships/worksheet" Target="/xl/worksheets/sheet4.xml" Id="R37e5b5c8d5554167" /><Relationship Type="http://schemas.openxmlformats.org/officeDocument/2006/relationships/worksheet" Target="/xl/worksheets/sheet5.xml" Id="R719b8f1610ac41d1" /><Relationship Type="http://schemas.openxmlformats.org/officeDocument/2006/relationships/worksheet" Target="/xl/worksheets/sheet6.xml" Id="Ra557d466053f41cd" /><Relationship Type="http://schemas.openxmlformats.org/officeDocument/2006/relationships/worksheet" Target="/xl/worksheets/sheet7.xml" Id="R4fdcba83c1bc42c3" /><Relationship Type="http://schemas.openxmlformats.org/officeDocument/2006/relationships/worksheet" Target="/xl/worksheets/sheet8.xml" Id="R557af1b68ed34597" /><Relationship Type="http://schemas.openxmlformats.org/officeDocument/2006/relationships/worksheet" Target="/xl/worksheets/sheet9.xml" Id="Rae0754e1d4f44222" /><Relationship Type="http://schemas.openxmlformats.org/officeDocument/2006/relationships/worksheet" Target="/xl/worksheets/sheet10.xml" Id="Rab8b77890528411d" /><Relationship Type="http://schemas.openxmlformats.org/officeDocument/2006/relationships/worksheet" Target="/xl/worksheets/sheet11.xml" Id="R27f84d93fe3f4ea0" /><Relationship Type="http://schemas.openxmlformats.org/officeDocument/2006/relationships/worksheet" Target="/xl/worksheets/sheet12.xml" Id="R5ea7950ea56844e7" /><Relationship Type="http://schemas.openxmlformats.org/officeDocument/2006/relationships/worksheet" Target="/xl/worksheets/sheet13.xml" Id="R7c189b27b3e04abe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8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20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31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8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48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1_UNRESOLVED" displayName="T11_UNRESOLVED" ref="A4:F5" headerRowCount="1" totalsRowCount="0" totalsRowShown="0">
  <x:tableColumns count="6">
    <x:tableColumn id="1" name="RUN_ID"/>
    <x:tableColumn id="2" name="REQUIREMENT_ID"/>
    <x:tableColumn id="3" name="ITERATION"/>
    <x:tableColumn id="4" name="ISSUE_TYPE"/>
    <x:tableColumn id="5" name="DETAIL"/>
    <x:tableColumn id="6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55e4bf61d88d4fd2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d01f12e15e9445c9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8de87c4db2a64767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a1ca69ce201d478d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c185d59d4bfb4b17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e9a457bf49594ac5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6cca40a5848149fc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83523bea0409461d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2a3f35c1c7e94ee5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0.xml" Id="R72dbc06628fe4e35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RUN-TRF-085-20260915T134512615585Z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COUNTA('API_CALLS'!$A$5:$A$20)</x:f>
        <x:v>16</x:v>
      </x:c>
      <x:c r="C9" s="21"/>
      <x:c r="D9" s="21"/>
    </x:row>
    <x:row r="10">
      <x:c r="A10" s="27" t="str">
        <x:v>Mean API/LLM elapsed ms</x:v>
      </x:c>
      <x:c r="B10" s="28" t="n">
        <x:f>IFERROR(AVERAGE('API_CALLS'!$K$5:$K$20),0)</x:f>
        <x:v>18823.846249999995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RUN-TRF-085-20260915T134512615585Z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55e4bf61d88d4fd2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RUN-TRF-085-20260915T134512615585Z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MAX_ATTEMPTS_REACHED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01f12e15e9445c9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2" hidden="0" customWidth="1"/>
    <x:col min="7" max="7" width="24" hidden="0" customWidth="1"/>
    <x:col min="8" max="8" width="11" hidden="0" customWidth="1"/>
    <x:col min="9" max="9" width="22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RUN-TRF-085-20260915T134512615585Z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SESSION-BATCH-20260915T092108806520Z</x:v>
      </x:c>
      <x:c r="B5" s="69" t="str">
        <x:v>RUN-TRF-085-20260915T134512615585Z</x:v>
      </x:c>
      <x:c r="C5" s="69" t="str">
        <x:v>TRF-085</x:v>
      </x:c>
      <x:c r="D5" s="70" t="n">
        <x:v>46280.57306268519</x:v>
      </x:c>
      <x:c r="E5" s="70" t="n">
        <x:v>46280.57481979167</x:v>
      </x:c>
      <x:c r="F5" s="69" t="str">
        <x:v>full-repair-v2-run01</x:v>
      </x:c>
      <x:c r="G5" s="69" t="str">
        <x:v>VOCAB-LOCK-2026-08-22-R13</x:v>
      </x:c>
      <x:c r="H5" s="71" t="n">
        <x:v>4</x:v>
      </x:c>
      <x:c r="I5" s="69" t="str">
        <x:v>MAX_ATTEMPTS_REACHED</x:v>
      </x:c>
      <x:c r="J5" s="72" t="b">
        <x:v>0</x:v>
      </x:c>
      <x:c r="K5" s="69" t="str"/>
      <x:c r="L5" s="73" t="str">
        <x:v>[CARDINALITY] gen:TRF085TableLookupCaseShape / nltl:tableReference: The Table 6-9 reference constraint uses sh:hasValue without limiting the property to one value, so a lookup case may contain Table 6-9 together with additional table references. Required change: Add sh:maxCount 1 to the nltl:tableReference property shape so the lookup case references exactly the required Table 6-9 value.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de87c4db2a64767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0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RUN-TRF-085-20260915T134512615585Z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RUN-TRF-085-20260915T134512615585Z</x:v>
      </x:c>
      <x:c r="B5" s="45" t="str">
        <x:v>TRF-085</x:v>
      </x:c>
      <x:c r="C5" s="58" t="n">
        <x:v>1</x:v>
      </x:c>
      <x:c r="D5" s="83" t="b">
        <x:v>1</x:v>
      </x:c>
      <x:c r="E5" s="83" t="b">
        <x:v>0</x:v>
      </x:c>
      <x:c r="F5" s="83" t="b">
        <x:v>0</x:v>
      </x:c>
      <x:c r="G5" s="45" t="str">
        <x:v>REVISE</x:v>
      </x:c>
      <x:c r="H5" s="46" t="str">
        <x:v>[COMPLETENESS] gen:TRF085ShipShape/sh:or false branch: When bollard propeller speed is unknown, the branch requires only a generic lookupResultQuantity and never requires or constrains nltl:propellerRotationalSpeedAtMaximumContinuousRatingBollard to be the selected Table 6-9 result. Required change: Require the canonical propeller speed output in the false branch and explicitly relate it to the lookup result, or model the lookup result directly as that canonical speed property. | [OWNERSHIP_PATH] gen:TRF085TableLookupCaseShape/nltl:lookupInputQuantity: The required D_m input is not connected to lookupInputQuantity; the candidate separately requires propellerDiameter but permits an unrelated arbitrary lookup input. Required change: Constrain lookupInputQuantity to represent the ship's nltl:propellerDiameter value, using an explicit relationship or equality constraint. | [UNIT_CONVERSION] gen:TRF085LookupInputQuantityShape and gen:TRF085LookupResultQuantityShape: The table lookup input and result quantities have no unit constraints, so the candidate permits a lookup based on a non-metre D_m value and a result in a non-rotational-speed unit without any declared conversion. Required change: Constrain the lookup input to the propeller-diameter unit metre and the lookup result/output to the canonical rotational-speed unit REV-PER-MIN, or declare an explicit permitted conversion. | [INVENTED_CONSTRAINT] gen:TRF085TableLookupCaseShape/nltl:tableLookupApplied and nltl:lookupSelectionEvidence: The candidate makes tableLookupApplied=true and lookupSelectionEvidence mandatory, but the supplied requirement and dependency contract declare no evidence or application-flag obligation. Required change: Remove these mandatory constraints, or make them optional so a graph satisfying the stated table-selection requirement is not rejected for omitting unrelated audit metadata.</x:v>
      </x:c>
      <x:c r="I5" s="84" t="n">
        <x:v>25768.841</x:v>
      </x:c>
      <x:c r="J5" s="84" t="n">
        <x:v>23158.461</x:v>
      </x:c>
    </x:row>
    <x:row r="6">
      <x:c r="A6" s="47" t="str">
        <x:v>RUN-TRF-085-20260915T134512615585Z</x:v>
      </x:c>
      <x:c r="B6" s="47" t="str">
        <x:v>TRF-085</x:v>
      </x:c>
      <x:c r="C6" s="59" t="n">
        <x:v>2</x:v>
      </x:c>
      <x:c r="D6" s="85" t="b">
        <x:v>0</x:v>
      </x:c>
      <x:c r="E6" s="85" t="b">
        <x:v>0</x:v>
      </x:c>
      <x:c r="F6" s="85" t="b">
        <x:v>0</x:v>
      </x:c>
      <x:c r="G6" s="47" t="str">
        <x:v>REVISE_STATIC_GATE</x:v>
      </x:c>
      <x:c r="H6" s="48" t="str">
        <x:v>[DETERMINISTIC_VALIDATION] deterministic validation: COMPLETE dependency relationship(s) absent from candidate: lookupSelectionEvidence: COMPLETE dependency relationship(s) absent from candidate: lookupSelectionEvidence Required change: Correct this deterministic error while preserving all unrelated candidate semantics.</x:v>
      </x:c>
      <x:c r="I6" s="86" t="n">
        <x:v>16112.36</x:v>
      </x:c>
      <x:c r="J6" s="86" t="n">
        <x:v>0</x:v>
      </x:c>
    </x:row>
    <x:row r="7">
      <x:c r="A7" s="47" t="str">
        <x:v>RUN-TRF-085-20260915T134512615585Z</x:v>
      </x:c>
      <x:c r="B7" s="47" t="str">
        <x:v>TRF-085</x:v>
      </x:c>
      <x:c r="C7" s="59" t="n">
        <x:v>3</x:v>
      </x:c>
      <x:c r="D7" s="85" t="b">
        <x:v>1</x:v>
      </x:c>
      <x:c r="E7" s="85" t="b">
        <x:v>0</x:v>
      </x:c>
      <x:c r="F7" s="85" t="b">
        <x:v>0</x:v>
      </x:c>
      <x:c r="G7" s="47" t="str">
        <x:v>REVISE</x:v>
      </x:c>
      <x:c r="H7" s="48" t="str">
        <x:v>[WRONG_PATH] gen:TRF085ShipShape unknown-speed branch, sh:equals on nltl:propellerDiameter: The equality is evaluated at the ship focus node against nltl:lookupInputQuantity, whose authoritative owner is tableLookupCase. It therefore does not link the required ship-owned propeller diameter to the lookup case input and can reject a conforming graph or fail to enforce the intended lookup input. Required change: Remove this ship-level equality and encode the equality through the owner-correct ship-to-tableLookupCase path, so the case input quantity is explicitly the ship's propeller diameter. | [WRONG_PATH] gen:TRF085ShipShape unknown-speed branch, sh:equals on nltl:propellerRotationalSpeedAtMaximumContinuousRatingBollard: The equality is evaluated at the ship focus node against nltl:lookupResultQuantity, whose authoritative owner is tableLookupCase. It therefore does not link the required ship-owned canonical propeller speed to the table lookup result and can reject a conforming graph or fail to enforce that the produced speed is the selected result. Required change: Remove this ship-level equality and encode the equality through the owner-correct ship-to-tableLookupCase path, so the canonical ship speed is explicitly the case's lookup result. | [INVENTED_CONSTRAINT] gen:TRF085TableLookupCaseShape nltl:lookupSelectionEvidence property: The candidate makes lookupSelectionEvidence mandatory, but the requirement only mandates selecting the speed from Table 6-9 and the authoritative dependency contract has no evidence obligation. A valid table-selection graph without this extra evidence artifact would be rejected. Required change: Remove the sh:minCount 1 requirement for nltl:lookupSelectionEvidence unless an explicit requirement-level evidence obligation is added.</x:v>
      </x:c>
      <x:c r="I7" s="86" t="n">
        <x:v>7623.867</x:v>
      </x:c>
      <x:c r="J7" s="86" t="n">
        <x:v>24415.583</x:v>
      </x:c>
    </x:row>
    <x:row r="8">
      <x:c r="A8" s="49" t="str">
        <x:v>RUN-TRF-085-20260915T134512615585Z</x:v>
      </x:c>
      <x:c r="B8" s="49" t="str">
        <x:v>TRF-085</x:v>
      </x:c>
      <x:c r="C8" s="60" t="n">
        <x:v>4</x:v>
      </x:c>
      <x:c r="D8" s="87" t="b">
        <x:v>1</x:v>
      </x:c>
      <x:c r="E8" s="87" t="b">
        <x:v>0</x:v>
      </x:c>
      <x:c r="F8" s="87" t="b">
        <x:v>0</x:v>
      </x:c>
      <x:c r="G8" s="49" t="str">
        <x:v>REVISE</x:v>
      </x:c>
      <x:c r="H8" s="50" t="str">
        <x:v>[CARDINALITY] gen:TRF085TableLookupCaseShape / nltl:tableReference: The Table 6-9 reference constraint uses sh:hasValue without limiting the property to one value, so a lookup case may contain Table 6-9 together with additional table references. Required change: Add sh:maxCount 1 to the nltl:tableReference property shape so the lookup case references exactly the required Table 6-9 value.</x:v>
      </x:c>
      <x:c r="I8" s="88" t="n">
        <x:v>17036.659</x:v>
      </x:c>
      <x:c r="J8" s="88" t="n">
        <x:v>20872.713</x:v>
      </x:c>
    </x:row>
  </x:sheetData>
  <x:conditionalFormatting sqref="G5:G8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1ca69ce201d478d"/>
  </x:tableParts>
</x:worksheet>
</file>

<file path=xl/worksheets/sheet6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5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RUN-TRF-085-20260915T134512615585Z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EVT-000035</x:v>
      </x:c>
      <x:c r="B5" s="45" t="str">
        <x:v>RUN-TRF-085-20260915T134512615585Z</x:v>
      </x:c>
      <x:c r="C5" s="45" t="str">
        <x:v>TRF-085</x:v>
      </x:c>
      <x:c r="D5" s="92" t="n">
        <x:v>46280.57336096065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4" t="n">
        <x:v>0</x:v>
      </x:c>
      <x:c r="K5" s="84" t="n">
        <x:v>25767.093</x:v>
      </x:c>
      <x:c r="L5" s="83" t="b">
        <x:v>0</x:v>
      </x:c>
      <x:c r="M5" s="45" t="str"/>
      <x:c r="N5" s="58" t="str"/>
      <x:c r="O5" s="58" t="str"/>
      <x:c r="P5" s="58" t="str"/>
    </x:row>
    <x:row r="6">
      <x:c r="A6" s="47" t="str">
        <x:v>EVT-000036</x:v>
      </x:c>
      <x:c r="B6" s="47" t="str">
        <x:v>RUN-TRF-085-20260915T134512615585Z</x:v>
      </x:c>
      <x:c r="C6" s="47" t="str">
        <x:v>TRF-085</x:v>
      </x:c>
      <x:c r="D6" s="93" t="n">
        <x:v>46280.5733609838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86" t="n">
        <x:v>0</x:v>
      </x:c>
      <x:c r="K6" s="86" t="n">
        <x:v>25768.841</x:v>
      </x:c>
      <x:c r="L6" s="85" t="b">
        <x:v>0</x:v>
      </x:c>
      <x:c r="M6" s="47" t="str">
        <x:v>resp_0cc5b3ca834ed284006aa94be8b1fc819693820b3199796823</x:v>
      </x:c>
      <x:c r="N6" s="59" t="n">
        <x:v>11616</x:v>
      </x:c>
      <x:c r="O6" s="59" t="n">
        <x:v>2471</x:v>
      </x:c>
      <x:c r="P6" s="59" t="n">
        <x:v>14087</x:v>
      </x:c>
    </x:row>
    <x:row r="7">
      <x:c r="A7" s="47" t="str">
        <x:v>EVT-000043</x:v>
      </x:c>
      <x:c r="B7" s="47" t="str">
        <x:v>RUN-TRF-085-20260915T134512615585Z</x:v>
      </x:c>
      <x:c r="C7" s="47" t="str">
        <x:v>TRF-085</x:v>
      </x:c>
      <x:c r="D7" s="93" t="n">
        <x:v>46280.57363141204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86" t="n">
        <x:v>0</x:v>
      </x:c>
      <x:c r="K7" s="86" t="n">
        <x:v>23156.585</x:v>
      </x:c>
      <x:c r="L7" s="85" t="b">
        <x:v>0</x:v>
      </x:c>
      <x:c r="M7" s="47" t="str"/>
      <x:c r="N7" s="59" t="str"/>
      <x:c r="O7" s="59" t="str"/>
      <x:c r="P7" s="59" t="str"/>
    </x:row>
    <x:row r="8">
      <x:c r="A8" s="47" t="str">
        <x:v>EVT-000044</x:v>
      </x:c>
      <x:c r="B8" s="47" t="str">
        <x:v>RUN-TRF-085-20260915T134512615585Z</x:v>
      </x:c>
      <x:c r="C8" s="47" t="str">
        <x:v>TRF-085</x:v>
      </x:c>
      <x:c r="D8" s="93" t="n">
        <x:v>46280.57363143518</x:v>
      </x:c>
      <x:c r="E8" s="47" t="str">
        <x:v>validator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86" t="n">
        <x:v>0</x:v>
      </x:c>
      <x:c r="K8" s="86" t="n">
        <x:v>23158.461</x:v>
      </x:c>
      <x:c r="L8" s="85" t="b">
        <x:v>0</x:v>
      </x:c>
      <x:c r="M8" s="47" t="str">
        <x:v>resp_0f67d3c9de74897c006aa94c02ad74819585cb861b17ab11cc</x:v>
      </x:c>
      <x:c r="N8" s="59" t="n">
        <x:v>11580</x:v>
      </x:c>
      <x:c r="O8" s="59" t="n">
        <x:v>2053</x:v>
      </x:c>
      <x:c r="P8" s="59" t="n">
        <x:v>13633</x:v>
      </x:c>
    </x:row>
    <x:row r="9">
      <x:c r="A9" s="47" t="str">
        <x:v>EVT-000052</x:v>
      </x:c>
      <x:c r="B9" s="47" t="str">
        <x:v>RUN-TRF-085-20260915T134512615585Z</x:v>
      </x:c>
      <x:c r="C9" s="47" t="str">
        <x:v>TRF-085</x:v>
      </x:c>
      <x:c r="D9" s="93" t="n">
        <x:v>46280.573818020835</x:v>
      </x:c>
      <x:c r="E9" s="47" t="str">
        <x:v>generator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86" t="n">
        <x:v>0</x:v>
      </x:c>
      <x:c r="K9" s="86" t="n">
        <x:v>16111.059</x:v>
      </x:c>
      <x:c r="L9" s="85" t="b">
        <x:v>0</x:v>
      </x:c>
      <x:c r="M9" s="47" t="str"/>
      <x:c r="N9" s="59" t="str"/>
      <x:c r="O9" s="59" t="str"/>
      <x:c r="P9" s="59" t="str"/>
    </x:row>
    <x:row r="10">
      <x:c r="A10" s="47" t="str">
        <x:v>EVT-000053</x:v>
      </x:c>
      <x:c r="B10" s="47" t="str">
        <x:v>RUN-TRF-085-20260915T134512615585Z</x:v>
      </x:c>
      <x:c r="C10" s="47" t="str">
        <x:v>TRF-085</x:v>
      </x:c>
      <x:c r="D10" s="93" t="n">
        <x:v>46280.57381804398</x:v>
      </x:c>
      <x:c r="E10" s="47" t="str">
        <x:v>generator</x:v>
      </x:c>
      <x:c r="F10" s="47" t="str">
        <x:v>gpt-5.6-luna-2026-07-09</x:v>
      </x:c>
      <x:c r="G10" s="47" t="n">
        <x:v>1</x:v>
      </x:c>
      <x:c r="H10" s="47" t="str">
        <x:v>COMPLETED</x:v>
      </x:c>
      <x:c r="I10" s="47" t="str"/>
      <x:c r="J10" s="86" t="n">
        <x:v>0</x:v>
      </x:c>
      <x:c r="K10" s="86" t="n">
        <x:v>16112.36</x:v>
      </x:c>
      <x:c r="L10" s="85" t="b">
        <x:v>0</x:v>
      </x:c>
      <x:c r="M10" s="47" t="str">
        <x:v>resp_06f0bef0a0808735006aa94c19d7688195b8b2a8685092e8c3</x:v>
      </x:c>
      <x:c r="N10" s="59" t="n">
        <x:v>10502</x:v>
      </x:c>
      <x:c r="O10" s="59" t="n">
        <x:v>1985</x:v>
      </x:c>
      <x:c r="P10" s="59" t="n">
        <x:v>12487</x:v>
      </x:c>
    </x:row>
    <x:row r="11">
      <x:c r="A11" s="47" t="str">
        <x:v>EVT-000057</x:v>
      </x:c>
      <x:c r="B11" s="47" t="str">
        <x:v>RUN-TRF-085-20260915T134512615585Z</x:v>
      </x:c>
      <x:c r="C11" s="47" t="str">
        <x:v>TRF-085</x:v>
      </x:c>
      <x:c r="D11" s="93" t="n">
        <x:v>46280.57400114583</x:v>
      </x:c>
      <x:c r="E11" s="47" t="str">
        <x:v>syntax_repair</x:v>
      </x:c>
      <x:c r="F11" s="47" t="str">
        <x:v>gpt-5.6-luna-2026-07-09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86" t="n">
        <x:v>0</x:v>
      </x:c>
      <x:c r="K11" s="86" t="n">
        <x:v>15607.923</x:v>
      </x:c>
      <x:c r="L11" s="85" t="b">
        <x:v>0</x:v>
      </x:c>
      <x:c r="M11" s="47" t="str"/>
      <x:c r="N11" s="59" t="str"/>
      <x:c r="O11" s="59" t="str"/>
      <x:c r="P11" s="59" t="str"/>
    </x:row>
    <x:row r="12">
      <x:c r="A12" s="47" t="str">
        <x:v>EVT-000058</x:v>
      </x:c>
      <x:c r="B12" s="47" t="str">
        <x:v>RUN-TRF-085-20260915T134512615585Z</x:v>
      </x:c>
      <x:c r="C12" s="47" t="str">
        <x:v>TRF-085</x:v>
      </x:c>
      <x:c r="D12" s="93" t="n">
        <x:v>46280.57400115741</x:v>
      </x:c>
      <x:c r="E12" s="47" t="str">
        <x:v>syntax_repair</x:v>
      </x:c>
      <x:c r="F12" s="47" t="str">
        <x:v>gpt-5.6-luna-2026-07-09</x:v>
      </x:c>
      <x:c r="G12" s="47" t="n">
        <x:v>1</x:v>
      </x:c>
      <x:c r="H12" s="47" t="str">
        <x:v>COMPLETED</x:v>
      </x:c>
      <x:c r="I12" s="47" t="str"/>
      <x:c r="J12" s="86" t="n">
        <x:v>0</x:v>
      </x:c>
      <x:c r="K12" s="86" t="n">
        <x:v>15608.609</x:v>
      </x:c>
      <x:c r="L12" s="85" t="b">
        <x:v>0</x:v>
      </x:c>
      <x:c r="M12" s="47" t="str">
        <x:v>resp_07bb3d5f506a9f6e006aa94c2a2cb881979f5cdcc5367489f5</x:v>
      </x:c>
      <x:c r="N12" s="59" t="n">
        <x:v>2565</x:v>
      </x:c>
      <x:c r="O12" s="59" t="n">
        <x:v>2029</x:v>
      </x:c>
      <x:c r="P12" s="59" t="n">
        <x:v>4594</x:v>
      </x:c>
    </x:row>
    <x:row r="13">
      <x:c r="A13" s="47" t="str">
        <x:v>EVT-000070</x:v>
      </x:c>
      <x:c r="B13" s="47" t="str">
        <x:v>RUN-TRF-085-20260915T134512615585Z</x:v>
      </x:c>
      <x:c r="C13" s="47" t="str">
        <x:v>TRF-085</x:v>
      </x:c>
      <x:c r="D13" s="93" t="n">
        <x:v>46280.57409210648</x:v>
      </x:c>
      <x:c r="E13" s="47" t="str">
        <x:v>generator</x:v>
      </x:c>
      <x:c r="F13" s="47" t="str">
        <x:v>gpt-5.6-luna-2026-07-09</x:v>
      </x:c>
      <x:c r="G13" s="47" t="n">
        <x:v>1</x:v>
      </x:c>
      <x:c r="H13" s="47" t="n">
        <x:v>200</x:v>
      </x:c>
      <x:c r="I13" s="47" t="str">
        <x:v>Ocp-Apim-Subscription-Key</x:v>
      </x:c>
      <x:c r="J13" s="86" t="n">
        <x:v>0</x:v>
      </x:c>
      <x:c r="K13" s="86" t="n">
        <x:v>7621.608</x:v>
      </x:c>
      <x:c r="L13" s="85" t="b">
        <x:v>0</x:v>
      </x:c>
      <x:c r="M13" s="47" t="str"/>
      <x:c r="N13" s="59" t="str"/>
      <x:c r="O13" s="59" t="str"/>
      <x:c r="P13" s="59" t="str"/>
    </x:row>
    <x:row r="14">
      <x:c r="A14" s="47" t="str">
        <x:v>EVT-000071</x:v>
      </x:c>
      <x:c r="B14" s="47" t="str">
        <x:v>RUN-TRF-085-20260915T134512615585Z</x:v>
      </x:c>
      <x:c r="C14" s="47" t="str">
        <x:v>TRF-085</x:v>
      </x:c>
      <x:c r="D14" s="93" t="n">
        <x:v>46280.57409214121</x:v>
      </x:c>
      <x:c r="E14" s="47" t="str">
        <x:v>generator</x:v>
      </x:c>
      <x:c r="F14" s="47" t="str">
        <x:v>gpt-5.6-luna-2026-07-09</x:v>
      </x:c>
      <x:c r="G14" s="47" t="n">
        <x:v>1</x:v>
      </x:c>
      <x:c r="H14" s="47" t="str">
        <x:v>COMPLETED</x:v>
      </x:c>
      <x:c r="I14" s="47" t="str"/>
      <x:c r="J14" s="86" t="n">
        <x:v>0</x:v>
      </x:c>
      <x:c r="K14" s="86" t="n">
        <x:v>7623.867</x:v>
      </x:c>
      <x:c r="L14" s="85" t="b">
        <x:v>0</x:v>
      </x:c>
      <x:c r="M14" s="47" t="str">
        <x:v>resp_0a22941afd535690006aa94c3a032c81958e1978af3a11be9a</x:v>
      </x:c>
      <x:c r="N14" s="59" t="n">
        <x:v>10217</x:v>
      </x:c>
      <x:c r="O14" s="59" t="n">
        <x:v>1357</x:v>
      </x:c>
      <x:c r="P14" s="59" t="n">
        <x:v>11574</x:v>
      </x:c>
    </x:row>
    <x:row r="15">
      <x:c r="A15" s="47" t="str">
        <x:v>EVT-000079</x:v>
      </x:c>
      <x:c r="B15" s="47" t="str">
        <x:v>RUN-TRF-085-20260915T134512615585Z</x:v>
      </x:c>
      <x:c r="C15" s="47" t="str">
        <x:v>TRF-085</x:v>
      </x:c>
      <x:c r="D15" s="93" t="n">
        <x:v>46280.5743775</x:v>
      </x:c>
      <x:c r="E15" s="47" t="str">
        <x:v>validator</x:v>
      </x:c>
      <x:c r="F15" s="47" t="str">
        <x:v>gpt-5.6-luna-2026-07-09</x:v>
      </x:c>
      <x:c r="G15" s="47" t="n">
        <x:v>1</x:v>
      </x:c>
      <x:c r="H15" s="47" t="n">
        <x:v>200</x:v>
      </x:c>
      <x:c r="I15" s="47" t="str">
        <x:v>Ocp-Apim-Subscription-Key</x:v>
      </x:c>
      <x:c r="J15" s="86" t="n">
        <x:v>0</x:v>
      </x:c>
      <x:c r="K15" s="86" t="n">
        <x:v>24414.394</x:v>
      </x:c>
      <x:c r="L15" s="85" t="b">
        <x:v>0</x:v>
      </x:c>
      <x:c r="M15" s="47" t="str"/>
      <x:c r="N15" s="59" t="str"/>
      <x:c r="O15" s="59" t="str"/>
      <x:c r="P15" s="59" t="str"/>
    </x:row>
    <x:row r="16">
      <x:c r="A16" s="47" t="str">
        <x:v>EVT-000080</x:v>
      </x:c>
      <x:c r="B16" s="47" t="str">
        <x:v>RUN-TRF-085-20260915T134512615585Z</x:v>
      </x:c>
      <x:c r="C16" s="47" t="str">
        <x:v>TRF-085</x:v>
      </x:c>
      <x:c r="D16" s="93" t="n">
        <x:v>46280.57437751158</x:v>
      </x:c>
      <x:c r="E16" s="47" t="str">
        <x:v>validator</x:v>
      </x:c>
      <x:c r="F16" s="47" t="str">
        <x:v>gpt-5.6-luna-2026-07-09</x:v>
      </x:c>
      <x:c r="G16" s="47" t="n">
        <x:v>1</x:v>
      </x:c>
      <x:c r="H16" s="47" t="str">
        <x:v>COMPLETED</x:v>
      </x:c>
      <x:c r="I16" s="47" t="str"/>
      <x:c r="J16" s="86" t="n">
        <x:v>0</x:v>
      </x:c>
      <x:c r="K16" s="86" t="n">
        <x:v>24415.583</x:v>
      </x:c>
      <x:c r="L16" s="85" t="b">
        <x:v>0</x:v>
      </x:c>
      <x:c r="M16" s="47" t="str">
        <x:v>resp_0739ac7a74058212006aa94c41e6148196b036958f2d73c7e9</x:v>
      </x:c>
      <x:c r="N16" s="59" t="n">
        <x:v>11664</x:v>
      </x:c>
      <x:c r="O16" s="59" t="n">
        <x:v>2068</x:v>
      </x:c>
      <x:c r="P16" s="59" t="n">
        <x:v>13732</x:v>
      </x:c>
    </x:row>
    <x:row r="17">
      <x:c r="A17" s="47" t="str">
        <x:v>EVT-000088</x:v>
      </x:c>
      <x:c r="B17" s="47" t="str">
        <x:v>RUN-TRF-085-20260915T134512615585Z</x:v>
      </x:c>
      <x:c r="C17" s="47" t="str">
        <x:v>TRF-085</x:v>
      </x:c>
      <x:c r="D17" s="93" t="n">
        <x:v>46280.57457474537</x:v>
      </x:c>
      <x:c r="E17" s="47" t="str">
        <x:v>generator</x:v>
      </x:c>
      <x:c r="F17" s="47" t="str">
        <x:v>gpt-5.6-luna-2026-07-09</x:v>
      </x:c>
      <x:c r="G17" s="47" t="n">
        <x:v>1</x:v>
      </x:c>
      <x:c r="H17" s="47" t="n">
        <x:v>200</x:v>
      </x:c>
      <x:c r="I17" s="47" t="str">
        <x:v>Ocp-Apim-Subscription-Key</x:v>
      </x:c>
      <x:c r="J17" s="86" t="n">
        <x:v>0</x:v>
      </x:c>
      <x:c r="K17" s="86" t="n">
        <x:v>17034.88</x:v>
      </x:c>
      <x:c r="L17" s="85" t="b">
        <x:v>0</x:v>
      </x:c>
      <x:c r="M17" s="47" t="str"/>
      <x:c r="N17" s="59" t="str"/>
      <x:c r="O17" s="59" t="str"/>
      <x:c r="P17" s="59" t="str"/>
    </x:row>
    <x:row r="18">
      <x:c r="A18" s="47" t="str">
        <x:v>EVT-000089</x:v>
      </x:c>
      <x:c r="B18" s="47" t="str">
        <x:v>RUN-TRF-085-20260915T134512615585Z</x:v>
      </x:c>
      <x:c r="C18" s="47" t="str">
        <x:v>TRF-085</x:v>
      </x:c>
      <x:c r="D18" s="93" t="n">
        <x:v>46280.57457476852</x:v>
      </x:c>
      <x:c r="E18" s="47" t="str">
        <x:v>generator</x:v>
      </x:c>
      <x:c r="F18" s="47" t="str">
        <x:v>gpt-5.6-luna-2026-07-09</x:v>
      </x:c>
      <x:c r="G18" s="47" t="n">
        <x:v>1</x:v>
      </x:c>
      <x:c r="H18" s="47" t="str">
        <x:v>COMPLETED</x:v>
      </x:c>
      <x:c r="I18" s="47" t="str"/>
      <x:c r="J18" s="86" t="n">
        <x:v>0</x:v>
      </x:c>
      <x:c r="K18" s="86" t="n">
        <x:v>17036.659</x:v>
      </x:c>
      <x:c r="L18" s="85" t="b">
        <x:v>0</x:v>
      </x:c>
      <x:c r="M18" s="47" t="str">
        <x:v>resp_01c2cdf539d8aa1f006aa94c5a4e788196a556dcc9d117c94b</x:v>
      </x:c>
      <x:c r="N18" s="59" t="n">
        <x:v>10734</x:v>
      </x:c>
      <x:c r="O18" s="59" t="n">
        <x:v>2104</x:v>
      </x:c>
      <x:c r="P18" s="59" t="n">
        <x:v>12838</x:v>
      </x:c>
    </x:row>
    <x:row r="19">
      <x:c r="A19" s="47" t="str">
        <x:v>EVT-000097</x:v>
      </x:c>
      <x:c r="B19" s="47" t="str">
        <x:v>RUN-TRF-085-20260915T134512615585Z</x:v>
      </x:c>
      <x:c r="C19" s="47" t="str">
        <x:v>TRF-085</x:v>
      </x:c>
      <x:c r="D19" s="93" t="n">
        <x:v>46280.57481965278</x:v>
      </x:c>
      <x:c r="E19" s="47" t="str">
        <x:v>validator</x:v>
      </x:c>
      <x:c r="F19" s="47" t="str">
        <x:v>gpt-5.6-luna-2026-07-09</x:v>
      </x:c>
      <x:c r="G19" s="47" t="n">
        <x:v>1</x:v>
      </x:c>
      <x:c r="H19" s="47" t="n">
        <x:v>200</x:v>
      </x:c>
      <x:c r="I19" s="47" t="str">
        <x:v>Ocp-Apim-Subscription-Key</x:v>
      </x:c>
      <x:c r="J19" s="86" t="n">
        <x:v>0</x:v>
      </x:c>
      <x:c r="K19" s="86" t="n">
        <x:v>20870.905</x:v>
      </x:c>
      <x:c r="L19" s="85" t="b">
        <x:v>0</x:v>
      </x:c>
      <x:c r="M19" s="47" t="str"/>
      <x:c r="N19" s="59" t="str"/>
      <x:c r="O19" s="59" t="str"/>
      <x:c r="P19" s="59" t="str"/>
    </x:row>
    <x:row r="20">
      <x:c r="A20" s="49" t="str">
        <x:v>EVT-000098</x:v>
      </x:c>
      <x:c r="B20" s="49" t="str">
        <x:v>RUN-TRF-085-20260915T134512615585Z</x:v>
      </x:c>
      <x:c r="C20" s="49" t="str">
        <x:v>TRF-085</x:v>
      </x:c>
      <x:c r="D20" s="94" t="n">
        <x:v>46280.57481967592</x:v>
      </x:c>
      <x:c r="E20" s="49" t="str">
        <x:v>validator</x:v>
      </x:c>
      <x:c r="F20" s="49" t="str">
        <x:v>gpt-5.6-luna-2026-07-09</x:v>
      </x:c>
      <x:c r="G20" s="49" t="n">
        <x:v>1</x:v>
      </x:c>
      <x:c r="H20" s="49" t="str">
        <x:v>COMPLETED</x:v>
      </x:c>
      <x:c r="I20" s="49" t="str"/>
      <x:c r="J20" s="88" t="n">
        <x:v>0</x:v>
      </x:c>
      <x:c r="K20" s="88" t="n">
        <x:v>20872.713</x:v>
      </x:c>
      <x:c r="L20" s="87" t="b">
        <x:v>0</x:v>
      </x:c>
      <x:c r="M20" s="49" t="str">
        <x:v>resp_05002926f9fa3c8a006aa94c6ba2cc8190aae9c8c269ad8ef8</x:v>
      </x:c>
      <x:c r="N20" s="60" t="n">
        <x:v>11753</x:v>
      </x:c>
      <x:c r="O20" s="60" t="n">
        <x:v>1715</x:v>
      </x:c>
      <x:c r="P20" s="60" t="n">
        <x:v>13468</x:v>
      </x:c>
    </x:row>
  </x:sheetData>
  <x:conditionalFormatting sqref="H5:H20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185d59d4bfb4b17"/>
  </x:tableParts>
</x:worksheet>
</file>

<file path=xl/worksheets/sheet7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RUN-TRF-085-20260915T134512615585Z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RUN-TRF-085-20260915T134512615585Z</x:v>
      </x:c>
      <x:c r="B5" s="45" t="str">
        <x:v>TRF-085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propellerDiameter; domain dependency of propellerRotationalSpeedAtMaximumContinuousRatingBollard</x:v>
      </x:c>
      <x:c r="J5" s="45" t="n">
        <x:v>0</x:v>
      </x:c>
    </x:row>
    <x:row r="6">
      <x:c r="A6" s="47" t="str">
        <x:v>RUN-TRF-085-20260915T134512615585Z</x:v>
      </x:c>
      <x:c r="B6" s="47" t="str">
        <x:v>TRF-085</x:v>
      </x:c>
      <x:c r="C6" s="47" t="str">
        <x:v>bollardPropellerSpeedKnown</x:v>
      </x:c>
      <x:c r="D6" s="48" t="str">
        <x:v>https://w3id.org/nltl/vocab#bollardPropellerSpeedKnown</x:v>
      </x:c>
      <x:c r="E6" s="47" t="str">
        <x:v>DatatypeProperty</x:v>
      </x:c>
      <x:c r="F6" s="47" t="str">
        <x:v>xsd:boolean</x:v>
      </x:c>
      <x:c r="G6" s="47" t="str">
        <x:v>http://www.w3.org/2001/XMLSchema#boolean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RUN-TRF-085-20260915T134512615585Z</x:v>
      </x:c>
      <x:c r="B7" s="47" t="str">
        <x:v>TRF-085</x:v>
      </x:c>
      <x:c r="C7" s="47" t="str">
        <x:v>evidenceArtifact</x:v>
      </x:c>
      <x:c r="D7" s="48" t="str">
        <x:v>https://w3id.org/nltl/vocab#evidenceArtifact</x:v>
      </x:c>
      <x:c r="E7" s="47" t="str">
        <x:v>Class</x:v>
      </x:c>
      <x:c r="F7" s="47" t="str"/>
      <x:c r="G7" s="47" t="str"/>
      <x:c r="H7" s="47" t="str"/>
      <x:c r="I7" s="48" t="str">
        <x:v>range dependency of lookupSelectionEvidence</x:v>
      </x:c>
      <x:c r="J7" s="47" t="n">
        <x:v>0</x:v>
      </x:c>
    </x:row>
    <x:row r="8">
      <x:c r="A8" s="47" t="str">
        <x:v>RUN-TRF-085-20260915T134512615585Z</x:v>
      </x:c>
      <x:c r="B8" s="47" t="str">
        <x:v>TRF-085</x:v>
      </x:c>
      <x:c r="C8" s="47" t="str">
        <x:v>hasComponent</x:v>
      </x:c>
      <x:c r="D8" s="48" t="str">
        <x:v>https://w3id.org/nltl/vocab#hasComponent</x:v>
      </x:c>
      <x:c r="E8" s="47" t="str">
        <x:v>ObjectProperty</x:v>
      </x:c>
      <x:c r="F8" s="47" t="str"/>
      <x:c r="G8" s="47" t="str">
        <x:v>https://w3id.org/nltl/vocab#shipComponent</x:v>
      </x:c>
      <x:c r="H8" s="47" t="str"/>
      <x:c r="I8" s="48" t="str">
        <x:v>component-path dependency inferred from the linked term module</x:v>
      </x:c>
      <x:c r="J8" s="47" t="n">
        <x:v>0</x:v>
      </x:c>
    </x:row>
    <x:row r="9">
      <x:c r="A9" s="47" t="str">
        <x:v>RUN-TRF-085-20260915T134512615585Z</x:v>
      </x:c>
      <x:c r="B9" s="47" t="str">
        <x:v>TRF-085</x:v>
      </x:c>
      <x:c r="C9" s="47" t="str">
        <x:v>hasTableLookupCase</x:v>
      </x:c>
      <x:c r="D9" s="48" t="str">
        <x:v>https://w3id.org/nltl/vocab#hasTableLookupCase</x:v>
      </x:c>
      <x:c r="E9" s="47" t="str">
        <x:v>ObjectProperty</x:v>
      </x:c>
      <x:c r="F9" s="47" t="str"/>
      <x:c r="G9" s="47" t="str">
        <x:v>https://w3id.org/nltl/vocab#tableLookupCase</x:v>
      </x:c>
      <x:c r="H9" s="47" t="str"/>
      <x:c r="I9" s="48" t="str">
        <x:v>canonical path from target owner ship to required owner tableLookupCase; linked by the locked 313-requirement index</x:v>
      </x:c>
      <x:c r="J9" s="47" t="n">
        <x:v>0</x:v>
      </x:c>
    </x:row>
    <x:row r="10">
      <x:c r="A10" s="47" t="str">
        <x:v>RUN-TRF-085-20260915T134512615585Z</x:v>
      </x:c>
      <x:c r="B10" s="47" t="str">
        <x:v>TRF-085</x:v>
      </x:c>
      <x:c r="C10" s="47" t="str">
        <x:v>iacsUrI2Table3</x:v>
      </x:c>
      <x:c r="D10" s="48" t="str">
        <x:v>https://w3id.org/nltl/vocab#iacsUrI2Table3</x:v>
      </x:c>
      <x:c r="E10" s="47" t="str">
        <x:v>NamedIndividual</x:v>
      </x:c>
      <x:c r="F10" s="47" t="str"/>
      <x:c r="G10" s="47" t="str">
        <x:v>https://w3id.org/nltl/vocab#tableReferenceValue</x:v>
      </x:c>
      <x:c r="H10" s="47" t="str"/>
      <x:c r="I10" s="48" t="str">
        <x:v>controlled value permitted by the range of tableReference; controlled value permitted by the range of traficomTable6Dash9</x:v>
      </x:c>
      <x:c r="J10" s="47" t="n">
        <x:v>0</x:v>
      </x:c>
    </x:row>
    <x:row r="11">
      <x:c r="A11" s="47" t="str">
        <x:v>RUN-TRF-085-20260915T134512615585Z</x:v>
      </x:c>
      <x:c r="B11" s="47" t="str">
        <x:v>TRF-085</x:v>
      </x:c>
      <x:c r="C11" s="47" t="str">
        <x:v>iacsUrI2Table8</x:v>
      </x:c>
      <x:c r="D11" s="48" t="str">
        <x:v>https://w3id.org/nltl/vocab#iacsUrI2Table8</x:v>
      </x:c>
      <x:c r="E11" s="47" t="str">
        <x:v>NamedIndividual</x:v>
      </x:c>
      <x:c r="F11" s="47" t="str"/>
      <x:c r="G11" s="47" t="str">
        <x:v>https://w3id.org/nltl/vocab#tableReferenceValue</x:v>
      </x:c>
      <x:c r="H11" s="47" t="str"/>
      <x:c r="I11" s="48" t="str">
        <x:v>controlled value permitted by the range of tableReference; controlled value permitted by the range of traficomTable6Dash9</x:v>
      </x:c>
      <x:c r="J11" s="47" t="n">
        <x:v>0</x:v>
      </x:c>
    </x:row>
    <x:row r="12">
      <x:c r="A12" s="47" t="str">
        <x:v>RUN-TRF-085-20260915T134512615585Z</x:v>
      </x:c>
      <x:c r="B12" s="47" t="str">
        <x:v>TRF-085</x:v>
      </x:c>
      <x:c r="C12" s="47" t="str">
        <x:v>lookupInputQuantity</x:v>
      </x:c>
      <x:c r="D12" s="48" t="str">
        <x:v>https://w3id.org/nltl/vocab#lookupInputQuantity</x:v>
      </x:c>
      <x:c r="E12" s="47" t="str">
        <x:v>QuantityProperty</x:v>
      </x:c>
      <x:c r="F12" s="47" t="str"/>
      <x:c r="G12" s="47" t="str">
        <x:v>http://qudt.org/schema/qudt/QuantityValue</x:v>
      </x:c>
      <x:c r="H12" s="47" t="str"/>
      <x:c r="I12" s="48" t="str">
        <x:v>linked by the locked 313-requirement index</x:v>
      </x:c>
      <x:c r="J12" s="47" t="n">
        <x:v>0</x:v>
      </x:c>
    </x:row>
    <x:row r="13">
      <x:c r="A13" s="47" t="str">
        <x:v>RUN-TRF-085-20260915T134512615585Z</x:v>
      </x:c>
      <x:c r="B13" s="47" t="str">
        <x:v>TRF-085</x:v>
      </x:c>
      <x:c r="C13" s="47" t="str">
        <x:v>lookupResultQuantity</x:v>
      </x:c>
      <x:c r="D13" s="48" t="str">
        <x:v>https://w3id.org/nltl/vocab#lookupResultQuantity</x:v>
      </x:c>
      <x:c r="E13" s="47" t="str">
        <x:v>QuantityProperty</x:v>
      </x:c>
      <x:c r="F13" s="47" t="str"/>
      <x:c r="G13" s="47" t="str">
        <x:v>http://qudt.org/schema/qudt/QuantityValue</x:v>
      </x:c>
      <x:c r="H13" s="47" t="str"/>
      <x:c r="I13" s="48" t="str">
        <x:v>linked by the locked 313-requirement index</x:v>
      </x:c>
      <x:c r="J13" s="47" t="n">
        <x:v>0</x:v>
      </x:c>
    </x:row>
    <x:row r="14">
      <x:c r="A14" s="47" t="str">
        <x:v>RUN-TRF-085-20260915T134512615585Z</x:v>
      </x:c>
      <x:c r="B14" s="47" t="str">
        <x:v>TRF-085</x:v>
      </x:c>
      <x:c r="C14" s="47" t="str">
        <x:v>lookupSelectionEvidence</x:v>
      </x:c>
      <x:c r="D14" s="48" t="str">
        <x:v>https://w3id.org/nltl/vocab#lookupSelectionEvidence</x:v>
      </x:c>
      <x:c r="E14" s="47" t="str">
        <x:v>ObjectProperty</x:v>
      </x:c>
      <x:c r="F14" s="47" t="str"/>
      <x:c r="G14" s="47" t="str">
        <x:v>https://w3id.org/nltl/vocab#evidenceArtifact</x:v>
      </x:c>
      <x:c r="H14" s="47" t="str"/>
      <x:c r="I14" s="48" t="str">
        <x:v>linked by the locked 313-requirement index</x:v>
      </x:c>
      <x:c r="J14" s="47" t="n">
        <x:v>0</x:v>
      </x:c>
    </x:row>
    <x:row r="15">
      <x:c r="A15" s="47" t="str">
        <x:v>RUN-TRF-085-20260915T134512615585Z</x:v>
      </x:c>
      <x:c r="B15" s="47" t="str">
        <x:v>TRF-085</x:v>
      </x:c>
      <x:c r="C15" s="47" t="str">
        <x:v>propellerDiameter</x:v>
      </x:c>
      <x:c r="D15" s="48" t="str">
        <x:v>https://w3id.org/nltl/vocab#propellerDiameter</x:v>
      </x:c>
      <x:c r="E15" s="47" t="str">
        <x:v>QuantityProperty</x:v>
      </x:c>
      <x:c r="F15" s="47" t="str"/>
      <x:c r="G15" s="47" t="str">
        <x:v>http://qudt.org/schema/qudt/QuantityValue</x:v>
      </x:c>
      <x:c r="H15" s="47" t="str">
        <x:v>http://qudt.org/vocab/unit/M</x:v>
      </x:c>
      <x:c r="I15" s="48" t="str">
        <x:v>linked by the locked 313-requirement index</x:v>
      </x:c>
      <x:c r="J15" s="47" t="n">
        <x:v>0</x:v>
      </x:c>
    </x:row>
    <x:row r="16">
      <x:c r="A16" s="47" t="str">
        <x:v>RUN-TRF-085-20260915T134512615585Z</x:v>
      </x:c>
      <x:c r="B16" s="47" t="str">
        <x:v>TRF-085</x:v>
      </x:c>
      <x:c r="C16" s="47" t="str">
        <x:v>propellerRotationalSpeedAtMaximumContinuousRatingBollard</x:v>
      </x:c>
      <x:c r="D16" s="48" t="str">
        <x:v>https://w3id.org/nltl/vocab#propellerRotationalSpeedAtMaximumContinuousRatingBollard</x:v>
      </x:c>
      <x:c r="E16" s="47" t="str">
        <x:v>QuantityProperty</x:v>
      </x:c>
      <x:c r="F16" s="47" t="str"/>
      <x:c r="G16" s="47" t="str">
        <x:v>http://qudt.org/schema/qudt/QuantityValue</x:v>
      </x:c>
      <x:c r="H16" s="47" t="str">
        <x:v>http://qudt.org/vocab/unit/REV-PER-MIN</x:v>
      </x:c>
      <x:c r="I16" s="48" t="str">
        <x:v>linked by the locked 313-requirement index</x:v>
      </x:c>
      <x:c r="J16" s="47" t="n">
        <x:v>0</x:v>
      </x:c>
    </x:row>
    <x:row r="17">
      <x:c r="A17" s="47" t="str">
        <x:v>RUN-TRF-085-20260915T134512615585Z</x:v>
      </x:c>
      <x:c r="B17" s="47" t="str">
        <x:v>TRF-085</x:v>
      </x:c>
      <x:c r="C17" s="47" t="str">
        <x:v>ship</x:v>
      </x:c>
      <x:c r="D17" s="48" t="str">
        <x:v>https://w3id.org/nltl/vocab#ship</x:v>
      </x:c>
      <x:c r="E17" s="47" t="str">
        <x:v>Class</x:v>
      </x:c>
      <x:c r="F17" s="47" t="str"/>
      <x:c r="G17" s="47" t="str"/>
      <x:c r="H17" s="47" t="str"/>
      <x:c r="I17" s="48" t="str">
        <x:v>authoritative required owner class; authoritative requirement target owner; baseline target infrastructure; domain dependency of bollardPropellerSpeedKnown; domain dependency of hasTableLookupCase</x:v>
      </x:c>
      <x:c r="J17" s="47" t="n">
        <x:v>0</x:v>
      </x:c>
    </x:row>
    <x:row r="18">
      <x:c r="A18" s="47" t="str">
        <x:v>RUN-TRF-085-20260915T134512615585Z</x:v>
      </x:c>
      <x:c r="B18" s="47" t="str">
        <x:v>TRF-085</x:v>
      </x:c>
      <x:c r="C18" s="47" t="str">
        <x:v>shipComponent</x:v>
      </x:c>
      <x:c r="D18" s="48" t="str">
        <x:v>https://w3id.org/nltl/vocab#shipComponent</x:v>
      </x:c>
      <x:c r="E18" s="47" t="str">
        <x:v>Class</x:v>
      </x:c>
      <x:c r="F18" s="47" t="str"/>
      <x:c r="G18" s="47" t="str"/>
      <x:c r="H18" s="47" t="str"/>
      <x:c r="I18" s="48" t="str">
        <x:v>component-path dependency inferred from the linked term module</x:v>
      </x:c>
      <x:c r="J18" s="47" t="n">
        <x:v>0</x:v>
      </x:c>
    </x:row>
    <x:row r="19">
      <x:c r="A19" s="47" t="str">
        <x:v>RUN-TRF-085-20260915T134512615585Z</x:v>
      </x:c>
      <x:c r="B19" s="47" t="str">
        <x:v>TRF-085</x:v>
      </x:c>
      <x:c r="C19" s="47" t="str">
        <x:v>tableLookupApplied</x:v>
      </x:c>
      <x:c r="D19" s="48" t="str">
        <x:v>https://w3id.org/nltl/vocab#tableLookupApplied</x:v>
      </x:c>
      <x:c r="E19" s="47" t="str">
        <x:v>DatatypeProperty</x:v>
      </x:c>
      <x:c r="F19" s="47" t="str">
        <x:v>xsd:boolean</x:v>
      </x:c>
      <x:c r="G19" s="47" t="str">
        <x:v>http://www.w3.org/2001/XMLSchema#boolean</x:v>
      </x:c>
      <x:c r="H19" s="47" t="str"/>
      <x:c r="I19" s="48" t="str">
        <x:v>linked by the locked 313-requirement index</x:v>
      </x:c>
      <x:c r="J19" s="47" t="n">
        <x:v>0</x:v>
      </x:c>
    </x:row>
    <x:row r="20">
      <x:c r="A20" s="47" t="str">
        <x:v>RUN-TRF-085-20260915T134512615585Z</x:v>
      </x:c>
      <x:c r="B20" s="47" t="str">
        <x:v>TRF-085</x:v>
      </x:c>
      <x:c r="C20" s="47" t="str">
        <x:v>tableLookupCase</x:v>
      </x:c>
      <x:c r="D20" s="48" t="str">
        <x:v>https://w3id.org/nltl/vocab#tableLookupCase</x:v>
      </x:c>
      <x:c r="E20" s="47" t="str">
        <x:v>Class</x:v>
      </x:c>
      <x:c r="F20" s="47" t="str"/>
      <x:c r="G20" s="47" t="str">
        <x:v>https://w3id.org/nltl/vocab#calculationCase</x:v>
      </x:c>
      <x:c r="H20" s="47" t="str"/>
      <x:c r="I20" s="48" t="str">
        <x:v>authoritative required owner class; domain dependency of lookupInputQuantity; domain dependency of lookupResultQuantity; domain dependency of lookupSelectionEvidence; domain dependency of tableLookupApplied; domain dependency of tableReference; range dependency of hasTableLookupCase</x:v>
      </x:c>
      <x:c r="J20" s="47" t="n">
        <x:v>0</x:v>
      </x:c>
    </x:row>
    <x:row r="21">
      <x:c r="A21" s="47" t="str">
        <x:v>RUN-TRF-085-20260915T134512615585Z</x:v>
      </x:c>
      <x:c r="B21" s="47" t="str">
        <x:v>TRF-085</x:v>
      </x:c>
      <x:c r="C21" s="47" t="str">
        <x:v>tableReference</x:v>
      </x:c>
      <x:c r="D21" s="48" t="str">
        <x:v>https://w3id.org/nltl/vocab#tableReference</x:v>
      </x:c>
      <x:c r="E21" s="47" t="str">
        <x:v>ObjectProperty</x:v>
      </x:c>
      <x:c r="F21" s="47" t="str"/>
      <x:c r="G21" s="47" t="str">
        <x:v>https://w3id.org/nltl/vocab#tableReferenceValue</x:v>
      </x:c>
      <x:c r="H21" s="47" t="str"/>
      <x:c r="I21" s="48" t="str">
        <x:v>linked by the locked 313-requirement index</x:v>
      </x:c>
      <x:c r="J21" s="47" t="n">
        <x:v>0</x:v>
      </x:c>
    </x:row>
    <x:row r="22">
      <x:c r="A22" s="47" t="str">
        <x:v>RUN-TRF-085-20260915T134512615585Z</x:v>
      </x:c>
      <x:c r="B22" s="47" t="str">
        <x:v>TRF-085</x:v>
      </x:c>
      <x:c r="C22" s="47" t="str">
        <x:v>tableReferenceValue</x:v>
      </x:c>
      <x:c r="D22" s="48" t="str">
        <x:v>https://w3id.org/nltl/vocab#tableReferenceValue</x:v>
      </x:c>
      <x:c r="E22" s="47" t="str">
        <x:v>Class</x:v>
      </x:c>
      <x:c r="F22" s="47" t="str"/>
      <x:c r="G22" s="47" t="str">
        <x:v>https://w3id.org/nltl/vocab#benchmarkEntity</x:v>
      </x:c>
      <x:c r="H22" s="47" t="str"/>
      <x:c r="I22" s="48" t="str">
        <x:v>range dependency of tableReference; range dependency of traficomTable6Dash9</x:v>
      </x:c>
      <x:c r="J22" s="47" t="n">
        <x:v>0</x:v>
      </x:c>
    </x:row>
    <x:row r="23">
      <x:c r="A23" s="47" t="str">
        <x:v>RUN-TRF-085-20260915T134512615585Z</x:v>
      </x:c>
      <x:c r="B23" s="47" t="str">
        <x:v>TRF-085</x:v>
      </x:c>
      <x:c r="C23" s="47" t="str">
        <x:v>traficomTable4Dash8</x:v>
      </x:c>
      <x:c r="D23" s="48" t="str">
        <x:v>https://w3id.org/nltl/vocab#traficomTable4Dash8</x:v>
      </x:c>
      <x:c r="E23" s="47" t="str">
        <x:v>NamedIndividual</x:v>
      </x:c>
      <x:c r="F23" s="47" t="str"/>
      <x:c r="G23" s="47" t="str">
        <x:v>https://w3id.org/nltl/vocab#tableReferenceValue</x:v>
      </x:c>
      <x:c r="H23" s="47" t="str"/>
      <x:c r="I23" s="48" t="str">
        <x:v>controlled value permitted by the range of tableReference; controlled value permitted by the range of traficomTable6Dash9</x:v>
      </x:c>
      <x:c r="J23" s="47" t="n">
        <x:v>0</x:v>
      </x:c>
    </x:row>
    <x:row r="24">
      <x:c r="A24" s="47" t="str">
        <x:v>RUN-TRF-085-20260915T134512615585Z</x:v>
      </x:c>
      <x:c r="B24" s="47" t="str">
        <x:v>TRF-085</x:v>
      </x:c>
      <x:c r="C24" s="47" t="str">
        <x:v>traficomTable6Dash10</x:v>
      </x:c>
      <x:c r="D24" s="48" t="str">
        <x:v>https://w3id.org/nltl/vocab#traficomTable6Dash10</x:v>
      </x:c>
      <x:c r="E24" s="47" t="str">
        <x:v>NamedIndividual</x:v>
      </x:c>
      <x:c r="F24" s="47" t="str"/>
      <x:c r="G24" s="47" t="str">
        <x:v>https://w3id.org/nltl/vocab#tableReferenceValue</x:v>
      </x:c>
      <x:c r="H24" s="47" t="str"/>
      <x:c r="I24" s="48" t="str">
        <x:v>controlled value permitted by the range of tableReference; controlled value permitted by the range of traficomTable6Dash9</x:v>
      </x:c>
      <x:c r="J24" s="47" t="n">
        <x:v>0</x:v>
      </x:c>
    </x:row>
    <x:row r="25">
      <x:c r="A25" s="47" t="str">
        <x:v>RUN-TRF-085-20260915T134512615585Z</x:v>
      </x:c>
      <x:c r="B25" s="47" t="str">
        <x:v>TRF-085</x:v>
      </x:c>
      <x:c r="C25" s="47" t="str">
        <x:v>traficomTable6Dash14</x:v>
      </x:c>
      <x:c r="D25" s="48" t="str">
        <x:v>https://w3id.org/nltl/vocab#traficomTable6Dash14</x:v>
      </x:c>
      <x:c r="E25" s="47" t="str">
        <x:v>NamedIndividual</x:v>
      </x:c>
      <x:c r="F25" s="47" t="str"/>
      <x:c r="G25" s="47" t="str">
        <x:v>https://w3id.org/nltl/vocab#tableReferenceValue</x:v>
      </x:c>
      <x:c r="H25" s="47" t="str"/>
      <x:c r="I25" s="48" t="str">
        <x:v>controlled value permitted by the range of tableReference; controlled value permitted by the range of traficomTable6Dash9</x:v>
      </x:c>
      <x:c r="J25" s="47" t="n">
        <x:v>0</x:v>
      </x:c>
    </x:row>
    <x:row r="26">
      <x:c r="A26" s="47" t="str">
        <x:v>RUN-TRF-085-20260915T134512615585Z</x:v>
      </x:c>
      <x:c r="B26" s="47" t="str">
        <x:v>TRF-085</x:v>
      </x:c>
      <x:c r="C26" s="47" t="str">
        <x:v>traficomTable6Dash16Reference</x:v>
      </x:c>
      <x:c r="D26" s="48" t="str">
        <x:v>https://w3id.org/nltl/vocab#traficomTable6Dash16Reference</x:v>
      </x:c>
      <x:c r="E26" s="47" t="str">
        <x:v>NamedIndividual</x:v>
      </x:c>
      <x:c r="F26" s="47" t="str"/>
      <x:c r="G26" s="47" t="str">
        <x:v>https://w3id.org/nltl/vocab#tableReferenceValue</x:v>
      </x:c>
      <x:c r="H26" s="47" t="str"/>
      <x:c r="I26" s="48" t="str">
        <x:v>controlled value permitted by the range of tableReference; controlled value permitted by the range of traficomTable6Dash9</x:v>
      </x:c>
      <x:c r="J26" s="47" t="n">
        <x:v>0</x:v>
      </x:c>
    </x:row>
    <x:row r="27">
      <x:c r="A27" s="47" t="str">
        <x:v>RUN-TRF-085-20260915T134512615585Z</x:v>
      </x:c>
      <x:c r="B27" s="47" t="str">
        <x:v>TRF-085</x:v>
      </x:c>
      <x:c r="C27" s="47" t="str">
        <x:v>traficomTable6Dash3Reference</x:v>
      </x:c>
      <x:c r="D27" s="48" t="str">
        <x:v>https://w3id.org/nltl/vocab#traficomTable6Dash3Reference</x:v>
      </x:c>
      <x:c r="E27" s="47" t="str">
        <x:v>NamedIndividual</x:v>
      </x:c>
      <x:c r="F27" s="47" t="str"/>
      <x:c r="G27" s="47" t="str">
        <x:v>https://w3id.org/nltl/vocab#tableReferenceValue</x:v>
      </x:c>
      <x:c r="H27" s="47" t="str"/>
      <x:c r="I27" s="48" t="str">
        <x:v>controlled value permitted by the range of tableReference; controlled value permitted by the range of traficomTable6Dash9</x:v>
      </x:c>
      <x:c r="J27" s="47" t="n">
        <x:v>0</x:v>
      </x:c>
    </x:row>
    <x:row r="28">
      <x:c r="A28" s="47" t="str">
        <x:v>RUN-TRF-085-20260915T134512615585Z</x:v>
      </x:c>
      <x:c r="B28" s="47" t="str">
        <x:v>TRF-085</x:v>
      </x:c>
      <x:c r="C28" s="47" t="str">
        <x:v>traficomTable6Dash6</x:v>
      </x:c>
      <x:c r="D28" s="48" t="str">
        <x:v>https://w3id.org/nltl/vocab#traficomTable6Dash6</x:v>
      </x:c>
      <x:c r="E28" s="47" t="str">
        <x:v>NamedIndividual</x:v>
      </x:c>
      <x:c r="F28" s="47" t="str"/>
      <x:c r="G28" s="47" t="str">
        <x:v>https://w3id.org/nltl/vocab#tableReferenceValue</x:v>
      </x:c>
      <x:c r="H28" s="47" t="str"/>
      <x:c r="I28" s="48" t="str">
        <x:v>controlled value permitted by the range of tableReference; controlled value permitted by the range of traficomTable6Dash9</x:v>
      </x:c>
      <x:c r="J28" s="47" t="n">
        <x:v>0</x:v>
      </x:c>
    </x:row>
    <x:row r="29">
      <x:c r="A29" s="47" t="str">
        <x:v>RUN-TRF-085-20260915T134512615585Z</x:v>
      </x:c>
      <x:c r="B29" s="47" t="str">
        <x:v>TRF-085</x:v>
      </x:c>
      <x:c r="C29" s="47" t="str">
        <x:v>traficomTable6Dash7</x:v>
      </x:c>
      <x:c r="D29" s="48" t="str">
        <x:v>https://w3id.org/nltl/vocab#traficomTable6Dash7</x:v>
      </x:c>
      <x:c r="E29" s="47" t="str">
        <x:v>NamedIndividual</x:v>
      </x:c>
      <x:c r="F29" s="47" t="str"/>
      <x:c r="G29" s="47" t="str">
        <x:v>https://w3id.org/nltl/vocab#tableReferenceValue</x:v>
      </x:c>
      <x:c r="H29" s="47" t="str"/>
      <x:c r="I29" s="48" t="str">
        <x:v>controlled value permitted by the range of tableReference; controlled value permitted by the range of traficomTable6Dash9</x:v>
      </x:c>
      <x:c r="J29" s="47" t="n">
        <x:v>0</x:v>
      </x:c>
    </x:row>
    <x:row r="30">
      <x:c r="A30" s="47" t="str">
        <x:v>RUN-TRF-085-20260915T134512615585Z</x:v>
      </x:c>
      <x:c r="B30" s="47" t="str">
        <x:v>TRF-085</x:v>
      </x:c>
      <x:c r="C30" s="47" t="str">
        <x:v>traficomTable6Dash8</x:v>
      </x:c>
      <x:c r="D30" s="48" t="str">
        <x:v>https://w3id.org/nltl/vocab#traficomTable6Dash8</x:v>
      </x:c>
      <x:c r="E30" s="47" t="str">
        <x:v>NamedIndividual</x:v>
      </x:c>
      <x:c r="F30" s="47" t="str"/>
      <x:c r="G30" s="47" t="str">
        <x:v>https://w3id.org/nltl/vocab#tableReferenceValue</x:v>
      </x:c>
      <x:c r="H30" s="47" t="str"/>
      <x:c r="I30" s="48" t="str">
        <x:v>controlled value permitted by the range of tableReference; controlled value permitted by the range of traficomTable6Dash9</x:v>
      </x:c>
      <x:c r="J30" s="47" t="n">
        <x:v>0</x:v>
      </x:c>
    </x:row>
    <x:row r="31">
      <x:c r="A31" s="49" t="str">
        <x:v>RUN-TRF-085-20260915T134512615585Z</x:v>
      </x:c>
      <x:c r="B31" s="49" t="str">
        <x:v>TRF-085</x:v>
      </x:c>
      <x:c r="C31" s="49" t="str">
        <x:v>traficomTable6Dash9</x:v>
      </x:c>
      <x:c r="D31" s="50" t="str">
        <x:v>https://w3id.org/nltl/vocab#traficomTable6Dash9</x:v>
      </x:c>
      <x:c r="E31" s="49" t="str">
        <x:v>NamedIndividual</x:v>
      </x:c>
      <x:c r="F31" s="49" t="str"/>
      <x:c r="G31" s="49" t="str">
        <x:v>https://w3id.org/nltl/vocab#tableReferenceValue</x:v>
      </x:c>
      <x:c r="H31" s="49" t="str"/>
      <x:c r="I31" s="50" t="str">
        <x:v>controlled value permitted by the range of tableReference; controlled value permitted by the range of traficomTable6Dash9; linked by the locked 313-requirement index</x:v>
      </x:c>
      <x:c r="J31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e9a457bf49594ac5"/>
  </x:tableParts>
</x:worksheet>
</file>

<file path=xl/worksheets/sheet8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RUN-TRF-085-20260915T134512615585Z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RUN-TRF-085-20260915T134512615585Z</x:v>
      </x:c>
      <x:c r="B5" s="45" t="str">
        <x:v>TRF-085</x:v>
      </x:c>
      <x:c r="C5" s="45" t="str">
        <x:v>FS-BOOL-01</x:v>
      </x:c>
      <x:c r="D5" s="45" t="str">
        <x:v>boolean_state</x:v>
      </x:c>
      <x:c r="E5" s="97" t="n">
        <x:v>0.071429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RUN-TRF-085-20260915T134512615585Z</x:v>
      </x:c>
      <x:c r="B6" s="49" t="str">
        <x:v>TRF-085</x:v>
      </x:c>
      <x:c r="C6" s="49" t="str">
        <x:v>FS-BOOL-02</x:v>
      </x:c>
      <x:c r="D6" s="49" t="str">
        <x:v>boolean_state</x:v>
      </x:c>
      <x:c r="E6" s="98" t="n">
        <x:v>0.071429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cca40a5848149fc"/>
  </x:tableParts>
</x:worksheet>
</file>

<file path=xl/worksheets/sheet9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52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RUN-TRF-085-20260915T134512615585Z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RUN-TRF-085-20260915T134512615585Z</x:v>
      </x:c>
      <x:c r="B5" s="45" t="str">
        <x:v>TRF-085</x:v>
      </x:c>
      <x:c r="C5" s="58" t="n">
        <x:v>1</x:v>
      </x:c>
      <x:c r="D5" s="83" t="b">
        <x:v>1</x:v>
      </x:c>
      <x:c r="E5" s="83" t="b">
        <x:v>1</x:v>
      </x:c>
      <x:c r="F5" s="83" t="b">
        <x:v>1</x:v>
      </x:c>
      <x:c r="G5" s="83" t="b">
        <x:v>1</x:v>
      </x:c>
      <x:c r="H5" s="83" t="b">
        <x:v>1</x:v>
      </x:c>
      <x:c r="I5" s="83" t="b">
        <x:v>1</x:v>
      </x:c>
      <x:c r="J5" s="83" t="b">
        <x:v>1</x:v>
      </x:c>
      <x:c r="K5" s="102" t="b">
        <x:v>1</x:v>
      </x:c>
      <x:c r="L5" s="46" t="str"/>
      <x:c r="M5" s="46" t="str"/>
      <x:c r="N5" s="46" t="str">
        <x:v>https://w3id.org/nltl/vocab#bollardPropellerSpeedKnown | https://w3id.org/nltl/vocab#evidenceArtifact | https://w3id.org/nltl/vocab#hasTableLookupCase | https://w3id.org/nltl/vocab#lookupInputQuantity | https://w3id.org/nltl/vocab#lookupResultQuantity | https://w3id.org/nltl/vocab#lookupSelectionEvidence | https://w3id.org/nltl/vocab#propellerDiameter | https://w3id.org/nltl/vocab#propellerRotationalSpeedAtMaximumContinuousRatingBollard | https://w3id.org/nltl/vocab#ship | https://w3id.org/nltl/vocab#tableLookupApplied | https://w3id.org/nltl/vocab#tableReference | https://w3id.org/nltl/vocab#traficomTable6Dash9</x:v>
      </x:c>
      <x:c r="O5" s="46" t="str"/>
      <x:c r="P5" s="46" t="str"/>
      <x:c r="Q5" s="46" t="str"/>
    </x:row>
    <x:row r="6">
      <x:c r="A6" s="47" t="str">
        <x:v>RUN-TRF-085-20260915T134512615585Z</x:v>
      </x:c>
      <x:c r="B6" s="47" t="str">
        <x:v>TRF-085</x:v>
      </x:c>
      <x:c r="C6" s="59" t="n">
        <x:v>2</x:v>
      </x:c>
      <x:c r="D6" s="85" t="b">
        <x:v>0</x:v>
      </x:c>
      <x:c r="E6" s="85" t="b">
        <x:v>1</x:v>
      </x:c>
      <x:c r="F6" s="85" t="b">
        <x:v>1</x:v>
      </x:c>
      <x:c r="G6" s="85" t="b">
        <x:v>1</x:v>
      </x:c>
      <x:c r="H6" s="85" t="b">
        <x:v>1</x:v>
      </x:c>
      <x:c r="I6" s="85" t="b">
        <x:v>1</x:v>
      </x:c>
      <x:c r="J6" s="85" t="b">
        <x:v>1</x:v>
      </x:c>
      <x:c r="K6" s="103" t="b">
        <x:v>1</x:v>
      </x:c>
      <x:c r="L6" s="48" t="str">
        <x:v>COMPLETE dependency relationship(s) absent from candidate: lookupSelectionEvidence</x:v>
      </x:c>
      <x:c r="M6" s="48" t="str"/>
      <x:c r="N6" s="48" t="str">
        <x:v>https://w3id.org/nltl/vocab#bollardPropellerSpeedKnown | https://w3id.org/nltl/vocab#hasTableLookupCase | https://w3id.org/nltl/vocab#lookupInputQuantity | https://w3id.org/nltl/vocab#lookupResultQuantity | https://w3id.org/nltl/vocab#propellerDiameter | https://w3id.org/nltl/vocab#propellerRotationalSpeedAtMaximumContinuousRatingBollard | https://w3id.org/nltl/vocab#ship | https://w3id.org/nltl/vocab#tableReference | https://w3id.org/nltl/vocab#traficomTable6Dash9</x:v>
      </x:c>
      <x:c r="O6" s="48" t="str"/>
      <x:c r="P6" s="48" t="str"/>
      <x:c r="Q6" s="48" t="str"/>
    </x:row>
    <x:row r="7">
      <x:c r="A7" s="47" t="str">
        <x:v>RUN-TRF-085-20260915T134512615585Z</x:v>
      </x:c>
      <x:c r="B7" s="47" t="str">
        <x:v>TRF-085</x:v>
      </x:c>
      <x:c r="C7" s="59" t="n">
        <x:v>3</x:v>
      </x:c>
      <x:c r="D7" s="85" t="b">
        <x:v>1</x:v>
      </x:c>
      <x:c r="E7" s="85" t="b">
        <x:v>1</x:v>
      </x:c>
      <x:c r="F7" s="85" t="b">
        <x:v>1</x:v>
      </x:c>
      <x:c r="G7" s="85" t="b">
        <x:v>1</x:v>
      </x:c>
      <x:c r="H7" s="85" t="b">
        <x:v>1</x:v>
      </x:c>
      <x:c r="I7" s="85" t="b">
        <x:v>1</x:v>
      </x:c>
      <x:c r="J7" s="85" t="b">
        <x:v>1</x:v>
      </x:c>
      <x:c r="K7" s="103" t="b">
        <x:v>1</x:v>
      </x:c>
      <x:c r="L7" s="48" t="str"/>
      <x:c r="M7" s="48" t="str"/>
      <x:c r="N7" s="48" t="str">
        <x:v>https://w3id.org/nltl/vocab#bollardPropellerSpeedKnown | https://w3id.org/nltl/vocab#hasTableLookupCase | https://w3id.org/nltl/vocab#lookupInputQuantity | https://w3id.org/nltl/vocab#lookupResultQuantity | https://w3id.org/nltl/vocab#lookupSelectionEvidence | https://w3id.org/nltl/vocab#propellerDiameter | https://w3id.org/nltl/vocab#propellerRotationalSpeedAtMaximumContinuousRatingBollard | https://w3id.org/nltl/vocab#ship | https://w3id.org/nltl/vocab#tableReference | https://w3id.org/nltl/vocab#traficomTable6Dash9</x:v>
      </x:c>
      <x:c r="O7" s="48" t="str"/>
      <x:c r="P7" s="48" t="str"/>
      <x:c r="Q7" s="48" t="str"/>
    </x:row>
    <x:row r="8">
      <x:c r="A8" s="49" t="str">
        <x:v>RUN-TRF-085-20260915T134512615585Z</x:v>
      </x:c>
      <x:c r="B8" s="49" t="str">
        <x:v>TRF-085</x:v>
      </x:c>
      <x:c r="C8" s="60" t="n">
        <x:v>4</x:v>
      </x:c>
      <x:c r="D8" s="87" t="b">
        <x:v>1</x:v>
      </x:c>
      <x:c r="E8" s="87" t="b">
        <x:v>1</x:v>
      </x:c>
      <x:c r="F8" s="87" t="b">
        <x:v>1</x:v>
      </x:c>
      <x:c r="G8" s="87" t="b">
        <x:v>1</x:v>
      </x:c>
      <x:c r="H8" s="87" t="b">
        <x:v>1</x:v>
      </x:c>
      <x:c r="I8" s="87" t="b">
        <x:v>1</x:v>
      </x:c>
      <x:c r="J8" s="87" t="b">
        <x:v>1</x:v>
      </x:c>
      <x:c r="K8" s="104" t="b">
        <x:v>1</x:v>
      </x:c>
      <x:c r="L8" s="50" t="str"/>
      <x:c r="M8" s="50" t="str"/>
      <x:c r="N8" s="50" t="str">
        <x:v>https://w3id.org/nltl/vocab#bollardPropellerSpeedKnown | https://w3id.org/nltl/vocab#hasTableLookupCase | https://w3id.org/nltl/vocab#lookupInputQuantity | https://w3id.org/nltl/vocab#lookupResultQuantity | https://w3id.org/nltl/vocab#lookupSelectionEvidence | https://w3id.org/nltl/vocab#propellerDiameter | https://w3id.org/nltl/vocab#propellerRotationalSpeedAtMaximumContinuousRatingBollard | https://w3id.org/nltl/vocab#ship | https://w3id.org/nltl/vocab#tableReference | https://w3id.org/nltl/vocab#traficomTable6Dash9</x:v>
      </x:c>
      <x:c r="O8" s="50" t="str"/>
      <x:c r="P8" s="50" t="str"/>
      <x:c r="Q8" s="50" t="str"/>
    </x:row>
  </x:sheetData>
  <x:pageMargins left="0.7" right="0.7" top="0.75" bottom="0.75" header="0.3" footer="0.3"/>
  <x:tableParts count="1">
    <x:tablePart xmlns:r="http://schemas.openxmlformats.org/officeDocument/2006/relationships" r:id="R83523bea0409461d"/>
  </x:tableParts>
</x:worksheet>
</file>

<file path=xl/worksheets/sheet10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RUN-TRF-085-20260915T134512615585Z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6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RUN-TRF-085-20260915T134512615585Z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RUN-TRF-085-20260915T134512615585Z</x:v>
      </x:c>
      <x:c r="B5" s="45" t="str">
        <x:v>TRF-085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f576fe178d20376a2380116e0f3ce6bef172b97baef45e5f33f127ec126f6247</x:v>
      </x:c>
      <x:c r="G5" s="58" t="n">
        <x:v>33977</x:v>
      </x:c>
    </x:row>
    <x:row r="6">
      <x:c r="A6" s="47" t="str">
        <x:v>RUN-TRF-085-20260915T134512615585Z</x:v>
      </x:c>
      <x:c r="B6" s="47" t="str">
        <x:v>TRF-085</x:v>
      </x:c>
      <x:c r="C6" s="59"/>
      <x:c r="D6" s="47" t="str">
        <x:v>few_shot_selection</x:v>
      </x:c>
      <x:c r="E6" s="48" t="str">
        <x:v>artifacts/few_shots_selected.json</x:v>
      </x:c>
      <x:c r="F6" s="47" t="str">
        <x:v>3a6a121f36e5dc06072215cb9a3f74349076a7a9ad5b16c49113372e7909296c</x:v>
      </x:c>
      <x:c r="G6" s="59" t="n">
        <x:v>3110</x:v>
      </x:c>
    </x:row>
    <x:row r="7">
      <x:c r="A7" s="47" t="str">
        <x:v>RUN-TRF-085-20260915T134512615585Z</x:v>
      </x:c>
      <x:c r="B7" s="47" t="str">
        <x:v>TRF-085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4f1908b825d7ecc9b3fd028b3acf30a50d14011859317dde5a4f626488bb3391</x:v>
      </x:c>
      <x:c r="G7" s="59" t="n">
        <x:v>48601</x:v>
      </x:c>
    </x:row>
    <x:row r="8">
      <x:c r="A8" s="47" t="str">
        <x:v>RUN-TRF-085-20260915T134512615585Z</x:v>
      </x:c>
      <x:c r="B8" s="47" t="str">
        <x:v>TRF-085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2d217fcea65579ebd333ee6c258676b7c38158725e3dc00e238fe0c5afaeb94e</x:v>
      </x:c>
      <x:c r="G8" s="59" t="n">
        <x:v>3996</x:v>
      </x:c>
    </x:row>
    <x:row r="9">
      <x:c r="A9" s="47" t="str">
        <x:v>RUN-TRF-085-20260915T134512615585Z</x:v>
      </x:c>
      <x:c r="B9" s="47" t="str">
        <x:v>TRF-085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4f4df7ce85a80cb2defb63e0f076ea5b8fc3142a8c36bec17dcb58f55a90172e</x:v>
      </x:c>
      <x:c r="G9" s="59" t="n">
        <x:v>3971</x:v>
      </x:c>
    </x:row>
    <x:row r="10">
      <x:c r="A10" s="47" t="str">
        <x:v>RUN-TRF-085-20260915T134512615585Z</x:v>
      </x:c>
      <x:c r="B10" s="47" t="str">
        <x:v>TRF-085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c11d903bb33a0402b8e733022c36de49cfde469d7080efff5e49c9733d846f5e</x:v>
      </x:c>
      <x:c r="G10" s="59" t="n">
        <x:v>1071</x:v>
      </x:c>
    </x:row>
    <x:row r="11">
      <x:c r="A11" s="47" t="str">
        <x:v>RUN-TRF-085-20260915T134512615585Z</x:v>
      </x:c>
      <x:c r="B11" s="47" t="str">
        <x:v>TRF-085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d2ad4c9bfe393ee41e38857280e4f11dd45532fc3dc3a72732a432dd135a34f1</x:v>
      </x:c>
      <x:c r="G11" s="59" t="n">
        <x:v>45627</x:v>
      </x:c>
    </x:row>
    <x:row r="12">
      <x:c r="A12" s="47" t="str">
        <x:v>RUN-TRF-085-20260915T134512615585Z</x:v>
      </x:c>
      <x:c r="B12" s="47" t="str">
        <x:v>TRF-085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5fa602dac8158560218c19d57e7698730ac7e7284cc96161ece71a3b2012bde1</x:v>
      </x:c>
      <x:c r="G12" s="59" t="n">
        <x:v>2785</x:v>
      </x:c>
    </x:row>
    <x:row r="13">
      <x:c r="A13" s="47" t="str">
        <x:v>RUN-TRF-085-20260915T134512615585Z</x:v>
      </x:c>
      <x:c r="B13" s="47" t="str">
        <x:v>TRF-085</x:v>
      </x:c>
      <x:c r="C13" s="59" t="n">
        <x:v>1</x:v>
      </x:c>
      <x:c r="D13" s="47" t="str">
        <x:v>structured_current_issues</x:v>
      </x:c>
      <x:c r="E13" s="48" t="str">
        <x:v>artifacts/attempt_01/structured_current_issues.json</x:v>
      </x:c>
      <x:c r="F13" s="47" t="str">
        <x:v>38680867bd22e7b100d63c7240e2d1403c6320fc7440587e963d358ea1c6e018</x:v>
      </x:c>
      <x:c r="G13" s="59" t="n">
        <x:v>3015</x:v>
      </x:c>
    </x:row>
    <x:row r="14">
      <x:c r="A14" s="47" t="str">
        <x:v>RUN-TRF-085-20260915T134512615585Z</x:v>
      </x:c>
      <x:c r="B14" s="47" t="str">
        <x:v>TRF-085</x:v>
      </x:c>
      <x:c r="C14" s="59" t="n">
        <x:v>1</x:v>
      </x:c>
      <x:c r="D14" s="47" t="str">
        <x:v>past_mistakes_to_avoid</x:v>
      </x:c>
      <x:c r="E14" s="48" t="str">
        <x:v>artifacts/attempt_01/past_mistakes_to_avoid.json</x:v>
      </x:c>
      <x:c r="F14" s="47" t="str">
        <x:v>37517e5f3dc66819f61f5a7bb8ace1921282415f10551d2defa5c3eb0985b570</x:v>
      </x:c>
      <x:c r="G14" s="59" t="n">
        <x:v>3</x:v>
      </x:c>
    </x:row>
    <x:row r="15">
      <x:c r="A15" s="47" t="str">
        <x:v>RUN-TRF-085-20260915T134512615585Z</x:v>
      </x:c>
      <x:c r="B15" s="47" t="str">
        <x:v>TRF-085</x:v>
      </x:c>
      <x:c r="C15" s="59" t="n">
        <x:v>1</x:v>
      </x:c>
      <x:c r="D15" s="47" t="str">
        <x:v>attempt_metadata</x:v>
      </x:c>
      <x:c r="E15" s="48" t="str">
        <x:v>artifacts/attempt_01/attempt_metadata.json</x:v>
      </x:c>
      <x:c r="F15" s="47" t="str">
        <x:v>f156270a6380bb96185b3ad7fa56e0fa2d0d531039c2f6ed0d72408446a7d344</x:v>
      </x:c>
      <x:c r="G15" s="59" t="n">
        <x:v>920</x:v>
      </x:c>
    </x:row>
    <x:row r="16">
      <x:c r="A16" s="47" t="str">
        <x:v>RUN-TRF-085-20260915T134512615585Z</x:v>
      </x:c>
      <x:c r="B16" s="47" t="str">
        <x:v>TRF-085</x:v>
      </x:c>
      <x:c r="C16" s="59" t="n">
        <x:v>2</x:v>
      </x:c>
      <x:c r="D16" s="47" t="str">
        <x:v>semantic_repair_prompt</x:v>
      </x:c>
      <x:c r="E16" s="48" t="str">
        <x:v>artifacts/attempt_02/semantic_repair_prompt.txt</x:v>
      </x:c>
      <x:c r="F16" s="47" t="str">
        <x:v>a10b0d1acf7bf65b30a8cb4edf966936fd03a264497d4f47c23a8697f3a13f16</x:v>
      </x:c>
      <x:c r="G16" s="59" t="n">
        <x:v>41772</x:v>
      </x:c>
    </x:row>
    <x:row r="17">
      <x:c r="A17" s="47" t="str">
        <x:v>RUN-TRF-085-20260915T134512615585Z</x:v>
      </x:c>
      <x:c r="B17" s="47" t="str">
        <x:v>TRF-085</x:v>
      </x:c>
      <x:c r="C17" s="59" t="n">
        <x:v>2</x:v>
      </x:c>
      <x:c r="D17" s="47" t="str">
        <x:v>semantic_repair_raw_response</x:v>
      </x:c>
      <x:c r="E17" s="48" t="str">
        <x:v>artifacts/attempt_02/semantic_repair_raw.txt</x:v>
      </x:c>
      <x:c r="F17" s="47" t="str">
        <x:v>166677f4579b53e38108f18b2aa13b8d81e65fd496280b0ac95aca0ce13a53cd</x:v>
      </x:c>
      <x:c r="G17" s="59" t="n">
        <x:v>4660</x:v>
      </x:c>
    </x:row>
    <x:row r="18">
      <x:c r="A18" s="47" t="str">
        <x:v>RUN-TRF-085-20260915T134512615585Z</x:v>
      </x:c>
      <x:c r="B18" s="47" t="str">
        <x:v>TRF-085</x:v>
      </x:c>
      <x:c r="C18" s="59" t="n">
        <x:v>2</x:v>
      </x:c>
      <x:c r="D18" s="47" t="str">
        <x:v>syntax_repair_prompt</x:v>
      </x:c>
      <x:c r="E18" s="48" t="str">
        <x:v>artifacts/attempt_02/syntax_repair_prompt_01.txt</x:v>
      </x:c>
      <x:c r="F18" s="47" t="str">
        <x:v>22b8f4ca14d7ea6e1a52a2f95223c7dc79b02ad92cea1c487a8786834baa7d60</x:v>
      </x:c>
      <x:c r="G18" s="59" t="n">
        <x:v>8683</x:v>
      </x:c>
    </x:row>
    <x:row r="19">
      <x:c r="A19" s="47" t="str">
        <x:v>RUN-TRF-085-20260915T134512615585Z</x:v>
      </x:c>
      <x:c r="B19" s="47" t="str">
        <x:v>TRF-085</x:v>
      </x:c>
      <x:c r="C19" s="59" t="n">
        <x:v>2</x:v>
      </x:c>
      <x:c r="D19" s="47" t="str">
        <x:v>syntax_repair_raw_response</x:v>
      </x:c>
      <x:c r="E19" s="48" t="str">
        <x:v>artifacts/attempt_02/syntax_repair_raw_01.txt</x:v>
      </x:c>
      <x:c r="F19" s="47" t="str">
        <x:v>3018e3bce4b99fa47b2da30aee4913b6b355102eaa3a19bdf52d1658c67dcf3e</x:v>
      </x:c>
      <x:c r="G19" s="59" t="n">
        <x:v>4492</x:v>
      </x:c>
    </x:row>
    <x:row r="20">
      <x:c r="A20" s="47" t="str">
        <x:v>RUN-TRF-085-20260915T134512615585Z</x:v>
      </x:c>
      <x:c r="B20" s="47" t="str">
        <x:v>TRF-085</x:v>
      </x:c>
      <x:c r="C20" s="59" t="n">
        <x:v>2</x:v>
      </x:c>
      <x:c r="D20" s="47" t="str">
        <x:v>candidate_shape</x:v>
      </x:c>
      <x:c r="E20" s="48" t="str">
        <x:v>artifacts/attempt_02/candidate_shape.ttl</x:v>
      </x:c>
      <x:c r="F20" s="47" t="str">
        <x:v>05eee9f1c3897ec2b726346ee6c98fc43f5f500edce7a71aa8e4797820384c6b</x:v>
      </x:c>
      <x:c r="G20" s="59" t="n">
        <x:v>4467</x:v>
      </x:c>
    </x:row>
    <x:row r="21">
      <x:c r="A21" s="47" t="str">
        <x:v>RUN-TRF-085-20260915T134512615585Z</x:v>
      </x:c>
      <x:c r="B21" s="47" t="str">
        <x:v>TRF-085</x:v>
      </x:c>
      <x:c r="C21" s="59" t="n">
        <x:v>2</x:v>
      </x:c>
      <x:c r="D21" s="47" t="str">
        <x:v>deterministic_validation</x:v>
      </x:c>
      <x:c r="E21" s="48" t="str">
        <x:v>artifacts/attempt_02/deterministic_validation.json</x:v>
      </x:c>
      <x:c r="F21" s="47" t="str">
        <x:v>fb74620c603ea59dafb8fa6730f6b4a9ef688976af80192c41356277b4c71c98</x:v>
      </x:c>
      <x:c r="G21" s="59" t="n">
        <x:v>999</x:v>
      </x:c>
    </x:row>
    <x:row r="22">
      <x:c r="A22" s="47" t="str">
        <x:v>RUN-TRF-085-20260915T134512615585Z</x:v>
      </x:c>
      <x:c r="B22" s="47" t="str">
        <x:v>TRF-085</x:v>
      </x:c>
      <x:c r="C22" s="59" t="n">
        <x:v>2</x:v>
      </x:c>
      <x:c r="D22" s="47" t="str">
        <x:v>repair_diff</x:v>
      </x:c>
      <x:c r="E22" s="48" t="str">
        <x:v>artifacts/attempt_02/repair_diff.json</x:v>
      </x:c>
      <x:c r="F22" s="47" t="str">
        <x:v>11a650ef5c09af8bf4b1e776d8c80b3657a977f8cb56cc1cb43b75b4f96c7a81</x:v>
      </x:c>
      <x:c r="G22" s="59" t="n">
        <x:v>808</x:v>
      </x:c>
    </x:row>
    <x:row r="23">
      <x:c r="A23" s="47" t="str">
        <x:v>RUN-TRF-085-20260915T134512615585Z</x:v>
      </x:c>
      <x:c r="B23" s="47" t="str">
        <x:v>TRF-085</x:v>
      </x:c>
      <x:c r="C23" s="59" t="n">
        <x:v>2</x:v>
      </x:c>
      <x:c r="D23" s="47" t="str">
        <x:v>structured_current_issues</x:v>
      </x:c>
      <x:c r="E23" s="48" t="str">
        <x:v>artifacts/attempt_02/structured_current_issues.json</x:v>
      </x:c>
      <x:c r="F23" s="47" t="str">
        <x:v>3377383dfaccc26ce11ad2f733e15d38d40520d22f1dc0ecaa5f5b18f1631bee</x:v>
      </x:c>
      <x:c r="G23" s="59" t="n">
        <x:v>644</x:v>
      </x:c>
    </x:row>
    <x:row r="24">
      <x:c r="A24" s="47" t="str">
        <x:v>RUN-TRF-085-20260915T134512615585Z</x:v>
      </x:c>
      <x:c r="B24" s="47" t="str">
        <x:v>TRF-085</x:v>
      </x:c>
      <x:c r="C24" s="59" t="n">
        <x:v>2</x:v>
      </x:c>
      <x:c r="D24" s="47" t="str">
        <x:v>past_mistakes_to_avoid</x:v>
      </x:c>
      <x:c r="E24" s="48" t="str">
        <x:v>artifacts/attempt_02/past_mistakes_to_avoid.json</x:v>
      </x:c>
      <x:c r="F24" s="47" t="str">
        <x:v>e9d83ada1288d23344bfcc0a821746106450a8387be42aa708210ab2b81737b1</x:v>
      </x:c>
      <x:c r="G24" s="59" t="n">
        <x:v>405</x:v>
      </x:c>
    </x:row>
    <x:row r="25">
      <x:c r="A25" s="47" t="str">
        <x:v>RUN-TRF-085-20260915T134512615585Z</x:v>
      </x:c>
      <x:c r="B25" s="47" t="str">
        <x:v>TRF-085</x:v>
      </x:c>
      <x:c r="C25" s="59" t="n">
        <x:v>2</x:v>
      </x:c>
      <x:c r="D25" s="47" t="str">
        <x:v>attempt_metadata</x:v>
      </x:c>
      <x:c r="E25" s="48" t="str">
        <x:v>artifacts/attempt_02/attempt_metadata.json</x:v>
      </x:c>
      <x:c r="F25" s="47" t="str">
        <x:v>75fca0acc16d71715ba1ab7bd9325620dddfbd013706e17643cc5f98bd4d0f45</x:v>
      </x:c>
      <x:c r="G25" s="59" t="n">
        <x:v>1001</x:v>
      </x:c>
    </x:row>
    <x:row r="26">
      <x:c r="A26" s="47" t="str">
        <x:v>RUN-TRF-085-20260915T134512615585Z</x:v>
      </x:c>
      <x:c r="B26" s="47" t="str">
        <x:v>TRF-085</x:v>
      </x:c>
      <x:c r="C26" s="59" t="n">
        <x:v>3</x:v>
      </x:c>
      <x:c r="D26" s="47" t="str">
        <x:v>semantic_repair_prompt</x:v>
      </x:c>
      <x:c r="E26" s="48" t="str">
        <x:v>artifacts/attempt_03/semantic_repair_prompt.txt</x:v>
      </x:c>
      <x:c r="F26" s="47" t="str">
        <x:v>15ee5192614c46e2fedcaef2ce1a39747c07b581d8315ce78d2764e9a19c959f</x:v>
      </x:c>
      <x:c r="G26" s="59" t="n">
        <x:v>40346</x:v>
      </x:c>
    </x:row>
    <x:row r="27">
      <x:c r="A27" s="47" t="str">
        <x:v>RUN-TRF-085-20260915T134512615585Z</x:v>
      </x:c>
      <x:c r="B27" s="47" t="str">
        <x:v>TRF-085</x:v>
      </x:c>
      <x:c r="C27" s="59" t="n">
        <x:v>3</x:v>
      </x:c>
      <x:c r="D27" s="47" t="str">
        <x:v>semantic_repair_raw_response</x:v>
      </x:c>
      <x:c r="E27" s="48" t="str">
        <x:v>artifacts/attempt_03/semantic_repair_raw.txt</x:v>
      </x:c>
      <x:c r="F27" s="47" t="str">
        <x:v>9841ae4b91bd7725f43bbd422727977451e681069a639857fb3e4dac01116370</x:v>
      </x:c>
      <x:c r="G27" s="59" t="n">
        <x:v>4663</x:v>
      </x:c>
    </x:row>
    <x:row r="28">
      <x:c r="A28" s="47" t="str">
        <x:v>RUN-TRF-085-20260915T134512615585Z</x:v>
      </x:c>
      <x:c r="B28" s="47" t="str">
        <x:v>TRF-085</x:v>
      </x:c>
      <x:c r="C28" s="59" t="n">
        <x:v>3</x:v>
      </x:c>
      <x:c r="D28" s="47" t="str">
        <x:v>candidate_shape</x:v>
      </x:c>
      <x:c r="E28" s="48" t="str">
        <x:v>artifacts/attempt_03/candidate_shape.ttl</x:v>
      </x:c>
      <x:c r="F28" s="47" t="str">
        <x:v>917f2b4fb15ae5d52644265883e8ccc22b9355e1480c99ff15e85be8a8b9704b</x:v>
      </x:c>
      <x:c r="G28" s="59" t="n">
        <x:v>4638</x:v>
      </x:c>
    </x:row>
    <x:row r="29">
      <x:c r="A29" s="47" t="str">
        <x:v>RUN-TRF-085-20260915T134512615585Z</x:v>
      </x:c>
      <x:c r="B29" s="47" t="str">
        <x:v>TRF-085</x:v>
      </x:c>
      <x:c r="C29" s="59" t="n">
        <x:v>3</x:v>
      </x:c>
      <x:c r="D29" s="47" t="str">
        <x:v>deterministic_validation</x:v>
      </x:c>
      <x:c r="E29" s="48" t="str">
        <x:v>artifacts/attempt_03/deterministic_validation.json</x:v>
      </x:c>
      <x:c r="F29" s="47" t="str">
        <x:v>0327bd843d41c3e872d63716296599d3d1d722a8e7a97e0e88616e3feeae3c0c</x:v>
      </x:c>
      <x:c r="G29" s="59" t="n">
        <x:v>965</x:v>
      </x:c>
    </x:row>
    <x:row r="30">
      <x:c r="A30" s="47" t="str">
        <x:v>RUN-TRF-085-20260915T134512615585Z</x:v>
      </x:c>
      <x:c r="B30" s="47" t="str">
        <x:v>TRF-085</x:v>
      </x:c>
      <x:c r="C30" s="59" t="n">
        <x:v>3</x:v>
      </x:c>
      <x:c r="D30" s="47" t="str">
        <x:v>repair_diff</x:v>
      </x:c>
      <x:c r="E30" s="48" t="str">
        <x:v>artifacts/attempt_03/repair_diff.json</x:v>
      </x:c>
      <x:c r="F30" s="47" t="str">
        <x:v>b9b7b98accbaf249f0a3a87b2c9521c72ad3f9a16abd4f55441a568a4d2f738c</x:v>
      </x:c>
      <x:c r="G30" s="59" t="n">
        <x:v>650</x:v>
      </x:c>
    </x:row>
    <x:row r="31">
      <x:c r="A31" s="47" t="str">
        <x:v>RUN-TRF-085-20260915T134512615585Z</x:v>
      </x:c>
      <x:c r="B31" s="47" t="str">
        <x:v>TRF-085</x:v>
      </x:c>
      <x:c r="C31" s="59" t="n">
        <x:v>3</x:v>
      </x:c>
      <x:c r="D31" s="47" t="str">
        <x:v>validator_prompt</x:v>
      </x:c>
      <x:c r="E31" s="48" t="str">
        <x:v>artifacts/attempt_03/validator_prompt_01.txt</x:v>
      </x:c>
      <x:c r="F31" s="47" t="str">
        <x:v>826eb698065480c2323b4022021c19fa0b9c9d1bfbff0e1ec014900d9653cfa6</x:v>
      </x:c>
      <x:c r="G31" s="59" t="n">
        <x:v>46015</x:v>
      </x:c>
    </x:row>
    <x:row r="32">
      <x:c r="A32" s="47" t="str">
        <x:v>RUN-TRF-085-20260915T134512615585Z</x:v>
      </x:c>
      <x:c r="B32" s="47" t="str">
        <x:v>TRF-085</x:v>
      </x:c>
      <x:c r="C32" s="59" t="n">
        <x:v>3</x:v>
      </x:c>
      <x:c r="D32" s="47" t="str">
        <x:v>validator_raw_response</x:v>
      </x:c>
      <x:c r="E32" s="48" t="str">
        <x:v>artifacts/attempt_03/validator_raw_01.txt</x:v>
      </x:c>
      <x:c r="F32" s="47" t="str">
        <x:v>12bc7f6e4e4a0d0a10ffa839901ffb85d62c77371e6827d79611e2a6da57058a</x:v>
      </x:c>
      <x:c r="G32" s="59" t="n">
        <x:v>2497</x:v>
      </x:c>
    </x:row>
    <x:row r="33">
      <x:c r="A33" s="47" t="str">
        <x:v>RUN-TRF-085-20260915T134512615585Z</x:v>
      </x:c>
      <x:c r="B33" s="47" t="str">
        <x:v>TRF-085</x:v>
      </x:c>
      <x:c r="C33" s="59" t="n">
        <x:v>3</x:v>
      </x:c>
      <x:c r="D33" s="47" t="str">
        <x:v>structured_current_issues</x:v>
      </x:c>
      <x:c r="E33" s="48" t="str">
        <x:v>artifacts/attempt_03/structured_current_issues.json</x:v>
      </x:c>
      <x:c r="F33" s="47" t="str">
        <x:v>2b38d32964816039391f52b606dd531eff27e634d04516278cd1d477613bb0bc</x:v>
      </x:c>
      <x:c r="G33" s="59" t="n">
        <x:v>2654</x:v>
      </x:c>
    </x:row>
    <x:row r="34">
      <x:c r="A34" s="47" t="str">
        <x:v>RUN-TRF-085-20260915T134512615585Z</x:v>
      </x:c>
      <x:c r="B34" s="47" t="str">
        <x:v>TRF-085</x:v>
      </x:c>
      <x:c r="C34" s="59" t="n">
        <x:v>3</x:v>
      </x:c>
      <x:c r="D34" s="47" t="str">
        <x:v>past_mistakes_to_avoid</x:v>
      </x:c>
      <x:c r="E34" s="48" t="str">
        <x:v>artifacts/attempt_03/past_mistakes_to_avoid.json</x:v>
      </x:c>
      <x:c r="F34" s="47" t="str">
        <x:v>1ce18516e206c6314cd91e9e7df9c407ca40c7466d647032f179964f28617e6e</x:v>
      </x:c>
      <x:c r="G34" s="59" t="n">
        <x:v>544</x:v>
      </x:c>
    </x:row>
    <x:row r="35">
      <x:c r="A35" s="47" t="str">
        <x:v>RUN-TRF-085-20260915T134512615585Z</x:v>
      </x:c>
      <x:c r="B35" s="47" t="str">
        <x:v>TRF-085</x:v>
      </x:c>
      <x:c r="C35" s="59" t="n">
        <x:v>3</x:v>
      </x:c>
      <x:c r="D35" s="47" t="str">
        <x:v>attempt_metadata</x:v>
      </x:c>
      <x:c r="E35" s="48" t="str">
        <x:v>artifacts/attempt_03/attempt_metadata.json</x:v>
      </x:c>
      <x:c r="F35" s="47" t="str">
        <x:v>79be0ef4442213237e436a2b2eade9e200e8168c265ff56ca7a65345227294d7</x:v>
      </x:c>
      <x:c r="G35" s="59" t="n">
        <x:v>977</x:v>
      </x:c>
    </x:row>
    <x:row r="36">
      <x:c r="A36" s="47" t="str">
        <x:v>RUN-TRF-085-20260915T134512615585Z</x:v>
      </x:c>
      <x:c r="B36" s="47" t="str">
        <x:v>TRF-085</x:v>
      </x:c>
      <x:c r="C36" s="59" t="n">
        <x:v>4</x:v>
      </x:c>
      <x:c r="D36" s="47" t="str">
        <x:v>semantic_repair_prompt</x:v>
      </x:c>
      <x:c r="E36" s="48" t="str">
        <x:v>artifacts/attempt_04/semantic_repair_prompt.txt</x:v>
      </x:c>
      <x:c r="F36" s="47" t="str">
        <x:v>f17c50e1bf77dd4d4aa813f582fe543b68b30e42944ac21996ff5f759d9c0bc0</x:v>
      </x:c>
      <x:c r="G36" s="59" t="n">
        <x:v>42657</x:v>
      </x:c>
    </x:row>
    <x:row r="37">
      <x:c r="A37" s="47" t="str">
        <x:v>RUN-TRF-085-20260915T134512615585Z</x:v>
      </x:c>
      <x:c r="B37" s="47" t="str">
        <x:v>TRF-085</x:v>
      </x:c>
      <x:c r="C37" s="59" t="n">
        <x:v>4</x:v>
      </x:c>
      <x:c r="D37" s="47" t="str">
        <x:v>semantic_repair_raw_response</x:v>
      </x:c>
      <x:c r="E37" s="48" t="str">
        <x:v>artifacts/attempt_04/semantic_repair_raw.txt</x:v>
      </x:c>
      <x:c r="F37" s="47" t="str">
        <x:v>d8a90283ae759538a68b5dff43979e61bff908c4432046f03ecf2531c3833270</x:v>
      </x:c>
      <x:c r="G37" s="59" t="n">
        <x:v>4979</x:v>
      </x:c>
    </x:row>
    <x:row r="38">
      <x:c r="A38" s="47" t="str">
        <x:v>RUN-TRF-085-20260915T134512615585Z</x:v>
      </x:c>
      <x:c r="B38" s="47" t="str">
        <x:v>TRF-085</x:v>
      </x:c>
      <x:c r="C38" s="59" t="n">
        <x:v>4</x:v>
      </x:c>
      <x:c r="D38" s="47" t="str">
        <x:v>candidate_shape</x:v>
      </x:c>
      <x:c r="E38" s="48" t="str">
        <x:v>artifacts/attempt_04/candidate_shape.ttl</x:v>
      </x:c>
      <x:c r="F38" s="47" t="str">
        <x:v>c4895fc0987d12905272eee26b2ecec61f5df507f6a42c927be3ac985bd822b7</x:v>
      </x:c>
      <x:c r="G38" s="59" t="n">
        <x:v>4954</x:v>
      </x:c>
    </x:row>
    <x:row r="39">
      <x:c r="A39" s="47" t="str">
        <x:v>RUN-TRF-085-20260915T134512615585Z</x:v>
      </x:c>
      <x:c r="B39" s="47" t="str">
        <x:v>TRF-085</x:v>
      </x:c>
      <x:c r="C39" s="59" t="n">
        <x:v>4</x:v>
      </x:c>
      <x:c r="D39" s="47" t="str">
        <x:v>deterministic_validation</x:v>
      </x:c>
      <x:c r="E39" s="48" t="str">
        <x:v>artifacts/attempt_04/deterministic_validation.json</x:v>
      </x:c>
      <x:c r="F39" s="47" t="str">
        <x:v>0327bd843d41c3e872d63716296599d3d1d722a8e7a97e0e88616e3feeae3c0c</x:v>
      </x:c>
      <x:c r="G39" s="59" t="n">
        <x:v>965</x:v>
      </x:c>
    </x:row>
    <x:row r="40">
      <x:c r="A40" s="47" t="str">
        <x:v>RUN-TRF-085-20260915T134512615585Z</x:v>
      </x:c>
      <x:c r="B40" s="47" t="str">
        <x:v>TRF-085</x:v>
      </x:c>
      <x:c r="C40" s="59" t="n">
        <x:v>4</x:v>
      </x:c>
      <x:c r="D40" s="47" t="str">
        <x:v>repair_diff</x:v>
      </x:c>
      <x:c r="E40" s="48" t="str">
        <x:v>artifacts/attempt_04/repair_diff.json</x:v>
      </x:c>
      <x:c r="F40" s="47" t="str">
        <x:v>74b5deb1bfc83d6b51735ae9f07c9a4bea16f0c3f832a32e3790ea3537d2b3f6</x:v>
      </x:c>
      <x:c r="G40" s="59" t="n">
        <x:v>617</x:v>
      </x:c>
    </x:row>
    <x:row r="41">
      <x:c r="A41" s="47" t="str">
        <x:v>RUN-TRF-085-20260915T134512615585Z</x:v>
      </x:c>
      <x:c r="B41" s="47" t="str">
        <x:v>TRF-085</x:v>
      </x:c>
      <x:c r="C41" s="59" t="n">
        <x:v>4</x:v>
      </x:c>
      <x:c r="D41" s="47" t="str">
        <x:v>validator_prompt</x:v>
      </x:c>
      <x:c r="E41" s="48" t="str">
        <x:v>artifacts/attempt_04/validator_prompt_01.txt</x:v>
      </x:c>
      <x:c r="F41" s="47" t="str">
        <x:v>fab386fb2a4454e8bff3bf2b000e7f302236cfbdff4c8eea1c040fee6c55bef1</x:v>
      </x:c>
      <x:c r="G41" s="59" t="n">
        <x:v>46480</x:v>
      </x:c>
    </x:row>
    <x:row r="42">
      <x:c r="A42" s="47" t="str">
        <x:v>RUN-TRF-085-20260915T134512615585Z</x:v>
      </x:c>
      <x:c r="B42" s="47" t="str">
        <x:v>TRF-085</x:v>
      </x:c>
      <x:c r="C42" s="59" t="n">
        <x:v>4</x:v>
      </x:c>
      <x:c r="D42" s="47" t="str">
        <x:v>validator_raw_response</x:v>
      </x:c>
      <x:c r="E42" s="48" t="str">
        <x:v>artifacts/attempt_04/validator_raw_01.txt</x:v>
      </x:c>
      <x:c r="F42" s="47" t="str">
        <x:v>fe3114c117f6161fbb5bb90808571a3af4938ee637b84eeb8db89283e8824230</x:v>
      </x:c>
      <x:c r="G42" s="59" t="n">
        <x:v>670</x:v>
      </x:c>
    </x:row>
    <x:row r="43">
      <x:c r="A43" s="47" t="str">
        <x:v>RUN-TRF-085-20260915T134512615585Z</x:v>
      </x:c>
      <x:c r="B43" s="47" t="str">
        <x:v>TRF-085</x:v>
      </x:c>
      <x:c r="C43" s="59" t="n">
        <x:v>4</x:v>
      </x:c>
      <x:c r="D43" s="47" t="str">
        <x:v>structured_current_issues</x:v>
      </x:c>
      <x:c r="E43" s="48" t="str">
        <x:v>artifacts/attempt_04/structured_current_issues.json</x:v>
      </x:c>
      <x:c r="F43" s="47" t="str">
        <x:v>ebab91f9c9a0491d7cf955ec7249eef354913970fe4961aab1d0303b08e0e022</x:v>
      </x:c>
      <x:c r="G43" s="59" t="n">
        <x:v>679</x:v>
      </x:c>
    </x:row>
    <x:row r="44">
      <x:c r="A44" s="47" t="str">
        <x:v>RUN-TRF-085-20260915T134512615585Z</x:v>
      </x:c>
      <x:c r="B44" s="47" t="str">
        <x:v>TRF-085</x:v>
      </x:c>
      <x:c r="C44" s="59" t="n">
        <x:v>4</x:v>
      </x:c>
      <x:c r="D44" s="47" t="str">
        <x:v>past_mistakes_to_avoid</x:v>
      </x:c>
      <x:c r="E44" s="48" t="str">
        <x:v>artifacts/attempt_04/past_mistakes_to_avoid.json</x:v>
      </x:c>
      <x:c r="F44" s="47" t="str">
        <x:v>8d7c0def9b76670968f3ae18e29dfa29d2d4365efd9a725ac50587395b611a0a</x:v>
      </x:c>
      <x:c r="G44" s="59" t="n">
        <x:v>791</x:v>
      </x:c>
    </x:row>
    <x:row r="45">
      <x:c r="A45" s="47" t="str">
        <x:v>RUN-TRF-085-20260915T134512615585Z</x:v>
      </x:c>
      <x:c r="B45" s="47" t="str">
        <x:v>TRF-085</x:v>
      </x:c>
      <x:c r="C45" s="59" t="n">
        <x:v>4</x:v>
      </x:c>
      <x:c r="D45" s="47" t="str">
        <x:v>attempt_metadata</x:v>
      </x:c>
      <x:c r="E45" s="48" t="str">
        <x:v>artifacts/attempt_04/attempt_metadata.json</x:v>
      </x:c>
      <x:c r="F45" s="47" t="str">
        <x:v>33f97148d1d68c9293c10dda20b47ebe357e0dfa8920237cc5c73447762af131</x:v>
      </x:c>
      <x:c r="G45" s="59" t="n">
        <x:v>988</x:v>
      </x:c>
    </x:row>
    <x:row r="46">
      <x:c r="A46" s="47" t="str">
        <x:v>RUN-TRF-085-20260915T134512615585Z</x:v>
      </x:c>
      <x:c r="B46" s="47" t="str">
        <x:v>TRF-085</x:v>
      </x:c>
      <x:c r="C46" s="59"/>
      <x:c r="D46" s="47" t="str">
        <x:v>last_candidate_raw</x:v>
      </x:c>
      <x:c r="E46" s="48" t="str">
        <x:v>diagnostics/last_candidate_raw.txt</x:v>
      </x:c>
      <x:c r="F46" s="47" t="str">
        <x:v>d8a90283ae759538a68b5dff43979e61bff908c4432046f03ecf2531c3833270</x:v>
      </x:c>
      <x:c r="G46" s="59" t="n">
        <x:v>4979</x:v>
      </x:c>
    </x:row>
    <x:row r="47">
      <x:c r="A47" s="47" t="str">
        <x:v>RUN-TRF-085-20260915T134512615585Z</x:v>
      </x:c>
      <x:c r="B47" s="47" t="str">
        <x:v>TRF-085</x:v>
      </x:c>
      <x:c r="C47" s="59"/>
      <x:c r="D47" s="47" t="str">
        <x:v>last_candidate_diagnostic</x:v>
      </x:c>
      <x:c r="E47" s="48" t="str">
        <x:v>diagnostics/last_candidate.ttl</x:v>
      </x:c>
      <x:c r="F47" s="47" t="str">
        <x:v>c4895fc0987d12905272eee26b2ecec61f5df507f6a42c927be3ac985bd822b7</x:v>
      </x:c>
      <x:c r="G47" s="59" t="n">
        <x:v>4954</x:v>
      </x:c>
    </x:row>
    <x:row r="48">
      <x:c r="A48" s="49" t="str">
        <x:v>RUN-TRF-085-20260915T134512615585Z</x:v>
      </x:c>
      <x:c r="B48" s="49" t="str">
        <x:v>TRF-085</x:v>
      </x:c>
      <x:c r="C48" s="60"/>
      <x:c r="D48" s="49" t="str">
        <x:v>last_candidate_metadata</x:v>
      </x:c>
      <x:c r="E48" s="50" t="str">
        <x:v>diagnostics/last_candidate_metadata.json</x:v>
      </x:c>
      <x:c r="F48" s="49" t="str">
        <x:v>aa4b992361ae558587151047797cc10100951a8c91bde41e0681da17b5ead094</x:v>
      </x:c>
      <x:c r="G48" s="60" t="n">
        <x:v>479</x:v>
      </x:c>
    </x:row>
  </x:sheetData>
  <x:pageMargins left="0.7" right="0.7" top="0.75" bottom="0.75" header="0.3" footer="0.3"/>
  <x:tableParts count="1">
    <x:tablePart xmlns:r="http://schemas.openxmlformats.org/officeDocument/2006/relationships" r:id="R2a3f35c1c7e94ee5"/>
  </x:tableParts>
</x:worksheet>
</file>

<file path=xl/worksheets/sheet1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4" hidden="0" customWidth="1"/>
    <x:col min="5" max="5" width="52" hidden="0" customWidth="1"/>
    <x:col min="6" max="6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RUN-TRF-085-20260915T134512615585Z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69" t="str">
        <x:v>RUN-TRF-085-20260915T134512615585Z</x:v>
      </x:c>
      <x:c r="B5" s="69" t="str">
        <x:v>TRF-085</x:v>
      </x:c>
      <x:c r="C5" s="71" t="n">
        <x:v>4</x:v>
      </x:c>
      <x:c r="D5" s="69" t="str">
        <x:v>MAX_ATTEMPTS_REACHED</x:v>
      </x:c>
      <x:c r="E5" s="73" t="str">
        <x:v>[CARDINALITY] gen:TRF085TableLookupCaseShape / nltl:tableReference: The Table 6-9 reference constraint uses sh:hasValue without limiting the property to one value, so a lookup case may contain Table 6-9 together with additional table references. Required change: Add sh:maxCount 1 to the nltl:tableReference property shape so the lookup case references exactly the required Table 6-9 value.</x:v>
      </x:c>
      <x:c r="F5" s="69" t="str">
        <x:v>OPEN</x:v>
      </x:c>
    </x:row>
  </x:sheetData>
  <x:conditionalFormatting sqref="F5:F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2dbc06628fe4e35"/>
  </x:tableParts>
</x:worksheet>
</file>

<file path=xl/worksheets/sheet1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RUN-TRF-085-20260915T134512615585Z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106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