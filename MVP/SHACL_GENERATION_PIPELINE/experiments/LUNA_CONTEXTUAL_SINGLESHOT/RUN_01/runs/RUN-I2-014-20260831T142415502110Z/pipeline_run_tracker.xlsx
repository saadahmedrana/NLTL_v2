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5eb24431cb49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b565e92ca34fd6"/>
    <x:sheet xmlns:r="http://schemas.openxmlformats.org/officeDocument/2006/relationships" name="README" sheetId="2" r:id="R2000df09bc3545f9"/>
    <x:sheet xmlns:r="http://schemas.openxmlformats.org/officeDocument/2006/relationships" name="REGULATION_QUEUE" sheetId="3" r:id="R65fb8775fdaf4b44"/>
    <x:sheet xmlns:r="http://schemas.openxmlformats.org/officeDocument/2006/relationships" name="RUNS" sheetId="4" r:id="R0caa41b410904d61"/>
    <x:sheet xmlns:r="http://schemas.openxmlformats.org/officeDocument/2006/relationships" name="ITERATIONS" sheetId="5" r:id="Rf7e6b12de19e4ddb"/>
    <x:sheet xmlns:r="http://schemas.openxmlformats.org/officeDocument/2006/relationships" name="API_CALLS" sheetId="6" r:id="R5b8bbe40d7e94ee5"/>
    <x:sheet xmlns:r="http://schemas.openxmlformats.org/officeDocument/2006/relationships" name="TERM_RETRIEVAL" sheetId="7" r:id="R8544efe35aed46a4"/>
    <x:sheet xmlns:r="http://schemas.openxmlformats.org/officeDocument/2006/relationships" name="FEW_SHOT_SELECTION" sheetId="8" r:id="R24a7f3243626425f"/>
    <x:sheet xmlns:r="http://schemas.openxmlformats.org/officeDocument/2006/relationships" name="VALIDATION" sheetId="9" r:id="R2b2321f0a2304eca"/>
    <x:sheet xmlns:r="http://schemas.openxmlformats.org/officeDocument/2006/relationships" name="VOCAB_MATCHES" sheetId="10" r:id="R727a0c291a9e4c63"/>
    <x:sheet xmlns:r="http://schemas.openxmlformats.org/officeDocument/2006/relationships" name="ARTIFACTS" sheetId="11" r:id="Rb9973113301241a3"/>
    <x:sheet xmlns:r="http://schemas.openxmlformats.org/officeDocument/2006/relationships" name="UNRESOLVED" sheetId="12" r:id="R0fdca883dc624917"/>
    <x:sheet xmlns:r="http://schemas.openxmlformats.org/officeDocument/2006/relationships" name="RDF_TEST_QUEUE" sheetId="13" r:id="Rd08241a6d4424e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63824cbf98456d" /><Relationship Type="http://schemas.openxmlformats.org/officeDocument/2006/relationships/theme" Target="/xl/theme/theme1.xml" Id="R28dd0eb75a994db7" /><Relationship Type="http://schemas.microsoft.com/office/2022/11/relationships/FeaturePropertyBag" Target="/xl/featurePropertyBag/featurePropertyBag.xml" Id="R76a03cc5273f46f8" /><Relationship Type="http://schemas.openxmlformats.org/officeDocument/2006/relationships/sharedStrings" Target="/xl/sharedStrings.xml" Id="Rea688a55a86b4639" /><Relationship Type="http://schemas.openxmlformats.org/officeDocument/2006/relationships/worksheet" Target="/xl/worksheets/sheet1.xml" Id="R31b565e92ca34fd6" /><Relationship Type="http://schemas.openxmlformats.org/officeDocument/2006/relationships/worksheet" Target="/xl/worksheets/sheet2.xml" Id="R2000df09bc3545f9" /><Relationship Type="http://schemas.openxmlformats.org/officeDocument/2006/relationships/worksheet" Target="/xl/worksheets/sheet3.xml" Id="R65fb8775fdaf4b44" /><Relationship Type="http://schemas.openxmlformats.org/officeDocument/2006/relationships/worksheet" Target="/xl/worksheets/sheet4.xml" Id="R0caa41b410904d61" /><Relationship Type="http://schemas.openxmlformats.org/officeDocument/2006/relationships/worksheet" Target="/xl/worksheets/sheet5.xml" Id="Rf7e6b12de19e4ddb" /><Relationship Type="http://schemas.openxmlformats.org/officeDocument/2006/relationships/worksheet" Target="/xl/worksheets/sheet6.xml" Id="R5b8bbe40d7e94ee5" /><Relationship Type="http://schemas.openxmlformats.org/officeDocument/2006/relationships/worksheet" Target="/xl/worksheets/sheet7.xml" Id="R8544efe35aed46a4" /><Relationship Type="http://schemas.openxmlformats.org/officeDocument/2006/relationships/worksheet" Target="/xl/worksheets/sheet8.xml" Id="R24a7f3243626425f" /><Relationship Type="http://schemas.openxmlformats.org/officeDocument/2006/relationships/worksheet" Target="/xl/worksheets/sheet9.xml" Id="R2b2321f0a2304eca" /><Relationship Type="http://schemas.openxmlformats.org/officeDocument/2006/relationships/worksheet" Target="/xl/worksheets/sheet10.xml" Id="R727a0c291a9e4c63" /><Relationship Type="http://schemas.openxmlformats.org/officeDocument/2006/relationships/worksheet" Target="/xl/worksheets/sheet11.xml" Id="Rb9973113301241a3" /><Relationship Type="http://schemas.openxmlformats.org/officeDocument/2006/relationships/worksheet" Target="/xl/worksheets/sheet12.xml" Id="R0fdca883dc624917" /><Relationship Type="http://schemas.openxmlformats.org/officeDocument/2006/relationships/worksheet" Target="/xl/worksheets/sheet13.xml" Id="Rd08241a6d4424e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b3543b63f847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1c62faf59b49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1fb59578e442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553049bef794f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fbf4bcd4b3745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e8f3b67c2fb47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197202c4bf948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13b946769ce4b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RUN-I2-014-20260831T142415502110Z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36348.445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RUN-I2-014-20260831T142415502110Z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b3543b63f847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RUN-I2-014-20260831T142415502110Z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SINGLESHOT_CAPTURED_DIAGNOSTIC_PASS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1c62faf59b49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RUN-I2-014-20260831T142415502110Z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RUN-I2-014-20260831T142415502110Z</x:v>
      </x:c>
      <x:c r="C5" s="69" t="str">
        <x:v>I2-014</x:v>
      </x:c>
      <x:c r="D5" s="70" t="n">
        <x:v>46265.60017943287</x:v>
      </x:c>
      <x:c r="E5" s="70" t="n">
        <x:v>46265.60060333333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1fb59578e442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RUN-I2-014-20260831T142415502110Z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RUN-I2-014-20260831T142415502110Z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RUN-I2-014-20260831T142415502110Z</x:v>
      </x:c>
      <x:c r="C5" s="45" t="str">
        <x:v>I2-014</x:v>
      </x:c>
      <x:c r="D5" s="84" t="n">
        <x:v>46265.600600150465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36347.556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RUN-I2-014-20260831T142415502110Z</x:v>
      </x:c>
      <x:c r="C6" s="49" t="str">
        <x:v>I2-014</x:v>
      </x:c>
      <x:c r="D6" s="87" t="n">
        <x:v>46265.60060017361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36349.334</x:v>
      </x:c>
      <x:c r="L6" s="89" t="b">
        <x:v>0</x:v>
      </x:c>
      <x:c r="M6" s="49" t="str">
        <x:v>resp_0c6ad2cb9d8f6443006a958e8f9fc88196853c732f6c2fea3d</x:v>
      </x:c>
      <x:c r="N6" s="60" t="n">
        <x:v>12332</x:v>
      </x:c>
      <x:c r="O6" s="60" t="n">
        <x:v>3093</x:v>
      </x:c>
      <x:c r="P6" s="60" t="n">
        <x:v>15425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53049bef794f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RUN-I2-014-20260831T142415502110Z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RUN-I2-014-20260831T142415502110Z</x:v>
      </x:c>
      <x:c r="B5" s="45" t="str">
        <x:v>I2-014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RUN-I2-014-20260831T142415502110Z</x:v>
      </x:c>
      <x:c r="B6" s="47" t="str">
        <x:v>I2-014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bowLength; domain dependency of loadPatchHeight; domain dependency of loadPatchLength; domain dependency of totalGlancingImpactForce</x:v>
      </x:c>
      <x:c r="J6" s="47" t="n">
        <x:v>0</x:v>
      </x:c>
    </x:row>
    <x:row r="7">
      <x:c r="A7" s="47" t="str">
        <x:v>RUN-I2-014-20260831T142415502110Z</x:v>
      </x:c>
      <x:c r="B7" s="47" t="str">
        <x:v>I2-014</x:v>
      </x:c>
      <x:c r="C7" s="47" t="str">
        <x:v>bowLength</x:v>
      </x:c>
      <x:c r="D7" s="48" t="str">
        <x:v>https://w3id.org/nltl/vocab#bowLength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RUN-I2-014-20260831T142415502110Z</x:v>
      </x:c>
      <x:c r="B8" s="47" t="str">
        <x:v>I2-014</x:v>
      </x:c>
      <x:c r="C8" s="47" t="str">
        <x:v>bowSubregionAspectRatio</x:v>
      </x:c>
      <x:c r="D8" s="48" t="str">
        <x:v>https://w3id.org/nltl/vocab#bowSubregionAspectRatio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RUN-I2-014-20260831T142415502110Z</x:v>
      </x:c>
      <x:c r="B9" s="47" t="str">
        <x:v>I2-014</x:v>
      </x:c>
      <x:c r="C9" s="47" t="str">
        <x:v>bowSubregionCalculatedForce</x:v>
      </x:c>
      <x:c r="D9" s="48" t="str">
        <x:v>https://w3id.org/nltl/vocab#bowSubregionCalculatedForce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RUN-I2-014-20260831T142415502110Z</x:v>
      </x:c>
      <x:c r="B10" s="47" t="str">
        <x:v>I2-014</x:v>
      </x:c>
      <x:c r="C10" s="47" t="str">
        <x:v>bowSubregionCalculatedLineLoad</x:v>
      </x:c>
      <x:c r="D10" s="48" t="str">
        <x:v>https://w3id.org/nltl/vocab#bowSubregionCalculatedLineLoad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http://qudt.org/vocab/unit/MegaN-M-PER-M2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RUN-I2-014-20260831T142415502110Z</x:v>
      </x:c>
      <x:c r="B11" s="47" t="str">
        <x:v>I2-014</x:v>
      </x:c>
      <x:c r="C11" s="47" t="str">
        <x:v>bowSubregionCalculatedPressure</x:v>
      </x:c>
      <x:c r="D11" s="48" t="str">
        <x:v>https://w3id.org/nltl/vocab#bowSubregionCalculatedPressure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RUN-I2-014-20260831T142415502110Z</x:v>
      </x:c>
      <x:c r="B12" s="47" t="str">
        <x:v>I2-014</x:v>
      </x:c>
      <x:c r="C12" s="47" t="str">
        <x:v>bowSubregionCalculationCase</x:v>
      </x:c>
      <x:c r="D12" s="48" t="str">
        <x:v>https://w3id.org/nltl/vocab#bowSubregionCalculationCase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bowSubregionAspectRatio; domain dependency of bowSubregionCalculatedForce; domain dependency of bowSubregionCalculatedLineLoad; domain dependency of bowSubregionCalculatedPressure; domain dependency of bowSubregionCalculationEvidence; domain dependency of bowSubregionMidLengthPosition; domain dependency of glancingImpactLineLoad; domain dependency of glancingImpactPressure; linked by the locked 313-requirement index; range dependency of hasBowSubregionCalculationCase</x:v>
      </x:c>
      <x:c r="J12" s="47" t="n">
        <x:v>0</x:v>
      </x:c>
    </x:row>
    <x:row r="13">
      <x:c r="A13" s="47" t="str">
        <x:v>RUN-I2-014-20260831T142415502110Z</x:v>
      </x:c>
      <x:c r="B13" s="47" t="str">
        <x:v>I2-014</x:v>
      </x:c>
      <x:c r="C13" s="47" t="str">
        <x:v>bowSubregionCalculationEvidence</x:v>
      </x:c>
      <x:c r="D13" s="48" t="str">
        <x:v>https://w3id.org/nltl/vocab#bowSubregionCalculationEvidence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RUN-I2-014-20260831T142415502110Z</x:v>
      </x:c>
      <x:c r="B14" s="47" t="str">
        <x:v>I2-014</x:v>
      </x:c>
      <x:c r="C14" s="47" t="str">
        <x:v>bowSubregionCount</x:v>
      </x:c>
      <x:c r="D14" s="48" t="str">
        <x:v>https://w3id.org/nltl/vocab#bowSubregionCount</x:v>
      </x:c>
      <x:c r="E14" s="47" t="str">
        <x:v>DatatypeProperty</x:v>
      </x:c>
      <x:c r="F14" s="47" t="str">
        <x:v>xsd:integer</x:v>
      </x:c>
      <x:c r="G14" s="47" t="str">
        <x:v>http://www.w3.org/2001/XMLSchema#integer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RUN-I2-014-20260831T142415502110Z</x:v>
      </x:c>
      <x:c r="B15" s="47" t="str">
        <x:v>I2-014</x:v>
      </x:c>
      <x:c r="C15" s="47" t="str">
        <x:v>bowSubregionMidLengthPosition</x:v>
      </x:c>
      <x:c r="D15" s="48" t="str">
        <x:v>https://w3id.org/nltl/vocab#bowSubregionMidLengthPosition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RUN-I2-014-20260831T142415502110Z</x:v>
      </x:c>
      <x:c r="B16" s="47" t="str">
        <x:v>I2-014</x:v>
      </x:c>
      <x:c r="C16" s="47" t="str">
        <x:v>calculationCase</x:v>
      </x:c>
      <x:c r="D16" s="48" t="str">
        <x:v>https://w3id.org/nltl/vocab#calculationCase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bowSubregionCalculationCase</x:v>
      </x:c>
      <x:c r="J16" s="47" t="n">
        <x:v>0</x:v>
      </x:c>
    </x:row>
    <x:row r="17">
      <x:c r="A17" s="47" t="str">
        <x:v>RUN-I2-014-20260831T142415502110Z</x:v>
      </x:c>
      <x:c r="B17" s="47" t="str">
        <x:v>I2-014</x:v>
      </x:c>
      <x:c r="C17" s="47" t="str">
        <x:v>evidenceArtifact</x:v>
      </x:c>
      <x:c r="D17" s="48" t="str">
        <x:v>https://w3id.org/nltl/vocab#evidenceArtifact</x:v>
      </x:c>
      <x:c r="E17" s="47" t="str">
        <x:v>Class</x:v>
      </x:c>
      <x:c r="F17" s="47" t="str"/>
      <x:c r="G17" s="47" t="str"/>
      <x:c r="H17" s="47" t="str"/>
      <x:c r="I17" s="48" t="str">
        <x:v>range dependency of bowSubregionCalculationEvidence</x:v>
      </x:c>
      <x:c r="J17" s="47" t="n">
        <x:v>0</x:v>
      </x:c>
    </x:row>
    <x:row r="18">
      <x:c r="A18" s="47" t="str">
        <x:v>RUN-I2-014-20260831T142415502110Z</x:v>
      </x:c>
      <x:c r="B18" s="47" t="str">
        <x:v>I2-014</x:v>
      </x:c>
      <x:c r="C18" s="47" t="str">
        <x:v>glancingImpactLineLoad</x:v>
      </x:c>
      <x:c r="D18" s="48" t="str">
        <x:v>https://w3id.org/nltl/vocab#glancingImpactLineLoad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http://qudt.org/vocab/unit/MegaN-M-PER-M2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RUN-I2-014-20260831T142415502110Z</x:v>
      </x:c>
      <x:c r="B19" s="47" t="str">
        <x:v>I2-014</x:v>
      </x:c>
      <x:c r="C19" s="47" t="str">
        <x:v>glancingImpactPressure</x:v>
      </x:c>
      <x:c r="D19" s="48" t="str">
        <x:v>https://w3id.org/nltl/vocab#glancingImpactPressure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RUN-I2-014-20260831T142415502110Z</x:v>
      </x:c>
      <x:c r="B20" s="47" t="str">
        <x:v>I2-014</x:v>
      </x:c>
      <x:c r="C20" s="47" t="str">
        <x:v>hasBowSubregionCalculationCase</x:v>
      </x:c>
      <x:c r="D20" s="48" t="str">
        <x:v>https://w3id.org/nltl/vocab#hasBowSubregionCalculationCase</x:v>
      </x:c>
      <x:c r="E20" s="47" t="str">
        <x:v>ObjectProperty</x:v>
      </x:c>
      <x:c r="F20" s="47" t="str"/>
      <x:c r="G20" s="47" t="str">
        <x:v>https://w3id.org/nltl/vocab#bowSubregionCalculationCase</x:v>
      </x:c>
      <x:c r="H20" s="47" t="str"/>
      <x:c r="I20" s="48" t="str">
        <x:v>canonical path from target owner ship to required owner bowSubregionCalculationCase; linked by the locked 313-requirement index</x:v>
      </x:c>
      <x:c r="J20" s="47" t="n">
        <x:v>0</x:v>
      </x:c>
    </x:row>
    <x:row r="21">
      <x:c r="A21" s="47" t="str">
        <x:v>RUN-I2-014-20260831T142415502110Z</x:v>
      </x:c>
      <x:c r="B21" s="47" t="str">
        <x:v>I2-014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RUN-I2-014-20260831T142415502110Z</x:v>
      </x:c>
      <x:c r="B22" s="47" t="str">
        <x:v>I2-014</x:v>
      </x:c>
      <x:c r="C22" s="47" t="str">
        <x:v>loadPatchHeight</x:v>
      </x:c>
      <x:c r="D22" s="48" t="str">
        <x:v>https://w3id.org/nltl/vocab#loadPatchHeight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RUN-I2-014-20260831T142415502110Z</x:v>
      </x:c>
      <x:c r="B23" s="47" t="str">
        <x:v>I2-014</x:v>
      </x:c>
      <x:c r="C23" s="47" t="str">
        <x:v>loadPatchLength</x:v>
      </x:c>
      <x:c r="D23" s="48" t="str">
        <x:v>https://w3id.org/nltl/vocab#loadPatchLength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RUN-I2-014-20260831T142415502110Z</x:v>
      </x:c>
      <x:c r="B24" s="47" t="str">
        <x:v>I2-014</x:v>
      </x:c>
      <x:c r="C24" s="47" t="str">
        <x:v>selectedMaximumBowForce</x:v>
      </x:c>
      <x:c r="D24" s="48" t="str">
        <x:v>https://w3id.org/nltl/vocab#selectedMaximumBowForce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RUN-I2-014-20260831T142415502110Z</x:v>
      </x:c>
      <x:c r="B25" s="47" t="str">
        <x:v>I2-014</x:v>
      </x:c>
      <x:c r="C25" s="47" t="str">
        <x:v>selectedMaximumBowLineLoad</x:v>
      </x:c>
      <x:c r="D25" s="48" t="str">
        <x:v>https://w3id.org/nltl/vocab#selectedMaximumBowLineLoad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http://qudt.org/vocab/unit/MegaN-M-PER-M2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RUN-I2-014-20260831T142415502110Z</x:v>
      </x:c>
      <x:c r="B26" s="47" t="str">
        <x:v>I2-014</x:v>
      </x:c>
      <x:c r="C26" s="47" t="str">
        <x:v>selectedMaximumBowPressure</x:v>
      </x:c>
      <x:c r="D26" s="48" t="str">
        <x:v>https://w3id.org/nltl/vocab#selectedMaximumBowPressure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http://qudt.org/vocab/unit/MegaPA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RUN-I2-014-20260831T142415502110Z</x:v>
      </x:c>
      <x:c r="B27" s="47" t="str">
        <x:v>I2-014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bowSubregionCount; domain dependency of hasBowSubregionCalculationCase; domain dependency of selectedMaximumBowForce; domain dependency of selectedMaximumBowLineLoad; domain dependency of selectedMaximumBowPressure</x:v>
      </x:c>
      <x:c r="J27" s="47" t="n">
        <x:v>0</x:v>
      </x:c>
    </x:row>
    <x:row r="28">
      <x:c r="A28" s="47" t="str">
        <x:v>RUN-I2-014-20260831T142415502110Z</x:v>
      </x:c>
      <x:c r="B28" s="47" t="str">
        <x:v>I2-014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RUN-I2-014-20260831T142415502110Z</x:v>
      </x:c>
      <x:c r="B29" s="49" t="str">
        <x:v>I2-014</x:v>
      </x:c>
      <x:c r="C29" s="49" t="str">
        <x:v>totalGlancingImpactForce</x:v>
      </x:c>
      <x:c r="D29" s="50" t="str">
        <x:v>https://w3id.org/nltl/vocab#totalGlancingImpactForce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http://qudt.org/vocab/unit/KiloN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bf4bcd4b3745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RUN-I2-014-20260831T142415502110Z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RUN-I2-014-20260831T142415502110Z</x:v>
      </x:c>
      <x:c r="B5" s="45" t="str">
        <x:v>I2-014</x:v>
      </x:c>
      <x:c r="C5" s="45" t="str">
        <x:v>FS-CALC-02</x:v>
      </x:c>
      <x:c r="D5" s="45" t="str">
        <x:v>comparison_calculation</x:v>
      </x:c>
      <x:c r="E5" s="92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RUN-I2-014-20260831T142415502110Z</x:v>
      </x:c>
      <x:c r="B6" s="49" t="str">
        <x:v>I2-014</x:v>
      </x:c>
      <x:c r="C6" s="49" t="str">
        <x:v>FS-QTY-01</x:v>
      </x:c>
      <x:c r="D6" s="49" t="str">
        <x:v>qudt_quantity</x:v>
      </x:c>
      <x:c r="E6" s="93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8f3b67c2fb47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RUN-I2-014-20260831T142415502110Z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RUN-I2-014-20260831T142415502110Z</x:v>
      </x:c>
      <x:c r="B5" s="69" t="str">
        <x:v>I2-014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97202c4bf948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RUN-I2-014-20260831T142415502110Z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RUN-I2-014-20260831T142415502110Z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RUN-I2-014-20260831T142415502110Z</x:v>
      </x:c>
      <x:c r="B5" s="45" t="str">
        <x:v>I2-014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f22bb4789c0c1fec17285a410f88e93ed0a549aa632f01110925aecef2476b88</x:v>
      </x:c>
      <x:c r="G5" s="58" t="n">
        <x:v>33534</x:v>
      </x:c>
    </x:row>
    <x:row r="6">
      <x:c r="A6" s="47" t="str">
        <x:v>RUN-I2-014-20260831T142415502110Z</x:v>
      </x:c>
      <x:c r="B6" s="47" t="str">
        <x:v>I2-014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2205f378ba54dac2f492bd9d543656ce5d608e834983a23b1a02092579f46266</x:v>
      </x:c>
      <x:c r="G6" s="59" t="n">
        <x:v>5255</x:v>
      </x:c>
    </x:row>
    <x:row r="7">
      <x:c r="A7" s="47" t="str">
        <x:v>RUN-I2-014-20260831T142415502110Z</x:v>
      </x:c>
      <x:c r="B7" s="47" t="str">
        <x:v>I2-014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caba8c716fc8e2672f7f7bcbbd4963988556bdf0d703d0bf8108b92cfab6120c</x:v>
      </x:c>
      <x:c r="G7" s="59" t="n">
        <x:v>50343</x:v>
      </x:c>
    </x:row>
    <x:row r="8">
      <x:c r="A8" s="47" t="str">
        <x:v>RUN-I2-014-20260831T142415502110Z</x:v>
      </x:c>
      <x:c r="B8" s="47" t="str">
        <x:v>I2-014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3e8aee8ef5b14750cf7092a2b80f843799112956bd86375df8de45b0848552b0</x:v>
      </x:c>
      <x:c r="G8" s="59" t="n">
        <x:v>9021</x:v>
      </x:c>
    </x:row>
    <x:row r="9">
      <x:c r="A9" s="47" t="str">
        <x:v>RUN-I2-014-20260831T142415502110Z</x:v>
      </x:c>
      <x:c r="B9" s="47" t="str">
        <x:v>I2-014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65affe9294bd433b06eb0d371951f3628ce6c9e7144183a077bba7e89c874150</x:v>
      </x:c>
      <x:c r="G9" s="59" t="n">
        <x:v>8996</x:v>
      </x:c>
    </x:row>
    <x:row r="10">
      <x:c r="A10" s="49" t="str">
        <x:v>RUN-I2-014-20260831T142415502110Z</x:v>
      </x:c>
      <x:c r="B10" s="49" t="str">
        <x:v>I2-014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f344ce217dac3ac034132aebfafb681acb6b2488d74eb6aaded864531f560c5c</x:v>
      </x:c>
      <x:c r="G10" s="60" t="n">
        <x:v>1700</x:v>
      </x:c>
    </x:row>
  </x:sheetData>
  <x:pageMargins left="0.7" right="0.7" top="0.75" bottom="0.75" header="0.3" footer="0.3"/>
  <x:tableParts count="1">
    <x:tablePart xmlns:r="http://schemas.openxmlformats.org/officeDocument/2006/relationships" r:id="R213b946769ce4b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RUN-I2-014-20260831T142415502110Z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RUN-I2-014-20260831T142415502110Z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