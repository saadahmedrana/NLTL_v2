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dca80de1786401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a0079e1632f4144"/>
    <x:sheet xmlns:r="http://schemas.openxmlformats.org/officeDocument/2006/relationships" name="README" sheetId="2" r:id="R8735b9717ca44708"/>
    <x:sheet xmlns:r="http://schemas.openxmlformats.org/officeDocument/2006/relationships" name="REGULATION_QUEUE" sheetId="3" r:id="R3c281e34473742cb"/>
    <x:sheet xmlns:r="http://schemas.openxmlformats.org/officeDocument/2006/relationships" name="RUNS" sheetId="4" r:id="Rca047ed6a3704dfb"/>
    <x:sheet xmlns:r="http://schemas.openxmlformats.org/officeDocument/2006/relationships" name="ITERATIONS" sheetId="5" r:id="Rb863bf498e4e4c23"/>
    <x:sheet xmlns:r="http://schemas.openxmlformats.org/officeDocument/2006/relationships" name="API_CALLS" sheetId="6" r:id="Ra8652451aabc4cf2"/>
    <x:sheet xmlns:r="http://schemas.openxmlformats.org/officeDocument/2006/relationships" name="TERM_RETRIEVAL" sheetId="7" r:id="Rf153fb6432ad455c"/>
    <x:sheet xmlns:r="http://schemas.openxmlformats.org/officeDocument/2006/relationships" name="FEW_SHOT_SELECTION" sheetId="8" r:id="R5a6a58633e0a478b"/>
    <x:sheet xmlns:r="http://schemas.openxmlformats.org/officeDocument/2006/relationships" name="VALIDATION" sheetId="9" r:id="Ra790bb179a7a4c56"/>
    <x:sheet xmlns:r="http://schemas.openxmlformats.org/officeDocument/2006/relationships" name="VOCAB_MATCHES" sheetId="10" r:id="R32e9f19934d64614"/>
    <x:sheet xmlns:r="http://schemas.openxmlformats.org/officeDocument/2006/relationships" name="ARTIFACTS" sheetId="11" r:id="R5ada9000a7a74f76"/>
    <x:sheet xmlns:r="http://schemas.openxmlformats.org/officeDocument/2006/relationships" name="UNRESOLVED" sheetId="12" r:id="R1807137bf7014a1d"/>
    <x:sheet xmlns:r="http://schemas.openxmlformats.org/officeDocument/2006/relationships" name="RDF_TEST_QUEUE" sheetId="13" r:id="R4d8c6826f117448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36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fb61fe4de774a41" /><Relationship Type="http://schemas.openxmlformats.org/officeDocument/2006/relationships/theme" Target="/xl/theme/theme1.xml" Id="Re9bfe4c1dac64e71" /><Relationship Type="http://schemas.microsoft.com/office/2022/11/relationships/FeaturePropertyBag" Target="/xl/featurePropertyBag/featurePropertyBag.xml" Id="R78e020717a9b4e6d" /><Relationship Type="http://schemas.openxmlformats.org/officeDocument/2006/relationships/sharedStrings" Target="/xl/sharedStrings.xml" Id="Rb2dd77e9e2304cdc" /><Relationship Type="http://schemas.openxmlformats.org/officeDocument/2006/relationships/worksheet" Target="/xl/worksheets/sheet1.xml" Id="Rea0079e1632f4144" /><Relationship Type="http://schemas.openxmlformats.org/officeDocument/2006/relationships/worksheet" Target="/xl/worksheets/sheet2.xml" Id="R8735b9717ca44708" /><Relationship Type="http://schemas.openxmlformats.org/officeDocument/2006/relationships/worksheet" Target="/xl/worksheets/sheet3.xml" Id="R3c281e34473742cb" /><Relationship Type="http://schemas.openxmlformats.org/officeDocument/2006/relationships/worksheet" Target="/xl/worksheets/sheet4.xml" Id="Rca047ed6a3704dfb" /><Relationship Type="http://schemas.openxmlformats.org/officeDocument/2006/relationships/worksheet" Target="/xl/worksheets/sheet5.xml" Id="Rb863bf498e4e4c23" /><Relationship Type="http://schemas.openxmlformats.org/officeDocument/2006/relationships/worksheet" Target="/xl/worksheets/sheet6.xml" Id="Ra8652451aabc4cf2" /><Relationship Type="http://schemas.openxmlformats.org/officeDocument/2006/relationships/worksheet" Target="/xl/worksheets/sheet7.xml" Id="Rf153fb6432ad455c" /><Relationship Type="http://schemas.openxmlformats.org/officeDocument/2006/relationships/worksheet" Target="/xl/worksheets/sheet8.xml" Id="R5a6a58633e0a478b" /><Relationship Type="http://schemas.openxmlformats.org/officeDocument/2006/relationships/worksheet" Target="/xl/worksheets/sheet9.xml" Id="Ra790bb179a7a4c56" /><Relationship Type="http://schemas.openxmlformats.org/officeDocument/2006/relationships/worksheet" Target="/xl/worksheets/sheet10.xml" Id="R32e9f19934d64614" /><Relationship Type="http://schemas.openxmlformats.org/officeDocument/2006/relationships/worksheet" Target="/xl/worksheets/sheet11.xml" Id="R5ada9000a7a74f76" /><Relationship Type="http://schemas.openxmlformats.org/officeDocument/2006/relationships/worksheet" Target="/xl/worksheets/sheet12.xml" Id="R1807137bf7014a1d" /><Relationship Type="http://schemas.openxmlformats.org/officeDocument/2006/relationships/worksheet" Target="/xl/worksheets/sheet13.xml" Id="R4d8c6826f117448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6_TERMRETRIEVAL" displayName="T6_TERMRETRIEVAL" ref="A4:J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533b423d049405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13edcdff87f402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8e49a19a18f421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1f4b6d1a1b464bc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9e2ff29e44c7484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443a28501ea14ff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074da8826c344be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8.xml" Id="R8771df1699f846c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RUN-IMO-112-20260831T153353708931Z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17384.7935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RUN-IMO-112-20260831T153353708931Z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a533b423d049405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RUN-IMO-112-20260831T153353708931Z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SINGLESHOT_CAPTURED_DIAGNOSTIC_PASS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13edcdff87f402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RUN-IMO-112-20260831T153353708931Z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SESSION-SINGLESHOT-BATCH-20260831T141949274934Z</x:v>
      </x:c>
      <x:c r="B5" s="69" t="str">
        <x:v>RUN-IMO-112-20260831T153353708931Z</x:v>
      </x:c>
      <x:c r="C5" s="69" t="str">
        <x:v>IMO-112</x:v>
      </x:c>
      <x:c r="D5" s="70" t="n">
        <x:v>46265.648538298614</x:v>
      </x:c>
      <x:c r="E5" s="70" t="n">
        <x:v>46265.648740046294</x:v>
      </x:c>
      <x:c r="F5" s="69" t="str">
        <x:v>luna-contextual-singleshot-run01-v1</x:v>
      </x:c>
      <x:c r="G5" s="69" t="str">
        <x:v>VOCAB-LOCK-2026-08-22-R13</x:v>
      </x:c>
      <x:c r="H5" s="71" t="n">
        <x:v>1</x:v>
      </x:c>
      <x:c r="I5" s="69" t="str">
        <x:v>SINGLESHOT_CAPTURED_DIAGNOSTIC_PASS</x:v>
      </x:c>
      <x:c r="J5" s="72" t="b">
        <x:v>0</x:v>
      </x:c>
      <x:c r="K5" s="69" t="str"/>
      <x:c r="L5" s="73" t="str">
        <x:v>No semantic validator was called; raw output retained without repair.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8e49a19a18f421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RUN-IMO-112-20260831T153353708931Z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RUN-IMO-112-20260831T153353708931Z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EVT-000013</x:v>
      </x:c>
      <x:c r="B5" s="45" t="str">
        <x:v>RUN-IMO-112-20260831T153353708931Z</x:v>
      </x:c>
      <x:c r="C5" s="45" t="str">
        <x:v>IMO-112</x:v>
      </x:c>
      <x:c r="D5" s="84" t="n">
        <x:v>46265.64873951389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17383.935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EVT-000014</x:v>
      </x:c>
      <x:c r="B6" s="49" t="str">
        <x:v>RUN-IMO-112-20260831T153353708931Z</x:v>
      </x:c>
      <x:c r="C6" s="49" t="str">
        <x:v>IMO-112</x:v>
      </x:c>
      <x:c r="D6" s="87" t="n">
        <x:v>46265.648739537035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17385.652</x:v>
      </x:c>
      <x:c r="L6" s="89" t="b">
        <x:v>0</x:v>
      </x:c>
      <x:c r="M6" s="49" t="str">
        <x:v>resp_0dfc9d78634e648b006a959ee1c5bc8196a1e04b129833c4da</x:v>
      </x:c>
      <x:c r="N6" s="60" t="n">
        <x:v>5570</x:v>
      </x:c>
      <x:c r="O6" s="60" t="n">
        <x:v>1268</x:v>
      </x:c>
      <x:c r="P6" s="60" t="n">
        <x:v>6838</x:v>
      </x:c>
    </x:row>
  </x:sheetData>
  <x:conditionalFormatting sqref="H5:H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f4b6d1a1b464bc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RUN-IMO-112-20260831T153353708931Z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RUN-IMO-112-20260831T153353708931Z</x:v>
      </x:c>
      <x:c r="B5" s="45" t="str">
        <x:v>IMO-112</x:v>
      </x:c>
      <x:c r="C5" s="45" t="str">
        <x:v>arcticWaters</x:v>
      </x:c>
      <x:c r="D5" s="46" t="str">
        <x:v>https://w3id.org/nltl/vocab#arcticWaters</x:v>
      </x:c>
      <x:c r="E5" s="45" t="str">
        <x:v>DatatypeProperty</x:v>
      </x:c>
      <x:c r="F5" s="45" t="str">
        <x:v>xsd:string</x:v>
      </x:c>
      <x:c r="G5" s="45" t="str">
        <x:v>http://www.w3.org/2001/XMLSchema#string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RUN-IMO-112-20260831T153353708931Z</x:v>
      </x:c>
      <x:c r="B6" s="47" t="str">
        <x:v>IMO-112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arcticWaters; domain dependency of noxiousLiquidSubstanceOrNoxiousLiquidSubstanceMixtureDischargeToSea; domain dependency of operatingArea</x:v>
      </x:c>
      <x:c r="J6" s="47" t="n">
        <x:v>0</x:v>
      </x:c>
    </x:row>
    <x:row r="7">
      <x:c r="A7" s="47" t="str">
        <x:v>RUN-IMO-112-20260831T153353708931Z</x:v>
      </x:c>
      <x:c r="B7" s="47" t="str">
        <x:v>IMO-112</x:v>
      </x:c>
      <x:c r="C7" s="47" t="str">
        <x:v>noxiousLiquidSubstanceOrNoxiousLiquidSubstanceMixtureDischargeToSea</x:v>
      </x:c>
      <x:c r="D7" s="48" t="str">
        <x:v>https://w3id.org/nltl/vocab#noxiousLiquidSubstanceOrNoxiousLiquidSubstanceMixtureDischargeToSea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RUN-IMO-112-20260831T153353708931Z</x:v>
      </x:c>
      <x:c r="B8" s="47" t="str">
        <x:v>IMO-112</x:v>
      </x:c>
      <x:c r="C8" s="47" t="str">
        <x:v>operatingArea</x:v>
      </x:c>
      <x:c r="D8" s="48" t="str">
        <x:v>https://w3id.org/nltl/vocab#operatingArea</x:v>
      </x:c>
      <x:c r="E8" s="47" t="str">
        <x:v>DatatypeProperty</x:v>
      </x:c>
      <x:c r="F8" s="47" t="str">
        <x:v>xsd:string</x:v>
      </x:c>
      <x:c r="G8" s="47" t="str">
        <x:v>http://www.w3.org/2001/XMLSchema#string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9" t="str">
        <x:v>RUN-IMO-112-20260831T153353708931Z</x:v>
      </x:c>
      <x:c r="B9" s="49" t="str">
        <x:v>IMO-112</x:v>
      </x:c>
      <x:c r="C9" s="49" t="str">
        <x:v>ship</x:v>
      </x:c>
      <x:c r="D9" s="50" t="str">
        <x:v>https://w3id.org/nltl/vocab#ship</x:v>
      </x:c>
      <x:c r="E9" s="49" t="str">
        <x:v>Class</x:v>
      </x:c>
      <x:c r="F9" s="49" t="str"/>
      <x:c r="G9" s="49" t="str"/>
      <x:c r="H9" s="49" t="str"/>
      <x:c r="I9" s="50" t="str">
        <x:v>authoritative required owner class; authoritative requirement target owner; baseline target infrastructure</x:v>
      </x:c>
      <x:c r="J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9e2ff29e44c7484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RUN-IMO-112-20260831T153353708931Z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RUN-IMO-112-20260831T153353708931Z</x:v>
      </x:c>
      <x:c r="B5" s="45" t="str">
        <x:v>IMO-112</x:v>
      </x:c>
      <x:c r="C5" s="45" t="str">
        <x:v>FS-BOOL-01</x:v>
      </x:c>
      <x:c r="D5" s="45" t="str">
        <x:v>boolean_state</x:v>
      </x:c>
      <x:c r="E5" s="92" t="n">
        <x:v>0.081081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RUN-IMO-112-20260831T153353708931Z</x:v>
      </x:c>
      <x:c r="B6" s="49" t="str">
        <x:v>IMO-112</x:v>
      </x:c>
      <x:c r="C6" s="49" t="str">
        <x:v>FS-BOOL-02</x:v>
      </x:c>
      <x:c r="D6" s="49" t="str">
        <x:v>boolean_state</x:v>
      </x:c>
      <x:c r="E6" s="93" t="n">
        <x:v>0.081081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43a28501ea14ff0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RUN-IMO-112-20260831T153353708931Z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RUN-IMO-112-20260831T153353708931Z</x:v>
      </x:c>
      <x:c r="B5" s="69" t="str">
        <x:v>IMO-112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https://w3id.org/nltl/vocab#noxiousLiquidSubstanceOrNoxiousLiquidSubstanceMixtureDischargeToSea | https://w3id.org/nltl/vocab#operatingArea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074da8826c344bec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RUN-IMO-112-20260831T153353708931Z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RUN-IMO-112-20260831T153353708931Z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RUN-IMO-112-20260831T153353708931Z</x:v>
      </x:c>
      <x:c r="B5" s="45" t="str">
        <x:v>IMO-112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521a843f827e163dde08775ae73504e54b4a941a6347eec0b830b0722a544f83</x:v>
      </x:c>
      <x:c r="G5" s="58" t="n">
        <x:v>9003</x:v>
      </x:c>
    </x:row>
    <x:row r="6">
      <x:c r="A6" s="47" t="str">
        <x:v>RUN-IMO-112-20260831T153353708931Z</x:v>
      </x:c>
      <x:c r="B6" s="47" t="str">
        <x:v>IMO-112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54a4fafe864f7629bf88011b315b6646ac4eac3f60d42d22145370bace8b3523</x:v>
      </x:c>
      <x:c r="G6" s="59" t="n">
        <x:v>3110</x:v>
      </x:c>
    </x:row>
    <x:row r="7">
      <x:c r="A7" s="47" t="str">
        <x:v>RUN-IMO-112-20260831T153353708931Z</x:v>
      </x:c>
      <x:c r="B7" s="47" t="str">
        <x:v>IMO-112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c53ebe68b4ee0176d61793cfe15764df5e4ea6657f5d83a7d3996637f3336940</x:v>
      </x:c>
      <x:c r="G7" s="59" t="n">
        <x:v>23627</x:v>
      </x:c>
    </x:row>
    <x:row r="8">
      <x:c r="A8" s="47" t="str">
        <x:v>RUN-IMO-112-20260831T153353708931Z</x:v>
      </x:c>
      <x:c r="B8" s="47" t="str">
        <x:v>IMO-112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69a67a6e3133ddaaf7fa7c874ab8ad8674cf73392d4e42ea9659a5136b3ad5b1</x:v>
      </x:c>
      <x:c r="G8" s="59" t="n">
        <x:v>1111</x:v>
      </x:c>
    </x:row>
    <x:row r="9">
      <x:c r="A9" s="47" t="str">
        <x:v>RUN-IMO-112-20260831T153353708931Z</x:v>
      </x:c>
      <x:c r="B9" s="47" t="str">
        <x:v>IMO-112</x:v>
      </x:c>
      <x:c r="C9" s="59" t="n">
        <x:v>1</x:v>
      </x:c>
      <x:c r="D9" s="47" t="str">
        <x:v>single_shot_extracted_shape</x:v>
      </x:c>
      <x:c r="E9" s="48" t="str">
        <x:v>artifacts/attempt_01/extracted_shape.ttl</x:v>
      </x:c>
      <x:c r="F9" s="47" t="str">
        <x:v>4367db27fa55e1df687799f001c4d2ed60bf60c74cbe177e0276bcaaa3df63a1</x:v>
      </x:c>
      <x:c r="G9" s="59" t="n">
        <x:v>1086</x:v>
      </x:c>
    </x:row>
    <x:row r="10">
      <x:c r="A10" s="49" t="str">
        <x:v>RUN-IMO-112-20260831T153353708931Z</x:v>
      </x:c>
      <x:c r="B10" s="49" t="str">
        <x:v>IMO-112</x:v>
      </x:c>
      <x:c r="C10" s="60" t="n">
        <x:v>1</x:v>
      </x:c>
      <x:c r="D10" s="49" t="str">
        <x:v>single_shot_diagnostics</x:v>
      </x:c>
      <x:c r="E10" s="50" t="str">
        <x:v>artifacts/attempt_01/single_shot_diagnostics.json</x:v>
      </x:c>
      <x:c r="F10" s="49" t="str">
        <x:v>dc931d4d8bc465cc2f220e44a194b62a0615ffce730b78446ed3f65622b75db2</x:v>
      </x:c>
      <x:c r="G10" s="60" t="n">
        <x:v>1027</x:v>
      </x:c>
    </x:row>
  </x:sheetData>
  <x:pageMargins left="0.7" right="0.7" top="0.75" bottom="0.75" header="0.3" footer="0.3"/>
  <x:tableParts count="1">
    <x:tablePart xmlns:r="http://schemas.openxmlformats.org/officeDocument/2006/relationships" r:id="R8771df1699f846ce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RUN-IMO-112-20260831T153353708931Z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RUN-IMO-112-20260831T153353708931Z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