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f4488103404e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00c5da7c4b546ea"/>
    <x:sheet xmlns:r="http://schemas.openxmlformats.org/officeDocument/2006/relationships" name="README" sheetId="2" r:id="R6134776308144073"/>
    <x:sheet xmlns:r="http://schemas.openxmlformats.org/officeDocument/2006/relationships" name="REGULATION_QUEUE" sheetId="3" r:id="R80ec9d9c08784315"/>
    <x:sheet xmlns:r="http://schemas.openxmlformats.org/officeDocument/2006/relationships" name="RUNS" sheetId="4" r:id="Rde09e2725ac04701"/>
    <x:sheet xmlns:r="http://schemas.openxmlformats.org/officeDocument/2006/relationships" name="ITERATIONS" sheetId="5" r:id="Rd8141fb5c1754690"/>
    <x:sheet xmlns:r="http://schemas.openxmlformats.org/officeDocument/2006/relationships" name="API_CALLS" sheetId="6" r:id="Rcb9ed9f8e4474d4f"/>
    <x:sheet xmlns:r="http://schemas.openxmlformats.org/officeDocument/2006/relationships" name="TERM_RETRIEVAL" sheetId="7" r:id="R6421a096a9a444be"/>
    <x:sheet xmlns:r="http://schemas.openxmlformats.org/officeDocument/2006/relationships" name="FEW_SHOT_SELECTION" sheetId="8" r:id="Rdec4195578c94018"/>
    <x:sheet xmlns:r="http://schemas.openxmlformats.org/officeDocument/2006/relationships" name="VALIDATION" sheetId="9" r:id="R3f7bd9f530a646df"/>
    <x:sheet xmlns:r="http://schemas.openxmlformats.org/officeDocument/2006/relationships" name="VOCAB_MATCHES" sheetId="10" r:id="Rd91d7a5d7da044b9"/>
    <x:sheet xmlns:r="http://schemas.openxmlformats.org/officeDocument/2006/relationships" name="ARTIFACTS" sheetId="11" r:id="R1f552afa592c4059"/>
    <x:sheet xmlns:r="http://schemas.openxmlformats.org/officeDocument/2006/relationships" name="UNRESOLVED" sheetId="12" r:id="R3ede984f90634038"/>
    <x:sheet xmlns:r="http://schemas.openxmlformats.org/officeDocument/2006/relationships" name="RDF_TEST_QUEUE" sheetId="13" r:id="R0a7b07048d524a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c75403d3154b94" /><Relationship Type="http://schemas.openxmlformats.org/officeDocument/2006/relationships/theme" Target="/xl/theme/theme1.xml" Id="Re818cae7469746ec" /><Relationship Type="http://schemas.microsoft.com/office/2022/11/relationships/FeaturePropertyBag" Target="/xl/featurePropertyBag/featurePropertyBag.xml" Id="Ra317cc5db2b74f1a" /><Relationship Type="http://schemas.openxmlformats.org/officeDocument/2006/relationships/sharedStrings" Target="/xl/sharedStrings.xml" Id="R7b1f006b31ae499f" /><Relationship Type="http://schemas.openxmlformats.org/officeDocument/2006/relationships/worksheet" Target="/xl/worksheets/sheet1.xml" Id="R900c5da7c4b546ea" /><Relationship Type="http://schemas.openxmlformats.org/officeDocument/2006/relationships/worksheet" Target="/xl/worksheets/sheet2.xml" Id="R6134776308144073" /><Relationship Type="http://schemas.openxmlformats.org/officeDocument/2006/relationships/worksheet" Target="/xl/worksheets/sheet3.xml" Id="R80ec9d9c08784315" /><Relationship Type="http://schemas.openxmlformats.org/officeDocument/2006/relationships/worksheet" Target="/xl/worksheets/sheet4.xml" Id="Rde09e2725ac04701" /><Relationship Type="http://schemas.openxmlformats.org/officeDocument/2006/relationships/worksheet" Target="/xl/worksheets/sheet5.xml" Id="Rd8141fb5c1754690" /><Relationship Type="http://schemas.openxmlformats.org/officeDocument/2006/relationships/worksheet" Target="/xl/worksheets/sheet6.xml" Id="Rcb9ed9f8e4474d4f" /><Relationship Type="http://schemas.openxmlformats.org/officeDocument/2006/relationships/worksheet" Target="/xl/worksheets/sheet7.xml" Id="R6421a096a9a444be" /><Relationship Type="http://schemas.openxmlformats.org/officeDocument/2006/relationships/worksheet" Target="/xl/worksheets/sheet8.xml" Id="Rdec4195578c94018" /><Relationship Type="http://schemas.openxmlformats.org/officeDocument/2006/relationships/worksheet" Target="/xl/worksheets/sheet9.xml" Id="R3f7bd9f530a646df" /><Relationship Type="http://schemas.openxmlformats.org/officeDocument/2006/relationships/worksheet" Target="/xl/worksheets/sheet10.xml" Id="Rd91d7a5d7da044b9" /><Relationship Type="http://schemas.openxmlformats.org/officeDocument/2006/relationships/worksheet" Target="/xl/worksheets/sheet11.xml" Id="R1f552afa592c4059" /><Relationship Type="http://schemas.openxmlformats.org/officeDocument/2006/relationships/worksheet" Target="/xl/worksheets/sheet12.xml" Id="R3ede984f90634038" /><Relationship Type="http://schemas.openxmlformats.org/officeDocument/2006/relationships/worksheet" Target="/xl/worksheets/sheet13.xml" Id="R0a7b07048d524a8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6dd7ecaf6714c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0ab72739ad347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16fdb3b754246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38a9fc7020a457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d9d3777b3b641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38f79d9811a4de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dc88d836a094b8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837fdb682a54e9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8607f8d73e047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RUN-TRF-070-20260901T113020775630Z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42566.926999999996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RUN-TRF-070-20260901T113020775630Z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6dd7ecaf6714cb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RUN-TRF-070-20260901T113020775630Z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NO_SEMANTIC_VALIDATOR_DETERMINISTIC_PASS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ab72739ad347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RUN-TRF-070-20260901T113020775630Z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RUN-TRF-070-20260901T113020775630Z</x:v>
      </x:c>
      <x:c r="C5" s="69" t="str">
        <x:v>TRF-070</x:v>
      </x:c>
      <x:c r="D5" s="70" t="n">
        <x:v>46266.47940712963</x:v>
      </x:c>
      <x:c r="E5" s="70" t="n">
        <x:v>46266.47990229166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6fdb3b7542468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RUN-TRF-070-20260901T113020775630Z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RUN-TRF-070-20260901T113020775630Z</x:v>
      </x:c>
      <x:c r="B5" s="69" t="str">
        <x:v>TRF-070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42567.343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8a9fc7020a457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RUN-TRF-070-20260901T113020775630Z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RUN-TRF-070-20260901T113020775630Z</x:v>
      </x:c>
      <x:c r="C5" s="45" t="str">
        <x:v>TRF-070</x:v>
      </x:c>
      <x:c r="D5" s="84" t="n">
        <x:v>46266.47989982639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42566.511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RUN-TRF-070-20260901T113020775630Z</x:v>
      </x:c>
      <x:c r="C6" s="49" t="str">
        <x:v>TRF-070</x:v>
      </x:c>
      <x:c r="D6" s="87" t="n">
        <x:v>46266.47989983796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42567.343</x:v>
      </x:c>
      <x:c r="L6" s="89" t="b">
        <x:v>0</x:v>
      </x:c>
      <x:c r="M6" s="49" t="str">
        <x:v>resp_0ecb0036281d0574006a96b74cee808193a7ee5e4703228abd</x:v>
      </x:c>
      <x:c r="N6" s="60" t="n">
        <x:v>10180</x:v>
      </x:c>
      <x:c r="O6" s="60" t="n">
        <x:v>3711</x:v>
      </x:c>
      <x:c r="P6" s="60" t="n">
        <x:v>13891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9d3777b3b641f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RUN-TRF-070-20260901T113020775630Z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RUN-TRF-070-20260901T113020775630Z</x:v>
      </x:c>
      <x:c r="B5" s="45" t="str">
        <x:v>TRF-070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extremeLoad; domain dependency of localIcePressure; domain dependency of propellerIceInteractionLoad; domain dependency of serviceLife; domain dependency of thrusterBodyIceInteractionLoad; domain dependency of thrusterBodyLocalStrength; domain dependency of thrusterType</x:v>
      </x:c>
      <x:c r="J5" s="45" t="n">
        <x:v>0</x:v>
      </x:c>
    </x:row>
    <x:row r="6">
      <x:c r="A6" s="47" t="str">
        <x:v>RUN-TRF-070-20260901T113020775630Z</x:v>
      </x:c>
      <x:c r="B6" s="47" t="str">
        <x:v>TRF-070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designConditionExpectedLoad; domain dependency of designConditionLocalStrengthCapacity; domain dependency of normalOperationalConditions; range dependency of hasDesignCondition</x:v>
      </x:c>
      <x:c r="J6" s="47" t="n">
        <x:v>0</x:v>
      </x:c>
    </x:row>
    <x:row r="7">
      <x:c r="A7" s="47" t="str">
        <x:v>RUN-TRF-070-20260901T113020775630Z</x:v>
      </x:c>
      <x:c r="B7" s="47" t="str">
        <x:v>TRF-070</x:v>
      </x:c>
      <x:c r="C7" s="47" t="str">
        <x:v>designConditionExpectedLoad</x:v>
      </x:c>
      <x:c r="D7" s="48" t="str">
        <x:v>https://w3id.org/nltl/vocab#designConditionExpectedLoad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RUN-TRF-070-20260901T113020775630Z</x:v>
      </x:c>
      <x:c r="B8" s="47" t="str">
        <x:v>TRF-070</x:v>
      </x:c>
      <x:c r="C8" s="47" t="str">
        <x:v>designConditionLocalStrengthCapacity</x:v>
      </x:c>
      <x:c r="D8" s="48" t="str">
        <x:v>https://w3id.org/nltl/vocab#designConditionLocalStrengthCapacity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RUN-TRF-070-20260901T113020775630Z</x:v>
      </x:c>
      <x:c r="B9" s="47" t="str">
        <x:v>TRF-070</x:v>
      </x:c>
      <x:c r="C9" s="47" t="str">
        <x:v>extremeLoad</x:v>
      </x:c>
      <x:c r="D9" s="48" t="str">
        <x:v>https://w3id.org/nltl/vocab#extremeLoad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RUN-TRF-070-20260901T113020775630Z</x:v>
      </x:c>
      <x:c r="B10" s="47" t="str">
        <x:v>TRF-070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RUN-TRF-070-20260901T113020775630Z</x:v>
      </x:c>
      <x:c r="B11" s="47" t="str">
        <x:v>TRF-070</x:v>
      </x:c>
      <x:c r="C11" s="47" t="str">
        <x:v>hasDesignCondition</x:v>
      </x:c>
      <x:c r="D11" s="48" t="str">
        <x:v>https://w3id.org/nltl/vocab#hasDesignCondition</x:v>
      </x:c>
      <x:c r="E11" s="47" t="str">
        <x:v>ObjectProperty</x:v>
      </x:c>
      <x:c r="F11" s="47" t="str"/>
      <x:c r="G11" s="47" t="str">
        <x:v>https://w3id.org/nltl/vocab#designCondition</x:v>
      </x:c>
      <x:c r="H11" s="47" t="str"/>
      <x:c r="I11" s="48" t="str">
        <x:v>canonical path from target owner ship to required owner designCondition; linked by the locked 313-requirement index</x:v>
      </x:c>
      <x:c r="J11" s="47" t="n">
        <x:v>0</x:v>
      </x:c>
    </x:row>
    <x:row r="12">
      <x:c r="A12" s="47" t="str">
        <x:v>RUN-TRF-070-20260901T113020775630Z</x:v>
      </x:c>
      <x:c r="B12" s="47" t="str">
        <x:v>TRF-070</x:v>
      </x:c>
      <x:c r="C12" s="47" t="str">
        <x:v>localIcePressure</x:v>
      </x:c>
      <x:c r="D12" s="48" t="str">
        <x:v>https://w3id.org/nltl/vocab#localIcePressure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RUN-TRF-070-20260901T113020775630Z</x:v>
      </x:c>
      <x:c r="B13" s="47" t="str">
        <x:v>TRF-070</x:v>
      </x:c>
      <x:c r="C13" s="47" t="str">
        <x:v>mainPropulsionThruster</x:v>
      </x:c>
      <x:c r="D13" s="48" t="str">
        <x:v>https://w3id.org/nltl/vocab#mainPropulsionThruster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RUN-TRF-070-20260901T113020775630Z</x:v>
      </x:c>
      <x:c r="B14" s="47" t="str">
        <x:v>TRF-070</x:v>
      </x:c>
      <x:c r="C14" s="47" t="str">
        <x:v>normalOperationalConditions</x:v>
      </x:c>
      <x:c r="D14" s="48" t="str">
        <x:v>https://w3id.org/nltl/vocab#normalOperationalConditions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RUN-TRF-070-20260901T113020775630Z</x:v>
      </x:c>
      <x:c r="B15" s="47" t="str">
        <x:v>TRF-070</x:v>
      </x:c>
      <x:c r="C15" s="47" t="str">
        <x:v>propellerIceInteractionLoad</x:v>
      </x:c>
      <x:c r="D15" s="48" t="str">
        <x:v>https://w3id.org/nltl/vocab#propellerIceInteractionLoad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RUN-TRF-070-20260901T113020775630Z</x:v>
      </x:c>
      <x:c r="B16" s="47" t="str">
        <x:v>TRF-070</x:v>
      </x:c>
      <x:c r="C16" s="47" t="str">
        <x:v>serviceLife</x:v>
      </x:c>
      <x:c r="D16" s="48" t="str">
        <x:v>https://w3id.org/nltl/vocab#serviceLife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http://qudt.org/vocab/unit/YR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RUN-TRF-070-20260901T113020775630Z</x:v>
      </x:c>
      <x:c r="B17" s="47" t="str">
        <x:v>TRF-070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hasDesignCondition; domain dependency of mainPropulsionThruster</x:v>
      </x:c>
      <x:c r="J17" s="47" t="n">
        <x:v>0</x:v>
      </x:c>
    </x:row>
    <x:row r="18">
      <x:c r="A18" s="47" t="str">
        <x:v>RUN-TRF-070-20260901T113020775630Z</x:v>
      </x:c>
      <x:c r="B18" s="47" t="str">
        <x:v>TRF-070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RUN-TRF-070-20260901T113020775630Z</x:v>
      </x:c>
      <x:c r="B19" s="47" t="str">
        <x:v>TRF-070</x:v>
      </x:c>
      <x:c r="C19" s="47" t="str">
        <x:v>thrusterBodyIceInteractionLoad</x:v>
      </x:c>
      <x:c r="D19" s="48" t="str">
        <x:v>https://w3id.org/nltl/vocab#thrusterBodyIceInteractionLoad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http://qudt.org/vocab/unit/KiloN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RUN-TRF-070-20260901T113020775630Z</x:v>
      </x:c>
      <x:c r="B20" s="47" t="str">
        <x:v>TRF-070</x:v>
      </x:c>
      <x:c r="C20" s="47" t="str">
        <x:v>thrusterBodyLocalStrength</x:v>
      </x:c>
      <x:c r="D20" s="48" t="str">
        <x:v>https://w3id.org/nltl/vocab#thrusterBodyLocalStrength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RUN-TRF-070-20260901T113020775630Z</x:v>
      </x:c>
      <x:c r="B21" s="49" t="str">
        <x:v>TRF-070</x:v>
      </x:c>
      <x:c r="C21" s="49" t="str">
        <x:v>thrusterType</x:v>
      </x:c>
      <x:c r="D21" s="50" t="str">
        <x:v>https://w3id.org/nltl/vocab#thrusterType</x:v>
      </x:c>
      <x:c r="E21" s="49" t="str">
        <x:v>DatatypeProperty</x:v>
      </x:c>
      <x:c r="F21" s="49" t="str">
        <x:v>xsd:string</x:v>
      </x:c>
      <x:c r="G21" s="49" t="str">
        <x:v>http://www.w3.org/2001/XMLSchema#string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38f79d9811a4de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RUN-TRF-070-20260901T113020775630Z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RUN-TRF-070-20260901T113020775630Z</x:v>
      </x:c>
      <x:c r="B5" s="45" t="str">
        <x:v>TRF-070</x:v>
      </x:c>
      <x:c r="C5" s="45" t="str">
        <x:v>FS-COMPLEX-READINESS-01</x:v>
      </x:c>
      <x:c r="D5" s="45" t="str">
        <x:v>complex_readiness_external_calculation</x:v>
      </x:c>
      <x:c r="E5" s="92" t="n">
        <x:v>2.123077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RUN-TRF-070-20260901T113020775630Z</x:v>
      </x:c>
      <x:c r="B6" s="49" t="str">
        <x:v>TRF-070</x:v>
      </x:c>
      <x:c r="C6" s="49" t="str">
        <x:v>FS-COMPLEX-READINESS-02</x:v>
      </x:c>
      <x:c r="D6" s="49" t="str">
        <x:v>complex_readiness_with_direct_residual_check</x:v>
      </x:c>
      <x:c r="E6" s="93" t="n">
        <x:v>2.056338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c88d836a094b8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RUN-TRF-070-20260901T113020775630Z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RUN-TRF-070-20260901T113020775630Z</x:v>
      </x:c>
      <x:c r="B5" s="69" t="str">
        <x:v>TRF-070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https://w3id.org/nltl/vocab#designCondition | https://w3id.org/nltl/vocab#designConditionExpectedLoad | https://w3id.org/nltl/vocab#designConditionLocalStrengthCapacity | https://w3id.org/nltl/vocab#hasDesignCondition | https://w3id.org/nltl/vocab#localIcePressure | https://w3id.org/nltl/vocab#mainPropulsionThruster | https://w3id.org/nltl/vocab#propellerIceInteractionLoad | https://w3id.org/nltl/vocab#ship | https://w3id.org/nltl/vocab#thrusterBodyIceInteractionLoad | https://w3id.org/nltl/vocab#thrusterType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837fdb682a54e9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RUN-TRF-070-20260901T113020775630Z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RUN-TRF-070-20260901T113020775630Z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RUN-TRF-070-20260901T113020775630Z</x:v>
      </x:c>
      <x:c r="B5" s="45" t="str">
        <x:v>TRF-070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0f3287e4f9d73154056a64820fc1728604e9a8b67c7bd573df2498ed34e2cf62</x:v>
      </x:c>
      <x:c r="G5" s="58" t="n">
        <x:v>25621</x:v>
      </x:c>
    </x:row>
    <x:row r="6">
      <x:c r="A6" s="47" t="str">
        <x:v>RUN-TRF-070-20260901T113020775630Z</x:v>
      </x:c>
      <x:c r="B6" s="47" t="str">
        <x:v>TRF-070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52783c96921fe912c75a90294786edd0e0982ab0bfa4336968fbea10be08bad8</x:v>
      </x:c>
      <x:c r="G6" s="59" t="n">
        <x:v>6555</x:v>
      </x:c>
    </x:row>
    <x:row r="7">
      <x:c r="A7" s="47" t="str">
        <x:v>RUN-TRF-070-20260901T113020775630Z</x:v>
      </x:c>
      <x:c r="B7" s="47" t="str">
        <x:v>TRF-070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e927907821bb1efa0c543585d2e773d12ccf0d9ec298139e8ac11a4de8cc18f7</x:v>
      </x:c>
      <x:c r="G7" s="59" t="n">
        <x:v>43820</x:v>
      </x:c>
    </x:row>
    <x:row r="8">
      <x:c r="A8" s="47" t="str">
        <x:v>RUN-TRF-070-20260901T113020775630Z</x:v>
      </x:c>
      <x:c r="B8" s="47" t="str">
        <x:v>TRF-070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059848b5139dd0d9e7b45093e42f6976700d726d0f67e501405d1ae6a74c2e46</x:v>
      </x:c>
      <x:c r="G8" s="59" t="n">
        <x:v>5755</x:v>
      </x:c>
    </x:row>
    <x:row r="9">
      <x:c r="A9" s="47" t="str">
        <x:v>RUN-TRF-070-20260901T113020775630Z</x:v>
      </x:c>
      <x:c r="B9" s="47" t="str">
        <x:v>TRF-070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e27edce3cb9067e9e8edff6c5cc5bac0d68426b6aab792c0164d5adf86f91e8f</x:v>
      </x:c>
      <x:c r="G9" s="59" t="n">
        <x:v>5730</x:v>
      </x:c>
    </x:row>
    <x:row r="10">
      <x:c r="A10" s="49" t="str">
        <x:v>RUN-TRF-070-20260901T113020775630Z</x:v>
      </x:c>
      <x:c r="B10" s="49" t="str">
        <x:v>TRF-070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5a8b374b2d8afd420edf39bebfebaa3e0a490d899b095ef33e2eb4efebb2c9c3</x:v>
      </x:c>
      <x:c r="G10" s="60" t="n">
        <x:v>1387</x:v>
      </x:c>
    </x:row>
  </x:sheetData>
  <x:pageMargins left="0.7" right="0.7" top="0.75" bottom="0.75" header="0.3" footer="0.3"/>
  <x:tableParts count="1">
    <x:tablePart xmlns:r="http://schemas.openxmlformats.org/officeDocument/2006/relationships" r:id="R98607f8d73e0471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RUN-TRF-070-20260901T113020775630Z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RUN-TRF-070-20260901T113020775630Z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