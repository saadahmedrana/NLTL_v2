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71359e16d44b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fbeacc647bf48dc"/>
    <x:sheet xmlns:r="http://schemas.openxmlformats.org/officeDocument/2006/relationships" name="README" sheetId="2" r:id="Ra7fdef572df046f4"/>
    <x:sheet xmlns:r="http://schemas.openxmlformats.org/officeDocument/2006/relationships" name="REGULATION_QUEUE" sheetId="3" r:id="Rbfaf5029c3ca40ae"/>
    <x:sheet xmlns:r="http://schemas.openxmlformats.org/officeDocument/2006/relationships" name="RUNS" sheetId="4" r:id="R10c984a456544c58"/>
    <x:sheet xmlns:r="http://schemas.openxmlformats.org/officeDocument/2006/relationships" name="ITERATIONS" sheetId="5" r:id="Rd2a05a19a2ac436c"/>
    <x:sheet xmlns:r="http://schemas.openxmlformats.org/officeDocument/2006/relationships" name="API_CALLS" sheetId="6" r:id="R66a7ceedde0e45fb"/>
    <x:sheet xmlns:r="http://schemas.openxmlformats.org/officeDocument/2006/relationships" name="TERM_RETRIEVAL" sheetId="7" r:id="R2f2786c4ce904424"/>
    <x:sheet xmlns:r="http://schemas.openxmlformats.org/officeDocument/2006/relationships" name="FEW_SHOT_SELECTION" sheetId="8" r:id="R327e638eb12d41a3"/>
    <x:sheet xmlns:r="http://schemas.openxmlformats.org/officeDocument/2006/relationships" name="VALIDATION" sheetId="9" r:id="R997691bc265d4b53"/>
    <x:sheet xmlns:r="http://schemas.openxmlformats.org/officeDocument/2006/relationships" name="VOCAB_MATCHES" sheetId="10" r:id="Rcd8667dc29754340"/>
    <x:sheet xmlns:r="http://schemas.openxmlformats.org/officeDocument/2006/relationships" name="ARTIFACTS" sheetId="11" r:id="Rc6c924c1afc446a4"/>
    <x:sheet xmlns:r="http://schemas.openxmlformats.org/officeDocument/2006/relationships" name="UNRESOLVED" sheetId="12" r:id="Rf1ee766900144406"/>
    <x:sheet xmlns:r="http://schemas.openxmlformats.org/officeDocument/2006/relationships" name="RDF_TEST_QUEUE" sheetId="13" r:id="Rf2ab9a499f6f48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208e3b0c244013" /><Relationship Type="http://schemas.openxmlformats.org/officeDocument/2006/relationships/theme" Target="/xl/theme/theme1.xml" Id="R4a478eef85ba4f08" /><Relationship Type="http://schemas.microsoft.com/office/2022/11/relationships/FeaturePropertyBag" Target="/xl/featurePropertyBag/featurePropertyBag.xml" Id="R1735e611caed4e04" /><Relationship Type="http://schemas.openxmlformats.org/officeDocument/2006/relationships/sharedStrings" Target="/xl/sharedStrings.xml" Id="R9707054713394e5d" /><Relationship Type="http://schemas.openxmlformats.org/officeDocument/2006/relationships/worksheet" Target="/xl/worksheets/sheet1.xml" Id="R1fbeacc647bf48dc" /><Relationship Type="http://schemas.openxmlformats.org/officeDocument/2006/relationships/worksheet" Target="/xl/worksheets/sheet2.xml" Id="Ra7fdef572df046f4" /><Relationship Type="http://schemas.openxmlformats.org/officeDocument/2006/relationships/worksheet" Target="/xl/worksheets/sheet3.xml" Id="Rbfaf5029c3ca40ae" /><Relationship Type="http://schemas.openxmlformats.org/officeDocument/2006/relationships/worksheet" Target="/xl/worksheets/sheet4.xml" Id="R10c984a456544c58" /><Relationship Type="http://schemas.openxmlformats.org/officeDocument/2006/relationships/worksheet" Target="/xl/worksheets/sheet5.xml" Id="Rd2a05a19a2ac436c" /><Relationship Type="http://schemas.openxmlformats.org/officeDocument/2006/relationships/worksheet" Target="/xl/worksheets/sheet6.xml" Id="R66a7ceedde0e45fb" /><Relationship Type="http://schemas.openxmlformats.org/officeDocument/2006/relationships/worksheet" Target="/xl/worksheets/sheet7.xml" Id="R2f2786c4ce904424" /><Relationship Type="http://schemas.openxmlformats.org/officeDocument/2006/relationships/worksheet" Target="/xl/worksheets/sheet8.xml" Id="R327e638eb12d41a3" /><Relationship Type="http://schemas.openxmlformats.org/officeDocument/2006/relationships/worksheet" Target="/xl/worksheets/sheet9.xml" Id="R997691bc265d4b53" /><Relationship Type="http://schemas.openxmlformats.org/officeDocument/2006/relationships/worksheet" Target="/xl/worksheets/sheet10.xml" Id="Rcd8667dc29754340" /><Relationship Type="http://schemas.openxmlformats.org/officeDocument/2006/relationships/worksheet" Target="/xl/worksheets/sheet11.xml" Id="Rc6c924c1afc446a4" /><Relationship Type="http://schemas.openxmlformats.org/officeDocument/2006/relationships/worksheet" Target="/xl/worksheets/sheet12.xml" Id="Rf1ee766900144406" /><Relationship Type="http://schemas.openxmlformats.org/officeDocument/2006/relationships/worksheet" Target="/xl/worksheets/sheet13.xml" Id="Rf2ab9a499f6f488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4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d73525a19c5463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33e916564d8421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dbc48d1e5a64fa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37c92a7adba49b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2ba9e7f0c4c40b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e02ed554c16452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46e61d1860649f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5651d4c7c0042d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6d027210fbf4f4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RUN-TRF-114-20260901T114242816801Z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31293.073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RUN-TRF-114-20260901T114242816801Z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d73525a19c5463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RUN-TRF-114-20260901T114242816801Z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NO_SEMANTIC_VALIDATOR_DETERMINISTIC_PASS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3e916564d8421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RUN-TRF-114-20260901T114242816801Z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RUN-TRF-114-20260901T114242816801Z</x:v>
      </x:c>
      <x:c r="C5" s="69" t="str">
        <x:v>TRF-114</x:v>
      </x:c>
      <x:c r="D5" s="70" t="n">
        <x:v>46266.48799559028</x:v>
      </x:c>
      <x:c r="E5" s="70" t="n">
        <x:v>46266.48836052083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bc48d1e5a64fa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RUN-TRF-114-20260901T114242816801Z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RUN-TRF-114-20260901T114242816801Z</x:v>
      </x:c>
      <x:c r="B5" s="69" t="str">
        <x:v>TRF-114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31293.924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37c92a7adba49b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RUN-TRF-114-20260901T114242816801Z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EVT-000045</x:v>
      </x:c>
      <x:c r="B5" s="45" t="str">
        <x:v>RUN-TRF-114-20260901T114242816801Z</x:v>
      </x:c>
      <x:c r="C5" s="45" t="str">
        <x:v>TRF-114</x:v>
      </x:c>
      <x:c r="D5" s="84" t="n">
        <x:v>46266.4883578125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31292.222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EVT-000046</x:v>
      </x:c>
      <x:c r="B6" s="49" t="str">
        <x:v>RUN-TRF-114-20260901T114242816801Z</x:v>
      </x:c>
      <x:c r="C6" s="49" t="str">
        <x:v>TRF-114</x:v>
      </x:c>
      <x:c r="D6" s="87" t="n">
        <x:v>46266.488357835646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31293.924</x:v>
      </x:c>
      <x:c r="L6" s="89" t="b">
        <x:v>0</x:v>
      </x:c>
      <x:c r="M6" s="49" t="str">
        <x:v>resp_0ade3dd4c2055a5b006a96ba330c6c8190a97ef742675abdb1</x:v>
      </x:c>
      <x:c r="N6" s="60" t="n">
        <x:v>16635</x:v>
      </x:c>
      <x:c r="O6" s="60" t="n">
        <x:v>2982</x:v>
      </x:c>
      <x:c r="P6" s="60" t="n">
        <x:v>19617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2ba9e7f0c4c40b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RUN-TRF-114-20260901T114242816801Z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RUN-TRF-114-20260901T114242816801Z</x:v>
      </x:c>
      <x:c r="B5" s="45" t="str">
        <x:v>TRF-114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equivalentImpactSphereRadius; domain dependency of iceOperatingSpeed; range dependency of contactGeometryValue</x:v>
      </x:c>
      <x:c r="J5" s="45" t="n">
        <x:v>0</x:v>
      </x:c>
    </x:row>
    <x:row r="6">
      <x:c r="A6" s="47" t="str">
        <x:v>RUN-TRF-114-20260901T114242816801Z</x:v>
      </x:c>
      <x:c r="B6" s="47" t="str">
        <x:v>TRF-114</x:v>
      </x:c>
      <x:c r="C6" s="47" t="str">
        <x:v>contactGeometryClassification</x:v>
      </x:c>
      <x:c r="D6" s="48" t="str">
        <x:v>https://w3id.org/nltl/vocab#contactGeometryClassification</x:v>
      </x:c>
      <x:c r="E6" s="47" t="str">
        <x:v>ObjectProperty</x:v>
      </x:c>
      <x:c r="F6" s="47" t="str"/>
      <x:c r="G6" s="47" t="str">
        <x:v>https://w3id.org/nltl/vocab#contactGeometryValue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RUN-TRF-114-20260901T114242816801Z</x:v>
      </x:c>
      <x:c r="B7" s="47" t="str">
        <x:v>TRF-114</x:v>
      </x:c>
      <x:c r="C7" s="47" t="str">
        <x:v>contactGeometryCorrespondenceEvidence</x:v>
      </x:c>
      <x:c r="D7" s="48" t="str">
        <x:v>https://w3id.org/nltl/vocab#contactGeometryCorrespondenceEvidence</x:v>
      </x:c>
      <x:c r="E7" s="47" t="str">
        <x:v>ObjectProperty</x:v>
      </x:c>
      <x:c r="F7" s="47" t="str"/>
      <x:c r="G7" s="47" t="str">
        <x:v>https://w3id.org/nltl/vocab#evidenceArtifact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RUN-TRF-114-20260901T114242816801Z</x:v>
      </x:c>
      <x:c r="B8" s="47" t="str">
        <x:v>TRF-114</x:v>
      </x:c>
      <x:c r="C8" s="47" t="str">
        <x:v>contactGeometryValue</x:v>
      </x:c>
      <x:c r="D8" s="48" t="str">
        <x:v>https://w3id.org/nltl/vocab#contactGeometryValue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linked by the locked 313-requirement index; range dependency of contactGeometryClassification; range dependency of hemisphericalContactGeometry; range dependency of nonHemisphericalContactGeometry</x:v>
      </x:c>
      <x:c r="J8" s="47" t="n">
        <x:v>0</x:v>
      </x:c>
    </x:row>
    <x:row r="9">
      <x:c r="A9" s="47" t="str">
        <x:v>RUN-TRF-114-20260901T114242816801Z</x:v>
      </x:c>
      <x:c r="B9" s="47" t="str">
        <x:v>TRF-114</x:v>
      </x:c>
      <x:c r="C9" s="47" t="str">
        <x:v>designIceBlockTableReference</x:v>
      </x:c>
      <x:c r="D9" s="48" t="str">
        <x:v>https://w3id.org/nltl/vocab#designIceBlockTableReference</x:v>
      </x:c>
      <x:c r="E9" s="47" t="str">
        <x:v>ObjectProperty</x:v>
      </x:c>
      <x:c r="F9" s="47" t="str"/>
      <x:c r="G9" s="47" t="str">
        <x:v>https://w3id.org/nltl/vocab#tableReferenceValue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RUN-TRF-114-20260901T114242816801Z</x:v>
      </x:c>
      <x:c r="B10" s="47" t="str">
        <x:v>TRF-114</x:v>
      </x:c>
      <x:c r="C10" s="47" t="str">
        <x:v>equivalentImpactSphereRadius</x:v>
      </x:c>
      <x:c r="D10" s="48" t="str">
        <x:v>https://w3id.org/nltl/vocab#equivalentImpactSphereRadius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RUN-TRF-114-20260901T114242816801Z</x:v>
      </x:c>
      <x:c r="B11" s="47" t="str">
        <x:v>TRF-114</x:v>
      </x:c>
      <x:c r="C11" s="47" t="str">
        <x:v>evidenceArtifact</x:v>
      </x:c>
      <x:c r="D11" s="48" t="str">
        <x:v>https://w3id.org/nltl/vocab#evidenceArtifact</x:v>
      </x:c>
      <x:c r="E11" s="47" t="str">
        <x:v>Class</x:v>
      </x:c>
      <x:c r="F11" s="47" t="str"/>
      <x:c r="G11" s="47" t="str"/>
      <x:c r="H11" s="47" t="str"/>
      <x:c r="I11" s="48" t="str">
        <x:v>range dependency of contactGeometryCorrespondenceEvidence; range dependency of thrusterIceImpactLoadedAreaEvidence</x:v>
      </x:c>
      <x:c r="J11" s="47" t="n">
        <x:v>0</x:v>
      </x:c>
    </x:row>
    <x:row r="12">
      <x:c r="A12" s="47" t="str">
        <x:v>RUN-TRF-114-20260901T114242816801Z</x:v>
      </x:c>
      <x:c r="B12" s="47" t="str">
        <x:v>TRF-114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RUN-TRF-114-20260901T114242816801Z</x:v>
      </x:c>
      <x:c r="B13" s="47" t="str">
        <x:v>TRF-114</x:v>
      </x:c>
      <x:c r="C13" s="47" t="str">
        <x:v>hasThrusterIceImpactLoadCase</x:v>
      </x:c>
      <x:c r="D13" s="48" t="str">
        <x:v>https://w3id.org/nltl/vocab#hasThrusterIceImpactLoadCase</x:v>
      </x:c>
      <x:c r="E13" s="47" t="str">
        <x:v>ObjectProperty</x:v>
      </x:c>
      <x:c r="F13" s="47" t="str"/>
      <x:c r="G13" s="47" t="str">
        <x:v>https://w3id.org/nltl/vocab#thrusterIceImpactLoadCase</x:v>
      </x:c>
      <x:c r="H13" s="47" t="str"/>
      <x:c r="I13" s="48" t="str">
        <x:v>canonical path from target owner ship to required owner thrusterIceImpactLoadCase; linked by the locked 313-requirement index</x:v>
      </x:c>
      <x:c r="J13" s="47" t="n">
        <x:v>0</x:v>
      </x:c>
    </x:row>
    <x:row r="14">
      <x:c r="A14" s="47" t="str">
        <x:v>RUN-TRF-114-20260901T114242816801Z</x:v>
      </x:c>
      <x:c r="B14" s="47" t="str">
        <x:v>TRF-114</x:v>
      </x:c>
      <x:c r="C14" s="47" t="str">
        <x:v>hemisphericalContactGeometry</x:v>
      </x:c>
      <x:c r="D14" s="48" t="str">
        <x:v>https://w3id.org/nltl/vocab#hemisphericalContactGeometry</x:v>
      </x:c>
      <x:c r="E14" s="47" t="str">
        <x:v>NamedIndividual</x:v>
      </x:c>
      <x:c r="F14" s="47" t="str"/>
      <x:c r="G14" s="47" t="str">
        <x:v>https://w3id.org/nltl/vocab#contactGeometryValue</x:v>
      </x:c>
      <x:c r="H14" s="47" t="str"/>
      <x:c r="I14" s="48" t="str">
        <x:v>controlled value permitted by the range of contactGeometryClassification; controlled value permitted by the range of hemisphericalContactGeometry; controlled value permitted by the range of nonHemisphericalContactGeometry; linked by the locked 313-requirement index</x:v>
      </x:c>
      <x:c r="J14" s="47" t="n">
        <x:v>0</x:v>
      </x:c>
    </x:row>
    <x:row r="15">
      <x:c r="A15" s="47" t="str">
        <x:v>RUN-TRF-114-20260901T114242816801Z</x:v>
      </x:c>
      <x:c r="B15" s="47" t="str">
        <x:v>TRF-114</x:v>
      </x:c>
      <x:c r="C15" s="47" t="str">
        <x:v>iacsUrI2Table3</x:v>
      </x:c>
      <x:c r="D15" s="48" t="str">
        <x:v>https://w3id.org/nltl/vocab#iacsUrI2Table3</x:v>
      </x:c>
      <x:c r="E15" s="47" t="str">
        <x:v>NamedIndividual</x:v>
      </x:c>
      <x:c r="F15" s="47" t="str"/>
      <x:c r="G15" s="47" t="str">
        <x:v>https://w3id.org/nltl/vocab#tableReferenceValue</x:v>
      </x:c>
      <x:c r="H15" s="47" t="str"/>
      <x:c r="I15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15" s="47" t="n">
        <x:v>0</x:v>
      </x:c>
    </x:row>
    <x:row r="16">
      <x:c r="A16" s="47" t="str">
        <x:v>RUN-TRF-114-20260901T114242816801Z</x:v>
      </x:c>
      <x:c r="B16" s="47" t="str">
        <x:v>TRF-114</x:v>
      </x:c>
      <x:c r="C16" s="47" t="str">
        <x:v>iacsUrI2Table8</x:v>
      </x:c>
      <x:c r="D16" s="48" t="str">
        <x:v>https://w3id.org/nltl/vocab#iacsUrI2Table8</x:v>
      </x:c>
      <x:c r="E16" s="47" t="str">
        <x:v>NamedIndividual</x:v>
      </x:c>
      <x:c r="F16" s="47" t="str"/>
      <x:c r="G16" s="47" t="str">
        <x:v>https://w3id.org/nltl/vocab#tableReferenceValue</x:v>
      </x:c>
      <x:c r="H16" s="47" t="str"/>
      <x:c r="I16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16" s="47" t="n">
        <x:v>0</x:v>
      </x:c>
    </x:row>
    <x:row r="17">
      <x:c r="A17" s="47" t="str">
        <x:v>RUN-TRF-114-20260901T114242816801Z</x:v>
      </x:c>
      <x:c r="B17" s="47" t="str">
        <x:v>TRF-114</x:v>
      </x:c>
      <x:c r="C17" s="47" t="str">
        <x:v>iceOperatingSpeed</x:v>
      </x:c>
      <x:c r="D17" s="48" t="str">
        <x:v>https://w3id.org/nltl/vocab#iceOperatingSpeed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http://qudt.org/vocab/unit/KN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RUN-TRF-114-20260901T114242816801Z</x:v>
      </x:c>
      <x:c r="B18" s="47" t="str">
        <x:v>TRF-114</x:v>
      </x:c>
      <x:c r="C18" s="47" t="str">
        <x:v>impactLoadCaseTableReference</x:v>
      </x:c>
      <x:c r="D18" s="48" t="str">
        <x:v>https://w3id.org/nltl/vocab#impactLoadCaseTableReference</x:v>
      </x:c>
      <x:c r="E18" s="47" t="str">
        <x:v>ObjectProperty</x:v>
      </x:c>
      <x:c r="F18" s="47" t="str"/>
      <x:c r="G18" s="47" t="str">
        <x:v>https://w3id.org/nltl/vocab#tableReferenceValue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RUN-TRF-114-20260901T114242816801Z</x:v>
      </x:c>
      <x:c r="B19" s="47" t="str">
        <x:v>TRF-114</x:v>
      </x:c>
      <x:c r="C19" s="47" t="str">
        <x:v>loadCase</x:v>
      </x:c>
      <x:c r="D19" s="48" t="str">
        <x:v>https://w3id.org/nltl/vocab#loadCase</x:v>
      </x:c>
      <x:c r="E19" s="47" t="str">
        <x:v>Class</x:v>
      </x:c>
      <x:c r="F19" s="47" t="str"/>
      <x:c r="G19" s="47" t="str">
        <x:v>https://w3id.org/nltl/vocab#calculationCase</x:v>
      </x:c>
      <x:c r="H19" s="47" t="str"/>
      <x:c r="I19" s="48" t="str">
        <x:v>range dependency of thrusterIceImpactLoadCase</x:v>
      </x:c>
      <x:c r="J19" s="47" t="n">
        <x:v>0</x:v>
      </x:c>
    </x:row>
    <x:row r="20">
      <x:c r="A20" s="47" t="str">
        <x:v>RUN-TRF-114-20260901T114242816801Z</x:v>
      </x:c>
      <x:c r="B20" s="47" t="str">
        <x:v>TRF-114</x:v>
      </x:c>
      <x:c r="C20" s="47" t="str">
        <x:v>machineryComponent</x:v>
      </x:c>
      <x:c r="D20" s="48" t="str">
        <x:v>https://w3id.org/nltl/vocab#machineryComponent</x:v>
      </x:c>
      <x:c r="E20" s="47" t="str">
        <x:v>Class</x:v>
      </x:c>
      <x:c r="F20" s="47" t="str"/>
      <x:c r="G20" s="47" t="str"/>
      <x:c r="H20" s="47" t="str"/>
      <x:c r="I20" s="48" t="str">
        <x:v>range dependency of thrusterBody</x:v>
      </x:c>
      <x:c r="J20" s="47" t="n">
        <x:v>0</x:v>
      </x:c>
    </x:row>
    <x:row r="21">
      <x:c r="A21" s="47" t="str">
        <x:v>RUN-TRF-114-20260901T114242816801Z</x:v>
      </x:c>
      <x:c r="B21" s="47" t="str">
        <x:v>TRF-114</x:v>
      </x:c>
      <x:c r="C21" s="47" t="str">
        <x:v>nonHemisphericalContactGeometry</x:v>
      </x:c>
      <x:c r="D21" s="48" t="str">
        <x:v>https://w3id.org/nltl/vocab#nonHemisphericalContactGeometry</x:v>
      </x:c>
      <x:c r="E21" s="47" t="str">
        <x:v>NamedIndividual</x:v>
      </x:c>
      <x:c r="F21" s="47" t="str"/>
      <x:c r="G21" s="47" t="str">
        <x:v>https://w3id.org/nltl/vocab#contactGeometryValue</x:v>
      </x:c>
      <x:c r="H21" s="47" t="str"/>
      <x:c r="I21" s="48" t="str">
        <x:v>controlled value permitted by the range of contactGeometryClassification; controlled value permitted by the range of hemisphericalContactGeometry; controlled value permitted by the range of nonHemisphericalContactGeometry; linked by the locked 313-requirement index</x:v>
      </x:c>
      <x:c r="J21" s="47" t="n">
        <x:v>0</x:v>
      </x:c>
    </x:row>
    <x:row r="22">
      <x:c r="A22" s="47" t="str">
        <x:v>RUN-TRF-114-20260901T114242816801Z</x:v>
      </x:c>
      <x:c r="B22" s="47" t="str">
        <x:v>TRF-114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hasThrusterIceImpactLoadCase</x:v>
      </x:c>
      <x:c r="J22" s="47" t="n">
        <x:v>0</x:v>
      </x:c>
    </x:row>
    <x:row r="23">
      <x:c r="A23" s="47" t="str">
        <x:v>RUN-TRF-114-20260901T114242816801Z</x:v>
      </x:c>
      <x:c r="B23" s="47" t="str">
        <x:v>TRF-114</x:v>
      </x:c>
      <x:c r="C23" s="47" t="str">
        <x:v>shipComponent</x:v>
      </x:c>
      <x:c r="D23" s="48" t="str">
        <x:v>https://w3id.org/nltl/vocab#shipComponent</x:v>
      </x:c>
      <x:c r="E23" s="47" t="str">
        <x:v>Class</x:v>
      </x:c>
      <x:c r="F23" s="47" t="str"/>
      <x:c r="G23" s="47" t="str"/>
      <x:c r="H23" s="47" t="str"/>
      <x:c r="I23" s="48" t="str">
        <x:v>component-path dependency inferred from the linked term module</x:v>
      </x:c>
      <x:c r="J23" s="47" t="n">
        <x:v>0</x:v>
      </x:c>
    </x:row>
    <x:row r="24">
      <x:c r="A24" s="47" t="str">
        <x:v>RUN-TRF-114-20260901T114242816801Z</x:v>
      </x:c>
      <x:c r="B24" s="47" t="str">
        <x:v>TRF-114</x:v>
      </x:c>
      <x:c r="C24" s="47" t="str">
        <x:v>tableReferenceValue</x:v>
      </x:c>
      <x:c r="D24" s="48" t="str">
        <x:v>https://w3id.org/nltl/vocab#tableReferenceValue</x:v>
      </x:c>
      <x:c r="E24" s="47" t="str">
        <x:v>Class</x:v>
      </x:c>
      <x:c r="F24" s="47" t="str"/>
      <x:c r="G24" s="47" t="str">
        <x:v>https://w3id.org/nltl/vocab#benchmarkEntity</x:v>
      </x:c>
      <x:c r="H24" s="47" t="str"/>
      <x:c r="I24" s="48" t="str">
        <x:v>range dependency of designIceBlockTableReference; range dependency of impactLoadCaseTableReference; range dependency of traficomTable6Dash16Reference; range dependency of traficomTable6Dash3Reference</x:v>
      </x:c>
      <x:c r="J24" s="47" t="n">
        <x:v>0</x:v>
      </x:c>
    </x:row>
    <x:row r="25">
      <x:c r="A25" s="47" t="str">
        <x:v>RUN-TRF-114-20260901T114242816801Z</x:v>
      </x:c>
      <x:c r="B25" s="47" t="str">
        <x:v>TRF-114</x:v>
      </x:c>
      <x:c r="C25" s="47" t="str">
        <x:v>thrusterBody</x:v>
      </x:c>
      <x:c r="D25" s="48" t="str">
        <x:v>https://w3id.org/nltl/vocab#thrusterBody</x:v>
      </x:c>
      <x:c r="E25" s="47" t="str">
        <x:v>Class</x:v>
      </x:c>
      <x:c r="F25" s="47" t="str"/>
      <x:c r="G25" s="47" t="str">
        <x:v>https://w3id.org/nltl/vocab#machineryComponent</x:v>
      </x:c>
      <x:c r="H25" s="47" t="str"/>
      <x:c r="I25" s="48" t="str">
        <x:v>authoritative required owner class; domain dependency of thrusterResistanceCapacity; linked by the locked 313-requirement index; range dependency of thrusterImpactCaseAppliesToBody</x:v>
      </x:c>
      <x:c r="J25" s="47" t="n">
        <x:v>0</x:v>
      </x:c>
    </x:row>
    <x:row r="26">
      <x:c r="A26" s="47" t="str">
        <x:v>RUN-TRF-114-20260901T114242816801Z</x:v>
      </x:c>
      <x:c r="B26" s="47" t="str">
        <x:v>TRF-114</x:v>
      </x:c>
      <x:c r="C26" s="47" t="str">
        <x:v>thrusterIceImpactDemand</x:v>
      </x:c>
      <x:c r="D26" s="48" t="str">
        <x:v>https://w3id.org/nltl/vocab#thrusterIceImpactDemand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http://qudt.org/vocab/unit/KiloN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RUN-TRF-114-20260901T114242816801Z</x:v>
      </x:c>
      <x:c r="B27" s="47" t="str">
        <x:v>TRF-114</x:v>
      </x:c>
      <x:c r="C27" s="47" t="str">
        <x:v>thrusterIceImpactLoad</x:v>
      </x:c>
      <x:c r="D27" s="48" t="str">
        <x:v>https://w3id.org/nltl/vocab#thrusterIceImpactLoad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http://qudt.org/vocab/unit/KiloN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RUN-TRF-114-20260901T114242816801Z</x:v>
      </x:c>
      <x:c r="B28" s="47" t="str">
        <x:v>TRF-114</x:v>
      </x:c>
      <x:c r="C28" s="47" t="str">
        <x:v>thrusterIceImpactLoadCase</x:v>
      </x:c>
      <x:c r="D28" s="48" t="str">
        <x:v>https://w3id.org/nltl/vocab#thrusterIceImpactLoadCase</x:v>
      </x:c>
      <x:c r="E28" s="47" t="str">
        <x:v>Class</x:v>
      </x:c>
      <x:c r="F28" s="47" t="str"/>
      <x:c r="G28" s="47" t="str">
        <x:v>https://w3id.org/nltl/vocab#loadCase</x:v>
      </x:c>
      <x:c r="H28" s="47" t="str"/>
      <x:c r="I28" s="48" t="str">
        <x:v>authoritative required owner class; domain dependency of contactGeometryClassification; domain dependency of contactGeometryCorrespondenceEvidence; domain dependency of designIceBlockTableReference; domain dependency of impactLoadCaseTableReference; domain dependency of thrusterIceImpactDemand; domain dependency of thrusterIceImpactLoad; domain dependency of thrusterIceImpactLoadCaseIdentifier; domain dependency of thrusterIceImpactLoadedAreaEvidence; domain dependency of thrusterImpactCaseAppliesToBody; linked by the locked 313-requirement index; range dependency of hasThrusterIceImpactLoadCase</x:v>
      </x:c>
      <x:c r="J28" s="47" t="n">
        <x:v>0</x:v>
      </x:c>
    </x:row>
    <x:row r="29">
      <x:c r="A29" s="47" t="str">
        <x:v>RUN-TRF-114-20260901T114242816801Z</x:v>
      </x:c>
      <x:c r="B29" s="47" t="str">
        <x:v>TRF-114</x:v>
      </x:c>
      <x:c r="C29" s="47" t="str">
        <x:v>thrusterIceImpactLoadCaseIdentifier</x:v>
      </x:c>
      <x:c r="D29" s="48" t="str">
        <x:v>https://w3id.org/nltl/vocab#thrusterIceImpactLoadCaseIdentifier</x:v>
      </x:c>
      <x:c r="E29" s="47" t="str">
        <x:v>DatatypeProperty</x:v>
      </x:c>
      <x:c r="F29" s="47" t="str">
        <x:v>xsd:string</x:v>
      </x:c>
      <x:c r="G29" s="47" t="str">
        <x:v>http://www.w3.org/2001/XMLSchema#string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7" t="str">
        <x:v>RUN-TRF-114-20260901T114242816801Z</x:v>
      </x:c>
      <x:c r="B30" s="47" t="str">
        <x:v>TRF-114</x:v>
      </x:c>
      <x:c r="C30" s="47" t="str">
        <x:v>thrusterIceImpactLoadedAreaEvidence</x:v>
      </x:c>
      <x:c r="D30" s="48" t="str">
        <x:v>https://w3id.org/nltl/vocab#thrusterIceImpactLoadedAreaEvidence</x:v>
      </x:c>
      <x:c r="E30" s="47" t="str">
        <x:v>ObjectProperty</x:v>
      </x:c>
      <x:c r="F30" s="47" t="str"/>
      <x:c r="G30" s="47" t="str">
        <x:v>https://w3id.org/nltl/vocab#evidenceArtifact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RUN-TRF-114-20260901T114242816801Z</x:v>
      </x:c>
      <x:c r="B31" s="47" t="str">
        <x:v>TRF-114</x:v>
      </x:c>
      <x:c r="C31" s="47" t="str">
        <x:v>thrusterImpactCaseAppliesToBody</x:v>
      </x:c>
      <x:c r="D31" s="48" t="str">
        <x:v>https://w3id.org/nltl/vocab#thrusterImpactCaseAppliesToBody</x:v>
      </x:c>
      <x:c r="E31" s="47" t="str">
        <x:v>ObjectProperty</x:v>
      </x:c>
      <x:c r="F31" s="47" t="str"/>
      <x:c r="G31" s="47" t="str">
        <x:v>https://w3id.org/nltl/vocab#thrusterBody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RUN-TRF-114-20260901T114242816801Z</x:v>
      </x:c>
      <x:c r="B32" s="47" t="str">
        <x:v>TRF-114</x:v>
      </x:c>
      <x:c r="C32" s="47" t="str">
        <x:v>thrusterResistanceCapacity</x:v>
      </x:c>
      <x:c r="D32" s="48" t="str">
        <x:v>https://w3id.org/nltl/vocab#thrusterResistanceCapacity</x:v>
      </x:c>
      <x:c r="E32" s="47" t="str">
        <x:v>QuantityProperty</x:v>
      </x:c>
      <x:c r="F32" s="47" t="str"/>
      <x:c r="G32" s="47" t="str">
        <x:v>http://qudt.org/schema/qudt/QuantityValue</x:v>
      </x:c>
      <x:c r="H32" s="47" t="str">
        <x:v>http://qudt.org/vocab/unit/KiloN</x:v>
      </x:c>
      <x:c r="I32" s="48" t="str">
        <x:v>linked by the locked 313-requirement index</x:v>
      </x:c>
      <x:c r="J32" s="47" t="n">
        <x:v>0</x:v>
      </x:c>
    </x:row>
    <x:row r="33">
      <x:c r="A33" s="47" t="str">
        <x:v>RUN-TRF-114-20260901T114242816801Z</x:v>
      </x:c>
      <x:c r="B33" s="47" t="str">
        <x:v>TRF-114</x:v>
      </x:c>
      <x:c r="C33" s="47" t="str">
        <x:v>traficomTable4Dash8</x:v>
      </x:c>
      <x:c r="D33" s="48" t="str">
        <x:v>https://w3id.org/nltl/vocab#traficomTable4Dash8</x:v>
      </x:c>
      <x:c r="E33" s="47" t="str">
        <x:v>NamedIndividual</x:v>
      </x:c>
      <x:c r="F33" s="47" t="str"/>
      <x:c r="G33" s="47" t="str">
        <x:v>https://w3id.org/nltl/vocab#tableReferenceValue</x:v>
      </x:c>
      <x:c r="H33" s="47" t="str"/>
      <x:c r="I33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33" s="47" t="n">
        <x:v>0</x:v>
      </x:c>
    </x:row>
    <x:row r="34">
      <x:c r="A34" s="47" t="str">
        <x:v>RUN-TRF-114-20260901T114242816801Z</x:v>
      </x:c>
      <x:c r="B34" s="47" t="str">
        <x:v>TRF-114</x:v>
      </x:c>
      <x:c r="C34" s="47" t="str">
        <x:v>traficomTable6Dash10</x:v>
      </x:c>
      <x:c r="D34" s="48" t="str">
        <x:v>https://w3id.org/nltl/vocab#traficomTable6Dash10</x:v>
      </x:c>
      <x:c r="E34" s="47" t="str">
        <x:v>NamedIndividual</x:v>
      </x:c>
      <x:c r="F34" s="47" t="str"/>
      <x:c r="G34" s="47" t="str">
        <x:v>https://w3id.org/nltl/vocab#tableReferenceValue</x:v>
      </x:c>
      <x:c r="H34" s="47" t="str"/>
      <x:c r="I34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34" s="47" t="n">
        <x:v>0</x:v>
      </x:c>
    </x:row>
    <x:row r="35">
      <x:c r="A35" s="47" t="str">
        <x:v>RUN-TRF-114-20260901T114242816801Z</x:v>
      </x:c>
      <x:c r="B35" s="47" t="str">
        <x:v>TRF-114</x:v>
      </x:c>
      <x:c r="C35" s="47" t="str">
        <x:v>traficomTable6Dash14</x:v>
      </x:c>
      <x:c r="D35" s="48" t="str">
        <x:v>https://w3id.org/nltl/vocab#traficomTable6Dash14</x:v>
      </x:c>
      <x:c r="E35" s="47" t="str">
        <x:v>NamedIndividual</x:v>
      </x:c>
      <x:c r="F35" s="47" t="str"/>
      <x:c r="G35" s="47" t="str">
        <x:v>https://w3id.org/nltl/vocab#tableReferenceValue</x:v>
      </x:c>
      <x:c r="H35" s="47" t="str"/>
      <x:c r="I35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35" s="47" t="n">
        <x:v>0</x:v>
      </x:c>
    </x:row>
    <x:row r="36">
      <x:c r="A36" s="47" t="str">
        <x:v>RUN-TRF-114-20260901T114242816801Z</x:v>
      </x:c>
      <x:c r="B36" s="47" t="str">
        <x:v>TRF-114</x:v>
      </x:c>
      <x:c r="C36" s="47" t="str">
        <x:v>traficomTable6Dash16Reference</x:v>
      </x:c>
      <x:c r="D36" s="48" t="str">
        <x:v>https://w3id.org/nltl/vocab#traficomTable6Dash16Reference</x:v>
      </x:c>
      <x:c r="E36" s="47" t="str">
        <x:v>NamedIndividual</x:v>
      </x:c>
      <x:c r="F36" s="47" t="str"/>
      <x:c r="G36" s="47" t="str">
        <x:v>https://w3id.org/nltl/vocab#tableReferenceValue</x:v>
      </x:c>
      <x:c r="H36" s="47" t="str"/>
      <x:c r="I36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traficomTable6Dash3Reference; linked by the locked 313-requirement index</x:v>
      </x:c>
      <x:c r="J36" s="47" t="n">
        <x:v>0</x:v>
      </x:c>
    </x:row>
    <x:row r="37">
      <x:c r="A37" s="47" t="str">
        <x:v>RUN-TRF-114-20260901T114242816801Z</x:v>
      </x:c>
      <x:c r="B37" s="47" t="str">
        <x:v>TRF-114</x:v>
      </x:c>
      <x:c r="C37" s="47" t="str">
        <x:v>traficomTable6Dash3Reference</x:v>
      </x:c>
      <x:c r="D37" s="48" t="str">
        <x:v>https://w3id.org/nltl/vocab#traficomTable6Dash3Reference</x:v>
      </x:c>
      <x:c r="E37" s="47" t="str">
        <x:v>NamedIndividual</x:v>
      </x:c>
      <x:c r="F37" s="47" t="str"/>
      <x:c r="G37" s="47" t="str">
        <x:v>https://w3id.org/nltl/vocab#tableReferenceValue</x:v>
      </x:c>
      <x:c r="H37" s="47" t="str"/>
      <x:c r="I37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traficomTable6Dash3Reference; linked by the locked 313-requirement index</x:v>
      </x:c>
      <x:c r="J37" s="47" t="n">
        <x:v>0</x:v>
      </x:c>
    </x:row>
    <x:row r="38">
      <x:c r="A38" s="47" t="str">
        <x:v>RUN-TRF-114-20260901T114242816801Z</x:v>
      </x:c>
      <x:c r="B38" s="47" t="str">
        <x:v>TRF-114</x:v>
      </x:c>
      <x:c r="C38" s="47" t="str">
        <x:v>traficomTable6Dash6</x:v>
      </x:c>
      <x:c r="D38" s="48" t="str">
        <x:v>https://w3id.org/nltl/vocab#traficomTable6Dash6</x:v>
      </x:c>
      <x:c r="E38" s="47" t="str">
        <x:v>NamedIndividual</x:v>
      </x:c>
      <x:c r="F38" s="47" t="str"/>
      <x:c r="G38" s="47" t="str">
        <x:v>https://w3id.org/nltl/vocab#tableReferenceValue</x:v>
      </x:c>
      <x:c r="H38" s="47" t="str"/>
      <x:c r="I38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38" s="47" t="n">
        <x:v>0</x:v>
      </x:c>
    </x:row>
    <x:row r="39">
      <x:c r="A39" s="47" t="str">
        <x:v>RUN-TRF-114-20260901T114242816801Z</x:v>
      </x:c>
      <x:c r="B39" s="47" t="str">
        <x:v>TRF-114</x:v>
      </x:c>
      <x:c r="C39" s="47" t="str">
        <x:v>traficomTable6Dash7</x:v>
      </x:c>
      <x:c r="D39" s="48" t="str">
        <x:v>https://w3id.org/nltl/vocab#traficomTable6Dash7</x:v>
      </x:c>
      <x:c r="E39" s="47" t="str">
        <x:v>NamedIndividual</x:v>
      </x:c>
      <x:c r="F39" s="47" t="str"/>
      <x:c r="G39" s="47" t="str">
        <x:v>https://w3id.org/nltl/vocab#tableReferenceValue</x:v>
      </x:c>
      <x:c r="H39" s="47" t="str"/>
      <x:c r="I39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39" s="47" t="n">
        <x:v>0</x:v>
      </x:c>
    </x:row>
    <x:row r="40">
      <x:c r="A40" s="47" t="str">
        <x:v>RUN-TRF-114-20260901T114242816801Z</x:v>
      </x:c>
      <x:c r="B40" s="47" t="str">
        <x:v>TRF-114</x:v>
      </x:c>
      <x:c r="C40" s="47" t="str">
        <x:v>traficomTable6Dash8</x:v>
      </x:c>
      <x:c r="D40" s="48" t="str">
        <x:v>https://w3id.org/nltl/vocab#traficomTable6Dash8</x:v>
      </x:c>
      <x:c r="E40" s="47" t="str">
        <x:v>NamedIndividual</x:v>
      </x:c>
      <x:c r="F40" s="47" t="str"/>
      <x:c r="G40" s="47" t="str">
        <x:v>https://w3id.org/nltl/vocab#tableReferenceValue</x:v>
      </x:c>
      <x:c r="H40" s="47" t="str"/>
      <x:c r="I40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40" s="47" t="n">
        <x:v>0</x:v>
      </x:c>
    </x:row>
    <x:row r="41">
      <x:c r="A41" s="49" t="str">
        <x:v>RUN-TRF-114-20260901T114242816801Z</x:v>
      </x:c>
      <x:c r="B41" s="49" t="str">
        <x:v>TRF-114</x:v>
      </x:c>
      <x:c r="C41" s="49" t="str">
        <x:v>traficomTable6Dash9</x:v>
      </x:c>
      <x:c r="D41" s="50" t="str">
        <x:v>https://w3id.org/nltl/vocab#traficomTable6Dash9</x:v>
      </x:c>
      <x:c r="E41" s="49" t="str">
        <x:v>NamedIndividual</x:v>
      </x:c>
      <x:c r="F41" s="49" t="str"/>
      <x:c r="G41" s="49" t="str">
        <x:v>https://w3id.org/nltl/vocab#tableReferenceValue</x:v>
      </x:c>
      <x:c r="H41" s="49" t="str"/>
      <x:c r="I41" s="50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4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e02ed554c16452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RUN-TRF-114-20260901T114242816801Z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RUN-TRF-114-20260901T114242816801Z</x:v>
      </x:c>
      <x:c r="B5" s="45" t="str">
        <x:v>TRF-114</x:v>
      </x:c>
      <x:c r="C5" s="45" t="str">
        <x:v>FS-COMPLEX-READINESS-01</x:v>
      </x:c>
      <x:c r="D5" s="45" t="str">
        <x:v>complex_readiness_external_calculation</x:v>
      </x:c>
      <x:c r="E5" s="92" t="n">
        <x:v>2.106667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RUN-TRF-114-20260901T114242816801Z</x:v>
      </x:c>
      <x:c r="B6" s="49" t="str">
        <x:v>TRF-114</x:v>
      </x:c>
      <x:c r="C6" s="49" t="str">
        <x:v>FS-COMPLEX-READINESS-02</x:v>
      </x:c>
      <x:c r="D6" s="49" t="str">
        <x:v>complex_readiness_with_direct_residual_check</x:v>
      </x:c>
      <x:c r="E6" s="93" t="n">
        <x:v>2.049383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46e61d1860649f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RUN-TRF-114-20260901T114242816801Z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RUN-TRF-114-20260901T114242816801Z</x:v>
      </x:c>
      <x:c r="B5" s="69" t="str">
        <x:v>TRF-114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https://w3id.org/nltl/vocab#contactGeometryClassification | https://w3id.org/nltl/vocab#contactGeometryCorrespondenceEvidence | https://w3id.org/nltl/vocab#designIceBlockTableReference | https://w3id.org/nltl/vocab#equivalentImpactSphereRadius | https://w3id.org/nltl/vocab#evidenceArtifact | https://w3id.org/nltl/vocab#hasThrusterIceImpactLoadCase | https://w3id.org/nltl/vocab#hemisphericalContactGeometry | https://w3id.org/nltl/vocab#iceOperatingSpeed | https://w3id.org/nltl/vocab#impactLoadCaseTableReference | https://w3id.org/nltl/vocab#nonHemisphericalContactGeometry | https://w3id.org/nltl/vocab#ship | https://w3id.org/nltl/vocab#thrusterBody | https://w3id.org/nltl/vocab#thrusterIceImpactDemand | https://w3id.org/nltl/vocab#thrusterIceImpactLoad | https://w3id.org/nltl/vocab#thrusterIceImpactLoadCase | https://w3id.org/nltl/vocab#thrusterIceImpactLoadedAreaEvidence | https://w3id.org/nltl/vocab#thrusterImpactCaseAppliesToBody | https://w3id.org/nltl/vocab#thrusterResistanceCapacity | https://w3id.org/nltl/vocab#traficomTable6Dash16Reference | https://w3id.org/nltl/vocab#traficomTable6Dash3Reference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5651d4c7c0042d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RUN-TRF-114-20260901T114242816801Z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RUN-TRF-114-20260901T114242816801Z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RUN-TRF-114-20260901T114242816801Z</x:v>
      </x:c>
      <x:c r="B5" s="45" t="str">
        <x:v>TRF-114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f08a23cc6bcf79bab5c776acae877bf95ce2c33396971620f6e51c46c6d41e6c</x:v>
      </x:c>
      <x:c r="G5" s="58" t="n">
        <x:v>52452</x:v>
      </x:c>
    </x:row>
    <x:row r="6">
      <x:c r="A6" s="47" t="str">
        <x:v>RUN-TRF-114-20260901T114242816801Z</x:v>
      </x:c>
      <x:c r="B6" s="47" t="str">
        <x:v>TRF-114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d92bb540685390268f52d83041ae57813bedb285d9a5387dd873ea2270c58a6e</x:v>
      </x:c>
      <x:c r="G6" s="59" t="n">
        <x:v>6555</x:v>
      </x:c>
    </x:row>
    <x:row r="7">
      <x:c r="A7" s="47" t="str">
        <x:v>RUN-TRF-114-20260901T114242816801Z</x:v>
      </x:c>
      <x:c r="B7" s="47" t="str">
        <x:v>TRF-114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081716801f9fbbdf3d82e1b0a40004c38a2c8d9b909d129e3dfc027616e869d1</x:v>
      </x:c>
      <x:c r="G7" s="59" t="n">
        <x:v>70651</x:v>
      </x:c>
    </x:row>
    <x:row r="8">
      <x:c r="A8" s="47" t="str">
        <x:v>RUN-TRF-114-20260901T114242816801Z</x:v>
      </x:c>
      <x:c r="B8" s="47" t="str">
        <x:v>TRF-114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b3e55e977cf469093dc08c864d5982bd1667905411415deb8c1b18ecedc2dd7a</x:v>
      </x:c>
      <x:c r="G8" s="59" t="n">
        <x:v>6693</x:v>
      </x:c>
    </x:row>
    <x:row r="9">
      <x:c r="A9" s="47" t="str">
        <x:v>RUN-TRF-114-20260901T114242816801Z</x:v>
      </x:c>
      <x:c r="B9" s="47" t="str">
        <x:v>TRF-114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7595b107dbc1a510e7ee7e2404366d4ad29e364a98ade79faf4ca999f121add6</x:v>
      </x:c>
      <x:c r="G9" s="59" t="n">
        <x:v>6668</x:v>
      </x:c>
    </x:row>
    <x:row r="10">
      <x:c r="A10" s="49" t="str">
        <x:v>RUN-TRF-114-20260901T114242816801Z</x:v>
      </x:c>
      <x:c r="B10" s="49" t="str">
        <x:v>TRF-114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266cf6c39978c51733f683662ddd87213300b3a757819a5418b8cfa950e8f32f</x:v>
      </x:c>
      <x:c r="G10" s="60" t="n">
        <x:v>2064</x:v>
      </x:c>
    </x:row>
  </x:sheetData>
  <x:pageMargins left="0.7" right="0.7" top="0.75" bottom="0.75" header="0.3" footer="0.3"/>
  <x:tableParts count="1">
    <x:tablePart xmlns:r="http://schemas.openxmlformats.org/officeDocument/2006/relationships" r:id="R46d027210fbf4f4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RUN-TRF-114-20260901T114242816801Z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RUN-TRF-114-20260901T114242816801Z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