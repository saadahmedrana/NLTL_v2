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c274acf41f4a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b6df41689014e2d"/>
    <x:sheet xmlns:r="http://schemas.openxmlformats.org/officeDocument/2006/relationships" name="README" sheetId="2" r:id="Rdf67c768a1db447a"/>
    <x:sheet xmlns:r="http://schemas.openxmlformats.org/officeDocument/2006/relationships" name="REGULATION_QUEUE" sheetId="3" r:id="R73823b00543f4400"/>
    <x:sheet xmlns:r="http://schemas.openxmlformats.org/officeDocument/2006/relationships" name="RUNS" sheetId="4" r:id="Rcaac9c5c475b456b"/>
    <x:sheet xmlns:r="http://schemas.openxmlformats.org/officeDocument/2006/relationships" name="ITERATIONS" sheetId="5" r:id="R62f21ef0303547ae"/>
    <x:sheet xmlns:r="http://schemas.openxmlformats.org/officeDocument/2006/relationships" name="API_CALLS" sheetId="6" r:id="Raba39b2d355d47a8"/>
    <x:sheet xmlns:r="http://schemas.openxmlformats.org/officeDocument/2006/relationships" name="TERM_RETRIEVAL" sheetId="7" r:id="Rde7df9a9e3d44dc9"/>
    <x:sheet xmlns:r="http://schemas.openxmlformats.org/officeDocument/2006/relationships" name="FEW_SHOT_SELECTION" sheetId="8" r:id="R5cf7df5badcf46a7"/>
    <x:sheet xmlns:r="http://schemas.openxmlformats.org/officeDocument/2006/relationships" name="VALIDATION" sheetId="9" r:id="R2b0b4ee3b1a944cf"/>
    <x:sheet xmlns:r="http://schemas.openxmlformats.org/officeDocument/2006/relationships" name="VOCAB_MATCHES" sheetId="10" r:id="R20e20db5e93047b7"/>
    <x:sheet xmlns:r="http://schemas.openxmlformats.org/officeDocument/2006/relationships" name="ARTIFACTS" sheetId="11" r:id="Rba21a1b52cb143df"/>
    <x:sheet xmlns:r="http://schemas.openxmlformats.org/officeDocument/2006/relationships" name="UNRESOLVED" sheetId="12" r:id="R559646311a264437"/>
    <x:sheet xmlns:r="http://schemas.openxmlformats.org/officeDocument/2006/relationships" name="RDF_TEST_QUEUE" sheetId="13" r:id="R16755fb3bac44a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eb6292cc6b4c82" /><Relationship Type="http://schemas.openxmlformats.org/officeDocument/2006/relationships/theme" Target="/xl/theme/theme1.xml" Id="R5c3efa652c654155" /><Relationship Type="http://schemas.microsoft.com/office/2022/11/relationships/FeaturePropertyBag" Target="/xl/featurePropertyBag/featurePropertyBag.xml" Id="R56eae9f4211c4c33" /><Relationship Type="http://schemas.openxmlformats.org/officeDocument/2006/relationships/sharedStrings" Target="/xl/sharedStrings.xml" Id="R6d7efe5dfdf34228" /><Relationship Type="http://schemas.openxmlformats.org/officeDocument/2006/relationships/worksheet" Target="/xl/worksheets/sheet1.xml" Id="Rdb6df41689014e2d" /><Relationship Type="http://schemas.openxmlformats.org/officeDocument/2006/relationships/worksheet" Target="/xl/worksheets/sheet2.xml" Id="Rdf67c768a1db447a" /><Relationship Type="http://schemas.openxmlformats.org/officeDocument/2006/relationships/worksheet" Target="/xl/worksheets/sheet3.xml" Id="R73823b00543f4400" /><Relationship Type="http://schemas.openxmlformats.org/officeDocument/2006/relationships/worksheet" Target="/xl/worksheets/sheet4.xml" Id="Rcaac9c5c475b456b" /><Relationship Type="http://schemas.openxmlformats.org/officeDocument/2006/relationships/worksheet" Target="/xl/worksheets/sheet5.xml" Id="R62f21ef0303547ae" /><Relationship Type="http://schemas.openxmlformats.org/officeDocument/2006/relationships/worksheet" Target="/xl/worksheets/sheet6.xml" Id="Raba39b2d355d47a8" /><Relationship Type="http://schemas.openxmlformats.org/officeDocument/2006/relationships/worksheet" Target="/xl/worksheets/sheet7.xml" Id="Rde7df9a9e3d44dc9" /><Relationship Type="http://schemas.openxmlformats.org/officeDocument/2006/relationships/worksheet" Target="/xl/worksheets/sheet8.xml" Id="R5cf7df5badcf46a7" /><Relationship Type="http://schemas.openxmlformats.org/officeDocument/2006/relationships/worksheet" Target="/xl/worksheets/sheet9.xml" Id="R2b0b4ee3b1a944cf" /><Relationship Type="http://schemas.openxmlformats.org/officeDocument/2006/relationships/worksheet" Target="/xl/worksheets/sheet10.xml" Id="R20e20db5e93047b7" /><Relationship Type="http://schemas.openxmlformats.org/officeDocument/2006/relationships/worksheet" Target="/xl/worksheets/sheet11.xml" Id="Rba21a1b52cb143df" /><Relationship Type="http://schemas.openxmlformats.org/officeDocument/2006/relationships/worksheet" Target="/xl/worksheets/sheet12.xml" Id="R559646311a264437" /><Relationship Type="http://schemas.openxmlformats.org/officeDocument/2006/relationships/worksheet" Target="/xl/worksheets/sheet13.xml" Id="R16755fb3bac44af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a449a031854422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8eb0c0151da4b0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253a51a2d654f4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90ad284fe324e1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c9830e2f9ab48e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3936d2bb2bb421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43a105772a242e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3d3b0779adf445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a182d65c094414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RUN-I2-050-20260901T140534576833Z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15094.34325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RUN-I2-050-20260901T140534576833Z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a449a031854422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RUN-I2-050-20260901T140534576833Z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NO_SEMANTIC_VALIDATOR_DETERMINISTIC_PASS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eb0c0151da4b0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RUN-I2-050-20260901T140534576833Z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RUN-I2-050-20260901T140534576833Z</x:v>
      </x:c>
      <x:c r="C5" s="69" t="str">
        <x:v>I2-050</x:v>
      </x:c>
      <x:c r="D5" s="70" t="n">
        <x:v>46266.58720576389</x:v>
      </x:c>
      <x:c r="E5" s="70" t="n">
        <x:v>46266.587558645835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53a51a2d654f4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RUN-I2-050-20260901T140534576833Z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RUN-I2-050-20260901T140534576833Z</x:v>
      </x:c>
      <x:c r="B5" s="69" t="str">
        <x:v>I2-050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19122.878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0ad284fe324e1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RUN-I2-050-20260901T140534576833Z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RUN-I2-050-20260901T140534576833Z</x:v>
      </x:c>
      <x:c r="C5" s="45" t="str">
        <x:v>I2-050</x:v>
      </x:c>
      <x:c r="D5" s="88" t="n">
        <x:v>46266.587427094906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19121.53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RUN-I2-050-20260901T140534576833Z</x:v>
      </x:c>
      <x:c r="C6" s="47" t="str">
        <x:v>I2-050</x:v>
      </x:c>
      <x:c r="D6" s="91" t="n">
        <x:v>46266.58742711806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19122.878</x:v>
      </x:c>
      <x:c r="L6" s="93" t="b">
        <x:v>0</x:v>
      </x:c>
      <x:c r="M6" s="47" t="str">
        <x:v>resp_0ea40e115842f996006a96dbaeb2bc8190a1d7fa8c8c058502</x:v>
      </x:c>
      <x:c r="N6" s="59" t="n">
        <x:v>10113</x:v>
      </x:c>
      <x:c r="O6" s="59" t="n">
        <x:v>2230</x:v>
      </x:c>
      <x:c r="P6" s="59" t="n">
        <x:v>12343</x:v>
      </x:c>
    </x:row>
    <x:row r="7">
      <x:c r="A7" s="47" t="str">
        <x:v>EVT-000030</x:v>
      </x:c>
      <x:c r="B7" s="47" t="str">
        <x:v>RUN-I2-050-20260901T140534576833Z</x:v>
      </x:c>
      <x:c r="C7" s="47" t="str">
        <x:v>I2-050</x:v>
      </x:c>
      <x:c r="D7" s="91" t="n">
        <x:v>46266.5875553125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11065.595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EVT-000031</x:v>
      </x:c>
      <x:c r="B8" s="49" t="str">
        <x:v>RUN-I2-050-20260901T140534576833Z</x:v>
      </x:c>
      <x:c r="C8" s="49" t="str">
        <x:v>I2-050</x:v>
      </x:c>
      <x:c r="D8" s="94" t="n">
        <x:v>46266.587555335645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11067.37</x:v>
      </x:c>
      <x:c r="L8" s="96" t="b">
        <x:v>0</x:v>
      </x:c>
      <x:c r="M8" s="49" t="str">
        <x:v>resp_069b1b2c4b8dd8bd006a96dbc1d4d08194bff5d5419e907d0a</x:v>
      </x:c>
      <x:c r="N8" s="60" t="n">
        <x:v>2408</x:v>
      </x:c>
      <x:c r="O8" s="60" t="n">
        <x:v>1749</x:v>
      </x:c>
      <x:c r="P8" s="60" t="n">
        <x:v>4157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9830e2f9ab48e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RUN-I2-050-20260901T140534576833Z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RUN-I2-050-20260901T140534576833Z</x:v>
      </x:c>
      <x:c r="B5" s="45" t="str">
        <x:v>I2-050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stemAngle</x:v>
      </x:c>
      <x:c r="J5" s="45" t="n">
        <x:v>0</x:v>
      </x:c>
    </x:row>
    <x:row r="6">
      <x:c r="A6" s="47" t="str">
        <x:v>RUN-I2-050-20260901T140534576833Z</x:v>
      </x:c>
      <x:c r="B6" s="47" t="str">
        <x:v>I2-050</x:v>
      </x:c>
      <x:c r="C6" s="47" t="str">
        <x:v>crushingFailureClassFactor</x:v>
      </x:c>
      <x:c r="D6" s="48" t="str">
        <x:v>https://w3id.org/nltl/vocab#crushingFailureClassFactor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RUN-I2-050-20260901T140534576833Z</x:v>
      </x:c>
      <x:c r="B7" s="47" t="str">
        <x:v>I2-050</x:v>
      </x:c>
      <x:c r="C7" s="47" t="str">
        <x:v>designVerticalIceForceAtBow</x:v>
      </x:c>
      <x:c r="D7" s="48" t="str">
        <x:v>https://w3id.org/nltl/vocab#designVerticalIceForceAtBow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http://qudt.org/vocab/unit/MegaN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RUN-I2-050-20260901T140534576833Z</x:v>
      </x:c>
      <x:c r="B8" s="47" t="str">
        <x:v>I2-050</x:v>
      </x:c>
      <x:c r="C8" s="47" t="str">
        <x:v>designVerticalIceForceAtBowCandidateOne</x:v>
      </x:c>
      <x:c r="D8" s="48" t="str">
        <x:v>https://w3id.org/nltl/vocab#designVerticalIceForceAtBowCandidateOne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http://qudt.org/vocab/unit/MegaN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RUN-I2-050-20260901T140534576833Z</x:v>
      </x:c>
      <x:c r="B9" s="47" t="str">
        <x:v>I2-050</x:v>
      </x:c>
      <x:c r="C9" s="47" t="str">
        <x:v>designVerticalIceForceAtBowCandidateTwo</x:v>
      </x:c>
      <x:c r="D9" s="48" t="str">
        <x:v>https://w3id.org/nltl/vocab#designVerticalIceForceAtBowCandidateTwo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http://qudt.org/vocab/unit/MegaN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RUN-I2-050-20260901T140534576833Z</x:v>
      </x:c>
      <x:c r="B10" s="47" t="str">
        <x:v>I2-050</x:v>
      </x:c>
      <x:c r="C10" s="47" t="str">
        <x:v>flexuralFailureClassFactor</x:v>
      </x:c>
      <x:c r="D10" s="48" t="str">
        <x:v>https://w3id.org/nltl/vocab#flexuralFailureClassFactor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RUN-I2-050-20260901T140534576833Z</x:v>
      </x:c>
      <x:c r="B11" s="47" t="str">
        <x:v>I2-050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RUN-I2-050-20260901T140534576833Z</x:v>
      </x:c>
      <x:c r="B12" s="47" t="str">
        <x:v>I2-050</x:v>
      </x:c>
      <x:c r="C12" s="47" t="str">
        <x:v>hasTableLookupCase</x:v>
      </x:c>
      <x:c r="D12" s="48" t="str">
        <x:v>https://w3id.org/nltl/vocab#hasTableLookupCase</x:v>
      </x:c>
      <x:c r="E12" s="47" t="str">
        <x:v>ObjectProperty</x:v>
      </x:c>
      <x:c r="F12" s="47" t="str"/>
      <x:c r="G12" s="47" t="str">
        <x:v>https://w3id.org/nltl/vocab#tableLookupCase</x:v>
      </x:c>
      <x:c r="H12" s="47" t="str"/>
      <x:c r="I12" s="48" t="str">
        <x:v>canonical path from target owner ship to required owner tableLookupCase</x:v>
      </x:c>
      <x:c r="J12" s="47" t="n">
        <x:v>0</x:v>
      </x:c>
    </x:row>
    <x:row r="13">
      <x:c r="A13" s="47" t="str">
        <x:v>RUN-I2-050-20260901T140534576833Z</x:v>
      </x:c>
      <x:c r="B13" s="47" t="str">
        <x:v>I2-050</x:v>
      </x:c>
      <x:c r="C13" s="47" t="str">
        <x:v>hullFormCoefficientKh</x:v>
      </x:c>
      <x:c r="D13" s="48" t="str">
        <x:v>https://w3id.org/nltl/vocab#hullFormCoefficientKh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RUN-I2-050-20260901T140534576833Z</x:v>
      </x:c>
      <x:c r="B14" s="47" t="str">
        <x:v>I2-050</x:v>
      </x:c>
      <x:c r="C14" s="47" t="str">
        <x:v>iceStrengthCoefficientKI</x:v>
      </x:c>
      <x:c r="D14" s="48" t="str">
        <x:v>https://w3id.org/nltl/vocab#iceStrengthCoefficientKI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RUN-I2-050-20260901T140534576833Z</x:v>
      </x:c>
      <x:c r="B15" s="47" t="str">
        <x:v>I2-050</x:v>
      </x:c>
      <x:c r="C15" s="47" t="str">
        <x:v>longitudinalStrengthClassFactor</x:v>
      </x:c>
      <x:c r="D15" s="48" t="str">
        <x:v>https://w3id.org/nltl/vocab#longitudinalStrengthClassFactor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RUN-I2-050-20260901T140534576833Z</x:v>
      </x:c>
      <x:c r="B16" s="47" t="str">
        <x:v>I2-050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designVerticalIceForceAtBow; domain dependency of designVerticalIceForceAtBowCandidateOne; domain dependency of designVerticalIceForceAtBowCandidateTwo; domain dependency of hullFormCoefficientKh; domain dependency of iceStrengthCoefficientKI; domain dependency of upperIceWaterlineDraughtDUI</x:v>
      </x:c>
      <x:c r="J16" s="47" t="n">
        <x:v>0</x:v>
      </x:c>
    </x:row>
    <x:row r="17">
      <x:c r="A17" s="47" t="str">
        <x:v>RUN-I2-050-20260901T140534576833Z</x:v>
      </x:c>
      <x:c r="B17" s="47" t="str">
        <x:v>I2-050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RUN-I2-050-20260901T140534576833Z</x:v>
      </x:c>
      <x:c r="B18" s="47" t="str">
        <x:v>I2-050</x:v>
      </x:c>
      <x:c r="C18" s="47" t="str">
        <x:v>stemAngle</x:v>
      </x:c>
      <x:c r="D18" s="48" t="str">
        <x:v>https://w3id.org/nltl/vocab#stemAngle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http://qudt.org/vocab/unit/DEG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RUN-I2-050-20260901T140534576833Z</x:v>
      </x:c>
      <x:c r="B19" s="47" t="str">
        <x:v>I2-050</x:v>
      </x:c>
      <x:c r="C19" s="47" t="str">
        <x:v>tableLookupCase</x:v>
      </x:c>
      <x:c r="D19" s="48" t="str">
        <x:v>https://w3id.org/nltl/vocab#tableLookupCase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authoritative required owner class; domain dependency of crushingFailureClassFactor; domain dependency of flexuralFailureClassFactor; domain dependency of longitudinalStrengthClassFactor</x:v>
      </x:c>
      <x:c r="J19" s="47" t="n">
        <x:v>0</x:v>
      </x:c>
    </x:row>
    <x:row r="20">
      <x:c r="A20" s="49" t="str">
        <x:v>RUN-I2-050-20260901T140534576833Z</x:v>
      </x:c>
      <x:c r="B20" s="49" t="str">
        <x:v>I2-050</x:v>
      </x:c>
      <x:c r="C20" s="49" t="str">
        <x:v>upperIceWaterlineDraughtDUI</x:v>
      </x:c>
      <x:c r="D20" s="50" t="str">
        <x:v>https://w3id.org/nltl/vocab#upperIceWaterlineDraughtDUI</x:v>
      </x:c>
      <x:c r="E20" s="49" t="str">
        <x:v>QuantityProperty</x:v>
      </x:c>
      <x:c r="F20" s="49" t="str"/>
      <x:c r="G20" s="49" t="str">
        <x:v>http://qudt.org/schema/qudt/QuantityValue</x:v>
      </x:c>
      <x:c r="H20" s="49" t="str">
        <x:v>http://qudt.org/vocab/unit/M</x:v>
      </x:c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3936d2bb2bb421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RUN-I2-050-20260901T140534576833Z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RUN-I2-050-20260901T140534576833Z</x:v>
      </x:c>
      <x:c r="B5" s="45" t="str">
        <x:v>I2-050</x:v>
      </x:c>
      <x:c r="C5" s="45" t="str">
        <x:v>FS-COMPLEX-READINESS-01</x:v>
      </x:c>
      <x:c r="D5" s="45" t="str">
        <x:v>complex_readiness_external_calculation</x:v>
      </x:c>
      <x:c r="E5" s="99" t="n">
        <x:v>2.142857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RUN-I2-050-20260901T140534576833Z</x:v>
      </x:c>
      <x:c r="B6" s="49" t="str">
        <x:v>I2-050</x:v>
      </x:c>
      <x:c r="C6" s="49" t="str">
        <x:v>FS-COMPLEX-READINESS-02</x:v>
      </x:c>
      <x:c r="D6" s="49" t="str">
        <x:v>complex_readiness_with_direct_residual_check</x:v>
      </x:c>
      <x:c r="E6" s="100" t="n">
        <x:v>2.064516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3a105772a242e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RUN-I2-050-20260901T140534576833Z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RUN-I2-050-20260901T140534576833Z</x:v>
      </x:c>
      <x:c r="B5" s="69" t="str">
        <x:v>I2-050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https://w3id.org/nltl/vocab#crushingFailureClassFactor | https://w3id.org/nltl/vocab#designVerticalIceForceAtBow | https://w3id.org/nltl/vocab#designVerticalIceForceAtBowCandidateOne | https://w3id.org/nltl/vocab#designVerticalIceForceAtBowCandidateTwo | https://w3id.org/nltl/vocab#flexuralFailureClassFactor | https://w3id.org/nltl/vocab#hasTableLookupCase | https://w3id.org/nltl/vocab#hullFormCoefficientKh | https://w3id.org/nltl/vocab#iceStrengthCoefficientKI | https://w3id.org/nltl/vocab#longitudinalStrengthClassFactor | https://w3id.org/nltl/vocab#ship | https://w3id.org/nltl/vocab#stemAngle | https://w3id.org/nltl/vocab#tableLookupCase | https://w3id.org/nltl/vocab#upperIceWaterlineDraughtDUI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3d3b0779adf445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RUN-I2-050-20260901T140534576833Z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RUN-I2-050-20260901T140534576833Z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RUN-I2-050-20260901T140534576833Z</x:v>
      </x:c>
      <x:c r="B5" s="45" t="str">
        <x:v>I2-050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eb9f5743868fdc7f4e179770a025984777b6a2f085833dcdf0831e6184e1a8cf</x:v>
      </x:c>
      <x:c r="G5" s="58" t="n">
        <x:v>23373</x:v>
      </x:c>
    </x:row>
    <x:row r="6">
      <x:c r="A6" s="47" t="str">
        <x:v>RUN-I2-050-20260901T140534576833Z</x:v>
      </x:c>
      <x:c r="B6" s="47" t="str">
        <x:v>I2-050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b4eab162cfb8f1d1ca2258169afba70c8d3a7cebb97d46187375cc74c30202f7</x:v>
      </x:c>
      <x:c r="G6" s="59" t="n">
        <x:v>6555</x:v>
      </x:c>
    </x:row>
    <x:row r="7">
      <x:c r="A7" s="47" t="str">
        <x:v>RUN-I2-050-20260901T140534576833Z</x:v>
      </x:c>
      <x:c r="B7" s="47" t="str">
        <x:v>I2-050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36fe2044ed02be6c3e08cfda28ef923242e874cd56dda6447875551c4b43cb64</x:v>
      </x:c>
      <x:c r="G7" s="59" t="n">
        <x:v>41572</x:v>
      </x:c>
    </x:row>
    <x:row r="8">
      <x:c r="A8" s="47" t="str">
        <x:v>RUN-I2-050-20260901T140534576833Z</x:v>
      </x:c>
      <x:c r="B8" s="47" t="str">
        <x:v>I2-050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e9114df28d41f62623aeec931f0a5ed0d3e203d638fadc2e06d51a6a733348ea</x:v>
      </x:c>
      <x:c r="G8" s="59" t="n">
        <x:v>7601</x:v>
      </x:c>
    </x:row>
    <x:row r="9">
      <x:c r="A9" s="47" t="str">
        <x:v>RUN-I2-050-20260901T140534576833Z</x:v>
      </x:c>
      <x:c r="B9" s="47" t="str">
        <x:v>I2-050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0d8b7b4453976bda93fef6592b77c822917457f1022b4b8bfe69660390085d55</x:v>
      </x:c>
      <x:c r="G9" s="59" t="n">
        <x:v>8998</x:v>
      </x:c>
    </x:row>
    <x:row r="10">
      <x:c r="A10" s="47" t="str">
        <x:v>RUN-I2-050-20260901T140534576833Z</x:v>
      </x:c>
      <x:c r="B10" s="47" t="str">
        <x:v>I2-050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282ed54a8354dca823b30f708c11ea94366233bbdac99753d719d05adfe8d23d</x:v>
      </x:c>
      <x:c r="G10" s="59" t="n">
        <x:v>7548</x:v>
      </x:c>
    </x:row>
    <x:row r="11">
      <x:c r="A11" s="47" t="str">
        <x:v>RUN-I2-050-20260901T140534576833Z</x:v>
      </x:c>
      <x:c r="B11" s="47" t="str">
        <x:v>I2-050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e5497b80e54ca3b11a9bafb5959e34bd784dc41f0bc8ce7b129277b9eb24d49f</x:v>
      </x:c>
      <x:c r="G11" s="59" t="n">
        <x:v>7523</x:v>
      </x:c>
    </x:row>
    <x:row r="12">
      <x:c r="A12" s="49" t="str">
        <x:v>RUN-I2-050-20260901T140534576833Z</x:v>
      </x:c>
      <x:c r="B12" s="49" t="str">
        <x:v>I2-050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e952cd776dcc9df4913833342e839f721a431562bacfbe62999041a87037c585</x:v>
      </x:c>
      <x:c r="G12" s="60" t="n">
        <x:v>1600</x:v>
      </x:c>
    </x:row>
  </x:sheetData>
  <x:pageMargins left="0.7" right="0.7" top="0.75" bottom="0.75" header="0.3" footer="0.3"/>
  <x:tableParts count="1">
    <x:tablePart xmlns:r="http://schemas.openxmlformats.org/officeDocument/2006/relationships" r:id="R9a182d65c094414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RUN-I2-050-20260901T140534576833Z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RUN-I2-050-20260901T140534576833Z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