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847b2ecb6a46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fb3eb137b65495f"/>
    <x:sheet xmlns:r="http://schemas.openxmlformats.org/officeDocument/2006/relationships" name="README" sheetId="2" r:id="Rc7412c83238647c9"/>
    <x:sheet xmlns:r="http://schemas.openxmlformats.org/officeDocument/2006/relationships" name="REGULATION_QUEUE" sheetId="3" r:id="Rd41c8c4e88304230"/>
    <x:sheet xmlns:r="http://schemas.openxmlformats.org/officeDocument/2006/relationships" name="RUNS" sheetId="4" r:id="R6d1f8bcfe19341a4"/>
    <x:sheet xmlns:r="http://schemas.openxmlformats.org/officeDocument/2006/relationships" name="ITERATIONS" sheetId="5" r:id="R8100183acdde4574"/>
    <x:sheet xmlns:r="http://schemas.openxmlformats.org/officeDocument/2006/relationships" name="API_CALLS" sheetId="6" r:id="R217231b3155545ad"/>
    <x:sheet xmlns:r="http://schemas.openxmlformats.org/officeDocument/2006/relationships" name="TERM_RETRIEVAL" sheetId="7" r:id="R577045c1841342e0"/>
    <x:sheet xmlns:r="http://schemas.openxmlformats.org/officeDocument/2006/relationships" name="FEW_SHOT_SELECTION" sheetId="8" r:id="R72cbc61106fa4891"/>
    <x:sheet xmlns:r="http://schemas.openxmlformats.org/officeDocument/2006/relationships" name="VALIDATION" sheetId="9" r:id="Re9f91e4668fb4ce6"/>
    <x:sheet xmlns:r="http://schemas.openxmlformats.org/officeDocument/2006/relationships" name="VOCAB_MATCHES" sheetId="10" r:id="R2284ab0974a0421b"/>
    <x:sheet xmlns:r="http://schemas.openxmlformats.org/officeDocument/2006/relationships" name="ARTIFACTS" sheetId="11" r:id="R323e3b51566a44c5"/>
    <x:sheet xmlns:r="http://schemas.openxmlformats.org/officeDocument/2006/relationships" name="UNRESOLVED" sheetId="12" r:id="Rb5bc8df2185e442e"/>
    <x:sheet xmlns:r="http://schemas.openxmlformats.org/officeDocument/2006/relationships" name="RDF_TEST_QUEUE" sheetId="13" r:id="Rd47c6df7b46744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f7cc02189d479b" /><Relationship Type="http://schemas.openxmlformats.org/officeDocument/2006/relationships/theme" Target="/xl/theme/theme1.xml" Id="R746f20b645f04bb2" /><Relationship Type="http://schemas.microsoft.com/office/2022/11/relationships/FeaturePropertyBag" Target="/xl/featurePropertyBag/featurePropertyBag.xml" Id="R173e985cf3504222" /><Relationship Type="http://schemas.openxmlformats.org/officeDocument/2006/relationships/sharedStrings" Target="/xl/sharedStrings.xml" Id="R46780288613547df" /><Relationship Type="http://schemas.openxmlformats.org/officeDocument/2006/relationships/worksheet" Target="/xl/worksheets/sheet1.xml" Id="R1fb3eb137b65495f" /><Relationship Type="http://schemas.openxmlformats.org/officeDocument/2006/relationships/worksheet" Target="/xl/worksheets/sheet2.xml" Id="Rc7412c83238647c9" /><Relationship Type="http://schemas.openxmlformats.org/officeDocument/2006/relationships/worksheet" Target="/xl/worksheets/sheet3.xml" Id="Rd41c8c4e88304230" /><Relationship Type="http://schemas.openxmlformats.org/officeDocument/2006/relationships/worksheet" Target="/xl/worksheets/sheet4.xml" Id="R6d1f8bcfe19341a4" /><Relationship Type="http://schemas.openxmlformats.org/officeDocument/2006/relationships/worksheet" Target="/xl/worksheets/sheet5.xml" Id="R8100183acdde4574" /><Relationship Type="http://schemas.openxmlformats.org/officeDocument/2006/relationships/worksheet" Target="/xl/worksheets/sheet6.xml" Id="R217231b3155545ad" /><Relationship Type="http://schemas.openxmlformats.org/officeDocument/2006/relationships/worksheet" Target="/xl/worksheets/sheet7.xml" Id="R577045c1841342e0" /><Relationship Type="http://schemas.openxmlformats.org/officeDocument/2006/relationships/worksheet" Target="/xl/worksheets/sheet8.xml" Id="R72cbc61106fa4891" /><Relationship Type="http://schemas.openxmlformats.org/officeDocument/2006/relationships/worksheet" Target="/xl/worksheets/sheet9.xml" Id="Re9f91e4668fb4ce6" /><Relationship Type="http://schemas.openxmlformats.org/officeDocument/2006/relationships/worksheet" Target="/xl/worksheets/sheet10.xml" Id="R2284ab0974a0421b" /><Relationship Type="http://schemas.openxmlformats.org/officeDocument/2006/relationships/worksheet" Target="/xl/worksheets/sheet11.xml" Id="R323e3b51566a44c5" /><Relationship Type="http://schemas.openxmlformats.org/officeDocument/2006/relationships/worksheet" Target="/xl/worksheets/sheet12.xml" Id="Rb5bc8df2185e442e" /><Relationship Type="http://schemas.openxmlformats.org/officeDocument/2006/relationships/worksheet" Target="/xl/worksheets/sheet13.xml" Id="Rd47c6df7b467440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c18953ad2b47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87e835e01d446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ee4a13f492a407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5d5147642b5438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de5b1dab0c7434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36f22801071493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d1dc1d717394e8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f09faf6288746a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c4f568091c941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RUN-TRF-022-20260901T150803702211Z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23103.774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RUN-TRF-022-20260901T150803702211Z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6c18953ad2b474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RUN-TRF-022-20260901T150803702211Z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NO_SEMANTIC_VALIDATOR_DETERMINISTIC_PASS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7e835e01d446d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RUN-TRF-022-20260901T150803702211Z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RUN-TRF-022-20260901T150803702211Z</x:v>
      </x:c>
      <x:c r="C5" s="69" t="str">
        <x:v>TRF-022</x:v>
      </x:c>
      <x:c r="D5" s="70" t="n">
        <x:v>46266.630598414355</x:v>
      </x:c>
      <x:c r="E5" s="70" t="n">
        <x:v>46266.63086945602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e4a13f492a407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RUN-TRF-022-20260901T150803702211Z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RUN-TRF-022-20260901T150803702211Z</x:v>
      </x:c>
      <x:c r="B5" s="69" t="str">
        <x:v>TRF-022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23104.598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d5147642b5438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RUN-TRF-022-20260901T150803702211Z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RUN-TRF-022-20260901T150803702211Z</x:v>
      </x:c>
      <x:c r="C5" s="45" t="str">
        <x:v>TRF-022</x:v>
      </x:c>
      <x:c r="D5" s="84" t="n">
        <x:v>46266.63086583334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23102.95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RUN-TRF-022-20260901T150803702211Z</x:v>
      </x:c>
      <x:c r="C6" s="49" t="str">
        <x:v>TRF-022</x:v>
      </x:c>
      <x:c r="D6" s="87" t="n">
        <x:v>46266.63086585648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23104.598</x:v>
      </x:c>
      <x:c r="L6" s="89" t="b">
        <x:v>0</x:v>
      </x:c>
      <x:c r="M6" s="49" t="str">
        <x:v>resp_08c9210167971b76006a96ea53d93881949d25e229ad166382</x:v>
      </x:c>
      <x:c r="N6" s="60" t="n">
        <x:v>12511</x:v>
      </x:c>
      <x:c r="O6" s="60" t="n">
        <x:v>3094</x:v>
      </x:c>
      <x:c r="P6" s="60" t="n">
        <x:v>15605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e5b1dab0c7434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RUN-TRF-022-20260901T150803702211Z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RUN-TRF-022-20260901T150803702211Z</x:v>
      </x:c>
      <x:c r="B5" s="45" t="str">
        <x:v>TRF-022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bowRakeAtQuarterBreadth; domain dependency of clampedHullGeometryTerm; domain dependency of coefficientC3; domain dependency of coefficientC4; domain dependency of coefficientC5; domain dependency of coefficientF1; domain dependency of coefficientF2; domain dependency of coefficientF3; domain dependency of coefficientF4; domain dependency of coefficientG1; domain dependency of coefficientG2; domain dependency of coefficientG3; domain dependency of flareAngle; domain dependency of iceClassDraught; domain dependency of shipBreadth; domain dependency of shipLength; domain dependency of waterlineAngleAtQuarterBreadth</x:v>
      </x:c>
      <x:c r="J5" s="45" t="n">
        <x:v>0</x:v>
      </x:c>
    </x:row>
    <x:row r="6">
      <x:c r="A6" s="47" t="str">
        <x:v>RUN-TRF-022-20260901T150803702211Z</x:v>
      </x:c>
      <x:c r="B6" s="47" t="str">
        <x:v>TRF-022</x:v>
      </x:c>
      <x:c r="C6" s="47" t="str">
        <x:v>bowRakeAtQuarterBreadth</x:v>
      </x:c>
      <x:c r="D6" s="48" t="str">
        <x:v>https://w3id.org/nltl/vocab#bowRakeAtQuarterBreadth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RUN-TRF-022-20260901T150803702211Z</x:v>
      </x:c>
      <x:c r="B7" s="47" t="str">
        <x:v>TRF-022</x:v>
      </x:c>
      <x:c r="C7" s="47" t="str">
        <x:v>clampedHullGeometryTerm</x:v>
      </x:c>
      <x:c r="D7" s="48" t="str">
        <x:v>https://w3id.org/nltl/vocab#clampedHullGeometryTerm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RUN-TRF-022-20260901T150803702211Z</x:v>
      </x:c>
      <x:c r="B8" s="47" t="str">
        <x:v>TRF-022</x:v>
      </x:c>
      <x:c r="C8" s="47" t="str">
        <x:v>coefficientC3</x:v>
      </x:c>
      <x:c r="D8" s="48" t="str">
        <x:v>https://w3id.org/nltl/vocab#coefficientC3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https://w3id.org/nltl/vocab#kilogramPerSquareMetreSquareSecondUnit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RUN-TRF-022-20260901T150803702211Z</x:v>
      </x:c>
      <x:c r="B9" s="47" t="str">
        <x:v>TRF-022</x:v>
      </x:c>
      <x:c r="C9" s="47" t="str">
        <x:v>coefficientC4</x:v>
      </x:c>
      <x:c r="D9" s="48" t="str">
        <x:v>https://w3id.org/nltl/vocab#coefficientC4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https://w3id.org/nltl/vocab#kilogramPerSquareMetreSquareSecondUnit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RUN-TRF-022-20260901T150803702211Z</x:v>
      </x:c>
      <x:c r="B10" s="47" t="str">
        <x:v>TRF-022</x:v>
      </x:c>
      <x:c r="C10" s="47" t="str">
        <x:v>coefficientC5</x:v>
      </x:c>
      <x:c r="D10" s="48" t="str">
        <x:v>https://w3id.org/nltl/vocab#coefficientC5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https://w3id.org/nltl/vocab#kilogramPerSquareSecondUnit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RUN-TRF-022-20260901T150803702211Z</x:v>
      </x:c>
      <x:c r="B11" s="47" t="str">
        <x:v>TRF-022</x:v>
      </x:c>
      <x:c r="C11" s="47" t="str">
        <x:v>coefficientF1</x:v>
      </x:c>
      <x:c r="D11" s="48" t="str">
        <x:v>https://w3id.org/nltl/vocab#coefficientF1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http://qudt.org/vocab/unit/N-PER-M2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RUN-TRF-022-20260901T150803702211Z</x:v>
      </x:c>
      <x:c r="B12" s="47" t="str">
        <x:v>TRF-022</x:v>
      </x:c>
      <x:c r="C12" s="47" t="str">
        <x:v>coefficientF2</x:v>
      </x:c>
      <x:c r="D12" s="48" t="str">
        <x:v>https://w3id.org/nltl/vocab#coefficientF2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RUN-TRF-022-20260901T150803702211Z</x:v>
      </x:c>
      <x:c r="B13" s="47" t="str">
        <x:v>TRF-022</x:v>
      </x:c>
      <x:c r="C13" s="47" t="str">
        <x:v>coefficientF3</x:v>
      </x:c>
      <x:c r="D13" s="48" t="str">
        <x:v>https://w3id.org/nltl/vocab#coefficientF3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http://qudt.org/vocab/unit/N-PER-M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RUN-TRF-022-20260901T150803702211Z</x:v>
      </x:c>
      <x:c r="B14" s="47" t="str">
        <x:v>TRF-022</x:v>
      </x:c>
      <x:c r="C14" s="47" t="str">
        <x:v>coefficientF4</x:v>
      </x:c>
      <x:c r="D14" s="48" t="str">
        <x:v>https://w3id.org/nltl/vocab#coefficientF4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http://qudt.org/vocab/unit/N-PER-M2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RUN-TRF-022-20260901T150803702211Z</x:v>
      </x:c>
      <x:c r="B15" s="47" t="str">
        <x:v>TRF-022</x:v>
      </x:c>
      <x:c r="C15" s="47" t="str">
        <x:v>coefficientG1</x:v>
      </x:c>
      <x:c r="D15" s="48" t="str">
        <x:v>https://w3id.org/nltl/vocab#coefficientG1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RUN-TRF-022-20260901T150803702211Z</x:v>
      </x:c>
      <x:c r="B16" s="47" t="str">
        <x:v>TRF-022</x:v>
      </x:c>
      <x:c r="C16" s="47" t="str">
        <x:v>coefficientG2</x:v>
      </x:c>
      <x:c r="D16" s="48" t="str">
        <x:v>https://w3id.org/nltl/vocab#coefficientG2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http://qudt.org/vocab/unit/N-PER-M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RUN-TRF-022-20260901T150803702211Z</x:v>
      </x:c>
      <x:c r="B17" s="47" t="str">
        <x:v>TRF-022</x:v>
      </x:c>
      <x:c r="C17" s="47" t="str">
        <x:v>coefficientG3</x:v>
      </x:c>
      <x:c r="D17" s="48" t="str">
        <x:v>https://w3id.org/nltl/vocab#coefficientG3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https://w3id.org/nltl/vocab#newtonPerMetreToPowerOnePointFiveUnit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RUN-TRF-022-20260901T150803702211Z</x:v>
      </x:c>
      <x:c r="B18" s="47" t="str">
        <x:v>TRF-022</x:v>
      </x:c>
      <x:c r="C18" s="47" t="str">
        <x:v>flareAngle</x:v>
      </x:c>
      <x:c r="D18" s="48" t="str">
        <x:v>https://w3id.org/nltl/vocab#flareAngle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http://qudt.org/vocab/unit/DEG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RUN-TRF-022-20260901T150803702211Z</x:v>
      </x:c>
      <x:c r="B19" s="47" t="str">
        <x:v>TRF-022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RUN-TRF-022-20260901T150803702211Z</x:v>
      </x:c>
      <x:c r="B20" s="47" t="str">
        <x:v>TRF-022</x:v>
      </x:c>
      <x:c r="C20" s="47" t="str">
        <x:v>iceClassDraught</x:v>
      </x:c>
      <x:c r="D20" s="48" t="str">
        <x:v>https://w3id.org/nltl/vocab#iceClassDraught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RUN-TRF-022-20260901T150803702211Z</x:v>
      </x:c>
      <x:c r="B21" s="47" t="str">
        <x:v>TRF-022</x:v>
      </x:c>
      <x:c r="C21" s="47" t="str">
        <x:v>kilogramPerSquareMetreSquareSecondUnit</x:v>
      </x:c>
      <x:c r="D21" s="48" t="str">
        <x:v>https://w3id.org/nltl/vocab#kilogramPerSquareMetreSquareSecondUnit</x:v>
      </x:c>
      <x:c r="E21" s="47" t="str">
        <x:v>NamedIndividual</x:v>
      </x:c>
      <x:c r="F21" s="47" t="str"/>
      <x:c r="G21" s="47" t="str">
        <x:v>http://qudt.org/schema/qudt/Unit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RUN-TRF-022-20260901T150803702211Z</x:v>
      </x:c>
      <x:c r="B22" s="47" t="str">
        <x:v>TRF-022</x:v>
      </x:c>
      <x:c r="C22" s="47" t="str">
        <x:v>kilogramPerSquareSecondUnit</x:v>
      </x:c>
      <x:c r="D22" s="48" t="str">
        <x:v>https://w3id.org/nltl/vocab#kilogramPerSquareSecondUnit</x:v>
      </x:c>
      <x:c r="E22" s="47" t="str">
        <x:v>NamedIndividual</x:v>
      </x:c>
      <x:c r="F22" s="47" t="str"/>
      <x:c r="G22" s="47" t="str">
        <x:v>http://qudt.org/schema/qudt/Unit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RUN-TRF-022-20260901T150803702211Z</x:v>
      </x:c>
      <x:c r="B23" s="47" t="str">
        <x:v>TRF-022</x:v>
      </x:c>
      <x:c r="C23" s="47" t="str">
        <x:v>newtonPerMetreToPowerOnePointFiveUnit</x:v>
      </x:c>
      <x:c r="D23" s="48" t="str">
        <x:v>https://w3id.org/nltl/vocab#newtonPerMetreToPowerOnePointFiveUnit</x:v>
      </x:c>
      <x:c r="E23" s="47" t="str">
        <x:v>NamedIndividual</x:v>
      </x:c>
      <x:c r="F23" s="47" t="str"/>
      <x:c r="G23" s="47" t="str">
        <x:v>http://qudt.org/schema/qudt/Unit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RUN-TRF-022-20260901T150803702211Z</x:v>
      </x:c>
      <x:c r="B24" s="47" t="str">
        <x:v>TRF-022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7" t="str">
        <x:v>RUN-TRF-022-20260901T150803702211Z</x:v>
      </x:c>
      <x:c r="B25" s="47" t="str">
        <x:v>TRF-022</x:v>
      </x:c>
      <x:c r="C25" s="47" t="str">
        <x:v>shipBreadth</x:v>
      </x:c>
      <x:c r="D25" s="48" t="str">
        <x:v>https://w3id.org/nltl/vocab#shipBreadth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RUN-TRF-022-20260901T150803702211Z</x:v>
      </x:c>
      <x:c r="B26" s="47" t="str">
        <x:v>TRF-022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RUN-TRF-022-20260901T150803702211Z</x:v>
      </x:c>
      <x:c r="B27" s="47" t="str">
        <x:v>TRF-022</x:v>
      </x:c>
      <x:c r="C27" s="47" t="str">
        <x:v>shipLength</x:v>
      </x:c>
      <x:c r="D27" s="48" t="str">
        <x:v>https://w3id.org/nltl/vocab#shipLength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9" t="str">
        <x:v>RUN-TRF-022-20260901T150803702211Z</x:v>
      </x:c>
      <x:c r="B28" s="49" t="str">
        <x:v>TRF-022</x:v>
      </x:c>
      <x:c r="C28" s="49" t="str">
        <x:v>waterlineAngleAtQuarterBreadth</x:v>
      </x:c>
      <x:c r="D28" s="50" t="str">
        <x:v>https://w3id.org/nltl/vocab#waterlineAngleAtQuarterBreadth</x:v>
      </x:c>
      <x:c r="E28" s="49" t="str">
        <x:v>QuantityProperty</x:v>
      </x:c>
      <x:c r="F28" s="49" t="str"/>
      <x:c r="G28" s="49" t="str">
        <x:v>http://qudt.org/schema/qudt/QuantityValue</x:v>
      </x:c>
      <x:c r="H28" s="49" t="str">
        <x:v>http://qudt.org/vocab/unit/DEG</x:v>
      </x:c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36f22801071493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RUN-TRF-022-20260901T150803702211Z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RUN-TRF-022-20260901T150803702211Z</x:v>
      </x:c>
      <x:c r="B5" s="45" t="str">
        <x:v>TRF-022</x:v>
      </x:c>
      <x:c r="C5" s="45" t="str">
        <x:v>FS-COMPLEX-READINESS-01</x:v>
      </x:c>
      <x:c r="D5" s="45" t="str">
        <x:v>complex_readiness_external_calculation</x:v>
      </x:c>
      <x:c r="E5" s="92" t="n">
        <x:v>2.096386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RUN-TRF-022-20260901T150803702211Z</x:v>
      </x:c>
      <x:c r="B6" s="49" t="str">
        <x:v>TRF-022</x:v>
      </x:c>
      <x:c r="C6" s="49" t="str">
        <x:v>FS-COMPLEX-READINESS-02</x:v>
      </x:c>
      <x:c r="D6" s="49" t="str">
        <x:v>complex_readiness_with_direct_residual_check</x:v>
      </x:c>
      <x:c r="E6" s="93" t="n">
        <x:v>2.044944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1dc1d717394e8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RUN-TRF-022-20260901T150803702211Z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RUN-TRF-022-20260901T150803702211Z</x:v>
      </x:c>
      <x:c r="B5" s="69" t="str">
        <x:v>TRF-022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https://w3id.org/nltl/vocab#bowRakeAtQuarterBreadth | https://w3id.org/nltl/vocab#clampedHullGeometryTerm | https://w3id.org/nltl/vocab#coefficientC3 | https://w3id.org/nltl/vocab#coefficientC4 | https://w3id.org/nltl/vocab#coefficientC5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https://w3id.org/nltl/vocab#flareAngle | https://w3id.org/nltl/vocab#iceClassDraught | https://w3id.org/nltl/vocab#kilogramPerSquareMetreSquareSecondUnit | https://w3id.org/nltl/vocab#kilogramPerSquareSecondUnit | https://w3id.org/nltl/vocab#newtonPerMetreToPowerOnePointFiveUnit | https://w3id.org/nltl/vocab#ship | https://w3id.org/nltl/vocab#shipBreadth | https://w3id.org/nltl/vocab#shipLength | https://w3id.org/nltl/vocab#waterlineAngleAtQuarterBreadth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f09faf6288746a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RUN-TRF-022-20260901T150803702211Z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RUN-TRF-022-20260901T150803702211Z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RUN-TRF-022-20260901T150803702211Z</x:v>
      </x:c>
      <x:c r="B5" s="45" t="str">
        <x:v>TRF-022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bf062db8ca0bddb168c5d5f4a8f0ee382ec87e9f902fa6d66a68b4d55bf041a7</x:v>
      </x:c>
      <x:c r="G5" s="58" t="n">
        <x:v>31662</x:v>
      </x:c>
    </x:row>
    <x:row r="6">
      <x:c r="A6" s="47" t="str">
        <x:v>RUN-TRF-022-20260901T150803702211Z</x:v>
      </x:c>
      <x:c r="B6" s="47" t="str">
        <x:v>TRF-022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d7ffa66f383de0dd038cd59c9f8db5b0f7aeef36c4db044c5b228e37fa5c8a6e</x:v>
      </x:c>
      <x:c r="G6" s="59" t="n">
        <x:v>6555</x:v>
      </x:c>
    </x:row>
    <x:row r="7">
      <x:c r="A7" s="47" t="str">
        <x:v>RUN-TRF-022-20260901T150803702211Z</x:v>
      </x:c>
      <x:c r="B7" s="47" t="str">
        <x:v>TRF-022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303fe69c8687f007f85b50fdbf5d110d5fec581cd262f0a91a9179f864fc3cda</x:v>
      </x:c>
      <x:c r="G7" s="59" t="n">
        <x:v>49861</x:v>
      </x:c>
    </x:row>
    <x:row r="8">
      <x:c r="A8" s="47" t="str">
        <x:v>RUN-TRF-022-20260901T150803702211Z</x:v>
      </x:c>
      <x:c r="B8" s="47" t="str">
        <x:v>TRF-022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251df5da26e5593c5670dded0525f1afb1a2a4b8b4f7c1f58e252ce5c03a0503</x:v>
      </x:c>
      <x:c r="G8" s="59" t="n">
        <x:v>7495</x:v>
      </x:c>
    </x:row>
    <x:row r="9">
      <x:c r="A9" s="47" t="str">
        <x:v>RUN-TRF-022-20260901T150803702211Z</x:v>
      </x:c>
      <x:c r="B9" s="47" t="str">
        <x:v>TRF-022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44dbec656bb3a3e8b311b6e7214101de9e40ef4d05be355570d598acc73d2c7b</x:v>
      </x:c>
      <x:c r="G9" s="59" t="n">
        <x:v>7470</x:v>
      </x:c>
    </x:row>
    <x:row r="10">
      <x:c r="A10" s="49" t="str">
        <x:v>RUN-TRF-022-20260901T150803702211Z</x:v>
      </x:c>
      <x:c r="B10" s="49" t="str">
        <x:v>TRF-022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fb39ebf5de5b8d1f26cbbea69ab1c2fe95e9d85b47f77858e0b4125e79c7b2d2</x:v>
      </x:c>
      <x:c r="G10" s="60" t="n">
        <x:v>1956</x:v>
      </x:c>
    </x:row>
  </x:sheetData>
  <x:pageMargins left="0.7" right="0.7" top="0.75" bottom="0.75" header="0.3" footer="0.3"/>
  <x:tableParts count="1">
    <x:tablePart xmlns:r="http://schemas.openxmlformats.org/officeDocument/2006/relationships" r:id="R3c4f568091c941c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RUN-TRF-022-20260901T150803702211Z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RUN-TRF-022-20260901T150803702211Z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