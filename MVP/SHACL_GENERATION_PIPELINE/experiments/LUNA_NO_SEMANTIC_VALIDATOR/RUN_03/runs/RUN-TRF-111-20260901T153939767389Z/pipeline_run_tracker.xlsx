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04bcb9408ef4a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36073569c8074838"/>
    <x:sheet xmlns:r="http://schemas.openxmlformats.org/officeDocument/2006/relationships" name="README" sheetId="2" r:id="R93af4795fca14732"/>
    <x:sheet xmlns:r="http://schemas.openxmlformats.org/officeDocument/2006/relationships" name="REGULATION_QUEUE" sheetId="3" r:id="Re4c14984fa324169"/>
    <x:sheet xmlns:r="http://schemas.openxmlformats.org/officeDocument/2006/relationships" name="RUNS" sheetId="4" r:id="R3f7be60dfba54c97"/>
    <x:sheet xmlns:r="http://schemas.openxmlformats.org/officeDocument/2006/relationships" name="ITERATIONS" sheetId="5" r:id="R60482635ead84ca4"/>
    <x:sheet xmlns:r="http://schemas.openxmlformats.org/officeDocument/2006/relationships" name="API_CALLS" sheetId="6" r:id="R84ab86b0e5a341c1"/>
    <x:sheet xmlns:r="http://schemas.openxmlformats.org/officeDocument/2006/relationships" name="TERM_RETRIEVAL" sheetId="7" r:id="R603dc45dd30443cc"/>
    <x:sheet xmlns:r="http://schemas.openxmlformats.org/officeDocument/2006/relationships" name="FEW_SHOT_SELECTION" sheetId="8" r:id="Rb2fae3453fc248c4"/>
    <x:sheet xmlns:r="http://schemas.openxmlformats.org/officeDocument/2006/relationships" name="VALIDATION" sheetId="9" r:id="Rd99d4afd0e414850"/>
    <x:sheet xmlns:r="http://schemas.openxmlformats.org/officeDocument/2006/relationships" name="VOCAB_MATCHES" sheetId="10" r:id="R185101b4ef7f476c"/>
    <x:sheet xmlns:r="http://schemas.openxmlformats.org/officeDocument/2006/relationships" name="ARTIFACTS" sheetId="11" r:id="R2547ae394e4340fb"/>
    <x:sheet xmlns:r="http://schemas.openxmlformats.org/officeDocument/2006/relationships" name="UNRESOLVED" sheetId="12" r:id="R5e6e3c70bdd94300"/>
    <x:sheet xmlns:r="http://schemas.openxmlformats.org/officeDocument/2006/relationships" name="RDF_TEST_QUEUE" sheetId="13" r:id="R5ffdc11ee85a45b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97d3aabe6b42c3" /><Relationship Type="http://schemas.openxmlformats.org/officeDocument/2006/relationships/theme" Target="/xl/theme/theme1.xml" Id="Ra287ff0bd9bc48e1" /><Relationship Type="http://schemas.microsoft.com/office/2022/11/relationships/FeaturePropertyBag" Target="/xl/featurePropertyBag/featurePropertyBag.xml" Id="Re84fceeeec6a47d2" /><Relationship Type="http://schemas.openxmlformats.org/officeDocument/2006/relationships/sharedStrings" Target="/xl/sharedStrings.xml" Id="R818b8ab581c3447e" /><Relationship Type="http://schemas.openxmlformats.org/officeDocument/2006/relationships/worksheet" Target="/xl/worksheets/sheet1.xml" Id="R36073569c8074838" /><Relationship Type="http://schemas.openxmlformats.org/officeDocument/2006/relationships/worksheet" Target="/xl/worksheets/sheet2.xml" Id="R93af4795fca14732" /><Relationship Type="http://schemas.openxmlformats.org/officeDocument/2006/relationships/worksheet" Target="/xl/worksheets/sheet3.xml" Id="Re4c14984fa324169" /><Relationship Type="http://schemas.openxmlformats.org/officeDocument/2006/relationships/worksheet" Target="/xl/worksheets/sheet4.xml" Id="R3f7be60dfba54c97" /><Relationship Type="http://schemas.openxmlformats.org/officeDocument/2006/relationships/worksheet" Target="/xl/worksheets/sheet5.xml" Id="R60482635ead84ca4" /><Relationship Type="http://schemas.openxmlformats.org/officeDocument/2006/relationships/worksheet" Target="/xl/worksheets/sheet6.xml" Id="R84ab86b0e5a341c1" /><Relationship Type="http://schemas.openxmlformats.org/officeDocument/2006/relationships/worksheet" Target="/xl/worksheets/sheet7.xml" Id="R603dc45dd30443cc" /><Relationship Type="http://schemas.openxmlformats.org/officeDocument/2006/relationships/worksheet" Target="/xl/worksheets/sheet8.xml" Id="Rb2fae3453fc248c4" /><Relationship Type="http://schemas.openxmlformats.org/officeDocument/2006/relationships/worksheet" Target="/xl/worksheets/sheet9.xml" Id="Rd99d4afd0e414850" /><Relationship Type="http://schemas.openxmlformats.org/officeDocument/2006/relationships/worksheet" Target="/xl/worksheets/sheet10.xml" Id="R185101b4ef7f476c" /><Relationship Type="http://schemas.openxmlformats.org/officeDocument/2006/relationships/worksheet" Target="/xl/worksheets/sheet11.xml" Id="R2547ae394e4340fb" /><Relationship Type="http://schemas.openxmlformats.org/officeDocument/2006/relationships/worksheet" Target="/xl/worksheets/sheet12.xml" Id="R5e6e3c70bdd94300" /><Relationship Type="http://schemas.openxmlformats.org/officeDocument/2006/relationships/worksheet" Target="/xl/worksheets/sheet13.xml" Id="R5ffdc11ee85a45b4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0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4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b13875ab42d47d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7769530a46ac41e9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51974e73b09e4dd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1828a14a3f54b1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79e17b6b864438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84e36d56a1f423e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ac346c0540a49b0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52e8a71f4a3492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25dfdb08c4f349b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RUN-TRF-111-20260901T153939767389Z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COUNTA('API_CALLS'!$A$5:$A$10)</x:f>
        <x:v>6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IFERROR(AVERAGE('API_CALLS'!$K$5:$K$10),0)</x:f>
        <x:v>29227.36433333333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RUN-TRF-111-20260901T153939767389Z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b13875ab42d47d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RUN-TRF-111-20260901T153939767389Z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NO_SEMANTIC_VALIDATOR_DETERMINISTIC_FAIL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69530a46ac41e9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RUN-TRF-111-20260901T153939767389Z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SESSION-NO-SEMANTIC-VALIDATOR-BATCH-20260901T135017704821Z</x:v>
      </x:c>
      <x:c r="B5" s="69" t="str">
        <x:v>RUN-TRF-111-20260901T153939767389Z</x:v>
      </x:c>
      <x:c r="C5" s="69" t="str">
        <x:v>TRF-111</x:v>
      </x:c>
      <x:c r="D5" s="70" t="n">
        <x:v>46266.65254362269</x:v>
      </x:c>
      <x:c r="E5" s="70" t="n">
        <x:v>46266.65356011574</x:v>
      </x:c>
      <x:c r="F5" s="69" t="str">
        <x:v>luna-no-semantic-validator-run03-v1</x:v>
      </x:c>
      <x:c r="G5" s="69" t="str">
        <x:v>VOCAB-LOCK-2026-08-22-R13</x:v>
      </x:c>
      <x:c r="H5" s="71" t="n">
        <x:v>1</x:v>
      </x:c>
      <x:c r="I5" s="69" t="str">
        <x:v>NO_SEMANTIC_VALIDATOR_DETERMINISTIC_FAIL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1974e73b09e4dd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RUN-TRF-111-20260901T153939767389Z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RUN-TRF-111-20260901T153939767389Z</x:v>
      </x:c>
      <x:c r="B5" s="69" t="str">
        <x:v>TRF-111</x:v>
      </x:c>
      <x:c r="C5" s="71" t="n">
        <x:v>1</x:v>
      </x:c>
      <x:c r="D5" s="72" t="b">
        <x:v>0</x:v>
      </x:c>
      <x:c r="E5" s="69"/>
      <x:c r="F5" s="72" t="b">
        <x:v>0</x:v>
      </x:c>
      <x:c r="G5" s="69" t="str">
        <x:v>NO_SEMANTIC_VALIDATOR_DETERMINISTIC_FAIL</x:v>
      </x:c>
      <x:c r="H5" s="73" t="str">
        <x:v>Semantic validator disabled; deterministic diagnostics were not used as repair feedback.</x:v>
      </x:c>
      <x:c r="I5" s="75" t="n">
        <x:v>46931.906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1828a14a3f54b1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5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RUN-TRF-111-20260901T153939767389Z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EVT-000026</x:v>
      </x:c>
      <x:c r="B5" s="45" t="str">
        <x:v>RUN-TRF-111-20260901T153939767389Z</x:v>
      </x:c>
      <x:c r="C5" s="45" t="str">
        <x:v>TRF-111</x:v>
      </x:c>
      <x:c r="D5" s="88" t="n">
        <x:v>46266.6530868287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46930.99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EVT-000027</x:v>
      </x:c>
      <x:c r="B6" s="47" t="str">
        <x:v>RUN-TRF-111-20260901T153939767389Z</x:v>
      </x:c>
      <x:c r="C6" s="47" t="str">
        <x:v>TRF-111</x:v>
      </x:c>
      <x:c r="D6" s="91" t="n">
        <x:v>46266.65308684028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46931.906</x:v>
      </x:c>
      <x:c r="L6" s="93" t="b">
        <x:v>0</x:v>
      </x:c>
      <x:c r="M6" s="47" t="str">
        <x:v>resp_00198d4bd21ff1a2006a96f1bbea408195bb828a734bd8f440</x:v>
      </x:c>
      <x:c r="N6" s="59" t="n">
        <x:v>10642</x:v>
      </x:c>
      <x:c r="O6" s="59" t="n">
        <x:v>4196</x:v>
      </x:c>
      <x:c r="P6" s="59" t="n">
        <x:v>14838</x:v>
      </x:c>
    </x:row>
    <x:row r="7">
      <x:c r="A7" s="47" t="str">
        <x:v>EVT-000032</x:v>
      </x:c>
      <x:c r="B7" s="47" t="str">
        <x:v>RUN-TRF-111-20260901T153939767389Z</x:v>
      </x:c>
      <x:c r="C7" s="47" t="str">
        <x:v>TRF-111</x:v>
      </x:c>
      <x:c r="D7" s="91" t="n">
        <x:v>46266.65317440972</x:v>
      </x:c>
      <x:c r="E7" s="47" t="str">
        <x:v>syntax_repair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7566.146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EVT-000033</x:v>
      </x:c>
      <x:c r="B8" s="47" t="str">
        <x:v>RUN-TRF-111-20260901T153939767389Z</x:v>
      </x:c>
      <x:c r="C8" s="47" t="str">
        <x:v>TRF-111</x:v>
      </x:c>
      <x:c r="D8" s="91" t="n">
        <x:v>46266.65317443287</x:v>
      </x:c>
      <x:c r="E8" s="47" t="str">
        <x:v>syntax_repair</x:v>
      </x:c>
      <x:c r="F8" s="47" t="str">
        <x:v>gpt-5.6-luna-2026-07-09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7567.62</x:v>
      </x:c>
      <x:c r="L8" s="93" t="b">
        <x:v>0</x:v>
      </x:c>
      <x:c r="M8" s="47" t="str">
        <x:v>resp_0db982ee6b488b42006a96f1eade5c8193bce4255cd87e387d</x:v>
      </x:c>
      <x:c r="N8" s="59" t="n">
        <x:v>1721</x:v>
      </x:c>
      <x:c r="O8" s="59" t="n">
        <x:v>1292</x:v>
      </x:c>
      <x:c r="P8" s="59" t="n">
        <x:v>3013</x:v>
      </x:c>
    </x:row>
    <x:row r="9">
      <x:c r="A9" s="47" t="str">
        <x:v>EVT-000039</x:v>
      </x:c>
      <x:c r="B9" s="47" t="str">
        <x:v>RUN-TRF-111-20260901T153939767389Z</x:v>
      </x:c>
      <x:c r="C9" s="47" t="str">
        <x:v>TRF-111</x:v>
      </x:c>
      <x:c r="D9" s="91" t="n">
        <x:v>46266.65355840278</x:v>
      </x:c>
      <x:c r="E9" s="47" t="str">
        <x:v>syntax_repair</x:v>
      </x:c>
      <x:c r="F9" s="47" t="str">
        <x:v>gpt-5.6-luna-2026-07-09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33183.003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9" t="str">
        <x:v>EVT-000040</x:v>
      </x:c>
      <x:c r="B10" s="49" t="str">
        <x:v>RUN-TRF-111-20260901T153939767389Z</x:v>
      </x:c>
      <x:c r="C10" s="49" t="str">
        <x:v>TRF-111</x:v>
      </x:c>
      <x:c r="D10" s="94" t="n">
        <x:v>46266.653558425925</x:v>
      </x:c>
      <x:c r="E10" s="49" t="str">
        <x:v>syntax_repair</x:v>
      </x:c>
      <x:c r="F10" s="49" t="str">
        <x:v>gpt-5.6-luna-2026-07-09</x:v>
      </x:c>
      <x:c r="G10" s="49" t="n">
        <x:v>1</x:v>
      </x:c>
      <x:c r="H10" s="49" t="str">
        <x:v>COMPLETED</x:v>
      </x:c>
      <x:c r="I10" s="49" t="str"/>
      <x:c r="J10" s="95" t="n">
        <x:v>0</x:v>
      </x:c>
      <x:c r="K10" s="95" t="n">
        <x:v>33184.521</x:v>
      </x:c>
      <x:c r="L10" s="96" t="b">
        <x:v>0</x:v>
      </x:c>
      <x:c r="M10" s="49" t="str">
        <x:v>resp_084effebc59a3691006a96f1f268408196ba3a303ae278d8d1</x:v>
      </x:c>
      <x:c r="N10" s="60" t="n">
        <x:v>1780</x:v>
      </x:c>
      <x:c r="O10" s="60" t="n">
        <x:v>3457</x:v>
      </x:c>
      <x:c r="P10" s="60" t="n">
        <x:v>5237</x:v>
      </x:c>
    </x:row>
  </x:sheetData>
  <x:conditionalFormatting sqref="H5:H10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d79e17b6b864438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RUN-TRF-111-20260901T153939767389Z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RUN-TRF-111-20260901T153939767389Z</x:v>
      </x:c>
      <x:c r="B5" s="45" t="str">
        <x:v>TRF-111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extremeIceForce; range dependency of shaftLineLoadCaseTypeValue</x:v>
      </x:c>
      <x:c r="J5" s="45" t="n">
        <x:v>0</x:v>
      </x:c>
    </x:row>
    <x:row r="6">
      <x:c r="A6" s="47" t="str">
        <x:v>RUN-TRF-111-20260901T153939767389Z</x:v>
      </x:c>
      <x:c r="B6" s="47" t="str">
        <x:v>TRF-111</x:v>
      </x:c>
      <x:c r="C6" s="47" t="str">
        <x:v>bladeFailureLoadCase</x:v>
      </x:c>
      <x:c r="D6" s="48" t="str">
        <x:v>https://w3id.org/nltl/vocab#bladeFailureLoadCase</x:v>
      </x:c>
      <x:c r="E6" s="47" t="str">
        <x:v>NamedIndividual</x:v>
      </x:c>
      <x:c r="F6" s="47" t="str"/>
      <x:c r="G6" s="47" t="str">
        <x:v>https://w3id.org/nltl/vocab#shaftLineLoadCaseTypeValue</x:v>
      </x:c>
      <x:c r="H6" s="47" t="str"/>
      <x:c r="I6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6" s="47" t="n">
        <x:v>0</x:v>
      </x:c>
    </x:row>
    <x:row r="7">
      <x:c r="A7" s="47" t="str">
        <x:v>RUN-TRF-111-20260901T153939767389Z</x:v>
      </x:c>
      <x:c r="B7" s="47" t="str">
        <x:v>TRF-111</x:v>
      </x:c>
      <x:c r="C7" s="47" t="str">
        <x:v>componentYieldSafetyFactor</x:v>
      </x:c>
      <x:c r="D7" s="48" t="str">
        <x:v>https://w3id.org/nltl/vocab#componentYieldSafetyFactor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http://qudt.org/vocab/unit/UNITLESS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RUN-TRF-111-20260901T153939767389Z</x:v>
      </x:c>
      <x:c r="B8" s="47" t="str">
        <x:v>TRF-111</x:v>
      </x:c>
      <x:c r="C8" s="47" t="str">
        <x:v>extremeIceForce</x:v>
      </x:c>
      <x:c r="D8" s="48" t="str">
        <x:v>https://w3id.org/nltl/vocab#extremeIceForce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http://qudt.org/vocab/unit/KiloN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RUN-TRF-111-20260901T153939767389Z</x:v>
      </x:c>
      <x:c r="B9" s="47" t="str">
        <x:v>TRF-111</x:v>
      </x:c>
      <x:c r="C9" s="47" t="str">
        <x:v>extremeOperationalLoadCase</x:v>
      </x:c>
      <x:c r="D9" s="48" t="str">
        <x:v>https://w3id.org/nltl/vocab#extremeOperationalLoadCase</x:v>
      </x:c>
      <x:c r="E9" s="47" t="str">
        <x:v>NamedIndividual</x:v>
      </x:c>
      <x:c r="F9" s="47" t="str"/>
      <x:c r="G9" s="47" t="str">
        <x:v>https://w3id.org/nltl/vocab#shaftLineLoadCaseTypeValue</x:v>
      </x:c>
      <x:c r="H9" s="47" t="str"/>
      <x:c r="I9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9" s="47" t="n">
        <x:v>0</x:v>
      </x:c>
    </x:row>
    <x:row r="10">
      <x:c r="A10" s="47" t="str">
        <x:v>RUN-TRF-111-20260901T153939767389Z</x:v>
      </x:c>
      <x:c r="B10" s="47" t="str">
        <x:v>TRF-111</x:v>
      </x:c>
      <x:c r="C10" s="47" t="str">
        <x:v>fatigueLoadCase</x:v>
      </x:c>
      <x:c r="D10" s="48" t="str">
        <x:v>https://w3id.org/nltl/vocab#fatigueLoadCase</x:v>
      </x:c>
      <x:c r="E10" s="47" t="str">
        <x:v>NamedIndividual</x:v>
      </x:c>
      <x:c r="F10" s="47" t="str"/>
      <x:c r="G10" s="47" t="str">
        <x:v>https://w3id.org/nltl/vocab#shaftLineLoadCaseTypeValue</x:v>
      </x:c>
      <x:c r="H10" s="47" t="str"/>
      <x:c r="I10" s="48" t="str">
        <x:v>controlled value permitted by the range of bladeFailureLoadCase; controlled value permitted by the range of extremeOperationalLoadCase; controlled value permitted by the range of fatigueLoadCase; controlled value permitted by the range of shaftLineLoadCaseType; linked by the locked 313-requirement index</x:v>
      </x:c>
      <x:c r="J10" s="47" t="n">
        <x:v>0</x:v>
      </x:c>
    </x:row>
    <x:row r="11">
      <x:c r="A11" s="47" t="str">
        <x:v>RUN-TRF-111-20260901T153939767389Z</x:v>
      </x:c>
      <x:c r="B11" s="47" t="str">
        <x:v>TRF-111</x:v>
      </x:c>
      <x:c r="C11" s="47" t="str">
        <x:v>fatigueSafetyFactor</x:v>
      </x:c>
      <x:c r="D11" s="48" t="str">
        <x:v>https://w3id.org/nltl/vocab#fatigueSafetyFactor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http://qudt.org/vocab/unit/UNITLESS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RUN-TRF-111-20260901T153939767389Z</x:v>
      </x:c>
      <x:c r="B12" s="47" t="str">
        <x:v>TRF-111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canonical path from target owner ship to required owner shipComponent; component-path dependency inferred from the linked term module</x:v>
      </x:c>
      <x:c r="J12" s="47" t="n">
        <x:v>0</x:v>
      </x:c>
    </x:row>
    <x:row r="13">
      <x:c r="A13" s="47" t="str">
        <x:v>RUN-TRF-111-20260901T153939767389Z</x:v>
      </x:c>
      <x:c r="B13" s="47" t="str">
        <x:v>TRF-111</x:v>
      </x:c>
      <x:c r="C13" s="47" t="str">
        <x:v>hasLoadCase</x:v>
      </x:c>
      <x:c r="D13" s="48" t="str">
        <x:v>https://w3id.org/nltl/vocab#hasLoadCase</x:v>
      </x:c>
      <x:c r="E13" s="47" t="str">
        <x:v>ObjectProperty</x:v>
      </x:c>
      <x:c r="F13" s="47" t="str"/>
      <x:c r="G13" s="47" t="str">
        <x:v>https://w3id.org/nltl/vocab#loadCase</x:v>
      </x:c>
      <x:c r="H13" s="47" t="str"/>
      <x:c r="I13" s="48" t="str">
        <x:v>canonical path from target owner ship to required owner loadCase</x:v>
      </x:c>
      <x:c r="J13" s="47" t="n">
        <x:v>0</x:v>
      </x:c>
    </x:row>
    <x:row r="14">
      <x:c r="A14" s="47" t="str">
        <x:v>RUN-TRF-111-20260901T153939767389Z</x:v>
      </x:c>
      <x:c r="B14" s="47" t="str">
        <x:v>TRF-111</x:v>
      </x:c>
      <x:c r="C14" s="47" t="str">
        <x:v>hasPropellerShaftLineComponent</x:v>
      </x:c>
      <x:c r="D14" s="48" t="str">
        <x:v>https://w3id.org/nltl/vocab#hasPropellerShaftLineComponent</x:v>
      </x:c>
      <x:c r="E14" s="47" t="str">
        <x:v>ObjectProperty</x:v>
      </x:c>
      <x:c r="F14" s="47" t="str"/>
      <x:c r="G14" s="47" t="str">
        <x:v>https://w3id.org/nltl/vocab#propellerShaftLineComponent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RUN-TRF-111-20260901T153939767389Z</x:v>
      </x:c>
      <x:c r="B15" s="47" t="str">
        <x:v>TRF-111</x:v>
      </x:c>
      <x:c r="C15" s="47" t="str">
        <x:v>hasPropulsionLoadCase</x:v>
      </x:c>
      <x:c r="D15" s="48" t="str">
        <x:v>https://w3id.org/nltl/vocab#hasPropulsionLoadCase</x:v>
      </x:c>
      <x:c r="E15" s="47" t="str">
        <x:v>ObjectProperty</x:v>
      </x:c>
      <x:c r="F15" s="47" t="str"/>
      <x:c r="G15" s="47" t="str">
        <x:v>https://w3id.org/nltl/vocab#loadCase</x:v>
      </x:c>
      <x:c r="H15" s="47" t="str"/>
      <x:c r="I15" s="48" t="str">
        <x:v>canonical path from target owner ship to required owner loadCase; linked by the locked 313-requirement index</x:v>
      </x:c>
      <x:c r="J15" s="47" t="n">
        <x:v>0</x:v>
      </x:c>
    </x:row>
    <x:row r="16">
      <x:c r="A16" s="47" t="str">
        <x:v>RUN-TRF-111-20260901T153939767389Z</x:v>
      </x:c>
      <x:c r="B16" s="47" t="str">
        <x:v>TRF-111</x:v>
      </x:c>
      <x:c r="C16" s="47" t="str">
        <x:v>loadCase</x:v>
      </x:c>
      <x:c r="D16" s="48" t="str">
        <x:v>https://w3id.org/nltl/vocab#loadCase</x:v>
      </x:c>
      <x:c r="E16" s="47" t="str">
        <x:v>Class</x:v>
      </x:c>
      <x:c r="F16" s="47" t="str"/>
      <x:c r="G16" s="47" t="str">
        <x:v>https://w3id.org/nltl/vocab#calculationCase</x:v>
      </x:c>
      <x:c r="H16" s="47" t="str"/>
      <x:c r="I16" s="48" t="str">
        <x:v>authoritative required owner class; domain dependency of componentYieldSafetyFactor; domain dependency of shaftLineLoadCaseType; range dependency of hasPropulsionLoadCase</x:v>
      </x:c>
      <x:c r="J16" s="47" t="n">
        <x:v>0</x:v>
      </x:c>
    </x:row>
    <x:row r="17">
      <x:c r="A17" s="47" t="str">
        <x:v>RUN-TRF-111-20260901T153939767389Z</x:v>
      </x:c>
      <x:c r="B17" s="47" t="str">
        <x:v>TRF-111</x:v>
      </x:c>
      <x:c r="C17" s="47" t="str">
        <x:v>machineryComponent</x:v>
      </x:c>
      <x:c r="D17" s="48" t="str">
        <x:v>https://w3id.org/nltl/vocab#machineryComponent</x:v>
      </x:c>
      <x:c r="E17" s="47" t="str">
        <x:v>Class</x:v>
      </x:c>
      <x:c r="F17" s="47" t="str"/>
      <x:c r="G17" s="47" t="str"/>
      <x:c r="H17" s="47" t="str"/>
      <x:c r="I17" s="48" t="str">
        <x:v>range dependency of propellerShaftLineComponent</x:v>
      </x:c>
      <x:c r="J17" s="47" t="n">
        <x:v>0</x:v>
      </x:c>
    </x:row>
    <x:row r="18">
      <x:c r="A18" s="47" t="str">
        <x:v>RUN-TRF-111-20260901T153939767389Z</x:v>
      </x:c>
      <x:c r="B18" s="47" t="str">
        <x:v>TRF-111</x:v>
      </x:c>
      <x:c r="C18" s="47" t="str">
        <x:v>propellerShaftLineComponent</x:v>
      </x:c>
      <x:c r="D18" s="48" t="str">
        <x:v>https://w3id.org/nltl/vocab#propellerShaftLineComponent</x:v>
      </x:c>
      <x:c r="E18" s="47" t="str">
        <x:v>Class</x:v>
      </x:c>
      <x:c r="F18" s="47" t="str"/>
      <x:c r="G18" s="47" t="str">
        <x:v>https://w3id.org/nltl/vocab#machineryComponent</x:v>
      </x:c>
      <x:c r="H18" s="47" t="str"/>
      <x:c r="I18" s="48" t="str">
        <x:v>linked by the locked 313-requirement index; range dependency of hasPropellerShaftLineComponent</x:v>
      </x:c>
      <x:c r="J18" s="47" t="n">
        <x:v>0</x:v>
      </x:c>
    </x:row>
    <x:row r="19">
      <x:c r="A19" s="47" t="str">
        <x:v>RUN-TRF-111-20260901T153939767389Z</x:v>
      </x:c>
      <x:c r="B19" s="47" t="str">
        <x:v>TRF-111</x:v>
      </x:c>
      <x:c r="C19" s="47" t="str">
        <x:v>shaftLineLoadCaseType</x:v>
      </x:c>
      <x:c r="D19" s="48" t="str">
        <x:v>https://w3id.org/nltl/vocab#shaftLineLoadCaseType</x:v>
      </x:c>
      <x:c r="E19" s="47" t="str">
        <x:v>ObjectProperty</x:v>
      </x:c>
      <x:c r="F19" s="47" t="str"/>
      <x:c r="G19" s="47" t="str">
        <x:v>https://w3id.org/nltl/vocab#shaftLineLoadCaseTypeValue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RUN-TRF-111-20260901T153939767389Z</x:v>
      </x:c>
      <x:c r="B20" s="47" t="str">
        <x:v>TRF-111</x:v>
      </x:c>
      <x:c r="C20" s="47" t="str">
        <x:v>shaftLineLoadCaseTypeValue</x:v>
      </x:c>
      <x:c r="D20" s="48" t="str">
        <x:v>https://w3id.org/nltl/vocab#shaftLineLoadCaseTypeValue</x:v>
      </x:c>
      <x:c r="E20" s="47" t="str">
        <x:v>Class</x:v>
      </x:c>
      <x:c r="F20" s="47" t="str"/>
      <x:c r="G20" s="47" t="str">
        <x:v>https://w3id.org/nltl/vocab#benchmarkEntity</x:v>
      </x:c>
      <x:c r="H20" s="47" t="str"/>
      <x:c r="I20" s="48" t="str">
        <x:v>linked by the locked 313-requirement index; range dependency of bladeFailureLoadCase; range dependency of extremeOperationalLoadCase; range dependency of fatigueLoadCase; range dependency of shaftLineLoadCaseType</x:v>
      </x:c>
      <x:c r="J20" s="47" t="n">
        <x:v>0</x:v>
      </x:c>
    </x:row>
    <x:row r="21">
      <x:c r="A21" s="47" t="str">
        <x:v>RUN-TRF-111-20260901T153939767389Z</x:v>
      </x:c>
      <x:c r="B21" s="47" t="str">
        <x:v>TRF-111</x:v>
      </x:c>
      <x:c r="C21" s="47" t="str">
        <x:v>ship</x:v>
      </x:c>
      <x:c r="D21" s="48" t="str">
        <x:v>https://w3id.org/nltl/vocab#ship</x:v>
      </x:c>
      <x:c r="E21" s="47" t="str">
        <x:v>Class</x:v>
      </x:c>
      <x:c r="F21" s="47" t="str"/>
      <x:c r="G21" s="47" t="str"/>
      <x:c r="H21" s="47" t="str"/>
      <x:c r="I21" s="48" t="str">
        <x:v>authoritative required owner class; authoritative requirement target owner; baseline target infrastructure; domain dependency of hasPropellerShaftLineComponent; domain dependency of hasPropulsionLoadCase</x:v>
      </x:c>
      <x:c r="J21" s="47" t="n">
        <x:v>0</x:v>
      </x:c>
    </x:row>
    <x:row r="22">
      <x:c r="A22" s="49" t="str">
        <x:v>RUN-TRF-111-20260901T153939767389Z</x:v>
      </x:c>
      <x:c r="B22" s="49" t="str">
        <x:v>TRF-111</x:v>
      </x:c>
      <x:c r="C22" s="49" t="str">
        <x:v>shipComponent</x:v>
      </x:c>
      <x:c r="D22" s="50" t="str">
        <x:v>https://w3id.org/nltl/vocab#shipComponent</x:v>
      </x:c>
      <x:c r="E22" s="49" t="str">
        <x:v>Class</x:v>
      </x:c>
      <x:c r="F22" s="49" t="str"/>
      <x:c r="G22" s="49" t="str"/>
      <x:c r="H22" s="49" t="str"/>
      <x:c r="I22" s="50" t="str">
        <x:v>authoritative required owner class; component-path dependency inferred from the linked term module; domain dependency of fatigueSafetyFactor</x:v>
      </x:c>
      <x:c r="J2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84e36d56a1f423e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4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RUN-TRF-111-20260901T153939767389Z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RUN-TRF-111-20260901T153939767389Z</x:v>
      </x:c>
      <x:c r="B5" s="45" t="str">
        <x:v>TRF-111</x:v>
      </x:c>
      <x:c r="C5" s="45" t="str">
        <x:v>FS-COMPLEX-READINESS-01</x:v>
      </x:c>
      <x:c r="D5" s="45" t="str">
        <x:v>complex_readiness_external_calculation</x:v>
      </x:c>
      <x:c r="E5" s="99" t="n">
        <x:v>2.131148</x:v>
      </x:c>
      <x:c r="F5" s="45" t="str">
        <x:v>calculation | complex | engineering | evidence | external | inputs | readiness | results</x:v>
      </x:c>
      <x:c r="G5" s="45" t="str">
        <x:v>synthetic-few-shot-not-benchmark-ground-truth</x:v>
      </x:c>
    </x:row>
    <x:row r="6">
      <x:c r="A6" s="49" t="str">
        <x:v>RUN-TRF-111-20260901T153939767389Z</x:v>
      </x:c>
      <x:c r="B6" s="49" t="str">
        <x:v>TRF-111</x:v>
      </x:c>
      <x:c r="C6" s="49" t="str">
        <x:v>FS-COMPLEX-READINESS-02</x:v>
      </x:c>
      <x:c r="D6" s="49" t="str">
        <x:v>complex_readiness_with_direct_residual_check</x:v>
      </x:c>
      <x:c r="E6" s="100" t="n">
        <x:v>2.059701</x:v>
      </x:c>
      <x:c r="F6" s="49" t="str">
        <x:v>complex | engineering | evidence | readiness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ac346c0540a49b0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52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RUN-TRF-111-20260901T153939767389Z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RUN-TRF-111-20260901T153939767389Z</x:v>
      </x:c>
      <x:c r="B5" s="69" t="str">
        <x:v>TRF-111</x:v>
      </x:c>
      <x:c r="C5" s="71" t="n">
        <x:v>1</x:v>
      </x:c>
      <x:c r="D5" s="72" t="b">
        <x:v>0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>
        <x:v>COMPLEX_READINESS applicability evidence(s) absent from candidate: shaftLineLoadCaseTypeValue</x:v>
      </x:c>
      <x:c r="M5" s="73" t="str"/>
      <x:c r="N5" s="73" t="str">
        <x:v>https://w3id.org/nltl/vocab#bladeFailureLoadCase | https://w3id.org/nltl/vocab#componentYieldSafetyFactor | https://w3id.org/nltl/vocab#extremeIceForce | https://w3id.org/nltl/vocab#extremeOperationalLoadCase | https://w3id.org/nltl/vocab#fatigueLoadCase | https://w3id.org/nltl/vocab#fatigueSafetyFactor | https://w3id.org/nltl/vocab#hasComponent | https://w3id.org/nltl/vocab#hasPropellerShaftLineComponent | https://w3id.org/nltl/vocab#hasPropulsionLoadCase | https://w3id.org/nltl/vocab#loadCase | https://w3id.org/nltl/vocab#propellerShaftLineComponent | https://w3id.org/nltl/vocab#shaftLineLoadCaseType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52e8a71f4a34921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RUN-TRF-111-20260901T153939767389Z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RUN-TRF-111-20260901T153939767389Z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RUN-TRF-111-20260901T153939767389Z</x:v>
      </x:c>
      <x:c r="B5" s="45" t="str">
        <x:v>TRF-111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775f4c22fad023ae18a1b40a093b377680fec26c22be6710ee88a12e229ea78f</x:v>
      </x:c>
      <x:c r="G5" s="58" t="n">
        <x:v>26614</x:v>
      </x:c>
    </x:row>
    <x:row r="6">
      <x:c r="A6" s="47" t="str">
        <x:v>RUN-TRF-111-20260901T153939767389Z</x:v>
      </x:c>
      <x:c r="B6" s="47" t="str">
        <x:v>TRF-111</x:v>
      </x:c>
      <x:c r="C6" s="59"/>
      <x:c r="D6" s="47" t="str">
        <x:v>few_shot_selection</x:v>
      </x:c>
      <x:c r="E6" s="48" t="str">
        <x:v>artifacts/few_shots_selected.json</x:v>
      </x:c>
      <x:c r="F6" s="47" t="str">
        <x:v>702b114cc84d439d101a4b47d9d22029d34e3357955cbecf0969fe1e1339cb34</x:v>
      </x:c>
      <x:c r="G6" s="59" t="n">
        <x:v>6555</x:v>
      </x:c>
    </x:row>
    <x:row r="7">
      <x:c r="A7" s="47" t="str">
        <x:v>RUN-TRF-111-20260901T153939767389Z</x:v>
      </x:c>
      <x:c r="B7" s="47" t="str">
        <x:v>TRF-111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760762dd752485f6daa0b82431ac45cb78642f88c7df17a36a9125de4a9dbcb9</x:v>
      </x:c>
      <x:c r="G7" s="59" t="n">
        <x:v>44813</x:v>
      </x:c>
    </x:row>
    <x:row r="8">
      <x:c r="A8" s="47" t="str">
        <x:v>RUN-TRF-111-20260901T153939767389Z</x:v>
      </x:c>
      <x:c r="B8" s="47" t="str">
        <x:v>TRF-111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c42057c66e21d9b0a9e3333b885ea79ea9b4ae67f59183c20b0b6ddafd21830f</x:v>
      </x:c>
      <x:c r="G8" s="59" t="n">
        <x:v>5672</x:v>
      </x:c>
    </x:row>
    <x:row r="9">
      <x:c r="A9" s="47" t="str">
        <x:v>RUN-TRF-111-20260901T153939767389Z</x:v>
      </x:c>
      <x:c r="B9" s="47" t="str">
        <x:v>TRF-111</x:v>
      </x:c>
      <x:c r="C9" s="59" t="n">
        <x:v>1</x:v>
      </x:c>
      <x:c r="D9" s="47" t="str">
        <x:v>syntax_repair_prompt</x:v>
      </x:c>
      <x:c r="E9" s="48" t="str">
        <x:v>artifacts/attempt_01/syntax_repair_prompt_01.txt</x:v>
      </x:c>
      <x:c r="F9" s="47" t="str">
        <x:v>3a82ed32dd3bdadfcc2baff6e07e8f9e7478471f535e39f092562ac5b3cd1553</x:v>
      </x:c>
      <x:c r="G9" s="59" t="n">
        <x:v>6875</x:v>
      </x:c>
    </x:row>
    <x:row r="10">
      <x:c r="A10" s="47" t="str">
        <x:v>RUN-TRF-111-20260901T153939767389Z</x:v>
      </x:c>
      <x:c r="B10" s="47" t="str">
        <x:v>TRF-111</x:v>
      </x:c>
      <x:c r="C10" s="59" t="n">
        <x:v>1</x:v>
      </x:c>
      <x:c r="D10" s="47" t="str">
        <x:v>syntax_repair_raw_response</x:v>
      </x:c>
      <x:c r="E10" s="48" t="str">
        <x:v>artifacts/attempt_01/syntax_repair_raw_01.txt</x:v>
      </x:c>
      <x:c r="F10" s="47" t="str">
        <x:v>75029e82ea356ac6f5c842a6fab9d700a71c52abe91ecf4d9cac8aa72cdcdd09</x:v>
      </x:c>
      <x:c r="G10" s="59" t="n">
        <x:v>5684</x:v>
      </x:c>
    </x:row>
    <x:row r="11">
      <x:c r="A11" s="47" t="str">
        <x:v>RUN-TRF-111-20260901T153939767389Z</x:v>
      </x:c>
      <x:c r="B11" s="47" t="str">
        <x:v>TRF-111</x:v>
      </x:c>
      <x:c r="C11" s="59" t="n">
        <x:v>1</x:v>
      </x:c>
      <x:c r="D11" s="47" t="str">
        <x:v>syntax_repair_prompt</x:v>
      </x:c>
      <x:c r="E11" s="48" t="str">
        <x:v>artifacts/attempt_01/syntax_repair_prompt_02.txt</x:v>
      </x:c>
      <x:c r="F11" s="47" t="str">
        <x:v>cf28455900630dd6acbc0954887cb9c4ca7e02452b4efef54846bdbbccce0002</x:v>
      </x:c>
      <x:c r="G11" s="59" t="n">
        <x:v>7011</x:v>
      </x:c>
    </x:row>
    <x:row r="12">
      <x:c r="A12" s="47" t="str">
        <x:v>RUN-TRF-111-20260901T153939767389Z</x:v>
      </x:c>
      <x:c r="B12" s="47" t="str">
        <x:v>TRF-111</x:v>
      </x:c>
      <x:c r="C12" s="59" t="n">
        <x:v>1</x:v>
      </x:c>
      <x:c r="D12" s="47" t="str">
        <x:v>syntax_repair_raw_response</x:v>
      </x:c>
      <x:c r="E12" s="48" t="str">
        <x:v>artifacts/attempt_01/syntax_repair_raw_02.txt</x:v>
      </x:c>
      <x:c r="F12" s="47" t="str">
        <x:v>23101787e4605ec6d690117eec5b7b9c9b23481d44d063eb1853891c51cc7f08</x:v>
      </x:c>
      <x:c r="G12" s="59" t="n">
        <x:v>5668</x:v>
      </x:c>
    </x:row>
    <x:row r="13">
      <x:c r="A13" s="47" t="str">
        <x:v>RUN-TRF-111-20260901T153939767389Z</x:v>
      </x:c>
      <x:c r="B13" s="47" t="str">
        <x:v>TRF-111</x:v>
      </x:c>
      <x:c r="C13" s="59" t="n">
        <x:v>1</x:v>
      </x:c>
      <x:c r="D13" s="47" t="str">
        <x:v>no_semantic_validator_candidate_shape</x:v>
      </x:c>
      <x:c r="E13" s="48" t="str">
        <x:v>artifacts/attempt_01/candidate_shape.ttl</x:v>
      </x:c>
      <x:c r="F13" s="47" t="str">
        <x:v>eacbc77ba02610f9e4db949f82e8f3f2c2eed78199554477e2ad982f43049938</x:v>
      </x:c>
      <x:c r="G13" s="59" t="n">
        <x:v>5643</x:v>
      </x:c>
    </x:row>
    <x:row r="14">
      <x:c r="A14" s="49" t="str">
        <x:v>RUN-TRF-111-20260901T153939767389Z</x:v>
      </x:c>
      <x:c r="B14" s="49" t="str">
        <x:v>TRF-111</x:v>
      </x:c>
      <x:c r="C14" s="60" t="n">
        <x:v>1</x:v>
      </x:c>
      <x:c r="D14" s="49" t="str">
        <x:v>no_semantic_validator_diagnostics</x:v>
      </x:c>
      <x:c r="E14" s="50" t="str">
        <x:v>artifacts/attempt_01/no_semantic_validator_diagnostics.json</x:v>
      </x:c>
      <x:c r="F14" s="49" t="str">
        <x:v>7e807f87440277ccf5edd082d17aad13fa8aaa9527e533d16b293ed6a1e1be8c</x:v>
      </x:c>
      <x:c r="G14" s="60" t="n">
        <x:v>1646</x:v>
      </x:c>
    </x:row>
  </x:sheetData>
  <x:pageMargins left="0.7" right="0.7" top="0.75" bottom="0.75" header="0.3" footer="0.3"/>
  <x:tableParts count="1">
    <x:tablePart xmlns:r="http://schemas.openxmlformats.org/officeDocument/2006/relationships" r:id="R25dfdb08c4f349b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RUN-TRF-111-20260901T153939767389Z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RUN-TRF-111-20260901T153939767389Z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