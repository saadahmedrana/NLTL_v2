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860f3c5b1345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6929aee7b6145f6"/>
    <x:sheet xmlns:r="http://schemas.openxmlformats.org/officeDocument/2006/relationships" name="README" sheetId="2" r:id="Re8dd4c2eb6dc4518"/>
    <x:sheet xmlns:r="http://schemas.openxmlformats.org/officeDocument/2006/relationships" name="REGULATION_QUEUE" sheetId="3" r:id="R9254b4741af946e7"/>
    <x:sheet xmlns:r="http://schemas.openxmlformats.org/officeDocument/2006/relationships" name="RUNS" sheetId="4" r:id="R788cb05653544697"/>
    <x:sheet xmlns:r="http://schemas.openxmlformats.org/officeDocument/2006/relationships" name="ITERATIONS" sheetId="5" r:id="R9ea61924353e4a30"/>
    <x:sheet xmlns:r="http://schemas.openxmlformats.org/officeDocument/2006/relationships" name="API_CALLS" sheetId="6" r:id="Rba62bcf8e5774fbf"/>
    <x:sheet xmlns:r="http://schemas.openxmlformats.org/officeDocument/2006/relationships" name="TERM_RETRIEVAL" sheetId="7" r:id="R714c0f2f043b494e"/>
    <x:sheet xmlns:r="http://schemas.openxmlformats.org/officeDocument/2006/relationships" name="FEW_SHOT_SELECTION" sheetId="8" r:id="Rd9017406fea44a9e"/>
    <x:sheet xmlns:r="http://schemas.openxmlformats.org/officeDocument/2006/relationships" name="VALIDATION" sheetId="9" r:id="R6dfcdd990dad4ab5"/>
    <x:sheet xmlns:r="http://schemas.openxmlformats.org/officeDocument/2006/relationships" name="VOCAB_MATCHES" sheetId="10" r:id="Raf49b3f2414f4702"/>
    <x:sheet xmlns:r="http://schemas.openxmlformats.org/officeDocument/2006/relationships" name="ARTIFACTS" sheetId="11" r:id="R8f2cb7b787a44713"/>
    <x:sheet xmlns:r="http://schemas.openxmlformats.org/officeDocument/2006/relationships" name="UNRESOLVED" sheetId="12" r:id="R0fe09fb4719746a6"/>
    <x:sheet xmlns:r="http://schemas.openxmlformats.org/officeDocument/2006/relationships" name="RDF_TEST_QUEUE" sheetId="13" r:id="R40b1d6fcb9394a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1247cd2f004fe2" /><Relationship Type="http://schemas.openxmlformats.org/officeDocument/2006/relationships/theme" Target="/xl/theme/theme1.xml" Id="R05e9df0359014f6c" /><Relationship Type="http://schemas.microsoft.com/office/2022/11/relationships/FeaturePropertyBag" Target="/xl/featurePropertyBag/featurePropertyBag.xml" Id="R94d8dcd1d9af4a30" /><Relationship Type="http://schemas.openxmlformats.org/officeDocument/2006/relationships/sharedStrings" Target="/xl/sharedStrings.xml" Id="R2a5a7195682c472f" /><Relationship Type="http://schemas.openxmlformats.org/officeDocument/2006/relationships/worksheet" Target="/xl/worksheets/sheet1.xml" Id="Rd6929aee7b6145f6" /><Relationship Type="http://schemas.openxmlformats.org/officeDocument/2006/relationships/worksheet" Target="/xl/worksheets/sheet2.xml" Id="Re8dd4c2eb6dc4518" /><Relationship Type="http://schemas.openxmlformats.org/officeDocument/2006/relationships/worksheet" Target="/xl/worksheets/sheet3.xml" Id="R9254b4741af946e7" /><Relationship Type="http://schemas.openxmlformats.org/officeDocument/2006/relationships/worksheet" Target="/xl/worksheets/sheet4.xml" Id="R788cb05653544697" /><Relationship Type="http://schemas.openxmlformats.org/officeDocument/2006/relationships/worksheet" Target="/xl/worksheets/sheet5.xml" Id="R9ea61924353e4a30" /><Relationship Type="http://schemas.openxmlformats.org/officeDocument/2006/relationships/worksheet" Target="/xl/worksheets/sheet6.xml" Id="Rba62bcf8e5774fbf" /><Relationship Type="http://schemas.openxmlformats.org/officeDocument/2006/relationships/worksheet" Target="/xl/worksheets/sheet7.xml" Id="R714c0f2f043b494e" /><Relationship Type="http://schemas.openxmlformats.org/officeDocument/2006/relationships/worksheet" Target="/xl/worksheets/sheet8.xml" Id="Rd9017406fea44a9e" /><Relationship Type="http://schemas.openxmlformats.org/officeDocument/2006/relationships/worksheet" Target="/xl/worksheets/sheet9.xml" Id="R6dfcdd990dad4ab5" /><Relationship Type="http://schemas.openxmlformats.org/officeDocument/2006/relationships/worksheet" Target="/xl/worksheets/sheet10.xml" Id="Raf49b3f2414f4702" /><Relationship Type="http://schemas.openxmlformats.org/officeDocument/2006/relationships/worksheet" Target="/xl/worksheets/sheet11.xml" Id="R8f2cb7b787a44713" /><Relationship Type="http://schemas.openxmlformats.org/officeDocument/2006/relationships/worksheet" Target="/xl/worksheets/sheet12.xml" Id="R0fe09fb4719746a6" /><Relationship Type="http://schemas.openxmlformats.org/officeDocument/2006/relationships/worksheet" Target="/xl/worksheets/sheet13.xml" Id="R40b1d6fcb9394a9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85453ff01b49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c6c0e33a3394d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e5c9ceb80d749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f96a0048d06415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6c51421f92448c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e2660161e1d435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1f1abee3fdb41f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cce43ee5dd54e3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a2f913c53fe4f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RUN-I2-024-20260901T155626371050Z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23046.101000000002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RUN-I2-024-20260901T155626371050Z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d85453ff01b492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RUN-I2-024-20260901T155626371050Z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NO_SEMANTIC_VALIDATOR_DETERMINISTIC_PASS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6c0e33a3394da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RUN-I2-024-20260901T155626371050Z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RUN-I2-024-20260901T155626371050Z</x:v>
      </x:c>
      <x:c r="C5" s="69" t="str">
        <x:v>I2-024</x:v>
      </x:c>
      <x:c r="D5" s="70" t="n">
        <x:v>46266.66419412037</x:v>
      </x:c>
      <x:c r="E5" s="70" t="n">
        <x:v>46266.664462939814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5c9ceb80d7493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RUN-I2-024-20260901T155626371050Z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RUN-I2-024-20260901T155626371050Z</x:v>
      </x:c>
      <x:c r="B5" s="69" t="str">
        <x:v>I2-024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23046.823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96a0048d06415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RUN-I2-024-20260901T155626371050Z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RUN-I2-024-20260901T155626371050Z</x:v>
      </x:c>
      <x:c r="C5" s="45" t="str">
        <x:v>I2-024</x:v>
      </x:c>
      <x:c r="D5" s="84" t="n">
        <x:v>46266.66446086806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23045.379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RUN-I2-024-20260901T155626371050Z</x:v>
      </x:c>
      <x:c r="C6" s="49" t="str">
        <x:v>I2-024</x:v>
      </x:c>
      <x:c r="D6" s="87" t="n">
        <x:v>46266.6644608912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23046.823</x:v>
      </x:c>
      <x:c r="L6" s="89" t="b">
        <x:v>0</x:v>
      </x:c>
      <x:c r="M6" s="49" t="str">
        <x:v>resp_00183ea9566e9c08006a96f5aaa9088190b377b0fd342fba53</x:v>
      </x:c>
      <x:c r="N6" s="60" t="n">
        <x:v>10556</x:v>
      </x:c>
      <x:c r="O6" s="60" t="n">
        <x:v>2188</x:v>
      </x:c>
      <x:c r="P6" s="60" t="n">
        <x:v>12744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c51421f92448c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RUN-I2-024-20260901T155626371050Z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RUN-I2-024-20260901T155626371050Z</x:v>
      </x:c>
      <x:c r="B5" s="45" t="str">
        <x:v>I2-024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framingAngle; domain dependency of interpolatedShellPlateRequirement</x:v>
      </x:c>
      <x:c r="J5" s="45" t="n">
        <x:v>0</x:v>
      </x:c>
    </x:row>
    <x:row r="6">
      <x:c r="A6" s="47" t="str">
        <x:v>RUN-I2-024-20260901T155626371050Z</x:v>
      </x:c>
      <x:c r="B6" s="47" t="str">
        <x:v>I2-024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interpolationLowerEndpoint; domain dependency of interpolationUpperEndpoint; domain dependency of longitudinalFramingNetPlateThickness; domain dependency of transverseFramingNetPlateThickness; range dependency of hasCalculationCase; range dependency of interpolationPoint; range dependency of obliquePlatingInterpolationCase</x:v>
      </x:c>
      <x:c r="J6" s="47" t="n">
        <x:v>0</x:v>
      </x:c>
    </x:row>
    <x:row r="7">
      <x:c r="A7" s="47" t="str">
        <x:v>RUN-I2-024-20260901T155626371050Z</x:v>
      </x:c>
      <x:c r="B7" s="47" t="str">
        <x:v>I2-024</x:v>
      </x:c>
      <x:c r="C7" s="47" t="str">
        <x:v>framingAngle</x:v>
      </x:c>
      <x:c r="D7" s="48" t="str">
        <x:v>https://w3id.org/nltl/vocab#framingAngle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RUN-I2-024-20260901T155626371050Z</x:v>
      </x:c>
      <x:c r="B8" s="47" t="str">
        <x:v>I2-024</x:v>
      </x:c>
      <x:c r="C8" s="47" t="str">
        <x:v>hasCalculationCase</x:v>
      </x:c>
      <x:c r="D8" s="48" t="str">
        <x:v>https://w3id.org/nltl/vocab#hasCalculationCase</x:v>
      </x:c>
      <x:c r="E8" s="47" t="str">
        <x:v>ObjectProperty</x:v>
      </x:c>
      <x:c r="F8" s="47" t="str"/>
      <x:c r="G8" s="47" t="str">
        <x:v>https://w3id.org/nltl/vocab#calculationCase</x:v>
      </x:c>
      <x:c r="H8" s="47" t="str"/>
      <x:c r="I8" s="48" t="str">
        <x:v>canonical path from target owner ship to required owner calculationCase; linked by the locked 313-requirement index</x:v>
      </x:c>
      <x:c r="J8" s="47" t="n">
        <x:v>0</x:v>
      </x:c>
    </x:row>
    <x:row r="9">
      <x:c r="A9" s="47" t="str">
        <x:v>RUN-I2-024-20260901T155626371050Z</x:v>
      </x:c>
      <x:c r="B9" s="47" t="str">
        <x:v>I2-024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RUN-I2-024-20260901T155626371050Z</x:v>
      </x:c>
      <x:c r="B10" s="47" t="str">
        <x:v>I2-024</x:v>
      </x:c>
      <x:c r="C10" s="47" t="str">
        <x:v>hasObliquePlatingInterpolationCase</x:v>
      </x:c>
      <x:c r="D10" s="48" t="str">
        <x:v>https://w3id.org/nltl/vocab#hasObliquePlatingInterpolationCase</x:v>
      </x:c>
      <x:c r="E10" s="47" t="str">
        <x:v>ObjectProperty</x:v>
      </x:c>
      <x:c r="F10" s="47" t="str"/>
      <x:c r="G10" s="47" t="str">
        <x:v>https://w3id.org/nltl/vocab#obliquePlatingInterpolationCase</x:v>
      </x:c>
      <x:c r="H10" s="47" t="str"/>
      <x:c r="I10" s="48" t="str">
        <x:v>canonical path from target owner ship to required owner obliquePlatingInterpolationCase; linked by the locked 313-requirement index</x:v>
      </x:c>
      <x:c r="J10" s="47" t="n">
        <x:v>0</x:v>
      </x:c>
    </x:row>
    <x:row r="11">
      <x:c r="A11" s="47" t="str">
        <x:v>RUN-I2-024-20260901T155626371050Z</x:v>
      </x:c>
      <x:c r="B11" s="47" t="str">
        <x:v>I2-024</x:v>
      </x:c>
      <x:c r="C11" s="47" t="str">
        <x:v>interpolatedNetPlateThickness</x:v>
      </x:c>
      <x:c r="D11" s="48" t="str">
        <x:v>https://w3id.org/nltl/vocab#interpolatedNetPlateThickness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http://qudt.org/vocab/unit/MilliM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RUN-I2-024-20260901T155626371050Z</x:v>
      </x:c>
      <x:c r="B12" s="47" t="str">
        <x:v>I2-024</x:v>
      </x:c>
      <x:c r="C12" s="47" t="str">
        <x:v>interpolatedShellPlateRequirement</x:v>
      </x:c>
      <x:c r="D12" s="48" t="str">
        <x:v>https://w3id.org/nltl/vocab#interpolatedShellPlateRequirement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RUN-I2-024-20260901T155626371050Z</x:v>
      </x:c>
      <x:c r="B13" s="47" t="str">
        <x:v>I2-024</x:v>
      </x:c>
      <x:c r="C13" s="47" t="str">
        <x:v>interpolationLowerEndpoint</x:v>
      </x:c>
      <x:c r="D13" s="48" t="str">
        <x:v>https://w3id.org/nltl/vocab#interpolationLowerEndpoint</x:v>
      </x:c>
      <x:c r="E13" s="47" t="str">
        <x:v>ObjectProperty</x:v>
      </x:c>
      <x:c r="F13" s="47" t="str"/>
      <x:c r="G13" s="47" t="str">
        <x:v>https://w3id.org/nltl/vocab#interpolationPoint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RUN-I2-024-20260901T155626371050Z</x:v>
      </x:c>
      <x:c r="B14" s="47" t="str">
        <x:v>I2-024</x:v>
      </x:c>
      <x:c r="C14" s="47" t="str">
        <x:v>interpolationPoint</x:v>
      </x:c>
      <x:c r="D14" s="48" t="str">
        <x:v>https://w3id.org/nltl/vocab#interpolationPoint</x:v>
      </x:c>
      <x:c r="E14" s="47" t="str">
        <x:v>Class</x:v>
      </x:c>
      <x:c r="F14" s="47" t="str"/>
      <x:c r="G14" s="47" t="str">
        <x:v>https://w3id.org/nltl/vocab#calculationCase</x:v>
      </x:c>
      <x:c r="H14" s="47" t="str"/>
      <x:c r="I14" s="48" t="str">
        <x:v>authoritative required owner class; domain dependency of interpolationPointCoordinate; domain dependency of interpolationPointResult; linked by the locked 313-requirement index; range dependency of interpolationLowerEndpoint; range dependency of interpolationUpperEndpoint</x:v>
      </x:c>
      <x:c r="J14" s="47" t="n">
        <x:v>0</x:v>
      </x:c>
    </x:row>
    <x:row r="15">
      <x:c r="A15" s="47" t="str">
        <x:v>RUN-I2-024-20260901T155626371050Z</x:v>
      </x:c>
      <x:c r="B15" s="47" t="str">
        <x:v>I2-024</x:v>
      </x:c>
      <x:c r="C15" s="47" t="str">
        <x:v>interpolationPointCoordinate</x:v>
      </x:c>
      <x:c r="D15" s="48" t="str">
        <x:v>https://w3id.org/nltl/vocab#interpolationPointCoordinate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RUN-I2-024-20260901T155626371050Z</x:v>
      </x:c>
      <x:c r="B16" s="47" t="str">
        <x:v>I2-024</x:v>
      </x:c>
      <x:c r="C16" s="47" t="str">
        <x:v>interpolationPointResult</x:v>
      </x:c>
      <x:c r="D16" s="48" t="str">
        <x:v>https://w3id.org/nltl/vocab#interpolationPointResult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RUN-I2-024-20260901T155626371050Z</x:v>
      </x:c>
      <x:c r="B17" s="47" t="str">
        <x:v>I2-024</x:v>
      </x:c>
      <x:c r="C17" s="47" t="str">
        <x:v>interpolationUpperEndpoint</x:v>
      </x:c>
      <x:c r="D17" s="48" t="str">
        <x:v>https://w3id.org/nltl/vocab#interpolationUpperEndpoint</x:v>
      </x:c>
      <x:c r="E17" s="47" t="str">
        <x:v>ObjectProperty</x:v>
      </x:c>
      <x:c r="F17" s="47" t="str"/>
      <x:c r="G17" s="47" t="str">
        <x:v>https://w3id.org/nltl/vocab#interpolationPoint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RUN-I2-024-20260901T155626371050Z</x:v>
      </x:c>
      <x:c r="B18" s="47" t="str">
        <x:v>I2-024</x:v>
      </x:c>
      <x:c r="C18" s="47" t="str">
        <x:v>longitudinalFramingNetPlateThickness</x:v>
      </x:c>
      <x:c r="D18" s="48" t="str">
        <x:v>https://w3id.org/nltl/vocab#longitudinalFramingNetPlateThickness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http://qudt.org/vocab/unit/MilliM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RUN-I2-024-20260901T155626371050Z</x:v>
      </x:c>
      <x:c r="B19" s="47" t="str">
        <x:v>I2-024</x:v>
      </x:c>
      <x:c r="C19" s="47" t="str">
        <x:v>obliquePlatingInterpolationCase</x:v>
      </x:c>
      <x:c r="D19" s="48" t="str">
        <x:v>https://w3id.org/nltl/vocab#obliquePlatingInterpolationCase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interpolatedNetPlateThickness; linked by the locked 313-requirement index; range dependency of hasObliquePlatingInterpolationCase</x:v>
      </x:c>
      <x:c r="J19" s="47" t="n">
        <x:v>0</x:v>
      </x:c>
    </x:row>
    <x:row r="20">
      <x:c r="A20" s="47" t="str">
        <x:v>RUN-I2-024-20260901T155626371050Z</x:v>
      </x:c>
      <x:c r="B20" s="47" t="str">
        <x:v>I2-024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hasCalculationCase; domain dependency of hasObliquePlatingInterpolationCase</x:v>
      </x:c>
      <x:c r="J20" s="47" t="n">
        <x:v>0</x:v>
      </x:c>
    </x:row>
    <x:row r="21">
      <x:c r="A21" s="47" t="str">
        <x:v>RUN-I2-024-20260901T155626371050Z</x:v>
      </x:c>
      <x:c r="B21" s="47" t="str">
        <x:v>I2-024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9" t="str">
        <x:v>RUN-I2-024-20260901T155626371050Z</x:v>
      </x:c>
      <x:c r="B22" s="49" t="str">
        <x:v>I2-024</x:v>
      </x:c>
      <x:c r="C22" s="49" t="str">
        <x:v>transverseFramingNetPlateThickness</x:v>
      </x:c>
      <x:c r="D22" s="50" t="str">
        <x:v>https://w3id.org/nltl/vocab#transverseFramingNetPlateThickness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http://qudt.org/vocab/unit/MilliM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e2660161e1d435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RUN-I2-024-20260901T155626371050Z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RUN-I2-024-20260901T155626371050Z</x:v>
      </x:c>
      <x:c r="B5" s="45" t="str">
        <x:v>I2-024</x:v>
      </x:c>
      <x:c r="C5" s="45" t="str">
        <x:v>FS-COMPLEX-READINESS-01</x:v>
      </x:c>
      <x:c r="D5" s="45" t="str">
        <x:v>complex_readiness_external_calculation</x:v>
      </x:c>
      <x:c r="E5" s="92" t="n">
        <x:v>2.222222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RUN-I2-024-20260901T155626371050Z</x:v>
      </x:c>
      <x:c r="B6" s="49" t="str">
        <x:v>I2-024</x:v>
      </x:c>
      <x:c r="C6" s="49" t="str">
        <x:v>FS-COMPLEX-READINESS-02</x:v>
      </x:c>
      <x:c r="D6" s="49" t="str">
        <x:v>complex_readiness_with_direct_residual_check</x:v>
      </x:c>
      <x:c r="E6" s="93" t="n">
        <x:v>2.095238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f1abee3fdb41f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RUN-I2-024-20260901T155626371050Z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RUN-I2-024-20260901T155626371050Z</x:v>
      </x:c>
      <x:c r="B5" s="69" t="str">
        <x:v>I2-024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https://w3id.org/nltl/vocab#framingAngle | https://w3id.org/nltl/vocab#hasCalculationCase | https://w3id.org/nltl/vocab#hasObliquePlatingInterpolationCase | https://w3id.org/nltl/vocab#interpolatedNetPlateThickness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https://w3id.org/nltl/vocab#longitudinalFramingNetPlateThickness | https://w3id.org/nltl/vocab#obliquePlatingInterpolationCase | https://w3id.org/nltl/vocab#ship | https://w3id.org/nltl/vocab#transverseFramingNetPlateThickness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cce43ee5dd54e3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RUN-I2-024-20260901T155626371050Z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RUN-I2-024-20260901T155626371050Z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RUN-I2-024-20260901T155626371050Z</x:v>
      </x:c>
      <x:c r="B5" s="45" t="str">
        <x:v>I2-024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f53bb6673827fde3dc0f5148933fd7748dccd243bebc3eeebd66907b95de4a5e</x:v>
      </x:c>
      <x:c r="G5" s="58" t="n">
        <x:v>26286</x:v>
      </x:c>
    </x:row>
    <x:row r="6">
      <x:c r="A6" s="47" t="str">
        <x:v>RUN-I2-024-20260901T155626371050Z</x:v>
      </x:c>
      <x:c r="B6" s="47" t="str">
        <x:v>I2-024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5e463a89d839d5efbed8f16c9ff28dbdca783e489344270940052d3c6ff6e435</x:v>
      </x:c>
      <x:c r="G6" s="59" t="n">
        <x:v>6555</x:v>
      </x:c>
    </x:row>
    <x:row r="7">
      <x:c r="A7" s="47" t="str">
        <x:v>RUN-I2-024-20260901T155626371050Z</x:v>
      </x:c>
      <x:c r="B7" s="47" t="str">
        <x:v>I2-024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f88dee93d5becc817d4fb2bcd4b6031e61ef149fa11772d6007433fb8a9bdd13</x:v>
      </x:c>
      <x:c r="G7" s="59" t="n">
        <x:v>44485</x:v>
      </x:c>
    </x:row>
    <x:row r="8">
      <x:c r="A8" s="47" t="str">
        <x:v>RUN-I2-024-20260901T155626371050Z</x:v>
      </x:c>
      <x:c r="B8" s="47" t="str">
        <x:v>I2-024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c89212c5fcb10897bf9d3528431faeb83fa5330b02cf580f60834892d26002de</x:v>
      </x:c>
      <x:c r="G8" s="59" t="n">
        <x:v>4543</x:v>
      </x:c>
    </x:row>
    <x:row r="9">
      <x:c r="A9" s="47" t="str">
        <x:v>RUN-I2-024-20260901T155626371050Z</x:v>
      </x:c>
      <x:c r="B9" s="47" t="str">
        <x:v>I2-024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7b0988bf2b50f56344f4858204f88f0e7c659b1e20273e6cb2f66dc33ebe8846</x:v>
      </x:c>
      <x:c r="G9" s="59" t="n">
        <x:v>4517</x:v>
      </x:c>
    </x:row>
    <x:row r="10">
      <x:c r="A10" s="49" t="str">
        <x:v>RUN-I2-024-20260901T155626371050Z</x:v>
      </x:c>
      <x:c r="B10" s="49" t="str">
        <x:v>I2-024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da49e18596b9a5a9392d1abe9d6ca6722fd402516bee6556a4f5e91e972cab83</x:v>
      </x:c>
      <x:c r="G10" s="60" t="n">
        <x:v>1667</x:v>
      </x:c>
    </x:row>
  </x:sheetData>
  <x:pageMargins left="0.7" right="0.7" top="0.75" bottom="0.75" header="0.3" footer="0.3"/>
  <x:tableParts count="1">
    <x:tablePart xmlns:r="http://schemas.openxmlformats.org/officeDocument/2006/relationships" r:id="R0a2f913c53fe4fe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RUN-I2-024-20260901T155626371050Z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RUN-I2-024-20260901T155626371050Z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