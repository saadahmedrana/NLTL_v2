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154de59c4ca4fa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d043e5ba8da40ff"/>
    <x:sheet xmlns:r="http://schemas.openxmlformats.org/officeDocument/2006/relationships" name="README" sheetId="2" r:id="Rd2425d4d055e4b9f"/>
    <x:sheet xmlns:r="http://schemas.openxmlformats.org/officeDocument/2006/relationships" name="REGULATION_QUEUE" sheetId="3" r:id="Ra84bed08c3e24ea8"/>
    <x:sheet xmlns:r="http://schemas.openxmlformats.org/officeDocument/2006/relationships" name="RUNS" sheetId="4" r:id="R4473e7e48e1c40d9"/>
    <x:sheet xmlns:r="http://schemas.openxmlformats.org/officeDocument/2006/relationships" name="ITERATIONS" sheetId="5" r:id="R3ad6f7fef49c47a4"/>
    <x:sheet xmlns:r="http://schemas.openxmlformats.org/officeDocument/2006/relationships" name="API_CALLS" sheetId="6" r:id="R1016ccbf4e284281"/>
    <x:sheet xmlns:r="http://schemas.openxmlformats.org/officeDocument/2006/relationships" name="TERM_RETRIEVAL" sheetId="7" r:id="Rb92314a58f79442f"/>
    <x:sheet xmlns:r="http://schemas.openxmlformats.org/officeDocument/2006/relationships" name="FEW_SHOT_SELECTION" sheetId="8" r:id="Rbd2a4f9a3f9b48d0"/>
    <x:sheet xmlns:r="http://schemas.openxmlformats.org/officeDocument/2006/relationships" name="VALIDATION" sheetId="9" r:id="Rc7ace992a3e7498f"/>
    <x:sheet xmlns:r="http://schemas.openxmlformats.org/officeDocument/2006/relationships" name="VOCAB_MATCHES" sheetId="10" r:id="R93335cb318d44856"/>
    <x:sheet xmlns:r="http://schemas.openxmlformats.org/officeDocument/2006/relationships" name="ARTIFACTS" sheetId="11" r:id="R644e77b6ae6848c5"/>
    <x:sheet xmlns:r="http://schemas.openxmlformats.org/officeDocument/2006/relationships" name="UNRESOLVED" sheetId="12" r:id="R1c28f4c39fc7461c"/>
    <x:sheet xmlns:r="http://schemas.openxmlformats.org/officeDocument/2006/relationships" name="RDF_TEST_QUEUE" sheetId="13" r:id="R148862f051c54c4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c086e157c9c4e42" /><Relationship Type="http://schemas.openxmlformats.org/officeDocument/2006/relationships/theme" Target="/xl/theme/theme1.xml" Id="R3466715b978849ab" /><Relationship Type="http://schemas.microsoft.com/office/2022/11/relationships/FeaturePropertyBag" Target="/xl/featurePropertyBag/featurePropertyBag.xml" Id="Rce69e98b4ac04c24" /><Relationship Type="http://schemas.openxmlformats.org/officeDocument/2006/relationships/sharedStrings" Target="/xl/sharedStrings.xml" Id="R530df8f3845d4b21" /><Relationship Type="http://schemas.openxmlformats.org/officeDocument/2006/relationships/worksheet" Target="/xl/worksheets/sheet1.xml" Id="R4d043e5ba8da40ff" /><Relationship Type="http://schemas.openxmlformats.org/officeDocument/2006/relationships/worksheet" Target="/xl/worksheets/sheet2.xml" Id="Rd2425d4d055e4b9f" /><Relationship Type="http://schemas.openxmlformats.org/officeDocument/2006/relationships/worksheet" Target="/xl/worksheets/sheet3.xml" Id="Ra84bed08c3e24ea8" /><Relationship Type="http://schemas.openxmlformats.org/officeDocument/2006/relationships/worksheet" Target="/xl/worksheets/sheet4.xml" Id="R4473e7e48e1c40d9" /><Relationship Type="http://schemas.openxmlformats.org/officeDocument/2006/relationships/worksheet" Target="/xl/worksheets/sheet5.xml" Id="R3ad6f7fef49c47a4" /><Relationship Type="http://schemas.openxmlformats.org/officeDocument/2006/relationships/worksheet" Target="/xl/worksheets/sheet6.xml" Id="R1016ccbf4e284281" /><Relationship Type="http://schemas.openxmlformats.org/officeDocument/2006/relationships/worksheet" Target="/xl/worksheets/sheet7.xml" Id="Rb92314a58f79442f" /><Relationship Type="http://schemas.openxmlformats.org/officeDocument/2006/relationships/worksheet" Target="/xl/worksheets/sheet8.xml" Id="Rbd2a4f9a3f9b48d0" /><Relationship Type="http://schemas.openxmlformats.org/officeDocument/2006/relationships/worksheet" Target="/xl/worksheets/sheet9.xml" Id="Rc7ace992a3e7498f" /><Relationship Type="http://schemas.openxmlformats.org/officeDocument/2006/relationships/worksheet" Target="/xl/worksheets/sheet10.xml" Id="R93335cb318d44856" /><Relationship Type="http://schemas.openxmlformats.org/officeDocument/2006/relationships/worksheet" Target="/xl/worksheets/sheet11.xml" Id="R644e77b6ae6848c5" /><Relationship Type="http://schemas.openxmlformats.org/officeDocument/2006/relationships/worksheet" Target="/xl/worksheets/sheet12.xml" Id="R1c28f4c39fc7461c" /><Relationship Type="http://schemas.openxmlformats.org/officeDocument/2006/relationships/worksheet" Target="/xl/worksheets/sheet13.xml" Id="R148862f051c54c4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5a59897febe416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b6561551c284bc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909518d9186481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484726f1de04c8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01668e80ec4457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33e61b46764479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6f728d0581a34c8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b343a999c8ad45ea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56c9a72e9e7b462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RUN-I2-041-20260901T160119840762Z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12303.752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RUN-I2-041-20260901T160119840762Z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a5a59897febe416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RUN-I2-041-20260901T160119840762Z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NO_SEMANTIC_VALIDATOR_DETERMINISTIC_PASS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b6561551c284bc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RUN-I2-041-20260901T160119840762Z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SESSION-NO-SEMANTIC-VALIDATOR-BATCH-20260901T154754243163Z</x:v>
      </x:c>
      <x:c r="B5" s="69" t="str">
        <x:v>RUN-I2-041-20260901T160119840762Z</x:v>
      </x:c>
      <x:c r="C5" s="69" t="str">
        <x:v>I2-041</x:v>
      </x:c>
      <x:c r="D5" s="70" t="n">
        <x:v>46266.66759075232</x:v>
      </x:c>
      <x:c r="E5" s="70" t="n">
        <x:v>46266.667734560186</x:v>
      </x:c>
      <x:c r="F5" s="69" t="str">
        <x:v>luna-no-semantic-validator-run04-v1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909518d9186481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RUN-I2-041-20260901T160119840762Z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RUN-I2-041-20260901T160119840762Z</x:v>
      </x:c>
      <x:c r="B5" s="69" t="str">
        <x:v>I2-041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12304.438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484726f1de04c8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RUN-I2-041-20260901T160119840762Z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EVT-000019</x:v>
      </x:c>
      <x:c r="B5" s="45" t="str">
        <x:v>RUN-I2-041-20260901T160119840762Z</x:v>
      </x:c>
      <x:c r="C5" s="45" t="str">
        <x:v>I2-041</x:v>
      </x:c>
      <x:c r="D5" s="84" t="n">
        <x:v>46266.6677331713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12303.066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EVT-000020</x:v>
      </x:c>
      <x:c r="B6" s="49" t="str">
        <x:v>RUN-I2-041-20260901T160119840762Z</x:v>
      </x:c>
      <x:c r="C6" s="49" t="str">
        <x:v>I2-041</x:v>
      </x:c>
      <x:c r="D6" s="87" t="n">
        <x:v>46266.667733194445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12304.438</x:v>
      </x:c>
      <x:c r="L6" s="89" t="b">
        <x:v>0</x:v>
      </x:c>
      <x:c r="M6" s="49" t="str">
        <x:v>resp_02806a3334329f0d006a96f6d00c288190975bab5f9355fd1c</x:v>
      </x:c>
      <x:c r="N6" s="60" t="n">
        <x:v>8844</x:v>
      </x:c>
      <x:c r="O6" s="60" t="n">
        <x:v>1067</x:v>
      </x:c>
      <x:c r="P6" s="60" t="n">
        <x:v>9911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01668e80ec4457e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RUN-I2-041-20260901T160119840762Z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RUN-I2-041-20260901T160119840762Z</x:v>
      </x:c>
      <x:c r="B5" s="45" t="str">
        <x:v>I2-041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thickness; domain dependency of yieldStrength</x:v>
      </x:c>
      <x:c r="J5" s="45" t="n">
        <x:v>0</x:v>
      </x:c>
    </x:row>
    <x:row r="6">
      <x:c r="A6" s="47" t="str">
        <x:v>RUN-I2-041-20260901T160119840762Z</x:v>
      </x:c>
      <x:c r="B6" s="47" t="str">
        <x:v>I2-041</x:v>
      </x:c>
      <x:c r="C6" s="47" t="str">
        <x:v>hasComponent</x:v>
      </x:c>
      <x:c r="D6" s="48" t="str">
        <x:v>https://w3id.org/nltl/vocab#hasComponent</x:v>
      </x:c>
      <x:c r="E6" s="47" t="str">
        <x:v>ObjectProperty</x:v>
      </x:c>
      <x:c r="F6" s="47" t="str"/>
      <x:c r="G6" s="47" t="str">
        <x:v>https://w3id.org/nltl/vocab#shipComponent</x:v>
      </x:c>
      <x:c r="H6" s="47" t="str"/>
      <x:c r="I6" s="48" t="str">
        <x:v>component-path dependency inferred from the linked term module</x:v>
      </x:c>
      <x:c r="J6" s="47" t="n">
        <x:v>0</x:v>
      </x:c>
    </x:row>
    <x:row r="7">
      <x:c r="A7" s="47" t="str">
        <x:v>RUN-I2-041-20260901T160119840762Z</x:v>
      </x:c>
      <x:c r="B7" s="47" t="str">
        <x:v>I2-041</x:v>
      </x:c>
      <x:c r="C7" s="47" t="str">
        <x:v>hasStructuralMember</x:v>
      </x:c>
      <x:c r="D7" s="48" t="str">
        <x:v>https://w3id.org/nltl/vocab#hasStructuralMember</x:v>
      </x:c>
      <x:c r="E7" s="47" t="str">
        <x:v>ObjectProperty</x:v>
      </x:c>
      <x:c r="F7" s="47" t="str"/>
      <x:c r="G7" s="47" t="str">
        <x:v>https://w3id.org/nltl/vocab#structuralMember</x:v>
      </x:c>
      <x:c r="H7" s="47" t="str"/>
      <x:c r="I7" s="48" t="str">
        <x:v>canonical path from target owner ship to required owner structuralMember; linked by the locked 313-requirement index</x:v>
      </x:c>
      <x:c r="J7" s="47" t="n">
        <x:v>0</x:v>
      </x:c>
    </x:row>
    <x:row r="8">
      <x:c r="A8" s="47" t="str">
        <x:v>RUN-I2-041-20260901T160119840762Z</x:v>
      </x:c>
      <x:c r="B8" s="47" t="str">
        <x:v>I2-041</x:v>
      </x:c>
      <x:c r="C8" s="47" t="str">
        <x:v>hullStructure</x:v>
      </x:c>
      <x:c r="D8" s="48" t="str">
        <x:v>https://w3id.org/nltl/vocab#hullStructure</x:v>
      </x:c>
      <x:c r="E8" s="47" t="str">
        <x:v>Class</x:v>
      </x:c>
      <x:c r="F8" s="47" t="str"/>
      <x:c r="G8" s="47" t="str"/>
      <x:c r="H8" s="47" t="str"/>
      <x:c r="I8" s="48" t="str">
        <x:v>range dependency of structuralMember</x:v>
      </x:c>
      <x:c r="J8" s="47" t="n">
        <x:v>0</x:v>
      </x:c>
    </x:row>
    <x:row r="9">
      <x:c r="A9" s="47" t="str">
        <x:v>RUN-I2-041-20260901T160119840762Z</x:v>
      </x:c>
      <x:c r="B9" s="47" t="str">
        <x:v>I2-041</x:v>
      </x:c>
      <x:c r="C9" s="47" t="str">
        <x:v>netAttachedShellPlateThickness</x:v>
      </x:c>
      <x:c r="D9" s="48" t="str">
        <x:v>https://w3id.org/nltl/vocab#netAttachedShellPlateThickness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http://qudt.org/vocab/unit/MilliM</x:v>
      </x:c>
      <x:c r="I9" s="48" t="str">
        <x:v>linked by the locked 313-requirement index</x:v>
      </x:c>
      <x:c r="J9" s="47" t="n">
        <x:v>0</x:v>
      </x:c>
    </x:row>
    <x:row r="10">
      <x:c r="A10" s="47" t="str">
        <x:v>RUN-I2-041-20260901T160119840762Z</x:v>
      </x:c>
      <x:c r="B10" s="47" t="str">
        <x:v>I2-041</x:v>
      </x:c>
      <x:c r="C10" s="47" t="str">
        <x:v>netWebThickness</x:v>
      </x:c>
      <x:c r="D10" s="48" t="str">
        <x:v>https://w3id.org/nltl/vocab#netWebThickness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http://qudt.org/vocab/unit/MilliM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RUN-I2-041-20260901T160119840762Z</x:v>
      </x:c>
      <x:c r="B11" s="47" t="str">
        <x:v>I2-041</x:v>
      </x:c>
      <x:c r="C11" s="47" t="str">
        <x:v>ship</x:v>
      </x:c>
      <x:c r="D11" s="48" t="str">
        <x:v>https://w3id.org/nltl/vocab#ship</x:v>
      </x:c>
      <x:c r="E11" s="47" t="str">
        <x:v>Class</x:v>
      </x:c>
      <x:c r="F11" s="47" t="str"/>
      <x:c r="G11" s="47" t="str"/>
      <x:c r="H11" s="47" t="str"/>
      <x:c r="I11" s="48" t="str">
        <x:v>authoritative required owner class; authoritative requirement target owner; baseline target infrastructure; domain dependency of hasStructuralMember</x:v>
      </x:c>
      <x:c r="J11" s="47" t="n">
        <x:v>0</x:v>
      </x:c>
    </x:row>
    <x:row r="12">
      <x:c r="A12" s="47" t="str">
        <x:v>RUN-I2-041-20260901T160119840762Z</x:v>
      </x:c>
      <x:c r="B12" s="47" t="str">
        <x:v>I2-041</x:v>
      </x:c>
      <x:c r="C12" s="47" t="str">
        <x:v>shipComponent</x:v>
      </x:c>
      <x:c r="D12" s="48" t="str">
        <x:v>https://w3id.org/nltl/vocab#shipComponent</x:v>
      </x:c>
      <x:c r="E12" s="47" t="str">
        <x:v>Class</x:v>
      </x:c>
      <x:c r="F12" s="47" t="str"/>
      <x:c r="G12" s="47" t="str"/>
      <x:c r="H12" s="47" t="str"/>
      <x:c r="I12" s="48" t="str">
        <x:v>component-path dependency inferred from the linked term module</x:v>
      </x:c>
      <x:c r="J12" s="47" t="n">
        <x:v>0</x:v>
      </x:c>
    </x:row>
    <x:row r="13">
      <x:c r="A13" s="47" t="str">
        <x:v>RUN-I2-041-20260901T160119840762Z</x:v>
      </x:c>
      <x:c r="B13" s="47" t="str">
        <x:v>I2-041</x:v>
      </x:c>
      <x:c r="C13" s="47" t="str">
        <x:v>structuralMember</x:v>
      </x:c>
      <x:c r="D13" s="48" t="str">
        <x:v>https://w3id.org/nltl/vocab#structuralMember</x:v>
      </x:c>
      <x:c r="E13" s="47" t="str">
        <x:v>Class</x:v>
      </x:c>
      <x:c r="F13" s="47" t="str"/>
      <x:c r="G13" s="47" t="str">
        <x:v>https://w3id.org/nltl/vocab#hullStructure</x:v>
      </x:c>
      <x:c r="H13" s="47" t="str"/>
      <x:c r="I13" s="48" t="str">
        <x:v>authoritative required owner class; domain dependency of netAttachedShellPlateThickness; domain dependency of netWebThickness; linked by the locked 313-requirement index; range dependency of hasStructuralMember</x:v>
      </x:c>
      <x:c r="J13" s="47" t="n">
        <x:v>0</x:v>
      </x:c>
    </x:row>
    <x:row r="14">
      <x:c r="A14" s="47" t="str">
        <x:v>RUN-I2-041-20260901T160119840762Z</x:v>
      </x:c>
      <x:c r="B14" s="47" t="str">
        <x:v>I2-041</x:v>
      </x:c>
      <x:c r="C14" s="47" t="str">
        <x:v>thickness</x:v>
      </x:c>
      <x:c r="D14" s="48" t="str">
        <x:v>https://w3id.org/nltl/vocab#thickness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http://qudt.org/vocab/unit/M</x:v>
      </x:c>
      <x:c r="I14" s="48" t="str">
        <x:v>linked by the locked 313-requirement index</x:v>
      </x:c>
      <x:c r="J14" s="47" t="n">
        <x:v>0</x:v>
      </x:c>
    </x:row>
    <x:row r="15">
      <x:c r="A15" s="49" t="str">
        <x:v>RUN-I2-041-20260901T160119840762Z</x:v>
      </x:c>
      <x:c r="B15" s="49" t="str">
        <x:v>I2-041</x:v>
      </x:c>
      <x:c r="C15" s="49" t="str">
        <x:v>yieldStrength</x:v>
      </x:c>
      <x:c r="D15" s="50" t="str">
        <x:v>https://w3id.org/nltl/vocab#yieldStrength</x:v>
      </x:c>
      <x:c r="E15" s="49" t="str">
        <x:v>QuantityProperty</x:v>
      </x:c>
      <x:c r="F15" s="49" t="str"/>
      <x:c r="G15" s="49" t="str">
        <x:v>http://qudt.org/schema/qudt/QuantityValue</x:v>
      </x:c>
      <x:c r="H15" s="49" t="str">
        <x:v>http://qudt.org/vocab/unit/MegaPA</x:v>
      </x:c>
      <x:c r="I15" s="50" t="str">
        <x:v>linked by the locked 313-requirement index</x:v>
      </x:c>
      <x:c r="J1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833e61b467644792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RUN-I2-041-20260901T160119840762Z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RUN-I2-041-20260901T160119840762Z</x:v>
      </x:c>
      <x:c r="B5" s="45" t="str">
        <x:v>I2-041</x:v>
      </x:c>
      <x:c r="C5" s="45" t="str">
        <x:v>FS-COMPLEX-READINESS-01</x:v>
      </x:c>
      <x:c r="D5" s="45" t="str">
        <x:v>complex_readiness_external_calculation</x:v>
      </x:c>
      <x:c r="E5" s="92" t="n">
        <x:v>2.170213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RUN-I2-041-20260901T160119840762Z</x:v>
      </x:c>
      <x:c r="B6" s="49" t="str">
        <x:v>I2-041</x:v>
      </x:c>
      <x:c r="C6" s="49" t="str">
        <x:v>FS-COMPLEX-READINESS-02</x:v>
      </x:c>
      <x:c r="D6" s="49" t="str">
        <x:v>complex_readiness_with_direct_residual_check</x:v>
      </x:c>
      <x:c r="E6" s="93" t="n">
        <x:v>2.075472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f728d0581a34c89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RUN-I2-041-20260901T160119840762Z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RUN-I2-041-20260901T160119840762Z</x:v>
      </x:c>
      <x:c r="B5" s="69" t="str">
        <x:v>I2-041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https://w3id.org/nltl/vocab#hasStructuralMember | https://w3id.org/nltl/vocab#netAttachedShellPlateThickness | https://w3id.org/nltl/vocab#netWebThickness | https://w3id.org/nltl/vocab#ship | https://w3id.org/nltl/vocab#structuralMember | https://w3id.org/nltl/vocab#yieldStrength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b343a999c8ad45ea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RUN-I2-041-20260901T160119840762Z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RUN-I2-041-20260901T160119840762Z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RUN-I2-041-20260901T160119840762Z</x:v>
      </x:c>
      <x:c r="B5" s="45" t="str">
        <x:v>I2-041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5caef67250ee0e89e28290605d400fb00656360c1ce994dd0b3bcdbde7218e36</x:v>
      </x:c>
      <x:c r="G5" s="58" t="n">
        <x:v>17236</x:v>
      </x:c>
    </x:row>
    <x:row r="6">
      <x:c r="A6" s="47" t="str">
        <x:v>RUN-I2-041-20260901T160119840762Z</x:v>
      </x:c>
      <x:c r="B6" s="47" t="str">
        <x:v>I2-041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23e7be985ca122e2caaba1904e53e7a6ff9d41237049e320596aabd7f01b21d5</x:v>
      </x:c>
      <x:c r="G6" s="59" t="n">
        <x:v>6555</x:v>
      </x:c>
    </x:row>
    <x:row r="7">
      <x:c r="A7" s="47" t="str">
        <x:v>RUN-I2-041-20260901T160119840762Z</x:v>
      </x:c>
      <x:c r="B7" s="47" t="str">
        <x:v>I2-041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abb04601211a7f2678b8b9f929b4fbf6e5aa96816c663ca19d6cfd7d4388e101</x:v>
      </x:c>
      <x:c r="G7" s="59" t="n">
        <x:v>35435</x:v>
      </x:c>
    </x:row>
    <x:row r="8">
      <x:c r="A8" s="47" t="str">
        <x:v>RUN-I2-041-20260901T160119840762Z</x:v>
      </x:c>
      <x:c r="B8" s="47" t="str">
        <x:v>I2-041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8fe1c81d5ebd11b49bd52e52bff2758bacdfe738d274bc4e6bd6119c9317ab0c</x:v>
      </x:c>
      <x:c r="G8" s="59" t="n">
        <x:v>2665</x:v>
      </x:c>
    </x:row>
    <x:row r="9">
      <x:c r="A9" s="47" t="str">
        <x:v>RUN-I2-041-20260901T160119840762Z</x:v>
      </x:c>
      <x:c r="B9" s="47" t="str">
        <x:v>I2-041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c8f33e14c92d7cce8cacf8822679ba467d2d57ceb037277b2849a48e92685ae9</x:v>
      </x:c>
      <x:c r="G9" s="59" t="n">
        <x:v>2640</x:v>
      </x:c>
    </x:row>
    <x:row r="10">
      <x:c r="A10" s="49" t="str">
        <x:v>RUN-I2-041-20260901T160119840762Z</x:v>
      </x:c>
      <x:c r="B10" s="49" t="str">
        <x:v>I2-041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54bf566cce223991be7dce70189486c0f3f9dd001269366e9d12767361f59d84</x:v>
      </x:c>
      <x:c r="G10" s="60" t="n">
        <x:v>1125</x:v>
      </x:c>
    </x:row>
  </x:sheetData>
  <x:pageMargins left="0.7" right="0.7" top="0.75" bottom="0.75" header="0.3" footer="0.3"/>
  <x:tableParts count="1">
    <x:tablePart xmlns:r="http://schemas.openxmlformats.org/officeDocument/2006/relationships" r:id="R56c9a72e9e7b462e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RUN-I2-041-20260901T160119840762Z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RUN-I2-041-20260901T160119840762Z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