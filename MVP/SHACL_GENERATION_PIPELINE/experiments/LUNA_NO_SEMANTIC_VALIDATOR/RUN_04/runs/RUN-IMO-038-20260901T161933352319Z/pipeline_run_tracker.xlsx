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93cd2a1848a472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0c1914a647a74c33"/>
    <x:sheet xmlns:r="http://schemas.openxmlformats.org/officeDocument/2006/relationships" name="README" sheetId="2" r:id="R2728b8663cde4019"/>
    <x:sheet xmlns:r="http://schemas.openxmlformats.org/officeDocument/2006/relationships" name="REGULATION_QUEUE" sheetId="3" r:id="R1ef6c4ba6fa64012"/>
    <x:sheet xmlns:r="http://schemas.openxmlformats.org/officeDocument/2006/relationships" name="RUNS" sheetId="4" r:id="R89db2840c671497b"/>
    <x:sheet xmlns:r="http://schemas.openxmlformats.org/officeDocument/2006/relationships" name="ITERATIONS" sheetId="5" r:id="Rbf74725571104051"/>
    <x:sheet xmlns:r="http://schemas.openxmlformats.org/officeDocument/2006/relationships" name="API_CALLS" sheetId="6" r:id="Rc2b21bf0d72d45fe"/>
    <x:sheet xmlns:r="http://schemas.openxmlformats.org/officeDocument/2006/relationships" name="TERM_RETRIEVAL" sheetId="7" r:id="R4ab157123c034226"/>
    <x:sheet xmlns:r="http://schemas.openxmlformats.org/officeDocument/2006/relationships" name="FEW_SHOT_SELECTION" sheetId="8" r:id="Rdc951bdcfbff46ee"/>
    <x:sheet xmlns:r="http://schemas.openxmlformats.org/officeDocument/2006/relationships" name="VALIDATION" sheetId="9" r:id="Re70edafb19094d48"/>
    <x:sheet xmlns:r="http://schemas.openxmlformats.org/officeDocument/2006/relationships" name="VOCAB_MATCHES" sheetId="10" r:id="R3ad5b12a0b5c4a1f"/>
    <x:sheet xmlns:r="http://schemas.openxmlformats.org/officeDocument/2006/relationships" name="ARTIFACTS" sheetId="11" r:id="R90689d6d92e34370"/>
    <x:sheet xmlns:r="http://schemas.openxmlformats.org/officeDocument/2006/relationships" name="UNRESOLVED" sheetId="12" r:id="Re0e6bc3e044a4c6c"/>
    <x:sheet xmlns:r="http://schemas.openxmlformats.org/officeDocument/2006/relationships" name="RDF_TEST_QUEUE" sheetId="13" r:id="Re8cb99a8c7b2437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a80a45f8c9f4ecc" /><Relationship Type="http://schemas.openxmlformats.org/officeDocument/2006/relationships/theme" Target="/xl/theme/theme1.xml" Id="Ra67b0bb8786b47f5" /><Relationship Type="http://schemas.microsoft.com/office/2022/11/relationships/FeaturePropertyBag" Target="/xl/featurePropertyBag/featurePropertyBag.xml" Id="R6d0f72bdf3894739" /><Relationship Type="http://schemas.openxmlformats.org/officeDocument/2006/relationships/sharedStrings" Target="/xl/sharedStrings.xml" Id="R4cf4088467d24119" /><Relationship Type="http://schemas.openxmlformats.org/officeDocument/2006/relationships/worksheet" Target="/xl/worksheets/sheet1.xml" Id="R0c1914a647a74c33" /><Relationship Type="http://schemas.openxmlformats.org/officeDocument/2006/relationships/worksheet" Target="/xl/worksheets/sheet2.xml" Id="R2728b8663cde4019" /><Relationship Type="http://schemas.openxmlformats.org/officeDocument/2006/relationships/worksheet" Target="/xl/worksheets/sheet3.xml" Id="R1ef6c4ba6fa64012" /><Relationship Type="http://schemas.openxmlformats.org/officeDocument/2006/relationships/worksheet" Target="/xl/worksheets/sheet4.xml" Id="R89db2840c671497b" /><Relationship Type="http://schemas.openxmlformats.org/officeDocument/2006/relationships/worksheet" Target="/xl/worksheets/sheet5.xml" Id="Rbf74725571104051" /><Relationship Type="http://schemas.openxmlformats.org/officeDocument/2006/relationships/worksheet" Target="/xl/worksheets/sheet6.xml" Id="Rc2b21bf0d72d45fe" /><Relationship Type="http://schemas.openxmlformats.org/officeDocument/2006/relationships/worksheet" Target="/xl/worksheets/sheet7.xml" Id="R4ab157123c034226" /><Relationship Type="http://schemas.openxmlformats.org/officeDocument/2006/relationships/worksheet" Target="/xl/worksheets/sheet8.xml" Id="Rdc951bdcfbff46ee" /><Relationship Type="http://schemas.openxmlformats.org/officeDocument/2006/relationships/worksheet" Target="/xl/worksheets/sheet9.xml" Id="Re70edafb19094d48" /><Relationship Type="http://schemas.openxmlformats.org/officeDocument/2006/relationships/worksheet" Target="/xl/worksheets/sheet10.xml" Id="R3ad5b12a0b5c4a1f" /><Relationship Type="http://schemas.openxmlformats.org/officeDocument/2006/relationships/worksheet" Target="/xl/worksheets/sheet11.xml" Id="R90689d6d92e34370" /><Relationship Type="http://schemas.openxmlformats.org/officeDocument/2006/relationships/worksheet" Target="/xl/worksheets/sheet12.xml" Id="Re0e6bc3e044a4c6c" /><Relationship Type="http://schemas.openxmlformats.org/officeDocument/2006/relationships/worksheet" Target="/xl/worksheets/sheet13.xml" Id="Re8cb99a8c7b2437e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6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42349b6297e44a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b4e8934e914432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4570121b8eb14c3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b2b4547d823e4ad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e2e4cf7ac8564202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333205a5987f4ba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dbc891e72ed94b1d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5d180fca9d264462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dd25766a37bb412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RUN-IMO-038-20260901T161933352319Z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15856.2855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RUN-IMO-038-20260901T161933352319Z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b42349b6297e44af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RUN-IMO-038-20260901T161933352319Z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NO_SEMANTIC_VALIDATOR_DETERMINISTIC_PASS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b4e8934e9144320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RUN-IMO-038-20260901T161933352319Z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SESSION-NO-SEMANTIC-VALIDATOR-BATCH-20260901T154754243163Z</x:v>
      </x:c>
      <x:c r="B5" s="69" t="str">
        <x:v>RUN-IMO-038-20260901T161933352319Z</x:v>
      </x:c>
      <x:c r="C5" s="69" t="str">
        <x:v>IMO-038</x:v>
      </x:c>
      <x:c r="D5" s="70" t="n">
        <x:v>46266.6802471412</x:v>
      </x:c>
      <x:c r="E5" s="70" t="n">
        <x:v>46266.6804333912</x:v>
      </x:c>
      <x:c r="F5" s="69" t="str">
        <x:v>luna-no-semantic-validator-run04-v1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570121b8eb14c38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RUN-IMO-038-20260901T161933352319Z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RUN-IMO-038-20260901T161933352319Z</x:v>
      </x:c>
      <x:c r="B5" s="69" t="str">
        <x:v>IMO-038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15857.113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2b4547d823e4ad1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RUN-IMO-038-20260901T161933352319Z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EVT-000020</x:v>
      </x:c>
      <x:c r="B5" s="45" t="str">
        <x:v>RUN-IMO-038-20260901T161933352319Z</x:v>
      </x:c>
      <x:c r="C5" s="45" t="str">
        <x:v>IMO-038</x:v>
      </x:c>
      <x:c r="D5" s="84" t="n">
        <x:v>46266.680430671295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15855.458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EVT-000021</x:v>
      </x:c>
      <x:c r="B6" s="49" t="str">
        <x:v>RUN-IMO-038-20260901T161933352319Z</x:v>
      </x:c>
      <x:c r="C6" s="49" t="str">
        <x:v>IMO-038</x:v>
      </x:c>
      <x:c r="D6" s="87" t="n">
        <x:v>46266.68043069445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15857.113</x:v>
      </x:c>
      <x:c r="L6" s="89" t="b">
        <x:v>0</x:v>
      </x:c>
      <x:c r="M6" s="49" t="str">
        <x:v>resp_014bed539d6f3ddb006a96fb1580788196a5f1b44d8a3214c9</x:v>
      </x:c>
      <x:c r="N6" s="60" t="n">
        <x:v>8040</x:v>
      </x:c>
      <x:c r="O6" s="60" t="n">
        <x:v>2110</x:v>
      </x:c>
      <x:c r="P6" s="60" t="n">
        <x:v>10150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2e4cf7ac8564202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RUN-IMO-038-20260901T161933352319Z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RUN-IMO-038-20260901T161933352319Z</x:v>
      </x:c>
      <x:c r="B5" s="45" t="str">
        <x:v>IMO-038</x:v>
      </x:c>
      <x:c r="C5" s="45" t="str">
        <x:v>allowedVerticalPosition</x:v>
      </x:c>
      <x:c r="D5" s="46" t="str">
        <x:v>https://w3id.org/nltl/vocab#allowedVerticalPosition</x:v>
      </x:c>
      <x:c r="E5" s="45" t="str">
        <x:v>DatatypeProperty</x:v>
      </x:c>
      <x:c r="F5" s="45" t="str">
        <x:v>xsd:string</x:v>
      </x:c>
      <x:c r="G5" s="45" t="str">
        <x:v>http://www.w3.org/2001/XMLSchema#string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RUN-IMO-038-20260901T161933352319Z</x:v>
      </x:c>
      <x:c r="B6" s="47" t="str">
        <x:v>IMO-038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allowedVerticalPosition; domain dependency of damageCenterForwardOfMaxBreadth; domain dependency of longitudinalDamageExtent; domain dependency of transversePenetration; domain dependency of upperIceWaterlineDraught; domain dependency of upperIceWaterlineLength; domain dependency of verticalDamageExtent</x:v>
      </x:c>
      <x:c r="J6" s="47" t="n">
        <x:v>0</x:v>
      </x:c>
    </x:row>
    <x:row r="7">
      <x:c r="A7" s="47" t="str">
        <x:v>RUN-IMO-038-20260901T161933352319Z</x:v>
      </x:c>
      <x:c r="B7" s="47" t="str">
        <x:v>IMO-038</x:v>
      </x:c>
      <x:c r="C7" s="47" t="str">
        <x:v>damageCenterForwardOfMaxBreadth</x:v>
      </x:c>
      <x:c r="D7" s="48" t="str">
        <x:v>https://w3id.org/nltl/vocab#damageCenterForwardOfMaxBreadth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RUN-IMO-038-20260901T161933352319Z</x:v>
      </x:c>
      <x:c r="B8" s="47" t="str">
        <x:v>IMO-038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RUN-IMO-038-20260901T161933352319Z</x:v>
      </x:c>
      <x:c r="B9" s="47" t="str">
        <x:v>IMO-038</x:v>
      </x:c>
      <x:c r="C9" s="47" t="str">
        <x:v>longitudinalDamageExtent</x:v>
      </x:c>
      <x:c r="D9" s="48" t="str">
        <x:v>https://w3id.org/nltl/vocab#longitudinalDamageExtent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http://qudt.org/vocab/unit/M</x:v>
      </x:c>
      <x:c r="I9" s="48" t="str">
        <x:v>linked by the locked 313-requirement index</x:v>
      </x:c>
      <x:c r="J9" s="47" t="n">
        <x:v>0</x:v>
      </x:c>
    </x:row>
    <x:row r="10">
      <x:c r="A10" s="47" t="str">
        <x:v>RUN-IMO-038-20260901T161933352319Z</x:v>
      </x:c>
      <x:c r="B10" s="47" t="str">
        <x:v>IMO-038</x:v>
      </x:c>
      <x:c r="C10" s="47" t="str">
        <x:v>selectedVerticalDamagePosition</x:v>
      </x:c>
      <x:c r="D10" s="48" t="str">
        <x:v>https://w3id.org/nltl/vocab#selectedVerticalDamagePosition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http://qudt.org/vocab/unit/M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RUN-IMO-038-20260901T161933352319Z</x:v>
      </x:c>
      <x:c r="B11" s="47" t="str">
        <x:v>IMO-038</x:v>
      </x:c>
      <x:c r="C11" s="47" t="str">
        <x:v>ship</x:v>
      </x:c>
      <x:c r="D11" s="48" t="str">
        <x:v>https://w3id.org/nltl/vocab#ship</x:v>
      </x:c>
      <x:c r="E11" s="47" t="str">
        <x:v>Class</x:v>
      </x:c>
      <x:c r="F11" s="47" t="str"/>
      <x:c r="G11" s="47" t="str"/>
      <x:c r="H11" s="47" t="str"/>
      <x:c r="I11" s="48" t="str">
        <x:v>authoritative required owner class; authoritative requirement target owner; baseline target infrastructure; domain dependency of selectedVerticalDamagePosition</x:v>
      </x:c>
      <x:c r="J11" s="47" t="n">
        <x:v>0</x:v>
      </x:c>
    </x:row>
    <x:row r="12">
      <x:c r="A12" s="47" t="str">
        <x:v>RUN-IMO-038-20260901T161933352319Z</x:v>
      </x:c>
      <x:c r="B12" s="47" t="str">
        <x:v>IMO-038</x:v>
      </x:c>
      <x:c r="C12" s="47" t="str">
        <x:v>shipComponent</x:v>
      </x:c>
      <x:c r="D12" s="48" t="str">
        <x:v>https://w3id.org/nltl/vocab#shipComponent</x:v>
      </x:c>
      <x:c r="E12" s="47" t="str">
        <x:v>Class</x:v>
      </x:c>
      <x:c r="F12" s="47" t="str"/>
      <x:c r="G12" s="47" t="str"/>
      <x:c r="H12" s="47" t="str"/>
      <x:c r="I12" s="48" t="str">
        <x:v>component-path dependency inferred from the linked term module</x:v>
      </x:c>
      <x:c r="J12" s="47" t="n">
        <x:v>0</x:v>
      </x:c>
    </x:row>
    <x:row r="13">
      <x:c r="A13" s="47" t="str">
        <x:v>RUN-IMO-038-20260901T161933352319Z</x:v>
      </x:c>
      <x:c r="B13" s="47" t="str">
        <x:v>IMO-038</x:v>
      </x:c>
      <x:c r="C13" s="47" t="str">
        <x:v>transversePenetration</x:v>
      </x:c>
      <x:c r="D13" s="48" t="str">
        <x:v>https://w3id.org/nltl/vocab#transversePenetration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http://qudt.org/vocab/unit/MilliM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RUN-IMO-038-20260901T161933352319Z</x:v>
      </x:c>
      <x:c r="B14" s="47" t="str">
        <x:v>IMO-038</x:v>
      </x:c>
      <x:c r="C14" s="47" t="str">
        <x:v>upperIceWaterlineDraught</x:v>
      </x:c>
      <x:c r="D14" s="48" t="str">
        <x:v>https://w3id.org/nltl/vocab#upperIceWaterlineDraught</x:v>
      </x:c>
      <x:c r="E14" s="47" t="str">
        <x:v>QuantityProperty</x:v>
      </x:c>
      <x:c r="F14" s="47" t="str"/>
      <x:c r="G14" s="47" t="str">
        <x:v>http://qudt.org/schema/qudt/QuantityValue</x:v>
      </x:c>
      <x:c r="H14" s="47" t="str">
        <x:v>http://qudt.org/vocab/unit/M</x:v>
      </x:c>
      <x:c r="I14" s="48" t="str">
        <x:v>linked by the locked 313-requirement index</x:v>
      </x:c>
      <x:c r="J14" s="47" t="n">
        <x:v>0</x:v>
      </x:c>
    </x:row>
    <x:row r="15">
      <x:c r="A15" s="47" t="str">
        <x:v>RUN-IMO-038-20260901T161933352319Z</x:v>
      </x:c>
      <x:c r="B15" s="47" t="str">
        <x:v>IMO-038</x:v>
      </x:c>
      <x:c r="C15" s="47" t="str">
        <x:v>upperIceWaterlineLength</x:v>
      </x:c>
      <x:c r="D15" s="48" t="str">
        <x:v>https://w3id.org/nltl/vocab#upperIceWaterlineLength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http://qudt.org/vocab/unit/M</x:v>
      </x:c>
      <x:c r="I15" s="48" t="str">
        <x:v>linked by the locked 313-requirement index</x:v>
      </x:c>
      <x:c r="J15" s="47" t="n">
        <x:v>0</x:v>
      </x:c>
    </x:row>
    <x:row r="16">
      <x:c r="A16" s="49" t="str">
        <x:v>RUN-IMO-038-20260901T161933352319Z</x:v>
      </x:c>
      <x:c r="B16" s="49" t="str">
        <x:v>IMO-038</x:v>
      </x:c>
      <x:c r="C16" s="49" t="str">
        <x:v>verticalDamageExtent</x:v>
      </x:c>
      <x:c r="D16" s="50" t="str">
        <x:v>https://w3id.org/nltl/vocab#verticalDamageExtent</x:v>
      </x:c>
      <x:c r="E16" s="49" t="str">
        <x:v>QuantityProperty</x:v>
      </x:c>
      <x:c r="F16" s="49" t="str"/>
      <x:c r="G16" s="49" t="str">
        <x:v>http://qudt.org/schema/qudt/QuantityValue</x:v>
      </x:c>
      <x:c r="H16" s="49" t="str">
        <x:v>http://qudt.org/vocab/unit/M</x:v>
      </x:c>
      <x:c r="I16" s="50" t="str">
        <x:v>linked by the locked 313-requirement index</x:v>
      </x:c>
      <x:c r="J16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333205a5987f4ba3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RUN-IMO-038-20260901T161933352319Z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RUN-IMO-038-20260901T161933352319Z</x:v>
      </x:c>
      <x:c r="B5" s="45" t="str">
        <x:v>IMO-038</x:v>
      </x:c>
      <x:c r="C5" s="45" t="str">
        <x:v>FS-CALC-02</x:v>
      </x:c>
      <x:c r="D5" s="45" t="str">
        <x:v>comparison_calculation</x:v>
      </x:c>
      <x:c r="E5" s="92" t="n">
        <x:v>0.046512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RUN-IMO-038-20260901T161933352319Z</x:v>
      </x:c>
      <x:c r="B6" s="49" t="str">
        <x:v>IMO-038</x:v>
      </x:c>
      <x:c r="C6" s="49" t="str">
        <x:v>FS-BOOL-01</x:v>
      </x:c>
      <x:c r="D6" s="49" t="str">
        <x:v>boolean_state</x:v>
      </x:c>
      <x:c r="E6" s="93" t="n">
        <x:v>0.034483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bc891e72ed94b1d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RUN-IMO-038-20260901T161933352319Z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RUN-IMO-038-20260901T161933352319Z</x:v>
      </x:c>
      <x:c r="B5" s="69" t="str">
        <x:v>IMO-038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https://w3id.org/nltl/vocab#allowedVerticalPosition | https://w3id.org/nltl/vocab#damageCenterForwardOfMaxBreadth | https://w3id.org/nltl/vocab#longitudinalDamageExtent | https://w3id.org/nltl/vocab#selectedVerticalDamagePosition | https://w3id.org/nltl/vocab#ship | https://w3id.org/nltl/vocab#transversePenetration | https://w3id.org/nltl/vocab#upperIceWaterlineDraught | https://w3id.org/nltl/vocab#upperIceWaterlineLength | https://w3id.org/nltl/vocab#verticalDamageExtent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5d180fca9d264462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RUN-IMO-038-20260901T161933352319Z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RUN-IMO-038-20260901T161933352319Z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RUN-IMO-038-20260901T161933352319Z</x:v>
      </x:c>
      <x:c r="B5" s="45" t="str">
        <x:v>IMO-038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48cc5e337fd43ca15a5b85580190d190569c8c5a01986d50483b8dab8fb10b9e</x:v>
      </x:c>
      <x:c r="G5" s="58" t="n">
        <x:v>17793</x:v>
      </x:c>
    </x:row>
    <x:row r="6">
      <x:c r="A6" s="47" t="str">
        <x:v>RUN-IMO-038-20260901T161933352319Z</x:v>
      </x:c>
      <x:c r="B6" s="47" t="str">
        <x:v>IMO-038</x:v>
      </x:c>
      <x:c r="C6" s="59"/>
      <x:c r="D6" s="47" t="str">
        <x:v>few_shot_selection</x:v>
      </x:c>
      <x:c r="E6" s="48" t="str">
        <x:v>artifacts/few_shots_selected.json</x:v>
      </x:c>
      <x:c r="F6" s="47" t="str">
        <x:v>4ed896c7f017510bfa69781cf7d3a5792327945269ae9e7d76d38703354c2399</x:v>
      </x:c>
      <x:c r="G6" s="59" t="n">
        <x:v>4749</x:v>
      </x:c>
    </x:row>
    <x:row r="7">
      <x:c r="A7" s="47" t="str">
        <x:v>RUN-IMO-038-20260901T161933352319Z</x:v>
      </x:c>
      <x:c r="B7" s="47" t="str">
        <x:v>IMO-038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ce38a33a7bfa7f5c1b83bc07c77e0534bfc997e1c1c68057f58e768044e4e3a7</x:v>
      </x:c>
      <x:c r="G7" s="59" t="n">
        <x:v>34096</x:v>
      </x:c>
    </x:row>
    <x:row r="8">
      <x:c r="A8" s="47" t="str">
        <x:v>RUN-IMO-038-20260901T161933352319Z</x:v>
      </x:c>
      <x:c r="B8" s="47" t="str">
        <x:v>IMO-038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854e3c8d9c5178c06fa0bb668746d29b61cd0d89570bbd69a1cf608b0232b7f6</x:v>
      </x:c>
      <x:c r="G8" s="59" t="n">
        <x:v>6718</x:v>
      </x:c>
    </x:row>
    <x:row r="9">
      <x:c r="A9" s="47" t="str">
        <x:v>RUN-IMO-038-20260901T161933352319Z</x:v>
      </x:c>
      <x:c r="B9" s="47" t="str">
        <x:v>IMO-038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7f6da212c486cd976ba8e03f54d166cb35bbd98fdabb7ab17a346318a28e3f07</x:v>
      </x:c>
      <x:c r="G9" s="59" t="n">
        <x:v>6693</x:v>
      </x:c>
    </x:row>
    <x:row r="10">
      <x:c r="A10" s="49" t="str">
        <x:v>RUN-IMO-038-20260901T161933352319Z</x:v>
      </x:c>
      <x:c r="B10" s="49" t="str">
        <x:v>IMO-038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80d5b1a221a41cb4253dff27e66fe3e01289c21fae4ddb3fe54f6ccbf5b94a9c</x:v>
      </x:c>
      <x:c r="G10" s="60" t="n">
        <x:v>1342</x:v>
      </x:c>
    </x:row>
  </x:sheetData>
  <x:pageMargins left="0.7" right="0.7" top="0.75" bottom="0.75" header="0.3" footer="0.3"/>
  <x:tableParts count="1">
    <x:tablePart xmlns:r="http://schemas.openxmlformats.org/officeDocument/2006/relationships" r:id="Rdd25766a37bb4125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RUN-IMO-038-20260901T161933352319Z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RUN-IMO-038-20260901T161933352319Z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