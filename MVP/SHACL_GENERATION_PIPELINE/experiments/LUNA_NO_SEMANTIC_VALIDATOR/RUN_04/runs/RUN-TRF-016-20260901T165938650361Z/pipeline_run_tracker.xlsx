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2e6c625291a423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7c3672e404a84e01"/>
    <x:sheet xmlns:r="http://schemas.openxmlformats.org/officeDocument/2006/relationships" name="README" sheetId="2" r:id="R4b285414f15b427e"/>
    <x:sheet xmlns:r="http://schemas.openxmlformats.org/officeDocument/2006/relationships" name="REGULATION_QUEUE" sheetId="3" r:id="Ra9aa39073188451b"/>
    <x:sheet xmlns:r="http://schemas.openxmlformats.org/officeDocument/2006/relationships" name="RUNS" sheetId="4" r:id="Raff74926b8464258"/>
    <x:sheet xmlns:r="http://schemas.openxmlformats.org/officeDocument/2006/relationships" name="ITERATIONS" sheetId="5" r:id="R0137e5dc30ec4eb2"/>
    <x:sheet xmlns:r="http://schemas.openxmlformats.org/officeDocument/2006/relationships" name="API_CALLS" sheetId="6" r:id="Rd944327fdd974d75"/>
    <x:sheet xmlns:r="http://schemas.openxmlformats.org/officeDocument/2006/relationships" name="TERM_RETRIEVAL" sheetId="7" r:id="Rff929bbfdb9a4793"/>
    <x:sheet xmlns:r="http://schemas.openxmlformats.org/officeDocument/2006/relationships" name="FEW_SHOT_SELECTION" sheetId="8" r:id="R18ac69ae72d445f2"/>
    <x:sheet xmlns:r="http://schemas.openxmlformats.org/officeDocument/2006/relationships" name="VALIDATION" sheetId="9" r:id="R3b4c4e033a2146b6"/>
    <x:sheet xmlns:r="http://schemas.openxmlformats.org/officeDocument/2006/relationships" name="VOCAB_MATCHES" sheetId="10" r:id="R6389104766604700"/>
    <x:sheet xmlns:r="http://schemas.openxmlformats.org/officeDocument/2006/relationships" name="ARTIFACTS" sheetId="11" r:id="Rccd11b5e2e51470d"/>
    <x:sheet xmlns:r="http://schemas.openxmlformats.org/officeDocument/2006/relationships" name="UNRESOLVED" sheetId="12" r:id="R2657e185eb304233"/>
    <x:sheet xmlns:r="http://schemas.openxmlformats.org/officeDocument/2006/relationships" name="RDF_TEST_QUEUE" sheetId="13" r:id="Rc7c683ee366a43d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9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2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8712a0350c43b2" /><Relationship Type="http://schemas.openxmlformats.org/officeDocument/2006/relationships/theme" Target="/xl/theme/theme1.xml" Id="Red53efb520ce4ebd" /><Relationship Type="http://schemas.microsoft.com/office/2022/11/relationships/FeaturePropertyBag" Target="/xl/featurePropertyBag/featurePropertyBag.xml" Id="R42772db596ed4ab0" /><Relationship Type="http://schemas.openxmlformats.org/officeDocument/2006/relationships/sharedStrings" Target="/xl/sharedStrings.xml" Id="Rdaccfa45867b447f" /><Relationship Type="http://schemas.openxmlformats.org/officeDocument/2006/relationships/worksheet" Target="/xl/worksheets/sheet1.xml" Id="R7c3672e404a84e01" /><Relationship Type="http://schemas.openxmlformats.org/officeDocument/2006/relationships/worksheet" Target="/xl/worksheets/sheet2.xml" Id="R4b285414f15b427e" /><Relationship Type="http://schemas.openxmlformats.org/officeDocument/2006/relationships/worksheet" Target="/xl/worksheets/sheet3.xml" Id="Ra9aa39073188451b" /><Relationship Type="http://schemas.openxmlformats.org/officeDocument/2006/relationships/worksheet" Target="/xl/worksheets/sheet4.xml" Id="Raff74926b8464258" /><Relationship Type="http://schemas.openxmlformats.org/officeDocument/2006/relationships/worksheet" Target="/xl/worksheets/sheet5.xml" Id="R0137e5dc30ec4eb2" /><Relationship Type="http://schemas.openxmlformats.org/officeDocument/2006/relationships/worksheet" Target="/xl/worksheets/sheet6.xml" Id="Rd944327fdd974d75" /><Relationship Type="http://schemas.openxmlformats.org/officeDocument/2006/relationships/worksheet" Target="/xl/worksheets/sheet7.xml" Id="Rff929bbfdb9a4793" /><Relationship Type="http://schemas.openxmlformats.org/officeDocument/2006/relationships/worksheet" Target="/xl/worksheets/sheet8.xml" Id="R18ac69ae72d445f2" /><Relationship Type="http://schemas.openxmlformats.org/officeDocument/2006/relationships/worksheet" Target="/xl/worksheets/sheet9.xml" Id="R3b4c4e033a2146b6" /><Relationship Type="http://schemas.openxmlformats.org/officeDocument/2006/relationships/worksheet" Target="/xl/worksheets/sheet10.xml" Id="R6389104766604700" /><Relationship Type="http://schemas.openxmlformats.org/officeDocument/2006/relationships/worksheet" Target="/xl/worksheets/sheet11.xml" Id="Rccd11b5e2e51470d" /><Relationship Type="http://schemas.openxmlformats.org/officeDocument/2006/relationships/worksheet" Target="/xl/worksheets/sheet12.xml" Id="R2657e185eb304233" /><Relationship Type="http://schemas.openxmlformats.org/officeDocument/2006/relationships/worksheet" Target="/xl/worksheets/sheet13.xml" Id="Rc7c683ee366a43db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6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0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545db1e8430428c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3d490e1d053403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e86393bb309435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47c67ef456f6497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62caed017c274412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0cb8922838ec438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77fe1e4656704e56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2793f607f1ca48fb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6f50734f84b425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RUN-TRF-016-20260901T165938650361Z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COUNTA('API_CALLS'!$A$5:$A$6)</x:f>
        <x:v>2</x:v>
      </x:c>
      <x:c r="C9" s="21"/>
      <x:c r="D9" s="21"/>
    </x:row>
    <x:row r="10">
      <x:c r="A10" s="27" t="str">
        <x:v>Mean API/LLM elapsed ms</x:v>
      </x:c>
      <x:c r="B10" s="28" t="n">
        <x:f>IFERROR(AVERAGE('API_CALLS'!$K$5:$K$6),0)</x:f>
        <x:v>41073.8385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RUN-TRF-016-20260901T165938650361Z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7545db1e8430428c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RUN-TRF-016-20260901T165938650361Z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NO_SEMANTIC_VALIDATOR_DETERMINISTIC_PASS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3d490e1d053403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RUN-TRF-016-20260901T165938650361Z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SESSION-NO-SEMANTIC-VALIDATOR-BATCH-20260901T154754243163Z</x:v>
      </x:c>
      <x:c r="B5" s="69" t="str">
        <x:v>RUN-TRF-016-20260901T165938650361Z</x:v>
      </x:c>
      <x:c r="C5" s="69" t="str">
        <x:v>TRF-016</x:v>
      </x:c>
      <x:c r="D5" s="70" t="n">
        <x:v>46266.708086238425</x:v>
      </x:c>
      <x:c r="E5" s="70" t="n">
        <x:v>46266.70856466435</x:v>
      </x:c>
      <x:c r="F5" s="69" t="str">
        <x:v>luna-no-semantic-validator-run04-v1</x:v>
      </x:c>
      <x:c r="G5" s="69" t="str">
        <x:v>VOCAB-LOCK-2026-08-22-R13</x:v>
      </x:c>
      <x:c r="H5" s="71" t="n">
        <x:v>1</x:v>
      </x:c>
      <x:c r="I5" s="69" t="str">
        <x:v>NO_SEMANTIC_VALIDATOR_DETERMINISTIC_PASS</x:v>
      </x:c>
      <x:c r="J5" s="72" t="b">
        <x:v>0</x:v>
      </x:c>
      <x:c r="K5" s="69" t="str"/>
      <x:c r="L5" s="73" t="str">
        <x:v>Semantic validator disabled; no semantic acceptance judgement was made.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e86393bb309435d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4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RUN-TRF-016-20260901T165938650361Z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RUN-TRF-016-20260901T165938650361Z</x:v>
      </x:c>
      <x:c r="B5" s="69" t="str">
        <x:v>TRF-016</x:v>
      </x:c>
      <x:c r="C5" s="71" t="n">
        <x:v>1</x:v>
      </x:c>
      <x:c r="D5" s="72" t="b">
        <x:v>1</x:v>
      </x:c>
      <x:c r="E5" s="69"/>
      <x:c r="F5" s="72" t="b">
        <x:v>0</x:v>
      </x:c>
      <x:c r="G5" s="69" t="str">
        <x:v>NO_SEMANTIC_VALIDATOR_DETERMINISTIC_PASS</x:v>
      </x:c>
      <x:c r="H5" s="73" t="str">
        <x:v>Semantic validator disabled; deterministic diagnostics were not used as repair feedback.</x:v>
      </x:c>
      <x:c r="I5" s="75" t="n">
        <x:v>41074.268</x:v>
      </x:c>
      <x:c r="J5" s="75" t="n">
        <x:v>0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7c67ef456f6497e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RUN-TRF-016-20260901T165938650361Z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EVT-000028</x:v>
      </x:c>
      <x:c r="B5" s="45" t="str">
        <x:v>RUN-TRF-016-20260901T165938650361Z</x:v>
      </x:c>
      <x:c r="C5" s="45" t="str">
        <x:v>TRF-016</x:v>
      </x:c>
      <x:c r="D5" s="84" t="n">
        <x:v>46266.708561666666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5" t="n">
        <x:v>0</x:v>
      </x:c>
      <x:c r="K5" s="85" t="n">
        <x:v>41073.409</x:v>
      </x:c>
      <x:c r="L5" s="86" t="b">
        <x:v>0</x:v>
      </x:c>
      <x:c r="M5" s="45" t="str"/>
      <x:c r="N5" s="58" t="str"/>
      <x:c r="O5" s="58" t="str"/>
      <x:c r="P5" s="58" t="str"/>
    </x:row>
    <x:row r="6">
      <x:c r="A6" s="49" t="str">
        <x:v>EVT-000029</x:v>
      </x:c>
      <x:c r="B6" s="49" t="str">
        <x:v>RUN-TRF-016-20260901T165938650361Z</x:v>
      </x:c>
      <x:c r="C6" s="49" t="str">
        <x:v>TRF-016</x:v>
      </x:c>
      <x:c r="D6" s="87" t="n">
        <x:v>46266.708561666666</x:v>
      </x:c>
      <x:c r="E6" s="49" t="str">
        <x:v>generator</x:v>
      </x:c>
      <x:c r="F6" s="49" t="str">
        <x:v>gpt-5.6-luna-2026-07-09</x:v>
      </x:c>
      <x:c r="G6" s="49" t="n">
        <x:v>1</x:v>
      </x:c>
      <x:c r="H6" s="49" t="str">
        <x:v>COMPLETED</x:v>
      </x:c>
      <x:c r="I6" s="49" t="str"/>
      <x:c r="J6" s="88" t="n">
        <x:v>0</x:v>
      </x:c>
      <x:c r="K6" s="88" t="n">
        <x:v>41074.268</x:v>
      </x:c>
      <x:c r="L6" s="89" t="b">
        <x:v>0</x:v>
      </x:c>
      <x:c r="M6" s="49" t="str">
        <x:v>resp_0d45c7b94ce3f424006a97047abe0c8194b33754d3db1fdeaa</x:v>
      </x:c>
      <x:c r="N6" s="60" t="n">
        <x:v>10609</x:v>
      </x:c>
      <x:c r="O6" s="60" t="n">
        <x:v>4486</x:v>
      </x:c>
      <x:c r="P6" s="60" t="n">
        <x:v>15095</x:v>
      </x:c>
    </x:row>
  </x:sheetData>
  <x:conditionalFormatting sqref="H5:H6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2caed017c274412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RUN-TRF-016-20260901T165938650361Z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RUN-TRF-016-20260901T165938650361Z</x:v>
      </x:c>
      <x:c r="B5" s="45" t="str">
        <x:v>TRF-016</x:v>
      </x:c>
      <x:c r="C5" s="45" t="str">
        <x:v>ballastTank</x:v>
      </x:c>
      <x:c r="D5" s="46" t="str">
        <x:v>https://w3id.org/nltl/vocab#ballastTank</x:v>
      </x:c>
      <x:c r="E5" s="45" t="str">
        <x:v>Class</x:v>
      </x:c>
      <x:c r="F5" s="45" t="str"/>
      <x:c r="G5" s="45" t="str">
        <x:v>https://w3id.org/nltl/vocab#shipComponent</x:v>
      </x:c>
      <x:c r="H5" s="45" t="str"/>
      <x:c r="I5" s="46" t="str">
        <x:v>authoritative required owner class; linked by the locked 313-requirement index; range dependency of hasBallastTank</x:v>
      </x:c>
      <x:c r="J5" s="45" t="n">
        <x:v>0</x:v>
      </x:c>
    </x:row>
    <x:row r="6">
      <x:c r="A6" s="47" t="str">
        <x:v>RUN-TRF-016-20260901T165938650361Z</x:v>
      </x:c>
      <x:c r="B6" s="47" t="str">
        <x:v>TRF-016</x:v>
      </x:c>
      <x:c r="C6" s="47" t="str">
        <x:v>benchmarkEntity</x:v>
      </x:c>
      <x:c r="D6" s="48" t="str">
        <x:v>https://w3id.org/nltl/vocab#benchmarkEntity</x:v>
      </x:c>
      <x:c r="E6" s="47" t="str">
        <x:v>Class</x:v>
      </x:c>
      <x:c r="F6" s="47" t="str"/>
      <x:c r="G6" s="47" t="str"/>
      <x:c r="H6" s="47" t="str"/>
      <x:c r="I6" s="48" t="str">
        <x:v>baseline target infrastructure; domain dependency of displacementAtUpperIceWaterline; domain dependency of draughtAmidships; domain dependency of forwardDraught; domain dependency of freezingPreventionPresent; domain dependency of hasBallastTank; domain dependency of levelIceThickness; domain dependency of liwlDraughtAmidships; domain dependency of navigatingInIce; domain dependency of propellerHighestPointSubmerged; domain dependency of situatedAboveLowerIceWaterline; domain dependency of usedToReachLowerIceWaterline</x:v>
      </x:c>
      <x:c r="J6" s="47" t="n">
        <x:v>0</x:v>
      </x:c>
    </x:row>
    <x:row r="7">
      <x:c r="A7" s="47" t="str">
        <x:v>RUN-TRF-016-20260901T165938650361Z</x:v>
      </x:c>
      <x:c r="B7" s="47" t="str">
        <x:v>TRF-016</x:v>
      </x:c>
      <x:c r="C7" s="47" t="str">
        <x:v>displacementAtUpperIceWaterline</x:v>
      </x:c>
      <x:c r="D7" s="48" t="str">
        <x:v>https://w3id.org/nltl/vocab#displacementAtUpperIceWaterline</x:v>
      </x:c>
      <x:c r="E7" s="47" t="str">
        <x:v>QuantityProperty</x:v>
      </x:c>
      <x:c r="F7" s="47" t="str"/>
      <x:c r="G7" s="47" t="str">
        <x:v>http://qudt.org/schema/qudt/QuantityValue</x:v>
      </x:c>
      <x:c r="H7" s="47" t="str">
        <x:v>http://qudt.org/vocab/unit/TON_Metric</x:v>
      </x:c>
      <x:c r="I7" s="48" t="str">
        <x:v>linked by the locked 313-requirement index</x:v>
      </x:c>
      <x:c r="J7" s="47" t="n">
        <x:v>0</x:v>
      </x:c>
    </x:row>
    <x:row r="8">
      <x:c r="A8" s="47" t="str">
        <x:v>RUN-TRF-016-20260901T165938650361Z</x:v>
      </x:c>
      <x:c r="B8" s="47" t="str">
        <x:v>TRF-016</x:v>
      </x:c>
      <x:c r="C8" s="47" t="str">
        <x:v>draughtAmidships</x:v>
      </x:c>
      <x:c r="D8" s="48" t="str">
        <x:v>https://w3id.org/nltl/vocab#draughtAmidships</x:v>
      </x:c>
      <x:c r="E8" s="47" t="str">
        <x:v>QuantityProperty</x:v>
      </x:c>
      <x:c r="F8" s="47" t="str"/>
      <x:c r="G8" s="47" t="str">
        <x:v>http://qudt.org/schema/qudt/QuantityValue</x:v>
      </x:c>
      <x:c r="H8" s="47" t="str">
        <x:v>http://qudt.org/vocab/unit/M</x:v>
      </x:c>
      <x:c r="I8" s="48" t="str">
        <x:v>linked by the locked 313-requirement index</x:v>
      </x:c>
      <x:c r="J8" s="47" t="n">
        <x:v>0</x:v>
      </x:c>
    </x:row>
    <x:row r="9">
      <x:c r="A9" s="47" t="str">
        <x:v>RUN-TRF-016-20260901T165938650361Z</x:v>
      </x:c>
      <x:c r="B9" s="47" t="str">
        <x:v>TRF-016</x:v>
      </x:c>
      <x:c r="C9" s="47" t="str">
        <x:v>forwardDraught</x:v>
      </x:c>
      <x:c r="D9" s="48" t="str">
        <x:v>https://w3id.org/nltl/vocab#forwardDraught</x:v>
      </x:c>
      <x:c r="E9" s="47" t="str">
        <x:v>QuantityProperty</x:v>
      </x:c>
      <x:c r="F9" s="47" t="str"/>
      <x:c r="G9" s="47" t="str">
        <x:v>http://qudt.org/schema/qudt/QuantityValue</x:v>
      </x:c>
      <x:c r="H9" s="47" t="str">
        <x:v>http://qudt.org/vocab/unit/M</x:v>
      </x:c>
      <x:c r="I9" s="48" t="str">
        <x:v>linked by the locked 313-requirement index</x:v>
      </x:c>
      <x:c r="J9" s="47" t="n">
        <x:v>0</x:v>
      </x:c>
    </x:row>
    <x:row r="10">
      <x:c r="A10" s="47" t="str">
        <x:v>RUN-TRF-016-20260901T165938650361Z</x:v>
      </x:c>
      <x:c r="B10" s="47" t="str">
        <x:v>TRF-016</x:v>
      </x:c>
      <x:c r="C10" s="47" t="str">
        <x:v>freezingPreventionPresent</x:v>
      </x:c>
      <x:c r="D10" s="48" t="str">
        <x:v>https://w3id.org/nltl/vocab#freezingPreventionPresent</x:v>
      </x:c>
      <x:c r="E10" s="47" t="str">
        <x:v>DatatypeProperty</x:v>
      </x:c>
      <x:c r="F10" s="47" t="str">
        <x:v>xsd:boolean</x:v>
      </x:c>
      <x:c r="G10" s="47" t="str">
        <x:v>http://www.w3.org/2001/XMLSchema#boolean</x:v>
      </x:c>
      <x:c r="H10" s="47" t="str"/>
      <x:c r="I10" s="48" t="str">
        <x:v>linked by the locked 313-requirement index</x:v>
      </x:c>
      <x:c r="J10" s="47" t="n">
        <x:v>0</x:v>
      </x:c>
    </x:row>
    <x:row r="11">
      <x:c r="A11" s="47" t="str">
        <x:v>RUN-TRF-016-20260901T165938650361Z</x:v>
      </x:c>
      <x:c r="B11" s="47" t="str">
        <x:v>TRF-016</x:v>
      </x:c>
      <x:c r="C11" s="47" t="str">
        <x:v>hasBallastTank</x:v>
      </x:c>
      <x:c r="D11" s="48" t="str">
        <x:v>https://w3id.org/nltl/vocab#hasBallastTank</x:v>
      </x:c>
      <x:c r="E11" s="47" t="str">
        <x:v>ObjectProperty</x:v>
      </x:c>
      <x:c r="F11" s="47" t="str"/>
      <x:c r="G11" s="47" t="str">
        <x:v>https://w3id.org/nltl/vocab#ballastTank</x:v>
      </x:c>
      <x:c r="H11" s="47" t="str"/>
      <x:c r="I11" s="48" t="str">
        <x:v>linked by the locked 313-requirement index</x:v>
      </x:c>
      <x:c r="J11" s="47" t="n">
        <x:v>0</x:v>
      </x:c>
    </x:row>
    <x:row r="12">
      <x:c r="A12" s="47" t="str">
        <x:v>RUN-TRF-016-20260901T165938650361Z</x:v>
      </x:c>
      <x:c r="B12" s="47" t="str">
        <x:v>TRF-016</x:v>
      </x:c>
      <x:c r="C12" s="47" t="str">
        <x:v>hasComponent</x:v>
      </x:c>
      <x:c r="D12" s="48" t="str">
        <x:v>https://w3id.org/nltl/vocab#hasComponent</x:v>
      </x:c>
      <x:c r="E12" s="47" t="str">
        <x:v>ObjectProperty</x:v>
      </x:c>
      <x:c r="F12" s="47" t="str"/>
      <x:c r="G12" s="47" t="str">
        <x:v>https://w3id.org/nltl/vocab#shipComponent</x:v>
      </x:c>
      <x:c r="H12" s="47" t="str"/>
      <x:c r="I12" s="48" t="str">
        <x:v>component-path dependency inferred from the linked term module</x:v>
      </x:c>
      <x:c r="J12" s="47" t="n">
        <x:v>0</x:v>
      </x:c>
    </x:row>
    <x:row r="13">
      <x:c r="A13" s="47" t="str">
        <x:v>RUN-TRF-016-20260901T165938650361Z</x:v>
      </x:c>
      <x:c r="B13" s="47" t="str">
        <x:v>TRF-016</x:v>
      </x:c>
      <x:c r="C13" s="47" t="str">
        <x:v>hasLowerIceWaterline</x:v>
      </x:c>
      <x:c r="D13" s="48" t="str">
        <x:v>https://w3id.org/nltl/vocab#hasLowerIceWaterline</x:v>
      </x:c>
      <x:c r="E13" s="47" t="str">
        <x:v>ObjectProperty</x:v>
      </x:c>
      <x:c r="F13" s="47" t="str"/>
      <x:c r="G13" s="47" t="str">
        <x:v>https://w3id.org/nltl/vocab#iceWaterline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RUN-TRF-016-20260901T165938650361Z</x:v>
      </x:c>
      <x:c r="B14" s="47" t="str">
        <x:v>TRF-016</x:v>
      </x:c>
      <x:c r="C14" s="47" t="str">
        <x:v>hasUpperIceWaterline</x:v>
      </x:c>
      <x:c r="D14" s="48" t="str">
        <x:v>https://w3id.org/nltl/vocab#hasUpperIceWaterline</x:v>
      </x:c>
      <x:c r="E14" s="47" t="str">
        <x:v>ObjectProperty</x:v>
      </x:c>
      <x:c r="F14" s="47" t="str"/>
      <x:c r="G14" s="47" t="str">
        <x:v>https://w3id.org/nltl/vocab#iceWaterline</x:v>
      </x:c>
      <x:c r="H14" s="47" t="str"/>
      <x:c r="I14" s="48" t="str">
        <x:v>linked by the locked 313-requirement index</x:v>
      </x:c>
      <x:c r="J14" s="47" t="n">
        <x:v>0</x:v>
      </x:c>
    </x:row>
    <x:row r="15">
      <x:c r="A15" s="47" t="str">
        <x:v>RUN-TRF-016-20260901T165938650361Z</x:v>
      </x:c>
      <x:c r="B15" s="47" t="str">
        <x:v>TRF-016</x:v>
      </x:c>
      <x:c r="C15" s="47" t="str">
        <x:v>iceWaterline</x:v>
      </x:c>
      <x:c r="D15" s="48" t="str">
        <x:v>https://w3id.org/nltl/vocab#iceWaterline</x:v>
      </x:c>
      <x:c r="E15" s="47" t="str">
        <x:v>Class</x:v>
      </x:c>
      <x:c r="F15" s="47" t="str"/>
      <x:c r="G15" s="47" t="str">
        <x:v>https://w3id.org/nltl/vocab#benchmarkEntity</x:v>
      </x:c>
      <x:c r="H15" s="47" t="str"/>
      <x:c r="I15" s="48" t="str">
        <x:v>domain dependency of waterlineDisplacement; range dependency of hasLowerIceWaterline; range dependency of hasUpperIceWaterline</x:v>
      </x:c>
      <x:c r="J15" s="47" t="n">
        <x:v>0</x:v>
      </x:c>
    </x:row>
    <x:row r="16">
      <x:c r="A16" s="47" t="str">
        <x:v>RUN-TRF-016-20260901T165938650361Z</x:v>
      </x:c>
      <x:c r="B16" s="47" t="str">
        <x:v>TRF-016</x:v>
      </x:c>
      <x:c r="C16" s="47" t="str">
        <x:v>levelIceThickness</x:v>
      </x:c>
      <x:c r="D16" s="48" t="str">
        <x:v>https://w3id.org/nltl/vocab#levelIceThickness</x:v>
      </x:c>
      <x:c r="E16" s="47" t="str">
        <x:v>QuantityProperty</x:v>
      </x:c>
      <x:c r="F16" s="47" t="str"/>
      <x:c r="G16" s="47" t="str">
        <x:v>http://qudt.org/schema/qudt/QuantityValue</x:v>
      </x:c>
      <x:c r="H16" s="47" t="str">
        <x:v>http://qudt.org/vocab/unit/M</x:v>
      </x:c>
      <x:c r="I16" s="48" t="str">
        <x:v>linked by the locked 313-requirement index</x:v>
      </x:c>
      <x:c r="J16" s="47" t="n">
        <x:v>0</x:v>
      </x:c>
    </x:row>
    <x:row r="17">
      <x:c r="A17" s="47" t="str">
        <x:v>RUN-TRF-016-20260901T165938650361Z</x:v>
      </x:c>
      <x:c r="B17" s="47" t="str">
        <x:v>TRF-016</x:v>
      </x:c>
      <x:c r="C17" s="47" t="str">
        <x:v>liwlDraughtAmidships</x:v>
      </x:c>
      <x:c r="D17" s="48" t="str">
        <x:v>https://w3id.org/nltl/vocab#liwlDraughtAmidships</x:v>
      </x:c>
      <x:c r="E17" s="47" t="str">
        <x:v>QuantityProperty</x:v>
      </x:c>
      <x:c r="F17" s="47" t="str"/>
      <x:c r="G17" s="47" t="str">
        <x:v>http://qudt.org/schema/qudt/QuantityValue</x:v>
      </x:c>
      <x:c r="H17" s="47" t="str">
        <x:v>http://qudt.org/vocab/unit/M</x:v>
      </x:c>
      <x:c r="I17" s="48" t="str">
        <x:v>linked by the locked 313-requirement index</x:v>
      </x:c>
      <x:c r="J17" s="47" t="n">
        <x:v>0</x:v>
      </x:c>
    </x:row>
    <x:row r="18">
      <x:c r="A18" s="47" t="str">
        <x:v>RUN-TRF-016-20260901T165938650361Z</x:v>
      </x:c>
      <x:c r="B18" s="47" t="str">
        <x:v>TRF-016</x:v>
      </x:c>
      <x:c r="C18" s="47" t="str">
        <x:v>navigatingInIce</x:v>
      </x:c>
      <x:c r="D18" s="48" t="str">
        <x:v>https://w3id.org/nltl/vocab#navigatingInIce</x:v>
      </x:c>
      <x:c r="E18" s="47" t="str">
        <x:v>DatatypeProperty</x:v>
      </x:c>
      <x:c r="F18" s="47" t="str">
        <x:v>xsd:boolean</x:v>
      </x:c>
      <x:c r="G18" s="47" t="str">
        <x:v>http://www.w3.org/2001/XMLSchema#boolean</x:v>
      </x:c>
      <x:c r="H18" s="47" t="str"/>
      <x:c r="I18" s="48" t="str">
        <x:v>linked by the locked 313-requirement index</x:v>
      </x:c>
      <x:c r="J18" s="47" t="n">
        <x:v>0</x:v>
      </x:c>
    </x:row>
    <x:row r="19">
      <x:c r="A19" s="47" t="str">
        <x:v>RUN-TRF-016-20260901T165938650361Z</x:v>
      </x:c>
      <x:c r="B19" s="47" t="str">
        <x:v>TRF-016</x:v>
      </x:c>
      <x:c r="C19" s="47" t="str">
        <x:v>propellerHighestPointSubmerged</x:v>
      </x:c>
      <x:c r="D19" s="48" t="str">
        <x:v>https://w3id.org/nltl/vocab#propellerHighestPointSubmerged</x:v>
      </x:c>
      <x:c r="E19" s="47" t="str">
        <x:v>DatatypeProperty</x:v>
      </x:c>
      <x:c r="F19" s="47" t="str">
        <x:v>xsd:boolean</x:v>
      </x:c>
      <x:c r="G19" s="47" t="str">
        <x:v>http://www.w3.org/2001/XMLSchema#boolean</x:v>
      </x:c>
      <x:c r="H19" s="47" t="str"/>
      <x:c r="I19" s="48" t="str">
        <x:v>linked by the locked 313-requirement index</x:v>
      </x:c>
      <x:c r="J19" s="47" t="n">
        <x:v>0</x:v>
      </x:c>
    </x:row>
    <x:row r="20">
      <x:c r="A20" s="47" t="str">
        <x:v>RUN-TRF-016-20260901T165938650361Z</x:v>
      </x:c>
      <x:c r="B20" s="47" t="str">
        <x:v>TRF-016</x:v>
      </x:c>
      <x:c r="C20" s="47" t="str">
        <x:v>ship</x:v>
      </x:c>
      <x:c r="D20" s="48" t="str">
        <x:v>https://w3id.org/nltl/vocab#ship</x:v>
      </x:c>
      <x:c r="E20" s="47" t="str">
        <x:v>Class</x:v>
      </x:c>
      <x:c r="F20" s="47" t="str"/>
      <x:c r="G20" s="47" t="str"/>
      <x:c r="H20" s="47" t="str"/>
      <x:c r="I20" s="48" t="str">
        <x:v>authoritative required owner class; authoritative requirement target owner; baseline target infrastructure; domain dependency of hasLowerIceWaterline; domain dependency of hasUpperIceWaterline</x:v>
      </x:c>
      <x:c r="J20" s="47" t="n">
        <x:v>0</x:v>
      </x:c>
    </x:row>
    <x:row r="21">
      <x:c r="A21" s="47" t="str">
        <x:v>RUN-TRF-016-20260901T165938650361Z</x:v>
      </x:c>
      <x:c r="B21" s="47" t="str">
        <x:v>TRF-016</x:v>
      </x:c>
      <x:c r="C21" s="47" t="str">
        <x:v>shipComponent</x:v>
      </x:c>
      <x:c r="D21" s="48" t="str">
        <x:v>https://w3id.org/nltl/vocab#shipComponent</x:v>
      </x:c>
      <x:c r="E21" s="47" t="str">
        <x:v>Class</x:v>
      </x:c>
      <x:c r="F21" s="47" t="str"/>
      <x:c r="G21" s="47" t="str"/>
      <x:c r="H21" s="47" t="str"/>
      <x:c r="I21" s="48" t="str">
        <x:v>component-path dependency inferred from the linked term module; range dependency of ballastTank</x:v>
      </x:c>
      <x:c r="J21" s="47" t="n">
        <x:v>0</x:v>
      </x:c>
    </x:row>
    <x:row r="22">
      <x:c r="A22" s="47" t="str">
        <x:v>RUN-TRF-016-20260901T165938650361Z</x:v>
      </x:c>
      <x:c r="B22" s="47" t="str">
        <x:v>TRF-016</x:v>
      </x:c>
      <x:c r="C22" s="47" t="str">
        <x:v>situatedAboveLowerIceWaterline</x:v>
      </x:c>
      <x:c r="D22" s="48" t="str">
        <x:v>https://w3id.org/nltl/vocab#situatedAboveLowerIceWaterline</x:v>
      </x:c>
      <x:c r="E22" s="47" t="str">
        <x:v>DatatypeProperty</x:v>
      </x:c>
      <x:c r="F22" s="47" t="str">
        <x:v>xsd:boolean</x:v>
      </x:c>
      <x:c r="G22" s="47" t="str">
        <x:v>http://www.w3.org/2001/XMLSchema#boolean</x:v>
      </x:c>
      <x:c r="H22" s="47" t="str"/>
      <x:c r="I22" s="48" t="str">
        <x:v>linked by the locked 313-requirement index</x:v>
      </x:c>
      <x:c r="J22" s="47" t="n">
        <x:v>0</x:v>
      </x:c>
    </x:row>
    <x:row r="23">
      <x:c r="A23" s="47" t="str">
        <x:v>RUN-TRF-016-20260901T165938650361Z</x:v>
      </x:c>
      <x:c r="B23" s="47" t="str">
        <x:v>TRF-016</x:v>
      </x:c>
      <x:c r="C23" s="47" t="str">
        <x:v>usedToReachLowerIceWaterline</x:v>
      </x:c>
      <x:c r="D23" s="48" t="str">
        <x:v>https://w3id.org/nltl/vocab#usedToReachLowerIceWaterline</x:v>
      </x:c>
      <x:c r="E23" s="47" t="str">
        <x:v>DatatypeProperty</x:v>
      </x:c>
      <x:c r="F23" s="47" t="str">
        <x:v>xsd:boolean</x:v>
      </x:c>
      <x:c r="G23" s="47" t="str">
        <x:v>http://www.w3.org/2001/XMLSchema#boolean</x:v>
      </x:c>
      <x:c r="H23" s="47" t="str"/>
      <x:c r="I23" s="48" t="str">
        <x:v>linked by the locked 313-requirement index</x:v>
      </x:c>
      <x:c r="J23" s="47" t="n">
        <x:v>0</x:v>
      </x:c>
    </x:row>
    <x:row r="24">
      <x:c r="A24" s="49" t="str">
        <x:v>RUN-TRF-016-20260901T165938650361Z</x:v>
      </x:c>
      <x:c r="B24" s="49" t="str">
        <x:v>TRF-016</x:v>
      </x:c>
      <x:c r="C24" s="49" t="str">
        <x:v>waterlineDisplacement</x:v>
      </x:c>
      <x:c r="D24" s="50" t="str">
        <x:v>https://w3id.org/nltl/vocab#waterlineDisplacement</x:v>
      </x:c>
      <x:c r="E24" s="49" t="str">
        <x:v>QuantityProperty</x:v>
      </x:c>
      <x:c r="F24" s="49" t="str"/>
      <x:c r="G24" s="49" t="str">
        <x:v>http://qudt.org/schema/qudt/QuantityValue</x:v>
      </x:c>
      <x:c r="H24" s="49" t="str">
        <x:v>http://qudt.org/vocab/unit/TON_Metric</x:v>
      </x:c>
      <x:c r="I24" s="50" t="str">
        <x:v>linked by the locked 313-requirement index</x:v>
      </x:c>
      <x:c r="J24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0cb8922838ec438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RUN-TRF-016-20260901T165938650361Z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RUN-TRF-016-20260901T165938650361Z</x:v>
      </x:c>
      <x:c r="B5" s="45" t="str">
        <x:v>TRF-016</x:v>
      </x:c>
      <x:c r="C5" s="45" t="str">
        <x:v>FS-CALC-02</x:v>
      </x:c>
      <x:c r="D5" s="45" t="str">
        <x:v>comparison_calculation</x:v>
      </x:c>
      <x:c r="E5" s="92" t="n">
        <x:v>0.033613</x:v>
      </x:c>
      <x:c r="F5" s="45" t="str">
        <x:v>calculation | comparison | formula | sparql</x:v>
      </x:c>
      <x:c r="G5" s="45" t="str">
        <x:v>synthetic-few-shot-not-benchmark-ground-truth</x:v>
      </x:c>
    </x:row>
    <x:row r="6">
      <x:c r="A6" s="49" t="str">
        <x:v>RUN-TRF-016-20260901T165938650361Z</x:v>
      </x:c>
      <x:c r="B6" s="49" t="str">
        <x:v>TRF-016</x:v>
      </x:c>
      <x:c r="C6" s="49" t="str">
        <x:v>FS-BOOL-01</x:v>
      </x:c>
      <x:c r="D6" s="49" t="str">
        <x:v>boolean_state</x:v>
      </x:c>
      <x:c r="E6" s="93" t="n">
        <x:v>0.025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7fe1e4656704e56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RUN-TRF-016-20260901T165938650361Z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RUN-TRF-016-20260901T165938650361Z</x:v>
      </x:c>
      <x:c r="B5" s="69" t="str">
        <x:v>TRF-016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95" t="b">
        <x:v>1</x:v>
      </x:c>
      <x:c r="L5" s="73" t="str"/>
      <x:c r="M5" s="73" t="str"/>
      <x:c r="N5" s="73" t="str">
        <x:v>https://w3id.org/nltl/vocab#ballastTank | https://w3id.org/nltl/vocab#displacementAtUpperIceWaterline | https://w3id.org/nltl/vocab#draughtAmidships | https://w3id.org/nltl/vocab#forwardDraught | https://w3id.org/nltl/vocab#freezingPreventionPresent | https://w3id.org/nltl/vocab#hasBallastTank | https://w3id.org/nltl/vocab#hasLowerIceWaterline | https://w3id.org/nltl/vocab#hasUpperIceWaterline | https://w3id.org/nltl/vocab#iceWaterline | https://w3id.org/nltl/vocab#levelIceThickness | https://w3id.org/nltl/vocab#liwlDraughtAmidships | https://w3id.org/nltl/vocab#navigatingInIce | https://w3id.org/nltl/vocab#propellerHighestPointSubmerged | https://w3id.org/nltl/vocab#ship | https://w3id.org/nltl/vocab#situatedAboveLowerIceWaterline | https://w3id.org/nltl/vocab#usedToReachLowerIceWaterline | https://w3id.org/nltl/vocab#waterlineDisplacement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2793f607f1ca48fb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RUN-TRF-016-20260901T165938650361Z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RUN-TRF-016-20260901T165938650361Z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RUN-TRF-016-20260901T165938650361Z</x:v>
      </x:c>
      <x:c r="B5" s="45" t="str">
        <x:v>TRF-016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f06479ac2b09c02b097ac94b615103484b23083da0f98e794fd1993d2e4a81c5</x:v>
      </x:c>
      <x:c r="G5" s="58" t="n">
        <x:v>27552</x:v>
      </x:c>
    </x:row>
    <x:row r="6">
      <x:c r="A6" s="47" t="str">
        <x:v>RUN-TRF-016-20260901T165938650361Z</x:v>
      </x:c>
      <x:c r="B6" s="47" t="str">
        <x:v>TRF-016</x:v>
      </x:c>
      <x:c r="C6" s="59"/>
      <x:c r="D6" s="47" t="str">
        <x:v>few_shot_selection</x:v>
      </x:c>
      <x:c r="E6" s="48" t="str">
        <x:v>artifacts/few_shots_selected.json</x:v>
      </x:c>
      <x:c r="F6" s="47" t="str">
        <x:v>a9f5058563bf13c00e42a957bf8b0e3d3e624bdc8e8c481c15c5a0e4917915f7</x:v>
      </x:c>
      <x:c r="G6" s="59" t="n">
        <x:v>4746</x:v>
      </x:c>
    </x:row>
    <x:row r="7">
      <x:c r="A7" s="47" t="str">
        <x:v>RUN-TRF-016-20260901T165938650361Z</x:v>
      </x:c>
      <x:c r="B7" s="47" t="str">
        <x:v>TRF-016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ac4893c14c452ef40eb230dfd86b1f3d6c6fe9eedfd4ad051c328f1bc5d558cc</x:v>
      </x:c>
      <x:c r="G7" s="59" t="n">
        <x:v>43852</x:v>
      </x:c>
    </x:row>
    <x:row r="8">
      <x:c r="A8" s="47" t="str">
        <x:v>RUN-TRF-016-20260901T165938650361Z</x:v>
      </x:c>
      <x:c r="B8" s="47" t="str">
        <x:v>TRF-016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226732ccbb9c8474ceb879d9f25792c03267f4f4f5135978bf3387b8c63d2f7b</x:v>
      </x:c>
      <x:c r="G8" s="59" t="n">
        <x:v>8566</x:v>
      </x:c>
    </x:row>
    <x:row r="9">
      <x:c r="A9" s="47" t="str">
        <x:v>RUN-TRF-016-20260901T165938650361Z</x:v>
      </x:c>
      <x:c r="B9" s="47" t="str">
        <x:v>TRF-016</x:v>
      </x:c>
      <x:c r="C9" s="59" t="n">
        <x:v>1</x:v>
      </x:c>
      <x:c r="D9" s="47" t="str">
        <x:v>no_semantic_validator_candidate_shape</x:v>
      </x:c>
      <x:c r="E9" s="48" t="str">
        <x:v>artifacts/attempt_01/candidate_shape.ttl</x:v>
      </x:c>
      <x:c r="F9" s="47" t="str">
        <x:v>e3fcba6f65b3e192276af8ee0af22f3fa4f2f0b678ed47fff9185b789de4c1ef</x:v>
      </x:c>
      <x:c r="G9" s="59" t="n">
        <x:v>8541</x:v>
      </x:c>
    </x:row>
    <x:row r="10">
      <x:c r="A10" s="49" t="str">
        <x:v>RUN-TRF-016-20260901T165938650361Z</x:v>
      </x:c>
      <x:c r="B10" s="49" t="str">
        <x:v>TRF-016</x:v>
      </x:c>
      <x:c r="C10" s="60" t="n">
        <x:v>1</x:v>
      </x:c>
      <x:c r="D10" s="49" t="str">
        <x:v>no_semantic_validator_diagnostics</x:v>
      </x:c>
      <x:c r="E10" s="50" t="str">
        <x:v>artifacts/attempt_01/no_semantic_validator_diagnostics.json</x:v>
      </x:c>
      <x:c r="F10" s="49" t="str">
        <x:v>71132893c35a9d00d42ac38555538c698c39d5e68d9819176ff5cd4230caac0d</x:v>
      </x:c>
      <x:c r="G10" s="60" t="n">
        <x:v>1774</x:v>
      </x:c>
    </x:row>
  </x:sheetData>
  <x:pageMargins left="0.7" right="0.7" top="0.75" bottom="0.75" header="0.3" footer="0.3"/>
  <x:tableParts count="1">
    <x:tablePart xmlns:r="http://schemas.openxmlformats.org/officeDocument/2006/relationships" r:id="Rb6f50734f84b4259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RUN-TRF-016-20260901T165938650361Z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RUN-TRF-016-20260901T165938650361Z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97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