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12d460a65e5434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176a24d8ba04ecb"/>
    <x:sheet xmlns:r="http://schemas.openxmlformats.org/officeDocument/2006/relationships" name="README" sheetId="2" r:id="R92d176ffde0c4fea"/>
    <x:sheet xmlns:r="http://schemas.openxmlformats.org/officeDocument/2006/relationships" name="REGULATION_QUEUE" sheetId="3" r:id="R7e194cd87c3e42ef"/>
    <x:sheet xmlns:r="http://schemas.openxmlformats.org/officeDocument/2006/relationships" name="RUNS" sheetId="4" r:id="R46c6f378b31e43ae"/>
    <x:sheet xmlns:r="http://schemas.openxmlformats.org/officeDocument/2006/relationships" name="ITERATIONS" sheetId="5" r:id="R292d509cfec6476b"/>
    <x:sheet xmlns:r="http://schemas.openxmlformats.org/officeDocument/2006/relationships" name="API_CALLS" sheetId="6" r:id="R861b4f0dffe44d9d"/>
    <x:sheet xmlns:r="http://schemas.openxmlformats.org/officeDocument/2006/relationships" name="TERM_RETRIEVAL" sheetId="7" r:id="R8a2d3211911a4064"/>
    <x:sheet xmlns:r="http://schemas.openxmlformats.org/officeDocument/2006/relationships" name="FEW_SHOT_SELECTION" sheetId="8" r:id="Rf4720daf24c74219"/>
    <x:sheet xmlns:r="http://schemas.openxmlformats.org/officeDocument/2006/relationships" name="VALIDATION" sheetId="9" r:id="R6a34bb7bd57447f5"/>
    <x:sheet xmlns:r="http://schemas.openxmlformats.org/officeDocument/2006/relationships" name="VOCAB_MATCHES" sheetId="10" r:id="R9655884ffb89415f"/>
    <x:sheet xmlns:r="http://schemas.openxmlformats.org/officeDocument/2006/relationships" name="ARTIFACTS" sheetId="11" r:id="R0ed071bb952e44ff"/>
    <x:sheet xmlns:r="http://schemas.openxmlformats.org/officeDocument/2006/relationships" name="UNRESOLVED" sheetId="12" r:id="Rdb6188fc1eff4f3f"/>
    <x:sheet xmlns:r="http://schemas.openxmlformats.org/officeDocument/2006/relationships" name="RDF_TEST_QUEUE" sheetId="13" r:id="R83ac604617734c1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ce7759280794174" /><Relationship Type="http://schemas.openxmlformats.org/officeDocument/2006/relationships/theme" Target="/xl/theme/theme1.xml" Id="R6bb85e1a090643d9" /><Relationship Type="http://schemas.microsoft.com/office/2022/11/relationships/FeaturePropertyBag" Target="/xl/featurePropertyBag/featurePropertyBag.xml" Id="Rf7af4133ec79492c" /><Relationship Type="http://schemas.openxmlformats.org/officeDocument/2006/relationships/sharedStrings" Target="/xl/sharedStrings.xml" Id="R5a58907ac4b64a5e" /><Relationship Type="http://schemas.openxmlformats.org/officeDocument/2006/relationships/worksheet" Target="/xl/worksheets/sheet1.xml" Id="Re176a24d8ba04ecb" /><Relationship Type="http://schemas.openxmlformats.org/officeDocument/2006/relationships/worksheet" Target="/xl/worksheets/sheet2.xml" Id="R92d176ffde0c4fea" /><Relationship Type="http://schemas.openxmlformats.org/officeDocument/2006/relationships/worksheet" Target="/xl/worksheets/sheet3.xml" Id="R7e194cd87c3e42ef" /><Relationship Type="http://schemas.openxmlformats.org/officeDocument/2006/relationships/worksheet" Target="/xl/worksheets/sheet4.xml" Id="R46c6f378b31e43ae" /><Relationship Type="http://schemas.openxmlformats.org/officeDocument/2006/relationships/worksheet" Target="/xl/worksheets/sheet5.xml" Id="R292d509cfec6476b" /><Relationship Type="http://schemas.openxmlformats.org/officeDocument/2006/relationships/worksheet" Target="/xl/worksheets/sheet6.xml" Id="R861b4f0dffe44d9d" /><Relationship Type="http://schemas.openxmlformats.org/officeDocument/2006/relationships/worksheet" Target="/xl/worksheets/sheet7.xml" Id="R8a2d3211911a4064" /><Relationship Type="http://schemas.openxmlformats.org/officeDocument/2006/relationships/worksheet" Target="/xl/worksheets/sheet8.xml" Id="Rf4720daf24c74219" /><Relationship Type="http://schemas.openxmlformats.org/officeDocument/2006/relationships/worksheet" Target="/xl/worksheets/sheet9.xml" Id="R6a34bb7bd57447f5" /><Relationship Type="http://schemas.openxmlformats.org/officeDocument/2006/relationships/worksheet" Target="/xl/worksheets/sheet10.xml" Id="R9655884ffb89415f" /><Relationship Type="http://schemas.openxmlformats.org/officeDocument/2006/relationships/worksheet" Target="/xl/worksheets/sheet11.xml" Id="R0ed071bb952e44ff" /><Relationship Type="http://schemas.openxmlformats.org/officeDocument/2006/relationships/worksheet" Target="/xl/worksheets/sheet12.xml" Id="Rdb6188fc1eff4f3f" /><Relationship Type="http://schemas.openxmlformats.org/officeDocument/2006/relationships/worksheet" Target="/xl/worksheets/sheet13.xml" Id="R83ac604617734c1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2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520d9078fdb49a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d118796637c488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2c010f641db405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eb1ec2a73e247a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1b6f3f6dc2e469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2e74baa1b436415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be039552157545b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72f828c43f374df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f78a5d9a1c294a2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RUN-TRF-111-20260901T173547491588Z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35167.0345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RUN-TRF-111-20260901T173547491588Z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6520d9078fdb49a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RUN-TRF-111-20260901T173547491588Z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NO_SEMANTIC_VALIDATOR_DETERMINISTIC_FAIL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d118796637c488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RUN-TRF-111-20260901T173547491588Z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SESSION-NO-SEMANTIC-VALIDATOR-BATCH-20260901T154754243163Z</x:v>
      </x:c>
      <x:c r="B5" s="69" t="str">
        <x:v>RUN-TRF-111-20260901T173547491588Z</x:v>
      </x:c>
      <x:c r="C5" s="69" t="str">
        <x:v>TRF-111</x:v>
      </x:c>
      <x:c r="D5" s="70" t="n">
        <x:v>46266.73318857639</x:v>
      </x:c>
      <x:c r="E5" s="70" t="n">
        <x:v>46266.7335978125</x:v>
      </x:c>
      <x:c r="F5" s="69" t="str">
        <x:v>luna-no-semantic-validator-run04-v1</x:v>
      </x:c>
      <x:c r="G5" s="69" t="str">
        <x:v>VOCAB-LOCK-2026-08-22-R13</x:v>
      </x:c>
      <x:c r="H5" s="71" t="n">
        <x:v>1</x:v>
      </x:c>
      <x:c r="I5" s="69" t="str">
        <x:v>NO_SEMANTIC_VALIDATOR_DETERMINISTIC_FAIL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2c010f641db405c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RUN-TRF-111-20260901T173547491588Z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RUN-TRF-111-20260901T173547491588Z</x:v>
      </x:c>
      <x:c r="B5" s="69" t="str">
        <x:v>TRF-111</x:v>
      </x:c>
      <x:c r="C5" s="71" t="n">
        <x:v>1</x:v>
      </x:c>
      <x:c r="D5" s="72" t="b">
        <x:v>0</x:v>
      </x:c>
      <x:c r="E5" s="69"/>
      <x:c r="F5" s="72" t="b">
        <x:v>0</x:v>
      </x:c>
      <x:c r="G5" s="69" t="str">
        <x:v>NO_SEMANTIC_VALIDATOR_DETERMINISTIC_FAIL</x:v>
      </x:c>
      <x:c r="H5" s="73" t="str">
        <x:v>Semantic validator disabled; deterministic diagnostics were not used as repair feedback.</x:v>
      </x:c>
      <x:c r="I5" s="75" t="n">
        <x:v>35167.817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eb1ec2a73e247a3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RUN-TRF-111-20260901T173547491588Z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EVT-000026</x:v>
      </x:c>
      <x:c r="B5" s="45" t="str">
        <x:v>RUN-TRF-111-20260901T173547491588Z</x:v>
      </x:c>
      <x:c r="C5" s="45" t="str">
        <x:v>TRF-111</x:v>
      </x:c>
      <x:c r="D5" s="84" t="n">
        <x:v>46266.73359560185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35166.252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EVT-000027</x:v>
      </x:c>
      <x:c r="B6" s="49" t="str">
        <x:v>RUN-TRF-111-20260901T173547491588Z</x:v>
      </x:c>
      <x:c r="C6" s="49" t="str">
        <x:v>TRF-111</x:v>
      </x:c>
      <x:c r="D6" s="87" t="n">
        <x:v>46266.733595625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35167.817</x:v>
      </x:c>
      <x:c r="L6" s="89" t="b">
        <x:v>0</x:v>
      </x:c>
      <x:c r="M6" s="49" t="str">
        <x:v>resp_02e05e453e1d419e006a970cf3a5b08190967584df7218ad4e</x:v>
      </x:c>
      <x:c r="N6" s="60" t="n">
        <x:v>10642</x:v>
      </x:c>
      <x:c r="O6" s="60" t="n">
        <x:v>3238</x:v>
      </x:c>
      <x:c r="P6" s="60" t="n">
        <x:v>13880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1b6f3f6dc2e469e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RUN-TRF-111-20260901T173547491588Z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RUN-TRF-111-20260901T173547491588Z</x:v>
      </x:c>
      <x:c r="B5" s="45" t="str">
        <x:v>TRF-111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extremeIceForce; range dependency of shaftLineLoadCaseTypeValue</x:v>
      </x:c>
      <x:c r="J5" s="45" t="n">
        <x:v>0</x:v>
      </x:c>
    </x:row>
    <x:row r="6">
      <x:c r="A6" s="47" t="str">
        <x:v>RUN-TRF-111-20260901T173547491588Z</x:v>
      </x:c>
      <x:c r="B6" s="47" t="str">
        <x:v>TRF-111</x:v>
      </x:c>
      <x:c r="C6" s="47" t="str">
        <x:v>bladeFailureLoadCase</x:v>
      </x:c>
      <x:c r="D6" s="48" t="str">
        <x:v>https://w3id.org/nltl/vocab#bladeFailureLoadCase</x:v>
      </x:c>
      <x:c r="E6" s="47" t="str">
        <x:v>NamedIndividual</x:v>
      </x:c>
      <x:c r="F6" s="47" t="str"/>
      <x:c r="G6" s="47" t="str">
        <x:v>https://w3id.org/nltl/vocab#shaftLineLoadCaseTypeValue</x:v>
      </x:c>
      <x:c r="H6" s="47" t="str"/>
      <x:c r="I6" s="48" t="str">
        <x:v>controlled value permitted by the range of bladeFailureLoadCase; controlled value permitted by the range of extremeOperationalLoadCase; controlled value permitted by the range of fatigueLoadCase; controlled value permitted by the range of shaftLineLoadCaseType; linked by the locked 313-requirement index</x:v>
      </x:c>
      <x:c r="J6" s="47" t="n">
        <x:v>0</x:v>
      </x:c>
    </x:row>
    <x:row r="7">
      <x:c r="A7" s="47" t="str">
        <x:v>RUN-TRF-111-20260901T173547491588Z</x:v>
      </x:c>
      <x:c r="B7" s="47" t="str">
        <x:v>TRF-111</x:v>
      </x:c>
      <x:c r="C7" s="47" t="str">
        <x:v>componentYieldSafetyFactor</x:v>
      </x:c>
      <x:c r="D7" s="48" t="str">
        <x:v>https://w3id.org/nltl/vocab#componentYieldSafetyFactor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http://qudt.org/vocab/unit/UNITLESS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RUN-TRF-111-20260901T173547491588Z</x:v>
      </x:c>
      <x:c r="B8" s="47" t="str">
        <x:v>TRF-111</x:v>
      </x:c>
      <x:c r="C8" s="47" t="str">
        <x:v>extremeIceForce</x:v>
      </x:c>
      <x:c r="D8" s="48" t="str">
        <x:v>https://w3id.org/nltl/vocab#extremeIceForce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http://qudt.org/vocab/unit/KiloN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RUN-TRF-111-20260901T173547491588Z</x:v>
      </x:c>
      <x:c r="B9" s="47" t="str">
        <x:v>TRF-111</x:v>
      </x:c>
      <x:c r="C9" s="47" t="str">
        <x:v>extremeOperationalLoadCase</x:v>
      </x:c>
      <x:c r="D9" s="48" t="str">
        <x:v>https://w3id.org/nltl/vocab#extremeOperationalLoadCase</x:v>
      </x:c>
      <x:c r="E9" s="47" t="str">
        <x:v>NamedIndividual</x:v>
      </x:c>
      <x:c r="F9" s="47" t="str"/>
      <x:c r="G9" s="47" t="str">
        <x:v>https://w3id.org/nltl/vocab#shaftLineLoadCaseTypeValue</x:v>
      </x:c>
      <x:c r="H9" s="47" t="str"/>
      <x:c r="I9" s="48" t="str">
        <x:v>controlled value permitted by the range of bladeFailureLoadCase; controlled value permitted by the range of extremeOperationalLoadCase; controlled value permitted by the range of fatigueLoadCase; controlled value permitted by the range of shaftLineLoadCaseType; linked by the locked 313-requirement index</x:v>
      </x:c>
      <x:c r="J9" s="47" t="n">
        <x:v>0</x:v>
      </x:c>
    </x:row>
    <x:row r="10">
      <x:c r="A10" s="47" t="str">
        <x:v>RUN-TRF-111-20260901T173547491588Z</x:v>
      </x:c>
      <x:c r="B10" s="47" t="str">
        <x:v>TRF-111</x:v>
      </x:c>
      <x:c r="C10" s="47" t="str">
        <x:v>fatigueLoadCase</x:v>
      </x:c>
      <x:c r="D10" s="48" t="str">
        <x:v>https://w3id.org/nltl/vocab#fatigueLoadCase</x:v>
      </x:c>
      <x:c r="E10" s="47" t="str">
        <x:v>NamedIndividual</x:v>
      </x:c>
      <x:c r="F10" s="47" t="str"/>
      <x:c r="G10" s="47" t="str">
        <x:v>https://w3id.org/nltl/vocab#shaftLineLoadCaseTypeValue</x:v>
      </x:c>
      <x:c r="H10" s="47" t="str"/>
      <x:c r="I10" s="48" t="str">
        <x:v>controlled value permitted by the range of bladeFailureLoadCase; controlled value permitted by the range of extremeOperationalLoadCase; controlled value permitted by the range of fatigueLoadCase; controlled value permitted by the range of shaftLineLoadCaseType; linked by the locked 313-requirement index</x:v>
      </x:c>
      <x:c r="J10" s="47" t="n">
        <x:v>0</x:v>
      </x:c>
    </x:row>
    <x:row r="11">
      <x:c r="A11" s="47" t="str">
        <x:v>RUN-TRF-111-20260901T173547491588Z</x:v>
      </x:c>
      <x:c r="B11" s="47" t="str">
        <x:v>TRF-111</x:v>
      </x:c>
      <x:c r="C11" s="47" t="str">
        <x:v>fatigueSafetyFactor</x:v>
      </x:c>
      <x:c r="D11" s="48" t="str">
        <x:v>https://w3id.org/nltl/vocab#fatigueSafetyFactor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http://qudt.org/vocab/unit/UNITLESS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RUN-TRF-111-20260901T173547491588Z</x:v>
      </x:c>
      <x:c r="B12" s="47" t="str">
        <x:v>TRF-111</x:v>
      </x:c>
      <x:c r="C12" s="47" t="str">
        <x:v>hasComponent</x:v>
      </x:c>
      <x:c r="D12" s="48" t="str">
        <x:v>https://w3id.org/nltl/vocab#hasComponent</x:v>
      </x:c>
      <x:c r="E12" s="47" t="str">
        <x:v>ObjectProperty</x:v>
      </x:c>
      <x:c r="F12" s="47" t="str"/>
      <x:c r="G12" s="47" t="str">
        <x:v>https://w3id.org/nltl/vocab#shipComponent</x:v>
      </x:c>
      <x:c r="H12" s="47" t="str"/>
      <x:c r="I12" s="48" t="str">
        <x:v>canonical path from target owner ship to required owner shipComponent; component-path dependency inferred from the linked term module</x:v>
      </x:c>
      <x:c r="J12" s="47" t="n">
        <x:v>0</x:v>
      </x:c>
    </x:row>
    <x:row r="13">
      <x:c r="A13" s="47" t="str">
        <x:v>RUN-TRF-111-20260901T173547491588Z</x:v>
      </x:c>
      <x:c r="B13" s="47" t="str">
        <x:v>TRF-111</x:v>
      </x:c>
      <x:c r="C13" s="47" t="str">
        <x:v>hasLoadCase</x:v>
      </x:c>
      <x:c r="D13" s="48" t="str">
        <x:v>https://w3id.org/nltl/vocab#hasLoadCase</x:v>
      </x:c>
      <x:c r="E13" s="47" t="str">
        <x:v>ObjectProperty</x:v>
      </x:c>
      <x:c r="F13" s="47" t="str"/>
      <x:c r="G13" s="47" t="str">
        <x:v>https://w3id.org/nltl/vocab#loadCase</x:v>
      </x:c>
      <x:c r="H13" s="47" t="str"/>
      <x:c r="I13" s="48" t="str">
        <x:v>canonical path from target owner ship to required owner loadCase</x:v>
      </x:c>
      <x:c r="J13" s="47" t="n">
        <x:v>0</x:v>
      </x:c>
    </x:row>
    <x:row r="14">
      <x:c r="A14" s="47" t="str">
        <x:v>RUN-TRF-111-20260901T173547491588Z</x:v>
      </x:c>
      <x:c r="B14" s="47" t="str">
        <x:v>TRF-111</x:v>
      </x:c>
      <x:c r="C14" s="47" t="str">
        <x:v>hasPropellerShaftLineComponent</x:v>
      </x:c>
      <x:c r="D14" s="48" t="str">
        <x:v>https://w3id.org/nltl/vocab#hasPropellerShaftLineComponent</x:v>
      </x:c>
      <x:c r="E14" s="47" t="str">
        <x:v>ObjectProperty</x:v>
      </x:c>
      <x:c r="F14" s="47" t="str"/>
      <x:c r="G14" s="47" t="str">
        <x:v>https://w3id.org/nltl/vocab#propellerShaftLineComponent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RUN-TRF-111-20260901T173547491588Z</x:v>
      </x:c>
      <x:c r="B15" s="47" t="str">
        <x:v>TRF-111</x:v>
      </x:c>
      <x:c r="C15" s="47" t="str">
        <x:v>hasPropulsionLoadCase</x:v>
      </x:c>
      <x:c r="D15" s="48" t="str">
        <x:v>https://w3id.org/nltl/vocab#hasPropulsionLoadCase</x:v>
      </x:c>
      <x:c r="E15" s="47" t="str">
        <x:v>ObjectProperty</x:v>
      </x:c>
      <x:c r="F15" s="47" t="str"/>
      <x:c r="G15" s="47" t="str">
        <x:v>https://w3id.org/nltl/vocab#loadCase</x:v>
      </x:c>
      <x:c r="H15" s="47" t="str"/>
      <x:c r="I15" s="48" t="str">
        <x:v>canonical path from target owner ship to required owner loadCase; linked by the locked 313-requirement index</x:v>
      </x:c>
      <x:c r="J15" s="47" t="n">
        <x:v>0</x:v>
      </x:c>
    </x:row>
    <x:row r="16">
      <x:c r="A16" s="47" t="str">
        <x:v>RUN-TRF-111-20260901T173547491588Z</x:v>
      </x:c>
      <x:c r="B16" s="47" t="str">
        <x:v>TRF-111</x:v>
      </x:c>
      <x:c r="C16" s="47" t="str">
        <x:v>loadCase</x:v>
      </x:c>
      <x:c r="D16" s="48" t="str">
        <x:v>https://w3id.org/nltl/vocab#loadCase</x:v>
      </x:c>
      <x:c r="E16" s="47" t="str">
        <x:v>Class</x:v>
      </x:c>
      <x:c r="F16" s="47" t="str"/>
      <x:c r="G16" s="47" t="str">
        <x:v>https://w3id.org/nltl/vocab#calculationCase</x:v>
      </x:c>
      <x:c r="H16" s="47" t="str"/>
      <x:c r="I16" s="48" t="str">
        <x:v>authoritative required owner class; domain dependency of componentYieldSafetyFactor; domain dependency of shaftLineLoadCaseType; range dependency of hasPropulsionLoadCase</x:v>
      </x:c>
      <x:c r="J16" s="47" t="n">
        <x:v>0</x:v>
      </x:c>
    </x:row>
    <x:row r="17">
      <x:c r="A17" s="47" t="str">
        <x:v>RUN-TRF-111-20260901T173547491588Z</x:v>
      </x:c>
      <x:c r="B17" s="47" t="str">
        <x:v>TRF-111</x:v>
      </x:c>
      <x:c r="C17" s="47" t="str">
        <x:v>machineryComponent</x:v>
      </x:c>
      <x:c r="D17" s="48" t="str">
        <x:v>https://w3id.org/nltl/vocab#machineryComponent</x:v>
      </x:c>
      <x:c r="E17" s="47" t="str">
        <x:v>Class</x:v>
      </x:c>
      <x:c r="F17" s="47" t="str"/>
      <x:c r="G17" s="47" t="str"/>
      <x:c r="H17" s="47" t="str"/>
      <x:c r="I17" s="48" t="str">
        <x:v>range dependency of propellerShaftLineComponent</x:v>
      </x:c>
      <x:c r="J17" s="47" t="n">
        <x:v>0</x:v>
      </x:c>
    </x:row>
    <x:row r="18">
      <x:c r="A18" s="47" t="str">
        <x:v>RUN-TRF-111-20260901T173547491588Z</x:v>
      </x:c>
      <x:c r="B18" s="47" t="str">
        <x:v>TRF-111</x:v>
      </x:c>
      <x:c r="C18" s="47" t="str">
        <x:v>propellerShaftLineComponent</x:v>
      </x:c>
      <x:c r="D18" s="48" t="str">
        <x:v>https://w3id.org/nltl/vocab#propellerShaftLineComponent</x:v>
      </x:c>
      <x:c r="E18" s="47" t="str">
        <x:v>Class</x:v>
      </x:c>
      <x:c r="F18" s="47" t="str"/>
      <x:c r="G18" s="47" t="str">
        <x:v>https://w3id.org/nltl/vocab#machineryComponent</x:v>
      </x:c>
      <x:c r="H18" s="47" t="str"/>
      <x:c r="I18" s="48" t="str">
        <x:v>linked by the locked 313-requirement index; range dependency of hasPropellerShaftLineComponent</x:v>
      </x:c>
      <x:c r="J18" s="47" t="n">
        <x:v>0</x:v>
      </x:c>
    </x:row>
    <x:row r="19">
      <x:c r="A19" s="47" t="str">
        <x:v>RUN-TRF-111-20260901T173547491588Z</x:v>
      </x:c>
      <x:c r="B19" s="47" t="str">
        <x:v>TRF-111</x:v>
      </x:c>
      <x:c r="C19" s="47" t="str">
        <x:v>shaftLineLoadCaseType</x:v>
      </x:c>
      <x:c r="D19" s="48" t="str">
        <x:v>https://w3id.org/nltl/vocab#shaftLineLoadCaseType</x:v>
      </x:c>
      <x:c r="E19" s="47" t="str">
        <x:v>ObjectProperty</x:v>
      </x:c>
      <x:c r="F19" s="47" t="str"/>
      <x:c r="G19" s="47" t="str">
        <x:v>https://w3id.org/nltl/vocab#shaftLineLoadCaseTypeValue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RUN-TRF-111-20260901T173547491588Z</x:v>
      </x:c>
      <x:c r="B20" s="47" t="str">
        <x:v>TRF-111</x:v>
      </x:c>
      <x:c r="C20" s="47" t="str">
        <x:v>shaftLineLoadCaseTypeValue</x:v>
      </x:c>
      <x:c r="D20" s="48" t="str">
        <x:v>https://w3id.org/nltl/vocab#shaftLineLoadCaseTypeValue</x:v>
      </x:c>
      <x:c r="E20" s="47" t="str">
        <x:v>Class</x:v>
      </x:c>
      <x:c r="F20" s="47" t="str"/>
      <x:c r="G20" s="47" t="str">
        <x:v>https://w3id.org/nltl/vocab#benchmarkEntity</x:v>
      </x:c>
      <x:c r="H20" s="47" t="str"/>
      <x:c r="I20" s="48" t="str">
        <x:v>linked by the locked 313-requirement index; range dependency of bladeFailureLoadCase; range dependency of extremeOperationalLoadCase; range dependency of fatigueLoadCase; range dependency of shaftLineLoadCaseType</x:v>
      </x:c>
      <x:c r="J20" s="47" t="n">
        <x:v>0</x:v>
      </x:c>
    </x:row>
    <x:row r="21">
      <x:c r="A21" s="47" t="str">
        <x:v>RUN-TRF-111-20260901T173547491588Z</x:v>
      </x:c>
      <x:c r="B21" s="47" t="str">
        <x:v>TRF-111</x:v>
      </x:c>
      <x:c r="C21" s="47" t="str">
        <x:v>ship</x:v>
      </x:c>
      <x:c r="D21" s="48" t="str">
        <x:v>https://w3id.org/nltl/vocab#ship</x:v>
      </x:c>
      <x:c r="E21" s="47" t="str">
        <x:v>Class</x:v>
      </x:c>
      <x:c r="F21" s="47" t="str"/>
      <x:c r="G21" s="47" t="str"/>
      <x:c r="H21" s="47" t="str"/>
      <x:c r="I21" s="48" t="str">
        <x:v>authoritative required owner class; authoritative requirement target owner; baseline target infrastructure; domain dependency of hasPropellerShaftLineComponent; domain dependency of hasPropulsionLoadCase</x:v>
      </x:c>
      <x:c r="J21" s="47" t="n">
        <x:v>0</x:v>
      </x:c>
    </x:row>
    <x:row r="22">
      <x:c r="A22" s="49" t="str">
        <x:v>RUN-TRF-111-20260901T173547491588Z</x:v>
      </x:c>
      <x:c r="B22" s="49" t="str">
        <x:v>TRF-111</x:v>
      </x:c>
      <x:c r="C22" s="49" t="str">
        <x:v>shipComponent</x:v>
      </x:c>
      <x:c r="D22" s="50" t="str">
        <x:v>https://w3id.org/nltl/vocab#shipComponent</x:v>
      </x:c>
      <x:c r="E22" s="49" t="str">
        <x:v>Class</x:v>
      </x:c>
      <x:c r="F22" s="49" t="str"/>
      <x:c r="G22" s="49" t="str"/>
      <x:c r="H22" s="49" t="str"/>
      <x:c r="I22" s="50" t="str">
        <x:v>authoritative required owner class; component-path dependency inferred from the linked term module; domain dependency of fatigueSafetyFactor</x:v>
      </x:c>
      <x:c r="J22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2e74baa1b4364154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RUN-TRF-111-20260901T173547491588Z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RUN-TRF-111-20260901T173547491588Z</x:v>
      </x:c>
      <x:c r="B5" s="45" t="str">
        <x:v>TRF-111</x:v>
      </x:c>
      <x:c r="C5" s="45" t="str">
        <x:v>FS-COMPLEX-READINESS-01</x:v>
      </x:c>
      <x:c r="D5" s="45" t="str">
        <x:v>complex_readiness_external_calculation</x:v>
      </x:c>
      <x:c r="E5" s="92" t="n">
        <x:v>2.131148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RUN-TRF-111-20260901T173547491588Z</x:v>
      </x:c>
      <x:c r="B6" s="49" t="str">
        <x:v>TRF-111</x:v>
      </x:c>
      <x:c r="C6" s="49" t="str">
        <x:v>FS-COMPLEX-READINESS-02</x:v>
      </x:c>
      <x:c r="D6" s="49" t="str">
        <x:v>complex_readiness_with_direct_residual_check</x:v>
      </x:c>
      <x:c r="E6" s="93" t="n">
        <x:v>2.059701</x:v>
      </x:c>
      <x:c r="F6" s="49" t="str">
        <x:v>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e039552157545b3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RUN-TRF-111-20260901T173547491588Z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RUN-TRF-111-20260901T173547491588Z</x:v>
      </x:c>
      <x:c r="B5" s="69" t="str">
        <x:v>TRF-111</x:v>
      </x:c>
      <x:c r="C5" s="71" t="n">
        <x:v>1</x:v>
      </x:c>
      <x:c r="D5" s="72" t="b">
        <x:v>0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>
        <x:v>COMPLEX_READINESS applicability evidence(s) absent from candidate: shaftLineLoadCaseTypeValue</x:v>
      </x:c>
      <x:c r="M5" s="73" t="str"/>
      <x:c r="N5" s="73" t="str">
        <x:v>https://w3id.org/nltl/vocab#bladeFailureLoadCase | https://w3id.org/nltl/vocab#componentYieldSafetyFactor | https://w3id.org/nltl/vocab#extremeIceForce | https://w3id.org/nltl/vocab#extremeOperationalLoadCase | https://w3id.org/nltl/vocab#fatigueLoadCase | https://w3id.org/nltl/vocab#fatigueSafetyFactor | https://w3id.org/nltl/vocab#hasPropellerShaftLineComponent | https://w3id.org/nltl/vocab#hasPropulsionLoadCase | https://w3id.org/nltl/vocab#loadCase | https://w3id.org/nltl/vocab#shaftLineLoadCaseType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72f828c43f374df8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RUN-TRF-111-20260901T173547491588Z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RUN-TRF-111-20260901T173547491588Z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RUN-TRF-111-20260901T173547491588Z</x:v>
      </x:c>
      <x:c r="B5" s="45" t="str">
        <x:v>TRF-111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775f4c22fad023ae18a1b40a093b377680fec26c22be6710ee88a12e229ea78f</x:v>
      </x:c>
      <x:c r="G5" s="58" t="n">
        <x:v>26614</x:v>
      </x:c>
    </x:row>
    <x:row r="6">
      <x:c r="A6" s="47" t="str">
        <x:v>RUN-TRF-111-20260901T173547491588Z</x:v>
      </x:c>
      <x:c r="B6" s="47" t="str">
        <x:v>TRF-111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702b114cc84d439d101a4b47d9d22029d34e3357955cbecf0969fe1e1339cb34</x:v>
      </x:c>
      <x:c r="G6" s="59" t="n">
        <x:v>6555</x:v>
      </x:c>
    </x:row>
    <x:row r="7">
      <x:c r="A7" s="47" t="str">
        <x:v>RUN-TRF-111-20260901T173547491588Z</x:v>
      </x:c>
      <x:c r="B7" s="47" t="str">
        <x:v>TRF-111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760762dd752485f6daa0b82431ac45cb78642f88c7df17a36a9125de4a9dbcb9</x:v>
      </x:c>
      <x:c r="G7" s="59" t="n">
        <x:v>44813</x:v>
      </x:c>
    </x:row>
    <x:row r="8">
      <x:c r="A8" s="47" t="str">
        <x:v>RUN-TRF-111-20260901T173547491588Z</x:v>
      </x:c>
      <x:c r="B8" s="47" t="str">
        <x:v>TRF-111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03b5ba470eeab3139d41d4fe355b20a8b1c6813ae95f5312f6d786992f270228</x:v>
      </x:c>
      <x:c r="G8" s="59" t="n">
        <x:v>5192</x:v>
      </x:c>
    </x:row>
    <x:row r="9">
      <x:c r="A9" s="47" t="str">
        <x:v>RUN-TRF-111-20260901T173547491588Z</x:v>
      </x:c>
      <x:c r="B9" s="47" t="str">
        <x:v>TRF-111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ab1bf57e5fe3fc41f9859dc992e86e59500dba043a98beb4d9eea635da8a6bb7</x:v>
      </x:c>
      <x:c r="G9" s="59" t="n">
        <x:v>5167</x:v>
      </x:c>
    </x:row>
    <x:row r="10">
      <x:c r="A10" s="49" t="str">
        <x:v>RUN-TRF-111-20260901T173547491588Z</x:v>
      </x:c>
      <x:c r="B10" s="49" t="str">
        <x:v>TRF-111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d91276b53f9469392cf5c3b0c89257ec743548dc654b4c3f19e1de6e39fa4677</x:v>
      </x:c>
      <x:c r="G10" s="60" t="n">
        <x:v>1531</x:v>
      </x:c>
    </x:row>
  </x:sheetData>
  <x:pageMargins left="0.7" right="0.7" top="0.75" bottom="0.75" header="0.3" footer="0.3"/>
  <x:tableParts count="1">
    <x:tablePart xmlns:r="http://schemas.openxmlformats.org/officeDocument/2006/relationships" r:id="Rf78a5d9a1c294a27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RUN-TRF-111-20260901T173547491588Z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RUN-TRF-111-20260901T173547491588Z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