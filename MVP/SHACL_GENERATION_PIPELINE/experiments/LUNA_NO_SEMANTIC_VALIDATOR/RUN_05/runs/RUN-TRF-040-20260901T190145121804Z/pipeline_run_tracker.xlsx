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d60ab219056453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5ea109766cf142fc"/>
    <x:sheet xmlns:r="http://schemas.openxmlformats.org/officeDocument/2006/relationships" name="README" sheetId="2" r:id="R4eaaf87698bf480c"/>
    <x:sheet xmlns:r="http://schemas.openxmlformats.org/officeDocument/2006/relationships" name="REGULATION_QUEUE" sheetId="3" r:id="R03affe82349f47cb"/>
    <x:sheet xmlns:r="http://schemas.openxmlformats.org/officeDocument/2006/relationships" name="RUNS" sheetId="4" r:id="R78c96821ee2a4ffe"/>
    <x:sheet xmlns:r="http://schemas.openxmlformats.org/officeDocument/2006/relationships" name="ITERATIONS" sheetId="5" r:id="R28393e794c7f45ed"/>
    <x:sheet xmlns:r="http://schemas.openxmlformats.org/officeDocument/2006/relationships" name="API_CALLS" sheetId="6" r:id="R354b5bb497834bf8"/>
    <x:sheet xmlns:r="http://schemas.openxmlformats.org/officeDocument/2006/relationships" name="TERM_RETRIEVAL" sheetId="7" r:id="Rb18fe779ff07497e"/>
    <x:sheet xmlns:r="http://schemas.openxmlformats.org/officeDocument/2006/relationships" name="FEW_SHOT_SELECTION" sheetId="8" r:id="Rc6c16376e22840c0"/>
    <x:sheet xmlns:r="http://schemas.openxmlformats.org/officeDocument/2006/relationships" name="VALIDATION" sheetId="9" r:id="Rf65b13009dfb48e7"/>
    <x:sheet xmlns:r="http://schemas.openxmlformats.org/officeDocument/2006/relationships" name="VOCAB_MATCHES" sheetId="10" r:id="R5ee921ac0fae4abf"/>
    <x:sheet xmlns:r="http://schemas.openxmlformats.org/officeDocument/2006/relationships" name="ARTIFACTS" sheetId="11" r:id="R79e6fed7fe9b41cd"/>
    <x:sheet xmlns:r="http://schemas.openxmlformats.org/officeDocument/2006/relationships" name="UNRESOLVED" sheetId="12" r:id="Rd7829fdd06f245d0"/>
    <x:sheet xmlns:r="http://schemas.openxmlformats.org/officeDocument/2006/relationships" name="RDF_TEST_QUEUE" sheetId="13" r:id="R49557cb504654ec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622e033a2b3417d" /><Relationship Type="http://schemas.openxmlformats.org/officeDocument/2006/relationships/theme" Target="/xl/theme/theme1.xml" Id="Rd5ad85f2c8f34256" /><Relationship Type="http://schemas.microsoft.com/office/2022/11/relationships/FeaturePropertyBag" Target="/xl/featurePropertyBag/featurePropertyBag.xml" Id="R464f3622fc06453f" /><Relationship Type="http://schemas.openxmlformats.org/officeDocument/2006/relationships/sharedStrings" Target="/xl/sharedStrings.xml" Id="R3dc5d2e3c7a543b9" /><Relationship Type="http://schemas.openxmlformats.org/officeDocument/2006/relationships/worksheet" Target="/xl/worksheets/sheet1.xml" Id="R5ea109766cf142fc" /><Relationship Type="http://schemas.openxmlformats.org/officeDocument/2006/relationships/worksheet" Target="/xl/worksheets/sheet2.xml" Id="R4eaaf87698bf480c" /><Relationship Type="http://schemas.openxmlformats.org/officeDocument/2006/relationships/worksheet" Target="/xl/worksheets/sheet3.xml" Id="R03affe82349f47cb" /><Relationship Type="http://schemas.openxmlformats.org/officeDocument/2006/relationships/worksheet" Target="/xl/worksheets/sheet4.xml" Id="R78c96821ee2a4ffe" /><Relationship Type="http://schemas.openxmlformats.org/officeDocument/2006/relationships/worksheet" Target="/xl/worksheets/sheet5.xml" Id="R28393e794c7f45ed" /><Relationship Type="http://schemas.openxmlformats.org/officeDocument/2006/relationships/worksheet" Target="/xl/worksheets/sheet6.xml" Id="R354b5bb497834bf8" /><Relationship Type="http://schemas.openxmlformats.org/officeDocument/2006/relationships/worksheet" Target="/xl/worksheets/sheet7.xml" Id="Rb18fe779ff07497e" /><Relationship Type="http://schemas.openxmlformats.org/officeDocument/2006/relationships/worksheet" Target="/xl/worksheets/sheet8.xml" Id="Rc6c16376e22840c0" /><Relationship Type="http://schemas.openxmlformats.org/officeDocument/2006/relationships/worksheet" Target="/xl/worksheets/sheet9.xml" Id="Rf65b13009dfb48e7" /><Relationship Type="http://schemas.openxmlformats.org/officeDocument/2006/relationships/worksheet" Target="/xl/worksheets/sheet10.xml" Id="R5ee921ac0fae4abf" /><Relationship Type="http://schemas.openxmlformats.org/officeDocument/2006/relationships/worksheet" Target="/xl/worksheets/sheet11.xml" Id="R79e6fed7fe9b41cd" /><Relationship Type="http://schemas.openxmlformats.org/officeDocument/2006/relationships/worksheet" Target="/xl/worksheets/sheet12.xml" Id="Rd7829fdd06f245d0" /><Relationship Type="http://schemas.openxmlformats.org/officeDocument/2006/relationships/worksheet" Target="/xl/worksheets/sheet13.xml" Id="R49557cb504654ec9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8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28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2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30b48845729444b4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d726f85d073a4d4c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5f405375838a4bc5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3529f22854dc4c42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f7fd5b514fc546e9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d346395591034875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b5eab1d094b4471a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beac8158138e4d9c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8250572dc9864374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RUN-TRF-040-20260901T190145121804Z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COUNTA('API_CALLS'!$A$5:$A$8)</x:f>
        <x:v>4</x:v>
      </x:c>
      <x:c r="C9" s="21"/>
      <x:c r="D9" s="21"/>
    </x:row>
    <x:row r="10">
      <x:c r="A10" s="27" t="str">
        <x:v>Mean API/LLM elapsed ms</x:v>
      </x:c>
      <x:c r="B10" s="28" t="n">
        <x:f>IFERROR(AVERAGE('API_CALLS'!$K$5:$K$8),0)</x:f>
        <x:v>24032.8505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RUN-TRF-040-20260901T190145121804Z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30b48845729444b4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RUN-TRF-040-20260901T190145121804Z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NO_SEMANTIC_VALIDATOR_DETERMINISTIC_PASS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d726f85d073a4d4c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RUN-TRF-040-20260901T190145121804Z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SESSION-NO-SEMANTIC-VALIDATOR-BATCH-20260901T174446126755Z</x:v>
      </x:c>
      <x:c r="B5" s="69" t="str">
        <x:v>RUN-TRF-040-20260901T190145121804Z</x:v>
      </x:c>
      <x:c r="C5" s="69" t="str">
        <x:v>TRF-040</x:v>
      </x:c>
      <x:c r="D5" s="70" t="n">
        <x:v>46266.79288335648</x:v>
      </x:c>
      <x:c r="E5" s="70" t="n">
        <x:v>46266.79344393519</x:v>
      </x:c>
      <x:c r="F5" s="69" t="str">
        <x:v>luna-no-semantic-validator-run05-v1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5f405375838a4bc5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RUN-TRF-040-20260901T190145121804Z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RUN-TRF-040-20260901T190145121804Z</x:v>
      </x:c>
      <x:c r="B5" s="69" t="str">
        <x:v>TRF-040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29553.531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3529f22854dc4c42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5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RUN-TRF-040-20260901T190145121804Z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EVT-000032</x:v>
      </x:c>
      <x:c r="B5" s="45" t="str">
        <x:v>RUN-TRF-040-20260901T190145121804Z</x:v>
      </x:c>
      <x:c r="C5" s="45" t="str">
        <x:v>TRF-040</x:v>
      </x:c>
      <x:c r="D5" s="88" t="n">
        <x:v>46266.793225416666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29551.993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EVT-000033</x:v>
      </x:c>
      <x:c r="B6" s="47" t="str">
        <x:v>RUN-TRF-040-20260901T190145121804Z</x:v>
      </x:c>
      <x:c r="C6" s="47" t="str">
        <x:v>TRF-040</x:v>
      </x:c>
      <x:c r="D6" s="91" t="n">
        <x:v>46266.79322543982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29553.531</x:v>
      </x:c>
      <x:c r="L6" s="93" t="b">
        <x:v>0</x:v>
      </x:c>
      <x:c r="M6" s="47" t="str">
        <x:v>resp_0e251398a0a21784006a9721193fb48197b293aae6bd326855</x:v>
      </x:c>
      <x:c r="N6" s="59" t="n">
        <x:v>12442</x:v>
      </x:c>
      <x:c r="O6" s="59" t="n">
        <x:v>3519</x:v>
      </x:c>
      <x:c r="P6" s="59" t="n">
        <x:v>15961</x:v>
      </x:c>
    </x:row>
    <x:row r="7">
      <x:c r="A7" s="47" t="str">
        <x:v>EVT-000038</x:v>
      </x:c>
      <x:c r="B7" s="47" t="str">
        <x:v>RUN-TRF-040-20260901T190145121804Z</x:v>
      </x:c>
      <x:c r="C7" s="47" t="str">
        <x:v>TRF-040</x:v>
      </x:c>
      <x:c r="D7" s="91" t="n">
        <x:v>46266.79343979167</x:v>
      </x:c>
      <x:c r="E7" s="47" t="str">
        <x:v>syntax_repair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18512.529</x:v>
      </x:c>
      <x:c r="L7" s="93" t="b">
        <x:v>0</x:v>
      </x:c>
      <x:c r="M7" s="47" t="str"/>
      <x:c r="N7" s="59" t="str"/>
      <x:c r="O7" s="59" t="str"/>
      <x:c r="P7" s="59" t="str"/>
    </x:row>
    <x:row r="8">
      <x:c r="A8" s="49" t="str">
        <x:v>EVT-000039</x:v>
      </x:c>
      <x:c r="B8" s="49" t="str">
        <x:v>RUN-TRF-040-20260901T190145121804Z</x:v>
      </x:c>
      <x:c r="C8" s="49" t="str">
        <x:v>TRF-040</x:v>
      </x:c>
      <x:c r="D8" s="94" t="n">
        <x:v>46266.79343980324</x:v>
      </x:c>
      <x:c r="E8" s="49" t="str">
        <x:v>syntax_repair</x:v>
      </x:c>
      <x:c r="F8" s="49" t="str">
        <x:v>gpt-5.6-luna-2026-07-09</x:v>
      </x:c>
      <x:c r="G8" s="49" t="n">
        <x:v>1</x:v>
      </x:c>
      <x:c r="H8" s="49" t="str">
        <x:v>COMPLETED</x:v>
      </x:c>
      <x:c r="I8" s="49" t="str"/>
      <x:c r="J8" s="95" t="n">
        <x:v>0</x:v>
      </x:c>
      <x:c r="K8" s="95" t="n">
        <x:v>18513.349</x:v>
      </x:c>
      <x:c r="L8" s="96" t="b">
        <x:v>0</x:v>
      </x:c>
      <x:c r="M8" s="49" t="str">
        <x:v>resp_07f5942eafc3a38c006a972136d3ec8190996e4abe1a4817ae</x:v>
      </x:c>
      <x:c r="N8" s="60" t="n">
        <x:v>2661</x:v>
      </x:c>
      <x:c r="O8" s="60" t="n">
        <x:v>2730</x:v>
      </x:c>
      <x:c r="P8" s="60" t="n">
        <x:v>5391</x:v>
      </x:c>
    </x:row>
  </x:sheetData>
  <x:conditionalFormatting sqref="H5:H8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7fd5b514fc546e9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RUN-TRF-040-20260901T190145121804Z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RUN-TRF-040-20260901T190145121804Z</x:v>
      </x:c>
      <x:c r="B5" s="45" t="str">
        <x:v>TRF-040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bowRegionEquivalent; domain dependency of bulwarkStrengthStatus; domain dependency of designOperationSpeedInIce; domain dependency of forefootShellStrengtheningStatus; domain dependency of freeingPortStrengthStatus; domain dependency of iceClass; domain dependency of midbodyEquivalent; domain dependency of openWaterServiceSpeed; domain dependency of sidescuttleInIceBelt; domain dependency of spacing; domain dependency of thickness; domain dependency of upperBowIceBeltStrengtheningStatus; domain dependency of weatherDeckBelowIceBeltUpperLimit</x:v>
      </x:c>
      <x:c r="J5" s="45" t="n">
        <x:v>0</x:v>
      </x:c>
    </x:row>
    <x:row r="6">
      <x:c r="A6" s="47" t="str">
        <x:v>RUN-TRF-040-20260901T190145121804Z</x:v>
      </x:c>
      <x:c r="B6" s="47" t="str">
        <x:v>TRF-040</x:v>
      </x:c>
      <x:c r="C6" s="47" t="str">
        <x:v>bowRegionEquivalent</x:v>
      </x:c>
      <x:c r="D6" s="48" t="str">
        <x:v>https://w3id.org/nltl/vocab#bowRegionEquivalent</x:v>
      </x:c>
      <x:c r="E6" s="47" t="str">
        <x:v>DatatypeProperty</x:v>
      </x:c>
      <x:c r="F6" s="47" t="str">
        <x:v>xsd:boolean</x:v>
      </x:c>
      <x:c r="G6" s="47" t="str">
        <x:v>http://www.w3.org/2001/XMLSchema#boolean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RUN-TRF-040-20260901T190145121804Z</x:v>
      </x:c>
      <x:c r="B7" s="47" t="str">
        <x:v>TRF-040</x:v>
      </x:c>
      <x:c r="C7" s="47" t="str">
        <x:v>bulwarkStrengthStatus</x:v>
      </x:c>
      <x:c r="D7" s="48" t="str">
        <x:v>https://w3id.org/nltl/vocab#bulwarkStrengthStatus</x:v>
      </x:c>
      <x:c r="E7" s="47" t="str">
        <x:v>DatatypeProperty</x:v>
      </x:c>
      <x:c r="F7" s="47" t="str">
        <x:v>xsd:boolean</x:v>
      </x:c>
      <x:c r="G7" s="47" t="str">
        <x:v>http://www.w3.org/2001/XMLSchema#boolean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RUN-TRF-040-20260901T190145121804Z</x:v>
      </x:c>
      <x:c r="B8" s="47" t="str">
        <x:v>TRF-040</x:v>
      </x:c>
      <x:c r="C8" s="47" t="str">
        <x:v>designOperationSpeedInIce</x:v>
      </x:c>
      <x:c r="D8" s="48" t="str">
        <x:v>https://w3id.org/nltl/vocab#designOperationSpeedInIce</x:v>
      </x:c>
      <x:c r="E8" s="47" t="str">
        <x:v>QuantityProperty</x:v>
      </x:c>
      <x:c r="F8" s="47" t="str"/>
      <x:c r="G8" s="47" t="str">
        <x:v>http://qudt.org/schema/qudt/QuantityValue</x:v>
      </x:c>
      <x:c r="H8" s="47" t="str">
        <x:v>http://qudt.org/vocab/unit/KN</x:v>
      </x:c>
      <x:c r="I8" s="48" t="str">
        <x:v>linked by the locked 313-requirement index</x:v>
      </x:c>
      <x:c r="J8" s="47" t="n">
        <x:v>0</x:v>
      </x:c>
    </x:row>
    <x:row r="9">
      <x:c r="A9" s="47" t="str">
        <x:v>RUN-TRF-040-20260901T190145121804Z</x:v>
      </x:c>
      <x:c r="B9" s="47" t="str">
        <x:v>TRF-040</x:v>
      </x:c>
      <x:c r="C9" s="47" t="str">
        <x:v>forefootShellStrengtheningStatus</x:v>
      </x:c>
      <x:c r="D9" s="48" t="str">
        <x:v>https://w3id.org/nltl/vocab#forefootShellStrengtheningStatus</x:v>
      </x:c>
      <x:c r="E9" s="47" t="str">
        <x:v>DatatypeProperty</x:v>
      </x:c>
      <x:c r="F9" s="47" t="str">
        <x:v>xsd:boolean</x:v>
      </x:c>
      <x:c r="G9" s="47" t="str">
        <x:v>http://www.w3.org/2001/XMLSchema#boolean</x:v>
      </x:c>
      <x:c r="H9" s="47" t="str"/>
      <x:c r="I9" s="48" t="str">
        <x:v>linked by the locked 313-requirement index</x:v>
      </x:c>
      <x:c r="J9" s="47" t="n">
        <x:v>0</x:v>
      </x:c>
    </x:row>
    <x:row r="10">
      <x:c r="A10" s="47" t="str">
        <x:v>RUN-TRF-040-20260901T190145121804Z</x:v>
      </x:c>
      <x:c r="B10" s="47" t="str">
        <x:v>TRF-040</x:v>
      </x:c>
      <x:c r="C10" s="47" t="str">
        <x:v>freeingPortStrengthStatus</x:v>
      </x:c>
      <x:c r="D10" s="48" t="str">
        <x:v>https://w3id.org/nltl/vocab#freeingPortStrengthStatus</x:v>
      </x:c>
      <x:c r="E10" s="47" t="str">
        <x:v>DatatypeProperty</x:v>
      </x:c>
      <x:c r="F10" s="47" t="str">
        <x:v>xsd:boolean</x:v>
      </x:c>
      <x:c r="G10" s="47" t="str">
        <x:v>http://www.w3.org/2001/XMLSchema#boolean</x:v>
      </x:c>
      <x:c r="H10" s="47" t="str"/>
      <x:c r="I10" s="48" t="str">
        <x:v>linked by the locked 313-requirement index</x:v>
      </x:c>
      <x:c r="J10" s="47" t="n">
        <x:v>0</x:v>
      </x:c>
    </x:row>
    <x:row r="11">
      <x:c r="A11" s="47" t="str">
        <x:v>RUN-TRF-040-20260901T190145121804Z</x:v>
      </x:c>
      <x:c r="B11" s="47" t="str">
        <x:v>TRF-040</x:v>
      </x:c>
      <x:c r="C11" s="47" t="str">
        <x:v>hasComponent</x:v>
      </x:c>
      <x:c r="D11" s="48" t="str">
        <x:v>https://w3id.org/nltl/vocab#hasComponent</x:v>
      </x:c>
      <x:c r="E11" s="47" t="str">
        <x:v>ObjectProperty</x:v>
      </x:c>
      <x:c r="F11" s="47" t="str"/>
      <x:c r="G11" s="47" t="str">
        <x:v>https://w3id.org/nltl/vocab#shipComponent</x:v>
      </x:c>
      <x:c r="H11" s="47" t="str"/>
      <x:c r="I11" s="48" t="str">
        <x:v>component-path dependency inferred from the linked term module</x:v>
      </x:c>
      <x:c r="J11" s="47" t="n">
        <x:v>0</x:v>
      </x:c>
    </x:row>
    <x:row r="12">
      <x:c r="A12" s="47" t="str">
        <x:v>RUN-TRF-040-20260901T190145121804Z</x:v>
      </x:c>
      <x:c r="B12" s="47" t="str">
        <x:v>TRF-040</x:v>
      </x:c>
      <x:c r="C12" s="47" t="str">
        <x:v>iceClass</x:v>
      </x:c>
      <x:c r="D12" s="48" t="str">
        <x:v>https://w3id.org/nltl/vocab#iceClass</x:v>
      </x:c>
      <x:c r="E12" s="47" t="str">
        <x:v>ObjectProperty</x:v>
      </x:c>
      <x:c r="F12" s="47" t="str"/>
      <x:c r="G12" s="47" t="str">
        <x:v>https://w3id.org/nltl/vocab#iceClassValue</x:v>
      </x:c>
      <x:c r="H12" s="47" t="str"/>
      <x:c r="I12" s="48" t="str">
        <x:v>linked by the locked 313-requirement index</x:v>
      </x:c>
      <x:c r="J12" s="47" t="n">
        <x:v>0</x:v>
      </x:c>
    </x:row>
    <x:row r="13">
      <x:c r="A13" s="47" t="str">
        <x:v>RUN-TRF-040-20260901T190145121804Z</x:v>
      </x:c>
      <x:c r="B13" s="47" t="str">
        <x:v>TRF-040</x:v>
      </x:c>
      <x:c r="C13" s="47" t="str">
        <x:v>iceClassIa</x:v>
      </x:c>
      <x:c r="D13" s="48" t="str">
        <x:v>https://w3id.org/nltl/vocab#iceClassIa</x:v>
      </x:c>
      <x:c r="E13" s="47" t="str">
        <x:v>NamedIndividual</x:v>
      </x:c>
      <x:c r="F13" s="47" t="str"/>
      <x:c r="G13" s="47" t="str">
        <x:v>https://w3id.org/nltl/vocab#iceClassValue</x:v>
      </x:c>
      <x:c r="H13" s="47" t="str"/>
      <x:c r="I13" s="48" t="str">
        <x:v>controlled value permitted by the range of iceClass</x:v>
      </x:c>
      <x:c r="J13" s="47" t="n">
        <x:v>0</x:v>
      </x:c>
    </x:row>
    <x:row r="14">
      <x:c r="A14" s="47" t="str">
        <x:v>RUN-TRF-040-20260901T190145121804Z</x:v>
      </x:c>
      <x:c r="B14" s="47" t="str">
        <x:v>TRF-040</x:v>
      </x:c>
      <x:c r="C14" s="47" t="str">
        <x:v>iceClassIaSuper</x:v>
      </x:c>
      <x:c r="D14" s="48" t="str">
        <x:v>https://w3id.org/nltl/vocab#iceClassIaSuper</x:v>
      </x:c>
      <x:c r="E14" s="47" t="str">
        <x:v>NamedIndividual</x:v>
      </x:c>
      <x:c r="F14" s="47" t="str"/>
      <x:c r="G14" s="47" t="str">
        <x:v>https://w3id.org/nltl/vocab#iceClassValue</x:v>
      </x:c>
      <x:c r="H14" s="47" t="str"/>
      <x:c r="I14" s="48" t="str">
        <x:v>controlled value permitted by the range of iceClass</x:v>
      </x:c>
      <x:c r="J14" s="47" t="n">
        <x:v>0</x:v>
      </x:c>
    </x:row>
    <x:row r="15">
      <x:c r="A15" s="47" t="str">
        <x:v>RUN-TRF-040-20260901T190145121804Z</x:v>
      </x:c>
      <x:c r="B15" s="47" t="str">
        <x:v>TRF-040</x:v>
      </x:c>
      <x:c r="C15" s="47" t="str">
        <x:v>iceClassIb</x:v>
      </x:c>
      <x:c r="D15" s="48" t="str">
        <x:v>https://w3id.org/nltl/vocab#iceClassIb</x:v>
      </x:c>
      <x:c r="E15" s="47" t="str">
        <x:v>NamedIndividual</x:v>
      </x:c>
      <x:c r="F15" s="47" t="str"/>
      <x:c r="G15" s="47" t="str">
        <x:v>https://w3id.org/nltl/vocab#iceClassValue</x:v>
      </x:c>
      <x:c r="H15" s="47" t="str"/>
      <x:c r="I15" s="48" t="str">
        <x:v>controlled value permitted by the range of iceClass</x:v>
      </x:c>
      <x:c r="J15" s="47" t="n">
        <x:v>0</x:v>
      </x:c>
    </x:row>
    <x:row r="16">
      <x:c r="A16" s="47" t="str">
        <x:v>RUN-TRF-040-20260901T190145121804Z</x:v>
      </x:c>
      <x:c r="B16" s="47" t="str">
        <x:v>TRF-040</x:v>
      </x:c>
      <x:c r="C16" s="47" t="str">
        <x:v>iceClassIc</x:v>
      </x:c>
      <x:c r="D16" s="48" t="str">
        <x:v>https://w3id.org/nltl/vocab#iceClassIc</x:v>
      </x:c>
      <x:c r="E16" s="47" t="str">
        <x:v>NamedIndividual</x:v>
      </x:c>
      <x:c r="F16" s="47" t="str"/>
      <x:c r="G16" s="47" t="str">
        <x:v>https://w3id.org/nltl/vocab#iceClassValue</x:v>
      </x:c>
      <x:c r="H16" s="47" t="str"/>
      <x:c r="I16" s="48" t="str">
        <x:v>controlled value permitted by the range of iceClass</x:v>
      </x:c>
      <x:c r="J16" s="47" t="n">
        <x:v>0</x:v>
      </x:c>
    </x:row>
    <x:row r="17">
      <x:c r="A17" s="47" t="str">
        <x:v>RUN-TRF-040-20260901T190145121804Z</x:v>
      </x:c>
      <x:c r="B17" s="47" t="str">
        <x:v>TRF-040</x:v>
      </x:c>
      <x:c r="C17" s="47" t="str">
        <x:v>iceClassIi</x:v>
      </x:c>
      <x:c r="D17" s="48" t="str">
        <x:v>https://w3id.org/nltl/vocab#iceClassIi</x:v>
      </x:c>
      <x:c r="E17" s="47" t="str">
        <x:v>NamedIndividual</x:v>
      </x:c>
      <x:c r="F17" s="47" t="str"/>
      <x:c r="G17" s="47" t="str">
        <x:v>https://w3id.org/nltl/vocab#iceClassValue</x:v>
      </x:c>
      <x:c r="H17" s="47" t="str"/>
      <x:c r="I17" s="48" t="str">
        <x:v>controlled value permitted by the range of iceClass</x:v>
      </x:c>
      <x:c r="J17" s="47" t="n">
        <x:v>0</x:v>
      </x:c>
    </x:row>
    <x:row r="18">
      <x:c r="A18" s="47" t="str">
        <x:v>RUN-TRF-040-20260901T190145121804Z</x:v>
      </x:c>
      <x:c r="B18" s="47" t="str">
        <x:v>TRF-040</x:v>
      </x:c>
      <x:c r="C18" s="47" t="str">
        <x:v>iceClassIii</x:v>
      </x:c>
      <x:c r="D18" s="48" t="str">
        <x:v>https://w3id.org/nltl/vocab#iceClassIii</x:v>
      </x:c>
      <x:c r="E18" s="47" t="str">
        <x:v>NamedIndividual</x:v>
      </x:c>
      <x:c r="F18" s="47" t="str"/>
      <x:c r="G18" s="47" t="str">
        <x:v>https://w3id.org/nltl/vocab#iceClassValue</x:v>
      </x:c>
      <x:c r="H18" s="47" t="str"/>
      <x:c r="I18" s="48" t="str">
        <x:v>controlled value permitted by the range of iceClass</x:v>
      </x:c>
      <x:c r="J18" s="47" t="n">
        <x:v>0</x:v>
      </x:c>
    </x:row>
    <x:row r="19">
      <x:c r="A19" s="47" t="str">
        <x:v>RUN-TRF-040-20260901T190145121804Z</x:v>
      </x:c>
      <x:c r="B19" s="47" t="str">
        <x:v>TRF-040</x:v>
      </x:c>
      <x:c r="C19" s="47" t="str">
        <x:v>iceClassValue</x:v>
      </x:c>
      <x:c r="D19" s="48" t="str">
        <x:v>https://w3id.org/nltl/vocab#iceClassValue</x:v>
      </x:c>
      <x:c r="E19" s="47" t="str">
        <x:v>Class</x:v>
      </x:c>
      <x:c r="F19" s="47" t="str"/>
      <x:c r="G19" s="47" t="str"/>
      <x:c r="H19" s="47" t="str"/>
      <x:c r="I19" s="48" t="str">
        <x:v>range dependency of iceClass</x:v>
      </x:c>
      <x:c r="J19" s="47" t="n">
        <x:v>0</x:v>
      </x:c>
    </x:row>
    <x:row r="20">
      <x:c r="A20" s="47" t="str">
        <x:v>RUN-TRF-040-20260901T190145121804Z</x:v>
      </x:c>
      <x:c r="B20" s="47" t="str">
        <x:v>TRF-040</x:v>
      </x:c>
      <x:c r="C20" s="47" t="str">
        <x:v>midbodyEquivalent</x:v>
      </x:c>
      <x:c r="D20" s="48" t="str">
        <x:v>https://w3id.org/nltl/vocab#midbodyEquivalent</x:v>
      </x:c>
      <x:c r="E20" s="47" t="str">
        <x:v>DatatypeProperty</x:v>
      </x:c>
      <x:c r="F20" s="47" t="str">
        <x:v>xsd:boolean</x:v>
      </x:c>
      <x:c r="G20" s="47" t="str">
        <x:v>http://www.w3.org/2001/XMLSchema#boolean</x:v>
      </x:c>
      <x:c r="H20" s="47" t="str"/>
      <x:c r="I20" s="48" t="str">
        <x:v>linked by the locked 313-requirement index</x:v>
      </x:c>
      <x:c r="J20" s="47" t="n">
        <x:v>0</x:v>
      </x:c>
    </x:row>
    <x:row r="21">
      <x:c r="A21" s="47" t="str">
        <x:v>RUN-TRF-040-20260901T190145121804Z</x:v>
      </x:c>
      <x:c r="B21" s="47" t="str">
        <x:v>TRF-040</x:v>
      </x:c>
      <x:c r="C21" s="47" t="str">
        <x:v>openWaterServiceSpeed</x:v>
      </x:c>
      <x:c r="D21" s="48" t="str">
        <x:v>https://w3id.org/nltl/vocab#openWaterServiceSpeed</x:v>
      </x:c>
      <x:c r="E21" s="47" t="str">
        <x:v>QuantityProperty</x:v>
      </x:c>
      <x:c r="F21" s="47" t="str"/>
      <x:c r="G21" s="47" t="str">
        <x:v>http://qudt.org/schema/qudt/QuantityValue</x:v>
      </x:c>
      <x:c r="H21" s="47" t="str">
        <x:v>http://qudt.org/vocab/unit/KN</x:v>
      </x:c>
      <x:c r="I21" s="48" t="str">
        <x:v>linked by the locked 313-requirement index</x:v>
      </x:c>
      <x:c r="J21" s="47" t="n">
        <x:v>0</x:v>
      </x:c>
    </x:row>
    <x:row r="22">
      <x:c r="A22" s="47" t="str">
        <x:v>RUN-TRF-040-20260901T190145121804Z</x:v>
      </x:c>
      <x:c r="B22" s="47" t="str">
        <x:v>TRF-040</x:v>
      </x:c>
      <x:c r="C22" s="47" t="str">
        <x:v>ship</x:v>
      </x:c>
      <x:c r="D22" s="48" t="str">
        <x:v>https://w3id.org/nltl/vocab#ship</x:v>
      </x:c>
      <x:c r="E22" s="47" t="str">
        <x:v>Class</x:v>
      </x:c>
      <x:c r="F22" s="47" t="str"/>
      <x:c r="G22" s="47" t="str"/>
      <x:c r="H22" s="47" t="str"/>
      <x:c r="I22" s="48" t="str">
        <x:v>authoritative required owner class; authoritative requirement target owner; baseline target infrastructure</x:v>
      </x:c>
      <x:c r="J22" s="47" t="n">
        <x:v>0</x:v>
      </x:c>
    </x:row>
    <x:row r="23">
      <x:c r="A23" s="47" t="str">
        <x:v>RUN-TRF-040-20260901T190145121804Z</x:v>
      </x:c>
      <x:c r="B23" s="47" t="str">
        <x:v>TRF-040</x:v>
      </x:c>
      <x:c r="C23" s="47" t="str">
        <x:v>shipComponent</x:v>
      </x:c>
      <x:c r="D23" s="48" t="str">
        <x:v>https://w3id.org/nltl/vocab#shipComponent</x:v>
      </x:c>
      <x:c r="E23" s="47" t="str">
        <x:v>Class</x:v>
      </x:c>
      <x:c r="F23" s="47" t="str"/>
      <x:c r="G23" s="47" t="str"/>
      <x:c r="H23" s="47" t="str"/>
      <x:c r="I23" s="48" t="str">
        <x:v>component-path dependency inferred from the linked term module</x:v>
      </x:c>
      <x:c r="J23" s="47" t="n">
        <x:v>0</x:v>
      </x:c>
    </x:row>
    <x:row r="24">
      <x:c r="A24" s="47" t="str">
        <x:v>RUN-TRF-040-20260901T190145121804Z</x:v>
      </x:c>
      <x:c r="B24" s="47" t="str">
        <x:v>TRF-040</x:v>
      </x:c>
      <x:c r="C24" s="47" t="str">
        <x:v>sidescuttleInIceBelt</x:v>
      </x:c>
      <x:c r="D24" s="48" t="str">
        <x:v>https://w3id.org/nltl/vocab#sidescuttleInIceBelt</x:v>
      </x:c>
      <x:c r="E24" s="47" t="str">
        <x:v>DatatypeProperty</x:v>
      </x:c>
      <x:c r="F24" s="47" t="str">
        <x:v>xsd:boolean</x:v>
      </x:c>
      <x:c r="G24" s="47" t="str">
        <x:v>http://www.w3.org/2001/XMLSchema#boolean</x:v>
      </x:c>
      <x:c r="H24" s="47" t="str"/>
      <x:c r="I24" s="48" t="str">
        <x:v>linked by the locked 313-requirement index</x:v>
      </x:c>
      <x:c r="J24" s="47" t="n">
        <x:v>0</x:v>
      </x:c>
    </x:row>
    <x:row r="25">
      <x:c r="A25" s="47" t="str">
        <x:v>RUN-TRF-040-20260901T190145121804Z</x:v>
      </x:c>
      <x:c r="B25" s="47" t="str">
        <x:v>TRF-040</x:v>
      </x:c>
      <x:c r="C25" s="47" t="str">
        <x:v>spacing</x:v>
      </x:c>
      <x:c r="D25" s="48" t="str">
        <x:v>https://w3id.org/nltl/vocab#spacing</x:v>
      </x:c>
      <x:c r="E25" s="47" t="str">
        <x:v>QuantityProperty</x:v>
      </x:c>
      <x:c r="F25" s="47" t="str"/>
      <x:c r="G25" s="47" t="str">
        <x:v>http://qudt.org/schema/qudt/QuantityValue</x:v>
      </x:c>
      <x:c r="H25" s="47" t="str">
        <x:v>http://qudt.org/vocab/unit/M</x:v>
      </x:c>
      <x:c r="I25" s="48" t="str">
        <x:v>linked by the locked 313-requirement index</x:v>
      </x:c>
      <x:c r="J25" s="47" t="n">
        <x:v>0</x:v>
      </x:c>
    </x:row>
    <x:row r="26">
      <x:c r="A26" s="47" t="str">
        <x:v>RUN-TRF-040-20260901T190145121804Z</x:v>
      </x:c>
      <x:c r="B26" s="47" t="str">
        <x:v>TRF-040</x:v>
      </x:c>
      <x:c r="C26" s="47" t="str">
        <x:v>thickness</x:v>
      </x:c>
      <x:c r="D26" s="48" t="str">
        <x:v>https://w3id.org/nltl/vocab#thickness</x:v>
      </x:c>
      <x:c r="E26" s="47" t="str">
        <x:v>QuantityProperty</x:v>
      </x:c>
      <x:c r="F26" s="47" t="str"/>
      <x:c r="G26" s="47" t="str">
        <x:v>http://qudt.org/schema/qudt/QuantityValue</x:v>
      </x:c>
      <x:c r="H26" s="47" t="str">
        <x:v>http://qudt.org/vocab/unit/M</x:v>
      </x:c>
      <x:c r="I26" s="48" t="str">
        <x:v>linked by the locked 313-requirement index</x:v>
      </x:c>
      <x:c r="J26" s="47" t="n">
        <x:v>0</x:v>
      </x:c>
    </x:row>
    <x:row r="27">
      <x:c r="A27" s="47" t="str">
        <x:v>RUN-TRF-040-20260901T190145121804Z</x:v>
      </x:c>
      <x:c r="B27" s="47" t="str">
        <x:v>TRF-040</x:v>
      </x:c>
      <x:c r="C27" s="47" t="str">
        <x:v>upperBowIceBeltStrengtheningStatus</x:v>
      </x:c>
      <x:c r="D27" s="48" t="str">
        <x:v>https://w3id.org/nltl/vocab#upperBowIceBeltStrengtheningStatus</x:v>
      </x:c>
      <x:c r="E27" s="47" t="str">
        <x:v>DatatypeProperty</x:v>
      </x:c>
      <x:c r="F27" s="47" t="str">
        <x:v>xsd:boolean</x:v>
      </x:c>
      <x:c r="G27" s="47" t="str">
        <x:v>http://www.w3.org/2001/XMLSchema#boolean</x:v>
      </x:c>
      <x:c r="H27" s="47" t="str"/>
      <x:c r="I27" s="48" t="str">
        <x:v>linked by the locked 313-requirement index</x:v>
      </x:c>
      <x:c r="J27" s="47" t="n">
        <x:v>0</x:v>
      </x:c>
    </x:row>
    <x:row r="28">
      <x:c r="A28" s="49" t="str">
        <x:v>RUN-TRF-040-20260901T190145121804Z</x:v>
      </x:c>
      <x:c r="B28" s="49" t="str">
        <x:v>TRF-040</x:v>
      </x:c>
      <x:c r="C28" s="49" t="str">
        <x:v>weatherDeckBelowIceBeltUpperLimit</x:v>
      </x:c>
      <x:c r="D28" s="50" t="str">
        <x:v>https://w3id.org/nltl/vocab#weatherDeckBelowIceBeltUpperLimit</x:v>
      </x:c>
      <x:c r="E28" s="49" t="str">
        <x:v>DatatypeProperty</x:v>
      </x:c>
      <x:c r="F28" s="49" t="str">
        <x:v>xsd:boolean</x:v>
      </x:c>
      <x:c r="G28" s="49" t="str">
        <x:v>http://www.w3.org/2001/XMLSchema#boolean</x:v>
      </x:c>
      <x:c r="H28" s="49" t="str"/>
      <x:c r="I28" s="50" t="str">
        <x:v>linked by the locked 313-requirement index</x:v>
      </x:c>
      <x:c r="J28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d346395591034875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RUN-TRF-040-20260901T190145121804Z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RUN-TRF-040-20260901T190145121804Z</x:v>
      </x:c>
      <x:c r="B5" s="45" t="str">
        <x:v>TRF-040</x:v>
      </x:c>
      <x:c r="C5" s="45" t="str">
        <x:v>FS-INT-02</x:v>
      </x:c>
      <x:c r="D5" s="45" t="str">
        <x:v>conditional_integrated</x:v>
      </x:c>
      <x:c r="E5" s="99" t="n">
        <x:v>0.027211</x:v>
      </x:c>
      <x:c r="F5" s="45" t="str">
        <x:v>boolean | conditional | quantity | value</x:v>
      </x:c>
      <x:c r="G5" s="45" t="str">
        <x:v>synthetic-few-shot-not-benchmark-ground-truth</x:v>
      </x:c>
    </x:row>
    <x:row r="6">
      <x:c r="A6" s="49" t="str">
        <x:v>RUN-TRF-040-20260901T190145121804Z</x:v>
      </x:c>
      <x:c r="B6" s="49" t="str">
        <x:v>TRF-040</x:v>
      </x:c>
      <x:c r="C6" s="49" t="str">
        <x:v>FS-BOOL-01</x:v>
      </x:c>
      <x:c r="D6" s="49" t="str">
        <x:v>boolean_state</x:v>
      </x:c>
      <x:c r="E6" s="100" t="n">
        <x:v>0.020548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5eab1d094b4471a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RUN-TRF-040-20260901T190145121804Z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RUN-TRF-040-20260901T190145121804Z</x:v>
      </x:c>
      <x:c r="B5" s="69" t="str">
        <x:v>TRF-040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102" t="b">
        <x:v>1</x:v>
      </x:c>
      <x:c r="L5" s="73" t="str"/>
      <x:c r="M5" s="73" t="str"/>
      <x:c r="N5" s="73" t="str">
        <x:v>https://w3id.org/nltl/vocab#bulwarkStrengthStatus | https://w3id.org/nltl/vocab#designOperationSpeedInIce | https://w3id.org/nltl/vocab#forefootShellStrengtheningStatus | https://w3id.org/nltl/vocab#freeingPortStrengthStatus | https://w3id.org/nltl/vocab#iceClass | https://w3id.org/nltl/vocab#iceClassIa | https://w3id.org/nltl/vocab#iceClassIaSuper | https://w3id.org/nltl/vocab#iceClassIb | https://w3id.org/nltl/vocab#iceClassIc | https://w3id.org/nltl/vocab#iceClassIi | https://w3id.org/nltl/vocab#iceClassIii | https://w3id.org/nltl/vocab#openWaterServiceSpeed | https://w3id.org/nltl/vocab#ship | https://w3id.org/nltl/vocab#sidescuttleInIceBelt | https://w3id.org/nltl/vocab#spacing | https://w3id.org/nltl/vocab#thickness | https://w3id.org/nltl/vocab#upperBowIceBeltStrengtheningStatus | https://w3id.org/nltl/vocab#weatherDeckBelowIceBeltUpperLimit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beac8158138e4d9c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RUN-TRF-040-20260901T190145121804Z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RUN-TRF-040-20260901T190145121804Z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RUN-TRF-040-20260901T190145121804Z</x:v>
      </x:c>
      <x:c r="B5" s="45" t="str">
        <x:v>TRF-040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1180b19c05d34662052bfe988b81691153c200df6dbffea0666c96c6c08db65d</x:v>
      </x:c>
      <x:c r="G5" s="58" t="n">
        <x:v>31851</x:v>
      </x:c>
    </x:row>
    <x:row r="6">
      <x:c r="A6" s="47" t="str">
        <x:v>RUN-TRF-040-20260901T190145121804Z</x:v>
      </x:c>
      <x:c r="B6" s="47" t="str">
        <x:v>TRF-040</x:v>
      </x:c>
      <x:c r="C6" s="59"/>
      <x:c r="D6" s="47" t="str">
        <x:v>few_shot_selection</x:v>
      </x:c>
      <x:c r="E6" s="48" t="str">
        <x:v>artifacts/few_shots_selected.json</x:v>
      </x:c>
      <x:c r="F6" s="47" t="str">
        <x:v>93dfe0e1d6d1c780c27138ad9f2b6b7eaa55b5f0a9568948e838955138ea76f6</x:v>
      </x:c>
      <x:c r="G6" s="59" t="n">
        <x:v>6149</x:v>
      </x:c>
    </x:row>
    <x:row r="7">
      <x:c r="A7" s="47" t="str">
        <x:v>RUN-TRF-040-20260901T190145121804Z</x:v>
      </x:c>
      <x:c r="B7" s="47" t="str">
        <x:v>TRF-040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d7eaab5655008eee190bdf633187a61987de81b42db98da185e578b426bac955</x:v>
      </x:c>
      <x:c r="G7" s="59" t="n">
        <x:v>49614</x:v>
      </x:c>
    </x:row>
    <x:row r="8">
      <x:c r="A8" s="47" t="str">
        <x:v>RUN-TRF-040-20260901T190145121804Z</x:v>
      </x:c>
      <x:c r="B8" s="47" t="str">
        <x:v>TRF-040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d4309c662bbfd832d82b0fae7a5d307f18be043b28081fe91bf89787f4306ccf</x:v>
      </x:c>
      <x:c r="G8" s="59" t="n">
        <x:v>8851</x:v>
      </x:c>
    </x:row>
    <x:row r="9">
      <x:c r="A9" s="47" t="str">
        <x:v>RUN-TRF-040-20260901T190145121804Z</x:v>
      </x:c>
      <x:c r="B9" s="47" t="str">
        <x:v>TRF-040</x:v>
      </x:c>
      <x:c r="C9" s="59" t="n">
        <x:v>1</x:v>
      </x:c>
      <x:c r="D9" s="47" t="str">
        <x:v>syntax_repair_prompt</x:v>
      </x:c>
      <x:c r="E9" s="48" t="str">
        <x:v>artifacts/attempt_01/syntax_repair_prompt_01.txt</x:v>
      </x:c>
      <x:c r="F9" s="47" t="str">
        <x:v>29c6295a49992c7c3c29cd8cc54b44a173b30d1bfe73e51721b35594cb850543</x:v>
      </x:c>
      <x:c r="G9" s="59" t="n">
        <x:v>10342</x:v>
      </x:c>
    </x:row>
    <x:row r="10">
      <x:c r="A10" s="47" t="str">
        <x:v>RUN-TRF-040-20260901T190145121804Z</x:v>
      </x:c>
      <x:c r="B10" s="47" t="str">
        <x:v>TRF-040</x:v>
      </x:c>
      <x:c r="C10" s="59" t="n">
        <x:v>1</x:v>
      </x:c>
      <x:c r="D10" s="47" t="str">
        <x:v>syntax_repair_raw_response</x:v>
      </x:c>
      <x:c r="E10" s="48" t="str">
        <x:v>artifacts/attempt_01/syntax_repair_raw_01.txt</x:v>
      </x:c>
      <x:c r="F10" s="47" t="str">
        <x:v>74d0add8b0e8957c42214425fa5536c47a38bdd26a4cb3fd8f088103ff5eff37</x:v>
      </x:c>
      <x:c r="G10" s="59" t="n">
        <x:v>8841</x:v>
      </x:c>
    </x:row>
    <x:row r="11">
      <x:c r="A11" s="47" t="str">
        <x:v>RUN-TRF-040-20260901T190145121804Z</x:v>
      </x:c>
      <x:c r="B11" s="47" t="str">
        <x:v>TRF-040</x:v>
      </x:c>
      <x:c r="C11" s="59" t="n">
        <x:v>1</x:v>
      </x:c>
      <x:c r="D11" s="47" t="str">
        <x:v>no_semantic_validator_candidate_shape</x:v>
      </x:c>
      <x:c r="E11" s="48" t="str">
        <x:v>artifacts/attempt_01/candidate_shape.ttl</x:v>
      </x:c>
      <x:c r="F11" s="47" t="str">
        <x:v>fe85e070b5f749f59b5692a0fd3993ee7852836daf956518df4ba235f9eebb5d</x:v>
      </x:c>
      <x:c r="G11" s="59" t="n">
        <x:v>8816</x:v>
      </x:c>
    </x:row>
    <x:row r="12">
      <x:c r="A12" s="49" t="str">
        <x:v>RUN-TRF-040-20260901T190145121804Z</x:v>
      </x:c>
      <x:c r="B12" s="49" t="str">
        <x:v>TRF-040</x:v>
      </x:c>
      <x:c r="C12" s="60" t="n">
        <x:v>1</x:v>
      </x:c>
      <x:c r="D12" s="49" t="str">
        <x:v>no_semantic_validator_diagnostics</x:v>
      </x:c>
      <x:c r="E12" s="50" t="str">
        <x:v>artifacts/attempt_01/no_semantic_validator_diagnostics.json</x:v>
      </x:c>
      <x:c r="F12" s="49" t="str">
        <x:v>61f942fa724cdaff03076e80df733d7eee4145b4fa5e26faaee3e98c82067c91</x:v>
      </x:c>
      <x:c r="G12" s="60" t="n">
        <x:v>1789</x:v>
      </x:c>
    </x:row>
  </x:sheetData>
  <x:pageMargins left="0.7" right="0.7" top="0.75" bottom="0.75" header="0.3" footer="0.3"/>
  <x:tableParts count="1">
    <x:tablePart xmlns:r="http://schemas.openxmlformats.org/officeDocument/2006/relationships" r:id="R8250572dc9864374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RUN-TRF-040-20260901T190145121804Z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RUN-TRF-040-20260901T190145121804Z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