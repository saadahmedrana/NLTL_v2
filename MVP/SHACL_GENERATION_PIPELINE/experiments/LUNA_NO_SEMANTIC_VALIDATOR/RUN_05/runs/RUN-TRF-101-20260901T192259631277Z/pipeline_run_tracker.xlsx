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687ca8012a4d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b8fec20d02e4e76"/>
    <x:sheet xmlns:r="http://schemas.openxmlformats.org/officeDocument/2006/relationships" name="README" sheetId="2" r:id="R2f94db74f0014887"/>
    <x:sheet xmlns:r="http://schemas.openxmlformats.org/officeDocument/2006/relationships" name="REGULATION_QUEUE" sheetId="3" r:id="Rdd15433e4897473d"/>
    <x:sheet xmlns:r="http://schemas.openxmlformats.org/officeDocument/2006/relationships" name="RUNS" sheetId="4" r:id="R4d38033060ac4fbd"/>
    <x:sheet xmlns:r="http://schemas.openxmlformats.org/officeDocument/2006/relationships" name="ITERATIONS" sheetId="5" r:id="Rf2fa695103f1403a"/>
    <x:sheet xmlns:r="http://schemas.openxmlformats.org/officeDocument/2006/relationships" name="API_CALLS" sheetId="6" r:id="Rbc7d389901be4e02"/>
    <x:sheet xmlns:r="http://schemas.openxmlformats.org/officeDocument/2006/relationships" name="TERM_RETRIEVAL" sheetId="7" r:id="R7a04fc1bd7764afc"/>
    <x:sheet xmlns:r="http://schemas.openxmlformats.org/officeDocument/2006/relationships" name="FEW_SHOT_SELECTION" sheetId="8" r:id="Re121dfde7b4b486a"/>
    <x:sheet xmlns:r="http://schemas.openxmlformats.org/officeDocument/2006/relationships" name="VALIDATION" sheetId="9" r:id="Rfdb861d514904539"/>
    <x:sheet xmlns:r="http://schemas.openxmlformats.org/officeDocument/2006/relationships" name="VOCAB_MATCHES" sheetId="10" r:id="Rb47cc656cd624232"/>
    <x:sheet xmlns:r="http://schemas.openxmlformats.org/officeDocument/2006/relationships" name="ARTIFACTS" sheetId="11" r:id="R9d447acfa58b4e11"/>
    <x:sheet xmlns:r="http://schemas.openxmlformats.org/officeDocument/2006/relationships" name="UNRESOLVED" sheetId="12" r:id="R00a7ac4cc1bc4a5e"/>
    <x:sheet xmlns:r="http://schemas.openxmlformats.org/officeDocument/2006/relationships" name="RDF_TEST_QUEUE" sheetId="13" r:id="Rda2685da75a24c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1c5ecd6778476c" /><Relationship Type="http://schemas.openxmlformats.org/officeDocument/2006/relationships/theme" Target="/xl/theme/theme1.xml" Id="R00ab4ccff58f4944" /><Relationship Type="http://schemas.microsoft.com/office/2022/11/relationships/FeaturePropertyBag" Target="/xl/featurePropertyBag/featurePropertyBag.xml" Id="Rb5fa4891658348fb" /><Relationship Type="http://schemas.openxmlformats.org/officeDocument/2006/relationships/sharedStrings" Target="/xl/sharedStrings.xml" Id="R1dcf52e00b1a4d46" /><Relationship Type="http://schemas.openxmlformats.org/officeDocument/2006/relationships/worksheet" Target="/xl/worksheets/sheet1.xml" Id="Rcb8fec20d02e4e76" /><Relationship Type="http://schemas.openxmlformats.org/officeDocument/2006/relationships/worksheet" Target="/xl/worksheets/sheet2.xml" Id="R2f94db74f0014887" /><Relationship Type="http://schemas.openxmlformats.org/officeDocument/2006/relationships/worksheet" Target="/xl/worksheets/sheet3.xml" Id="Rdd15433e4897473d" /><Relationship Type="http://schemas.openxmlformats.org/officeDocument/2006/relationships/worksheet" Target="/xl/worksheets/sheet4.xml" Id="R4d38033060ac4fbd" /><Relationship Type="http://schemas.openxmlformats.org/officeDocument/2006/relationships/worksheet" Target="/xl/worksheets/sheet5.xml" Id="Rf2fa695103f1403a" /><Relationship Type="http://schemas.openxmlformats.org/officeDocument/2006/relationships/worksheet" Target="/xl/worksheets/sheet6.xml" Id="Rbc7d389901be4e02" /><Relationship Type="http://schemas.openxmlformats.org/officeDocument/2006/relationships/worksheet" Target="/xl/worksheets/sheet7.xml" Id="R7a04fc1bd7764afc" /><Relationship Type="http://schemas.openxmlformats.org/officeDocument/2006/relationships/worksheet" Target="/xl/worksheets/sheet8.xml" Id="Re121dfde7b4b486a" /><Relationship Type="http://schemas.openxmlformats.org/officeDocument/2006/relationships/worksheet" Target="/xl/worksheets/sheet9.xml" Id="Rfdb861d514904539" /><Relationship Type="http://schemas.openxmlformats.org/officeDocument/2006/relationships/worksheet" Target="/xl/worksheets/sheet10.xml" Id="Rb47cc656cd624232" /><Relationship Type="http://schemas.openxmlformats.org/officeDocument/2006/relationships/worksheet" Target="/xl/worksheets/sheet11.xml" Id="R9d447acfa58b4e11" /><Relationship Type="http://schemas.openxmlformats.org/officeDocument/2006/relationships/worksheet" Target="/xl/worksheets/sheet12.xml" Id="R00a7ac4cc1bc4a5e" /><Relationship Type="http://schemas.openxmlformats.org/officeDocument/2006/relationships/worksheet" Target="/xl/worksheets/sheet13.xml" Id="Rda2685da75a24cd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a99873dd74d420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30f4165ca054b8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c7aeceb5ad24d3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e0aa5daa466441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38b9f05eae24fd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24a65cc27154e4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af5d9fd08a4433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b41cfa0571940e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dc27734403c4ed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RUN-TRF-101-20260901T192259631277Z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36091.0565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RUN-TRF-101-20260901T192259631277Z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a99873dd74d420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RUN-TRF-101-20260901T192259631277Z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NO_SEMANTIC_VALIDATOR_DETERMINISTIC_PASS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0f4165ca054b8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RUN-TRF-101-20260901T192259631277Z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RUN-TRF-101-20260901T192259631277Z</x:v>
      </x:c>
      <x:c r="C5" s="69" t="str">
        <x:v>TRF-101</x:v>
      </x:c>
      <x:c r="D5" s="70" t="n">
        <x:v>46266.80763462963</x:v>
      </x:c>
      <x:c r="E5" s="70" t="n">
        <x:v>46266.808057256945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7aeceb5ad24d3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RUN-TRF-101-20260901T192259631277Z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RUN-TRF-101-20260901T192259631277Z</x:v>
      </x:c>
      <x:c r="B5" s="69" t="str">
        <x:v>TRF-101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36091.765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0aa5daa466441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RUN-TRF-101-20260901T192259631277Z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RUN-TRF-101-20260901T192259631277Z</x:v>
      </x:c>
      <x:c r="C5" s="45" t="str">
        <x:v>TRF-101</x:v>
      </x:c>
      <x:c r="D5" s="84" t="n">
        <x:v>46266.80805237268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36090.348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EVT-000030</x:v>
      </x:c>
      <x:c r="B6" s="49" t="str">
        <x:v>RUN-TRF-101-20260901T192259631277Z</x:v>
      </x:c>
      <x:c r="C6" s="49" t="str">
        <x:v>TRF-101</x:v>
      </x:c>
      <x:c r="D6" s="87" t="n">
        <x:v>46266.80805238426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36091.765</x:v>
      </x:c>
      <x:c r="L6" s="89" t="b">
        <x:v>0</x:v>
      </x:c>
      <x:c r="M6" s="49" t="str">
        <x:v>resp_004f4223e656971c006a972613fe1481978149560d1f312348</x:v>
      </x:c>
      <x:c r="N6" s="60" t="n">
        <x:v>10874</x:v>
      </x:c>
      <x:c r="O6" s="60" t="n">
        <x:v>3769</x:v>
      </x:c>
      <x:c r="P6" s="60" t="n">
        <x:v>14643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8b9f05eae24fd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RUN-TRF-101-20260901T192259631277Z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RUN-TRF-101-20260901T192259631277Z</x:v>
      </x:c>
      <x:c r="B5" s="45" t="str">
        <x:v>TRF-101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range dependency of approvedNonlinearBladeStressAnalysis</x:v>
      </x:c>
      <x:c r="J5" s="45" t="n">
        <x:v>0</x:v>
      </x:c>
    </x:row>
    <x:row r="6">
      <x:c r="A6" s="47" t="str">
        <x:v>RUN-TRF-101-20260901T192259631277Z</x:v>
      </x:c>
      <x:c r="B6" s="47" t="str">
        <x:v>TRF-101</x:v>
      </x:c>
      <x:c r="C6" s="47" t="str">
        <x:v>approvedNonlinearBladeStressAnalysis</x:v>
      </x:c>
      <x:c r="D6" s="48" t="str">
        <x:v>https://w3id.org/nltl/vocab#approvedNonlinearBladeStressAnalysis</x:v>
      </x:c>
      <x:c r="E6" s="47" t="str">
        <x:v>ObjectProperty</x:v>
      </x:c>
      <x:c r="F6" s="47" t="str"/>
      <x:c r="G6" s="47" t="str">
        <x:v>https://w3id.org/nltl/vocab#approvalRecord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RUN-TRF-101-20260901T192259631277Z</x:v>
      </x:c>
      <x:c r="B7" s="47" t="str">
        <x:v>TRF-101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bladeFailureStatus; domain dependency of bladeFailureUltimateLoad; domain dependency of bladeReferenceStrength1; domain dependency of bladeTipOffset; domain dependency of propellerDiameter</x:v>
      </x:c>
      <x:c r="J7" s="47" t="n">
        <x:v>0</x:v>
      </x:c>
    </x:row>
    <x:row r="8">
      <x:c r="A8" s="47" t="str">
        <x:v>RUN-TRF-101-20260901T192259631277Z</x:v>
      </x:c>
      <x:c r="B8" s="47" t="str">
        <x:v>TRF-101</x:v>
      </x:c>
      <x:c r="C8" s="47" t="str">
        <x:v>bladeChordLengthAtWeakestSection</x:v>
      </x:c>
      <x:c r="D8" s="48" t="str">
        <x:v>https://w3id.org/nltl/vocab#bladeChordLengthAtWeakestSection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RUN-TRF-101-20260901T192259631277Z</x:v>
      </x:c>
      <x:c r="B9" s="47" t="str">
        <x:v>TRF-101</x:v>
      </x:c>
      <x:c r="C9" s="47" t="str">
        <x:v>bladeCylindricalRootRadius</x:v>
      </x:c>
      <x:c r="D9" s="48" t="str">
        <x:v>https://w3id.org/nltl/vocab#bladeCylindricalRootRadius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RUN-TRF-101-20260901T192259631277Z</x:v>
      </x:c>
      <x:c r="B10" s="47" t="str">
        <x:v>TRF-101</x:v>
      </x:c>
      <x:c r="C10" s="47" t="str">
        <x:v>bladeFailureLoadApplicationRadiusRatio</x:v>
      </x:c>
      <x:c r="D10" s="48" t="str">
        <x:v>https://w3id.org/nltl/vocab#bladeFailureLoadApplicationRadiusRatio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RUN-TRF-101-20260901T192259631277Z</x:v>
      </x:c>
      <x:c r="B11" s="47" t="str">
        <x:v>TRF-101</x:v>
      </x:c>
      <x:c r="C11" s="47" t="str">
        <x:v>bladeFailureLoadWeakestDirectionConfirmed</x:v>
      </x:c>
      <x:c r="D11" s="48" t="str">
        <x:v>https://w3id.org/nltl/vocab#bladeFailureLoadWeakestDirectionConfirmed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RUN-TRF-101-20260901T192259631277Z</x:v>
      </x:c>
      <x:c r="B12" s="47" t="str">
        <x:v>TRF-101</x:v>
      </x:c>
      <x:c r="C12" s="47" t="str">
        <x:v>bladeFailureStatus</x:v>
      </x:c>
      <x:c r="D12" s="48" t="str">
        <x:v>https://w3id.org/nltl/vocab#bladeFailureStatus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RUN-TRF-101-20260901T192259631277Z</x:v>
      </x:c>
      <x:c r="B13" s="47" t="str">
        <x:v>TRF-101</x:v>
      </x:c>
      <x:c r="C13" s="47" t="str">
        <x:v>bladeFailureUltimateLoad</x:v>
      </x:c>
      <x:c r="D13" s="48" t="str">
        <x:v>https://w3id.org/nltl/vocab#bladeFailureUltimateLoad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RUN-TRF-101-20260901T192259631277Z</x:v>
      </x:c>
      <x:c r="B14" s="47" t="str">
        <x:v>TRF-101</x:v>
      </x:c>
      <x:c r="C14" s="47" t="str">
        <x:v>bladeMaximumThicknessAtWeakestSection</x:v>
      </x:c>
      <x:c r="D14" s="48" t="str">
        <x:v>https://w3id.org/nltl/vocab#bladeMaximumThicknessAtWeakestSection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RUN-TRF-101-20260901T192259631277Z</x:v>
      </x:c>
      <x:c r="B15" s="47" t="str">
        <x:v>TRF-101</x:v>
      </x:c>
      <x:c r="C15" s="47" t="str">
        <x:v>bladeMinimumYieldStrength</x:v>
      </x:c>
      <x:c r="D15" s="48" t="str">
        <x:v>https://w3id.org/nltl/vocab#bladeMinimumYieldStrength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http://qudt.org/vocab/unit/MegaPA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RUN-TRF-101-20260901T192259631277Z</x:v>
      </x:c>
      <x:c r="B16" s="47" t="str">
        <x:v>TRF-101</x:v>
      </x:c>
      <x:c r="C16" s="47" t="str">
        <x:v>bladeReferenceStrength1</x:v>
      </x:c>
      <x:c r="D16" s="48" t="str">
        <x:v>https://w3id.org/nltl/vocab#bladeReferenceStrength1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http://qudt.org/vocab/unit/MegaPA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RUN-TRF-101-20260901T192259631277Z</x:v>
      </x:c>
      <x:c r="B17" s="47" t="str">
        <x:v>TRF-101</x:v>
      </x:c>
      <x:c r="C17" s="47" t="str">
        <x:v>bladeTipOffset</x:v>
      </x:c>
      <x:c r="D17" s="48" t="str">
        <x:v>https://w3id.org/nltl/vocab#bladeTipOffset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RUN-TRF-101-20260901T192259631277Z</x:v>
      </x:c>
      <x:c r="B18" s="47" t="str">
        <x:v>TRF-101</x:v>
      </x:c>
      <x:c r="C18" s="47" t="str">
        <x:v>bladeUltimateTensileStrength</x:v>
      </x:c>
      <x:c r="D18" s="48" t="str">
        <x:v>https://w3id.org/nltl/vocab#bladeUltimateTensileStrength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RUN-TRF-101-20260901T192259631277Z</x:v>
      </x:c>
      <x:c r="B19" s="47" t="str">
        <x:v>TRF-101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RUN-TRF-101-20260901T192259631277Z</x:v>
      </x:c>
      <x:c r="B20" s="47" t="str">
        <x:v>TRF-101</x:v>
      </x:c>
      <x:c r="C20" s="47" t="str">
        <x:v>hasLoadCase</x:v>
      </x:c>
      <x:c r="D20" s="48" t="str">
        <x:v>https://w3id.org/nltl/vocab#hasLoadCase</x:v>
      </x:c>
      <x:c r="E20" s="47" t="str">
        <x:v>ObjectProperty</x:v>
      </x:c>
      <x:c r="F20" s="47" t="str"/>
      <x:c r="G20" s="47" t="str">
        <x:v>https://w3id.org/nltl/vocab#loadCase</x:v>
      </x:c>
      <x:c r="H20" s="47" t="str"/>
      <x:c r="I20" s="48" t="str">
        <x:v>canonical path from target owner ship to required owner loadCase; linked by the locked 313-requirement index</x:v>
      </x:c>
      <x:c r="J20" s="47" t="n">
        <x:v>0</x:v>
      </x:c>
    </x:row>
    <x:row r="21">
      <x:c r="A21" s="47" t="str">
        <x:v>RUN-TRF-101-20260901T192259631277Z</x:v>
      </x:c>
      <x:c r="B21" s="47" t="str">
        <x:v>TRF-101</x:v>
      </x:c>
      <x:c r="C21" s="47" t="str">
        <x:v>hasPropulsionLoadCase</x:v>
      </x:c>
      <x:c r="D21" s="48" t="str">
        <x:v>https://w3id.org/nltl/vocab#hasPropulsionLoadCase</x:v>
      </x:c>
      <x:c r="E21" s="47" t="str">
        <x:v>ObjectProperty</x:v>
      </x:c>
      <x:c r="F21" s="47" t="str"/>
      <x:c r="G21" s="47" t="str">
        <x:v>https://w3id.org/nltl/vocab#loadCase</x:v>
      </x:c>
      <x:c r="H21" s="47" t="str"/>
      <x:c r="I21" s="48" t="str">
        <x:v>canonical path from target owner ship to required owner loadCase</x:v>
      </x:c>
      <x:c r="J21" s="47" t="n">
        <x:v>0</x:v>
      </x:c>
    </x:row>
    <x:row r="22">
      <x:c r="A22" s="47" t="str">
        <x:v>RUN-TRF-101-20260901T192259631277Z</x:v>
      </x:c>
      <x:c r="B22" s="47" t="str">
        <x:v>TRF-101</x:v>
      </x:c>
      <x:c r="C22" s="47" t="str">
        <x:v>loadCase</x:v>
      </x:c>
      <x:c r="D22" s="48" t="str">
        <x:v>https://w3id.org/nltl/vocab#loadCase</x:v>
      </x:c>
      <x:c r="E22" s="47" t="str">
        <x:v>Class</x:v>
      </x:c>
      <x:c r="F22" s="47" t="str"/>
      <x:c r="G22" s="47" t="str">
        <x:v>https://w3id.org/nltl/vocab#calculationCase</x:v>
      </x:c>
      <x:c r="H22" s="47" t="str"/>
      <x:c r="I22" s="48" t="str">
        <x:v>authoritative required owner class; domain dependency of bladeFailureLoadApplicationRadiusRatio; domain dependency of bladeFailureLoadWeakestDirectionConfirmed; range dependency of hasLoadCase</x:v>
      </x:c>
      <x:c r="J22" s="47" t="n">
        <x:v>0</x:v>
      </x:c>
    </x:row>
    <x:row r="23">
      <x:c r="A23" s="47" t="str">
        <x:v>RUN-TRF-101-20260901T192259631277Z</x:v>
      </x:c>
      <x:c r="B23" s="47" t="str">
        <x:v>TRF-101</x:v>
      </x:c>
      <x:c r="C23" s="47" t="str">
        <x:v>propellerDiameter</x:v>
      </x:c>
      <x:c r="D23" s="48" t="str">
        <x:v>https://w3id.org/nltl/vocab#propellerDiameter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RUN-TRF-101-20260901T192259631277Z</x:v>
      </x:c>
      <x:c r="B24" s="47" t="str">
        <x:v>TRF-101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approvedNonlinearBladeStressAnalysis; domain dependency of bladeChordLengthAtWeakestSection; domain dependency of bladeCylindricalRootRadius; domain dependency of bladeMaximumThicknessAtWeakestSection; domain dependency of bladeMinimumYieldStrength; domain dependency of bladeUltimateTensileStrength; domain dependency of hasLoadCase</x:v>
      </x:c>
      <x:c r="J24" s="47" t="n">
        <x:v>0</x:v>
      </x:c>
    </x:row>
    <x:row r="25">
      <x:c r="A25" s="49" t="str">
        <x:v>RUN-TRF-101-20260901T192259631277Z</x:v>
      </x:c>
      <x:c r="B25" s="49" t="str">
        <x:v>TRF-101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24a65cc27154e4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RUN-TRF-101-20260901T192259631277Z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RUN-TRF-101-20260901T192259631277Z</x:v>
      </x:c>
      <x:c r="B5" s="45" t="str">
        <x:v>TRF-101</x:v>
      </x:c>
      <x:c r="C5" s="45" t="str">
        <x:v>FS-CALC-02</x:v>
      </x:c>
      <x:c r="D5" s="45" t="str">
        <x:v>comparison_calculation</x:v>
      </x:c>
      <x:c r="E5" s="92" t="n">
        <x:v>0.038095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RUN-TRF-101-20260901T192259631277Z</x:v>
      </x:c>
      <x:c r="B6" s="49" t="str">
        <x:v>TRF-101</x:v>
      </x:c>
      <x:c r="C6" s="49" t="str">
        <x:v>FS-BOOL-01</x:v>
      </x:c>
      <x:c r="D6" s="49" t="str">
        <x:v>boolean_state</x:v>
      </x:c>
      <x:c r="E6" s="93" t="n">
        <x:v>0.028302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f5d9fd08a4433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RUN-TRF-101-20260901T192259631277Z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RUN-TRF-101-20260901T192259631277Z</x:v>
      </x:c>
      <x:c r="B5" s="69" t="str">
        <x:v>TRF-101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https://w3id.org/nltl/vocab#approvalRecord | https://w3id.org/nltl/vocab#approvedNonlinearBladeStressAnalysis | https://w3id.org/nltl/vocab#bladeChordLengthAtWeakestSection | https://w3id.org/nltl/vocab#bladeCylindricalRootRadius | https://w3id.org/nltl/vocab#bladeFailureLoadApplicationRadiusRatio | https://w3id.org/nltl/vocab#bladeFailureLoadWeakestDirectionConfirmed | https://w3id.org/nltl/vocab#bladeFailureStatus | https://w3id.org/nltl/vocab#bladeFailureUltimateLoad | https://w3id.org/nltl/vocab#bladeMaximumThicknessAtWeakestSection | https://w3id.org/nltl/vocab#bladeMinimumYieldStrength | https://w3id.org/nltl/vocab#bladeReferenceStrength1 | https://w3id.org/nltl/vocab#bladeTipOffset | https://w3id.org/nltl/vocab#bladeUltimateTensileStrength | https://w3id.org/nltl/vocab#hasLoadCase | https://w3id.org/nltl/vocab#propellerDiameter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b41cfa0571940e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RUN-TRF-101-20260901T192259631277Z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RUN-TRF-101-20260901T192259631277Z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RUN-TRF-101-20260901T192259631277Z</x:v>
      </x:c>
      <x:c r="B5" s="45" t="str">
        <x:v>TRF-101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609e676b9beee0d757eb1243d54d95aaae70acff9375166639e115acd26032a4</x:v>
      </x:c>
      <x:c r="G5" s="58" t="n">
        <x:v>28982</x:v>
      </x:c>
    </x:row>
    <x:row r="6">
      <x:c r="A6" s="47" t="str">
        <x:v>RUN-TRF-101-20260901T192259631277Z</x:v>
      </x:c>
      <x:c r="B6" s="47" t="str">
        <x:v>TRF-101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5ed29d3575ad2cd133608c0137c07c57afdf09e5e598812e5aa6470019aa1f4d</x:v>
      </x:c>
      <x:c r="G6" s="59" t="n">
        <x:v>4749</x:v>
      </x:c>
    </x:row>
    <x:row r="7">
      <x:c r="A7" s="47" t="str">
        <x:v>RUN-TRF-101-20260901T192259631277Z</x:v>
      </x:c>
      <x:c r="B7" s="47" t="str">
        <x:v>TRF-101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e83011a8de129302b3184f40c1f66a21876ba177ba0d13339ac7e9181cf41bb1</x:v>
      </x:c>
      <x:c r="G7" s="59" t="n">
        <x:v>45285</x:v>
      </x:c>
    </x:row>
    <x:row r="8">
      <x:c r="A8" s="47" t="str">
        <x:v>RUN-TRF-101-20260901T192259631277Z</x:v>
      </x:c>
      <x:c r="B8" s="47" t="str">
        <x:v>TRF-101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b502285bd6312da3a705fa10267185525bda5d8758375e84eeb315597f1013fd</x:v>
      </x:c>
      <x:c r="G8" s="59" t="n">
        <x:v>12645</x:v>
      </x:c>
    </x:row>
    <x:row r="9">
      <x:c r="A9" s="47" t="str">
        <x:v>RUN-TRF-101-20260901T192259631277Z</x:v>
      </x:c>
      <x:c r="B9" s="47" t="str">
        <x:v>TRF-101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5dbd834e17bb94d0e2838c06b22735761c41805b5acb710679efbaf01e6892a4</x:v>
      </x:c>
      <x:c r="G9" s="59" t="n">
        <x:v>12620</x:v>
      </x:c>
    </x:row>
    <x:row r="10">
      <x:c r="A10" s="49" t="str">
        <x:v>RUN-TRF-101-20260901T192259631277Z</x:v>
      </x:c>
      <x:c r="B10" s="49" t="str">
        <x:v>TRF-101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ab4080a365bda39fb438f876f1d9508b794288f618dfeeea6128e557481be902</x:v>
      </x:c>
      <x:c r="G10" s="60" t="n">
        <x:v>1796</x:v>
      </x:c>
    </x:row>
  </x:sheetData>
  <x:pageMargins left="0.7" right="0.7" top="0.75" bottom="0.75" header="0.3" footer="0.3"/>
  <x:tableParts count="1">
    <x:tablePart xmlns:r="http://schemas.openxmlformats.org/officeDocument/2006/relationships" r:id="R8dc27734403c4ed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RUN-TRF-101-20260901T192259631277Z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RUN-TRF-101-20260901T192259631277Z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