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595e6da564a400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05dd2c66a040492a"/>
    <x:sheet xmlns:r="http://schemas.openxmlformats.org/officeDocument/2006/relationships" name="README" sheetId="2" r:id="Rd9d59c6e9ecd492c"/>
    <x:sheet xmlns:r="http://schemas.openxmlformats.org/officeDocument/2006/relationships" name="REGULATION_QUEUE" sheetId="3" r:id="R00724f7c233544d3"/>
    <x:sheet xmlns:r="http://schemas.openxmlformats.org/officeDocument/2006/relationships" name="RUNS" sheetId="4" r:id="Re184e7a2ce224097"/>
    <x:sheet xmlns:r="http://schemas.openxmlformats.org/officeDocument/2006/relationships" name="ITERATIONS" sheetId="5" r:id="Rc299b9dbd82340d5"/>
    <x:sheet xmlns:r="http://schemas.openxmlformats.org/officeDocument/2006/relationships" name="API_CALLS" sheetId="6" r:id="Re485ea523a2d476b"/>
    <x:sheet xmlns:r="http://schemas.openxmlformats.org/officeDocument/2006/relationships" name="TERM_RETRIEVAL" sheetId="7" r:id="R260006b85f3d4e03"/>
    <x:sheet xmlns:r="http://schemas.openxmlformats.org/officeDocument/2006/relationships" name="FEW_SHOT_SELECTION" sheetId="8" r:id="Rd1f01c651b794a16"/>
    <x:sheet xmlns:r="http://schemas.openxmlformats.org/officeDocument/2006/relationships" name="VALIDATION" sheetId="9" r:id="Rdcbf1b9ff5e0496c"/>
    <x:sheet xmlns:r="http://schemas.openxmlformats.org/officeDocument/2006/relationships" name="VOCAB_MATCHES" sheetId="10" r:id="R50dcdd50183e4768"/>
    <x:sheet xmlns:r="http://schemas.openxmlformats.org/officeDocument/2006/relationships" name="ARTIFACTS" sheetId="11" r:id="R8e4446f908544999"/>
    <x:sheet xmlns:r="http://schemas.openxmlformats.org/officeDocument/2006/relationships" name="UNRESOLVED" sheetId="12" r:id="R56771e5463594beb"/>
    <x:sheet xmlns:r="http://schemas.openxmlformats.org/officeDocument/2006/relationships" name="RDF_TEST_QUEUE" sheetId="13" r:id="R4c1250effbcd48cc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98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42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a6077c417cc4296" /><Relationship Type="http://schemas.openxmlformats.org/officeDocument/2006/relationships/theme" Target="/xl/theme/theme1.xml" Id="Rbbcc0e7046b346d8" /><Relationship Type="http://schemas.microsoft.com/office/2022/11/relationships/FeaturePropertyBag" Target="/xl/featurePropertyBag/featurePropertyBag.xml" Id="Rfc5819cbb789487a" /><Relationship Type="http://schemas.openxmlformats.org/officeDocument/2006/relationships/sharedStrings" Target="/xl/sharedStrings.xml" Id="R7b99f1dbb2e14861" /><Relationship Type="http://schemas.openxmlformats.org/officeDocument/2006/relationships/worksheet" Target="/xl/worksheets/sheet1.xml" Id="R05dd2c66a040492a" /><Relationship Type="http://schemas.openxmlformats.org/officeDocument/2006/relationships/worksheet" Target="/xl/worksheets/sheet2.xml" Id="Rd9d59c6e9ecd492c" /><Relationship Type="http://schemas.openxmlformats.org/officeDocument/2006/relationships/worksheet" Target="/xl/worksheets/sheet3.xml" Id="R00724f7c233544d3" /><Relationship Type="http://schemas.openxmlformats.org/officeDocument/2006/relationships/worksheet" Target="/xl/worksheets/sheet4.xml" Id="Re184e7a2ce224097" /><Relationship Type="http://schemas.openxmlformats.org/officeDocument/2006/relationships/worksheet" Target="/xl/worksheets/sheet5.xml" Id="Rc299b9dbd82340d5" /><Relationship Type="http://schemas.openxmlformats.org/officeDocument/2006/relationships/worksheet" Target="/xl/worksheets/sheet6.xml" Id="Re485ea523a2d476b" /><Relationship Type="http://schemas.openxmlformats.org/officeDocument/2006/relationships/worksheet" Target="/xl/worksheets/sheet7.xml" Id="R260006b85f3d4e03" /><Relationship Type="http://schemas.openxmlformats.org/officeDocument/2006/relationships/worksheet" Target="/xl/worksheets/sheet8.xml" Id="Rd1f01c651b794a16" /><Relationship Type="http://schemas.openxmlformats.org/officeDocument/2006/relationships/worksheet" Target="/xl/worksheets/sheet9.xml" Id="Rdcbf1b9ff5e0496c" /><Relationship Type="http://schemas.openxmlformats.org/officeDocument/2006/relationships/worksheet" Target="/xl/worksheets/sheet10.xml" Id="R50dcdd50183e4768" /><Relationship Type="http://schemas.openxmlformats.org/officeDocument/2006/relationships/worksheet" Target="/xl/worksheets/sheet11.xml" Id="R8e4446f908544999" /><Relationship Type="http://schemas.openxmlformats.org/officeDocument/2006/relationships/worksheet" Target="/xl/worksheets/sheet12.xml" Id="R56771e5463594beb" /><Relationship Type="http://schemas.openxmlformats.org/officeDocument/2006/relationships/worksheet" Target="/xl/worksheets/sheet13.xml" Id="R4c1250effbcd48cc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6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20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0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5b9862f0c6de494f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c29f3e23837c4280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04f2f29f220f4077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e684a9357e7840dc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a5c01232624b4dbf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82be6d8ce8a34199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564b43c9822246d8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8a7e2b0530ed4bb0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a12a8a5711694e9c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RUN-I2-050-20260902T062831604489Z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0</x:v>
      </x:c>
      <x:c r="C8" s="21"/>
      <x:c r="D8" s="21"/>
    </x:row>
    <x:row r="9">
      <x:c r="A9" s="25" t="str">
        <x:v>API/LLM records</x:v>
      </x:c>
      <x:c r="B9" s="26" t="n">
        <x:f>COUNTA('API_CALLS'!$A$5:$A$6)</x:f>
        <x:v>2</x:v>
      </x:c>
      <x:c r="C9" s="21"/>
      <x:c r="D9" s="21"/>
    </x:row>
    <x:row r="10">
      <x:c r="A10" s="27" t="str">
        <x:v>Mean API/LLM elapsed ms</x:v>
      </x:c>
      <x:c r="B10" s="28" t="n">
        <x:f>IFERROR(AVERAGE('API_CALLS'!$K$5:$K$6),0)</x:f>
        <x:v>18351.534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RUN-I2-050-20260902T062831604489Z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5b9862f0c6de494f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RUN-I2-050-20260902T062831604489Z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NO_SEMANTIC_VALIDATOR_DETERMINISTIC_PASS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c29f3e23837c4280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4" hidden="0" customWidth="1"/>
    <x:col min="10" max="10" width="11" hidden="0" customWidth="1"/>
    <x:col min="11" max="11" width="1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RUN-I2-050-20260902T062831604489Z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SESSION-NO-SEMANTIC-VALIDATOR-BATCH-20260902T061348966620Z</x:v>
      </x:c>
      <x:c r="B5" s="69" t="str">
        <x:v>RUN-I2-050-20260902T062831604489Z</x:v>
      </x:c>
      <x:c r="C5" s="69" t="str">
        <x:v>I2-050</x:v>
      </x:c>
      <x:c r="D5" s="70" t="n">
        <x:v>46267.26981024306</x:v>
      </x:c>
      <x:c r="E5" s="70" t="n">
        <x:v>46267.27002600695</x:v>
      </x:c>
      <x:c r="F5" s="69" t="str">
        <x:v>luna-no-semantic-validator-run06-v1</x:v>
      </x:c>
      <x:c r="G5" s="69" t="str">
        <x:v>VOCAB-LOCK-2026-08-22-R13</x:v>
      </x:c>
      <x:c r="H5" s="71" t="n">
        <x:v>1</x:v>
      </x:c>
      <x:c r="I5" s="69" t="str">
        <x:v>NO_SEMANTIC_VALIDATOR_DETERMINISTIC_PASS</x:v>
      </x:c>
      <x:c r="J5" s="72" t="b">
        <x:v>0</x:v>
      </x:c>
      <x:c r="K5" s="69" t="str"/>
      <x:c r="L5" s="73" t="str">
        <x:v>Semantic validator disabled; no semantic acceptance judgement was made.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04f2f29f220f4077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24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RUN-I2-050-20260902T062831604489Z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RUN-I2-050-20260902T062831604489Z</x:v>
      </x:c>
      <x:c r="B5" s="69" t="str">
        <x:v>I2-050</x:v>
      </x:c>
      <x:c r="C5" s="71" t="n">
        <x:v>1</x:v>
      </x:c>
      <x:c r="D5" s="72" t="b">
        <x:v>1</x:v>
      </x:c>
      <x:c r="E5" s="69"/>
      <x:c r="F5" s="72" t="b">
        <x:v>0</x:v>
      </x:c>
      <x:c r="G5" s="69" t="str">
        <x:v>NO_SEMANTIC_VALIDATOR_DETERMINISTIC_PASS</x:v>
      </x:c>
      <x:c r="H5" s="73" t="str">
        <x:v>Semantic validator disabled; deterministic diagnostics were not used as repair feedback.</x:v>
      </x:c>
      <x:c r="I5" s="75" t="n">
        <x:v>18352.413</x:v>
      </x:c>
      <x:c r="J5" s="75" t="n">
        <x:v>0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e684a9357e7840dc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RUN-I2-050-20260902T062831604489Z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EVT-000024</x:v>
      </x:c>
      <x:c r="B5" s="45" t="str">
        <x:v>RUN-I2-050-20260902T062831604489Z</x:v>
      </x:c>
      <x:c r="C5" s="45" t="str">
        <x:v>I2-050</x:v>
      </x:c>
      <x:c r="D5" s="84" t="n">
        <x:v>46267.270022662036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5" t="n">
        <x:v>0</x:v>
      </x:c>
      <x:c r="K5" s="85" t="n">
        <x:v>18350.655</x:v>
      </x:c>
      <x:c r="L5" s="86" t="b">
        <x:v>0</x:v>
      </x:c>
      <x:c r="M5" s="45" t="str"/>
      <x:c r="N5" s="58" t="str"/>
      <x:c r="O5" s="58" t="str"/>
      <x:c r="P5" s="58" t="str"/>
    </x:row>
    <x:row r="6">
      <x:c r="A6" s="49" t="str">
        <x:v>EVT-000025</x:v>
      </x:c>
      <x:c r="B6" s="49" t="str">
        <x:v>RUN-I2-050-20260902T062831604489Z</x:v>
      </x:c>
      <x:c r="C6" s="49" t="str">
        <x:v>I2-050</x:v>
      </x:c>
      <x:c r="D6" s="87" t="n">
        <x:v>46267.27002268519</x:v>
      </x:c>
      <x:c r="E6" s="49" t="str">
        <x:v>generator</x:v>
      </x:c>
      <x:c r="F6" s="49" t="str">
        <x:v>gpt-5.6-luna-2026-07-09</x:v>
      </x:c>
      <x:c r="G6" s="49" t="n">
        <x:v>1</x:v>
      </x:c>
      <x:c r="H6" s="49" t="str">
        <x:v>COMPLETED</x:v>
      </x:c>
      <x:c r="I6" s="49" t="str"/>
      <x:c r="J6" s="88" t="n">
        <x:v>0</x:v>
      </x:c>
      <x:c r="K6" s="88" t="n">
        <x:v>18352.413</x:v>
      </x:c>
      <x:c r="L6" s="89" t="b">
        <x:v>0</x:v>
      </x:c>
      <x:c r="M6" s="49" t="str">
        <x:v>resp_04265dfd8cafc492006a97c210213c8193923c94dac9956c4f</x:v>
      </x:c>
      <x:c r="N6" s="60" t="n">
        <x:v>10113</x:v>
      </x:c>
      <x:c r="O6" s="60" t="n">
        <x:v>2284</x:v>
      </x:c>
      <x:c r="P6" s="60" t="n">
        <x:v>12397</x:v>
      </x:c>
    </x:row>
  </x:sheetData>
  <x:conditionalFormatting sqref="H5:H6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a5c01232624b4dbf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1" hidden="0" customWidth="1"/>
    <x:col min="7" max="7" width="46" hidden="0" customWidth="1"/>
    <x:col min="8" max="8" width="24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RUN-I2-050-20260902T062831604489Z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RUN-I2-050-20260902T062831604489Z</x:v>
      </x:c>
      <x:c r="B5" s="45" t="str">
        <x:v>I2-050</x:v>
      </x:c>
      <x:c r="C5" s="45" t="str">
        <x:v>benchmarkEntity</x:v>
      </x:c>
      <x:c r="D5" s="46" t="str">
        <x:v>https://w3id.org/nltl/vocab#benchmarkEntity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domain dependency of stemAngle</x:v>
      </x:c>
      <x:c r="J5" s="45" t="n">
        <x:v>0</x:v>
      </x:c>
    </x:row>
    <x:row r="6">
      <x:c r="A6" s="47" t="str">
        <x:v>RUN-I2-050-20260902T062831604489Z</x:v>
      </x:c>
      <x:c r="B6" s="47" t="str">
        <x:v>I2-050</x:v>
      </x:c>
      <x:c r="C6" s="47" t="str">
        <x:v>crushingFailureClassFactor</x:v>
      </x:c>
      <x:c r="D6" s="48" t="str">
        <x:v>https://w3id.org/nltl/vocab#crushingFailureClassFactor</x:v>
      </x:c>
      <x:c r="E6" s="47" t="str">
        <x:v>QuantityProperty</x:v>
      </x:c>
      <x:c r="F6" s="47" t="str"/>
      <x:c r="G6" s="47" t="str">
        <x:v>http://qudt.org/schema/qudt/QuantityValue</x:v>
      </x:c>
      <x:c r="H6" s="47" t="str">
        <x:v>http://qudt.org/vocab/unit/UNITLESS</x:v>
      </x:c>
      <x:c r="I6" s="48" t="str">
        <x:v>linked by the locked 313-requirement index</x:v>
      </x:c>
      <x:c r="J6" s="47" t="n">
        <x:v>0</x:v>
      </x:c>
    </x:row>
    <x:row r="7">
      <x:c r="A7" s="47" t="str">
        <x:v>RUN-I2-050-20260902T062831604489Z</x:v>
      </x:c>
      <x:c r="B7" s="47" t="str">
        <x:v>I2-050</x:v>
      </x:c>
      <x:c r="C7" s="47" t="str">
        <x:v>designVerticalIceForceAtBow</x:v>
      </x:c>
      <x:c r="D7" s="48" t="str">
        <x:v>https://w3id.org/nltl/vocab#designVerticalIceForceAtBow</x:v>
      </x:c>
      <x:c r="E7" s="47" t="str">
        <x:v>QuantityProperty</x:v>
      </x:c>
      <x:c r="F7" s="47" t="str"/>
      <x:c r="G7" s="47" t="str">
        <x:v>http://qudt.org/schema/qudt/QuantityValue</x:v>
      </x:c>
      <x:c r="H7" s="47" t="str">
        <x:v>http://qudt.org/vocab/unit/MegaN</x:v>
      </x:c>
      <x:c r="I7" s="48" t="str">
        <x:v>linked by the locked 313-requirement index</x:v>
      </x:c>
      <x:c r="J7" s="47" t="n">
        <x:v>0</x:v>
      </x:c>
    </x:row>
    <x:row r="8">
      <x:c r="A8" s="47" t="str">
        <x:v>RUN-I2-050-20260902T062831604489Z</x:v>
      </x:c>
      <x:c r="B8" s="47" t="str">
        <x:v>I2-050</x:v>
      </x:c>
      <x:c r="C8" s="47" t="str">
        <x:v>designVerticalIceForceAtBowCandidateOne</x:v>
      </x:c>
      <x:c r="D8" s="48" t="str">
        <x:v>https://w3id.org/nltl/vocab#designVerticalIceForceAtBowCandidateOne</x:v>
      </x:c>
      <x:c r="E8" s="47" t="str">
        <x:v>QuantityProperty</x:v>
      </x:c>
      <x:c r="F8" s="47" t="str"/>
      <x:c r="G8" s="47" t="str">
        <x:v>http://qudt.org/schema/qudt/QuantityValue</x:v>
      </x:c>
      <x:c r="H8" s="47" t="str">
        <x:v>http://qudt.org/vocab/unit/MegaN</x:v>
      </x:c>
      <x:c r="I8" s="48" t="str">
        <x:v>linked by the locked 313-requirement index</x:v>
      </x:c>
      <x:c r="J8" s="47" t="n">
        <x:v>0</x:v>
      </x:c>
    </x:row>
    <x:row r="9">
      <x:c r="A9" s="47" t="str">
        <x:v>RUN-I2-050-20260902T062831604489Z</x:v>
      </x:c>
      <x:c r="B9" s="47" t="str">
        <x:v>I2-050</x:v>
      </x:c>
      <x:c r="C9" s="47" t="str">
        <x:v>designVerticalIceForceAtBowCandidateTwo</x:v>
      </x:c>
      <x:c r="D9" s="48" t="str">
        <x:v>https://w3id.org/nltl/vocab#designVerticalIceForceAtBowCandidateTwo</x:v>
      </x:c>
      <x:c r="E9" s="47" t="str">
        <x:v>QuantityProperty</x:v>
      </x:c>
      <x:c r="F9" s="47" t="str"/>
      <x:c r="G9" s="47" t="str">
        <x:v>http://qudt.org/schema/qudt/QuantityValue</x:v>
      </x:c>
      <x:c r="H9" s="47" t="str">
        <x:v>http://qudt.org/vocab/unit/MegaN</x:v>
      </x:c>
      <x:c r="I9" s="48" t="str">
        <x:v>linked by the locked 313-requirement index</x:v>
      </x:c>
      <x:c r="J9" s="47" t="n">
        <x:v>0</x:v>
      </x:c>
    </x:row>
    <x:row r="10">
      <x:c r="A10" s="47" t="str">
        <x:v>RUN-I2-050-20260902T062831604489Z</x:v>
      </x:c>
      <x:c r="B10" s="47" t="str">
        <x:v>I2-050</x:v>
      </x:c>
      <x:c r="C10" s="47" t="str">
        <x:v>flexuralFailureClassFactor</x:v>
      </x:c>
      <x:c r="D10" s="48" t="str">
        <x:v>https://w3id.org/nltl/vocab#flexuralFailureClassFactor</x:v>
      </x:c>
      <x:c r="E10" s="47" t="str">
        <x:v>QuantityProperty</x:v>
      </x:c>
      <x:c r="F10" s="47" t="str"/>
      <x:c r="G10" s="47" t="str">
        <x:v>http://qudt.org/schema/qudt/QuantityValue</x:v>
      </x:c>
      <x:c r="H10" s="47" t="str">
        <x:v>http://qudt.org/vocab/unit/UNITLESS</x:v>
      </x:c>
      <x:c r="I10" s="48" t="str">
        <x:v>linked by the locked 313-requirement index</x:v>
      </x:c>
      <x:c r="J10" s="47" t="n">
        <x:v>0</x:v>
      </x:c>
    </x:row>
    <x:row r="11">
      <x:c r="A11" s="47" t="str">
        <x:v>RUN-I2-050-20260902T062831604489Z</x:v>
      </x:c>
      <x:c r="B11" s="47" t="str">
        <x:v>I2-050</x:v>
      </x:c>
      <x:c r="C11" s="47" t="str">
        <x:v>hasComponent</x:v>
      </x:c>
      <x:c r="D11" s="48" t="str">
        <x:v>https://w3id.org/nltl/vocab#hasComponent</x:v>
      </x:c>
      <x:c r="E11" s="47" t="str">
        <x:v>ObjectProperty</x:v>
      </x:c>
      <x:c r="F11" s="47" t="str"/>
      <x:c r="G11" s="47" t="str">
        <x:v>https://w3id.org/nltl/vocab#shipComponent</x:v>
      </x:c>
      <x:c r="H11" s="47" t="str"/>
      <x:c r="I11" s="48" t="str">
        <x:v>component-path dependency inferred from the linked term module</x:v>
      </x:c>
      <x:c r="J11" s="47" t="n">
        <x:v>0</x:v>
      </x:c>
    </x:row>
    <x:row r="12">
      <x:c r="A12" s="47" t="str">
        <x:v>RUN-I2-050-20260902T062831604489Z</x:v>
      </x:c>
      <x:c r="B12" s="47" t="str">
        <x:v>I2-050</x:v>
      </x:c>
      <x:c r="C12" s="47" t="str">
        <x:v>hasTableLookupCase</x:v>
      </x:c>
      <x:c r="D12" s="48" t="str">
        <x:v>https://w3id.org/nltl/vocab#hasTableLookupCase</x:v>
      </x:c>
      <x:c r="E12" s="47" t="str">
        <x:v>ObjectProperty</x:v>
      </x:c>
      <x:c r="F12" s="47" t="str"/>
      <x:c r="G12" s="47" t="str">
        <x:v>https://w3id.org/nltl/vocab#tableLookupCase</x:v>
      </x:c>
      <x:c r="H12" s="47" t="str"/>
      <x:c r="I12" s="48" t="str">
        <x:v>canonical path from target owner ship to required owner tableLookupCase</x:v>
      </x:c>
      <x:c r="J12" s="47" t="n">
        <x:v>0</x:v>
      </x:c>
    </x:row>
    <x:row r="13">
      <x:c r="A13" s="47" t="str">
        <x:v>RUN-I2-050-20260902T062831604489Z</x:v>
      </x:c>
      <x:c r="B13" s="47" t="str">
        <x:v>I2-050</x:v>
      </x:c>
      <x:c r="C13" s="47" t="str">
        <x:v>hullFormCoefficientKh</x:v>
      </x:c>
      <x:c r="D13" s="48" t="str">
        <x:v>https://w3id.org/nltl/vocab#hullFormCoefficientKh</x:v>
      </x:c>
      <x:c r="E13" s="47" t="str">
        <x:v>QuantityProperty</x:v>
      </x:c>
      <x:c r="F13" s="47" t="str"/>
      <x:c r="G13" s="47" t="str">
        <x:v>http://qudt.org/schema/qudt/QuantityValue</x:v>
      </x:c>
      <x:c r="H13" s="47" t="str">
        <x:v>http://qudt.org/vocab/unit/UNITLESS</x:v>
      </x:c>
      <x:c r="I13" s="48" t="str">
        <x:v>linked by the locked 313-requirement index</x:v>
      </x:c>
      <x:c r="J13" s="47" t="n">
        <x:v>0</x:v>
      </x:c>
    </x:row>
    <x:row r="14">
      <x:c r="A14" s="47" t="str">
        <x:v>RUN-I2-050-20260902T062831604489Z</x:v>
      </x:c>
      <x:c r="B14" s="47" t="str">
        <x:v>I2-050</x:v>
      </x:c>
      <x:c r="C14" s="47" t="str">
        <x:v>iceStrengthCoefficientKI</x:v>
      </x:c>
      <x:c r="D14" s="48" t="str">
        <x:v>https://w3id.org/nltl/vocab#iceStrengthCoefficientKI</x:v>
      </x:c>
      <x:c r="E14" s="47" t="str">
        <x:v>QuantityProperty</x:v>
      </x:c>
      <x:c r="F14" s="47" t="str"/>
      <x:c r="G14" s="47" t="str">
        <x:v>http://qudt.org/schema/qudt/QuantityValue</x:v>
      </x:c>
      <x:c r="H14" s="47" t="str">
        <x:v>http://qudt.org/vocab/unit/UNITLESS</x:v>
      </x:c>
      <x:c r="I14" s="48" t="str">
        <x:v>linked by the locked 313-requirement index</x:v>
      </x:c>
      <x:c r="J14" s="47" t="n">
        <x:v>0</x:v>
      </x:c>
    </x:row>
    <x:row r="15">
      <x:c r="A15" s="47" t="str">
        <x:v>RUN-I2-050-20260902T062831604489Z</x:v>
      </x:c>
      <x:c r="B15" s="47" t="str">
        <x:v>I2-050</x:v>
      </x:c>
      <x:c r="C15" s="47" t="str">
        <x:v>longitudinalStrengthClassFactor</x:v>
      </x:c>
      <x:c r="D15" s="48" t="str">
        <x:v>https://w3id.org/nltl/vocab#longitudinalStrengthClassFactor</x:v>
      </x:c>
      <x:c r="E15" s="47" t="str">
        <x:v>QuantityProperty</x:v>
      </x:c>
      <x:c r="F15" s="47" t="str"/>
      <x:c r="G15" s="47" t="str">
        <x:v>http://qudt.org/schema/qudt/QuantityValue</x:v>
      </x:c>
      <x:c r="H15" s="47" t="str">
        <x:v>http://qudt.org/vocab/unit/UNITLESS</x:v>
      </x:c>
      <x:c r="I15" s="48" t="str">
        <x:v>linked by the locked 313-requirement index</x:v>
      </x:c>
      <x:c r="J15" s="47" t="n">
        <x:v>0</x:v>
      </x:c>
    </x:row>
    <x:row r="16">
      <x:c r="A16" s="47" t="str">
        <x:v>RUN-I2-050-20260902T062831604489Z</x:v>
      </x:c>
      <x:c r="B16" s="47" t="str">
        <x:v>I2-050</x:v>
      </x:c>
      <x:c r="C16" s="47" t="str">
        <x:v>ship</x:v>
      </x:c>
      <x:c r="D16" s="48" t="str">
        <x:v>https://w3id.org/nltl/vocab#ship</x:v>
      </x:c>
      <x:c r="E16" s="47" t="str">
        <x:v>Class</x:v>
      </x:c>
      <x:c r="F16" s="47" t="str"/>
      <x:c r="G16" s="47" t="str"/>
      <x:c r="H16" s="47" t="str"/>
      <x:c r="I16" s="48" t="str">
        <x:v>authoritative required owner class; authoritative requirement target owner; baseline target infrastructure; domain dependency of designVerticalIceForceAtBow; domain dependency of designVerticalIceForceAtBowCandidateOne; domain dependency of designVerticalIceForceAtBowCandidateTwo; domain dependency of hullFormCoefficientKh; domain dependency of iceStrengthCoefficientKI; domain dependency of upperIceWaterlineDraughtDUI</x:v>
      </x:c>
      <x:c r="J16" s="47" t="n">
        <x:v>0</x:v>
      </x:c>
    </x:row>
    <x:row r="17">
      <x:c r="A17" s="47" t="str">
        <x:v>RUN-I2-050-20260902T062831604489Z</x:v>
      </x:c>
      <x:c r="B17" s="47" t="str">
        <x:v>I2-050</x:v>
      </x:c>
      <x:c r="C17" s="47" t="str">
        <x:v>shipComponent</x:v>
      </x:c>
      <x:c r="D17" s="48" t="str">
        <x:v>https://w3id.org/nltl/vocab#shipComponent</x:v>
      </x:c>
      <x:c r="E17" s="47" t="str">
        <x:v>Class</x:v>
      </x:c>
      <x:c r="F17" s="47" t="str"/>
      <x:c r="G17" s="47" t="str"/>
      <x:c r="H17" s="47" t="str"/>
      <x:c r="I17" s="48" t="str">
        <x:v>component-path dependency inferred from the linked term module</x:v>
      </x:c>
      <x:c r="J17" s="47" t="n">
        <x:v>0</x:v>
      </x:c>
    </x:row>
    <x:row r="18">
      <x:c r="A18" s="47" t="str">
        <x:v>RUN-I2-050-20260902T062831604489Z</x:v>
      </x:c>
      <x:c r="B18" s="47" t="str">
        <x:v>I2-050</x:v>
      </x:c>
      <x:c r="C18" s="47" t="str">
        <x:v>stemAngle</x:v>
      </x:c>
      <x:c r="D18" s="48" t="str">
        <x:v>https://w3id.org/nltl/vocab#stemAngle</x:v>
      </x:c>
      <x:c r="E18" s="47" t="str">
        <x:v>QuantityProperty</x:v>
      </x:c>
      <x:c r="F18" s="47" t="str"/>
      <x:c r="G18" s="47" t="str">
        <x:v>http://qudt.org/schema/qudt/QuantityValue</x:v>
      </x:c>
      <x:c r="H18" s="47" t="str">
        <x:v>http://qudt.org/vocab/unit/DEG</x:v>
      </x:c>
      <x:c r="I18" s="48" t="str">
        <x:v>linked by the locked 313-requirement index</x:v>
      </x:c>
      <x:c r="J18" s="47" t="n">
        <x:v>0</x:v>
      </x:c>
    </x:row>
    <x:row r="19">
      <x:c r="A19" s="47" t="str">
        <x:v>RUN-I2-050-20260902T062831604489Z</x:v>
      </x:c>
      <x:c r="B19" s="47" t="str">
        <x:v>I2-050</x:v>
      </x:c>
      <x:c r="C19" s="47" t="str">
        <x:v>tableLookupCase</x:v>
      </x:c>
      <x:c r="D19" s="48" t="str">
        <x:v>https://w3id.org/nltl/vocab#tableLookupCase</x:v>
      </x:c>
      <x:c r="E19" s="47" t="str">
        <x:v>Class</x:v>
      </x:c>
      <x:c r="F19" s="47" t="str"/>
      <x:c r="G19" s="47" t="str">
        <x:v>https://w3id.org/nltl/vocab#calculationCase</x:v>
      </x:c>
      <x:c r="H19" s="47" t="str"/>
      <x:c r="I19" s="48" t="str">
        <x:v>authoritative required owner class; domain dependency of crushingFailureClassFactor; domain dependency of flexuralFailureClassFactor; domain dependency of longitudinalStrengthClassFactor</x:v>
      </x:c>
      <x:c r="J19" s="47" t="n">
        <x:v>0</x:v>
      </x:c>
    </x:row>
    <x:row r="20">
      <x:c r="A20" s="49" t="str">
        <x:v>RUN-I2-050-20260902T062831604489Z</x:v>
      </x:c>
      <x:c r="B20" s="49" t="str">
        <x:v>I2-050</x:v>
      </x:c>
      <x:c r="C20" s="49" t="str">
        <x:v>upperIceWaterlineDraughtDUI</x:v>
      </x:c>
      <x:c r="D20" s="50" t="str">
        <x:v>https://w3id.org/nltl/vocab#upperIceWaterlineDraughtDUI</x:v>
      </x:c>
      <x:c r="E20" s="49" t="str">
        <x:v>QuantityProperty</x:v>
      </x:c>
      <x:c r="F20" s="49" t="str"/>
      <x:c r="G20" s="49" t="str">
        <x:v>http://qudt.org/schema/qudt/QuantityValue</x:v>
      </x:c>
      <x:c r="H20" s="49" t="str">
        <x:v>http://qudt.org/vocab/unit/M</x:v>
      </x:c>
      <x:c r="I20" s="50" t="str">
        <x:v>linked by the locked 313-requirement index</x:v>
      </x:c>
      <x:c r="J20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82be6d8ce8a34199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24" hidden="0" customWidth="1"/>
    <x:col min="4" max="4" width="24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RUN-I2-050-20260902T062831604489Z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RUN-I2-050-20260902T062831604489Z</x:v>
      </x:c>
      <x:c r="B5" s="45" t="str">
        <x:v>I2-050</x:v>
      </x:c>
      <x:c r="C5" s="45" t="str">
        <x:v>FS-COMPLEX-READINESS-01</x:v>
      </x:c>
      <x:c r="D5" s="45" t="str">
        <x:v>complex_readiness_external_calculation</x:v>
      </x:c>
      <x:c r="E5" s="92" t="n">
        <x:v>2.142857</x:v>
      </x:c>
      <x:c r="F5" s="45" t="str">
        <x:v>calculation | complex | engineering | evidence | external | inputs | readiness | results</x:v>
      </x:c>
      <x:c r="G5" s="45" t="str">
        <x:v>synthetic-few-shot-not-benchmark-ground-truth</x:v>
      </x:c>
    </x:row>
    <x:row r="6">
      <x:c r="A6" s="49" t="str">
        <x:v>RUN-I2-050-20260902T062831604489Z</x:v>
      </x:c>
      <x:c r="B6" s="49" t="str">
        <x:v>I2-050</x:v>
      </x:c>
      <x:c r="C6" s="49" t="str">
        <x:v>FS-COMPLEX-READINESS-02</x:v>
      </x:c>
      <x:c r="D6" s="49" t="str">
        <x:v>complex_readiness_with_direct_residual_check</x:v>
      </x:c>
      <x:c r="E6" s="93" t="n">
        <x:v>2.064516</x:v>
      </x:c>
      <x:c r="F6" s="49" t="str">
        <x:v>complex | engineering | evidence | readiness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564b43c9822246d8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RUN-I2-050-20260902T062831604489Z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RUN-I2-050-20260902T062831604489Z</x:v>
      </x:c>
      <x:c r="B5" s="69" t="str">
        <x:v>I2-050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95" t="b">
        <x:v>1</x:v>
      </x:c>
      <x:c r="L5" s="73" t="str"/>
      <x:c r="M5" s="73" t="str"/>
      <x:c r="N5" s="73" t="str">
        <x:v>https://w3id.org/nltl/vocab#crushingFailureClassFactor | https://w3id.org/nltl/vocab#designVerticalIceForceAtBow | https://w3id.org/nltl/vocab#designVerticalIceForceAtBowCandidateOne | https://w3id.org/nltl/vocab#designVerticalIceForceAtBowCandidateTwo | https://w3id.org/nltl/vocab#flexuralFailureClassFactor | https://w3id.org/nltl/vocab#hasTableLookupCase | https://w3id.org/nltl/vocab#hullFormCoefficientKh | https://w3id.org/nltl/vocab#iceStrengthCoefficientKI | https://w3id.org/nltl/vocab#longitudinalStrengthClassFactor | https://w3id.org/nltl/vocab#ship | https://w3id.org/nltl/vocab#stemAngle | https://w3id.org/nltl/vocab#tableLookupCase | https://w3id.org/nltl/vocab#upperIceWaterlineDraughtDUI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8a7e2b0530ed4bb0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RUN-I2-050-20260902T062831604489Z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RUN-I2-050-20260902T062831604489Z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RUN-I2-050-20260902T062831604489Z</x:v>
      </x:c>
      <x:c r="B5" s="45" t="str">
        <x:v>I2-050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eb9f5743868fdc7f4e179770a025984777b6a2f085833dcdf0831e6184e1a8cf</x:v>
      </x:c>
      <x:c r="G5" s="58" t="n">
        <x:v>23373</x:v>
      </x:c>
    </x:row>
    <x:row r="6">
      <x:c r="A6" s="47" t="str">
        <x:v>RUN-I2-050-20260902T062831604489Z</x:v>
      </x:c>
      <x:c r="B6" s="47" t="str">
        <x:v>I2-050</x:v>
      </x:c>
      <x:c r="C6" s="59"/>
      <x:c r="D6" s="47" t="str">
        <x:v>few_shot_selection</x:v>
      </x:c>
      <x:c r="E6" s="48" t="str">
        <x:v>artifacts/few_shots_selected.json</x:v>
      </x:c>
      <x:c r="F6" s="47" t="str">
        <x:v>b4eab162cfb8f1d1ca2258169afba70c8d3a7cebb97d46187375cc74c30202f7</x:v>
      </x:c>
      <x:c r="G6" s="59" t="n">
        <x:v>6555</x:v>
      </x:c>
    </x:row>
    <x:row r="7">
      <x:c r="A7" s="47" t="str">
        <x:v>RUN-I2-050-20260902T062831604489Z</x:v>
      </x:c>
      <x:c r="B7" s="47" t="str">
        <x:v>I2-050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36fe2044ed02be6c3e08cfda28ef923242e874cd56dda6447875551c4b43cb64</x:v>
      </x:c>
      <x:c r="G7" s="59" t="n">
        <x:v>41572</x:v>
      </x:c>
    </x:row>
    <x:row r="8">
      <x:c r="A8" s="47" t="str">
        <x:v>RUN-I2-050-20260902T062831604489Z</x:v>
      </x:c>
      <x:c r="B8" s="47" t="str">
        <x:v>I2-050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ca59ac55dfd6d613ebd4aa305ad03fd7179371fba38ba4d9203065ddcc55e166</x:v>
      </x:c>
      <x:c r="G8" s="59" t="n">
        <x:v>7827</x:v>
      </x:c>
    </x:row>
    <x:row r="9">
      <x:c r="A9" s="47" t="str">
        <x:v>RUN-I2-050-20260902T062831604489Z</x:v>
      </x:c>
      <x:c r="B9" s="47" t="str">
        <x:v>I2-050</x:v>
      </x:c>
      <x:c r="C9" s="59" t="n">
        <x:v>1</x:v>
      </x:c>
      <x:c r="D9" s="47" t="str">
        <x:v>no_semantic_validator_candidate_shape</x:v>
      </x:c>
      <x:c r="E9" s="48" t="str">
        <x:v>artifacts/attempt_01/candidate_shape.ttl</x:v>
      </x:c>
      <x:c r="F9" s="47" t="str">
        <x:v>e09b45032c3be849ba411a4627a454a7c53717950cbd00b788cf199d05287011</x:v>
      </x:c>
      <x:c r="G9" s="59" t="n">
        <x:v>7802</x:v>
      </x:c>
    </x:row>
    <x:row r="10">
      <x:c r="A10" s="49" t="str">
        <x:v>RUN-I2-050-20260902T062831604489Z</x:v>
      </x:c>
      <x:c r="B10" s="49" t="str">
        <x:v>I2-050</x:v>
      </x:c>
      <x:c r="C10" s="60" t="n">
        <x:v>1</x:v>
      </x:c>
      <x:c r="D10" s="49" t="str">
        <x:v>no_semantic_validator_diagnostics</x:v>
      </x:c>
      <x:c r="E10" s="50" t="str">
        <x:v>artifacts/attempt_01/no_semantic_validator_diagnostics.json</x:v>
      </x:c>
      <x:c r="F10" s="49" t="str">
        <x:v>80c286aa6f8c7c7e6675a6241240b085194b131250d610e67ae5fc102a2d3cd5</x:v>
      </x:c>
      <x:c r="G10" s="60" t="n">
        <x:v>1600</x:v>
      </x:c>
    </x:row>
  </x:sheetData>
  <x:pageMargins left="0.7" right="0.7" top="0.75" bottom="0.75" header="0.3" footer="0.3"/>
  <x:tableParts count="1">
    <x:tablePart xmlns:r="http://schemas.openxmlformats.org/officeDocument/2006/relationships" r:id="Ra12a8a5711694e9c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RUN-I2-050-20260902T062831604489Z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RUN-I2-050-20260902T062831604489Z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