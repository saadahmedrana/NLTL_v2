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e863b3c7f45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6921f4d37746ad"/>
    <x:sheet xmlns:r="http://schemas.openxmlformats.org/officeDocument/2006/relationships" name="README" sheetId="2" r:id="Rc7e340b899f148a3"/>
    <x:sheet xmlns:r="http://schemas.openxmlformats.org/officeDocument/2006/relationships" name="REGULATION_QUEUE" sheetId="3" r:id="R2442f3f153ed4880"/>
    <x:sheet xmlns:r="http://schemas.openxmlformats.org/officeDocument/2006/relationships" name="RUNS" sheetId="4" r:id="R1278db5a1e454a42"/>
    <x:sheet xmlns:r="http://schemas.openxmlformats.org/officeDocument/2006/relationships" name="ITERATIONS" sheetId="5" r:id="R3bc73224ceed40e7"/>
    <x:sheet xmlns:r="http://schemas.openxmlformats.org/officeDocument/2006/relationships" name="API_CALLS" sheetId="6" r:id="Rd827aee2e8524c5e"/>
    <x:sheet xmlns:r="http://schemas.openxmlformats.org/officeDocument/2006/relationships" name="TERM_RETRIEVAL" sheetId="7" r:id="R9382c0024d7f463d"/>
    <x:sheet xmlns:r="http://schemas.openxmlformats.org/officeDocument/2006/relationships" name="FEW_SHOT_SELECTION" sheetId="8" r:id="Rf28272dbd501430c"/>
    <x:sheet xmlns:r="http://schemas.openxmlformats.org/officeDocument/2006/relationships" name="VALIDATION" sheetId="9" r:id="Re3b3f56f2967488e"/>
    <x:sheet xmlns:r="http://schemas.openxmlformats.org/officeDocument/2006/relationships" name="VOCAB_MATCHES" sheetId="10" r:id="R83034af3b6074efe"/>
    <x:sheet xmlns:r="http://schemas.openxmlformats.org/officeDocument/2006/relationships" name="ARTIFACTS" sheetId="11" r:id="R21cba33b8b184a3d"/>
    <x:sheet xmlns:r="http://schemas.openxmlformats.org/officeDocument/2006/relationships" name="UNRESOLVED" sheetId="12" r:id="R7417990dbeb34c6f"/>
    <x:sheet xmlns:r="http://schemas.openxmlformats.org/officeDocument/2006/relationships" name="RDF_TEST_QUEUE" sheetId="13" r:id="Rb9a788d6fd6744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e8f58d9a074af0" /><Relationship Type="http://schemas.openxmlformats.org/officeDocument/2006/relationships/theme" Target="/xl/theme/theme1.xml" Id="Rda526a110ffb4a3e" /><Relationship Type="http://schemas.microsoft.com/office/2022/11/relationships/FeaturePropertyBag" Target="/xl/featurePropertyBag/featurePropertyBag.xml" Id="R86c08be2769a440a" /><Relationship Type="http://schemas.openxmlformats.org/officeDocument/2006/relationships/sharedStrings" Target="/xl/sharedStrings.xml" Id="R184491fdc0844d2c" /><Relationship Type="http://schemas.openxmlformats.org/officeDocument/2006/relationships/worksheet" Target="/xl/worksheets/sheet1.xml" Id="R956921f4d37746ad" /><Relationship Type="http://schemas.openxmlformats.org/officeDocument/2006/relationships/worksheet" Target="/xl/worksheets/sheet2.xml" Id="Rc7e340b899f148a3" /><Relationship Type="http://schemas.openxmlformats.org/officeDocument/2006/relationships/worksheet" Target="/xl/worksheets/sheet3.xml" Id="R2442f3f153ed4880" /><Relationship Type="http://schemas.openxmlformats.org/officeDocument/2006/relationships/worksheet" Target="/xl/worksheets/sheet4.xml" Id="R1278db5a1e454a42" /><Relationship Type="http://schemas.openxmlformats.org/officeDocument/2006/relationships/worksheet" Target="/xl/worksheets/sheet5.xml" Id="R3bc73224ceed40e7" /><Relationship Type="http://schemas.openxmlformats.org/officeDocument/2006/relationships/worksheet" Target="/xl/worksheets/sheet6.xml" Id="Rd827aee2e8524c5e" /><Relationship Type="http://schemas.openxmlformats.org/officeDocument/2006/relationships/worksheet" Target="/xl/worksheets/sheet7.xml" Id="R9382c0024d7f463d" /><Relationship Type="http://schemas.openxmlformats.org/officeDocument/2006/relationships/worksheet" Target="/xl/worksheets/sheet8.xml" Id="Rf28272dbd501430c" /><Relationship Type="http://schemas.openxmlformats.org/officeDocument/2006/relationships/worksheet" Target="/xl/worksheets/sheet9.xml" Id="Re3b3f56f2967488e" /><Relationship Type="http://schemas.openxmlformats.org/officeDocument/2006/relationships/worksheet" Target="/xl/worksheets/sheet10.xml" Id="R83034af3b6074efe" /><Relationship Type="http://schemas.openxmlformats.org/officeDocument/2006/relationships/worksheet" Target="/xl/worksheets/sheet11.xml" Id="R21cba33b8b184a3d" /><Relationship Type="http://schemas.openxmlformats.org/officeDocument/2006/relationships/worksheet" Target="/xl/worksheets/sheet12.xml" Id="R7417990dbeb34c6f" /><Relationship Type="http://schemas.openxmlformats.org/officeDocument/2006/relationships/worksheet" Target="/xl/worksheets/sheet13.xml" Id="Rb9a788d6fd6744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3d7443b3b445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4280b4b5d945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0d08d564db46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f3cc88379741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d72833c45e45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33b9a8671d4d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9c940c86bc44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b67066b3064d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0eaa5ebd544e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RUN-I2-065-20260902T063304826836Z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26422.9065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RUN-I2-065-20260902T063304826836Z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73d7443b3b445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RUN-I2-065-20260902T063304826836Z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NO_SEMANTIC_VALIDATOR_DETERMINISTIC_PASS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4280b4b5d945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RUN-I2-065-20260902T063304826836Z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RUN-I2-065-20260902T063304826836Z</x:v>
      </x:c>
      <x:c r="C5" s="69" t="str">
        <x:v>I2-065</x:v>
      </x:c>
      <x:c r="D5" s="70" t="n">
        <x:v>46267.2729725463</x:v>
      </x:c>
      <x:c r="E5" s="70" t="n">
        <x:v>46267.27328090278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0d08d564db46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RUN-I2-065-20260902T063304826836Z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RUN-I2-065-20260902T063304826836Z</x:v>
      </x:c>
      <x:c r="B5" s="69" t="str">
        <x:v>I2-065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26423.646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f3cc88379741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RUN-I2-065-20260902T063304826836Z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RUN-I2-065-20260902T063304826836Z</x:v>
      </x:c>
      <x:c r="C5" s="45" t="str">
        <x:v>I2-065</x:v>
      </x:c>
      <x:c r="D5" s="84" t="n">
        <x:v>46267.27327837963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26422.167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RUN-I2-065-20260902T063304826836Z</x:v>
      </x:c>
      <x:c r="C6" s="49" t="str">
        <x:v>I2-065</x:v>
      </x:c>
      <x:c r="D6" s="87" t="n">
        <x:v>46267.273278402776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26423.646</x:v>
      </x:c>
      <x:c r="L6" s="89" t="b">
        <x:v>0</x:v>
      </x:c>
      <x:c r="M6" s="49" t="str">
        <x:v>resp_06462287ad991c9e006a97c320e7288190b69262ae59f525fe</x:v>
      </x:c>
      <x:c r="N6" s="60" t="n">
        <x:v>12215</x:v>
      </x:c>
      <x:c r="O6" s="60" t="n">
        <x:v>2525</x:v>
      </x:c>
      <x:c r="P6" s="60" t="n">
        <x:v>14740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d72833c45e45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RUN-I2-065-20260902T063304826836Z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RUN-I2-065-20260902T063304826836Z</x:v>
      </x:c>
      <x:c r="B5" s="45" t="str">
        <x:v>I2-065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bucklingResponse; domain dependency of fractureMargin; domain dependency of majorBucklingMargin; domain dependency of nonlinearCalculationMethod; domain dependency of permanentDeformation; domain dependency of plasticDeformation; domain dependency of yieldingMargin; range dependency of calculationMethodValue</x:v>
      </x:c>
      <x:c r="J5" s="45" t="n">
        <x:v>0</x:v>
      </x:c>
    </x:row>
    <x:row r="6">
      <x:c r="A6" s="47" t="str">
        <x:v>RUN-I2-065-20260902T063304826836Z</x:v>
      </x:c>
      <x:c r="B6" s="47" t="str">
        <x:v>I2-065</x:v>
      </x:c>
      <x:c r="C6" s="47" t="str">
        <x:v>bucklingResponse</x:v>
      </x:c>
      <x:c r="D6" s="48" t="str">
        <x:v>https://w3id.org/nltl/vocab#bucklingResponse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RUN-I2-065-20260902T063304826836Z</x:v>
      </x:c>
      <x:c r="B7" s="47" t="str">
        <x:v>I2-065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domain dependency of minorPermanentDeformationAssessmentSatisfied; domain dependency of nonlinearAnalysisAcceptanceEvidence; domain dependency of permanentLateralDeformation; domain dependency of permanentOutOfPlaneDeformation; domain dependency of relevantStructuralDimension; range dependency of hasCalculationCase</x:v>
      </x:c>
      <x:c r="J7" s="47" t="n">
        <x:v>0</x:v>
      </x:c>
    </x:row>
    <x:row r="8">
      <x:c r="A8" s="47" t="str">
        <x:v>RUN-I2-065-20260902T063304826836Z</x:v>
      </x:c>
      <x:c r="B8" s="47" t="str">
        <x:v>I2-065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RUN-I2-065-20260902T063304826836Z</x:v>
      </x:c>
      <x:c r="B9" s="47" t="str">
        <x:v>I2-065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nonlinearCalculationMethodValue</x:v>
      </x:c>
      <x:c r="J9" s="47" t="n">
        <x:v>0</x:v>
      </x:c>
    </x:row>
    <x:row r="10">
      <x:c r="A10" s="47" t="str">
        <x:v>RUN-I2-065-20260902T063304826836Z</x:v>
      </x:c>
      <x:c r="B10" s="47" t="str">
        <x:v>I2-065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nonlinearCalculationMethodValue</x:v>
      </x:c>
      <x:c r="J10" s="47" t="n">
        <x:v>0</x:v>
      </x:c>
    </x:row>
    <x:row r="11">
      <x:c r="A11" s="47" t="str">
        <x:v>RUN-I2-065-20260902T063304826836Z</x:v>
      </x:c>
      <x:c r="B11" s="47" t="str">
        <x:v>I2-065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nonlinearAnalysisAcceptanceEvidence</x:v>
      </x:c>
      <x:c r="J11" s="47" t="n">
        <x:v>0</x:v>
      </x:c>
    </x:row>
    <x:row r="12">
      <x:c r="A12" s="47" t="str">
        <x:v>RUN-I2-065-20260902T063304826836Z</x:v>
      </x:c>
      <x:c r="B12" s="47" t="str">
        <x:v>I2-065</x:v>
      </x:c>
      <x:c r="C12" s="47" t="str">
        <x:v>fractureMargin</x:v>
      </x:c>
      <x:c r="D12" s="48" t="str">
        <x:v>https://w3id.org/nltl/vocab#fractureMargin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RUN-I2-065-20260902T063304826836Z</x:v>
      </x:c>
      <x:c r="B13" s="47" t="str">
        <x:v>I2-065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RUN-I2-065-20260902T063304826836Z</x:v>
      </x:c>
      <x:c r="B14" s="47" t="str">
        <x:v>I2-065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RUN-I2-065-20260902T063304826836Z</x:v>
      </x:c>
      <x:c r="B15" s="47" t="str">
        <x:v>I2-065</x:v>
      </x:c>
      <x:c r="C15" s="47" t="str">
        <x:v>linearCalculationMethodValue</x:v>
      </x:c>
      <x:c r="D15" s="48" t="str">
        <x:v>https://w3id.org/nltl/vocab#linearCalculationMethodValue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nonlinearCalculationMethodValue</x:v>
      </x:c>
      <x:c r="J15" s="47" t="n">
        <x:v>0</x:v>
      </x:c>
    </x:row>
    <x:row r="16">
      <x:c r="A16" s="47" t="str">
        <x:v>RUN-I2-065-20260902T063304826836Z</x:v>
      </x:c>
      <x:c r="B16" s="47" t="str">
        <x:v>I2-065</x:v>
      </x:c>
      <x:c r="C16" s="47" t="str">
        <x:v>majorBucklingMargin</x:v>
      </x:c>
      <x:c r="D16" s="48" t="str">
        <x:v>https://w3id.org/nltl/vocab#majorBucklingMargin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RUN-I2-065-20260902T063304826836Z</x:v>
      </x:c>
      <x:c r="B17" s="47" t="str">
        <x:v>I2-065</x:v>
      </x:c>
      <x:c r="C17" s="47" t="str">
        <x:v>minorPermanentDeformationAssessmentSatisfied</x:v>
      </x:c>
      <x:c r="D17" s="48" t="str">
        <x:v>https://w3id.org/nltl/vocab#minorPermanentDeformationAssessmentSatisfied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RUN-I2-065-20260902T063304826836Z</x:v>
      </x:c>
      <x:c r="B18" s="47" t="str">
        <x:v>I2-065</x:v>
      </x:c>
      <x:c r="C18" s="47" t="str">
        <x:v>nonlinearAnalysisAcceptanceEvidence</x:v>
      </x:c>
      <x:c r="D18" s="48" t="str">
        <x:v>https://w3id.org/nltl/vocab#nonlinearAnalysisAcceptanceEvidence</x:v>
      </x:c>
      <x:c r="E18" s="47" t="str">
        <x:v>ObjectProperty</x:v>
      </x:c>
      <x:c r="F18" s="47" t="str"/>
      <x:c r="G18" s="47" t="str">
        <x:v>https://w3id.org/nltl/vocab#evidenceArtifact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RUN-I2-065-20260902T063304826836Z</x:v>
      </x:c>
      <x:c r="B19" s="47" t="str">
        <x:v>I2-065</x:v>
      </x:c>
      <x:c r="C19" s="47" t="str">
        <x:v>nonlinearCalculationMethod</x:v>
      </x:c>
      <x:c r="D19" s="48" t="str">
        <x:v>https://w3id.org/nltl/vocab#nonlinearCalculationMethod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RUN-I2-065-20260902T063304826836Z</x:v>
      </x:c>
      <x:c r="B20" s="47" t="str">
        <x:v>I2-065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nonlinearCalculationMethodValue; linked by the locked 313-requirement index</x:v>
      </x:c>
      <x:c r="J20" s="47" t="n">
        <x:v>0</x:v>
      </x:c>
    </x:row>
    <x:row r="21">
      <x:c r="A21" s="47" t="str">
        <x:v>RUN-I2-065-20260902T063304826836Z</x:v>
      </x:c>
      <x:c r="B21" s="47" t="str">
        <x:v>I2-065</x:v>
      </x:c>
      <x:c r="C21" s="47" t="str">
        <x:v>permanentDeformation</x:v>
      </x:c>
      <x:c r="D21" s="48" t="str">
        <x:v>https://w3id.org/nltl/vocab#permanentDeformation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RUN-I2-065-20260902T063304826836Z</x:v>
      </x:c>
      <x:c r="B22" s="47" t="str">
        <x:v>I2-065</x:v>
      </x:c>
      <x:c r="C22" s="47" t="str">
        <x:v>permanentLateralDeformation</x:v>
      </x:c>
      <x:c r="D22" s="48" t="str">
        <x:v>https://w3id.org/nltl/vocab#permanentLateralDeformation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RUN-I2-065-20260902T063304826836Z</x:v>
      </x:c>
      <x:c r="B23" s="47" t="str">
        <x:v>I2-065</x:v>
      </x:c>
      <x:c r="C23" s="47" t="str">
        <x:v>permanentOutOfPlaneDeformation</x:v>
      </x:c>
      <x:c r="D23" s="48" t="str">
        <x:v>https://w3id.org/nltl/vocab#permanentOutOfPlaneDeformation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http://qudt.org/vocab/unit/MilliM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RUN-I2-065-20260902T063304826836Z</x:v>
      </x:c>
      <x:c r="B24" s="47" t="str">
        <x:v>I2-065</x:v>
      </x:c>
      <x:c r="C24" s="47" t="str">
        <x:v>plasticDeformation</x:v>
      </x:c>
      <x:c r="D24" s="48" t="str">
        <x:v>https://w3id.org/nltl/vocab#plasticDeformation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RUN-I2-065-20260902T063304826836Z</x:v>
      </x:c>
      <x:c r="B25" s="47" t="str">
        <x:v>I2-065</x:v>
      </x:c>
      <x:c r="C25" s="47" t="str">
        <x:v>prescribedAnalyticalProcedure</x:v>
      </x:c>
      <x:c r="D25" s="48" t="str">
        <x:v>https://w3id.org/nltl/vocab#prescribedAnalyticalProcedure</x:v>
      </x:c>
      <x:c r="E25" s="47" t="str">
        <x:v>NamedIndividual</x:v>
      </x:c>
      <x:c r="F25" s="47" t="str"/>
      <x:c r="G25" s="47" t="str">
        <x:v>https://w3id.org/nltl/vocab#calculationMethodValue</x:v>
      </x:c>
      <x:c r="H25" s="47" t="str"/>
      <x:c r="I25" s="48" t="str">
        <x:v>controlled value permitted by the range of calculationMethod; controlled value permitted by the range of nonlinearCalculationMethodValue</x:v>
      </x:c>
      <x:c r="J25" s="47" t="n">
        <x:v>0</x:v>
      </x:c>
    </x:row>
    <x:row r="26">
      <x:c r="A26" s="47" t="str">
        <x:v>RUN-I2-065-20260902T063304826836Z</x:v>
      </x:c>
      <x:c r="B26" s="47" t="str">
        <x:v>I2-065</x:v>
      </x:c>
      <x:c r="C26" s="47" t="str">
        <x:v>relevantStructuralDimension</x:v>
      </x:c>
      <x:c r="D26" s="48" t="str">
        <x:v>https://w3id.org/nltl/vocab#relevantStructuralDimension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http://qudt.org/vocab/unit/MilliM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RUN-I2-065-20260902T063304826836Z</x:v>
      </x:c>
      <x:c r="B27" s="47" t="str">
        <x:v>I2-065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hasCalculationCase</x:v>
      </x:c>
      <x:c r="J27" s="47" t="n">
        <x:v>0</x:v>
      </x:c>
    </x:row>
    <x:row r="28">
      <x:c r="A28" s="47" t="str">
        <x:v>RUN-I2-065-20260902T063304826836Z</x:v>
      </x:c>
      <x:c r="B28" s="47" t="str">
        <x:v>I2-065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RUN-I2-065-20260902T063304826836Z</x:v>
      </x:c>
      <x:c r="B29" s="49" t="str">
        <x:v>I2-065</x:v>
      </x:c>
      <x:c r="C29" s="49" t="str">
        <x:v>yieldingMargin</x:v>
      </x:c>
      <x:c r="D29" s="50" t="str">
        <x:v>https://w3id.org/nltl/vocab#yieldingMargin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http://qudt.org/vocab/unit/UNITLESS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33b9a8671d4d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RUN-I2-065-20260902T063304826836Z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RUN-I2-065-20260902T063304826836Z</x:v>
      </x:c>
      <x:c r="B5" s="45" t="str">
        <x:v>I2-065</x:v>
      </x:c>
      <x:c r="C5" s="45" t="str">
        <x:v>FS-COMPLEX-READINESS-01</x:v>
      </x:c>
      <x:c r="D5" s="45" t="str">
        <x:v>complex_readiness_external_calculation</x:v>
      </x:c>
      <x:c r="E5" s="92" t="n">
        <x:v>2.115942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RUN-I2-065-20260902T063304826836Z</x:v>
      </x:c>
      <x:c r="B6" s="49" t="str">
        <x:v>I2-065</x:v>
      </x:c>
      <x:c r="C6" s="49" t="str">
        <x:v>FS-COMPLEX-READINESS-02</x:v>
      </x:c>
      <x:c r="D6" s="49" t="str">
        <x:v>complex_readiness_with_direct_residual_check</x:v>
      </x:c>
      <x:c r="E6" s="93" t="n">
        <x:v>2.067568</x:v>
      </x:c>
      <x:c r="F6" s="49" t="str">
        <x:v>analysis | 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9c940c86bc44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RUN-I2-065-20260902T063304826836Z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RUN-I2-065-20260902T063304826836Z</x:v>
      </x:c>
      <x:c r="B5" s="69" t="str">
        <x:v>I2-065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https://w3id.org/nltl/vocab#calculationMethod | https://w3id.org/nltl/vocab#evidenceArtifact | https://w3id.org/nltl/vocab#fractureMargin | https://w3id.org/nltl/vocab#hasCalculationCase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https://w3id.org/nltl/vocab#relevantStructuralDimension | https://w3id.org/nltl/vocab#ship | https://w3id.org/nltl/vocab#yieldingMargin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3b67066b3064d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RUN-I2-065-20260902T063304826836Z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RUN-I2-065-20260902T063304826836Z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RUN-I2-065-20260902T063304826836Z</x:v>
      </x:c>
      <x:c r="B5" s="45" t="str">
        <x:v>I2-065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5e28f52f0d5c0ff25c84922bf8eb2a923757a74484800e1a59484d08bcb9887e</x:v>
      </x:c>
      <x:c r="G5" s="58" t="n">
        <x:v>34229</x:v>
      </x:c>
    </x:row>
    <x:row r="6">
      <x:c r="A6" s="47" t="str">
        <x:v>RUN-I2-065-20260902T063304826836Z</x:v>
      </x:c>
      <x:c r="B6" s="47" t="str">
        <x:v>I2-065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068812fd5399c46efd3d82741c62625c3eb16b79830d26d6a49f510f2bf996a3</x:v>
      </x:c>
      <x:c r="G6" s="59" t="n">
        <x:v>6573</x:v>
      </x:c>
    </x:row>
    <x:row r="7">
      <x:c r="A7" s="47" t="str">
        <x:v>RUN-I2-065-20260902T063304826836Z</x:v>
      </x:c>
      <x:c r="B7" s="47" t="str">
        <x:v>I2-065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b0f77e73ff4a706e0de64957954e8ad66b10acb8788605cd000aed0614a1f750</x:v>
      </x:c>
      <x:c r="G7" s="59" t="n">
        <x:v>52448</x:v>
      </x:c>
    </x:row>
    <x:row r="8">
      <x:c r="A8" s="47" t="str">
        <x:v>RUN-I2-065-20260902T063304826836Z</x:v>
      </x:c>
      <x:c r="B8" s="47" t="str">
        <x:v>I2-065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9ae6eb84c3ff01a7634c9b005c5bd80b888fae7ba922ffeeb517feac521409c0</x:v>
      </x:c>
      <x:c r="G8" s="59" t="n">
        <x:v>5618</x:v>
      </x:c>
    </x:row>
    <x:row r="9">
      <x:c r="A9" s="47" t="str">
        <x:v>RUN-I2-065-20260902T063304826836Z</x:v>
      </x:c>
      <x:c r="B9" s="47" t="str">
        <x:v>I2-065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33021aae85c8e09a9d9b9dd9732f1d1eef9b765920e51843cbb7f12aeaafbbb1</x:v>
      </x:c>
      <x:c r="G9" s="59" t="n">
        <x:v>5593</x:v>
      </x:c>
    </x:row>
    <x:row r="10">
      <x:c r="A10" s="49" t="str">
        <x:v>RUN-I2-065-20260902T063304826836Z</x:v>
      </x:c>
      <x:c r="B10" s="49" t="str">
        <x:v>I2-065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8ac8fe0f1352aa7ae12030896ad4596b1942f7a23a1d4df21ccf7f90d308d412</x:v>
      </x:c>
      <x:c r="G10" s="60" t="n">
        <x:v>1643</x:v>
      </x:c>
    </x:row>
  </x:sheetData>
  <x:pageMargins left="0.7" right="0.7" top="0.75" bottom="0.75" header="0.3" footer="0.3"/>
  <x:tableParts count="1">
    <x:tablePart xmlns:r="http://schemas.openxmlformats.org/officeDocument/2006/relationships" r:id="R210eaa5ebd544e5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RUN-I2-065-20260902T063304826836Z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RUN-I2-065-20260902T063304826836Z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