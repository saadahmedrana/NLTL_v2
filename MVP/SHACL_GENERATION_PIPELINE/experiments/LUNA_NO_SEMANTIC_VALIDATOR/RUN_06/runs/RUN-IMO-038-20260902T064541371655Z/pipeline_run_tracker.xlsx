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b2f65f417343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17d14d0633a44ac"/>
    <x:sheet xmlns:r="http://schemas.openxmlformats.org/officeDocument/2006/relationships" name="README" sheetId="2" r:id="Rb2587a8970c74237"/>
    <x:sheet xmlns:r="http://schemas.openxmlformats.org/officeDocument/2006/relationships" name="REGULATION_QUEUE" sheetId="3" r:id="R493d849803cf449e"/>
    <x:sheet xmlns:r="http://schemas.openxmlformats.org/officeDocument/2006/relationships" name="RUNS" sheetId="4" r:id="R627b1f2e80bb4274"/>
    <x:sheet xmlns:r="http://schemas.openxmlformats.org/officeDocument/2006/relationships" name="ITERATIONS" sheetId="5" r:id="Rb9c5c1429a194085"/>
    <x:sheet xmlns:r="http://schemas.openxmlformats.org/officeDocument/2006/relationships" name="API_CALLS" sheetId="6" r:id="R8115029c3c4d45b5"/>
    <x:sheet xmlns:r="http://schemas.openxmlformats.org/officeDocument/2006/relationships" name="TERM_RETRIEVAL" sheetId="7" r:id="Rbc156af98a3947e5"/>
    <x:sheet xmlns:r="http://schemas.openxmlformats.org/officeDocument/2006/relationships" name="FEW_SHOT_SELECTION" sheetId="8" r:id="R900675bffd1f4aa5"/>
    <x:sheet xmlns:r="http://schemas.openxmlformats.org/officeDocument/2006/relationships" name="VALIDATION" sheetId="9" r:id="Rbe6059b053d94914"/>
    <x:sheet xmlns:r="http://schemas.openxmlformats.org/officeDocument/2006/relationships" name="VOCAB_MATCHES" sheetId="10" r:id="R7907586dcd6449ef"/>
    <x:sheet xmlns:r="http://schemas.openxmlformats.org/officeDocument/2006/relationships" name="ARTIFACTS" sheetId="11" r:id="Rf073f284ca3f462c"/>
    <x:sheet xmlns:r="http://schemas.openxmlformats.org/officeDocument/2006/relationships" name="UNRESOLVED" sheetId="12" r:id="R7b36667172e54dc8"/>
    <x:sheet xmlns:r="http://schemas.openxmlformats.org/officeDocument/2006/relationships" name="RDF_TEST_QUEUE" sheetId="13" r:id="R06479dae5c0c4c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be8db42e86464d" /><Relationship Type="http://schemas.openxmlformats.org/officeDocument/2006/relationships/theme" Target="/xl/theme/theme1.xml" Id="Rc038edbc28094a39" /><Relationship Type="http://schemas.microsoft.com/office/2022/11/relationships/FeaturePropertyBag" Target="/xl/featurePropertyBag/featurePropertyBag.xml" Id="R0defa11bd27049fe" /><Relationship Type="http://schemas.openxmlformats.org/officeDocument/2006/relationships/sharedStrings" Target="/xl/sharedStrings.xml" Id="R9d29288a99dc4d39" /><Relationship Type="http://schemas.openxmlformats.org/officeDocument/2006/relationships/worksheet" Target="/xl/worksheets/sheet1.xml" Id="Rf17d14d0633a44ac" /><Relationship Type="http://schemas.openxmlformats.org/officeDocument/2006/relationships/worksheet" Target="/xl/worksheets/sheet2.xml" Id="Rb2587a8970c74237" /><Relationship Type="http://schemas.openxmlformats.org/officeDocument/2006/relationships/worksheet" Target="/xl/worksheets/sheet3.xml" Id="R493d849803cf449e" /><Relationship Type="http://schemas.openxmlformats.org/officeDocument/2006/relationships/worksheet" Target="/xl/worksheets/sheet4.xml" Id="R627b1f2e80bb4274" /><Relationship Type="http://schemas.openxmlformats.org/officeDocument/2006/relationships/worksheet" Target="/xl/worksheets/sheet5.xml" Id="Rb9c5c1429a194085" /><Relationship Type="http://schemas.openxmlformats.org/officeDocument/2006/relationships/worksheet" Target="/xl/worksheets/sheet6.xml" Id="R8115029c3c4d45b5" /><Relationship Type="http://schemas.openxmlformats.org/officeDocument/2006/relationships/worksheet" Target="/xl/worksheets/sheet7.xml" Id="Rbc156af98a3947e5" /><Relationship Type="http://schemas.openxmlformats.org/officeDocument/2006/relationships/worksheet" Target="/xl/worksheets/sheet8.xml" Id="R900675bffd1f4aa5" /><Relationship Type="http://schemas.openxmlformats.org/officeDocument/2006/relationships/worksheet" Target="/xl/worksheets/sheet9.xml" Id="Rbe6059b053d94914" /><Relationship Type="http://schemas.openxmlformats.org/officeDocument/2006/relationships/worksheet" Target="/xl/worksheets/sheet10.xml" Id="R7907586dcd6449ef" /><Relationship Type="http://schemas.openxmlformats.org/officeDocument/2006/relationships/worksheet" Target="/xl/worksheets/sheet11.xml" Id="Rf073f284ca3f462c" /><Relationship Type="http://schemas.openxmlformats.org/officeDocument/2006/relationships/worksheet" Target="/xl/worksheets/sheet12.xml" Id="R7b36667172e54dc8" /><Relationship Type="http://schemas.openxmlformats.org/officeDocument/2006/relationships/worksheet" Target="/xl/worksheets/sheet13.xml" Id="R06479dae5c0c4c6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63e592b212f419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655b4b64b01494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a4229fb77154af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21bae3fbb884f1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e2fad19dfe9482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d1df04bfece4d3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59959cca46e43a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399a0093bce4f4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abcee64dfb141e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RUN-IMO-038-20260902T064541371655Z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25370.6175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RUN-IMO-038-20260902T064541371655Z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63e592b212f419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RUN-IMO-038-20260902T064541371655Z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NO_SEMANTIC_VALIDATOR_DETERMINISTIC_PASS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55b4b64b01494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RUN-IMO-038-20260902T064541371655Z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RUN-IMO-038-20260902T064541371655Z</x:v>
      </x:c>
      <x:c r="C5" s="69" t="str">
        <x:v>IMO-038</x:v>
      </x:c>
      <x:c r="D5" s="70" t="n">
        <x:v>46267.281728842594</x:v>
      </x:c>
      <x:c r="E5" s="70" t="n">
        <x:v>46267.282025127315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4229fb77154af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RUN-IMO-038-20260902T064541371655Z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RUN-IMO-038-20260902T064541371655Z</x:v>
      </x:c>
      <x:c r="B5" s="69" t="str">
        <x:v>IMO-038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25371.157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21bae3fbb884f1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RUN-IMO-038-20260902T064541371655Z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RUN-IMO-038-20260902T064541371655Z</x:v>
      </x:c>
      <x:c r="C5" s="45" t="str">
        <x:v>IMO-038</x:v>
      </x:c>
      <x:c r="D5" s="84" t="n">
        <x:v>46267.2820225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25370.078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EVT-000021</x:v>
      </x:c>
      <x:c r="B6" s="49" t="str">
        <x:v>RUN-IMO-038-20260902T064541371655Z</x:v>
      </x:c>
      <x:c r="C6" s="49" t="str">
        <x:v>IMO-038</x:v>
      </x:c>
      <x:c r="D6" s="87" t="n">
        <x:v>46267.28202251157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25371.157</x:v>
      </x:c>
      <x:c r="L6" s="89" t="b">
        <x:v>0</x:v>
      </x:c>
      <x:c r="M6" s="49" t="str">
        <x:v>resp_0d61a02ab8e0aee6006a97c6157a708194bb4fdddc1934de51</x:v>
      </x:c>
      <x:c r="N6" s="60" t="n">
        <x:v>8040</x:v>
      </x:c>
      <x:c r="O6" s="60" t="n">
        <x:v>2496</x:v>
      </x:c>
      <x:c r="P6" s="60" t="n">
        <x:v>10536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e2fad19dfe9482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RUN-IMO-038-20260902T064541371655Z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RUN-IMO-038-20260902T064541371655Z</x:v>
      </x:c>
      <x:c r="B5" s="45" t="str">
        <x:v>IMO-038</x:v>
      </x:c>
      <x:c r="C5" s="45" t="str">
        <x:v>allowedVerticalPosition</x:v>
      </x:c>
      <x:c r="D5" s="46" t="str">
        <x:v>https://w3id.org/nltl/vocab#allowedVerticalPosition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RUN-IMO-038-20260902T064541371655Z</x:v>
      </x:c>
      <x:c r="B6" s="47" t="str">
        <x:v>IMO-038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allowedVerticalPosition; domain dependency of damageCenterForwardOfMaxBreadth; domain dependency of longitudinalDamageExtent; domain dependency of transversePenetration; domain dependency of upperIceWaterlineDraught; domain dependency of upperIceWaterlineLength; domain dependency of verticalDamageExtent</x:v>
      </x:c>
      <x:c r="J6" s="47" t="n">
        <x:v>0</x:v>
      </x:c>
    </x:row>
    <x:row r="7">
      <x:c r="A7" s="47" t="str">
        <x:v>RUN-IMO-038-20260902T064541371655Z</x:v>
      </x:c>
      <x:c r="B7" s="47" t="str">
        <x:v>IMO-038</x:v>
      </x:c>
      <x:c r="C7" s="47" t="str">
        <x:v>damageCenterForwardOfMaxBreadth</x:v>
      </x:c>
      <x:c r="D7" s="48" t="str">
        <x:v>https://w3id.org/nltl/vocab#damageCenterForwardOfMaxBreadth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RUN-IMO-038-20260902T064541371655Z</x:v>
      </x:c>
      <x:c r="B8" s="47" t="str">
        <x:v>IMO-038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RUN-IMO-038-20260902T064541371655Z</x:v>
      </x:c>
      <x:c r="B9" s="47" t="str">
        <x:v>IMO-038</x:v>
      </x:c>
      <x:c r="C9" s="47" t="str">
        <x:v>longitudinalDamageExtent</x:v>
      </x:c>
      <x:c r="D9" s="48" t="str">
        <x:v>https://w3id.org/nltl/vocab#longitudinalDamageExtent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RUN-IMO-038-20260902T064541371655Z</x:v>
      </x:c>
      <x:c r="B10" s="47" t="str">
        <x:v>IMO-038</x:v>
      </x:c>
      <x:c r="C10" s="47" t="str">
        <x:v>selectedVerticalDamagePosition</x:v>
      </x:c>
      <x:c r="D10" s="48" t="str">
        <x:v>https://w3id.org/nltl/vocab#selectedVerticalDamagePosition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RUN-IMO-038-20260902T064541371655Z</x:v>
      </x:c>
      <x:c r="B11" s="47" t="str">
        <x:v>IMO-038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infrastructure; domain dependency of selectedVerticalDamagePosition</x:v>
      </x:c>
      <x:c r="J11" s="47" t="n">
        <x:v>0</x:v>
      </x:c>
    </x:row>
    <x:row r="12">
      <x:c r="A12" s="47" t="str">
        <x:v>RUN-IMO-038-20260902T064541371655Z</x:v>
      </x:c>
      <x:c r="B12" s="47" t="str">
        <x:v>IMO-038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RUN-IMO-038-20260902T064541371655Z</x:v>
      </x:c>
      <x:c r="B13" s="47" t="str">
        <x:v>IMO-038</x:v>
      </x:c>
      <x:c r="C13" s="47" t="str">
        <x:v>transversePenetration</x:v>
      </x:c>
      <x:c r="D13" s="48" t="str">
        <x:v>https://w3id.org/nltl/vocab#transversePenetration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http://qudt.org/vocab/unit/MilliM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RUN-IMO-038-20260902T064541371655Z</x:v>
      </x:c>
      <x:c r="B14" s="47" t="str">
        <x:v>IMO-038</x:v>
      </x:c>
      <x:c r="C14" s="47" t="str">
        <x:v>upperIceWaterlineDraught</x:v>
      </x:c>
      <x:c r="D14" s="48" t="str">
        <x:v>https://w3id.org/nltl/vocab#upperIceWaterlineDraught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RUN-IMO-038-20260902T064541371655Z</x:v>
      </x:c>
      <x:c r="B15" s="47" t="str">
        <x:v>IMO-038</x:v>
      </x:c>
      <x:c r="C15" s="47" t="str">
        <x:v>upperIceWaterlineLength</x:v>
      </x:c>
      <x:c r="D15" s="48" t="str">
        <x:v>https://w3id.org/nltl/vocab#upperIceWaterlineLength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9" t="str">
        <x:v>RUN-IMO-038-20260902T064541371655Z</x:v>
      </x:c>
      <x:c r="B16" s="49" t="str">
        <x:v>IMO-038</x:v>
      </x:c>
      <x:c r="C16" s="49" t="str">
        <x:v>verticalDamageExtent</x:v>
      </x:c>
      <x:c r="D16" s="50" t="str">
        <x:v>https://w3id.org/nltl/vocab#verticalDamageExtent</x:v>
      </x:c>
      <x:c r="E16" s="49" t="str">
        <x:v>QuantityProperty</x:v>
      </x:c>
      <x:c r="F16" s="49" t="str"/>
      <x:c r="G16" s="49" t="str">
        <x:v>http://qudt.org/schema/qudt/QuantityValue</x:v>
      </x:c>
      <x:c r="H16" s="49" t="str">
        <x:v>http://qudt.org/vocab/unit/M</x:v>
      </x:c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d1df04bfece4d3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RUN-IMO-038-20260902T064541371655Z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RUN-IMO-038-20260902T064541371655Z</x:v>
      </x:c>
      <x:c r="B5" s="45" t="str">
        <x:v>IMO-038</x:v>
      </x:c>
      <x:c r="C5" s="45" t="str">
        <x:v>FS-CALC-02</x:v>
      </x:c>
      <x:c r="D5" s="45" t="str">
        <x:v>comparison_calculation</x:v>
      </x:c>
      <x:c r="E5" s="92" t="n">
        <x:v>0.046512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RUN-IMO-038-20260902T064541371655Z</x:v>
      </x:c>
      <x:c r="B6" s="49" t="str">
        <x:v>IMO-038</x:v>
      </x:c>
      <x:c r="C6" s="49" t="str">
        <x:v>FS-BOOL-01</x:v>
      </x:c>
      <x:c r="D6" s="49" t="str">
        <x:v>boolean_state</x:v>
      </x:c>
      <x:c r="E6" s="93" t="n">
        <x:v>0.034483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9959cca46e43a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RUN-IMO-038-20260902T064541371655Z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RUN-IMO-038-20260902T064541371655Z</x:v>
      </x:c>
      <x:c r="B5" s="69" t="str">
        <x:v>IMO-038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https://w3id.org/nltl/vocab#damageCenterForwardOfMaxBreadth | https://w3id.org/nltl/vocab#longitudinalDamageExtent | https://w3id.org/nltl/vocab#selectedVerticalDamagePosition | https://w3id.org/nltl/vocab#ship | https://w3id.org/nltl/vocab#transversePenetration | https://w3id.org/nltl/vocab#upperIceWaterlineDraught | https://w3id.org/nltl/vocab#upperIceWaterlineLength | https://w3id.org/nltl/vocab#verticalDamageExtent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399a0093bce4f4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RUN-IMO-038-20260902T064541371655Z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RUN-IMO-038-20260902T064541371655Z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RUN-IMO-038-20260902T064541371655Z</x:v>
      </x:c>
      <x:c r="B5" s="45" t="str">
        <x:v>IMO-038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48cc5e337fd43ca15a5b85580190d190569c8c5a01986d50483b8dab8fb10b9e</x:v>
      </x:c>
      <x:c r="G5" s="58" t="n">
        <x:v>17793</x:v>
      </x:c>
    </x:row>
    <x:row r="6">
      <x:c r="A6" s="47" t="str">
        <x:v>RUN-IMO-038-20260902T064541371655Z</x:v>
      </x:c>
      <x:c r="B6" s="47" t="str">
        <x:v>IMO-038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4ed896c7f017510bfa69781cf7d3a5792327945269ae9e7d76d38703354c2399</x:v>
      </x:c>
      <x:c r="G6" s="59" t="n">
        <x:v>4749</x:v>
      </x:c>
    </x:row>
    <x:row r="7">
      <x:c r="A7" s="47" t="str">
        <x:v>RUN-IMO-038-20260902T064541371655Z</x:v>
      </x:c>
      <x:c r="B7" s="47" t="str">
        <x:v>IMO-038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ce38a33a7bfa7f5c1b83bc07c77e0534bfc997e1c1c68057f58e768044e4e3a7</x:v>
      </x:c>
      <x:c r="G7" s="59" t="n">
        <x:v>34096</x:v>
      </x:c>
    </x:row>
    <x:row r="8">
      <x:c r="A8" s="47" t="str">
        <x:v>RUN-IMO-038-20260902T064541371655Z</x:v>
      </x:c>
      <x:c r="B8" s="47" t="str">
        <x:v>IMO-038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6b2bc47994c1e1995a92eca21e1e7920d19eea457583d806a5a1abde6baf2403</x:v>
      </x:c>
      <x:c r="G8" s="59" t="n">
        <x:v>6237</x:v>
      </x:c>
    </x:row>
    <x:row r="9">
      <x:c r="A9" s="47" t="str">
        <x:v>RUN-IMO-038-20260902T064541371655Z</x:v>
      </x:c>
      <x:c r="B9" s="47" t="str">
        <x:v>IMO-038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2a92bb4330c00efa71ac4aea7df2755dd2802d612b778d52166719bac3e107cc</x:v>
      </x:c>
      <x:c r="G9" s="59" t="n">
        <x:v>6212</x:v>
      </x:c>
    </x:row>
    <x:row r="10">
      <x:c r="A10" s="49" t="str">
        <x:v>RUN-IMO-038-20260902T064541371655Z</x:v>
      </x:c>
      <x:c r="B10" s="49" t="str">
        <x:v>IMO-038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66f6c066bf1f8a7cdcc281484ef093516ff44baa84060eb083107700a1ddc16d</x:v>
      </x:c>
      <x:c r="G10" s="60" t="n">
        <x:v>1281</x:v>
      </x:c>
    </x:row>
  </x:sheetData>
  <x:pageMargins left="0.7" right="0.7" top="0.75" bottom="0.75" header="0.3" footer="0.3"/>
  <x:tableParts count="1">
    <x:tablePart xmlns:r="http://schemas.openxmlformats.org/officeDocument/2006/relationships" r:id="R5abcee64dfb141e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RUN-IMO-038-20260902T064541371655Z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RUN-IMO-038-20260902T064541371655Z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