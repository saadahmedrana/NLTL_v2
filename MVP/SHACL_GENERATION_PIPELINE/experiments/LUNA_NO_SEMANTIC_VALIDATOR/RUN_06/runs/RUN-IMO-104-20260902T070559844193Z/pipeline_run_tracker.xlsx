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ables/table9.xml" ContentType="application/vnd.openxmlformats-officedocument.spreadsheetml.table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3872e59e9f7b4812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d96779695c794965"/>
    <x:sheet xmlns:r="http://schemas.openxmlformats.org/officeDocument/2006/relationships" name="README" sheetId="2" r:id="R47df3ac75c7c4103"/>
    <x:sheet xmlns:r="http://schemas.openxmlformats.org/officeDocument/2006/relationships" name="REGULATION_QUEUE" sheetId="3" r:id="Rdf83bda7e28c4f07"/>
    <x:sheet xmlns:r="http://schemas.openxmlformats.org/officeDocument/2006/relationships" name="RUNS" sheetId="4" r:id="R6d8505a7116f4f55"/>
    <x:sheet xmlns:r="http://schemas.openxmlformats.org/officeDocument/2006/relationships" name="ITERATIONS" sheetId="5" r:id="Rfe56ccf413c149a2"/>
    <x:sheet xmlns:r="http://schemas.openxmlformats.org/officeDocument/2006/relationships" name="API_CALLS" sheetId="6" r:id="R7bdcbbb422a64a2f"/>
    <x:sheet xmlns:r="http://schemas.openxmlformats.org/officeDocument/2006/relationships" name="TERM_RETRIEVAL" sheetId="7" r:id="Ra1a2441e439b4f21"/>
    <x:sheet xmlns:r="http://schemas.openxmlformats.org/officeDocument/2006/relationships" name="FEW_SHOT_SELECTION" sheetId="8" r:id="R55734d63b2e14c7e"/>
    <x:sheet xmlns:r="http://schemas.openxmlformats.org/officeDocument/2006/relationships" name="VALIDATION" sheetId="9" r:id="R6b850a2fbbdc4853"/>
    <x:sheet xmlns:r="http://schemas.openxmlformats.org/officeDocument/2006/relationships" name="VOCAB_MATCHES" sheetId="10" r:id="Rc605f9a01c124ea5"/>
    <x:sheet xmlns:r="http://schemas.openxmlformats.org/officeDocument/2006/relationships" name="ARTIFACTS" sheetId="11" r:id="Rcca8720bd53e4dd9"/>
    <x:sheet xmlns:r="http://schemas.openxmlformats.org/officeDocument/2006/relationships" name="UNRESOLVED" sheetId="12" r:id="R423366073fb24539"/>
    <x:sheet xmlns:r="http://schemas.openxmlformats.org/officeDocument/2006/relationships" name="RDF_TEST_QUEUE" sheetId="13" r:id="Raa5dadae35fc4c7a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0"/>
    <x:numFmt numFmtId="202" formatCode="yyyy-mm-dd hh:mm:ss.000"/>
    <x:numFmt numFmtId="203" formatCode="0.0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6"/>
      <x:color rgb="FFFFFFFF"/>
      <x:name val="Aptos"/>
    </x:font>
    <x:font>
      <x:sz val="11"/>
      <x:name val="Aptos"/>
    </x:font>
    <x:font>
      <x:i/>
      <x:sz val="11"/>
      <x:color rgb="FF5B6573"/>
      <x:name val="Aptos"/>
    </x:font>
    <x:font>
      <x:b/>
      <x:sz val="11"/>
      <x:color rgb="FFFFFFFF"/>
      <x:name val="Aptos"/>
    </x:font>
    <x:font>
      <x:b/>
      <x:sz val="11"/>
      <x:color rgb="FF1732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5"/>
      </x:patternFill>
    </x:fill>
    <x:fill>
      <x:patternFill patternType="solid">
        <x:fgColor rgb="FF0F766E"/>
      </x:patternFill>
    </x:fill>
  </x:fills>
  <x:borders count="6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98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1" fontId="0" fillId="0" borderId="3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0" fontId="6" fillId="0" borderId="0" xfId="0" applyNumberFormat="1" applyFont="1" applyFill="1" applyBorder="1"/>
    <x:xf numFmtId="0" fontId="8" fillId="4" borderId="0" xfId="0" applyNumberFormat="1" applyFont="1" applyFill="1" applyBorder="1"/>
    <x:xf numFmtId="0" fontId="9" fillId="0" borderId="1" xfId="0" applyNumberFormat="1" applyFont="1" applyFill="1" applyBorder="1"/>
    <x:xf numFmtId="200" fontId="6" fillId="0" borderId="1" xfId="0" applyNumberFormat="1" applyFont="1" applyFill="1" applyBorder="1"/>
    <x:xf numFmtId="0" fontId="9" fillId="0" borderId="2" xfId="0" applyNumberFormat="1" applyFont="1" applyFill="1" applyBorder="1"/>
    <x:xf numFmtId="200" fontId="6" fillId="0" borderId="2" xfId="0" applyNumberFormat="1" applyFont="1" applyFill="1" applyBorder="1"/>
    <x:xf numFmtId="0" fontId="9" fillId="0" borderId="3" xfId="0" applyNumberFormat="1" applyFont="1" applyFill="1" applyBorder="1"/>
    <x:xf numFmtId="201" fontId="6" fillId="0" borderId="3" xfId="0" applyNumberFormat="1" applyFont="1" applyFill="1" applyBorder="1"/>
    <x:xf numFmtId="0" fontId="9" fillId="3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 applyAlignment="1">
      <x:alignment vertical="center" wrapText="1"/>
    </x:xf>
    <x:xf numFmtId="0" fontId="8" fillId="4" borderId="5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  <x:xf numFmtId="0" fontId="8" fillId="4" borderId="2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top"/>
    </x:xf>
    <x:xf numFmtId="200" fontId="6" fillId="0" borderId="2" xfId="0" applyNumberFormat="1" applyFont="1" applyFill="1" applyBorder="1" applyAlignment="1">
      <x:alignment vertical="top"/>
    </x:xf>
    <x:xf numFmtId="200" fontId="6" fillId="0" borderId="3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/>
    </x:xf>
    <x:xf numFmtId="202" fontId="6" fillId="0" borderId="0" xfId="0" applyNumberFormat="1" applyFont="1" applyFill="1" applyBorder="1" applyAlignment="1">
      <x:alignment vertical="top"/>
    </x:xf>
    <x:xf numFmtId="20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</x:xf>
    <x:xf numFmtId="201" fontId="0" fillId="0" borderId="0" xfId="0" applyNumberFormat="1" applyFont="1" applyFill="1" applyBorder="1" applyAlignment="1">
      <x:alignment vertical="top"/>
    </x:xf>
    <x:xf numFmtId="201" fontId="6" fillId="0" borderId="0" xfId="0" applyNumberFormat="1" applyFont="1" applyFill="1" applyBorder="1" applyAlignment="1">
      <x:alignment vertical="top"/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1" xfId="0" applyNumberFormat="1" applyFont="1" applyFill="1" applyBorder="1" applyAlignment="1">
      <x:alignment vertical="top"/>
    </x:xf>
    <x:xf numFmtId="202" fontId="0" fillId="0" borderId="3" xfId="0" applyNumberFormat="1" applyFont="1" applyFill="1" applyBorder="1" applyAlignment="1">
      <x:alignment vertical="top"/>
    </x:xf>
    <x:xf numFmtId="201" fontId="0" fillId="0" borderId="1" xfId="0" applyNumberFormat="1" applyFont="1" applyFill="1" applyBorder="1" applyAlignment="1">
      <x:alignment vertical="top"/>
    </x:xf>
    <x:xf numFmtId="201" fontId="0" fillId="0" borderId="3" xfId="0" applyNumberFormat="1" applyFont="1" applyFill="1" applyBorder="1" applyAlignment="1">
      <x:alignment vertical="top"/>
    </x:xf>
    <x:xf numFmtId="202" fontId="6" fillId="0" borderId="1" xfId="0" applyNumberFormat="1" applyFont="1" applyFill="1" applyBorder="1" applyAlignment="1">
      <x:alignment vertical="top"/>
    </x:xf>
    <x:xf numFmtId="201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3" xfId="0" applyNumberFormat="1" applyFont="1" applyFill="1" applyBorder="1" applyAlignment="1">
      <x:alignment vertical="top"/>
    </x:xf>
    <x:xf numFmtId="201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3" fontId="0" fillId="0" borderId="1" xfId="0" applyNumberFormat="1" applyFont="1" applyFill="1" applyBorder="1" applyAlignment="1">
      <x:alignment vertical="top"/>
    </x:xf>
    <x:xf numFmtId="203" fontId="0" fillId="0" borderId="3" xfId="0" applyNumberFormat="1" applyFont="1" applyFill="1" applyBorder="1" applyAlignment="1">
      <x:alignment vertical="top"/>
    </x:xf>
    <x:xf numFmtId="203" fontId="6" fillId="0" borderId="1" xfId="0" applyNumberFormat="1" applyFont="1" applyFill="1" applyBorder="1" applyAlignment="1">
      <x:alignment vertical="top"/>
    </x:xf>
    <x:xf numFmtId="203" fontId="6" fillId="0" borderId="3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0" xfId="0" applyNumberFormat="1" applyFont="1" applyFill="1" applyBorder="1"/>
    <x:xf numFmtId="0" fontId="7" fillId="0" borderId="0" xfId="0" applyNumberFormat="1" applyFont="1" applyFill="1" applyBorder="1"/>
  </x:cellXfs>
  <x:cellStyles count="1">
    <x:cellStyle name="Normal" xfId="0"/>
  </x:cellStyles>
  <x:dxfs count="42"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494e8f86c10e4383" /><Relationship Type="http://schemas.openxmlformats.org/officeDocument/2006/relationships/theme" Target="/xl/theme/theme1.xml" Id="R36bcae93f0c1428c" /><Relationship Type="http://schemas.microsoft.com/office/2022/11/relationships/FeaturePropertyBag" Target="/xl/featurePropertyBag/featurePropertyBag.xml" Id="Rec145f9163664415" /><Relationship Type="http://schemas.openxmlformats.org/officeDocument/2006/relationships/sharedStrings" Target="/xl/sharedStrings.xml" Id="Rd2b77d0464ff47de" /><Relationship Type="http://schemas.openxmlformats.org/officeDocument/2006/relationships/worksheet" Target="/xl/worksheets/sheet1.xml" Id="Rd96779695c794965" /><Relationship Type="http://schemas.openxmlformats.org/officeDocument/2006/relationships/worksheet" Target="/xl/worksheets/sheet2.xml" Id="R47df3ac75c7c4103" /><Relationship Type="http://schemas.openxmlformats.org/officeDocument/2006/relationships/worksheet" Target="/xl/worksheets/sheet3.xml" Id="Rdf83bda7e28c4f07" /><Relationship Type="http://schemas.openxmlformats.org/officeDocument/2006/relationships/worksheet" Target="/xl/worksheets/sheet4.xml" Id="R6d8505a7116f4f55" /><Relationship Type="http://schemas.openxmlformats.org/officeDocument/2006/relationships/worksheet" Target="/xl/worksheets/sheet5.xml" Id="Rfe56ccf413c149a2" /><Relationship Type="http://schemas.openxmlformats.org/officeDocument/2006/relationships/worksheet" Target="/xl/worksheets/sheet6.xml" Id="R7bdcbbb422a64a2f" /><Relationship Type="http://schemas.openxmlformats.org/officeDocument/2006/relationships/worksheet" Target="/xl/worksheets/sheet7.xml" Id="Ra1a2441e439b4f21" /><Relationship Type="http://schemas.openxmlformats.org/officeDocument/2006/relationships/worksheet" Target="/xl/worksheets/sheet8.xml" Id="R55734d63b2e14c7e" /><Relationship Type="http://schemas.openxmlformats.org/officeDocument/2006/relationships/worksheet" Target="/xl/worksheets/sheet9.xml" Id="R6b850a2fbbdc4853" /><Relationship Type="http://schemas.openxmlformats.org/officeDocument/2006/relationships/worksheet" Target="/xl/worksheets/sheet10.xml" Id="Rc605f9a01c124ea5" /><Relationship Type="http://schemas.openxmlformats.org/officeDocument/2006/relationships/worksheet" Target="/xl/worksheets/sheet11.xml" Id="Rcca8720bd53e4dd9" /><Relationship Type="http://schemas.openxmlformats.org/officeDocument/2006/relationships/worksheet" Target="/xl/worksheets/sheet12.xml" Id="R423366073fb24539" /><Relationship Type="http://schemas.openxmlformats.org/officeDocument/2006/relationships/worksheet" Target="/xl/worksheets/sheet13.xml" Id="Raa5dadae35fc4c7a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1_README" displayName="T1_README" ref="A4:B10" headerRowCount="1" totalsRowCount="0" totalsRowShown="0">
  <x:tableColumns count="2">
    <x:tableColumn id="1" name="SECTION"/>
    <x:tableColumn id="2" name="DET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REGULATIONQUEUE" displayName="T2_REGULATIONQUEUE" ref="A4:K317" headerRowCount="1" totalsRowCount="0" totalsRowShown="0">
  <x:tableColumns count="11">
    <x:tableColumn id="1" name="REQUIREMENT_ID"/>
    <x:tableColumn id="2" name="SOURCE"/>
    <x:tableColumn id="3" name="EDITION"/>
    <x:tableColumn id="4" name="PAGE"/>
    <x:tableColumn id="5" name="CLAUSE"/>
    <x:tableColumn id="6" name="CATEGORY"/>
    <x:tableColumn id="7" name="ACTIVE_STATUS"/>
    <x:tableColumn id="8" name="CODABILITY"/>
    <x:tableColumn id="9" name="FIGURE_DEPENDENT"/>
    <x:tableColumn id="10" name="QUEUE_ELIGIBILITY"/>
    <x:tableColumn id="11" name="RUN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_RUNS" displayName="T3_RUNS" ref="A4:L5" headerRowCount="1" totalsRowCount="0" totalsRowShown="0">
  <x:tableColumns count="12">
    <x:tableColumn id="1" name="SESSION_ID"/>
    <x:tableColumn id="2" name="RUN_ID"/>
    <x:tableColumn id="3" name="REQUIREMENT_ID"/>
    <x:tableColumn id="4" name="STARTED_UTC"/>
    <x:tableColumn id="5" name="FINISHED_UTC"/>
    <x:tableColumn id="6" name="PIPELINE_VERSION"/>
    <x:tableColumn id="7" name="VOCABULARY_LOCK_ID"/>
    <x:tableColumn id="8" name="ATTEMPTS"/>
    <x:tableColumn id="9" name="FINAL_STATUS"/>
    <x:tableColumn id="10" name="ACCEPTED"/>
    <x:tableColumn id="11" name="FINAL_SHAPE"/>
    <x:tableColumn id="12" name="FINAL_FEEDBAC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4_ITERATIONS" displayName="T4_ITERATIONS" ref="A4:J5" headerRowCount="1" totalsRowCount="0" totalsRowShown="0">
  <x:tableColumns count="10">
    <x:tableColumn id="1" name="RUN_ID"/>
    <x:tableColumn id="2" name="REQUIREMENT_ID"/>
    <x:tableColumn id="3" name="ITERATION"/>
    <x:tableColumn id="4" name="STATIC_VALID"/>
    <x:tableColumn id="5" name="VALIDATOR_ACCEPT"/>
    <x:tableColumn id="6" name="MATCHER_ACTIVATED"/>
    <x:tableColumn id="7" name="DECISION"/>
    <x:tableColumn id="8" name="FEEDBACK"/>
    <x:tableColumn id="9" name="GENERATOR_ELAPSED_MS"/>
    <x:tableColumn id="10" name="VALIDATOR_ELAPSED_M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5_APICALLS" displayName="T5_APICALLS" ref="A4:P6" headerRowCount="1" totalsRowCount="0" totalsRowShown="0">
  <x:tableColumns count="16">
    <x:tableColumn id="1" name="EVENT_ID"/>
    <x:tableColumn id="2" name="RUN_ID"/>
    <x:tableColumn id="3" name="REQUIREMENT_ID"/>
    <x:tableColumn id="4" name="TIMESTAMP_UTC"/>
    <x:tableColumn id="5" name="ROLE"/>
    <x:tableColumn id="6" name="MODEL"/>
    <x:tableColumn id="7" name="TRANSPORT_ATTEMPT"/>
    <x:tableColumn id="8" name="STATUS"/>
    <x:tableColumn id="9" name="AUTH_HEADER_NAME"/>
    <x:tableColumn id="10" name="RATE_LIMIT_WAIT_MS"/>
    <x:tableColumn id="11" name="ELAPSED_MS"/>
    <x:tableColumn id="12" name="RETRYING"/>
    <x:tableColumn id="13" name="RESPONSE_ID"/>
    <x:tableColumn id="14" name="INPUT_TOKENS"/>
    <x:tableColumn id="15" name="OUTPUT_TOKENS"/>
    <x:tableColumn id="16" name="TOTAL_TOKEN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6_TERMRETRIEVAL" displayName="T6_TERMRETRIEVAL" ref="A4:J22" headerRowCount="1" totalsRowCount="0" totalsRowShown="0">
  <x:tableColumns count="10">
    <x:tableColumn id="1" name="RUN_ID"/>
    <x:tableColumn id="2" name="REQUIREMENT_ID"/>
    <x:tableColumn id="3" name="LOCAL_NAME"/>
    <x:tableColumn id="4" name="IRI"/>
    <x:tableColumn id="5" name="KIND"/>
    <x:tableColumn id="6" name="DATATYPE"/>
    <x:tableColumn id="7" name="RANGE"/>
    <x:tableColumn id="8" name="RECOMMENDED_UNIT"/>
    <x:tableColumn id="9" name="SELECTION_REASON"/>
    <x:tableColumn id="10" name="ITERATION_ADDED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7_FEWSHOTSELECTION" displayName="T7_FEWSHOTSELECTION" ref="A4:G6" headerRowCount="1" totalsRowCount="0" totalsRowShown="0">
  <x:tableColumns count="7">
    <x:tableColumn id="1" name="RUN_ID"/>
    <x:tableColumn id="2" name="REQUIREMENT_ID"/>
    <x:tableColumn id="3" name="EXAMPLE_ID"/>
    <x:tableColumn id="4" name="CASE_ID"/>
    <x:tableColumn id="5" name="SCORE"/>
    <x:tableColumn id="6" name="MATCHED_TAGS"/>
    <x:tableColumn id="7" name="STATU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8_VALIDATION" displayName="T8_VALIDATION" ref="A4:Q5" headerRowCount="1" totalsRowCount="0" totalsRowShown="0">
  <x:tableColumns count="17">
    <x:tableColumn id="1" name="RUN_ID"/>
    <x:tableColumn id="2" name="REQUIREMENT_ID"/>
    <x:tableColumn id="3" name="ITERATION"/>
    <x:tableColumn id="4" name="VALID"/>
    <x:tableColumn id="5" name="EXTRACTION_VALID"/>
    <x:tableColumn id="6" name="TURTLE_VALID"/>
    <x:tableColumn id="7" name="SHACL_STRUCTURE_VALID"/>
    <x:tableColumn id="8" name="META_SHACL_VALID"/>
    <x:tableColumn id="9" name="VOCABULARY_VALID"/>
    <x:tableColumn id="10" name="DATATYPE_UNIT_VALID"/>
    <x:tableColumn id="11" name="TARGET_PATH_VALID"/>
    <x:tableColumn id="12" name="ERRORS"/>
    <x:tableColumn id="13" name="WARNINGS"/>
    <x:tableColumn id="14" name="USED_CANONICAL_IRIS"/>
    <x:tableColumn id="15" name="UNKNOWN_IRIS"/>
    <x:tableColumn id="16" name="OUT_OF_SCOPE_IRIS"/>
    <x:tableColumn id="17" name="SUSPICIOUS_EXTERNAL_IRI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T10_ARTIFACTS" displayName="T10_ARTIFACTS" ref="A4:G10" headerRowCount="1" totalsRowCount="0" totalsRowShown="0">
  <x:tableColumns count="7">
    <x:tableColumn id="1" name="RUN_ID"/>
    <x:tableColumn id="2" name="REQUIREMENT_ID"/>
    <x:tableColumn id="3" name="ITERATION"/>
    <x:tableColumn id="4" name="ARTIFACT_TYPE"/>
    <x:tableColumn id="5" name="ARTIFACT_PATH"/>
    <x:tableColumn id="6" name="SHA256"/>
    <x:tableColumn id="7" name="BYT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a9c6539d26f24027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1e0c0eefde9c4942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ead254d23bc14303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3096ed3be1a946f4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604a351e0079438d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595c7a59653c4a8e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e2c72aa829764131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7ce3e31164224b2b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9.xml" Id="R64f64e611295481b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78" hidden="0" customWidth="1"/>
    <x:col min="3" max="3" width="8" hidden="0" customWidth="1"/>
    <x:col min="4" max="4" width="8" hidden="0" customWidth="1"/>
  </x:cols>
  <x:sheetData>
    <x:row r="1">
      <x:c r="A1" s="18" t="str">
        <x:v>NLTL SHACL Pipeline Run Tracker</x:v>
      </x:c>
      <x:c r="B1" s="19"/>
      <x:c r="C1" s="19"/>
      <x:c r="D1" s="19"/>
    </x:row>
    <x:row r="2">
      <x:c r="A2" s="20" t="str">
        <x:v>Run folder: RUN-IMO-104-20260902T070559844193Z</x:v>
      </x:c>
      <x:c r="B2" s="20"/>
      <x:c r="C2" s="20"/>
      <x:c r="D2" s="20"/>
    </x:row>
    <x:row r="3">
      <x:c r="A3" s="21"/>
      <x:c r="B3" s="21"/>
      <x:c r="C3" s="21"/>
      <x:c r="D3" s="21"/>
    </x:row>
    <x:row r="4">
      <x:c r="A4" s="22" t="str">
        <x:v>METRIC</x:v>
      </x:c>
      <x:c r="B4" s="22" t="str">
        <x:v>VALUE</x:v>
      </x:c>
      <x:c r="C4" s="21"/>
      <x:c r="D4" s="21"/>
    </x:row>
    <x:row r="5">
      <x:c r="A5" s="23" t="str">
        <x:v>Requirements tracked</x:v>
      </x:c>
      <x:c r="B5" s="24" t="n">
        <x:f>COUNTA('REGULATION_QUEUE'!$A$5:$A$317)</x:f>
        <x:v>313</x:v>
      </x:c>
      <x:c r="C5" s="21"/>
      <x:c r="D5" s="21"/>
    </x:row>
    <x:row r="6">
      <x:c r="A6" s="25" t="str">
        <x:v>Generation eligible</x:v>
      </x:c>
      <x:c r="B6" s="26" t="n">
        <x:f>COUNTIF('REGULATION_QUEUE'!$J$5:$J$317,"ELIGIBLE")</x:f>
        <x:v>268</x:v>
      </x:c>
      <x:c r="C6" s="21"/>
      <x:c r="D6" s="21"/>
    </x:row>
    <x:row r="7">
      <x:c r="A7" s="25" t="str">
        <x:v>Runs represented</x:v>
      </x:c>
      <x:c r="B7" s="26" t="n">
        <x:f>COUNTA('RUNS'!$A$5:$A$5)</x:f>
        <x:v>1</x:v>
      </x:c>
      <x:c r="C7" s="21"/>
      <x:c r="D7" s="21"/>
    </x:row>
    <x:row r="8">
      <x:c r="A8" s="25" t="str">
        <x:v>Accepted runs</x:v>
      </x:c>
      <x:c r="B8" s="26" t="n">
        <x:f>COUNTIF('RUNS'!$I$5:$I$5,"GENERATION_ACCEPTED")</x:f>
        <x:v>0</x:v>
      </x:c>
      <x:c r="C8" s="21"/>
      <x:c r="D8" s="21"/>
    </x:row>
    <x:row r="9">
      <x:c r="A9" s="25" t="str">
        <x:v>API/LLM records</x:v>
      </x:c>
      <x:c r="B9" s="26" t="n">
        <x:f>COUNTA('API_CALLS'!$A$5:$A$6)</x:f>
        <x:v>2</x:v>
      </x:c>
      <x:c r="C9" s="21"/>
      <x:c r="D9" s="21"/>
    </x:row>
    <x:row r="10">
      <x:c r="A10" s="27" t="str">
        <x:v>Mean API/LLM elapsed ms</x:v>
      </x:c>
      <x:c r="B10" s="28" t="n">
        <x:f>IFERROR(AVERAGE('API_CALLS'!$K$5:$K$6),0)</x:f>
        <x:v>33861.882</x:v>
      </x:c>
      <x:c r="C10" s="21"/>
      <x:c r="D10" s="21"/>
    </x:row>
    <x:row r="11">
      <x:c r="A11" s="21"/>
      <x:c r="B11" s="21"/>
      <x:c r="C11" s="21"/>
      <x:c r="D11" s="21"/>
    </x:row>
    <x:row r="12" ht="38" customHeight="1">
      <x:c r="A12" s="29" t="str">
        <x:v>INTERPRETATION</x:v>
      </x:c>
      <x:c r="B12" s="30" t="str">
        <x:v>Generation acceptance means syntax, structure, vocabulary, datatype/unit, target/path, and semantic review passed. It is not an RDF ship-compliance verdict.</x:v>
      </x:c>
      <x:c r="C12" s="30" t="str"/>
      <x:c r="D12" s="30" t="str"/>
    </x:row>
    <x:row r="13" ht="38" customHeight="1">
      <x:c r="A13" s="29" t="str">
        <x:v>NEXT GATE</x:v>
      </x:c>
      <x:c r="B13" s="30" t="str">
        <x:v>Accepted shapes remain in RDF_TEST_QUEUE until the separate evaluator is run.</x:v>
      </x:c>
      <x:c r="C13" s="30" t="str"/>
      <x:c r="D13" s="30" t="str"/>
    </x:row>
    <x:row r="14" ht="38" customHeight="1">
      <x:c r="A14" s="29" t="str">
        <x:v>RAW AUDIT</x:v>
      </x:c>
      <x:c r="B14" s="30" t="str">
        <x:v>events.jsonl is the durable append-only record for this run.</x:v>
      </x:c>
      <x:c r="C14" s="30" t="str"/>
      <x:c r="D14" s="30" t="str"/>
    </x:row>
    <x:row r="15" ht="38" customHeight="1">
      <x:c r="A15" s="29" t="str">
        <x:v>LOCKING</x:v>
      </x:c>
      <x:c r="B15" s="30" t="str">
        <x:v>Only final/final_shape.ttl is the accepted candidate artifact.</x:v>
      </x:c>
      <x:c r="C15" s="30" t="str"/>
      <x:c r="D15" s="3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52" hidden="0" customWidth="1"/>
  </x:cols>
  <x:sheetData>
    <x:row r="1">
      <x:c r="A1" s="18" t="str">
        <x:v>NLTL SHACL Pipeline Run Tracker</x:v>
      </x:c>
      <x:c r="B1" s="19"/>
    </x:row>
    <x:row r="2">
      <x:c r="A2" s="20" t="str">
        <x:v>README | Run folder: RUN-IMO-104-20260902T070559844193Z</x:v>
      </x:c>
      <x:c r="B2" s="20"/>
    </x:row>
    <x:row r="3">
      <x:c r="A3" s="21"/>
      <x:c r="B3" s="21"/>
    </x:row>
    <x:row r="4" ht="30" customHeight="1">
      <x:c r="A4" s="43" t="str">
        <x:v>SECTION</x:v>
      </x:c>
      <x:c r="B4" s="44" t="str">
        <x:v>DETAIL</x:v>
      </x:c>
    </x:row>
    <x:row r="5">
      <x:c r="A5" s="45" t="str">
        <x:v>PURPOSE</x:v>
      </x:c>
      <x:c r="B5" s="46" t="str">
        <x:v>Traceability view for one regulation-to-SHACL generation run.</x:v>
      </x:c>
    </x:row>
    <x:row r="6">
      <x:c r="A6" s="47" t="str">
        <x:v>BOUNDARY</x:v>
      </x:c>
      <x:c r="B6" s="48" t="str">
        <x:v>Generation is frozen before RDF execution; no ship graph or hidden expected outcome is used here.</x:v>
      </x:c>
    </x:row>
    <x:row r="7">
      <x:c r="A7" s="47" t="str">
        <x:v>SOURCE OF TRUTH</x:v>
      </x:c>
      <x:c r="B7" s="48" t="str">
        <x:v>events.jsonl is append-only; CSV and Excel sheets are derived views.</x:v>
      </x:c>
    </x:row>
    <x:row r="8">
      <x:c r="A8" s="47" t="str">
        <x:v>ACCEPTED</x:v>
      </x:c>
      <x:c r="B8" s="48" t="str">
        <x:v>Static validation passed and the semantic validator accepted the candidate.</x:v>
      </x:c>
    </x:row>
    <x:row r="9">
      <x:c r="A9" s="47" t="str">
        <x:v>VOCABULARY_GAP</x:v>
      </x:c>
      <x:c r="B9" s="48" t="str">
        <x:v>No verified canonical term was available; the generator was not allowed to invent one.</x:v>
      </x:c>
    </x:row>
    <x:row r="10">
      <x:c r="A10" s="49" t="str">
        <x:v>RDF TEST QUEUE</x:v>
      </x:c>
      <x:c r="B10" s="50" t="str">
        <x:v>Accepted shapes await the separate bulk evaluator.</x:v>
      </x:c>
    </x:row>
  </x:sheetData>
  <x:pageMargins left="0.7" right="0.7" top="0.75" bottom="0.75" header="0.3" footer="0.3"/>
  <x:tableParts count="1">
    <x:tablePart xmlns:r="http://schemas.openxmlformats.org/officeDocument/2006/relationships" r:id="Ra9c6539d26f24027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52" hidden="0" customWidth="1"/>
    <x:col min="3" max="3" width="24" hidden="0" customWidth="1"/>
    <x:col min="4" max="4" width="11" hidden="0" customWidth="1"/>
    <x:col min="5" max="5" width="24" hidden="0" customWidth="1"/>
    <x:col min="6" max="6" width="20" hidden="0" customWidth="1"/>
    <x:col min="7" max="7" width="42" hidden="0" customWidth="1"/>
    <x:col min="8" max="8" width="20" hidden="0" customWidth="1"/>
    <x:col min="9" max="9" width="18" hidden="0" customWidth="1"/>
    <x:col min="10" max="10" width="19" hidden="0" customWidth="1"/>
    <x:col min="11" max="11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</x:row>
    <x:row r="2">
      <x:c r="A2" s="20" t="str">
        <x:v>REGULATION_QUEUE | Run folder: RUN-IMO-104-20260902T070559844193Z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</x:row>
    <x:row r="4" ht="30" customHeight="1">
      <x:c r="A4" s="43" t="str">
        <x:v>REQUIREMENT_ID</x:v>
      </x:c>
      <x:c r="B4" s="57" t="str">
        <x:v>SOURCE</x:v>
      </x:c>
      <x:c r="C4" s="57" t="str">
        <x:v>EDITION</x:v>
      </x:c>
      <x:c r="D4" s="57" t="str">
        <x:v>PAGE</x:v>
      </x:c>
      <x:c r="E4" s="57" t="str">
        <x:v>CLAUSE</x:v>
      </x:c>
      <x:c r="F4" s="57" t="str">
        <x:v>CATEGORY</x:v>
      </x:c>
      <x:c r="G4" s="57" t="str">
        <x:v>ACTIVE_STATUS</x:v>
      </x:c>
      <x:c r="H4" s="57" t="str">
        <x:v>CODABILITY</x:v>
      </x:c>
      <x:c r="I4" s="57" t="str">
        <x:v>FIGURE_DEPENDENT</x:v>
      </x:c>
      <x:c r="J4" s="57" t="str">
        <x:v>QUEUE_ELIGIBILITY</x:v>
      </x:c>
      <x:c r="K4" s="44" t="str">
        <x:v>RUN_STATUS</x:v>
      </x:c>
    </x:row>
    <x:row r="5">
      <x:c r="A5" s="45" t="str">
        <x:v>I2-001</x:v>
      </x:c>
      <x:c r="B5" s="46" t="str">
        <x:v>UR I2 Structural Requirements for Polar Class Ships</x:v>
      </x:c>
      <x:c r="C5" s="45" t="str">
        <x:v>Rev.4 Dec 2019</x:v>
      </x:c>
      <x:c r="D5" s="58" t="n">
        <x:v>1</x:v>
      </x:c>
      <x:c r="E5" s="45" t="str">
        <x:v>I2.1.1 Note 6</x:v>
      </x:c>
      <x:c r="F5" s="45" t="str">
        <x:v>Static</x:v>
      </x:c>
      <x:c r="G5" s="46" t="str">
        <x:v>Stage 2 candidate - direct/deterministic</x:v>
      </x:c>
      <x:c r="H5" s="45" t="str">
        <x:v>High</x:v>
      </x:c>
      <x:c r="I5" s="45" t="str">
        <x:v>No</x:v>
      </x:c>
      <x:c r="J5" s="45" t="str">
        <x:v>ELIGIBLE</x:v>
      </x:c>
      <x:c r="K5" s="45" t="str">
        <x:v>NOT_RUN</x:v>
      </x:c>
    </x:row>
    <x:row r="6">
      <x:c r="A6" s="47" t="str">
        <x:v>I2-002</x:v>
      </x:c>
      <x:c r="B6" s="48" t="str">
        <x:v>UR I2 Structural Requirements for Polar Class Ships</x:v>
      </x:c>
      <x:c r="C6" s="47" t="str">
        <x:v>Rev.4 Dec 2019</x:v>
      </x:c>
      <x:c r="D6" s="59" t="n">
        <x:v>1</x:v>
      </x:c>
      <x:c r="E6" s="47" t="str">
        <x:v>I2.1.1</x:v>
      </x:c>
      <x:c r="F6" s="47" t="str">
        <x:v>Static</x:v>
      </x:c>
      <x:c r="G6" s="48" t="str">
        <x:v>Deferred - scope-only requirement</x:v>
      </x:c>
      <x:c r="H6" s="47" t="str">
        <x:v>Deferred</x:v>
      </x:c>
      <x:c r="I6" s="47" t="str">
        <x:v>No</x:v>
      </x:c>
      <x:c r="J6" s="47" t="str">
        <x:v>DEFERRED</x:v>
      </x:c>
      <x:c r="K6" s="47" t="str">
        <x:v>NOT_RUN</x:v>
      </x:c>
    </x:row>
    <x:row r="7">
      <x:c r="A7" s="47" t="str">
        <x:v>I2-003</x:v>
      </x:c>
      <x:c r="B7" s="48" t="str">
        <x:v>UR I2 Structural Requirements for Polar Class Ships</x:v>
      </x:c>
      <x:c r="C7" s="47" t="str">
        <x:v>Rev.4 Dec 2019</x:v>
      </x:c>
      <x:c r="D7" s="59" t="n">
        <x:v>1</x:v>
      </x:c>
      <x:c r="E7" s="47" t="str">
        <x:v>I2.1.2.1</x:v>
      </x:c>
      <x:c r="F7" s="47" t="str">
        <x:v>Static Calculation</x:v>
      </x:c>
      <x:c r="G7" s="48" t="str">
        <x:v>Deferred - existing vocabulary insufficient</x:v>
      </x:c>
      <x:c r="H7" s="47" t="str">
        <x:v>Deferred</x:v>
      </x:c>
      <x:c r="I7" s="47" t="str">
        <x:v>No</x:v>
      </x:c>
      <x:c r="J7" s="47" t="str">
        <x:v>DEFERRED</x:v>
      </x:c>
      <x:c r="K7" s="47" t="str">
        <x:v>NOT_RUN</x:v>
      </x:c>
    </x:row>
    <x:row r="8">
      <x:c r="A8" s="47" t="str">
        <x:v>I2-004</x:v>
      </x:c>
      <x:c r="B8" s="48" t="str">
        <x:v>UR I2 Structural Requirements for Polar Class Ships</x:v>
      </x:c>
      <x:c r="C8" s="47" t="str">
        <x:v>Rev.4 Dec 2019</x:v>
      </x:c>
      <x:c r="D8" s="59" t="n">
        <x:v>1</x:v>
      </x:c>
      <x:c r="E8" s="47" t="str">
        <x:v>I2.1.2.2</x:v>
      </x:c>
      <x:c r="F8" s="47" t="str">
        <x:v>Static</x:v>
      </x:c>
      <x:c r="G8" s="48" t="str">
        <x:v>Stage 2 candidate - direct/deterministic</x:v>
      </x:c>
      <x:c r="H8" s="47" t="str">
        <x:v>High</x:v>
      </x:c>
      <x:c r="I8" s="47" t="str">
        <x:v>No</x:v>
      </x:c>
      <x:c r="J8" s="47" t="str">
        <x:v>ELIGIBLE</x:v>
      </x:c>
      <x:c r="K8" s="47" t="str">
        <x:v>NOT_RUN</x:v>
      </x:c>
    </x:row>
    <x:row r="9">
      <x:c r="A9" s="47" t="str">
        <x:v>I2-005</x:v>
      </x:c>
      <x:c r="B9" s="48" t="str">
        <x:v>UR I2 Structural Requirements for Polar Class Ships</x:v>
      </x:c>
      <x:c r="C9" s="47" t="str">
        <x:v>Rev.4 Dec 2019</x:v>
      </x:c>
      <x:c r="D9" s="59" t="n">
        <x:v>2</x:v>
      </x:c>
      <x:c r="E9" s="47" t="str">
        <x:v>I2.2.5</x:v>
      </x:c>
      <x:c r="F9" s="47" t="str">
        <x:v>Static</x:v>
      </x:c>
      <x:c r="G9" s="48" t="str">
        <x:v>Stage 2 candidate - direct/deterministic</x:v>
      </x:c>
      <x:c r="H9" s="47" t="str">
        <x:v>High</x:v>
      </x:c>
      <x:c r="I9" s="47" t="str">
        <x:v>No</x:v>
      </x:c>
      <x:c r="J9" s="47" t="str">
        <x:v>ELIGIBLE</x:v>
      </x:c>
      <x:c r="K9" s="47" t="str">
        <x:v>NOT_RUN</x:v>
      </x:c>
    </x:row>
    <x:row r="10">
      <x:c r="A10" s="47" t="str">
        <x:v>I2-006</x:v>
      </x:c>
      <x:c r="B10" s="48" t="str">
        <x:v>UR I2 Structural Requirements for Polar Class Ships</x:v>
      </x:c>
      <x:c r="C10" s="47" t="str">
        <x:v>Rev.4 Dec 2019</x:v>
      </x:c>
      <x:c r="D10" s="59" t="n">
        <x:v>2</x:v>
      </x:c>
      <x:c r="E10" s="47" t="str">
        <x:v>I2.2.6</x:v>
      </x:c>
      <x:c r="F10" s="47" t="str">
        <x:v>Static</x:v>
      </x:c>
      <x:c r="G10" s="48" t="str">
        <x:v>Stage 2 candidate - direct/deterministic</x:v>
      </x:c>
      <x:c r="H10" s="47" t="str">
        <x:v>High</x:v>
      </x:c>
      <x:c r="I10" s="47" t="str">
        <x:v>No</x:v>
      </x:c>
      <x:c r="J10" s="47" t="str">
        <x:v>ELIGIBLE</x:v>
      </x:c>
      <x:c r="K10" s="47" t="str">
        <x:v>NOT_RUN</x:v>
      </x:c>
    </x:row>
    <x:row r="11">
      <x:c r="A11" s="47" t="str">
        <x:v>I2-008</x:v>
      </x:c>
      <x:c r="B11" s="48" t="str">
        <x:v>UR I2 Structural Requirements for Polar Class Ships</x:v>
      </x:c>
      <x:c r="C11" s="47" t="str">
        <x:v>Rev.4 Dec 2019</x:v>
      </x:c>
      <x:c r="D11" s="59" t="n">
        <x:v>3</x:v>
      </x:c>
      <x:c r="E11" s="47" t="str">
        <x:v>I2.3.1</x:v>
      </x:c>
      <x:c r="F11" s="47" t="str">
        <x:v>Complex</x:v>
      </x:c>
      <x:c r="G11" s="48" t="str">
        <x:v>Stage 2 candidate - complex readiness</x:v>
      </x:c>
      <x:c r="H11" s="47" t="str">
        <x:v>Complex readiness</x:v>
      </x:c>
      <x:c r="I11" s="47" t="str">
        <x:v>No</x:v>
      </x:c>
      <x:c r="J11" s="47" t="str">
        <x:v>ELIGIBLE</x:v>
      </x:c>
      <x:c r="K11" s="47" t="str">
        <x:v>NOT_RUN</x:v>
      </x:c>
    </x:row>
    <x:row r="12">
      <x:c r="A12" s="47" t="str">
        <x:v>I2-009</x:v>
      </x:c>
      <x:c r="B12" s="48" t="str">
        <x:v>UR I2 Structural Requirements for Polar Class Ships</x:v>
      </x:c>
      <x:c r="C12" s="47" t="str">
        <x:v>Rev.4 Dec 2019</x:v>
      </x:c>
      <x:c r="D12" s="59" t="n">
        <x:v>3</x:v>
      </x:c>
      <x:c r="E12" s="47" t="str">
        <x:v>I2.3.1</x:v>
      </x:c>
      <x:c r="F12" s="47" t="str">
        <x:v>Static</x:v>
      </x:c>
      <x:c r="G12" s="48" t="str">
        <x:v>Stage 2 candidate - direct static</x:v>
      </x:c>
      <x:c r="H12" s="47" t="str">
        <x:v>Direct static</x:v>
      </x:c>
      <x:c r="I12" s="47" t="str">
        <x:v>No</x:v>
      </x:c>
      <x:c r="J12" s="47" t="str">
        <x:v>ELIGIBLE</x:v>
      </x:c>
      <x:c r="K12" s="47" t="str">
        <x:v>NOT_RUN</x:v>
      </x:c>
    </x:row>
    <x:row r="13">
      <x:c r="A13" s="47" t="str">
        <x:v>I2-010</x:v>
      </x:c>
      <x:c r="B13" s="48" t="str">
        <x:v>UR I2 Structural Requirements for Polar Class Ships</x:v>
      </x:c>
      <x:c r="C13" s="47" t="str">
        <x:v>Rev.4 Dec 2019</x:v>
      </x:c>
      <x:c r="D13" s="59" t="n">
        <x:v>3</x:v>
      </x:c>
      <x:c r="E13" s="47" t="str">
        <x:v>I2.3.1</x:v>
      </x:c>
      <x:c r="F13" s="47" t="str">
        <x:v>Static</x:v>
      </x:c>
      <x:c r="G13" s="48" t="str">
        <x:v>Stage 2 candidate - direct static</x:v>
      </x:c>
      <x:c r="H13" s="47" t="str">
        <x:v>Direct static</x:v>
      </x:c>
      <x:c r="I13" s="47" t="str">
        <x:v>No</x:v>
      </x:c>
      <x:c r="J13" s="47" t="str">
        <x:v>ELIGIBLE</x:v>
      </x:c>
      <x:c r="K13" s="47" t="str">
        <x:v>NOT_RUN</x:v>
      </x:c>
    </x:row>
    <x:row r="14">
      <x:c r="A14" s="47" t="str">
        <x:v>I2-011</x:v>
      </x:c>
      <x:c r="B14" s="48" t="str">
        <x:v>UR I2 Structural Requirements for Polar Class Ships</x:v>
      </x:c>
      <x:c r="C14" s="47" t="str">
        <x:v>Rev.4 Dec 2019</x:v>
      </x:c>
      <x:c r="D14" s="59" t="n">
        <x:v>3</x:v>
      </x:c>
      <x:c r="E14" s="47" t="str">
        <x:v>I2.3.1</x:v>
      </x:c>
      <x:c r="F14" s="47" t="str">
        <x:v>Static Calculation</x:v>
      </x:c>
      <x:c r="G14" s="48" t="str">
        <x:v>Stage 2 candidate - direct/deterministic</x:v>
      </x:c>
      <x:c r="H14" s="47" t="str">
        <x:v>High</x:v>
      </x:c>
      <x:c r="I14" s="47" t="str">
        <x:v>No</x:v>
      </x:c>
      <x:c r="J14" s="47" t="str">
        <x:v>ELIGIBLE</x:v>
      </x:c>
      <x:c r="K14" s="47" t="str">
        <x:v>NOT_RUN</x:v>
      </x:c>
    </x:row>
    <x:row r="15">
      <x:c r="A15" s="47" t="str">
        <x:v>I2-013</x:v>
      </x:c>
      <x:c r="B15" s="48" t="str">
        <x:v>UR I2 Structural Requirements for Polar Class Ships</x:v>
      </x:c>
      <x:c r="C15" s="47" t="str">
        <x:v>Rev.4 Dec 2019</x:v>
      </x:c>
      <x:c r="D15" s="59" t="n">
        <x:v>3</x:v>
      </x:c>
      <x:c r="E15" s="47" t="str">
        <x:v>I2.3.1</x:v>
      </x:c>
      <x:c r="F15" s="47" t="str">
        <x:v>Complex</x:v>
      </x:c>
      <x:c r="G15" s="48" t="str">
        <x:v>Stage 2 candidate - complex readiness</x:v>
      </x:c>
      <x:c r="H15" s="47" t="str">
        <x:v>Complex readiness</x:v>
      </x:c>
      <x:c r="I15" s="47" t="str">
        <x:v>No</x:v>
      </x:c>
      <x:c r="J15" s="47" t="str">
        <x:v>ELIGIBLE</x:v>
      </x:c>
      <x:c r="K15" s="47" t="str">
        <x:v>NOT_RUN</x:v>
      </x:c>
    </x:row>
    <x:row r="16">
      <x:c r="A16" s="47" t="str">
        <x:v>I2-014</x:v>
      </x:c>
      <x:c r="B16" s="48" t="str">
        <x:v>UR I2 Structural Requirements for Polar Class Ships</x:v>
      </x:c>
      <x:c r="C16" s="47" t="str">
        <x:v>Rev.4 Dec 2019</x:v>
      </x:c>
      <x:c r="D16" s="59" t="n">
        <x:v>5</x:v>
      </x:c>
      <x:c r="E16" s="47" t="str">
        <x:v>I2.3.2.1</x:v>
      </x:c>
      <x:c r="F16" s="47" t="str">
        <x:v>Static Calculation</x:v>
      </x:c>
      <x:c r="G16" s="48" t="str">
        <x:v>Stage 2 candidate - direct/deterministic</x:v>
      </x:c>
      <x:c r="H16" s="47" t="str">
        <x:v>High</x:v>
      </x:c>
      <x:c r="I16" s="47" t="str">
        <x:v>No</x:v>
      </x:c>
      <x:c r="J16" s="47" t="str">
        <x:v>ELIGIBLE</x:v>
      </x:c>
      <x:c r="K16" s="47" t="str">
        <x:v>NOT_RUN</x:v>
      </x:c>
    </x:row>
    <x:row r="17">
      <x:c r="A17" s="47" t="str">
        <x:v>I2-015</x:v>
      </x:c>
      <x:c r="B17" s="48" t="str">
        <x:v>UR I2 Structural Requirements for Polar Class Ships</x:v>
      </x:c>
      <x:c r="C17" s="47" t="str">
        <x:v>Rev.4 Dec 2019</x:v>
      </x:c>
      <x:c r="D17" s="59" t="n">
        <x:v>5</x:v>
      </x:c>
      <x:c r="E17" s="47" t="str">
        <x:v>I2.3.2.1</x:v>
      </x:c>
      <x:c r="F17" s="47" t="str">
        <x:v>Complex</x:v>
      </x:c>
      <x:c r="G17" s="48" t="str">
        <x:v>Stage 2 candidate - complex readiness</x:v>
      </x:c>
      <x:c r="H17" s="47" t="str">
        <x:v>Complex readiness</x:v>
      </x:c>
      <x:c r="I17" s="47" t="str">
        <x:v>No</x:v>
      </x:c>
      <x:c r="J17" s="47" t="str">
        <x:v>ELIGIBLE</x:v>
      </x:c>
      <x:c r="K17" s="47" t="str">
        <x:v>NOT_RUN</x:v>
      </x:c>
    </x:row>
    <x:row r="18">
      <x:c r="A18" s="47" t="str">
        <x:v>I2-017</x:v>
      </x:c>
      <x:c r="B18" s="48" t="str">
        <x:v>UR I2 Structural Requirements for Polar Class Ships</x:v>
      </x:c>
      <x:c r="C18" s="47" t="str">
        <x:v>Rev.4 Dec 2019</x:v>
      </x:c>
      <x:c r="D18" s="59" t="n">
        <x:v>6</x:v>
      </x:c>
      <x:c r="E18" s="47" t="str">
        <x:v>I2.3.2.2</x:v>
      </x:c>
      <x:c r="F18" s="47" t="str">
        <x:v>Complex</x:v>
      </x:c>
      <x:c r="G18" s="48" t="str">
        <x:v>Stage 2 candidate - complex readiness</x:v>
      </x:c>
      <x:c r="H18" s="47" t="str">
        <x:v>Complex readiness</x:v>
      </x:c>
      <x:c r="I18" s="47" t="str">
        <x:v>No</x:v>
      </x:c>
      <x:c r="J18" s="47" t="str">
        <x:v>ELIGIBLE</x:v>
      </x:c>
      <x:c r="K18" s="47" t="str">
        <x:v>NOT_RUN</x:v>
      </x:c>
    </x:row>
    <x:row r="19">
      <x:c r="A19" s="47" t="str">
        <x:v>I2-018</x:v>
      </x:c>
      <x:c r="B19" s="48" t="str">
        <x:v>UR I2 Structural Requirements for Polar Class Ships</x:v>
      </x:c>
      <x:c r="C19" s="47" t="str">
        <x:v>Rev.4 Dec 2019</x:v>
      </x:c>
      <x:c r="D19" s="59" t="n">
        <x:v>7</x:v>
      </x:c>
      <x:c r="E19" s="47" t="str">
        <x:v>I2.3.4</x:v>
      </x:c>
      <x:c r="F19" s="47" t="str">
        <x:v>Static Calculation</x:v>
      </x:c>
      <x:c r="G19" s="48" t="str">
        <x:v>Stage 2 candidate - direct/deterministic</x:v>
      </x:c>
      <x:c r="H19" s="47" t="str">
        <x:v>Medium</x:v>
      </x:c>
      <x:c r="I19" s="47" t="str">
        <x:v>No</x:v>
      </x:c>
      <x:c r="J19" s="47" t="str">
        <x:v>ELIGIBLE</x:v>
      </x:c>
      <x:c r="K19" s="47" t="str">
        <x:v>NOT_RUN</x:v>
      </x:c>
    </x:row>
    <x:row r="20">
      <x:c r="A20" s="47" t="str">
        <x:v>I2-019</x:v>
      </x:c>
      <x:c r="B20" s="48" t="str">
        <x:v>UR I2 Structural Requirements for Polar Class Ships</x:v>
      </x:c>
      <x:c r="C20" s="47" t="str">
        <x:v>Rev.4 Dec 2019</x:v>
      </x:c>
      <x:c r="D20" s="59" t="n">
        <x:v>7</x:v>
      </x:c>
      <x:c r="E20" s="47" t="str">
        <x:v>I2.3.5</x:v>
      </x:c>
      <x:c r="F20" s="47" t="str">
        <x:v>Static Calculation</x:v>
      </x:c>
      <x:c r="G20" s="48" t="str">
        <x:v>Stage 2 candidate - direct/deterministic</x:v>
      </x:c>
      <x:c r="H20" s="47" t="str">
        <x:v>High</x:v>
      </x:c>
      <x:c r="I20" s="47" t="str">
        <x:v>No</x:v>
      </x:c>
      <x:c r="J20" s="47" t="str">
        <x:v>ELIGIBLE</x:v>
      </x:c>
      <x:c r="K20" s="47" t="str">
        <x:v>NOT_RUN</x:v>
      </x:c>
    </x:row>
    <x:row r="21">
      <x:c r="A21" s="47" t="str">
        <x:v>I2-021</x:v>
      </x:c>
      <x:c r="B21" s="48" t="str">
        <x:v>UR I2 Structural Requirements for Polar Class Ships</x:v>
      </x:c>
      <x:c r="C21" s="47" t="str">
        <x:v>Rev.4 Dec 2019</x:v>
      </x:c>
      <x:c r="D21" s="59" t="n">
        <x:v>8</x:v>
      </x:c>
      <x:c r="E21" s="47" t="str">
        <x:v>I2.4.1</x:v>
      </x:c>
      <x:c r="F21" s="47" t="str">
        <x:v>Static Calculation</x:v>
      </x:c>
      <x:c r="G21" s="48" t="str">
        <x:v>Stage 2 candidate - direct/deterministic</x:v>
      </x:c>
      <x:c r="H21" s="47" t="str">
        <x:v>Medium</x:v>
      </x:c>
      <x:c r="I21" s="47" t="str">
        <x:v>No</x:v>
      </x:c>
      <x:c r="J21" s="47" t="str">
        <x:v>ELIGIBLE</x:v>
      </x:c>
      <x:c r="K21" s="47" t="str">
        <x:v>NOT_RUN</x:v>
      </x:c>
    </x:row>
    <x:row r="22">
      <x:c r="A22" s="47" t="str">
        <x:v>I2-022</x:v>
      </x:c>
      <x:c r="B22" s="48" t="str">
        <x:v>UR I2 Structural Requirements for Polar Class Ships</x:v>
      </x:c>
      <x:c r="C22" s="47" t="str">
        <x:v>Rev.4 Dec 2019</x:v>
      </x:c>
      <x:c r="D22" s="59" t="n">
        <x:v>8</x:v>
      </x:c>
      <x:c r="E22" s="47" t="str">
        <x:v>I2.4.2</x:v>
      </x:c>
      <x:c r="F22" s="47" t="str">
        <x:v>Complex</x:v>
      </x:c>
      <x:c r="G22" s="48" t="str">
        <x:v>Stage 2 candidate - complex readiness</x:v>
      </x:c>
      <x:c r="H22" s="47" t="str">
        <x:v>Complex readiness</x:v>
      </x:c>
      <x:c r="I22" s="47" t="str">
        <x:v>No</x:v>
      </x:c>
      <x:c r="J22" s="47" t="str">
        <x:v>ELIGIBLE</x:v>
      </x:c>
      <x:c r="K22" s="47" t="str">
        <x:v>NOT_RUN</x:v>
      </x:c>
    </x:row>
    <x:row r="23">
      <x:c r="A23" s="47" t="str">
        <x:v>I2-023</x:v>
      </x:c>
      <x:c r="B23" s="48" t="str">
        <x:v>UR I2 Structural Requirements for Polar Class Ships</x:v>
      </x:c>
      <x:c r="C23" s="47" t="str">
        <x:v>Rev.4 Dec 2019</x:v>
      </x:c>
      <x:c r="D23" s="59" t="n">
        <x:v>9</x:v>
      </x:c>
      <x:c r="E23" s="47" t="str">
        <x:v>I2.4.2</x:v>
      </x:c>
      <x:c r="F23" s="47" t="str">
        <x:v>Complex</x:v>
      </x:c>
      <x:c r="G23" s="48" t="str">
        <x:v>Stage 2 candidate - complex readiness</x:v>
      </x:c>
      <x:c r="H23" s="47" t="str">
        <x:v>Complex readiness</x:v>
      </x:c>
      <x:c r="I23" s="47" t="str">
        <x:v>No</x:v>
      </x:c>
      <x:c r="J23" s="47" t="str">
        <x:v>ELIGIBLE</x:v>
      </x:c>
      <x:c r="K23" s="47" t="str">
        <x:v>NOT_RUN</x:v>
      </x:c>
    </x:row>
    <x:row r="24">
      <x:c r="A24" s="47" t="str">
        <x:v>I2-024</x:v>
      </x:c>
      <x:c r="B24" s="48" t="str">
        <x:v>UR I2 Structural Requirements for Polar Class Ships</x:v>
      </x:c>
      <x:c r="C24" s="47" t="str">
        <x:v>Rev.4 Dec 2019</x:v>
      </x:c>
      <x:c r="D24" s="59" t="n">
        <x:v>9</x:v>
      </x:c>
      <x:c r="E24" s="47" t="str">
        <x:v>I2.4.2</x:v>
      </x:c>
      <x:c r="F24" s="47" t="str">
        <x:v>Complex</x:v>
      </x:c>
      <x:c r="G24" s="48" t="str">
        <x:v>Stage 2 candidate - complex readiness</x:v>
      </x:c>
      <x:c r="H24" s="47" t="str">
        <x:v>Complex readiness</x:v>
      </x:c>
      <x:c r="I24" s="47" t="str">
        <x:v>No</x:v>
      </x:c>
      <x:c r="J24" s="47" t="str">
        <x:v>ELIGIBLE</x:v>
      </x:c>
      <x:c r="K24" s="47" t="str">
        <x:v>NOT_RUN</x:v>
      </x:c>
    </x:row>
    <x:row r="25">
      <x:c r="A25" s="47" t="str">
        <x:v>I2-026</x:v>
      </x:c>
      <x:c r="B25" s="48" t="str">
        <x:v>UR I2 Structural Requirements for Polar Class Ships</x:v>
      </x:c>
      <x:c r="C25" s="47" t="str">
        <x:v>Rev.4 Dec 2019</x:v>
      </x:c>
      <x:c r="D25" s="59" t="n">
        <x:v>10</x:v>
      </x:c>
      <x:c r="E25" s="47" t="str">
        <x:v>I2.5.3</x:v>
      </x:c>
      <x:c r="F25" s="47" t="str">
        <x:v>Static</x:v>
      </x:c>
      <x:c r="G25" s="48" t="str">
        <x:v>Stage 2 candidate - direct/deterministic</x:v>
      </x:c>
      <x:c r="H25" s="47" t="str">
        <x:v>High</x:v>
      </x:c>
      <x:c r="I25" s="47" t="str">
        <x:v>No</x:v>
      </x:c>
      <x:c r="J25" s="47" t="str">
        <x:v>ELIGIBLE</x:v>
      </x:c>
      <x:c r="K25" s="47" t="str">
        <x:v>NOT_RUN</x:v>
      </x:c>
    </x:row>
    <x:row r="26">
      <x:c r="A26" s="47" t="str">
        <x:v>I2-029</x:v>
      </x:c>
      <x:c r="B26" s="48" t="str">
        <x:v>UR I2 Structural Requirements for Polar Class Ships</x:v>
      </x:c>
      <x:c r="C26" s="47" t="str">
        <x:v>Rev.4 Dec 2019</x:v>
      </x:c>
      <x:c r="D26" s="59" t="n">
        <x:v>10</x:v>
      </x:c>
      <x:c r="E26" s="47" t="str">
        <x:v>I2.5.6</x:v>
      </x:c>
      <x:c r="F26" s="47" t="str">
        <x:v>Static</x:v>
      </x:c>
      <x:c r="G26" s="48" t="str">
        <x:v>Stage 2 candidate - direct static</x:v>
      </x:c>
      <x:c r="H26" s="47" t="str">
        <x:v>Direct static</x:v>
      </x:c>
      <x:c r="I26" s="47" t="str">
        <x:v>No</x:v>
      </x:c>
      <x:c r="J26" s="47" t="str">
        <x:v>ELIGIBLE</x:v>
      </x:c>
      <x:c r="K26" s="47" t="str">
        <x:v>NOT_RUN</x:v>
      </x:c>
    </x:row>
    <x:row r="27">
      <x:c r="A27" s="47" t="str">
        <x:v>I2-030</x:v>
      </x:c>
      <x:c r="B27" s="48" t="str">
        <x:v>UR I2 Structural Requirements for Polar Class Ships</x:v>
      </x:c>
      <x:c r="C27" s="47" t="str">
        <x:v>Rev.4 Dec 2019</x:v>
      </x:c>
      <x:c r="D27" s="59" t="n">
        <x:v>11</x:v>
      </x:c>
      <x:c r="E27" s="47" t="str">
        <x:v>I2.5.8-I2.5.9</x:v>
      </x:c>
      <x:c r="F27" s="47" t="str">
        <x:v>Complex</x:v>
      </x:c>
      <x:c r="G27" s="48" t="str">
        <x:v>Stage 2 candidate - complex readiness</x:v>
      </x:c>
      <x:c r="H27" s="47" t="str">
        <x:v>Complex readiness</x:v>
      </x:c>
      <x:c r="I27" s="47" t="str">
        <x:v>No</x:v>
      </x:c>
      <x:c r="J27" s="47" t="str">
        <x:v>ELIGIBLE</x:v>
      </x:c>
      <x:c r="K27" s="47" t="str">
        <x:v>NOT_RUN</x:v>
      </x:c>
    </x:row>
    <x:row r="28">
      <x:c r="A28" s="47" t="str">
        <x:v>I2-031</x:v>
      </x:c>
      <x:c r="B28" s="48" t="str">
        <x:v>UR I2 Structural Requirements for Polar Class Ships</x:v>
      </x:c>
      <x:c r="C28" s="47" t="str">
        <x:v>Rev.4 Dec 2019</x:v>
      </x:c>
      <x:c r="D28" s="59" t="n">
        <x:v>12</x:v>
      </x:c>
      <x:c r="E28" s="47" t="str">
        <x:v>I2.6.1</x:v>
      </x:c>
      <x:c r="F28" s="47" t="str">
        <x:v>Static</x:v>
      </x:c>
      <x:c r="G28" s="48" t="str">
        <x:v>Stage 2 candidate - direct/deterministic</x:v>
      </x:c>
      <x:c r="H28" s="47" t="str">
        <x:v>High</x:v>
      </x:c>
      <x:c r="I28" s="47" t="str">
        <x:v>No</x:v>
      </x:c>
      <x:c r="J28" s="47" t="str">
        <x:v>ELIGIBLE</x:v>
      </x:c>
      <x:c r="K28" s="47" t="str">
        <x:v>NOT_RUN</x:v>
      </x:c>
    </x:row>
    <x:row r="29">
      <x:c r="A29" s="47" t="str">
        <x:v>I2-032</x:v>
      </x:c>
      <x:c r="B29" s="48" t="str">
        <x:v>UR I2 Structural Requirements for Polar Class Ships</x:v>
      </x:c>
      <x:c r="C29" s="47" t="str">
        <x:v>Rev.4 Dec 2019</x:v>
      </x:c>
      <x:c r="D29" s="59" t="n">
        <x:v>12</x:v>
      </x:c>
      <x:c r="E29" s="47" t="str">
        <x:v>I2.6.2</x:v>
      </x:c>
      <x:c r="F29" s="47" t="str">
        <x:v>Static Calculation</x:v>
      </x:c>
      <x:c r="G29" s="48" t="str">
        <x:v>Stage 2 candidate - direct/deterministic</x:v>
      </x:c>
      <x:c r="H29" s="47" t="str">
        <x:v>Medium</x:v>
      </x:c>
      <x:c r="I29" s="47" t="str">
        <x:v>No</x:v>
      </x:c>
      <x:c r="J29" s="47" t="str">
        <x:v>ELIGIBLE</x:v>
      </x:c>
      <x:c r="K29" s="47" t="str">
        <x:v>NOT_RUN</x:v>
      </x:c>
    </x:row>
    <x:row r="30">
      <x:c r="A30" s="47" t="str">
        <x:v>I2-034</x:v>
      </x:c>
      <x:c r="B30" s="48" t="str">
        <x:v>UR I2 Structural Requirements for Polar Class Ships</x:v>
      </x:c>
      <x:c r="C30" s="47" t="str">
        <x:v>Rev.4 Dec 2019</x:v>
      </x:c>
      <x:c r="D30" s="59" t="n">
        <x:v>13</x:v>
      </x:c>
      <x:c r="E30" s="47" t="str">
        <x:v>I2.7.1</x:v>
      </x:c>
      <x:c r="F30" s="47" t="str">
        <x:v>Static</x:v>
      </x:c>
      <x:c r="G30" s="48" t="str">
        <x:v>Stage 2 candidate - direct/deterministic</x:v>
      </x:c>
      <x:c r="H30" s="47" t="str">
        <x:v>High</x:v>
      </x:c>
      <x:c r="I30" s="47" t="str">
        <x:v>No</x:v>
      </x:c>
      <x:c r="J30" s="47" t="str">
        <x:v>ELIGIBLE</x:v>
      </x:c>
      <x:c r="K30" s="47" t="str">
        <x:v>NOT_RUN</x:v>
      </x:c>
    </x:row>
    <x:row r="31">
      <x:c r="A31" s="47" t="str">
        <x:v>I2-035</x:v>
      </x:c>
      <x:c r="B31" s="48" t="str">
        <x:v>UR I2 Structural Requirements for Polar Class Ships</x:v>
      </x:c>
      <x:c r="C31" s="47" t="str">
        <x:v>Rev.4 Dec 2019</x:v>
      </x:c>
      <x:c r="D31" s="59" t="n">
        <x:v>13</x:v>
      </x:c>
      <x:c r="E31" s="47" t="str">
        <x:v>I2.7.2</x:v>
      </x:c>
      <x:c r="F31" s="47" t="str">
        <x:v>Static Calculation</x:v>
      </x:c>
      <x:c r="G31" s="48" t="str">
        <x:v>Stage 2 candidate - direct/deterministic</x:v>
      </x:c>
      <x:c r="H31" s="47" t="str">
        <x:v>Medium</x:v>
      </x:c>
      <x:c r="I31" s="47" t="str">
        <x:v>No</x:v>
      </x:c>
      <x:c r="J31" s="47" t="str">
        <x:v>ELIGIBLE</x:v>
      </x:c>
      <x:c r="K31" s="47" t="str">
        <x:v>NOT_RUN</x:v>
      </x:c>
    </x:row>
    <x:row r="32">
      <x:c r="A32" s="47" t="str">
        <x:v>I2-037</x:v>
      </x:c>
      <x:c r="B32" s="48" t="str">
        <x:v>UR I2 Structural Requirements for Polar Class Ships</x:v>
      </x:c>
      <x:c r="C32" s="47" t="str">
        <x:v>Rev.4 Dec 2019</x:v>
      </x:c>
      <x:c r="D32" s="59" t="n">
        <x:v>13</x:v>
      </x:c>
      <x:c r="E32" s="47" t="str">
        <x:v>I2.8.1</x:v>
      </x:c>
      <x:c r="F32" s="47" t="str">
        <x:v>Static</x:v>
      </x:c>
      <x:c r="G32" s="48" t="str">
        <x:v>Stage 2 candidate - direct/deterministic</x:v>
      </x:c>
      <x:c r="H32" s="47" t="str">
        <x:v>High</x:v>
      </x:c>
      <x:c r="I32" s="47" t="str">
        <x:v>No</x:v>
      </x:c>
      <x:c r="J32" s="47" t="str">
        <x:v>ELIGIBLE</x:v>
      </x:c>
      <x:c r="K32" s="47" t="str">
        <x:v>NOT_RUN</x:v>
      </x:c>
    </x:row>
    <x:row r="33">
      <x:c r="A33" s="47" t="str">
        <x:v>I2-040</x:v>
      </x:c>
      <x:c r="B33" s="48" t="str">
        <x:v>UR I2 Structural Requirements for Polar Class Ships</x:v>
      </x:c>
      <x:c r="C33" s="47" t="str">
        <x:v>Rev.4 Dec 2019</x:v>
      </x:c>
      <x:c r="D33" s="59" t="n">
        <x:v>14</x:v>
      </x:c>
      <x:c r="E33" s="47" t="str">
        <x:v>I2.9.1</x:v>
      </x:c>
      <x:c r="F33" s="47" t="str">
        <x:v>Complex</x:v>
      </x:c>
      <x:c r="G33" s="48" t="str">
        <x:v>Stage 2 candidate - complex readiness</x:v>
      </x:c>
      <x:c r="H33" s="47" t="str">
        <x:v>Complex readiness</x:v>
      </x:c>
      <x:c r="I33" s="47" t="str">
        <x:v>No</x:v>
      </x:c>
      <x:c r="J33" s="47" t="str">
        <x:v>ELIGIBLE</x:v>
      </x:c>
      <x:c r="K33" s="47" t="str">
        <x:v>NOT_RUN</x:v>
      </x:c>
    </x:row>
    <x:row r="34">
      <x:c r="A34" s="47" t="str">
        <x:v>I2-041</x:v>
      </x:c>
      <x:c r="B34" s="48" t="str">
        <x:v>UR I2 Structural Requirements for Polar Class Ships</x:v>
      </x:c>
      <x:c r="C34" s="47" t="str">
        <x:v>Rev.4 Dec 2019</x:v>
      </x:c>
      <x:c r="D34" s="59" t="n">
        <x:v>15</x:v>
      </x:c>
      <x:c r="E34" s="47" t="str">
        <x:v>I2.9.3</x:v>
      </x:c>
      <x:c r="F34" s="47" t="str">
        <x:v>Complex</x:v>
      </x:c>
      <x:c r="G34" s="48" t="str">
        <x:v>Stage 2 candidate - complex readiness</x:v>
      </x:c>
      <x:c r="H34" s="47" t="str">
        <x:v>Complex readiness</x:v>
      </x:c>
      <x:c r="I34" s="47" t="str">
        <x:v>No</x:v>
      </x:c>
      <x:c r="J34" s="47" t="str">
        <x:v>ELIGIBLE</x:v>
      </x:c>
      <x:c r="K34" s="47" t="str">
        <x:v>NOT_RUN</x:v>
      </x:c>
    </x:row>
    <x:row r="35">
      <x:c r="A35" s="47" t="str">
        <x:v>I2-042</x:v>
      </x:c>
      <x:c r="B35" s="48" t="str">
        <x:v>UR I2 Structural Requirements for Polar Class Ships</x:v>
      </x:c>
      <x:c r="C35" s="47" t="str">
        <x:v>Rev.4 Dec 2019</x:v>
      </x:c>
      <x:c r="D35" s="59" t="n">
        <x:v>15</x:v>
      </x:c>
      <x:c r="E35" s="47" t="str">
        <x:v>I2.9.4</x:v>
      </x:c>
      <x:c r="F35" s="47" t="str">
        <x:v>Static Calculation</x:v>
      </x:c>
      <x:c r="G35" s="48" t="str">
        <x:v>Stage 2 candidate - direct/deterministic</x:v>
      </x:c>
      <x:c r="H35" s="47" t="str">
        <x:v>High</x:v>
      </x:c>
      <x:c r="I35" s="47" t="str">
        <x:v>No</x:v>
      </x:c>
      <x:c r="J35" s="47" t="str">
        <x:v>ELIGIBLE</x:v>
      </x:c>
      <x:c r="K35" s="47" t="str">
        <x:v>NOT_RUN</x:v>
      </x:c>
    </x:row>
    <x:row r="36">
      <x:c r="A36" s="47" t="str">
        <x:v>I2-043</x:v>
      </x:c>
      <x:c r="B36" s="48" t="str">
        <x:v>UR I2 Structural Requirements for Polar Class Ships</x:v>
      </x:c>
      <x:c r="C36" s="47" t="str">
        <x:v>Rev.4 Dec 2019</x:v>
      </x:c>
      <x:c r="D36" s="59" t="n">
        <x:v>15</x:v>
      </x:c>
      <x:c r="E36" s="47" t="str">
        <x:v>I2.9.4</x:v>
      </x:c>
      <x:c r="F36" s="47" t="str">
        <x:v>Complex</x:v>
      </x:c>
      <x:c r="G36" s="48" t="str">
        <x:v>Stage 2 candidate - complex readiness</x:v>
      </x:c>
      <x:c r="H36" s="47" t="str">
        <x:v>Complex readiness</x:v>
      </x:c>
      <x:c r="I36" s="47" t="str">
        <x:v>No</x:v>
      </x:c>
      <x:c r="J36" s="47" t="str">
        <x:v>ELIGIBLE</x:v>
      </x:c>
      <x:c r="K36" s="47" t="str">
        <x:v>NOT_RUN</x:v>
      </x:c>
    </x:row>
    <x:row r="37">
      <x:c r="A37" s="47" t="str">
        <x:v>I2-046</x:v>
      </x:c>
      <x:c r="B37" s="48" t="str">
        <x:v>UR I2 Structural Requirements for Polar Class Ships</x:v>
      </x:c>
      <x:c r="C37" s="47" t="str">
        <x:v>Rev.4 Dec 2019</x:v>
      </x:c>
      <x:c r="D37" s="59" t="n">
        <x:v>15</x:v>
      </x:c>
      <x:c r="E37" s="47" t="str">
        <x:v>I2.11.3</x:v>
      </x:c>
      <x:c r="F37" s="47" t="str">
        <x:v>Static Calculation</x:v>
      </x:c>
      <x:c r="G37" s="48" t="str">
        <x:v>Stage 2 candidate - direct/deterministic</x:v>
      </x:c>
      <x:c r="H37" s="47" t="str">
        <x:v>High</x:v>
      </x:c>
      <x:c r="I37" s="47" t="str">
        <x:v>No</x:v>
      </x:c>
      <x:c r="J37" s="47" t="str">
        <x:v>ELIGIBLE</x:v>
      </x:c>
      <x:c r="K37" s="47" t="str">
        <x:v>NOT_RUN</x:v>
      </x:c>
    </x:row>
    <x:row r="38">
      <x:c r="A38" s="47" t="str">
        <x:v>I2-047</x:v>
      </x:c>
      <x:c r="B38" s="48" t="str">
        <x:v>UR I2 Structural Requirements for Polar Class Ships</x:v>
      </x:c>
      <x:c r="C38" s="47" t="str">
        <x:v>Rev.4 Dec 2019</x:v>
      </x:c>
      <x:c r="D38" s="59" t="n">
        <x:v>16</x:v>
      </x:c>
      <x:c r="E38" s="47" t="str">
        <x:v>I2.11.4</x:v>
      </x:c>
      <x:c r="F38" s="47" t="str">
        <x:v>Static Calculation</x:v>
      </x:c>
      <x:c r="G38" s="48" t="str">
        <x:v>Stage 2 candidate - direct/deterministic</x:v>
      </x:c>
      <x:c r="H38" s="47" t="str">
        <x:v>High</x:v>
      </x:c>
      <x:c r="I38" s="47" t="str">
        <x:v>No</x:v>
      </x:c>
      <x:c r="J38" s="47" t="str">
        <x:v>ELIGIBLE</x:v>
      </x:c>
      <x:c r="K38" s="47" t="str">
        <x:v>NOT_RUN</x:v>
      </x:c>
    </x:row>
    <x:row r="39">
      <x:c r="A39" s="47" t="str">
        <x:v>I2-048</x:v>
      </x:c>
      <x:c r="B39" s="48" t="str">
        <x:v>UR I2 Structural Requirements for Polar Class Ships</x:v>
      </x:c>
      <x:c r="C39" s="47" t="str">
        <x:v>Rev.4 Dec 2019</x:v>
      </x:c>
      <x:c r="D39" s="59" t="n">
        <x:v>16</x:v>
      </x:c>
      <x:c r="E39" s="47" t="str">
        <x:v>I2.12.1</x:v>
      </x:c>
      <x:c r="F39" s="47" t="str">
        <x:v>Static</x:v>
      </x:c>
      <x:c r="G39" s="48" t="str">
        <x:v>Stage 2 candidate - direct static</x:v>
      </x:c>
      <x:c r="H39" s="47" t="str">
        <x:v>Direct static</x:v>
      </x:c>
      <x:c r="I39" s="47" t="str">
        <x:v>No</x:v>
      </x:c>
      <x:c r="J39" s="47" t="str">
        <x:v>ELIGIBLE</x:v>
      </x:c>
      <x:c r="K39" s="47" t="str">
        <x:v>NOT_RUN</x:v>
      </x:c>
    </x:row>
    <x:row r="40">
      <x:c r="A40" s="47" t="str">
        <x:v>I2-050</x:v>
      </x:c>
      <x:c r="B40" s="48" t="str">
        <x:v>UR I2 Structural Requirements for Polar Class Ships</x:v>
      </x:c>
      <x:c r="C40" s="47" t="str">
        <x:v>Rev.4 Dec 2019</x:v>
      </x:c>
      <x:c r="D40" s="59" t="n">
        <x:v>18</x:v>
      </x:c>
      <x:c r="E40" s="47" t="str">
        <x:v>I2.13.2.1</x:v>
      </x:c>
      <x:c r="F40" s="47" t="str">
        <x:v>Complex</x:v>
      </x:c>
      <x:c r="G40" s="48" t="str">
        <x:v>Stage 2 candidate - complex readiness</x:v>
      </x:c>
      <x:c r="H40" s="47" t="str">
        <x:v>Complex readiness</x:v>
      </x:c>
      <x:c r="I40" s="47" t="str">
        <x:v>No</x:v>
      </x:c>
      <x:c r="J40" s="47" t="str">
        <x:v>ELIGIBLE</x:v>
      </x:c>
      <x:c r="K40" s="47" t="str">
        <x:v>NOT_RUN</x:v>
      </x:c>
    </x:row>
    <x:row r="41">
      <x:c r="A41" s="47" t="str">
        <x:v>I2-051</x:v>
      </x:c>
      <x:c r="B41" s="48" t="str">
        <x:v>UR I2 Structural Requirements for Polar Class Ships</x:v>
      </x:c>
      <x:c r="C41" s="47" t="str">
        <x:v>Rev.4 Dec 2019</x:v>
      </x:c>
      <x:c r="D41" s="59" t="n">
        <x:v>19</x:v>
      </x:c>
      <x:c r="E41" s="47" t="str">
        <x:v>I2.13.3.1</x:v>
      </x:c>
      <x:c r="F41" s="47" t="str">
        <x:v>Static Calculation</x:v>
      </x:c>
      <x:c r="G41" s="48" t="str">
        <x:v>Stage 2 candidate - direct/deterministic</x:v>
      </x:c>
      <x:c r="H41" s="47" t="str">
        <x:v>High</x:v>
      </x:c>
      <x:c r="I41" s="47" t="str">
        <x:v>No</x:v>
      </x:c>
      <x:c r="J41" s="47" t="str">
        <x:v>ELIGIBLE</x:v>
      </x:c>
      <x:c r="K41" s="47" t="str">
        <x:v>NOT_RUN</x:v>
      </x:c>
    </x:row>
    <x:row r="42">
      <x:c r="A42" s="47" t="str">
        <x:v>I2-052</x:v>
      </x:c>
      <x:c r="B42" s="48" t="str">
        <x:v>UR I2 Structural Requirements for Polar Class Ships</x:v>
      </x:c>
      <x:c r="C42" s="47" t="str">
        <x:v>Rev.4 Dec 2019</x:v>
      </x:c>
      <x:c r="D42" s="59" t="n">
        <x:v>19</x:v>
      </x:c>
      <x:c r="E42" s="47" t="str">
        <x:v>I2.13.3.1</x:v>
      </x:c>
      <x:c r="F42" s="47" t="str">
        <x:v>Complex</x:v>
      </x:c>
      <x:c r="G42" s="48" t="str">
        <x:v>Stage 2 candidate - complex readiness</x:v>
      </x:c>
      <x:c r="H42" s="47" t="str">
        <x:v>Complex readiness</x:v>
      </x:c>
      <x:c r="I42" s="47" t="str">
        <x:v>No</x:v>
      </x:c>
      <x:c r="J42" s="47" t="str">
        <x:v>ELIGIBLE</x:v>
      </x:c>
      <x:c r="K42" s="47" t="str">
        <x:v>NOT_RUN</x:v>
      </x:c>
    </x:row>
    <x:row r="43">
      <x:c r="A43" s="47" t="str">
        <x:v>I2-053</x:v>
      </x:c>
      <x:c r="B43" s="48" t="str">
        <x:v>UR I2 Structural Requirements for Polar Class Ships</x:v>
      </x:c>
      <x:c r="C43" s="47" t="str">
        <x:v>Rev.4 Dec 2019</x:v>
      </x:c>
      <x:c r="D43" s="59" t="n">
        <x:v>20</x:v>
      </x:c>
      <x:c r="E43" s="47" t="str">
        <x:v>I2.13.3.2</x:v>
      </x:c>
      <x:c r="F43" s="47" t="str">
        <x:v>Complex</x:v>
      </x:c>
      <x:c r="G43" s="48" t="str">
        <x:v>Deferred - complex readiness owner/path incomplete</x:v>
      </x:c>
      <x:c r="H43" s="47" t="str">
        <x:v>Deferred</x:v>
      </x:c>
      <x:c r="I43" s="47" t="str">
        <x:v>No</x:v>
      </x:c>
      <x:c r="J43" s="47" t="str">
        <x:v>DEFERRED</x:v>
      </x:c>
      <x:c r="K43" s="47" t="str">
        <x:v>NOT_RUN</x:v>
      </x:c>
    </x:row>
    <x:row r="44">
      <x:c r="A44" s="47" t="str">
        <x:v>I2-054</x:v>
      </x:c>
      <x:c r="B44" s="48" t="str">
        <x:v>UR I2 Structural Requirements for Polar Class Ships</x:v>
      </x:c>
      <x:c r="C44" s="47" t="str">
        <x:v>Rev.4 Dec 2019</x:v>
      </x:c>
      <x:c r="D44" s="59" t="n">
        <x:v>20</x:v>
      </x:c>
      <x:c r="E44" s="47" t="str">
        <x:v>I2.13.4.1</x:v>
      </x:c>
      <x:c r="F44" s="47" t="str">
        <x:v>Complex</x:v>
      </x:c>
      <x:c r="G44" s="48" t="str">
        <x:v>Stage 2 candidate - complex readiness</x:v>
      </x:c>
      <x:c r="H44" s="47" t="str">
        <x:v>Complex readiness</x:v>
      </x:c>
      <x:c r="I44" s="47" t="str">
        <x:v>No</x:v>
      </x:c>
      <x:c r="J44" s="47" t="str">
        <x:v>ELIGIBLE</x:v>
      </x:c>
      <x:c r="K44" s="47" t="str">
        <x:v>NOT_RUN</x:v>
      </x:c>
    </x:row>
    <x:row r="45">
      <x:c r="A45" s="47" t="str">
        <x:v>I2-055</x:v>
      </x:c>
      <x:c r="B45" s="48" t="str">
        <x:v>UR I2 Structural Requirements for Polar Class Ships</x:v>
      </x:c>
      <x:c r="C45" s="47" t="str">
        <x:v>Rev.4 Dec 2019</x:v>
      </x:c>
      <x:c r="D45" s="59" t="n">
        <x:v>20</x:v>
      </x:c>
      <x:c r="E45" s="47" t="str">
        <x:v>I2.13.5.1</x:v>
      </x:c>
      <x:c r="F45" s="47" t="str">
        <x:v>Static</x:v>
      </x:c>
      <x:c r="G45" s="48" t="str">
        <x:v>Stage 2 candidate - direct static</x:v>
      </x:c>
      <x:c r="H45" s="47" t="str">
        <x:v>Direct static</x:v>
      </x:c>
      <x:c r="I45" s="47" t="str">
        <x:v>No</x:v>
      </x:c>
      <x:c r="J45" s="47" t="str">
        <x:v>ELIGIBLE</x:v>
      </x:c>
      <x:c r="K45" s="47" t="str">
        <x:v>NOT_RUN</x:v>
      </x:c>
    </x:row>
    <x:row r="46">
      <x:c r="A46" s="47" t="str">
        <x:v>I2-060</x:v>
      </x:c>
      <x:c r="B46" s="48" t="str">
        <x:v>UR I2 Structural Requirements for Polar Class Ships</x:v>
      </x:c>
      <x:c r="C46" s="47" t="str">
        <x:v>Rev.4 Dec 2019</x:v>
      </x:c>
      <x:c r="D46" s="59" t="n">
        <x:v>21</x:v>
      </x:c>
      <x:c r="E46" s="47" t="str">
        <x:v>I2.16.2</x:v>
      </x:c>
      <x:c r="F46" s="47" t="str">
        <x:v>Static</x:v>
      </x:c>
      <x:c r="G46" s="48" t="str">
        <x:v>Stage 2 candidate - direct/deterministic</x:v>
      </x:c>
      <x:c r="H46" s="47" t="str">
        <x:v>High</x:v>
      </x:c>
      <x:c r="I46" s="47" t="str">
        <x:v>No</x:v>
      </x:c>
      <x:c r="J46" s="47" t="str">
        <x:v>ELIGIBLE</x:v>
      </x:c>
      <x:c r="K46" s="47" t="str">
        <x:v>NOT_RUN</x:v>
      </x:c>
    </x:row>
    <x:row r="47">
      <x:c r="A47" s="47" t="str">
        <x:v>I2-061</x:v>
      </x:c>
      <x:c r="B47" s="48" t="str">
        <x:v>UR I2 Structural Requirements for Polar Class Ships</x:v>
      </x:c>
      <x:c r="C47" s="47" t="str">
        <x:v>Rev.4 Dec 2019</x:v>
      </x:c>
      <x:c r="D47" s="59" t="n">
        <x:v>21</x:v>
      </x:c>
      <x:c r="E47" s="47" t="str">
        <x:v>I2.17.1</x:v>
      </x:c>
      <x:c r="F47" s="47" t="str">
        <x:v>Static</x:v>
      </x:c>
      <x:c r="G47" s="48" t="str">
        <x:v>Stage 2 candidate - direct/deterministic</x:v>
      </x:c>
      <x:c r="H47" s="47" t="str">
        <x:v>High</x:v>
      </x:c>
      <x:c r="I47" s="47" t="str">
        <x:v>No</x:v>
      </x:c>
      <x:c r="J47" s="47" t="str">
        <x:v>ELIGIBLE</x:v>
      </x:c>
      <x:c r="K47" s="47" t="str">
        <x:v>NOT_RUN</x:v>
      </x:c>
    </x:row>
    <x:row r="48">
      <x:c r="A48" s="47" t="str">
        <x:v>I2-062</x:v>
      </x:c>
      <x:c r="B48" s="48" t="str">
        <x:v>UR I2 Structural Requirements for Polar Class Ships</x:v>
      </x:c>
      <x:c r="C48" s="47" t="str">
        <x:v>Rev.4 Dec 2019</x:v>
      </x:c>
      <x:c r="D48" s="59" t="n">
        <x:v>21</x:v>
      </x:c>
      <x:c r="E48" s="47" t="str">
        <x:v>I2.17.2</x:v>
      </x:c>
      <x:c r="F48" s="47" t="str">
        <x:v>Complex</x:v>
      </x:c>
      <x:c r="G48" s="48" t="str">
        <x:v>Stage 2 candidate - complex readiness</x:v>
      </x:c>
      <x:c r="H48" s="47" t="str">
        <x:v>Complex readiness</x:v>
      </x:c>
      <x:c r="I48" s="47" t="str">
        <x:v>No</x:v>
      </x:c>
      <x:c r="J48" s="47" t="str">
        <x:v>ELIGIBLE</x:v>
      </x:c>
      <x:c r="K48" s="47" t="str">
        <x:v>NOT_RUN</x:v>
      </x:c>
    </x:row>
    <x:row r="49">
      <x:c r="A49" s="47" t="str">
        <x:v>I2-064</x:v>
      </x:c>
      <x:c r="B49" s="48" t="str">
        <x:v>UR I2 Structural Requirements for Polar Class Ships</x:v>
      </x:c>
      <x:c r="C49" s="47" t="str">
        <x:v>Rev.4 Dec 2019</x:v>
      </x:c>
      <x:c r="D49" s="59" t="n">
        <x:v>21</x:v>
      </x:c>
      <x:c r="E49" s="47" t="str">
        <x:v>I2.17.5</x:v>
      </x:c>
      <x:c r="F49" s="47" t="str">
        <x:v>Complex</x:v>
      </x:c>
      <x:c r="G49" s="48" t="str">
        <x:v>Stage 2 candidate - complex readiness</x:v>
      </x:c>
      <x:c r="H49" s="47" t="str">
        <x:v>Complex readiness</x:v>
      </x:c>
      <x:c r="I49" s="47" t="str">
        <x:v>No</x:v>
      </x:c>
      <x:c r="J49" s="47" t="str">
        <x:v>ELIGIBLE</x:v>
      </x:c>
      <x:c r="K49" s="47" t="str">
        <x:v>NOT_RUN</x:v>
      </x:c>
    </x:row>
    <x:row r="50">
      <x:c r="A50" s="47" t="str">
        <x:v>I2-065</x:v>
      </x:c>
      <x:c r="B50" s="48" t="str">
        <x:v>UR I2 Structural Requirements for Polar Class Ships</x:v>
      </x:c>
      <x:c r="C50" s="47" t="str">
        <x:v>Rev.4 Dec 2019</x:v>
      </x:c>
      <x:c r="D50" s="59" t="n">
        <x:v>22</x:v>
      </x:c>
      <x:c r="E50" s="47" t="str">
        <x:v>I2.17.6</x:v>
      </x:c>
      <x:c r="F50" s="47" t="str">
        <x:v>Complex</x:v>
      </x:c>
      <x:c r="G50" s="48" t="str">
        <x:v>Stage 2 candidate - complex readiness</x:v>
      </x:c>
      <x:c r="H50" s="47" t="str">
        <x:v>Complex readiness</x:v>
      </x:c>
      <x:c r="I50" s="47" t="str">
        <x:v>No</x:v>
      </x:c>
      <x:c r="J50" s="47" t="str">
        <x:v>ELIGIBLE</x:v>
      </x:c>
      <x:c r="K50" s="47" t="str">
        <x:v>NOT_RUN</x:v>
      </x:c>
    </x:row>
    <x:row r="51">
      <x:c r="A51" s="47" t="str">
        <x:v>I2-066</x:v>
      </x:c>
      <x:c r="B51" s="48" t="str">
        <x:v>UR I2 Structural Requirements for Polar Class Ships</x:v>
      </x:c>
      <x:c r="C51" s="47" t="str">
        <x:v>Rev.4 Dec 2019</x:v>
      </x:c>
      <x:c r="D51" s="59" t="n">
        <x:v>22</x:v>
      </x:c>
      <x:c r="E51" s="47" t="str">
        <x:v>I2.18.1</x:v>
      </x:c>
      <x:c r="F51" s="47" t="str">
        <x:v>Static</x:v>
      </x:c>
      <x:c r="G51" s="48" t="str">
        <x:v>Stage 2 candidate - direct/deterministic</x:v>
      </x:c>
      <x:c r="H51" s="47" t="str">
        <x:v>High</x:v>
      </x:c>
      <x:c r="I51" s="47" t="str">
        <x:v>No</x:v>
      </x:c>
      <x:c r="J51" s="47" t="str">
        <x:v>ELIGIBLE</x:v>
      </x:c>
      <x:c r="K51" s="47" t="str">
        <x:v>NOT_RUN</x:v>
      </x:c>
    </x:row>
    <x:row r="52">
      <x:c r="A52" s="47" t="str">
        <x:v>I2-067</x:v>
      </x:c>
      <x:c r="B52" s="48" t="str">
        <x:v>UR I2 Structural Requirements for Polar Class Ships</x:v>
      </x:c>
      <x:c r="C52" s="47" t="str">
        <x:v>Rev.4 Dec 2019</x:v>
      </x:c>
      <x:c r="D52" s="59" t="n">
        <x:v>22</x:v>
      </x:c>
      <x:c r="E52" s="47" t="str">
        <x:v>I2.18.2</x:v>
      </x:c>
      <x:c r="F52" s="47" t="str">
        <x:v>Static</x:v>
      </x:c>
      <x:c r="G52" s="48" t="str">
        <x:v>Stage 2 candidate - direct/deterministic</x:v>
      </x:c>
      <x:c r="H52" s="47" t="str">
        <x:v>High</x:v>
      </x:c>
      <x:c r="I52" s="47" t="str">
        <x:v>No</x:v>
      </x:c>
      <x:c r="J52" s="47" t="str">
        <x:v>ELIGIBLE</x:v>
      </x:c>
      <x:c r="K52" s="47" t="str">
        <x:v>NOT_RUN</x:v>
      </x:c>
    </x:row>
    <x:row r="53">
      <x:c r="A53" s="47" t="str">
        <x:v>IMO-001</x:v>
      </x:c>
      <x:c r="B53" s="48" t="str">
        <x:v>International Code for Ships Operating in Polar Waters (Polar Code)</x:v>
      </x:c>
      <x:c r="C53" s="47" t="str">
        <x:v>Resolution MSC.385(94), adopted 21 Nov 2014; consolidated with MEPC.264(68), adopted 15 May 2015</x:v>
      </x:c>
      <x:c r="D53" s="59" t="n">
        <x:v>9</x:v>
      </x:c>
      <x:c r="E53" s="47" t="str">
        <x:v>2.1</x:v>
      </x:c>
      <x:c r="F53" s="47" t="str">
        <x:v>Static</x:v>
      </x:c>
      <x:c r="G53" s="48" t="str">
        <x:v>Stage 2 candidate - direct/deterministic</x:v>
      </x:c>
      <x:c r="H53" s="47" t="str">
        <x:v>High</x:v>
      </x:c>
      <x:c r="I53" s="47" t="str">
        <x:v>No</x:v>
      </x:c>
      <x:c r="J53" s="47" t="str">
        <x:v>ELIGIBLE</x:v>
      </x:c>
      <x:c r="K53" s="47" t="str">
        <x:v>NOT_RUN</x:v>
      </x:c>
    </x:row>
    <x:row r="54">
      <x:c r="A54" s="47" t="str">
        <x:v>IMO-002</x:v>
      </x:c>
      <x:c r="B54" s="48" t="str">
        <x:v>International Code for Ships Operating in Polar Waters (Polar Code)</x:v>
      </x:c>
      <x:c r="C54" s="47" t="str">
        <x:v>Resolution MSC.385(94), adopted 21 Nov 2014; consolidated with MEPC.264(68), adopted 15 May 2015</x:v>
      </x:c>
      <x:c r="D54" s="59" t="n">
        <x:v>9</x:v>
      </x:c>
      <x:c r="E54" s="47" t="str">
        <x:v>2.2</x:v>
      </x:c>
      <x:c r="F54" s="47" t="str">
        <x:v>Static</x:v>
      </x:c>
      <x:c r="G54" s="48" t="str">
        <x:v>Stage 2 candidate - direct/deterministic</x:v>
      </x:c>
      <x:c r="H54" s="47" t="str">
        <x:v>High</x:v>
      </x:c>
      <x:c r="I54" s="47" t="str">
        <x:v>No</x:v>
      </x:c>
      <x:c r="J54" s="47" t="str">
        <x:v>ELIGIBLE</x:v>
      </x:c>
      <x:c r="K54" s="47" t="str">
        <x:v>NOT_RUN</x:v>
      </x:c>
    </x:row>
    <x:row r="55">
      <x:c r="A55" s="47" t="str">
        <x:v>IMO-003</x:v>
      </x:c>
      <x:c r="B55" s="48" t="str">
        <x:v>International Code for Ships Operating in Polar Waters (Polar Code)</x:v>
      </x:c>
      <x:c r="C55" s="47" t="str">
        <x:v>Resolution MSC.385(94), adopted 21 Nov 2014; consolidated with MEPC.264(68), adopted 15 May 2015</x:v>
      </x:c>
      <x:c r="D55" s="59" t="n">
        <x:v>9</x:v>
      </x:c>
      <x:c r="E55" s="47" t="str">
        <x:v>2.3</x:v>
      </x:c>
      <x:c r="F55" s="47" t="str">
        <x:v>Static</x:v>
      </x:c>
      <x:c r="G55" s="48" t="str">
        <x:v>Stage 2 candidate - direct/deterministic</x:v>
      </x:c>
      <x:c r="H55" s="47" t="str">
        <x:v>High</x:v>
      </x:c>
      <x:c r="I55" s="47" t="str">
        <x:v>No</x:v>
      </x:c>
      <x:c r="J55" s="47" t="str">
        <x:v>ELIGIBLE</x:v>
      </x:c>
      <x:c r="K55" s="47" t="str">
        <x:v>NOT_RUN</x:v>
      </x:c>
    </x:row>
    <x:row r="56">
      <x:c r="A56" s="47" t="str">
        <x:v>IMO-004</x:v>
      </x:c>
      <x:c r="B56" s="48" t="str">
        <x:v>International Code for Ships Operating in Polar Waters (Polar Code)</x:v>
      </x:c>
      <x:c r="C56" s="47" t="str">
        <x:v>Resolution MSC.385(94), adopted 21 Nov 2014; consolidated with MEPC.264(68), adopted 15 May 2015</x:v>
      </x:c>
      <x:c r="D56" s="59" t="n">
        <x:v>9</x:v>
      </x:c>
      <x:c r="E56" s="47" t="str">
        <x:v>2.4</x:v>
      </x:c>
      <x:c r="F56" s="47" t="str">
        <x:v>Static</x:v>
      </x:c>
      <x:c r="G56" s="48" t="str">
        <x:v>Stage 2 candidate - direct/deterministic</x:v>
      </x:c>
      <x:c r="H56" s="47" t="str">
        <x:v>High</x:v>
      </x:c>
      <x:c r="I56" s="47" t="str">
        <x:v>No</x:v>
      </x:c>
      <x:c r="J56" s="47" t="str">
        <x:v>ELIGIBLE</x:v>
      </x:c>
      <x:c r="K56" s="47" t="str">
        <x:v>NOT_RUN</x:v>
      </x:c>
    </x:row>
    <x:row r="57">
      <x:c r="A57" s="47" t="str">
        <x:v>IMO-005</x:v>
      </x:c>
      <x:c r="B57" s="48" t="str">
        <x:v>International Code for Ships Operating in Polar Waters (Polar Code)</x:v>
      </x:c>
      <x:c r="C57" s="47" t="str">
        <x:v>Resolution MSC.385(94), adopted 21 Nov 2014; consolidated with MEPC.264(68), adopted 15 May 2015</x:v>
      </x:c>
      <x:c r="D57" s="59" t="n">
        <x:v>9</x:v>
      </x:c>
      <x:c r="E57" s="47" t="str">
        <x:v>2.5</x:v>
      </x:c>
      <x:c r="F57" s="47" t="str">
        <x:v>Static</x:v>
      </x:c>
      <x:c r="G57" s="48" t="str">
        <x:v>Stage 2 candidate - direct/deterministic</x:v>
      </x:c>
      <x:c r="H57" s="47" t="str">
        <x:v>High</x:v>
      </x:c>
      <x:c r="I57" s="47" t="str">
        <x:v>No</x:v>
      </x:c>
      <x:c r="J57" s="47" t="str">
        <x:v>ELIGIBLE</x:v>
      </x:c>
      <x:c r="K57" s="47" t="str">
        <x:v>NOT_RUN</x:v>
      </x:c>
    </x:row>
    <x:row r="58">
      <x:c r="A58" s="47" t="str">
        <x:v>IMO-006</x:v>
      </x:c>
      <x:c r="B58" s="48" t="str">
        <x:v>International Code for Ships Operating in Polar Waters (Polar Code)</x:v>
      </x:c>
      <x:c r="C58" s="47" t="str">
        <x:v>Resolution MSC.385(94), adopted 21 Nov 2014; consolidated with MEPC.264(68), adopted 15 May 2015</x:v>
      </x:c>
      <x:c r="D58" s="59" t="n">
        <x:v>9</x:v>
      </x:c>
      <x:c r="E58" s="47" t="str">
        <x:v>2.8</x:v>
      </x:c>
      <x:c r="F58" s="47" t="str">
        <x:v>Static</x:v>
      </x:c>
      <x:c r="G58" s="48" t="str">
        <x:v>Stage 2 candidate - direct/deterministic</x:v>
      </x:c>
      <x:c r="H58" s="47" t="str">
        <x:v>High</x:v>
      </x:c>
      <x:c r="I58" s="47" t="str">
        <x:v>No</x:v>
      </x:c>
      <x:c r="J58" s="47" t="str">
        <x:v>ELIGIBLE</x:v>
      </x:c>
      <x:c r="K58" s="47" t="str">
        <x:v>NOT_RUN</x:v>
      </x:c>
    </x:row>
    <x:row r="59">
      <x:c r="A59" s="47" t="str">
        <x:v>IMO-007</x:v>
      </x:c>
      <x:c r="B59" s="48" t="str">
        <x:v>International Code for Ships Operating in Polar Waters (Polar Code)</x:v>
      </x:c>
      <x:c r="C59" s="47" t="str">
        <x:v>Resolution MSC.385(94), adopted 21 Nov 2014; consolidated with MEPC.264(68), adopted 15 May 2015</x:v>
      </x:c>
      <x:c r="D59" s="59" t="n">
        <x:v>9</x:v>
      </x:c>
      <x:c r="E59" s="47" t="str">
        <x:v>2.10</x:v>
      </x:c>
      <x:c r="F59" s="47" t="str">
        <x:v>Static</x:v>
      </x:c>
      <x:c r="G59" s="48" t="str">
        <x:v>Stage 2 candidate - direct/deterministic</x:v>
      </x:c>
      <x:c r="H59" s="47" t="str">
        <x:v>High</x:v>
      </x:c>
      <x:c r="I59" s="47" t="str">
        <x:v>No</x:v>
      </x:c>
      <x:c r="J59" s="47" t="str">
        <x:v>ELIGIBLE</x:v>
      </x:c>
      <x:c r="K59" s="47" t="str">
        <x:v>NOT_RUN</x:v>
      </x:c>
    </x:row>
    <x:row r="60">
      <x:c r="A60" s="47" t="str">
        <x:v>IMO-008</x:v>
      </x:c>
      <x:c r="B60" s="48" t="str">
        <x:v>International Code for Ships Operating in Polar Waters (Polar Code)</x:v>
      </x:c>
      <x:c r="C60" s="47" t="str">
        <x:v>Resolution MSC.385(94), adopted 21 Nov 2014; consolidated with MEPC.264(68), adopted 15 May 2015</x:v>
      </x:c>
      <x:c r="D60" s="59" t="n">
        <x:v>10</x:v>
      </x:c>
      <x:c r="E60" s="47" t="str">
        <x:v>2.15</x:v>
      </x:c>
      <x:c r="F60" s="47" t="str">
        <x:v>Static</x:v>
      </x:c>
      <x:c r="G60" s="48" t="str">
        <x:v>Stage 2 candidate - direct/deterministic</x:v>
      </x:c>
      <x:c r="H60" s="47" t="str">
        <x:v>High</x:v>
      </x:c>
      <x:c r="I60" s="47" t="str">
        <x:v>No</x:v>
      </x:c>
      <x:c r="J60" s="47" t="str">
        <x:v>ELIGIBLE</x:v>
      </x:c>
      <x:c r="K60" s="47" t="str">
        <x:v>NOT_RUN</x:v>
      </x:c>
    </x:row>
    <x:row r="61">
      <x:c r="A61" s="47" t="str">
        <x:v>IMO-009</x:v>
      </x:c>
      <x:c r="B61" s="48" t="str">
        <x:v>International Code for Ships Operating in Polar Waters (Polar Code)</x:v>
      </x:c>
      <x:c r="C61" s="47" t="str">
        <x:v>Resolution MSC.385(94), adopted 21 Nov 2014; consolidated with MEPC.264(68), adopted 15 May 2015</x:v>
      </x:c>
      <x:c r="D61" s="59" t="n">
        <x:v>13</x:v>
      </x:c>
      <x:c r="E61" s="47" t="str">
        <x:v>1.2.1</x:v>
      </x:c>
      <x:c r="F61" s="47" t="str">
        <x:v>Static</x:v>
      </x:c>
      <x:c r="G61" s="48" t="str">
        <x:v>Stage 2 candidate - direct/deterministic</x:v>
      </x:c>
      <x:c r="H61" s="47" t="str">
        <x:v>High</x:v>
      </x:c>
      <x:c r="I61" s="47" t="str">
        <x:v>No</x:v>
      </x:c>
      <x:c r="J61" s="47" t="str">
        <x:v>ELIGIBLE</x:v>
      </x:c>
      <x:c r="K61" s="47" t="str">
        <x:v>NOT_RUN</x:v>
      </x:c>
    </x:row>
    <x:row r="62">
      <x:c r="A62" s="47" t="str">
        <x:v>IMO-010</x:v>
      </x:c>
      <x:c r="B62" s="48" t="str">
        <x:v>International Code for Ships Operating in Polar Waters (Polar Code)</x:v>
      </x:c>
      <x:c r="C62" s="47" t="str">
        <x:v>Resolution MSC.385(94), adopted 21 Nov 2014; consolidated with MEPC.264(68), adopted 15 May 2015</x:v>
      </x:c>
      <x:c r="D62" s="59" t="n">
        <x:v>13</x:v>
      </x:c>
      <x:c r="E62" s="47" t="str">
        <x:v>1.2.7</x:v>
      </x:c>
      <x:c r="F62" s="47" t="str">
        <x:v>Static</x:v>
      </x:c>
      <x:c r="G62" s="48" t="str">
        <x:v>Stage 2 candidate - direct/deterministic</x:v>
      </x:c>
      <x:c r="H62" s="47" t="str">
        <x:v>High</x:v>
      </x:c>
      <x:c r="I62" s="47" t="str">
        <x:v>No</x:v>
      </x:c>
      <x:c r="J62" s="47" t="str">
        <x:v>ELIGIBLE</x:v>
      </x:c>
      <x:c r="K62" s="47" t="str">
        <x:v>NOT_RUN</x:v>
      </x:c>
    </x:row>
    <x:row r="63">
      <x:c r="A63" s="47" t="str">
        <x:v>IMO-011</x:v>
      </x:c>
      <x:c r="B63" s="48" t="str">
        <x:v>International Code for Ships Operating in Polar Waters (Polar Code)</x:v>
      </x:c>
      <x:c r="C63" s="47" t="str">
        <x:v>Resolution MSC.385(94), adopted 21 Nov 2014; consolidated with MEPC.264(68), adopted 15 May 2015</x:v>
      </x:c>
      <x:c r="D63" s="59" t="n">
        <x:v>13</x:v>
      </x:c>
      <x:c r="E63" s="47" t="str">
        <x:v>1.2.9</x:v>
      </x:c>
      <x:c r="F63" s="47" t="str">
        <x:v>Complex</x:v>
      </x:c>
      <x:c r="G63" s="48" t="str">
        <x:v>Stage 2 candidate - complex readiness</x:v>
      </x:c>
      <x:c r="H63" s="47" t="str">
        <x:v>Complex readiness</x:v>
      </x:c>
      <x:c r="I63" s="47" t="str">
        <x:v>No</x:v>
      </x:c>
      <x:c r="J63" s="47" t="str">
        <x:v>ELIGIBLE</x:v>
      </x:c>
      <x:c r="K63" s="47" t="str">
        <x:v>NOT_RUN</x:v>
      </x:c>
    </x:row>
    <x:row r="64">
      <x:c r="A64" s="47" t="str">
        <x:v>IMO-012</x:v>
      </x:c>
      <x:c r="B64" s="48" t="str">
        <x:v>International Code for Ships Operating in Polar Waters (Polar Code)</x:v>
      </x:c>
      <x:c r="C64" s="47" t="str">
        <x:v>Resolution MSC.385(94), adopted 21 Nov 2014; consolidated with MEPC.264(68), adopted 15 May 2015</x:v>
      </x:c>
      <x:c r="D64" s="59" t="n">
        <x:v>14</x:v>
      </x:c>
      <x:c r="E64" s="47" t="str">
        <x:v>1.2.11</x:v>
      </x:c>
      <x:c r="F64" s="47" t="str">
        <x:v>Static Calculation</x:v>
      </x:c>
      <x:c r="G64" s="48" t="str">
        <x:v>Stage 2 candidate - direct/deterministic</x:v>
      </x:c>
      <x:c r="H64" s="47" t="str">
        <x:v>High</x:v>
      </x:c>
      <x:c r="I64" s="47" t="str">
        <x:v>No</x:v>
      </x:c>
      <x:c r="J64" s="47" t="str">
        <x:v>ELIGIBLE</x:v>
      </x:c>
      <x:c r="K64" s="47" t="str">
        <x:v>NOT_RUN</x:v>
      </x:c>
    </x:row>
    <x:row r="65">
      <x:c r="A65" s="47" t="str">
        <x:v>IMO-013</x:v>
      </x:c>
      <x:c r="B65" s="48" t="str">
        <x:v>International Code for Ships Operating in Polar Waters (Polar Code)</x:v>
      </x:c>
      <x:c r="C65" s="47" t="str">
        <x:v>Resolution MSC.385(94), adopted 21 Nov 2014; consolidated with MEPC.264(68), adopted 15 May 2015</x:v>
      </x:c>
      <x:c r="D65" s="59" t="n">
        <x:v>14</x:v>
      </x:c>
      <x:c r="E65" s="47" t="str">
        <x:v>1.2.12</x:v>
      </x:c>
      <x:c r="F65" s="47" t="str">
        <x:v>Static</x:v>
      </x:c>
      <x:c r="G65" s="48" t="str">
        <x:v>Stage 2 candidate - direct/deterministic</x:v>
      </x:c>
      <x:c r="H65" s="47" t="str">
        <x:v>High</x:v>
      </x:c>
      <x:c r="I65" s="47" t="str">
        <x:v>No</x:v>
      </x:c>
      <x:c r="J65" s="47" t="str">
        <x:v>ELIGIBLE</x:v>
      </x:c>
      <x:c r="K65" s="47" t="str">
        <x:v>NOT_RUN</x:v>
      </x:c>
    </x:row>
    <x:row r="66">
      <x:c r="A66" s="47" t="str">
        <x:v>IMO-014</x:v>
      </x:c>
      <x:c r="B66" s="48" t="str">
        <x:v>International Code for Ships Operating in Polar Waters (Polar Code)</x:v>
      </x:c>
      <x:c r="C66" s="47" t="str">
        <x:v>Resolution MSC.385(94), adopted 21 Nov 2014; consolidated with MEPC.264(68), adopted 15 May 2015</x:v>
      </x:c>
      <x:c r="D66" s="59" t="n">
        <x:v>14</x:v>
      </x:c>
      <x:c r="E66" s="47" t="str">
        <x:v>1.3.1</x:v>
      </x:c>
      <x:c r="F66" s="47" t="str">
        <x:v>Static</x:v>
      </x:c>
      <x:c r="G66" s="48" t="str">
        <x:v>Stage 2 candidate - direct/deterministic</x:v>
      </x:c>
      <x:c r="H66" s="47" t="str">
        <x:v>High</x:v>
      </x:c>
      <x:c r="I66" s="47" t="str">
        <x:v>No</x:v>
      </x:c>
      <x:c r="J66" s="47" t="str">
        <x:v>ELIGIBLE</x:v>
      </x:c>
      <x:c r="K66" s="47" t="str">
        <x:v>NOT_RUN</x:v>
      </x:c>
    </x:row>
    <x:row r="67">
      <x:c r="A67" s="47" t="str">
        <x:v>IMO-015</x:v>
      </x:c>
      <x:c r="B67" s="48" t="str">
        <x:v>International Code for Ships Operating in Polar Waters (Polar Code)</x:v>
      </x:c>
      <x:c r="C67" s="47" t="str">
        <x:v>Resolution MSC.385(94), adopted 21 Nov 2014; consolidated with MEPC.264(68), adopted 15 May 2015</x:v>
      </x:c>
      <x:c r="D67" s="59" t="n">
        <x:v>14</x:v>
      </x:c>
      <x:c r="E67" s="47" t="str">
        <x:v>1.3.2</x:v>
      </x:c>
      <x:c r="F67" s="47" t="str">
        <x:v>Physical Test</x:v>
      </x:c>
      <x:c r="G67" s="48" t="str">
        <x:v>Evidence-only - physical result not inferred by SHACL</x:v>
      </x:c>
      <x:c r="H67" s="47" t="str">
        <x:v>Medium</x:v>
      </x:c>
      <x:c r="I67" s="47" t="str">
        <x:v>No</x:v>
      </x:c>
      <x:c r="J67" s="47" t="str">
        <x:v>DEFERRED</x:v>
      </x:c>
      <x:c r="K67" s="47" t="str">
        <x:v>NOT_RUN</x:v>
      </x:c>
    </x:row>
    <x:row r="68">
      <x:c r="A68" s="47" t="str">
        <x:v>IMO-016</x:v>
      </x:c>
      <x:c r="B68" s="48" t="str">
        <x:v>International Code for Ships Operating in Polar Waters (Polar Code)</x:v>
      </x:c>
      <x:c r="C68" s="47" t="str">
        <x:v>Resolution MSC.385(94), adopted 21 Nov 2014; consolidated with MEPC.264(68), adopted 15 May 2015</x:v>
      </x:c>
      <x:c r="D68" s="59" t="n">
        <x:v>14</x:v>
      </x:c>
      <x:c r="E68" s="47" t="str">
        <x:v>1.3.5</x:v>
      </x:c>
      <x:c r="F68" s="47" t="str">
        <x:v>Static</x:v>
      </x:c>
      <x:c r="G68" s="48" t="str">
        <x:v>Stage 2 candidate - direct/deterministic</x:v>
      </x:c>
      <x:c r="H68" s="47" t="str">
        <x:v>High</x:v>
      </x:c>
      <x:c r="I68" s="47" t="str">
        <x:v>No</x:v>
      </x:c>
      <x:c r="J68" s="47" t="str">
        <x:v>ELIGIBLE</x:v>
      </x:c>
      <x:c r="K68" s="47" t="str">
        <x:v>NOT_RUN</x:v>
      </x:c>
    </x:row>
    <x:row r="69">
      <x:c r="A69" s="47" t="str">
        <x:v>IMO-017</x:v>
      </x:c>
      <x:c r="B69" s="48" t="str">
        <x:v>International Code for Ships Operating in Polar Waters (Polar Code)</x:v>
      </x:c>
      <x:c r="C69" s="47" t="str">
        <x:v>Resolution MSC.385(94), adopted 21 Nov 2014; consolidated with MEPC.264(68), adopted 15 May 2015</x:v>
      </x:c>
      <x:c r="D69" s="59" t="n">
        <x:v>14</x:v>
      </x:c>
      <x:c r="E69" s="47" t="str">
        <x:v>1.3.6</x:v>
      </x:c>
      <x:c r="F69" s="47" t="str">
        <x:v>Static</x:v>
      </x:c>
      <x:c r="G69" s="48" t="str">
        <x:v>Stage 2 candidate - direct/deterministic</x:v>
      </x:c>
      <x:c r="H69" s="47" t="str">
        <x:v>Medium</x:v>
      </x:c>
      <x:c r="I69" s="47" t="str">
        <x:v>No</x:v>
      </x:c>
      <x:c r="J69" s="47" t="str">
        <x:v>ELIGIBLE</x:v>
      </x:c>
      <x:c r="K69" s="47" t="str">
        <x:v>NOT_RUN</x:v>
      </x:c>
    </x:row>
    <x:row r="70">
      <x:c r="A70" s="47" t="str">
        <x:v>IMO-018</x:v>
      </x:c>
      <x:c r="B70" s="48" t="str">
        <x:v>International Code for Ships Operating in Polar Waters (Polar Code)</x:v>
      </x:c>
      <x:c r="C70" s="47" t="str">
        <x:v>Resolution MSC.385(94), adopted 21 Nov 2014; consolidated with MEPC.264(68), adopted 15 May 2015</x:v>
      </x:c>
      <x:c r="D70" s="59" t="n">
        <x:v>14</x:v>
      </x:c>
      <x:c r="E70" s="47" t="str">
        <x:v>1.3.7</x:v>
      </x:c>
      <x:c r="F70" s="47" t="str">
        <x:v>Static</x:v>
      </x:c>
      <x:c r="G70" s="48" t="str">
        <x:v>Stage 2 candidate - direct static</x:v>
      </x:c>
      <x:c r="H70" s="47" t="str">
        <x:v>Direct static</x:v>
      </x:c>
      <x:c r="I70" s="47" t="str">
        <x:v>No</x:v>
      </x:c>
      <x:c r="J70" s="47" t="str">
        <x:v>ELIGIBLE</x:v>
      </x:c>
      <x:c r="K70" s="47" t="str">
        <x:v>NOT_RUN</x:v>
      </x:c>
    </x:row>
    <x:row r="71">
      <x:c r="A71" s="47" t="str">
        <x:v>IMO-019</x:v>
      </x:c>
      <x:c r="B71" s="48" t="str">
        <x:v>International Code for Ships Operating in Polar Waters (Polar Code)</x:v>
      </x:c>
      <x:c r="C71" s="47" t="str">
        <x:v>Resolution MSC.385(94), adopted 21 Nov 2014; consolidated with MEPC.264(68), adopted 15 May 2015</x:v>
      </x:c>
      <x:c r="D71" s="59" t="n">
        <x:v>15</x:v>
      </x:c>
      <x:c r="E71" s="47" t="str">
        <x:v>1.4.2</x:v>
      </x:c>
      <x:c r="F71" s="47" t="str">
        <x:v>Static Calculation</x:v>
      </x:c>
      <x:c r="G71" s="48" t="str">
        <x:v>Stage 2 candidate - direct/deterministic</x:v>
      </x:c>
      <x:c r="H71" s="47" t="str">
        <x:v>High</x:v>
      </x:c>
      <x:c r="I71" s="47" t="str">
        <x:v>No</x:v>
      </x:c>
      <x:c r="J71" s="47" t="str">
        <x:v>ELIGIBLE</x:v>
      </x:c>
      <x:c r="K71" s="47" t="str">
        <x:v>NOT_RUN</x:v>
      </x:c>
    </x:row>
    <x:row r="72">
      <x:c r="A72" s="47" t="str">
        <x:v>IMO-020</x:v>
      </x:c>
      <x:c r="B72" s="48" t="str">
        <x:v>International Code for Ships Operating in Polar Waters (Polar Code)</x:v>
      </x:c>
      <x:c r="C72" s="47" t="str">
        <x:v>Resolution MSC.385(94), adopted 21 Nov 2014; consolidated with MEPC.264(68), adopted 15 May 2015</x:v>
      </x:c>
      <x:c r="D72" s="59" t="n">
        <x:v>15</x:v>
      </x:c>
      <x:c r="E72" s="47" t="str">
        <x:v>1.4.3</x:v>
      </x:c>
      <x:c r="F72" s="47" t="str">
        <x:v>Physical Test</x:v>
      </x:c>
      <x:c r="G72" s="48" t="str">
        <x:v>Evidence-only - physical result not inferred by SHACL</x:v>
      </x:c>
      <x:c r="H72" s="47" t="str">
        <x:v>Medium</x:v>
      </x:c>
      <x:c r="I72" s="47" t="str">
        <x:v>No</x:v>
      </x:c>
      <x:c r="J72" s="47" t="str">
        <x:v>DEFERRED</x:v>
      </x:c>
      <x:c r="K72" s="47" t="str">
        <x:v>NOT_RUN</x:v>
      </x:c>
    </x:row>
    <x:row r="73">
      <x:c r="A73" s="47" t="str">
        <x:v>IMO-021</x:v>
      </x:c>
      <x:c r="B73" s="48" t="str">
        <x:v>International Code for Ships Operating in Polar Waters (Polar Code)</x:v>
      </x:c>
      <x:c r="C73" s="47" t="str">
        <x:v>Resolution MSC.385(94), adopted 21 Nov 2014; consolidated with MEPC.264(68), adopted 15 May 2015</x:v>
      </x:c>
      <x:c r="D73" s="59" t="n">
        <x:v>15</x:v>
      </x:c>
      <x:c r="E73" s="47" t="str">
        <x:v>1.5</x:v>
      </x:c>
      <x:c r="F73" s="47" t="str">
        <x:v>Static</x:v>
      </x:c>
      <x:c r="G73" s="48" t="str">
        <x:v>Stage 2 candidate - direct static</x:v>
      </x:c>
      <x:c r="H73" s="47" t="str">
        <x:v>Direct static</x:v>
      </x:c>
      <x:c r="I73" s="47" t="str">
        <x:v>No</x:v>
      </x:c>
      <x:c r="J73" s="47" t="str">
        <x:v>ELIGIBLE</x:v>
      </x:c>
      <x:c r="K73" s="47" t="str">
        <x:v>NOT_RUN</x:v>
      </x:c>
    </x:row>
    <x:row r="74">
      <x:c r="A74" s="47" t="str">
        <x:v>IMO-022</x:v>
      </x:c>
      <x:c r="B74" s="48" t="str">
        <x:v>International Code for Ships Operating in Polar Waters (Polar Code)</x:v>
      </x:c>
      <x:c r="C74" s="47" t="str">
        <x:v>Resolution MSC.385(94), adopted 21 Nov 2014; consolidated with MEPC.264(68), adopted 15 May 2015</x:v>
      </x:c>
      <x:c r="D74" s="59" t="n">
        <x:v>15</x:v>
      </x:c>
      <x:c r="E74" s="47" t="str">
        <x:v>2.2.2</x:v>
      </x:c>
      <x:c r="F74" s="47" t="str">
        <x:v>Static</x:v>
      </x:c>
      <x:c r="G74" s="48" t="str">
        <x:v>Stage 2 candidate - direct/deterministic</x:v>
      </x:c>
      <x:c r="H74" s="47" t="str">
        <x:v>High</x:v>
      </x:c>
      <x:c r="I74" s="47" t="str">
        <x:v>No</x:v>
      </x:c>
      <x:c r="J74" s="47" t="str">
        <x:v>ELIGIBLE</x:v>
      </x:c>
      <x:c r="K74" s="47" t="str">
        <x:v>NOT_RUN</x:v>
      </x:c>
    </x:row>
    <x:row r="75">
      <x:c r="A75" s="47" t="str">
        <x:v>IMO-023</x:v>
      </x:c>
      <x:c r="B75" s="48" t="str">
        <x:v>International Code for Ships Operating in Polar Waters (Polar Code)</x:v>
      </x:c>
      <x:c r="C75" s="47" t="str">
        <x:v>Resolution MSC.385(94), adopted 21 Nov 2014; consolidated with MEPC.264(68), adopted 15 May 2015</x:v>
      </x:c>
      <x:c r="D75" s="59" t="n">
        <x:v>15</x:v>
      </x:c>
      <x:c r="E75" s="47" t="str">
        <x:v>2.2.3</x:v>
      </x:c>
      <x:c r="F75" s="47" t="str">
        <x:v>Static</x:v>
      </x:c>
      <x:c r="G75" s="48" t="str">
        <x:v>Stage 2 candidate - direct/deterministic</x:v>
      </x:c>
      <x:c r="H75" s="47" t="str">
        <x:v>High</x:v>
      </x:c>
      <x:c r="I75" s="47" t="str">
        <x:v>No</x:v>
      </x:c>
      <x:c r="J75" s="47" t="str">
        <x:v>ELIGIBLE</x:v>
      </x:c>
      <x:c r="K75" s="47" t="str">
        <x:v>NOT_RUN</x:v>
      </x:c>
    </x:row>
    <x:row r="76">
      <x:c r="A76" s="47" t="str">
        <x:v>IMO-024</x:v>
      </x:c>
      <x:c r="B76" s="48" t="str">
        <x:v>International Code for Ships Operating in Polar Waters (Polar Code)</x:v>
      </x:c>
      <x:c r="C76" s="47" t="str">
        <x:v>Resolution MSC.385(94), adopted 21 Nov 2014; consolidated with MEPC.264(68), adopted 15 May 2015</x:v>
      </x:c>
      <x:c r="D76" s="59" t="n">
        <x:v>15</x:v>
      </x:c>
      <x:c r="E76" s="47" t="str">
        <x:v>2.2.4</x:v>
      </x:c>
      <x:c r="F76" s="47" t="str">
        <x:v>Static</x:v>
      </x:c>
      <x:c r="G76" s="48" t="str">
        <x:v>Stage 2 candidate - direct/deterministic</x:v>
      </x:c>
      <x:c r="H76" s="47" t="str">
        <x:v>High</x:v>
      </x:c>
      <x:c r="I76" s="47" t="str">
        <x:v>No</x:v>
      </x:c>
      <x:c r="J76" s="47" t="str">
        <x:v>ELIGIBLE</x:v>
      </x:c>
      <x:c r="K76" s="47" t="str">
        <x:v>NOT_RUN</x:v>
      </x:c>
    </x:row>
    <x:row r="77">
      <x:c r="A77" s="47" t="str">
        <x:v>IMO-025</x:v>
      </x:c>
      <x:c r="B77" s="48" t="str">
        <x:v>International Code for Ships Operating in Polar Waters (Polar Code)</x:v>
      </x:c>
      <x:c r="C77" s="47" t="str">
        <x:v>Resolution MSC.385(94), adopted 21 Nov 2014; consolidated with MEPC.264(68), adopted 15 May 2015</x:v>
      </x:c>
      <x:c r="D77" s="59" t="n">
        <x:v>16</x:v>
      </x:c>
      <x:c r="E77" s="47" t="str">
        <x:v>2.3.1</x:v>
      </x:c>
      <x:c r="F77" s="47" t="str">
        <x:v>Static</x:v>
      </x:c>
      <x:c r="G77" s="48" t="str">
        <x:v>Stage 2 candidate - direct/deterministic</x:v>
      </x:c>
      <x:c r="H77" s="47" t="str">
        <x:v>High</x:v>
      </x:c>
      <x:c r="I77" s="47" t="str">
        <x:v>No</x:v>
      </x:c>
      <x:c r="J77" s="47" t="str">
        <x:v>ELIGIBLE</x:v>
      </x:c>
      <x:c r="K77" s="47" t="str">
        <x:v>NOT_RUN</x:v>
      </x:c>
    </x:row>
    <x:row r="78">
      <x:c r="A78" s="47" t="str">
        <x:v>IMO-026</x:v>
      </x:c>
      <x:c r="B78" s="48" t="str">
        <x:v>International Code for Ships Operating in Polar Waters (Polar Code)</x:v>
      </x:c>
      <x:c r="C78" s="47" t="str">
        <x:v>Resolution MSC.385(94), adopted 21 Nov 2014; consolidated with MEPC.264(68), adopted 15 May 2015</x:v>
      </x:c>
      <x:c r="D78" s="59" t="n">
        <x:v>16</x:v>
      </x:c>
      <x:c r="E78" s="47" t="str">
        <x:v>2.3.2</x:v>
      </x:c>
      <x:c r="F78" s="47" t="str">
        <x:v>Static</x:v>
      </x:c>
      <x:c r="G78" s="48" t="str">
        <x:v>Stage 2 candidate - direct/deterministic</x:v>
      </x:c>
      <x:c r="H78" s="47" t="str">
        <x:v>High</x:v>
      </x:c>
      <x:c r="I78" s="47" t="str">
        <x:v>No</x:v>
      </x:c>
      <x:c r="J78" s="47" t="str">
        <x:v>ELIGIBLE</x:v>
      </x:c>
      <x:c r="K78" s="47" t="str">
        <x:v>NOT_RUN</x:v>
      </x:c>
    </x:row>
    <x:row r="79">
      <x:c r="A79" s="47" t="str">
        <x:v>IMO-027</x:v>
      </x:c>
      <x:c r="B79" s="48" t="str">
        <x:v>International Code for Ships Operating in Polar Waters (Polar Code)</x:v>
      </x:c>
      <x:c r="C79" s="47" t="str">
        <x:v>Resolution MSC.385(94), adopted 21 Nov 2014; consolidated with MEPC.264(68), adopted 15 May 2015</x:v>
      </x:c>
      <x:c r="D79" s="59" t="n">
        <x:v>16</x:v>
      </x:c>
      <x:c r="E79" s="47" t="str">
        <x:v>2.3.3</x:v>
      </x:c>
      <x:c r="F79" s="47" t="str">
        <x:v>Static</x:v>
      </x:c>
      <x:c r="G79" s="48" t="str">
        <x:v>Stage 2 candidate - direct static</x:v>
      </x:c>
      <x:c r="H79" s="47" t="str">
        <x:v>Direct static</x:v>
      </x:c>
      <x:c r="I79" s="47" t="str">
        <x:v>No</x:v>
      </x:c>
      <x:c r="J79" s="47" t="str">
        <x:v>ELIGIBLE</x:v>
      </x:c>
      <x:c r="K79" s="47" t="str">
        <x:v>NOT_RUN</x:v>
      </x:c>
    </x:row>
    <x:row r="80">
      <x:c r="A80" s="47" t="str">
        <x:v>IMO-028</x:v>
      </x:c>
      <x:c r="B80" s="48" t="str">
        <x:v>International Code for Ships Operating in Polar Waters (Polar Code)</x:v>
      </x:c>
      <x:c r="C80" s="47" t="str">
        <x:v>Resolution MSC.385(94), adopted 21 Nov 2014; consolidated with MEPC.264(68), adopted 15 May 2015</x:v>
      </x:c>
      <x:c r="D80" s="59" t="n">
        <x:v>16</x:v>
      </x:c>
      <x:c r="E80" s="47" t="str">
        <x:v>2.3.4</x:v>
      </x:c>
      <x:c r="F80" s="47" t="str">
        <x:v>Static</x:v>
      </x:c>
      <x:c r="G80" s="48" t="str">
        <x:v>Stage 2 candidate - direct static</x:v>
      </x:c>
      <x:c r="H80" s="47" t="str">
        <x:v>Direct static</x:v>
      </x:c>
      <x:c r="I80" s="47" t="str">
        <x:v>No</x:v>
      </x:c>
      <x:c r="J80" s="47" t="str">
        <x:v>ELIGIBLE</x:v>
      </x:c>
      <x:c r="K80" s="47" t="str">
        <x:v>NOT_RUN</x:v>
      </x:c>
    </x:row>
    <x:row r="81">
      <x:c r="A81" s="47" t="str">
        <x:v>IMO-029</x:v>
      </x:c>
      <x:c r="B81" s="48" t="str">
        <x:v>International Code for Ships Operating in Polar Waters (Polar Code)</x:v>
      </x:c>
      <x:c r="C81" s="47" t="str">
        <x:v>Resolution MSC.385(94), adopted 21 Nov 2014; consolidated with MEPC.264(68), adopted 15 May 2015</x:v>
      </x:c>
      <x:c r="D81" s="59" t="n">
        <x:v>16</x:v>
      </x:c>
      <x:c r="E81" s="47" t="str">
        <x:v>2.3.5</x:v>
      </x:c>
      <x:c r="F81" s="47" t="str">
        <x:v>Static</x:v>
      </x:c>
      <x:c r="G81" s="48" t="str">
        <x:v>Stage 2 candidate - direct/deterministic</x:v>
      </x:c>
      <x:c r="H81" s="47" t="str">
        <x:v>High</x:v>
      </x:c>
      <x:c r="I81" s="47" t="str">
        <x:v>No</x:v>
      </x:c>
      <x:c r="J81" s="47" t="str">
        <x:v>ELIGIBLE</x:v>
      </x:c>
      <x:c r="K81" s="47" t="str">
        <x:v>NOT_RUN</x:v>
      </x:c>
    </x:row>
    <x:row r="82">
      <x:c r="A82" s="47" t="str">
        <x:v>IMO-030</x:v>
      </x:c>
      <x:c r="B82" s="48" t="str">
        <x:v>International Code for Ships Operating in Polar Waters (Polar Code)</x:v>
      </x:c>
      <x:c r="C82" s="47" t="str">
        <x:v>Resolution MSC.385(94), adopted 21 Nov 2014; consolidated with MEPC.264(68), adopted 15 May 2015</x:v>
      </x:c>
      <x:c r="D82" s="59" t="n">
        <x:v>16</x:v>
      </x:c>
      <x:c r="E82" s="47" t="str">
        <x:v>2.3.6</x:v>
      </x:c>
      <x:c r="F82" s="47" t="str">
        <x:v>Static</x:v>
      </x:c>
      <x:c r="G82" s="48" t="str">
        <x:v>Stage 2 candidate - direct static</x:v>
      </x:c>
      <x:c r="H82" s="47" t="str">
        <x:v>Direct static</x:v>
      </x:c>
      <x:c r="I82" s="47" t="str">
        <x:v>No</x:v>
      </x:c>
      <x:c r="J82" s="47" t="str">
        <x:v>ELIGIBLE</x:v>
      </x:c>
      <x:c r="K82" s="47" t="str">
        <x:v>NOT_RUN</x:v>
      </x:c>
    </x:row>
    <x:row r="83">
      <x:c r="A83" s="47" t="str">
        <x:v>IMO-031</x:v>
      </x:c>
      <x:c r="B83" s="48" t="str">
        <x:v>International Code for Ships Operating in Polar Waters (Polar Code)</x:v>
      </x:c>
      <x:c r="C83" s="47" t="str">
        <x:v>Resolution MSC.385(94), adopted 21 Nov 2014; consolidated with MEPC.264(68), adopted 15 May 2015</x:v>
      </x:c>
      <x:c r="D83" s="59" t="n">
        <x:v>17</x:v>
      </x:c>
      <x:c r="E83" s="47" t="str">
        <x:v>3.3.1</x:v>
      </x:c>
      <x:c r="F83" s="47" t="str">
        <x:v>Static</x:v>
      </x:c>
      <x:c r="G83" s="48" t="str">
        <x:v>Stage 2 candidate - direct static</x:v>
      </x:c>
      <x:c r="H83" s="47" t="str">
        <x:v>Direct static</x:v>
      </x:c>
      <x:c r="I83" s="47" t="str">
        <x:v>No</x:v>
      </x:c>
      <x:c r="J83" s="47" t="str">
        <x:v>ELIGIBLE</x:v>
      </x:c>
      <x:c r="K83" s="47" t="str">
        <x:v>NOT_RUN</x:v>
      </x:c>
    </x:row>
    <x:row r="84">
      <x:c r="A84" s="47" t="str">
        <x:v>IMO-032</x:v>
      </x:c>
      <x:c r="B84" s="48" t="str">
        <x:v>International Code for Ships Operating in Polar Waters (Polar Code)</x:v>
      </x:c>
      <x:c r="C84" s="47" t="str">
        <x:v>Resolution MSC.385(94), adopted 21 Nov 2014; consolidated with MEPC.264(68), adopted 15 May 2015</x:v>
      </x:c>
      <x:c r="D84" s="59" t="n">
        <x:v>17</x:v>
      </x:c>
      <x:c r="E84" s="47" t="str">
        <x:v>3.3.2.1-.3</x:v>
      </x:c>
      <x:c r="F84" s="47" t="str">
        <x:v>Static</x:v>
      </x:c>
      <x:c r="G84" s="48" t="str">
        <x:v>Stage 2 candidate - direct static</x:v>
      </x:c>
      <x:c r="H84" s="47" t="str">
        <x:v>Direct static</x:v>
      </x:c>
      <x:c r="I84" s="47" t="str">
        <x:v>No</x:v>
      </x:c>
      <x:c r="J84" s="47" t="str">
        <x:v>ELIGIBLE</x:v>
      </x:c>
      <x:c r="K84" s="47" t="str">
        <x:v>NOT_RUN</x:v>
      </x:c>
    </x:row>
    <x:row r="85">
      <x:c r="A85" s="47" t="str">
        <x:v>IMO-033</x:v>
      </x:c>
      <x:c r="B85" s="48" t="str">
        <x:v>International Code for Ships Operating in Polar Waters (Polar Code)</x:v>
      </x:c>
      <x:c r="C85" s="47" t="str">
        <x:v>Resolution MSC.385(94), adopted 21 Nov 2014; consolidated with MEPC.264(68), adopted 15 May 2015</x:v>
      </x:c>
      <x:c r="D85" s="59" t="n">
        <x:v>18</x:v>
      </x:c>
      <x:c r="E85" s="47" t="str">
        <x:v>4.3.1.1</x:v>
      </x:c>
      <x:c r="F85" s="47" t="str">
        <x:v>Static Calculation</x:v>
      </x:c>
      <x:c r="G85" s="48" t="str">
        <x:v>Stage 2 candidate - direct/deterministic</x:v>
      </x:c>
      <x:c r="H85" s="47" t="str">
        <x:v>High</x:v>
      </x:c>
      <x:c r="I85" s="47" t="str">
        <x:v>No</x:v>
      </x:c>
      <x:c r="J85" s="47" t="str">
        <x:v>ELIGIBLE</x:v>
      </x:c>
      <x:c r="K85" s="47" t="str">
        <x:v>NOT_RUN</x:v>
      </x:c>
    </x:row>
    <x:row r="86">
      <x:c r="A86" s="47" t="str">
        <x:v>IMO-034</x:v>
      </x:c>
      <x:c r="B86" s="48" t="str">
        <x:v>International Code for Ships Operating in Polar Waters (Polar Code)</x:v>
      </x:c>
      <x:c r="C86" s="47" t="str">
        <x:v>Resolution MSC.385(94), adopted 21 Nov 2014; consolidated with MEPC.264(68), adopted 15 May 2015</x:v>
      </x:c>
      <x:c r="D86" s="59" t="n">
        <x:v>18</x:v>
      </x:c>
      <x:c r="E86" s="47" t="str">
        <x:v>4.3.1.2</x:v>
      </x:c>
      <x:c r="F86" s="47" t="str">
        <x:v>Static</x:v>
      </x:c>
      <x:c r="G86" s="48" t="str">
        <x:v>Stage 2 candidate - direct static</x:v>
      </x:c>
      <x:c r="H86" s="47" t="str">
        <x:v>Direct static</x:v>
      </x:c>
      <x:c r="I86" s="47" t="str">
        <x:v>No</x:v>
      </x:c>
      <x:c r="J86" s="47" t="str">
        <x:v>ELIGIBLE</x:v>
      </x:c>
      <x:c r="K86" s="47" t="str">
        <x:v>NOT_RUN</x:v>
      </x:c>
    </x:row>
    <x:row r="87">
      <x:c r="A87" s="47" t="str">
        <x:v>IMO-035</x:v>
      </x:c>
      <x:c r="B87" s="48" t="str">
        <x:v>International Code for Ships Operating in Polar Waters (Polar Code)</x:v>
      </x:c>
      <x:c r="C87" s="47" t="str">
        <x:v>Resolution MSC.385(94), adopted 21 Nov 2014; consolidated with MEPC.264(68), adopted 15 May 2015</x:v>
      </x:c>
      <x:c r="D87" s="59" t="n">
        <x:v>18</x:v>
      </x:c>
      <x:c r="E87" s="47" t="str">
        <x:v>4.3.1.3</x:v>
      </x:c>
      <x:c r="F87" s="47" t="str">
        <x:v>Static</x:v>
      </x:c>
      <x:c r="G87" s="48" t="str">
        <x:v>Stage 2 candidate - direct/deterministic</x:v>
      </x:c>
      <x:c r="H87" s="47" t="str">
        <x:v>High</x:v>
      </x:c>
      <x:c r="I87" s="47" t="str">
        <x:v>No</x:v>
      </x:c>
      <x:c r="J87" s="47" t="str">
        <x:v>ELIGIBLE</x:v>
      </x:c>
      <x:c r="K87" s="47" t="str">
        <x:v>NOT_RUN</x:v>
      </x:c>
    </x:row>
    <x:row r="88">
      <x:c r="A88" s="47" t="str">
        <x:v>IMO-036</x:v>
      </x:c>
      <x:c r="B88" s="48" t="str">
        <x:v>International Code for Ships Operating in Polar Waters (Polar Code)</x:v>
      </x:c>
      <x:c r="C88" s="47" t="str">
        <x:v>Resolution MSC.385(94), adopted 21 Nov 2014; consolidated with MEPC.264(68), adopted 15 May 2015</x:v>
      </x:c>
      <x:c r="D88" s="59" t="n">
        <x:v>18</x:v>
      </x:c>
      <x:c r="E88" s="47" t="str">
        <x:v>4.3.1.4</x:v>
      </x:c>
      <x:c r="F88" s="47" t="str">
        <x:v>Dynamic</x:v>
      </x:c>
      <x:c r="G88" s="48" t="str">
        <x:v>Deferred - observation/history/simulation design required</x:v>
      </x:c>
      <x:c r="H88" s="47" t="str">
        <x:v>Medium</x:v>
      </x:c>
      <x:c r="I88" s="47" t="str">
        <x:v>No</x:v>
      </x:c>
      <x:c r="J88" s="47" t="str">
        <x:v>DEFERRED</x:v>
      </x:c>
      <x:c r="K88" s="47" t="str">
        <x:v>NOT_RUN</x:v>
      </x:c>
    </x:row>
    <x:row r="89">
      <x:c r="A89" s="47" t="str">
        <x:v>IMO-037</x:v>
      </x:c>
      <x:c r="B89" s="48" t="str">
        <x:v>International Code for Ships Operating in Polar Waters (Polar Code)</x:v>
      </x:c>
      <x:c r="C89" s="47" t="str">
        <x:v>Resolution MSC.385(94), adopted 21 Nov 2014; consolidated with MEPC.264(68), adopted 15 May 2015</x:v>
      </x:c>
      <x:c r="D89" s="59" t="n">
        <x:v>19</x:v>
      </x:c>
      <x:c r="E89" s="47" t="str">
        <x:v>4.3.2.1</x:v>
      </x:c>
      <x:c r="F89" s="47" t="str">
        <x:v>Complex</x:v>
      </x:c>
      <x:c r="G89" s="48" t="str">
        <x:v>Stage 2 candidate - complex readiness</x:v>
      </x:c>
      <x:c r="H89" s="47" t="str">
        <x:v>Complex readiness</x:v>
      </x:c>
      <x:c r="I89" s="47" t="str">
        <x:v>No</x:v>
      </x:c>
      <x:c r="J89" s="47" t="str">
        <x:v>ELIGIBLE</x:v>
      </x:c>
      <x:c r="K89" s="47" t="str">
        <x:v>NOT_RUN</x:v>
      </x:c>
    </x:row>
    <x:row r="90">
      <x:c r="A90" s="47" t="str">
        <x:v>IMO-038</x:v>
      </x:c>
      <x:c r="B90" s="48" t="str">
        <x:v>International Code for Ships Operating in Polar Waters (Polar Code)</x:v>
      </x:c>
      <x:c r="C90" s="47" t="str">
        <x:v>Resolution MSC.385(94), adopted 21 Nov 2014; consolidated with MEPC.264(68), adopted 15 May 2015</x:v>
      </x:c>
      <x:c r="D90" s="59" t="n">
        <x:v>19</x:v>
      </x:c>
      <x:c r="E90" s="47" t="str">
        <x:v>4.3.2.2</x:v>
      </x:c>
      <x:c r="F90" s="47" t="str">
        <x:v>Static Calculation</x:v>
      </x:c>
      <x:c r="G90" s="48" t="str">
        <x:v>Stage 2 candidate - direct/deterministic</x:v>
      </x:c>
      <x:c r="H90" s="47" t="str">
        <x:v>High</x:v>
      </x:c>
      <x:c r="I90" s="47" t="str">
        <x:v>No</x:v>
      </x:c>
      <x:c r="J90" s="47" t="str">
        <x:v>ELIGIBLE</x:v>
      </x:c>
      <x:c r="K90" s="47" t="str">
        <x:v>NOT_RUN</x:v>
      </x:c>
    </x:row>
    <x:row r="91">
      <x:c r="A91" s="47" t="str">
        <x:v>IMO-039</x:v>
      </x:c>
      <x:c r="B91" s="48" t="str">
        <x:v>International Code for Ships Operating in Polar Waters (Polar Code)</x:v>
      </x:c>
      <x:c r="C91" s="47" t="str">
        <x:v>Resolution MSC.385(94), adopted 21 Nov 2014; consolidated with MEPC.264(68), adopted 15 May 2015</x:v>
      </x:c>
      <x:c r="D91" s="59" t="n">
        <x:v>19</x:v>
      </x:c>
      <x:c r="E91" s="47" t="str">
        <x:v>5.2</x:v>
      </x:c>
      <x:c r="F91" s="47" t="str">
        <x:v>Physical Test</x:v>
      </x:c>
      <x:c r="G91" s="48" t="str">
        <x:v>Evidence-only - physical result not inferred by SHACL</x:v>
      </x:c>
      <x:c r="H91" s="47" t="str">
        <x:v>Medium</x:v>
      </x:c>
      <x:c r="I91" s="47" t="str">
        <x:v>No</x:v>
      </x:c>
      <x:c r="J91" s="47" t="str">
        <x:v>DEFERRED</x:v>
      </x:c>
      <x:c r="K91" s="47" t="str">
        <x:v>NOT_RUN</x:v>
      </x:c>
    </x:row>
    <x:row r="92">
      <x:c r="A92" s="47" t="str">
        <x:v>IMO-040</x:v>
      </x:c>
      <x:c r="B92" s="48" t="str">
        <x:v>International Code for Ships Operating in Polar Waters (Polar Code)</x:v>
      </x:c>
      <x:c r="C92" s="47" t="str">
        <x:v>Resolution MSC.385(94), adopted 21 Nov 2014; consolidated with MEPC.264(68), adopted 15 May 2015</x:v>
      </x:c>
      <x:c r="D92" s="59" t="n">
        <x:v>19</x:v>
      </x:c>
      <x:c r="E92" s="47" t="str">
        <x:v>5.3.1</x:v>
      </x:c>
      <x:c r="F92" s="47" t="str">
        <x:v>Static</x:v>
      </x:c>
      <x:c r="G92" s="48" t="str">
        <x:v>Stage 2 candidate - direct/deterministic</x:v>
      </x:c>
      <x:c r="H92" s="47" t="str">
        <x:v>High</x:v>
      </x:c>
      <x:c r="I92" s="47" t="str">
        <x:v>No</x:v>
      </x:c>
      <x:c r="J92" s="47" t="str">
        <x:v>ELIGIBLE</x:v>
      </x:c>
      <x:c r="K92" s="47" t="str">
        <x:v>NOT_RUN</x:v>
      </x:c>
    </x:row>
    <x:row r="93">
      <x:c r="A93" s="47" t="str">
        <x:v>IMO-041</x:v>
      </x:c>
      <x:c r="B93" s="48" t="str">
        <x:v>International Code for Ships Operating in Polar Waters (Polar Code)</x:v>
      </x:c>
      <x:c r="C93" s="47" t="str">
        <x:v>Resolution MSC.385(94), adopted 21 Nov 2014; consolidated with MEPC.264(68), adopted 15 May 2015</x:v>
      </x:c>
      <x:c r="D93" s="59" t="n">
        <x:v>19</x:v>
      </x:c>
      <x:c r="E93" s="47" t="str">
        <x:v>5.3.2.1</x:v>
      </x:c>
      <x:c r="F93" s="47" t="str">
        <x:v>Static</x:v>
      </x:c>
      <x:c r="G93" s="48" t="str">
        <x:v>Stage 2 candidate - direct/deterministic</x:v>
      </x:c>
      <x:c r="H93" s="47" t="str">
        <x:v>High</x:v>
      </x:c>
      <x:c r="I93" s="47" t="str">
        <x:v>No</x:v>
      </x:c>
      <x:c r="J93" s="47" t="str">
        <x:v>ELIGIBLE</x:v>
      </x:c>
      <x:c r="K93" s="47" t="str">
        <x:v>NOT_RUN</x:v>
      </x:c>
    </x:row>
    <x:row r="94">
      <x:c r="A94" s="47" t="str">
        <x:v>IMO-042</x:v>
      </x:c>
      <x:c r="B94" s="48" t="str">
        <x:v>International Code for Ships Operating in Polar Waters (Polar Code)</x:v>
      </x:c>
      <x:c r="C94" s="47" t="str">
        <x:v>Resolution MSC.385(94), adopted 21 Nov 2014; consolidated with MEPC.264(68), adopted 15 May 2015</x:v>
      </x:c>
      <x:c r="D94" s="59" t="n">
        <x:v>20</x:v>
      </x:c>
      <x:c r="E94" s="47" t="str">
        <x:v>5.3.2.2</x:v>
      </x:c>
      <x:c r="F94" s="47" t="str">
        <x:v>Physical Test</x:v>
      </x:c>
      <x:c r="G94" s="48" t="str">
        <x:v>Evidence-only - physical result not inferred by SHACL</x:v>
      </x:c>
      <x:c r="H94" s="47" t="str">
        <x:v>Medium</x:v>
      </x:c>
      <x:c r="I94" s="47" t="str">
        <x:v>No</x:v>
      </x:c>
      <x:c r="J94" s="47" t="str">
        <x:v>DEFERRED</x:v>
      </x:c>
      <x:c r="K94" s="47" t="str">
        <x:v>NOT_RUN</x:v>
      </x:c>
    </x:row>
    <x:row r="95">
      <x:c r="A95" s="47" t="str">
        <x:v>IMO-043</x:v>
      </x:c>
      <x:c r="B95" s="48" t="str">
        <x:v>International Code for Ships Operating in Polar Waters (Polar Code)</x:v>
      </x:c>
      <x:c r="C95" s="47" t="str">
        <x:v>Resolution MSC.385(94), adopted 21 Nov 2014; consolidated with MEPC.264(68), adopted 15 May 2015</x:v>
      </x:c>
      <x:c r="D95" s="59" t="n">
        <x:v>20</x:v>
      </x:c>
      <x:c r="E95" s="47" t="str">
        <x:v>6.3.1.1</x:v>
      </x:c>
      <x:c r="F95" s="47" t="str">
        <x:v>Static</x:v>
      </x:c>
      <x:c r="G95" s="48" t="str">
        <x:v>Stage 2 candidate - direct/deterministic</x:v>
      </x:c>
      <x:c r="H95" s="47" t="str">
        <x:v>Medium</x:v>
      </x:c>
      <x:c r="I95" s="47" t="str">
        <x:v>No</x:v>
      </x:c>
      <x:c r="J95" s="47" t="str">
        <x:v>ELIGIBLE</x:v>
      </x:c>
      <x:c r="K95" s="47" t="str">
        <x:v>NOT_RUN</x:v>
      </x:c>
    </x:row>
    <x:row r="96">
      <x:c r="A96" s="47" t="str">
        <x:v>IMO-044</x:v>
      </x:c>
      <x:c r="B96" s="48" t="str">
        <x:v>International Code for Ships Operating in Polar Waters (Polar Code)</x:v>
      </x:c>
      <x:c r="C96" s="47" t="str">
        <x:v>Resolution MSC.385(94), adopted 21 Nov 2014; consolidated with MEPC.264(68), adopted 15 May 2015</x:v>
      </x:c>
      <x:c r="D96" s="59" t="n">
        <x:v>21</x:v>
      </x:c>
      <x:c r="E96" s="47" t="str">
        <x:v>6.3.1.2</x:v>
      </x:c>
      <x:c r="F96" s="47" t="str">
        <x:v>Dynamic</x:v>
      </x:c>
      <x:c r="G96" s="48" t="str">
        <x:v>Deferred - observation/history/simulation design required</x:v>
      </x:c>
      <x:c r="H96" s="47" t="str">
        <x:v>Medium</x:v>
      </x:c>
      <x:c r="I96" s="47" t="str">
        <x:v>No</x:v>
      </x:c>
      <x:c r="J96" s="47" t="str">
        <x:v>DEFERRED</x:v>
      </x:c>
      <x:c r="K96" s="47" t="str">
        <x:v>NOT_RUN</x:v>
      </x:c>
    </x:row>
    <x:row r="97">
      <x:c r="A97" s="47" t="str">
        <x:v>IMO-045</x:v>
      </x:c>
      <x:c r="B97" s="48" t="str">
        <x:v>International Code for Ships Operating in Polar Waters (Polar Code)</x:v>
      </x:c>
      <x:c r="C97" s="47" t="str">
        <x:v>Resolution MSC.385(94), adopted 21 Nov 2014; consolidated with MEPC.264(68), adopted 15 May 2015</x:v>
      </x:c>
      <x:c r="D97" s="59" t="n">
        <x:v>21</x:v>
      </x:c>
      <x:c r="E97" s="47" t="str">
        <x:v>6.3.1.3</x:v>
      </x:c>
      <x:c r="F97" s="47" t="str">
        <x:v>Static</x:v>
      </x:c>
      <x:c r="G97" s="48" t="str">
        <x:v>Stage 2 candidate - direct/deterministic</x:v>
      </x:c>
      <x:c r="H97" s="47" t="str">
        <x:v>High</x:v>
      </x:c>
      <x:c r="I97" s="47" t="str">
        <x:v>No</x:v>
      </x:c>
      <x:c r="J97" s="47" t="str">
        <x:v>ELIGIBLE</x:v>
      </x:c>
      <x:c r="K97" s="47" t="str">
        <x:v>NOT_RUN</x:v>
      </x:c>
    </x:row>
    <x:row r="98">
      <x:c r="A98" s="47" t="str">
        <x:v>IMO-046</x:v>
      </x:c>
      <x:c r="B98" s="48" t="str">
        <x:v>International Code for Ships Operating in Polar Waters (Polar Code)</x:v>
      </x:c>
      <x:c r="C98" s="47" t="str">
        <x:v>Resolution MSC.385(94), adopted 21 Nov 2014; consolidated with MEPC.264(68), adopted 15 May 2015</x:v>
      </x:c>
      <x:c r="D98" s="59" t="n">
        <x:v>21</x:v>
      </x:c>
      <x:c r="E98" s="47" t="str">
        <x:v>6.3.2.1</x:v>
      </x:c>
      <x:c r="F98" s="47" t="str">
        <x:v>Physical Test</x:v>
      </x:c>
      <x:c r="G98" s="48" t="str">
        <x:v>Evidence-only - physical result not inferred by SHACL</x:v>
      </x:c>
      <x:c r="H98" s="47" t="str">
        <x:v>Medium</x:v>
      </x:c>
      <x:c r="I98" s="47" t="str">
        <x:v>No</x:v>
      </x:c>
      <x:c r="J98" s="47" t="str">
        <x:v>DEFERRED</x:v>
      </x:c>
      <x:c r="K98" s="47" t="str">
        <x:v>NOT_RUN</x:v>
      </x:c>
    </x:row>
    <x:row r="99">
      <x:c r="A99" s="47" t="str">
        <x:v>IMO-047</x:v>
      </x:c>
      <x:c r="B99" s="48" t="str">
        <x:v>International Code for Ships Operating in Polar Waters (Polar Code)</x:v>
      </x:c>
      <x:c r="C99" s="47" t="str">
        <x:v>Resolution MSC.385(94), adopted 21 Nov 2014; consolidated with MEPC.264(68), adopted 15 May 2015</x:v>
      </x:c>
      <x:c r="D99" s="59" t="n">
        <x:v>21</x:v>
      </x:c>
      <x:c r="E99" s="47" t="str">
        <x:v>6.3.2.2</x:v>
      </x:c>
      <x:c r="F99" s="47" t="str">
        <x:v>Static</x:v>
      </x:c>
      <x:c r="G99" s="48" t="str">
        <x:v>Stage 2 candidate - direct/deterministic</x:v>
      </x:c>
      <x:c r="H99" s="47" t="str">
        <x:v>High</x:v>
      </x:c>
      <x:c r="I99" s="47" t="str">
        <x:v>No</x:v>
      </x:c>
      <x:c r="J99" s="47" t="str">
        <x:v>ELIGIBLE</x:v>
      </x:c>
      <x:c r="K99" s="47" t="str">
        <x:v>NOT_RUN</x:v>
      </x:c>
    </x:row>
    <x:row r="100">
      <x:c r="A100" s="47" t="str">
        <x:v>IMO-048</x:v>
      </x:c>
      <x:c r="B100" s="48" t="str">
        <x:v>International Code for Ships Operating in Polar Waters (Polar Code)</x:v>
      </x:c>
      <x:c r="C100" s="47" t="str">
        <x:v>Resolution MSC.385(94), adopted 21 Nov 2014; consolidated with MEPC.264(68), adopted 15 May 2015</x:v>
      </x:c>
      <x:c r="D100" s="59" t="n">
        <x:v>21</x:v>
      </x:c>
      <x:c r="E100" s="47" t="str">
        <x:v>6.3.2.3</x:v>
      </x:c>
      <x:c r="F100" s="47" t="str">
        <x:v>Static</x:v>
      </x:c>
      <x:c r="G100" s="48" t="str">
        <x:v>Stage 2 candidate - direct static</x:v>
      </x:c>
      <x:c r="H100" s="47" t="str">
        <x:v>Direct static</x:v>
      </x:c>
      <x:c r="I100" s="47" t="str">
        <x:v>No</x:v>
      </x:c>
      <x:c r="J100" s="47" t="str">
        <x:v>ELIGIBLE</x:v>
      </x:c>
      <x:c r="K100" s="47" t="str">
        <x:v>NOT_RUN</x:v>
      </x:c>
    </x:row>
    <x:row r="101">
      <x:c r="A101" s="47" t="str">
        <x:v>IMO-049</x:v>
      </x:c>
      <x:c r="B101" s="48" t="str">
        <x:v>International Code for Ships Operating in Polar Waters (Polar Code)</x:v>
      </x:c>
      <x:c r="C101" s="47" t="str">
        <x:v>Resolution MSC.385(94), adopted 21 Nov 2014; consolidated with MEPC.264(68), adopted 15 May 2015</x:v>
      </x:c>
      <x:c r="D101" s="59" t="n">
        <x:v>21</x:v>
      </x:c>
      <x:c r="E101" s="47" t="str">
        <x:v>6.3.3.1-.3</x:v>
      </x:c>
      <x:c r="F101" s="47" t="str">
        <x:v>Static</x:v>
      </x:c>
      <x:c r="G101" s="48" t="str">
        <x:v>Stage 2 candidate - direct static</x:v>
      </x:c>
      <x:c r="H101" s="47" t="str">
        <x:v>Direct static</x:v>
      </x:c>
      <x:c r="I101" s="47" t="str">
        <x:v>No</x:v>
      </x:c>
      <x:c r="J101" s="47" t="str">
        <x:v>ELIGIBLE</x:v>
      </x:c>
      <x:c r="K101" s="47" t="str">
        <x:v>NOT_RUN</x:v>
      </x:c>
    </x:row>
    <x:row r="102">
      <x:c r="A102" s="47" t="str">
        <x:v>IMO-050</x:v>
      </x:c>
      <x:c r="B102" s="48" t="str">
        <x:v>International Code for Ships Operating in Polar Waters (Polar Code)</x:v>
      </x:c>
      <x:c r="C102" s="47" t="str">
        <x:v>Resolution MSC.385(94), adopted 21 Nov 2014; consolidated with MEPC.264(68), adopted 15 May 2015</x:v>
      </x:c>
      <x:c r="D102" s="59" t="n">
        <x:v>22</x:v>
      </x:c>
      <x:c r="E102" s="47" t="str">
        <x:v>7.2.1.1</x:v>
      </x:c>
      <x:c r="F102" s="47" t="str">
        <x:v>Static</x:v>
      </x:c>
      <x:c r="G102" s="48" t="str">
        <x:v>Stage 2 candidate - direct/deterministic</x:v>
      </x:c>
      <x:c r="H102" s="47" t="str">
        <x:v>High</x:v>
      </x:c>
      <x:c r="I102" s="47" t="str">
        <x:v>No</x:v>
      </x:c>
      <x:c r="J102" s="47" t="str">
        <x:v>ELIGIBLE</x:v>
      </x:c>
      <x:c r="K102" s="47" t="str">
        <x:v>NOT_RUN</x:v>
      </x:c>
    </x:row>
    <x:row r="103">
      <x:c r="A103" s="47" t="str">
        <x:v>IMO-051</x:v>
      </x:c>
      <x:c r="B103" s="48" t="str">
        <x:v>International Code for Ships Operating in Polar Waters (Polar Code)</x:v>
      </x:c>
      <x:c r="C103" s="47" t="str">
        <x:v>Resolution MSC.385(94), adopted 21 Nov 2014; consolidated with MEPC.264(68), adopted 15 May 2015</x:v>
      </x:c>
      <x:c r="D103" s="59" t="n">
        <x:v>22</x:v>
      </x:c>
      <x:c r="E103" s="47" t="str">
        <x:v>7.2.1.2</x:v>
      </x:c>
      <x:c r="F103" s="47" t="str">
        <x:v>Static</x:v>
      </x:c>
      <x:c r="G103" s="48" t="str">
        <x:v>Stage 2 candidate - direct/deterministic</x:v>
      </x:c>
      <x:c r="H103" s="47" t="str">
        <x:v>High</x:v>
      </x:c>
      <x:c r="I103" s="47" t="str">
        <x:v>No</x:v>
      </x:c>
      <x:c r="J103" s="47" t="str">
        <x:v>ELIGIBLE</x:v>
      </x:c>
      <x:c r="K103" s="47" t="str">
        <x:v>NOT_RUN</x:v>
      </x:c>
    </x:row>
    <x:row r="104">
      <x:c r="A104" s="47" t="str">
        <x:v>IMO-052</x:v>
      </x:c>
      <x:c r="B104" s="48" t="str">
        <x:v>International Code for Ships Operating in Polar Waters (Polar Code)</x:v>
      </x:c>
      <x:c r="C104" s="47" t="str">
        <x:v>Resolution MSC.385(94), adopted 21 Nov 2014; consolidated with MEPC.264(68), adopted 15 May 2015</x:v>
      </x:c>
      <x:c r="D104" s="59" t="n">
        <x:v>22</x:v>
      </x:c>
      <x:c r="E104" s="47" t="str">
        <x:v>7.2.1.4</x:v>
      </x:c>
      <x:c r="F104" s="47" t="str">
        <x:v>Static</x:v>
      </x:c>
      <x:c r="G104" s="48" t="str">
        <x:v>Stage 2 candidate - direct/deterministic</x:v>
      </x:c>
      <x:c r="H104" s="47" t="str">
        <x:v>High</x:v>
      </x:c>
      <x:c r="I104" s="47" t="str">
        <x:v>No</x:v>
      </x:c>
      <x:c r="J104" s="47" t="str">
        <x:v>ELIGIBLE</x:v>
      </x:c>
      <x:c r="K104" s="47" t="str">
        <x:v>NOT_RUN</x:v>
      </x:c>
    </x:row>
    <x:row r="105">
      <x:c r="A105" s="47" t="str">
        <x:v>IMO-053</x:v>
      </x:c>
      <x:c r="B105" s="48" t="str">
        <x:v>International Code for Ships Operating in Polar Waters (Polar Code)</x:v>
      </x:c>
      <x:c r="C105" s="47" t="str">
        <x:v>Resolution MSC.385(94), adopted 21 Nov 2014; consolidated with MEPC.264(68), adopted 15 May 2015</x:v>
      </x:c>
      <x:c r="D105" s="59" t="n">
        <x:v>22</x:v>
      </x:c>
      <x:c r="E105" s="47" t="str">
        <x:v>7.2.1.5</x:v>
      </x:c>
      <x:c r="F105" s="47" t="str">
        <x:v>Static</x:v>
      </x:c>
      <x:c r="G105" s="48" t="str">
        <x:v>Stage 2 candidate - direct/deterministic</x:v>
      </x:c>
      <x:c r="H105" s="47" t="str">
        <x:v>Medium</x:v>
      </x:c>
      <x:c r="I105" s="47" t="str">
        <x:v>No</x:v>
      </x:c>
      <x:c r="J105" s="47" t="str">
        <x:v>ELIGIBLE</x:v>
      </x:c>
      <x:c r="K105" s="47" t="str">
        <x:v>NOT_RUN</x:v>
      </x:c>
    </x:row>
    <x:row r="106">
      <x:c r="A106" s="47" t="str">
        <x:v>IMO-054</x:v>
      </x:c>
      <x:c r="B106" s="48" t="str">
        <x:v>International Code for Ships Operating in Polar Waters (Polar Code)</x:v>
      </x:c>
      <x:c r="C106" s="47" t="str">
        <x:v>Resolution MSC.385(94), adopted 21 Nov 2014; consolidated with MEPC.264(68), adopted 15 May 2015</x:v>
      </x:c>
      <x:c r="D106" s="59" t="n">
        <x:v>22</x:v>
      </x:c>
      <x:c r="E106" s="47" t="str">
        <x:v>7.2.2.1</x:v>
      </x:c>
      <x:c r="F106" s="47" t="str">
        <x:v>Physical Test</x:v>
      </x:c>
      <x:c r="G106" s="48" t="str">
        <x:v>Evidence-only - physical result not inferred by SHACL</x:v>
      </x:c>
      <x:c r="H106" s="47" t="str">
        <x:v>Medium</x:v>
      </x:c>
      <x:c r="I106" s="47" t="str">
        <x:v>No</x:v>
      </x:c>
      <x:c r="J106" s="47" t="str">
        <x:v>DEFERRED</x:v>
      </x:c>
      <x:c r="K106" s="47" t="str">
        <x:v>NOT_RUN</x:v>
      </x:c>
    </x:row>
    <x:row r="107">
      <x:c r="A107" s="47" t="str">
        <x:v>IMO-055</x:v>
      </x:c>
      <x:c r="B107" s="48" t="str">
        <x:v>International Code for Ships Operating in Polar Waters (Polar Code)</x:v>
      </x:c>
      <x:c r="C107" s="47" t="str">
        <x:v>Resolution MSC.385(94), adopted 21 Nov 2014; consolidated with MEPC.264(68), adopted 15 May 2015</x:v>
      </x:c>
      <x:c r="D107" s="59" t="n">
        <x:v>22</x:v>
      </x:c>
      <x:c r="E107" s="47" t="str">
        <x:v>7.3.1.1</x:v>
      </x:c>
      <x:c r="F107" s="47" t="str">
        <x:v>Static</x:v>
      </x:c>
      <x:c r="G107" s="48" t="str">
        <x:v>Stage 2 candidate - direct/deterministic</x:v>
      </x:c>
      <x:c r="H107" s="47" t="str">
        <x:v>High</x:v>
      </x:c>
      <x:c r="I107" s="47" t="str">
        <x:v>No</x:v>
      </x:c>
      <x:c r="J107" s="47" t="str">
        <x:v>ELIGIBLE</x:v>
      </x:c>
      <x:c r="K107" s="47" t="str">
        <x:v>NOT_RUN</x:v>
      </x:c>
    </x:row>
    <x:row r="108">
      <x:c r="A108" s="47" t="str">
        <x:v>IMO-056</x:v>
      </x:c>
      <x:c r="B108" s="48" t="str">
        <x:v>International Code for Ships Operating in Polar Waters (Polar Code)</x:v>
      </x:c>
      <x:c r="C108" s="47" t="str">
        <x:v>Resolution MSC.385(94), adopted 21 Nov 2014; consolidated with MEPC.264(68), adopted 15 May 2015</x:v>
      </x:c>
      <x:c r="D108" s="59" t="n">
        <x:v>22</x:v>
      </x:c>
      <x:c r="E108" s="47" t="str">
        <x:v>7.3.1.2</x:v>
      </x:c>
      <x:c r="F108" s="47" t="str">
        <x:v>Physical Test</x:v>
      </x:c>
      <x:c r="G108" s="48" t="str">
        <x:v>Evidence-only - physical result not inferred by SHACL</x:v>
      </x:c>
      <x:c r="H108" s="47" t="str">
        <x:v>Medium</x:v>
      </x:c>
      <x:c r="I108" s="47" t="str">
        <x:v>No</x:v>
      </x:c>
      <x:c r="J108" s="47" t="str">
        <x:v>DEFERRED</x:v>
      </x:c>
      <x:c r="K108" s="47" t="str">
        <x:v>NOT_RUN</x:v>
      </x:c>
    </x:row>
    <x:row r="109">
      <x:c r="A109" s="47" t="str">
        <x:v>IMO-057</x:v>
      </x:c>
      <x:c r="B109" s="48" t="str">
        <x:v>International Code for Ships Operating in Polar Waters (Polar Code)</x:v>
      </x:c>
      <x:c r="C109" s="47" t="str">
        <x:v>Resolution MSC.385(94), adopted 21 Nov 2014; consolidated with MEPC.264(68), adopted 15 May 2015</x:v>
      </x:c>
      <x:c r="D109" s="59" t="n">
        <x:v>22</x:v>
      </x:c>
      <x:c r="E109" s="47" t="str">
        <x:v>7.3.2.1</x:v>
      </x:c>
      <x:c r="F109" s="47" t="str">
        <x:v>Static</x:v>
      </x:c>
      <x:c r="G109" s="48" t="str">
        <x:v>Stage 2 candidate - direct/deterministic</x:v>
      </x:c>
      <x:c r="H109" s="47" t="str">
        <x:v>High</x:v>
      </x:c>
      <x:c r="I109" s="47" t="str">
        <x:v>No</x:v>
      </x:c>
      <x:c r="J109" s="47" t="str">
        <x:v>ELIGIBLE</x:v>
      </x:c>
      <x:c r="K109" s="47" t="str">
        <x:v>NOT_RUN</x:v>
      </x:c>
    </x:row>
    <x:row r="110">
      <x:c r="A110" s="47" t="str">
        <x:v>IMO-058</x:v>
      </x:c>
      <x:c r="B110" s="48" t="str">
        <x:v>International Code for Ships Operating in Polar Waters (Polar Code)</x:v>
      </x:c>
      <x:c r="C110" s="47" t="str">
        <x:v>Resolution MSC.385(94), adopted 21 Nov 2014; consolidated with MEPC.264(68), adopted 15 May 2015</x:v>
      </x:c>
      <x:c r="D110" s="59" t="n">
        <x:v>22</x:v>
      </x:c>
      <x:c r="E110" s="47" t="str">
        <x:v>7.3.2.2</x:v>
      </x:c>
      <x:c r="F110" s="47" t="str">
        <x:v>Static</x:v>
      </x:c>
      <x:c r="G110" s="48" t="str">
        <x:v>Stage 2 candidate - direct/deterministic</x:v>
      </x:c>
      <x:c r="H110" s="47" t="str">
        <x:v>High</x:v>
      </x:c>
      <x:c r="I110" s="47" t="str">
        <x:v>No</x:v>
      </x:c>
      <x:c r="J110" s="47" t="str">
        <x:v>ELIGIBLE</x:v>
      </x:c>
      <x:c r="K110" s="47" t="str">
        <x:v>NOT_RUN</x:v>
      </x:c>
    </x:row>
    <x:row r="111">
      <x:c r="A111" s="47" t="str">
        <x:v>IMO-059</x:v>
      </x:c>
      <x:c r="B111" s="48" t="str">
        <x:v>International Code for Ships Operating in Polar Waters (Polar Code)</x:v>
      </x:c>
      <x:c r="C111" s="47" t="str">
        <x:v>Resolution MSC.385(94), adopted 21 Nov 2014; consolidated with MEPC.264(68), adopted 15 May 2015</x:v>
      </x:c>
      <x:c r="D111" s="59" t="n">
        <x:v>22</x:v>
      </x:c>
      <x:c r="E111" s="47" t="str">
        <x:v>7.3.2.3</x:v>
      </x:c>
      <x:c r="F111" s="47" t="str">
        <x:v>Static</x:v>
      </x:c>
      <x:c r="G111" s="48" t="str">
        <x:v>Stage 2 candidate - direct/deterministic</x:v>
      </x:c>
      <x:c r="H111" s="47" t="str">
        <x:v>High</x:v>
      </x:c>
      <x:c r="I111" s="47" t="str">
        <x:v>No</x:v>
      </x:c>
      <x:c r="J111" s="47" t="str">
        <x:v>ELIGIBLE</x:v>
      </x:c>
      <x:c r="K111" s="47" t="str">
        <x:v>NOT_RUN</x:v>
      </x:c>
    </x:row>
    <x:row r="112">
      <x:c r="A112" s="47" t="str">
        <x:v>IMO-060</x:v>
      </x:c>
      <x:c r="B112" s="48" t="str">
        <x:v>International Code for Ships Operating in Polar Waters (Polar Code)</x:v>
      </x:c>
      <x:c r="C112" s="47" t="str">
        <x:v>Resolution MSC.385(94), adopted 21 Nov 2014; consolidated with MEPC.264(68), adopted 15 May 2015</x:v>
      </x:c>
      <x:c r="D112" s="59" t="n">
        <x:v>22</x:v>
      </x:c>
      <x:c r="E112" s="47" t="str">
        <x:v>7.3.2.4</x:v>
      </x:c>
      <x:c r="F112" s="47" t="str">
        <x:v>Static</x:v>
      </x:c>
      <x:c r="G112" s="48" t="str">
        <x:v>Stage 2 candidate - direct/deterministic</x:v>
      </x:c>
      <x:c r="H112" s="47" t="str">
        <x:v>High</x:v>
      </x:c>
      <x:c r="I112" s="47" t="str">
        <x:v>No</x:v>
      </x:c>
      <x:c r="J112" s="47" t="str">
        <x:v>ELIGIBLE</x:v>
      </x:c>
      <x:c r="K112" s="47" t="str">
        <x:v>NOT_RUN</x:v>
      </x:c>
    </x:row>
    <x:row r="113">
      <x:c r="A113" s="47" t="str">
        <x:v>IMO-061</x:v>
      </x:c>
      <x:c r="B113" s="48" t="str">
        <x:v>International Code for Ships Operating in Polar Waters (Polar Code)</x:v>
      </x:c>
      <x:c r="C113" s="47" t="str">
        <x:v>Resolution MSC.385(94), adopted 21 Nov 2014; consolidated with MEPC.264(68), adopted 15 May 2015</x:v>
      </x:c>
      <x:c r="D113" s="59" t="n">
        <x:v>23</x:v>
      </x:c>
      <x:c r="E113" s="47" t="str">
        <x:v>7.3.3.1</x:v>
      </x:c>
      <x:c r="F113" s="47" t="str">
        <x:v>Physical Test</x:v>
      </x:c>
      <x:c r="G113" s="48" t="str">
        <x:v>Evidence-only - physical result not inferred by SHACL</x:v>
      </x:c>
      <x:c r="H113" s="47" t="str">
        <x:v>Medium</x:v>
      </x:c>
      <x:c r="I113" s="47" t="str">
        <x:v>No</x:v>
      </x:c>
      <x:c r="J113" s="47" t="str">
        <x:v>DEFERRED</x:v>
      </x:c>
      <x:c r="K113" s="47" t="str">
        <x:v>NOT_RUN</x:v>
      </x:c>
    </x:row>
    <x:row r="114">
      <x:c r="A114" s="47" t="str">
        <x:v>IMO-062</x:v>
      </x:c>
      <x:c r="B114" s="48" t="str">
        <x:v>International Code for Ships Operating in Polar Waters (Polar Code)</x:v>
      </x:c>
      <x:c r="C114" s="47" t="str">
        <x:v>Resolution MSC.385(94), adopted 21 Nov 2014; consolidated with MEPC.264(68), adopted 15 May 2015</x:v>
      </x:c>
      <x:c r="D114" s="59" t="n">
        <x:v>23</x:v>
      </x:c>
      <x:c r="E114" s="47" t="str">
        <x:v>8.2.1.1</x:v>
      </x:c>
      <x:c r="F114" s="47" t="str">
        <x:v>Static</x:v>
      </x:c>
      <x:c r="G114" s="48" t="str">
        <x:v>Stage 2 candidate - direct/deterministic</x:v>
      </x:c>
      <x:c r="H114" s="47" t="str">
        <x:v>Medium</x:v>
      </x:c>
      <x:c r="I114" s="47" t="str">
        <x:v>No</x:v>
      </x:c>
      <x:c r="J114" s="47" t="str">
        <x:v>ELIGIBLE</x:v>
      </x:c>
      <x:c r="K114" s="47" t="str">
        <x:v>NOT_RUN</x:v>
      </x:c>
    </x:row>
    <x:row r="115">
      <x:c r="A115" s="47" t="str">
        <x:v>IMO-063</x:v>
      </x:c>
      <x:c r="B115" s="48" t="str">
        <x:v>International Code for Ships Operating in Polar Waters (Polar Code)</x:v>
      </x:c>
      <x:c r="C115" s="47" t="str">
        <x:v>Resolution MSC.385(94), adopted 21 Nov 2014; consolidated with MEPC.264(68), adopted 15 May 2015</x:v>
      </x:c>
      <x:c r="D115" s="59" t="n">
        <x:v>23</x:v>
      </x:c>
      <x:c r="E115" s="47" t="str">
        <x:v>8.2.2</x:v>
      </x:c>
      <x:c r="F115" s="47" t="str">
        <x:v>Physical Test</x:v>
      </x:c>
      <x:c r="G115" s="48" t="str">
        <x:v>Evidence-only - physical result not inferred by SHACL</x:v>
      </x:c>
      <x:c r="H115" s="47" t="str">
        <x:v>Medium</x:v>
      </x:c>
      <x:c r="I115" s="47" t="str">
        <x:v>No</x:v>
      </x:c>
      <x:c r="J115" s="47" t="str">
        <x:v>DEFERRED</x:v>
      </x:c>
      <x:c r="K115" s="47" t="str">
        <x:v>NOT_RUN</x:v>
      </x:c>
    </x:row>
    <x:row r="116">
      <x:c r="A116" s="47" t="str">
        <x:v>IMO-064</x:v>
      </x:c>
      <x:c r="B116" s="48" t="str">
        <x:v>International Code for Ships Operating in Polar Waters (Polar Code)</x:v>
      </x:c>
      <x:c r="C116" s="47" t="str">
        <x:v>Resolution MSC.385(94), adopted 21 Nov 2014; consolidated with MEPC.264(68), adopted 15 May 2015</x:v>
      </x:c>
      <x:c r="D116" s="59" t="n">
        <x:v>23</x:v>
      </x:c>
      <x:c r="E116" s="47" t="str">
        <x:v>8.2.3.1</x:v>
      </x:c>
      <x:c r="F116" s="47" t="str">
        <x:v>Static</x:v>
      </x:c>
      <x:c r="G116" s="48" t="str">
        <x:v>Stage 2 candidate - direct/deterministic</x:v>
      </x:c>
      <x:c r="H116" s="47" t="str">
        <x:v>Medium</x:v>
      </x:c>
      <x:c r="I116" s="47" t="str">
        <x:v>No</x:v>
      </x:c>
      <x:c r="J116" s="47" t="str">
        <x:v>ELIGIBLE</x:v>
      </x:c>
      <x:c r="K116" s="47" t="str">
        <x:v>NOT_RUN</x:v>
      </x:c>
    </x:row>
    <x:row r="117">
      <x:c r="A117" s="47" t="str">
        <x:v>IMO-065</x:v>
      </x:c>
      <x:c r="B117" s="48" t="str">
        <x:v>International Code for Ships Operating in Polar Waters (Polar Code)</x:v>
      </x:c>
      <x:c r="C117" s="47" t="str">
        <x:v>Resolution MSC.385(94), adopted 21 Nov 2014; consolidated with MEPC.264(68), adopted 15 May 2015</x:v>
      </x:c>
      <x:c r="D117" s="59" t="str">
        <x:v>23-24</x:v>
      </x:c>
      <x:c r="E117" s="47" t="str">
        <x:v>8.2.3.3</x:v>
      </x:c>
      <x:c r="F117" s="47" t="str">
        <x:v>Static</x:v>
      </x:c>
      <x:c r="G117" s="48" t="str">
        <x:v>Stage 2 candidate - direct static</x:v>
      </x:c>
      <x:c r="H117" s="47" t="str">
        <x:v>Direct static</x:v>
      </x:c>
      <x:c r="I117" s="47" t="str">
        <x:v>No</x:v>
      </x:c>
      <x:c r="J117" s="47" t="str">
        <x:v>ELIGIBLE</x:v>
      </x:c>
      <x:c r="K117" s="47" t="str">
        <x:v>NOT_RUN</x:v>
      </x:c>
    </x:row>
    <x:row r="118">
      <x:c r="A118" s="47" t="str">
        <x:v>IMO-066</x:v>
      </x:c>
      <x:c r="B118" s="48" t="str">
        <x:v>International Code for Ships Operating in Polar Waters (Polar Code)</x:v>
      </x:c>
      <x:c r="C118" s="47" t="str">
        <x:v>Resolution MSC.385(94), adopted 21 Nov 2014; consolidated with MEPC.264(68), adopted 15 May 2015</x:v>
      </x:c>
      <x:c r="D118" s="59" t="n">
        <x:v>24</x:v>
      </x:c>
      <x:c r="E118" s="47" t="str">
        <x:v>8.3.1.1</x:v>
      </x:c>
      <x:c r="F118" s="47" t="str">
        <x:v>Static</x:v>
      </x:c>
      <x:c r="G118" s="48" t="str">
        <x:v>Stage 2 candidate - direct/deterministic</x:v>
      </x:c>
      <x:c r="H118" s="47" t="str">
        <x:v>High</x:v>
      </x:c>
      <x:c r="I118" s="47" t="str">
        <x:v>No</x:v>
      </x:c>
      <x:c r="J118" s="47" t="str">
        <x:v>ELIGIBLE</x:v>
      </x:c>
      <x:c r="K118" s="47" t="str">
        <x:v>NOT_RUN</x:v>
      </x:c>
    </x:row>
    <x:row r="119">
      <x:c r="A119" s="47" t="str">
        <x:v>IMO-067</x:v>
      </x:c>
      <x:c r="B119" s="48" t="str">
        <x:v>International Code for Ships Operating in Polar Waters (Polar Code)</x:v>
      </x:c>
      <x:c r="C119" s="47" t="str">
        <x:v>Resolution MSC.385(94), adopted 21 Nov 2014; consolidated with MEPC.264(68), adopted 15 May 2015</x:v>
      </x:c>
      <x:c r="D119" s="59" t="n">
        <x:v>24</x:v>
      </x:c>
      <x:c r="E119" s="47" t="str">
        <x:v>8.3.1.2</x:v>
      </x:c>
      <x:c r="F119" s="47" t="str">
        <x:v>Physical Test</x:v>
      </x:c>
      <x:c r="G119" s="48" t="str">
        <x:v>Evidence-only - physical result not inferred by SHACL</x:v>
      </x:c>
      <x:c r="H119" s="47" t="str">
        <x:v>Medium</x:v>
      </x:c>
      <x:c r="I119" s="47" t="str">
        <x:v>No</x:v>
      </x:c>
      <x:c r="J119" s="47" t="str">
        <x:v>DEFERRED</x:v>
      </x:c>
      <x:c r="K119" s="47" t="str">
        <x:v>NOT_RUN</x:v>
      </x:c>
    </x:row>
    <x:row r="120">
      <x:c r="A120" s="47" t="str">
        <x:v>IMO-068</x:v>
      </x:c>
      <x:c r="B120" s="48" t="str">
        <x:v>International Code for Ships Operating in Polar Waters (Polar Code)</x:v>
      </x:c>
      <x:c r="C120" s="47" t="str">
        <x:v>Resolution MSC.385(94), adopted 21 Nov 2014; consolidated with MEPC.264(68), adopted 15 May 2015</x:v>
      </x:c>
      <x:c r="D120" s="59" t="n">
        <x:v>24</x:v>
      </x:c>
      <x:c r="E120" s="47" t="str">
        <x:v>8.3.2.1</x:v>
      </x:c>
      <x:c r="F120" s="47" t="str">
        <x:v>Static</x:v>
      </x:c>
      <x:c r="G120" s="48" t="str">
        <x:v>Stage 2 candidate - direct static</x:v>
      </x:c>
      <x:c r="H120" s="47" t="str">
        <x:v>Direct static</x:v>
      </x:c>
      <x:c r="I120" s="47" t="str">
        <x:v>No</x:v>
      </x:c>
      <x:c r="J120" s="47" t="str">
        <x:v>ELIGIBLE</x:v>
      </x:c>
      <x:c r="K120" s="47" t="str">
        <x:v>NOT_RUN</x:v>
      </x:c>
    </x:row>
    <x:row r="121">
      <x:c r="A121" s="47" t="str">
        <x:v>IMO-069</x:v>
      </x:c>
      <x:c r="B121" s="48" t="str">
        <x:v>International Code for Ships Operating in Polar Waters (Polar Code)</x:v>
      </x:c>
      <x:c r="C121" s="47" t="str">
        <x:v>Resolution MSC.385(94), adopted 21 Nov 2014; consolidated with MEPC.264(68), adopted 15 May 2015</x:v>
      </x:c>
      <x:c r="D121" s="59" t="n">
        <x:v>24</x:v>
      </x:c>
      <x:c r="E121" s="47" t="str">
        <x:v>8.3.2.2</x:v>
      </x:c>
      <x:c r="F121" s="47" t="str">
        <x:v>Static</x:v>
      </x:c>
      <x:c r="G121" s="48" t="str">
        <x:v>Stage 2 candidate - direct/deterministic</x:v>
      </x:c>
      <x:c r="H121" s="47" t="str">
        <x:v>High</x:v>
      </x:c>
      <x:c r="I121" s="47" t="str">
        <x:v>No</x:v>
      </x:c>
      <x:c r="J121" s="47" t="str">
        <x:v>ELIGIBLE</x:v>
      </x:c>
      <x:c r="K121" s="47" t="str">
        <x:v>NOT_RUN</x:v>
      </x:c>
    </x:row>
    <x:row r="122">
      <x:c r="A122" s="47" t="str">
        <x:v>IMO-070</x:v>
      </x:c>
      <x:c r="B122" s="48" t="str">
        <x:v>International Code for Ships Operating in Polar Waters (Polar Code)</x:v>
      </x:c>
      <x:c r="C122" s="47" t="str">
        <x:v>Resolution MSC.385(94), adopted 21 Nov 2014; consolidated with MEPC.264(68), adopted 15 May 2015</x:v>
      </x:c>
      <x:c r="D122" s="59" t="n">
        <x:v>24</x:v>
      </x:c>
      <x:c r="E122" s="47" t="str">
        <x:v>8.3.3.1.1</x:v>
      </x:c>
      <x:c r="F122" s="47" t="str">
        <x:v>Static</x:v>
      </x:c>
      <x:c r="G122" s="48" t="str">
        <x:v>Stage 2 candidate - direct/deterministic</x:v>
      </x:c>
      <x:c r="H122" s="47" t="str">
        <x:v>High</x:v>
      </x:c>
      <x:c r="I122" s="47" t="str">
        <x:v>No</x:v>
      </x:c>
      <x:c r="J122" s="47" t="str">
        <x:v>ELIGIBLE</x:v>
      </x:c>
      <x:c r="K122" s="47" t="str">
        <x:v>NOT_RUN</x:v>
      </x:c>
    </x:row>
    <x:row r="123">
      <x:c r="A123" s="47" t="str">
        <x:v>IMO-071</x:v>
      </x:c>
      <x:c r="B123" s="48" t="str">
        <x:v>International Code for Ships Operating in Polar Waters (Polar Code)</x:v>
      </x:c>
      <x:c r="C123" s="47" t="str">
        <x:v>Resolution MSC.385(94), adopted 21 Nov 2014; consolidated with MEPC.264(68), adopted 15 May 2015</x:v>
      </x:c>
      <x:c r="D123" s="59" t="n">
        <x:v>24</x:v>
      </x:c>
      <x:c r="E123" s="47" t="str">
        <x:v>8.3.3.1.2</x:v>
      </x:c>
      <x:c r="F123" s="47" t="str">
        <x:v>Static</x:v>
      </x:c>
      <x:c r="G123" s="48" t="str">
        <x:v>Stage 2 candidate - direct/deterministic</x:v>
      </x:c>
      <x:c r="H123" s="47" t="str">
        <x:v>High</x:v>
      </x:c>
      <x:c r="I123" s="47" t="str">
        <x:v>No</x:v>
      </x:c>
      <x:c r="J123" s="47" t="str">
        <x:v>ELIGIBLE</x:v>
      </x:c>
      <x:c r="K123" s="47" t="str">
        <x:v>NOT_RUN</x:v>
      </x:c>
    </x:row>
    <x:row r="124">
      <x:c r="A124" s="47" t="str">
        <x:v>IMO-072</x:v>
      </x:c>
      <x:c r="B124" s="48" t="str">
        <x:v>International Code for Ships Operating in Polar Waters (Polar Code)</x:v>
      </x:c>
      <x:c r="C124" s="47" t="str">
        <x:v>Resolution MSC.385(94), adopted 21 Nov 2014; consolidated with MEPC.264(68), adopted 15 May 2015</x:v>
      </x:c>
      <x:c r="D124" s="59" t="n">
        <x:v>25</x:v>
      </x:c>
      <x:c r="E124" s="47" t="str">
        <x:v>8.3.3.2</x:v>
      </x:c>
      <x:c r="F124" s="47" t="str">
        <x:v>Static</x:v>
      </x:c>
      <x:c r="G124" s="48" t="str">
        <x:v>Stage 2 candidate - direct/deterministic</x:v>
      </x:c>
      <x:c r="H124" s="47" t="str">
        <x:v>High</x:v>
      </x:c>
      <x:c r="I124" s="47" t="str">
        <x:v>No</x:v>
      </x:c>
      <x:c r="J124" s="47" t="str">
        <x:v>ELIGIBLE</x:v>
      </x:c>
      <x:c r="K124" s="47" t="str">
        <x:v>NOT_RUN</x:v>
      </x:c>
    </x:row>
    <x:row r="125">
      <x:c r="A125" s="47" t="str">
        <x:v>IMO-073</x:v>
      </x:c>
      <x:c r="B125" s="48" t="str">
        <x:v>International Code for Ships Operating in Polar Waters (Polar Code)</x:v>
      </x:c>
      <x:c r="C125" s="47" t="str">
        <x:v>Resolution MSC.385(94), adopted 21 Nov 2014; consolidated with MEPC.264(68), adopted 15 May 2015</x:v>
      </x:c>
      <x:c r="D125" s="59" t="n">
        <x:v>25</x:v>
      </x:c>
      <x:c r="E125" s="47" t="str">
        <x:v>8.3.3.3.1</x:v>
      </x:c>
      <x:c r="F125" s="47" t="str">
        <x:v>Static</x:v>
      </x:c>
      <x:c r="G125" s="48" t="str">
        <x:v>Stage 2 candidate - direct/deterministic</x:v>
      </x:c>
      <x:c r="H125" s="47" t="str">
        <x:v>High</x:v>
      </x:c>
      <x:c r="I125" s="47" t="str">
        <x:v>No</x:v>
      </x:c>
      <x:c r="J125" s="47" t="str">
        <x:v>ELIGIBLE</x:v>
      </x:c>
      <x:c r="K125" s="47" t="str">
        <x:v>NOT_RUN</x:v>
      </x:c>
    </x:row>
    <x:row r="126">
      <x:c r="A126" s="47" t="str">
        <x:v>IMO-074</x:v>
      </x:c>
      <x:c r="B126" s="48" t="str">
        <x:v>International Code for Ships Operating in Polar Waters (Polar Code)</x:v>
      </x:c>
      <x:c r="C126" s="47" t="str">
        <x:v>Resolution MSC.385(94), adopted 21 Nov 2014; consolidated with MEPC.264(68), adopted 15 May 2015</x:v>
      </x:c>
      <x:c r="D126" s="59" t="n">
        <x:v>25</x:v>
      </x:c>
      <x:c r="E126" s="47" t="str">
        <x:v>8.3.3.3.3.1</x:v>
      </x:c>
      <x:c r="F126" s="47" t="str">
        <x:v>Static</x:v>
      </x:c>
      <x:c r="G126" s="48" t="str">
        <x:v>Stage 2 candidate - direct/deterministic</x:v>
      </x:c>
      <x:c r="H126" s="47" t="str">
        <x:v>Medium</x:v>
      </x:c>
      <x:c r="I126" s="47" t="str">
        <x:v>No</x:v>
      </x:c>
      <x:c r="J126" s="47" t="str">
        <x:v>ELIGIBLE</x:v>
      </x:c>
      <x:c r="K126" s="47" t="str">
        <x:v>NOT_RUN</x:v>
      </x:c>
    </x:row>
    <x:row r="127">
      <x:c r="A127" s="47" t="str">
        <x:v>IMO-075</x:v>
      </x:c>
      <x:c r="B127" s="48" t="str">
        <x:v>International Code for Ships Operating in Polar Waters (Polar Code)</x:v>
      </x:c>
      <x:c r="C127" s="47" t="str">
        <x:v>Resolution MSC.385(94), adopted 21 Nov 2014; consolidated with MEPC.264(68), adopted 15 May 2015</x:v>
      </x:c>
      <x:c r="D127" s="59" t="n">
        <x:v>25</x:v>
      </x:c>
      <x:c r="E127" s="47" t="str">
        <x:v>8.3.3.3.3.2</x:v>
      </x:c>
      <x:c r="F127" s="47" t="str">
        <x:v>Static Calculation</x:v>
      </x:c>
      <x:c r="G127" s="48" t="str">
        <x:v>Stage 2 candidate - direct/deterministic</x:v>
      </x:c>
      <x:c r="H127" s="47" t="str">
        <x:v>High</x:v>
      </x:c>
      <x:c r="I127" s="47" t="str">
        <x:v>No</x:v>
      </x:c>
      <x:c r="J127" s="47" t="str">
        <x:v>ELIGIBLE</x:v>
      </x:c>
      <x:c r="K127" s="47" t="str">
        <x:v>NOT_RUN</x:v>
      </x:c>
    </x:row>
    <x:row r="128">
      <x:c r="A128" s="47" t="str">
        <x:v>IMO-076</x:v>
      </x:c>
      <x:c r="B128" s="48" t="str">
        <x:v>International Code for Ships Operating in Polar Waters (Polar Code)</x:v>
      </x:c>
      <x:c r="C128" s="47" t="str">
        <x:v>Resolution MSC.385(94), adopted 21 Nov 2014; consolidated with MEPC.264(68), adopted 15 May 2015</x:v>
      </x:c>
      <x:c r="D128" s="59" t="n">
        <x:v>25</x:v>
      </x:c>
      <x:c r="E128" s="47" t="str">
        <x:v>8.3.3.3.3.3</x:v>
      </x:c>
      <x:c r="F128" s="47" t="str">
        <x:v>Physical Test</x:v>
      </x:c>
      <x:c r="G128" s="48" t="str">
        <x:v>Evidence-only - physical result not inferred by SHACL</x:v>
      </x:c>
      <x:c r="H128" s="47" t="str">
        <x:v>Medium</x:v>
      </x:c>
      <x:c r="I128" s="47" t="str">
        <x:v>No</x:v>
      </x:c>
      <x:c r="J128" s="47" t="str">
        <x:v>DEFERRED</x:v>
      </x:c>
      <x:c r="K128" s="47" t="str">
        <x:v>NOT_RUN</x:v>
      </x:c>
    </x:row>
    <x:row r="129">
      <x:c r="A129" s="47" t="str">
        <x:v>IMO-077</x:v>
      </x:c>
      <x:c r="B129" s="48" t="str">
        <x:v>International Code for Ships Operating in Polar Waters (Polar Code)</x:v>
      </x:c>
      <x:c r="C129" s="47" t="str">
        <x:v>Resolution MSC.385(94), adopted 21 Nov 2014; consolidated with MEPC.264(68), adopted 15 May 2015</x:v>
      </x:c>
      <x:c r="D129" s="59" t="n">
        <x:v>25</x:v>
      </x:c>
      <x:c r="E129" s="47" t="str">
        <x:v>8.3.3.3.3.5</x:v>
      </x:c>
      <x:c r="F129" s="47" t="str">
        <x:v>Static Calculation</x:v>
      </x:c>
      <x:c r="G129" s="48" t="str">
        <x:v>Stage 2 candidate - direct/deterministic</x:v>
      </x:c>
      <x:c r="H129" s="47" t="str">
        <x:v>High</x:v>
      </x:c>
      <x:c r="I129" s="47" t="str">
        <x:v>No</x:v>
      </x:c>
      <x:c r="J129" s="47" t="str">
        <x:v>ELIGIBLE</x:v>
      </x:c>
      <x:c r="K129" s="47" t="str">
        <x:v>NOT_RUN</x:v>
      </x:c>
    </x:row>
    <x:row r="130">
      <x:c r="A130" s="47" t="str">
        <x:v>IMO-078</x:v>
      </x:c>
      <x:c r="B130" s="48" t="str">
        <x:v>International Code for Ships Operating in Polar Waters (Polar Code)</x:v>
      </x:c>
      <x:c r="C130" s="47" t="str">
        <x:v>Resolution MSC.385(94), adopted 21 Nov 2014; consolidated with MEPC.264(68), adopted 15 May 2015</x:v>
      </x:c>
      <x:c r="D130" s="59" t="n">
        <x:v>25</x:v>
      </x:c>
      <x:c r="E130" s="47" t="str">
        <x:v>8.3.3.3.3.6-.7</x:v>
      </x:c>
      <x:c r="F130" s="47" t="str">
        <x:v>Static</x:v>
      </x:c>
      <x:c r="G130" s="48" t="str">
        <x:v>Stage 2 candidate - direct/deterministic</x:v>
      </x:c>
      <x:c r="H130" s="47" t="str">
        <x:v>High</x:v>
      </x:c>
      <x:c r="I130" s="47" t="str">
        <x:v>No</x:v>
      </x:c>
      <x:c r="J130" s="47" t="str">
        <x:v>ELIGIBLE</x:v>
      </x:c>
      <x:c r="K130" s="47" t="str">
        <x:v>NOT_RUN</x:v>
      </x:c>
    </x:row>
    <x:row r="131">
      <x:c r="A131" s="47" t="str">
        <x:v>IMO-079</x:v>
      </x:c>
      <x:c r="B131" s="48" t="str">
        <x:v>International Code for Ships Operating in Polar Waters (Polar Code)</x:v>
      </x:c>
      <x:c r="C131" s="47" t="str">
        <x:v>Resolution MSC.385(94), adopted 21 Nov 2014; consolidated with MEPC.264(68), adopted 15 May 2015</x:v>
      </x:c>
      <x:c r="D131" s="59" t="n">
        <x:v>25</x:v>
      </x:c>
      <x:c r="E131" s="47" t="str">
        <x:v>8.3.3.4</x:v>
      </x:c>
      <x:c r="F131" s="47" t="str">
        <x:v>Static Calculation</x:v>
      </x:c>
      <x:c r="G131" s="48" t="str">
        <x:v>Stage 2 candidate - direct/deterministic</x:v>
      </x:c>
      <x:c r="H131" s="47" t="str">
        <x:v>High</x:v>
      </x:c>
      <x:c r="I131" s="47" t="str">
        <x:v>No</x:v>
      </x:c>
      <x:c r="J131" s="47" t="str">
        <x:v>ELIGIBLE</x:v>
      </x:c>
      <x:c r="K131" s="47" t="str">
        <x:v>NOT_RUN</x:v>
      </x:c>
    </x:row>
    <x:row r="132">
      <x:c r="A132" s="47" t="str">
        <x:v>IMO-080</x:v>
      </x:c>
      <x:c r="B132" s="48" t="str">
        <x:v>International Code for Ships Operating in Polar Waters (Polar Code)</x:v>
      </x:c>
      <x:c r="C132" s="47" t="str">
        <x:v>Resolution MSC.385(94), adopted 21 Nov 2014; consolidated with MEPC.264(68), adopted 15 May 2015</x:v>
      </x:c>
      <x:c r="D132" s="59" t="n">
        <x:v>26</x:v>
      </x:c>
      <x:c r="E132" s="47" t="str">
        <x:v>9.3.1</x:v>
      </x:c>
      <x:c r="F132" s="47" t="str">
        <x:v>Dynamic</x:v>
      </x:c>
      <x:c r="G132" s="48" t="str">
        <x:v>Deferred - observation/history/simulation design required</x:v>
      </x:c>
      <x:c r="H132" s="47" t="str">
        <x:v>Medium</x:v>
      </x:c>
      <x:c r="I132" s="47" t="str">
        <x:v>No</x:v>
      </x:c>
      <x:c r="J132" s="47" t="str">
        <x:v>DEFERRED</x:v>
      </x:c>
      <x:c r="K132" s="47" t="str">
        <x:v>NOT_RUN</x:v>
      </x:c>
    </x:row>
    <x:row r="133">
      <x:c r="A133" s="47" t="str">
        <x:v>IMO-081</x:v>
      </x:c>
      <x:c r="B133" s="48" t="str">
        <x:v>International Code for Ships Operating in Polar Waters (Polar Code)</x:v>
      </x:c>
      <x:c r="C133" s="47" t="str">
        <x:v>Resolution MSC.385(94), adopted 21 Nov 2014; consolidated with MEPC.264(68), adopted 15 May 2015</x:v>
      </x:c>
      <x:c r="D133" s="59" t="n">
        <x:v>26</x:v>
      </x:c>
      <x:c r="E133" s="47" t="str">
        <x:v>9.3.2.1.1</x:v>
      </x:c>
      <x:c r="F133" s="47" t="str">
        <x:v>Static</x:v>
      </x:c>
      <x:c r="G133" s="48" t="str">
        <x:v>Stage 2 candidate - direct/deterministic</x:v>
      </x:c>
      <x:c r="H133" s="47" t="str">
        <x:v>High</x:v>
      </x:c>
      <x:c r="I133" s="47" t="str">
        <x:v>No</x:v>
      </x:c>
      <x:c r="J133" s="47" t="str">
        <x:v>ELIGIBLE</x:v>
      </x:c>
      <x:c r="K133" s="47" t="str">
        <x:v>NOT_RUN</x:v>
      </x:c>
    </x:row>
    <x:row r="134">
      <x:c r="A134" s="47" t="str">
        <x:v>IMO-082</x:v>
      </x:c>
      <x:c r="B134" s="48" t="str">
        <x:v>International Code for Ships Operating in Polar Waters (Polar Code)</x:v>
      </x:c>
      <x:c r="C134" s="47" t="str">
        <x:v>Resolution MSC.385(94), adopted 21 Nov 2014; consolidated with MEPC.264(68), adopted 15 May 2015</x:v>
      </x:c>
      <x:c r="D134" s="59" t="n">
        <x:v>26</x:v>
      </x:c>
      <x:c r="E134" s="47" t="str">
        <x:v>9.3.2.1.2</x:v>
      </x:c>
      <x:c r="F134" s="47" t="str">
        <x:v>Static</x:v>
      </x:c>
      <x:c r="G134" s="48" t="str">
        <x:v>Stage 2 candidate - direct/deterministic</x:v>
      </x:c>
      <x:c r="H134" s="47" t="str">
        <x:v>Medium</x:v>
      </x:c>
      <x:c r="I134" s="47" t="str">
        <x:v>No</x:v>
      </x:c>
      <x:c r="J134" s="47" t="str">
        <x:v>ELIGIBLE</x:v>
      </x:c>
      <x:c r="K134" s="47" t="str">
        <x:v>NOT_RUN</x:v>
      </x:c>
    </x:row>
    <x:row r="135">
      <x:c r="A135" s="47" t="str">
        <x:v>IMO-083</x:v>
      </x:c>
      <x:c r="B135" s="48" t="str">
        <x:v>International Code for Ships Operating in Polar Waters (Polar Code)</x:v>
      </x:c>
      <x:c r="C135" s="47" t="str">
        <x:v>Resolution MSC.385(94), adopted 21 Nov 2014; consolidated with MEPC.264(68), adopted 15 May 2015</x:v>
      </x:c>
      <x:c r="D135" s="59" t="n">
        <x:v>27</x:v>
      </x:c>
      <x:c r="E135" s="47" t="str">
        <x:v>9.3.2.1.3</x:v>
      </x:c>
      <x:c r="F135" s="47" t="str">
        <x:v>Static</x:v>
      </x:c>
      <x:c r="G135" s="48" t="str">
        <x:v>Stage 2 candidate - direct/deterministic</x:v>
      </x:c>
      <x:c r="H135" s="47" t="str">
        <x:v>High</x:v>
      </x:c>
      <x:c r="I135" s="47" t="str">
        <x:v>No</x:v>
      </x:c>
      <x:c r="J135" s="47" t="str">
        <x:v>ELIGIBLE</x:v>
      </x:c>
      <x:c r="K135" s="47" t="str">
        <x:v>NOT_RUN</x:v>
      </x:c>
    </x:row>
    <x:row r="136">
      <x:c r="A136" s="47" t="str">
        <x:v>IMO-084</x:v>
      </x:c>
      <x:c r="B136" s="48" t="str">
        <x:v>International Code for Ships Operating in Polar Waters (Polar Code)</x:v>
      </x:c>
      <x:c r="C136" s="47" t="str">
        <x:v>Resolution MSC.385(94), adopted 21 Nov 2014; consolidated with MEPC.264(68), adopted 15 May 2015</x:v>
      </x:c>
      <x:c r="D136" s="59" t="n">
        <x:v>27</x:v>
      </x:c>
      <x:c r="E136" s="47" t="str">
        <x:v>9.3.2.1.4.1</x:v>
      </x:c>
      <x:c r="F136" s="47" t="str">
        <x:v>Static</x:v>
      </x:c>
      <x:c r="G136" s="48" t="str">
        <x:v>Stage 2 candidate - direct/deterministic</x:v>
      </x:c>
      <x:c r="H136" s="47" t="str">
        <x:v>High</x:v>
      </x:c>
      <x:c r="I136" s="47" t="str">
        <x:v>No</x:v>
      </x:c>
      <x:c r="J136" s="47" t="str">
        <x:v>ELIGIBLE</x:v>
      </x:c>
      <x:c r="K136" s="47" t="str">
        <x:v>NOT_RUN</x:v>
      </x:c>
    </x:row>
    <x:row r="137">
      <x:c r="A137" s="47" t="str">
        <x:v>IMO-085</x:v>
      </x:c>
      <x:c r="B137" s="48" t="str">
        <x:v>International Code for Ships Operating in Polar Waters (Polar Code)</x:v>
      </x:c>
      <x:c r="C137" s="47" t="str">
        <x:v>Resolution MSC.385(94), adopted 21 Nov 2014; consolidated with MEPC.264(68), adopted 15 May 2015</x:v>
      </x:c>
      <x:c r="D137" s="59" t="n">
        <x:v>27</x:v>
      </x:c>
      <x:c r="E137" s="47" t="str">
        <x:v>9.3.2.1.4.2</x:v>
      </x:c>
      <x:c r="F137" s="47" t="str">
        <x:v>Static</x:v>
      </x:c>
      <x:c r="G137" s="48" t="str">
        <x:v>Stage 2 candidate - direct/deterministic</x:v>
      </x:c>
      <x:c r="H137" s="47" t="str">
        <x:v>High</x:v>
      </x:c>
      <x:c r="I137" s="47" t="str">
        <x:v>No</x:v>
      </x:c>
      <x:c r="J137" s="47" t="str">
        <x:v>ELIGIBLE</x:v>
      </x:c>
      <x:c r="K137" s="47" t="str">
        <x:v>NOT_RUN</x:v>
      </x:c>
    </x:row>
    <x:row r="138">
      <x:c r="A138" s="47" t="str">
        <x:v>IMO-086</x:v>
      </x:c>
      <x:c r="B138" s="48" t="str">
        <x:v>International Code for Ships Operating in Polar Waters (Polar Code)</x:v>
      </x:c>
      <x:c r="C138" s="47" t="str">
        <x:v>Resolution MSC.385(94), adopted 21 Nov 2014; consolidated with MEPC.264(68), adopted 15 May 2015</x:v>
      </x:c>
      <x:c r="D138" s="59" t="n">
        <x:v>27</x:v>
      </x:c>
      <x:c r="E138" s="47" t="str">
        <x:v>9.3.2.2.1</x:v>
      </x:c>
      <x:c r="F138" s="47" t="str">
        <x:v>Static</x:v>
      </x:c>
      <x:c r="G138" s="48" t="str">
        <x:v>Stage 2 candidate - direct/deterministic</x:v>
      </x:c>
      <x:c r="H138" s="47" t="str">
        <x:v>High</x:v>
      </x:c>
      <x:c r="I138" s="47" t="str">
        <x:v>No</x:v>
      </x:c>
      <x:c r="J138" s="47" t="str">
        <x:v>ELIGIBLE</x:v>
      </x:c>
      <x:c r="K138" s="47" t="str">
        <x:v>NOT_RUN</x:v>
      </x:c>
    </x:row>
    <x:row r="139">
      <x:c r="A139" s="47" t="str">
        <x:v>IMO-087</x:v>
      </x:c>
      <x:c r="B139" s="48" t="str">
        <x:v>International Code for Ships Operating in Polar Waters (Polar Code)</x:v>
      </x:c>
      <x:c r="C139" s="47" t="str">
        <x:v>Resolution MSC.385(94), adopted 21 Nov 2014; consolidated with MEPC.264(68), adopted 15 May 2015</x:v>
      </x:c>
      <x:c r="D139" s="59" t="n">
        <x:v>27</x:v>
      </x:c>
      <x:c r="E139" s="47" t="str">
        <x:v>9.3.2.2.2</x:v>
      </x:c>
      <x:c r="F139" s="47" t="str">
        <x:v>Static</x:v>
      </x:c>
      <x:c r="G139" s="48" t="str">
        <x:v>Stage 2 candidate - direct/deterministic</x:v>
      </x:c>
      <x:c r="H139" s="47" t="str">
        <x:v>High</x:v>
      </x:c>
      <x:c r="I139" s="47" t="str">
        <x:v>No</x:v>
      </x:c>
      <x:c r="J139" s="47" t="str">
        <x:v>ELIGIBLE</x:v>
      </x:c>
      <x:c r="K139" s="47" t="str">
        <x:v>NOT_RUN</x:v>
      </x:c>
    </x:row>
    <x:row r="140">
      <x:c r="A140" s="47" t="str">
        <x:v>IMO-088</x:v>
      </x:c>
      <x:c r="B140" s="48" t="str">
        <x:v>International Code for Ships Operating in Polar Waters (Polar Code)</x:v>
      </x:c>
      <x:c r="C140" s="47" t="str">
        <x:v>Resolution MSC.385(94), adopted 21 Nov 2014; consolidated with MEPC.264(68), adopted 15 May 2015</x:v>
      </x:c>
      <x:c r="D140" s="59" t="n">
        <x:v>27</x:v>
      </x:c>
      <x:c r="E140" s="47" t="str">
        <x:v>9.3.3.1</x:v>
      </x:c>
      <x:c r="F140" s="47" t="str">
        <x:v>Static</x:v>
      </x:c>
      <x:c r="G140" s="48" t="str">
        <x:v>Stage 2 candidate - direct/deterministic</x:v>
      </x:c>
      <x:c r="H140" s="47" t="str">
        <x:v>High</x:v>
      </x:c>
      <x:c r="I140" s="47" t="str">
        <x:v>No</x:v>
      </x:c>
      <x:c r="J140" s="47" t="str">
        <x:v>ELIGIBLE</x:v>
      </x:c>
      <x:c r="K140" s="47" t="str">
        <x:v>NOT_RUN</x:v>
      </x:c>
    </x:row>
    <x:row r="141">
      <x:c r="A141" s="47" t="str">
        <x:v>IMO-089</x:v>
      </x:c>
      <x:c r="B141" s="48" t="str">
        <x:v>International Code for Ships Operating in Polar Waters (Polar Code)</x:v>
      </x:c>
      <x:c r="C141" s="47" t="str">
        <x:v>Resolution MSC.385(94), adopted 21 Nov 2014; consolidated with MEPC.264(68), adopted 15 May 2015</x:v>
      </x:c>
      <x:c r="D141" s="59" t="n">
        <x:v>27</x:v>
      </x:c>
      <x:c r="E141" s="47" t="str">
        <x:v>9.3.3.2</x:v>
      </x:c>
      <x:c r="F141" s="47" t="str">
        <x:v>Static</x:v>
      </x:c>
      <x:c r="G141" s="48" t="str">
        <x:v>Stage 2 candidate - direct/deterministic</x:v>
      </x:c>
      <x:c r="H141" s="47" t="str">
        <x:v>High</x:v>
      </x:c>
      <x:c r="I141" s="47" t="str">
        <x:v>No</x:v>
      </x:c>
      <x:c r="J141" s="47" t="str">
        <x:v>ELIGIBLE</x:v>
      </x:c>
      <x:c r="K141" s="47" t="str">
        <x:v>NOT_RUN</x:v>
      </x:c>
    </x:row>
    <x:row r="142">
      <x:c r="A142" s="47" t="str">
        <x:v>IMO-090</x:v>
      </x:c>
      <x:c r="B142" s="48" t="str">
        <x:v>International Code for Ships Operating in Polar Waters (Polar Code)</x:v>
      </x:c>
      <x:c r="C142" s="47" t="str">
        <x:v>Resolution MSC.385(94), adopted 21 Nov 2014; consolidated with MEPC.264(68), adopted 15 May 2015</x:v>
      </x:c>
      <x:c r="D142" s="59" t="n">
        <x:v>28</x:v>
      </x:c>
      <x:c r="E142" s="47" t="str">
        <x:v>10.2.1.1</x:v>
      </x:c>
      <x:c r="F142" s="47" t="str">
        <x:v>Dynamic</x:v>
      </x:c>
      <x:c r="G142" s="48" t="str">
        <x:v>Deferred - observation/history/simulation design required</x:v>
      </x:c>
      <x:c r="H142" s="47" t="str">
        <x:v>Medium</x:v>
      </x:c>
      <x:c r="I142" s="47" t="str">
        <x:v>No</x:v>
      </x:c>
      <x:c r="J142" s="47" t="str">
        <x:v>DEFERRED</x:v>
      </x:c>
      <x:c r="K142" s="47" t="str">
        <x:v>NOT_RUN</x:v>
      </x:c>
    </x:row>
    <x:row r="143">
      <x:c r="A143" s="47" t="str">
        <x:v>IMO-091</x:v>
      </x:c>
      <x:c r="B143" s="48" t="str">
        <x:v>International Code for Ships Operating in Polar Waters (Polar Code)</x:v>
      </x:c>
      <x:c r="C143" s="47" t="str">
        <x:v>Resolution MSC.385(94), adopted 21 Nov 2014; consolidated with MEPC.264(68), adopted 15 May 2015</x:v>
      </x:c>
      <x:c r="D143" s="59" t="n">
        <x:v>28</x:v>
      </x:c>
      <x:c r="E143" s="47" t="str">
        <x:v>10.2.1.3</x:v>
      </x:c>
      <x:c r="F143" s="47" t="str">
        <x:v>Static</x:v>
      </x:c>
      <x:c r="G143" s="48" t="str">
        <x:v>Stage 2 candidate - direct/deterministic</x:v>
      </x:c>
      <x:c r="H143" s="47" t="str">
        <x:v>High</x:v>
      </x:c>
      <x:c r="I143" s="47" t="str">
        <x:v>No</x:v>
      </x:c>
      <x:c r="J143" s="47" t="str">
        <x:v>ELIGIBLE</x:v>
      </x:c>
      <x:c r="K143" s="47" t="str">
        <x:v>NOT_RUN</x:v>
      </x:c>
    </x:row>
    <x:row r="144">
      <x:c r="A144" s="47" t="str">
        <x:v>IMO-092</x:v>
      </x:c>
      <x:c r="B144" s="48" t="str">
        <x:v>International Code for Ships Operating in Polar Waters (Polar Code)</x:v>
      </x:c>
      <x:c r="C144" s="47" t="str">
        <x:v>Resolution MSC.385(94), adopted 21 Nov 2014; consolidated with MEPC.264(68), adopted 15 May 2015</x:v>
      </x:c>
      <x:c r="D144" s="59" t="n">
        <x:v>28</x:v>
      </x:c>
      <x:c r="E144" s="47" t="str">
        <x:v>10.2.1.4</x:v>
      </x:c>
      <x:c r="F144" s="47" t="str">
        <x:v>Static</x:v>
      </x:c>
      <x:c r="G144" s="48" t="str">
        <x:v>Stage 2 candidate - direct/deterministic</x:v>
      </x:c>
      <x:c r="H144" s="47" t="str">
        <x:v>High</x:v>
      </x:c>
      <x:c r="I144" s="47" t="str">
        <x:v>No</x:v>
      </x:c>
      <x:c r="J144" s="47" t="str">
        <x:v>ELIGIBLE</x:v>
      </x:c>
      <x:c r="K144" s="47" t="str">
        <x:v>NOT_RUN</x:v>
      </x:c>
    </x:row>
    <x:row r="145">
      <x:c r="A145" s="47" t="str">
        <x:v>IMO-093</x:v>
      </x:c>
      <x:c r="B145" s="48" t="str">
        <x:v>International Code for Ships Operating in Polar Waters (Polar Code)</x:v>
      </x:c>
      <x:c r="C145" s="47" t="str">
        <x:v>Resolution MSC.385(94), adopted 21 Nov 2014; consolidated with MEPC.264(68), adopted 15 May 2015</x:v>
      </x:c>
      <x:c r="D145" s="59" t="n">
        <x:v>28</x:v>
      </x:c>
      <x:c r="E145" s="47" t="str">
        <x:v>10.2.2.3</x:v>
      </x:c>
      <x:c r="F145" s="47" t="str">
        <x:v>Physical Test</x:v>
      </x:c>
      <x:c r="G145" s="48" t="str">
        <x:v>Evidence-only - physical result not inferred by SHACL</x:v>
      </x:c>
      <x:c r="H145" s="47" t="str">
        <x:v>Medium</x:v>
      </x:c>
      <x:c r="I145" s="47" t="str">
        <x:v>No</x:v>
      </x:c>
      <x:c r="J145" s="47" t="str">
        <x:v>DEFERRED</x:v>
      </x:c>
      <x:c r="K145" s="47" t="str">
        <x:v>NOT_RUN</x:v>
      </x:c>
    </x:row>
    <x:row r="146">
      <x:c r="A146" s="47" t="str">
        <x:v>IMO-094</x:v>
      </x:c>
      <x:c r="B146" s="48" t="str">
        <x:v>International Code for Ships Operating in Polar Waters (Polar Code)</x:v>
      </x:c>
      <x:c r="C146" s="47" t="str">
        <x:v>Resolution MSC.385(94), adopted 21 Nov 2014; consolidated with MEPC.264(68), adopted 15 May 2015</x:v>
      </x:c>
      <x:c r="D146" s="59" t="n">
        <x:v>28</x:v>
      </x:c>
      <x:c r="E146" s="47" t="str">
        <x:v>10.3.1.2</x:v>
      </x:c>
      <x:c r="F146" s="47" t="str">
        <x:v>Static</x:v>
      </x:c>
      <x:c r="G146" s="48" t="str">
        <x:v>Stage 2 candidate - direct/deterministic</x:v>
      </x:c>
      <x:c r="H146" s="47" t="str">
        <x:v>High</x:v>
      </x:c>
      <x:c r="I146" s="47" t="str">
        <x:v>No</x:v>
      </x:c>
      <x:c r="J146" s="47" t="str">
        <x:v>ELIGIBLE</x:v>
      </x:c>
      <x:c r="K146" s="47" t="str">
        <x:v>NOT_RUN</x:v>
      </x:c>
    </x:row>
    <x:row r="147">
      <x:c r="A147" s="47" t="str">
        <x:v>IMO-095</x:v>
      </x:c>
      <x:c r="B147" s="48" t="str">
        <x:v>International Code for Ships Operating in Polar Waters (Polar Code)</x:v>
      </x:c>
      <x:c r="C147" s="47" t="str">
        <x:v>Resolution MSC.385(94), adopted 21 Nov 2014; consolidated with MEPC.264(68), adopted 15 May 2015</x:v>
      </x:c>
      <x:c r="D147" s="59" t="n">
        <x:v>28</x:v>
      </x:c>
      <x:c r="E147" s="47" t="str">
        <x:v>10.3.1.3</x:v>
      </x:c>
      <x:c r="F147" s="47" t="str">
        <x:v>Static</x:v>
      </x:c>
      <x:c r="G147" s="48" t="str">
        <x:v>Stage 2 candidate - direct/deterministic</x:v>
      </x:c>
      <x:c r="H147" s="47" t="str">
        <x:v>High</x:v>
      </x:c>
      <x:c r="I147" s="47" t="str">
        <x:v>No</x:v>
      </x:c>
      <x:c r="J147" s="47" t="str">
        <x:v>ELIGIBLE</x:v>
      </x:c>
      <x:c r="K147" s="47" t="str">
        <x:v>NOT_RUN</x:v>
      </x:c>
    </x:row>
    <x:row r="148">
      <x:c r="A148" s="47" t="str">
        <x:v>IMO-096</x:v>
      </x:c>
      <x:c r="B148" s="48" t="str">
        <x:v>International Code for Ships Operating in Polar Waters (Polar Code)</x:v>
      </x:c>
      <x:c r="C148" s="47" t="str">
        <x:v>Resolution MSC.385(94), adopted 21 Nov 2014; consolidated with MEPC.264(68), adopted 15 May 2015</x:v>
      </x:c>
      <x:c r="D148" s="59" t="n">
        <x:v>28</x:v>
      </x:c>
      <x:c r="E148" s="47" t="str">
        <x:v>10.3.1.4</x:v>
      </x:c>
      <x:c r="F148" s="47" t="str">
        <x:v>Static</x:v>
      </x:c>
      <x:c r="G148" s="48" t="str">
        <x:v>Stage 2 candidate - direct/deterministic</x:v>
      </x:c>
      <x:c r="H148" s="47" t="str">
        <x:v>High</x:v>
      </x:c>
      <x:c r="I148" s="47" t="str">
        <x:v>No</x:v>
      </x:c>
      <x:c r="J148" s="47" t="str">
        <x:v>ELIGIBLE</x:v>
      </x:c>
      <x:c r="K148" s="47" t="str">
        <x:v>NOT_RUN</x:v>
      </x:c>
    </x:row>
    <x:row r="149">
      <x:c r="A149" s="47" t="str">
        <x:v>IMO-097</x:v>
      </x:c>
      <x:c r="B149" s="48" t="str">
        <x:v>International Code for Ships Operating in Polar Waters (Polar Code)</x:v>
      </x:c>
      <x:c r="C149" s="47" t="str">
        <x:v>Resolution MSC.385(94), adopted 21 Nov 2014; consolidated with MEPC.264(68), adopted 15 May 2015</x:v>
      </x:c>
      <x:c r="D149" s="59" t="n">
        <x:v>29</x:v>
      </x:c>
      <x:c r="E149" s="47" t="str">
        <x:v>10.3.2.1</x:v>
      </x:c>
      <x:c r="F149" s="47" t="str">
        <x:v>Static</x:v>
      </x:c>
      <x:c r="G149" s="48" t="str">
        <x:v>Stage 2 candidate - direct/deterministic</x:v>
      </x:c>
      <x:c r="H149" s="47" t="str">
        <x:v>High</x:v>
      </x:c>
      <x:c r="I149" s="47" t="str">
        <x:v>No</x:v>
      </x:c>
      <x:c r="J149" s="47" t="str">
        <x:v>ELIGIBLE</x:v>
      </x:c>
      <x:c r="K149" s="47" t="str">
        <x:v>NOT_RUN</x:v>
      </x:c>
    </x:row>
    <x:row r="150">
      <x:c r="A150" s="47" t="str">
        <x:v>IMO-098</x:v>
      </x:c>
      <x:c r="B150" s="48" t="str">
        <x:v>International Code for Ships Operating in Polar Waters (Polar Code)</x:v>
      </x:c>
      <x:c r="C150" s="47" t="str">
        <x:v>Resolution MSC.385(94), adopted 21 Nov 2014; consolidated with MEPC.264(68), adopted 15 May 2015</x:v>
      </x:c>
      <x:c r="D150" s="59" t="n">
        <x:v>29</x:v>
      </x:c>
      <x:c r="E150" s="47" t="str">
        <x:v>10.3.2.2</x:v>
      </x:c>
      <x:c r="F150" s="47" t="str">
        <x:v>Static</x:v>
      </x:c>
      <x:c r="G150" s="48" t="str">
        <x:v>Stage 2 candidate - direct/deterministic</x:v>
      </x:c>
      <x:c r="H150" s="47" t="str">
        <x:v>High</x:v>
      </x:c>
      <x:c r="I150" s="47" t="str">
        <x:v>No</x:v>
      </x:c>
      <x:c r="J150" s="47" t="str">
        <x:v>ELIGIBLE</x:v>
      </x:c>
      <x:c r="K150" s="47" t="str">
        <x:v>NOT_RUN</x:v>
      </x:c>
    </x:row>
    <x:row r="151">
      <x:c r="A151" s="47" t="str">
        <x:v>IMO-099</x:v>
      </x:c>
      <x:c r="B151" s="48" t="str">
        <x:v>International Code for Ships Operating in Polar Waters (Polar Code)</x:v>
      </x:c>
      <x:c r="C151" s="47" t="str">
        <x:v>Resolution MSC.385(94), adopted 21 Nov 2014; consolidated with MEPC.264(68), adopted 15 May 2015</x:v>
      </x:c>
      <x:c r="D151" s="59" t="n">
        <x:v>29</x:v>
      </x:c>
      <x:c r="E151" s="47" t="str">
        <x:v>10.3.2.3</x:v>
      </x:c>
      <x:c r="F151" s="47" t="str">
        <x:v>Static</x:v>
      </x:c>
      <x:c r="G151" s="48" t="str">
        <x:v>Stage 2 candidate - direct static</x:v>
      </x:c>
      <x:c r="H151" s="47" t="str">
        <x:v>Direct static</x:v>
      </x:c>
      <x:c r="I151" s="47" t="str">
        <x:v>No</x:v>
      </x:c>
      <x:c r="J151" s="47" t="str">
        <x:v>ELIGIBLE</x:v>
      </x:c>
      <x:c r="K151" s="47" t="str">
        <x:v>NOT_RUN</x:v>
      </x:c>
    </x:row>
    <x:row r="152">
      <x:c r="A152" s="47" t="str">
        <x:v>IMO-100</x:v>
      </x:c>
      <x:c r="B152" s="48" t="str">
        <x:v>International Code for Ships Operating in Polar Waters (Polar Code)</x:v>
      </x:c>
      <x:c r="C152" s="47" t="str">
        <x:v>Resolution MSC.385(94), adopted 21 Nov 2014; consolidated with MEPC.264(68), adopted 15 May 2015</x:v>
      </x:c>
      <x:c r="D152" s="59" t="n">
        <x:v>29</x:v>
      </x:c>
      <x:c r="E152" s="47" t="str">
        <x:v>11.2</x:v>
      </x:c>
      <x:c r="F152" s="47" t="str">
        <x:v>Static</x:v>
      </x:c>
      <x:c r="G152" s="48" t="str">
        <x:v>Stage 2 candidate - direct static</x:v>
      </x:c>
      <x:c r="H152" s="47" t="str">
        <x:v>Direct static</x:v>
      </x:c>
      <x:c r="I152" s="47" t="str">
        <x:v>No</x:v>
      </x:c>
      <x:c r="J152" s="47" t="str">
        <x:v>ELIGIBLE</x:v>
      </x:c>
      <x:c r="K152" s="47" t="str">
        <x:v>NOT_RUN</x:v>
      </x:c>
    </x:row>
    <x:row r="153">
      <x:c r="A153" s="47" t="str">
        <x:v>IMO-101</x:v>
      </x:c>
      <x:c r="B153" s="48" t="str">
        <x:v>International Code for Ships Operating in Polar Waters (Polar Code)</x:v>
      </x:c>
      <x:c r="C153" s="47" t="str">
        <x:v>Resolution MSC.385(94), adopted 21 Nov 2014; consolidated with MEPC.264(68), adopted 15 May 2015</x:v>
      </x:c>
      <x:c r="D153" s="59" t="str">
        <x:v>29-30</x:v>
      </x:c>
      <x:c r="E153" s="47" t="str">
        <x:v>11.3.1-11.3.9</x:v>
      </x:c>
      <x:c r="F153" s="47" t="str">
        <x:v>Static</x:v>
      </x:c>
      <x:c r="G153" s="48" t="str">
        <x:v>Stage 2 candidate - direct static</x:v>
      </x:c>
      <x:c r="H153" s="47" t="str">
        <x:v>Direct static</x:v>
      </x:c>
      <x:c r="I153" s="47" t="str">
        <x:v>No</x:v>
      </x:c>
      <x:c r="J153" s="47" t="str">
        <x:v>ELIGIBLE</x:v>
      </x:c>
      <x:c r="K153" s="47" t="str">
        <x:v>NOT_RUN</x:v>
      </x:c>
    </x:row>
    <x:row r="154">
      <x:c r="A154" s="47" t="str">
        <x:v>IMO-102</x:v>
      </x:c>
      <x:c r="B154" s="48" t="str">
        <x:v>International Code for Ships Operating in Polar Waters (Polar Code)</x:v>
      </x:c>
      <x:c r="C154" s="47" t="str">
        <x:v>Resolution MSC.385(94), adopted 21 Nov 2014; consolidated with MEPC.264(68), adopted 15 May 2015</x:v>
      </x:c>
      <x:c r="D154" s="59" t="n">
        <x:v>30</x:v>
      </x:c>
      <x:c r="E154" s="47" t="str">
        <x:v>12.3.1</x:v>
      </x:c>
      <x:c r="F154" s="47" t="str">
        <x:v>Static</x:v>
      </x:c>
      <x:c r="G154" s="48" t="str">
        <x:v>Stage 2 candidate - direct/deterministic</x:v>
      </x:c>
      <x:c r="H154" s="47" t="str">
        <x:v>High</x:v>
      </x:c>
      <x:c r="I154" s="47" t="str">
        <x:v>No</x:v>
      </x:c>
      <x:c r="J154" s="47" t="str">
        <x:v>ELIGIBLE</x:v>
      </x:c>
      <x:c r="K154" s="47" t="str">
        <x:v>NOT_RUN</x:v>
      </x:c>
    </x:row>
    <x:row r="155">
      <x:c r="A155" s="47" t="str">
        <x:v>IMO-103</x:v>
      </x:c>
      <x:c r="B155" s="48" t="str">
        <x:v>International Code for Ships Operating in Polar Waters (Polar Code)</x:v>
      </x:c>
      <x:c r="C155" s="47" t="str">
        <x:v>Resolution MSC.385(94), adopted 21 Nov 2014; consolidated with MEPC.264(68), adopted 15 May 2015</x:v>
      </x:c>
      <x:c r="D155" s="59" t="n">
        <x:v>31</x:v>
      </x:c>
      <x:c r="E155" s="47" t="str">
        <x:v>12.3.2</x:v>
      </x:c>
      <x:c r="F155" s="47" t="str">
        <x:v>Static</x:v>
      </x:c>
      <x:c r="G155" s="48" t="str">
        <x:v>Stage 2 candidate - direct static</x:v>
      </x:c>
      <x:c r="H155" s="47" t="str">
        <x:v>Direct static</x:v>
      </x:c>
      <x:c r="I155" s="47" t="str">
        <x:v>No</x:v>
      </x:c>
      <x:c r="J155" s="47" t="str">
        <x:v>ELIGIBLE</x:v>
      </x:c>
      <x:c r="K155" s="47" t="str">
        <x:v>NOT_RUN</x:v>
      </x:c>
    </x:row>
    <x:row r="156">
      <x:c r="A156" s="47" t="str">
        <x:v>IMO-104</x:v>
      </x:c>
      <x:c r="B156" s="48" t="str">
        <x:v>International Code for Ships Operating in Polar Waters (Polar Code)</x:v>
      </x:c>
      <x:c r="C156" s="47" t="str">
        <x:v>Resolution MSC.385(94), adopted 21 Nov 2014; consolidated with MEPC.264(68), adopted 15 May 2015</x:v>
      </x:c>
      <x:c r="D156" s="59" t="n">
        <x:v>31</x:v>
      </x:c>
      <x:c r="E156" s="47" t="str">
        <x:v>12.3.4</x:v>
      </x:c>
      <x:c r="F156" s="47" t="str">
        <x:v>Static</x:v>
      </x:c>
      <x:c r="G156" s="48" t="str">
        <x:v>Stage 2 candidate - direct/deterministic</x:v>
      </x:c>
      <x:c r="H156" s="47" t="str">
        <x:v>High</x:v>
      </x:c>
      <x:c r="I156" s="47" t="str">
        <x:v>No</x:v>
      </x:c>
      <x:c r="J156" s="47" t="str">
        <x:v>ELIGIBLE</x:v>
      </x:c>
      <x:c r="K156" s="47" t="str">
        <x:v>NO_SEMANTIC_VALIDATOR_DETERMINISTIC_FAIL</x:v>
      </x:c>
    </x:row>
    <x:row r="157">
      <x:c r="A157" s="47" t="str">
        <x:v>IMO-105</x:v>
      </x:c>
      <x:c r="B157" s="48" t="str">
        <x:v>International Code for Ships Operating in Polar Waters (Polar Code)</x:v>
      </x:c>
      <x:c r="C157" s="47" t="str">
        <x:v>Resolution MSC.385(94), adopted 21 Nov 2014; consolidated with MEPC.264(68), adopted 15 May 2015</x:v>
      </x:c>
      <x:c r="D157" s="59" t="n">
        <x:v>41</x:v>
      </x:c>
      <x:c r="E157" s="47" t="str">
        <x:v>1.1.1</x:v>
      </x:c>
      <x:c r="F157" s="47" t="str">
        <x:v>Static</x:v>
      </x:c>
      <x:c r="G157" s="48" t="str">
        <x:v>Stage 2 candidate - direct/deterministic</x:v>
      </x:c>
      <x:c r="H157" s="47" t="str">
        <x:v>High</x:v>
      </x:c>
      <x:c r="I157" s="47" t="str">
        <x:v>No</x:v>
      </x:c>
      <x:c r="J157" s="47" t="str">
        <x:v>ELIGIBLE</x:v>
      </x:c>
      <x:c r="K157" s="47" t="str">
        <x:v>NOT_RUN</x:v>
      </x:c>
    </x:row>
    <x:row r="158">
      <x:c r="A158" s="47" t="str">
        <x:v>IMO-106</x:v>
      </x:c>
      <x:c r="B158" s="48" t="str">
        <x:v>International Code for Ships Operating in Polar Waters (Polar Code)</x:v>
      </x:c>
      <x:c r="C158" s="47" t="str">
        <x:v>Resolution MSC.385(94), adopted 21 Nov 2014; consolidated with MEPC.264(68), adopted 15 May 2015</x:v>
      </x:c>
      <x:c r="D158" s="59" t="n">
        <x:v>41</x:v>
      </x:c>
      <x:c r="E158" s="47" t="str">
        <x:v>1.1.2</x:v>
      </x:c>
      <x:c r="F158" s="47" t="str">
        <x:v>Static</x:v>
      </x:c>
      <x:c r="G158" s="48" t="str">
        <x:v>Stage 2 candidate - direct/deterministic</x:v>
      </x:c>
      <x:c r="H158" s="47" t="str">
        <x:v>High</x:v>
      </x:c>
      <x:c r="I158" s="47" t="str">
        <x:v>No</x:v>
      </x:c>
      <x:c r="J158" s="47" t="str">
        <x:v>ELIGIBLE</x:v>
      </x:c>
      <x:c r="K158" s="47" t="str">
        <x:v>NOT_RUN</x:v>
      </x:c>
    </x:row>
    <x:row r="159">
      <x:c r="A159" s="47" t="str">
        <x:v>IMO-107</x:v>
      </x:c>
      <x:c r="B159" s="48" t="str">
        <x:v>International Code for Ships Operating in Polar Waters (Polar Code)</x:v>
      </x:c>
      <x:c r="C159" s="47" t="str">
        <x:v>Resolution MSC.385(94), adopted 21 Nov 2014; consolidated with MEPC.264(68), adopted 15 May 2015</x:v>
      </x:c>
      <x:c r="D159" s="59" t="n">
        <x:v>41</x:v>
      </x:c>
      <x:c r="E159" s="47" t="str">
        <x:v>1.1.4</x:v>
      </x:c>
      <x:c r="F159" s="47" t="str">
        <x:v>Static</x:v>
      </x:c>
      <x:c r="G159" s="48" t="str">
        <x:v>Stage 2 candidate - direct/deterministic</x:v>
      </x:c>
      <x:c r="H159" s="47" t="str">
        <x:v>High</x:v>
      </x:c>
      <x:c r="I159" s="47" t="str">
        <x:v>No</x:v>
      </x:c>
      <x:c r="J159" s="47" t="str">
        <x:v>ELIGIBLE</x:v>
      </x:c>
      <x:c r="K159" s="47" t="str">
        <x:v>NOT_RUN</x:v>
      </x:c>
    </x:row>
    <x:row r="160">
      <x:c r="A160" s="47" t="str">
        <x:v>IMO-108</x:v>
      </x:c>
      <x:c r="B160" s="48" t="str">
        <x:v>International Code for Ships Operating in Polar Waters (Polar Code)</x:v>
      </x:c>
      <x:c r="C160" s="47" t="str">
        <x:v>Resolution MSC.385(94), adopted 21 Nov 2014; consolidated with MEPC.264(68), adopted 15 May 2015</x:v>
      </x:c>
      <x:c r="D160" s="59" t="n">
        <x:v>41</x:v>
      </x:c>
      <x:c r="E160" s="47" t="str">
        <x:v>1.2.1</x:v>
      </x:c>
      <x:c r="F160" s="47" t="str">
        <x:v>Static</x:v>
      </x:c>
      <x:c r="G160" s="48" t="str">
        <x:v>Stage 2 candidate - direct static</x:v>
      </x:c>
      <x:c r="H160" s="47" t="str">
        <x:v>Direct static</x:v>
      </x:c>
      <x:c r="I160" s="47" t="str">
        <x:v>No</x:v>
      </x:c>
      <x:c r="J160" s="47" t="str">
        <x:v>ELIGIBLE</x:v>
      </x:c>
      <x:c r="K160" s="47" t="str">
        <x:v>NOT_RUN</x:v>
      </x:c>
    </x:row>
    <x:row r="161">
      <x:c r="A161" s="47" t="str">
        <x:v>IMO-109</x:v>
      </x:c>
      <x:c r="B161" s="48" t="str">
        <x:v>International Code for Ships Operating in Polar Waters (Polar Code)</x:v>
      </x:c>
      <x:c r="C161" s="47" t="str">
        <x:v>Resolution MSC.385(94), adopted 21 Nov 2014; consolidated with MEPC.264(68), adopted 15 May 2015</x:v>
      </x:c>
      <x:c r="D161" s="59" t="n">
        <x:v>41</x:v>
      </x:c>
      <x:c r="E161" s="47" t="str">
        <x:v>1.2.2</x:v>
      </x:c>
      <x:c r="F161" s="47" t="str">
        <x:v>Static</x:v>
      </x:c>
      <x:c r="G161" s="48" t="str">
        <x:v>Stage 2 candidate - direct static</x:v>
      </x:c>
      <x:c r="H161" s="47" t="str">
        <x:v>Direct static</x:v>
      </x:c>
      <x:c r="I161" s="47" t="str">
        <x:v>No</x:v>
      </x:c>
      <x:c r="J161" s="47" t="str">
        <x:v>ELIGIBLE</x:v>
      </x:c>
      <x:c r="K161" s="47" t="str">
        <x:v>NOT_RUN</x:v>
      </x:c>
    </x:row>
    <x:row r="162">
      <x:c r="A162" s="47" t="str">
        <x:v>IMO-110</x:v>
      </x:c>
      <x:c r="B162" s="48" t="str">
        <x:v>International Code for Ships Operating in Polar Waters (Polar Code)</x:v>
      </x:c>
      <x:c r="C162" s="47" t="str">
        <x:v>Resolution MSC.385(94), adopted 21 Nov 2014; consolidated with MEPC.264(68), adopted 15 May 2015</x:v>
      </x:c>
      <x:c r="D162" s="59" t="n">
        <x:v>41</x:v>
      </x:c>
      <x:c r="E162" s="47" t="str">
        <x:v>1.2.3</x:v>
      </x:c>
      <x:c r="F162" s="47" t="str">
        <x:v>Static</x:v>
      </x:c>
      <x:c r="G162" s="48" t="str">
        <x:v>Stage 2 candidate - direct static</x:v>
      </x:c>
      <x:c r="H162" s="47" t="str">
        <x:v>Direct static</x:v>
      </x:c>
      <x:c r="I162" s="47" t="str">
        <x:v>No</x:v>
      </x:c>
      <x:c r="J162" s="47" t="str">
        <x:v>ELIGIBLE</x:v>
      </x:c>
      <x:c r="K162" s="47" t="str">
        <x:v>NOT_RUN</x:v>
      </x:c>
    </x:row>
    <x:row r="163">
      <x:c r="A163" s="47" t="str">
        <x:v>IMO-111</x:v>
      </x:c>
      <x:c r="B163" s="48" t="str">
        <x:v>International Code for Ships Operating in Polar Waters (Polar Code)</x:v>
      </x:c>
      <x:c r="C163" s="47" t="str">
        <x:v>Resolution MSC.385(94), adopted 21 Nov 2014; consolidated with MEPC.264(68), adopted 15 May 2015</x:v>
      </x:c>
      <x:c r="D163" s="59" t="n">
        <x:v>41</x:v>
      </x:c>
      <x:c r="E163" s="47" t="str">
        <x:v>1.2.4</x:v>
      </x:c>
      <x:c r="F163" s="47" t="str">
        <x:v>Static</x:v>
      </x:c>
      <x:c r="G163" s="48" t="str">
        <x:v>Stage 2 candidate - direct static</x:v>
      </x:c>
      <x:c r="H163" s="47" t="str">
        <x:v>Direct static</x:v>
      </x:c>
      <x:c r="I163" s="47" t="str">
        <x:v>No</x:v>
      </x:c>
      <x:c r="J163" s="47" t="str">
        <x:v>ELIGIBLE</x:v>
      </x:c>
      <x:c r="K163" s="47" t="str">
        <x:v>NOT_RUN</x:v>
      </x:c>
    </x:row>
    <x:row r="164">
      <x:c r="A164" s="47" t="str">
        <x:v>IMO-112</x:v>
      </x:c>
      <x:c r="B164" s="48" t="str">
        <x:v>International Code for Ships Operating in Polar Waters (Polar Code)</x:v>
      </x:c>
      <x:c r="C164" s="47" t="str">
        <x:v>Resolution MSC.385(94), adopted 21 Nov 2014; consolidated with MEPC.264(68), adopted 15 May 2015</x:v>
      </x:c>
      <x:c r="D164" s="59" t="n">
        <x:v>42</x:v>
      </x:c>
      <x:c r="E164" s="47" t="str">
        <x:v>2.1.1</x:v>
      </x:c>
      <x:c r="F164" s="47" t="str">
        <x:v>Static</x:v>
      </x:c>
      <x:c r="G164" s="48" t="str">
        <x:v>Stage 2 candidate - direct/deterministic</x:v>
      </x:c>
      <x:c r="H164" s="47" t="str">
        <x:v>High</x:v>
      </x:c>
      <x:c r="I164" s="47" t="str">
        <x:v>No</x:v>
      </x:c>
      <x:c r="J164" s="47" t="str">
        <x:v>ELIGIBLE</x:v>
      </x:c>
      <x:c r="K164" s="47" t="str">
        <x:v>NOT_RUN</x:v>
      </x:c>
    </x:row>
    <x:row r="165">
      <x:c r="A165" s="47" t="str">
        <x:v>IMO-113</x:v>
      </x:c>
      <x:c r="B165" s="48" t="str">
        <x:v>International Code for Ships Operating in Polar Waters (Polar Code)</x:v>
      </x:c>
      <x:c r="C165" s="47" t="str">
        <x:v>Resolution MSC.385(94), adopted 21 Nov 2014; consolidated with MEPC.264(68), adopted 15 May 2015</x:v>
      </x:c>
      <x:c r="D165" s="59" t="n">
        <x:v>42</x:v>
      </x:c>
      <x:c r="E165" s="47" t="str">
        <x:v>2.1.2</x:v>
      </x:c>
      <x:c r="F165" s="47" t="str">
        <x:v>Static</x:v>
      </x:c>
      <x:c r="G165" s="48" t="str">
        <x:v>Stage 2 candidate - direct/deterministic</x:v>
      </x:c>
      <x:c r="H165" s="47" t="str">
        <x:v>High</x:v>
      </x:c>
      <x:c r="I165" s="47" t="str">
        <x:v>No</x:v>
      </x:c>
      <x:c r="J165" s="47" t="str">
        <x:v>ELIGIBLE</x:v>
      </x:c>
      <x:c r="K165" s="47" t="str">
        <x:v>NOT_RUN</x:v>
      </x:c>
    </x:row>
    <x:row r="166">
      <x:c r="A166" s="47" t="str">
        <x:v>IMO-114</x:v>
      </x:c>
      <x:c r="B166" s="48" t="str">
        <x:v>International Code for Ships Operating in Polar Waters (Polar Code)</x:v>
      </x:c>
      <x:c r="C166" s="47" t="str">
        <x:v>Resolution MSC.385(94), adopted 21 Nov 2014; consolidated with MEPC.264(68), adopted 15 May 2015</x:v>
      </x:c>
      <x:c r="D166" s="59" t="n">
        <x:v>42</x:v>
      </x:c>
      <x:c r="E166" s="47" t="str">
        <x:v>2.1.3</x:v>
      </x:c>
      <x:c r="F166" s="47" t="str">
        <x:v>Static</x:v>
      </x:c>
      <x:c r="G166" s="48" t="str">
        <x:v>Stage 2 candidate - direct static</x:v>
      </x:c>
      <x:c r="H166" s="47" t="str">
        <x:v>Direct static</x:v>
      </x:c>
      <x:c r="I166" s="47" t="str">
        <x:v>No</x:v>
      </x:c>
      <x:c r="J166" s="47" t="str">
        <x:v>ELIGIBLE</x:v>
      </x:c>
      <x:c r="K166" s="47" t="str">
        <x:v>NOT_RUN</x:v>
      </x:c>
    </x:row>
    <x:row r="167">
      <x:c r="A167" s="47" t="str">
        <x:v>IMO-115</x:v>
      </x:c>
      <x:c r="B167" s="48" t="str">
        <x:v>International Code for Ships Operating in Polar Waters (Polar Code)</x:v>
      </x:c>
      <x:c r="C167" s="47" t="str">
        <x:v>Resolution MSC.385(94), adopted 21 Nov 2014; consolidated with MEPC.264(68), adopted 15 May 2015</x:v>
      </x:c>
      <x:c r="D167" s="59" t="n">
        <x:v>42</x:v>
      </x:c>
      <x:c r="E167" s="47" t="str">
        <x:v>4.2.1.1</x:v>
      </x:c>
      <x:c r="F167" s="47" t="str">
        <x:v>Static</x:v>
      </x:c>
      <x:c r="G167" s="48" t="str">
        <x:v>Stage 2 candidate - direct static</x:v>
      </x:c>
      <x:c r="H167" s="47" t="str">
        <x:v>Direct static</x:v>
      </x:c>
      <x:c r="I167" s="47" t="str">
        <x:v>No</x:v>
      </x:c>
      <x:c r="J167" s="47" t="str">
        <x:v>ELIGIBLE</x:v>
      </x:c>
      <x:c r="K167" s="47" t="str">
        <x:v>NOT_RUN</x:v>
      </x:c>
    </x:row>
    <x:row r="168">
      <x:c r="A168" s="47" t="str">
        <x:v>IMO-116</x:v>
      </x:c>
      <x:c r="B168" s="48" t="str">
        <x:v>International Code for Ships Operating in Polar Waters (Polar Code)</x:v>
      </x:c>
      <x:c r="C168" s="47" t="str">
        <x:v>Resolution MSC.385(94), adopted 21 Nov 2014; consolidated with MEPC.264(68), adopted 15 May 2015</x:v>
      </x:c>
      <x:c r="D168" s="59" t="n">
        <x:v>42</x:v>
      </x:c>
      <x:c r="E168" s="47" t="str">
        <x:v>4.2.1.2</x:v>
      </x:c>
      <x:c r="F168" s="47" t="str">
        <x:v>Static</x:v>
      </x:c>
      <x:c r="G168" s="48" t="str">
        <x:v>Stage 2 candidate - direct static</x:v>
      </x:c>
      <x:c r="H168" s="47" t="str">
        <x:v>Direct static</x:v>
      </x:c>
      <x:c r="I168" s="47" t="str">
        <x:v>No</x:v>
      </x:c>
      <x:c r="J168" s="47" t="str">
        <x:v>ELIGIBLE</x:v>
      </x:c>
      <x:c r="K168" s="47" t="str">
        <x:v>NOT_RUN</x:v>
      </x:c>
    </x:row>
    <x:row r="169">
      <x:c r="A169" s="47" t="str">
        <x:v>IMO-117</x:v>
      </x:c>
      <x:c r="B169" s="48" t="str">
        <x:v>International Code for Ships Operating in Polar Waters (Polar Code)</x:v>
      </x:c>
      <x:c r="C169" s="47" t="str">
        <x:v>Resolution MSC.385(94), adopted 21 Nov 2014; consolidated with MEPC.264(68), adopted 15 May 2015</x:v>
      </x:c>
      <x:c r="D169" s="59" t="n">
        <x:v>43</x:v>
      </x:c>
      <x:c r="E169" s="47" t="str">
        <x:v>4.2.1.3</x:v>
      </x:c>
      <x:c r="F169" s="47" t="str">
        <x:v>Static</x:v>
      </x:c>
      <x:c r="G169" s="48" t="str">
        <x:v>Stage 2 candidate - direct static</x:v>
      </x:c>
      <x:c r="H169" s="47" t="str">
        <x:v>Direct static</x:v>
      </x:c>
      <x:c r="I169" s="47" t="str">
        <x:v>No</x:v>
      </x:c>
      <x:c r="J169" s="47" t="str">
        <x:v>ELIGIBLE</x:v>
      </x:c>
      <x:c r="K169" s="47" t="str">
        <x:v>NOT_RUN</x:v>
      </x:c>
    </x:row>
    <x:row r="170">
      <x:c r="A170" s="47" t="str">
        <x:v>IMO-118</x:v>
      </x:c>
      <x:c r="B170" s="48" t="str">
        <x:v>International Code for Ships Operating in Polar Waters (Polar Code)</x:v>
      </x:c>
      <x:c r="C170" s="47" t="str">
        <x:v>Resolution MSC.385(94), adopted 21 Nov 2014; consolidated with MEPC.264(68), adopted 15 May 2015</x:v>
      </x:c>
      <x:c r="D170" s="59" t="n">
        <x:v>43</x:v>
      </x:c>
      <x:c r="E170" s="47" t="str">
        <x:v>4.2.2</x:v>
      </x:c>
      <x:c r="F170" s="47" t="str">
        <x:v>Static</x:v>
      </x:c>
      <x:c r="G170" s="48" t="str">
        <x:v>Stage 2 candidate - direct/deterministic</x:v>
      </x:c>
      <x:c r="H170" s="47" t="str">
        <x:v>High</x:v>
      </x:c>
      <x:c r="I170" s="47" t="str">
        <x:v>No</x:v>
      </x:c>
      <x:c r="J170" s="47" t="str">
        <x:v>ELIGIBLE</x:v>
      </x:c>
      <x:c r="K170" s="47" t="str">
        <x:v>NOT_RUN</x:v>
      </x:c>
    </x:row>
    <x:row r="171">
      <x:c r="A171" s="47" t="str">
        <x:v>IMO-119</x:v>
      </x:c>
      <x:c r="B171" s="48" t="str">
        <x:v>International Code for Ships Operating in Polar Waters (Polar Code)</x:v>
      </x:c>
      <x:c r="C171" s="47" t="str">
        <x:v>Resolution MSC.385(94), adopted 21 Nov 2014; consolidated with MEPC.264(68), adopted 15 May 2015</x:v>
      </x:c>
      <x:c r="D171" s="59" t="n">
        <x:v>43</x:v>
      </x:c>
      <x:c r="E171" s="47" t="str">
        <x:v>4.2.3</x:v>
      </x:c>
      <x:c r="F171" s="47" t="str">
        <x:v>Static</x:v>
      </x:c>
      <x:c r="G171" s="48" t="str">
        <x:v>Stage 2 candidate - direct static</x:v>
      </x:c>
      <x:c r="H171" s="47" t="str">
        <x:v>Direct static</x:v>
      </x:c>
      <x:c r="I171" s="47" t="str">
        <x:v>No</x:v>
      </x:c>
      <x:c r="J171" s="47" t="str">
        <x:v>ELIGIBLE</x:v>
      </x:c>
      <x:c r="K171" s="47" t="str">
        <x:v>NOT_RUN</x:v>
      </x:c>
    </x:row>
    <x:row r="172">
      <x:c r="A172" s="47" t="str">
        <x:v>IMO-120</x:v>
      </x:c>
      <x:c r="B172" s="48" t="str">
        <x:v>International Code for Ships Operating in Polar Waters (Polar Code)</x:v>
      </x:c>
      <x:c r="C172" s="47" t="str">
        <x:v>Resolution MSC.385(94), adopted 21 Nov 2014; consolidated with MEPC.264(68), adopted 15 May 2015</x:v>
      </x:c>
      <x:c r="D172" s="59" t="n">
        <x:v>43</x:v>
      </x:c>
      <x:c r="E172" s="47" t="str">
        <x:v>5.2.1.1</x:v>
      </x:c>
      <x:c r="F172" s="47" t="str">
        <x:v>Static</x:v>
      </x:c>
      <x:c r="G172" s="48" t="str">
        <x:v>Stage 2 candidate - direct static</x:v>
      </x:c>
      <x:c r="H172" s="47" t="str">
        <x:v>Direct static</x:v>
      </x:c>
      <x:c r="I172" s="47" t="str">
        <x:v>No</x:v>
      </x:c>
      <x:c r="J172" s="47" t="str">
        <x:v>ELIGIBLE</x:v>
      </x:c>
      <x:c r="K172" s="47" t="str">
        <x:v>NOT_RUN</x:v>
      </x:c>
    </x:row>
    <x:row r="173">
      <x:c r="A173" s="47" t="str">
        <x:v>IMO-121</x:v>
      </x:c>
      <x:c r="B173" s="48" t="str">
        <x:v>International Code for Ships Operating in Polar Waters (Polar Code)</x:v>
      </x:c>
      <x:c r="C173" s="47" t="str">
        <x:v>Resolution MSC.385(94), adopted 21 Nov 2014; consolidated with MEPC.264(68), adopted 15 May 2015</x:v>
      </x:c>
      <x:c r="D173" s="59" t="n">
        <x:v>43</x:v>
      </x:c>
      <x:c r="E173" s="47" t="str">
        <x:v>5.2.1.2</x:v>
      </x:c>
      <x:c r="F173" s="47" t="str">
        <x:v>Static</x:v>
      </x:c>
      <x:c r="G173" s="48" t="str">
        <x:v>Stage 2 candidate - direct/deterministic</x:v>
      </x:c>
      <x:c r="H173" s="47" t="str">
        <x:v>High</x:v>
      </x:c>
      <x:c r="I173" s="47" t="str">
        <x:v>No</x:v>
      </x:c>
      <x:c r="J173" s="47" t="str">
        <x:v>ELIGIBLE</x:v>
      </x:c>
      <x:c r="K173" s="47" t="str">
        <x:v>NOT_RUN</x:v>
      </x:c>
    </x:row>
    <x:row r="174">
      <x:c r="A174" s="47" t="str">
        <x:v>IMO-122</x:v>
      </x:c>
      <x:c r="B174" s="48" t="str">
        <x:v>International Code for Ships Operating in Polar Waters (Polar Code)</x:v>
      </x:c>
      <x:c r="C174" s="47" t="str">
        <x:v>Resolution MSC.385(94), adopted 21 Nov 2014; consolidated with MEPC.264(68), adopted 15 May 2015</x:v>
      </x:c>
      <x:c r="D174" s="59" t="n">
        <x:v>43</x:v>
      </x:c>
      <x:c r="E174" s="47" t="str">
        <x:v>5.2.1.3-.4</x:v>
      </x:c>
      <x:c r="F174" s="47" t="str">
        <x:v>Static</x:v>
      </x:c>
      <x:c r="G174" s="48" t="str">
        <x:v>Stage 2 candidate - direct/deterministic</x:v>
      </x:c>
      <x:c r="H174" s="47" t="str">
        <x:v>High</x:v>
      </x:c>
      <x:c r="I174" s="47" t="str">
        <x:v>No</x:v>
      </x:c>
      <x:c r="J174" s="47" t="str">
        <x:v>ELIGIBLE</x:v>
      </x:c>
      <x:c r="K174" s="47" t="str">
        <x:v>NOT_RUN</x:v>
      </x:c>
    </x:row>
    <x:row r="175">
      <x:c r="A175" s="47" t="str">
        <x:v>IMO-123</x:v>
      </x:c>
      <x:c r="B175" s="48" t="str">
        <x:v>International Code for Ships Operating in Polar Waters (Polar Code)</x:v>
      </x:c>
      <x:c r="C175" s="47" t="str">
        <x:v>Resolution MSC.385(94), adopted 21 Nov 2014; consolidated with MEPC.264(68), adopted 15 May 2015</x:v>
      </x:c>
      <x:c r="D175" s="59" t="str">
        <x:v>43-44</x:v>
      </x:c>
      <x:c r="E175" s="47" t="str">
        <x:v>5.2.1.5</x:v>
      </x:c>
      <x:c r="F175" s="47" t="str">
        <x:v>Static</x:v>
      </x:c>
      <x:c r="G175" s="48" t="str">
        <x:v>Stage 2 candidate - direct static</x:v>
      </x:c>
      <x:c r="H175" s="47" t="str">
        <x:v>Direct static</x:v>
      </x:c>
      <x:c r="I175" s="47" t="str">
        <x:v>No</x:v>
      </x:c>
      <x:c r="J175" s="47" t="str">
        <x:v>ELIGIBLE</x:v>
      </x:c>
      <x:c r="K175" s="47" t="str">
        <x:v>NOT_RUN</x:v>
      </x:c>
    </x:row>
    <x:row r="176">
      <x:c r="A176" s="47" t="str">
        <x:v>IMO-124</x:v>
      </x:c>
      <x:c r="B176" s="48" t="str">
        <x:v>International Code for Ships Operating in Polar Waters (Polar Code)</x:v>
      </x:c>
      <x:c r="C176" s="47" t="str">
        <x:v>Resolution MSC.385(94), adopted 21 Nov 2014; consolidated with MEPC.264(68), adopted 15 May 2015</x:v>
      </x:c>
      <x:c r="D176" s="59" t="n">
        <x:v>44</x:v>
      </x:c>
      <x:c r="E176" s="47" t="str">
        <x:v>5.2.2.1-.2</x:v>
      </x:c>
      <x:c r="F176" s="47" t="str">
        <x:v>Static</x:v>
      </x:c>
      <x:c r="G176" s="48" t="str">
        <x:v>Stage 2 candidate - direct static</x:v>
      </x:c>
      <x:c r="H176" s="47" t="str">
        <x:v>Direct static</x:v>
      </x:c>
      <x:c r="I176" s="47" t="str">
        <x:v>No</x:v>
      </x:c>
      <x:c r="J176" s="47" t="str">
        <x:v>ELIGIBLE</x:v>
      </x:c>
      <x:c r="K176" s="47" t="str">
        <x:v>NOT_RUN</x:v>
      </x:c>
    </x:row>
    <x:row r="177">
      <x:c r="A177" s="47" t="str">
        <x:v>IMO-125</x:v>
      </x:c>
      <x:c r="B177" s="48" t="str">
        <x:v>International Code for Ships Operating in Polar Waters (Polar Code)</x:v>
      </x:c>
      <x:c r="C177" s="47" t="str">
        <x:v>Resolution MSC.385(94), adopted 21 Nov 2014; consolidated with MEPC.264(68), adopted 15 May 2015</x:v>
      </x:c>
      <x:c r="D177" s="59" t="n">
        <x:v>44</x:v>
      </x:c>
      <x:c r="E177" s="47" t="str">
        <x:v>5.2.3</x:v>
      </x:c>
      <x:c r="F177" s="47" t="str">
        <x:v>Static</x:v>
      </x:c>
      <x:c r="G177" s="48" t="str">
        <x:v>Stage 2 candidate - direct/deterministic</x:v>
      </x:c>
      <x:c r="H177" s="47" t="str">
        <x:v>High</x:v>
      </x:c>
      <x:c r="I177" s="47" t="str">
        <x:v>No</x:v>
      </x:c>
      <x:c r="J177" s="47" t="str">
        <x:v>ELIGIBLE</x:v>
      </x:c>
      <x:c r="K177" s="47" t="str">
        <x:v>NOT_RUN</x:v>
      </x:c>
    </x:row>
    <x:row r="178">
      <x:c r="A178" s="47" t="str">
        <x:v>IMO26-001</x:v>
      </x:c>
      <x:c r="B178" s="48" t="str">
        <x:v>Polar Code January 2026 Supplement - Resolution MSC.538(107)</x:v>
      </x:c>
      <x:c r="C178" s="47" t="str">
        <x:v>January 2026 Supplement; effective 1 Jan 2026</x:v>
      </x:c>
      <x:c r="D178" s="59" t="n">
        <x:v>1</x:v>
      </x:c>
      <x:c r="E178" s="47" t="str">
        <x:v>Amendment 2</x:v>
      </x:c>
      <x:c r="F178" s="47" t="str">
        <x:v>Static</x:v>
      </x:c>
      <x:c r="G178" s="48" t="str">
        <x:v>Stage 2 candidate - direct/deterministic</x:v>
      </x:c>
      <x:c r="H178" s="47" t="str">
        <x:v>High</x:v>
      </x:c>
      <x:c r="I178" s="47" t="str">
        <x:v>No</x:v>
      </x:c>
      <x:c r="J178" s="47" t="str">
        <x:v>ELIGIBLE</x:v>
      </x:c>
      <x:c r="K178" s="47" t="str">
        <x:v>NOT_RUN</x:v>
      </x:c>
    </x:row>
    <x:row r="179">
      <x:c r="A179" s="47" t="str">
        <x:v>IMO26-002</x:v>
      </x:c>
      <x:c r="B179" s="48" t="str">
        <x:v>Polar Code January 2026 Supplement - Resolution MSC.538(107)</x:v>
      </x:c>
      <x:c r="C179" s="47" t="str">
        <x:v>January 2026 Supplement; effective 1 Jan 2026</x:v>
      </x:c>
      <x:c r="D179" s="59" t="n">
        <x:v>2</x:v>
      </x:c>
      <x:c r="E179" s="47" t="str">
        <x:v>Chapter 9-1 applicability</x:v>
      </x:c>
      <x:c r="F179" s="47" t="str">
        <x:v>Static</x:v>
      </x:c>
      <x:c r="G179" s="48" t="str">
        <x:v>Stage 2 candidate - direct/deterministic</x:v>
      </x:c>
      <x:c r="H179" s="47" t="str">
        <x:v>High</x:v>
      </x:c>
      <x:c r="I179" s="47" t="str">
        <x:v>No</x:v>
      </x:c>
      <x:c r="J179" s="47" t="str">
        <x:v>ELIGIBLE</x:v>
      </x:c>
      <x:c r="K179" s="47" t="str">
        <x:v>NOT_RUN</x:v>
      </x:c>
    </x:row>
    <x:row r="180">
      <x:c r="A180" s="47" t="str">
        <x:v>IMO26-003</x:v>
      </x:c>
      <x:c r="B180" s="48" t="str">
        <x:v>Polar Code January 2026 Supplement - Resolution MSC.538(107)</x:v>
      </x:c>
      <x:c r="C180" s="47" t="str">
        <x:v>January 2026 Supplement; effective 1 Jan 2026</x:v>
      </x:c>
      <x:c r="D180" s="59" t="n">
        <x:v>2</x:v>
      </x:c>
      <x:c r="E180" s="47" t="str">
        <x:v>9-1.2.1</x:v>
      </x:c>
      <x:c r="F180" s="47" t="str">
        <x:v>Dynamic</x:v>
      </x:c>
      <x:c r="G180" s="48" t="str">
        <x:v>Deferred - observation/history/simulation design required</x:v>
      </x:c>
      <x:c r="H180" s="47" t="str">
        <x:v>Medium</x:v>
      </x:c>
      <x:c r="I180" s="47" t="str">
        <x:v>No</x:v>
      </x:c>
      <x:c r="J180" s="47" t="str">
        <x:v>DEFERRED</x:v>
      </x:c>
      <x:c r="K180" s="47" t="str">
        <x:v>NOT_RUN</x:v>
      </x:c>
    </x:row>
    <x:row r="181">
      <x:c r="A181" s="47" t="str">
        <x:v>IMO26-004</x:v>
      </x:c>
      <x:c r="B181" s="48" t="str">
        <x:v>Polar Code January 2026 Supplement - Resolution MSC.538(107)</x:v>
      </x:c>
      <x:c r="C181" s="47" t="str">
        <x:v>January 2026 Supplement; effective 1 Jan 2026</x:v>
      </x:c>
      <x:c r="D181" s="59" t="n">
        <x:v>2</x:v>
      </x:c>
      <x:c r="E181" s="47" t="str">
        <x:v>9-1.2.2.1</x:v>
      </x:c>
      <x:c r="F181" s="47" t="str">
        <x:v>Physical Test</x:v>
      </x:c>
      <x:c r="G181" s="48" t="str">
        <x:v>Evidence-only - physical result not inferred by SHACL</x:v>
      </x:c>
      <x:c r="H181" s="47" t="str">
        <x:v>Medium</x:v>
      </x:c>
      <x:c r="I181" s="47" t="str">
        <x:v>No</x:v>
      </x:c>
      <x:c r="J181" s="47" t="str">
        <x:v>DEFERRED</x:v>
      </x:c>
      <x:c r="K181" s="47" t="str">
        <x:v>NOT_RUN</x:v>
      </x:c>
    </x:row>
    <x:row r="182">
      <x:c r="A182" s="47" t="str">
        <x:v>IMO26-005</x:v>
      </x:c>
      <x:c r="B182" s="48" t="str">
        <x:v>Polar Code January 2026 Supplement - Resolution MSC.538(107)</x:v>
      </x:c>
      <x:c r="C182" s="47" t="str">
        <x:v>January 2026 Supplement; effective 1 Jan 2026</x:v>
      </x:c>
      <x:c r="D182" s="59" t="n">
        <x:v>2</x:v>
      </x:c>
      <x:c r="E182" s="47" t="str">
        <x:v>9-1.2.2.2</x:v>
      </x:c>
      <x:c r="F182" s="47" t="str">
        <x:v>Static</x:v>
      </x:c>
      <x:c r="G182" s="48" t="str">
        <x:v>Stage 2 candidate - direct/deterministic</x:v>
      </x:c>
      <x:c r="H182" s="47" t="str">
        <x:v>Medium</x:v>
      </x:c>
      <x:c r="I182" s="47" t="str">
        <x:v>No</x:v>
      </x:c>
      <x:c r="J182" s="47" t="str">
        <x:v>ELIGIBLE</x:v>
      </x:c>
      <x:c r="K182" s="47" t="str">
        <x:v>NOT_RUN</x:v>
      </x:c>
    </x:row>
    <x:row r="183">
      <x:c r="A183" s="47" t="str">
        <x:v>IMO26-006</x:v>
      </x:c>
      <x:c r="B183" s="48" t="str">
        <x:v>Polar Code January 2026 Supplement - Resolution MSC.538(107)</x:v>
      </x:c>
      <x:c r="C183" s="47" t="str">
        <x:v>January 2026 Supplement; effective 1 Jan 2026</x:v>
      </x:c>
      <x:c r="D183" s="59" t="n">
        <x:v>3</x:v>
      </x:c>
      <x:c r="E183" s="47" t="str">
        <x:v>9-1.3.1</x:v>
      </x:c>
      <x:c r="F183" s="47" t="str">
        <x:v>Dynamic</x:v>
      </x:c>
      <x:c r="G183" s="48" t="str">
        <x:v>Deferred - observation/history/simulation design required</x:v>
      </x:c>
      <x:c r="H183" s="47" t="str">
        <x:v>Medium</x:v>
      </x:c>
      <x:c r="I183" s="47" t="str">
        <x:v>No</x:v>
      </x:c>
      <x:c r="J183" s="47" t="str">
        <x:v>DEFERRED</x:v>
      </x:c>
      <x:c r="K183" s="47" t="str">
        <x:v>NOT_RUN</x:v>
      </x:c>
    </x:row>
    <x:row r="184">
      <x:c r="A184" s="47" t="str">
        <x:v>IMO26-007</x:v>
      </x:c>
      <x:c r="B184" s="48" t="str">
        <x:v>Polar Code January 2026 Supplement - Resolution MSC.538(107)</x:v>
      </x:c>
      <x:c r="C184" s="47" t="str">
        <x:v>January 2026 Supplement; effective 1 Jan 2026</x:v>
      </x:c>
      <x:c r="D184" s="59" t="n">
        <x:v>3</x:v>
      </x:c>
      <x:c r="E184" s="47" t="str">
        <x:v>9-1.3.2.1.1</x:v>
      </x:c>
      <x:c r="F184" s="47" t="str">
        <x:v>Static</x:v>
      </x:c>
      <x:c r="G184" s="48" t="str">
        <x:v>Stage 2 candidate - direct static</x:v>
      </x:c>
      <x:c r="H184" s="47" t="str">
        <x:v>Direct static</x:v>
      </x:c>
      <x:c r="I184" s="47" t="str">
        <x:v>No</x:v>
      </x:c>
      <x:c r="J184" s="47" t="str">
        <x:v>ELIGIBLE</x:v>
      </x:c>
      <x:c r="K184" s="47" t="str">
        <x:v>NOT_RUN</x:v>
      </x:c>
    </x:row>
    <x:row r="185">
      <x:c r="A185" s="47" t="str">
        <x:v>IMO26-008</x:v>
      </x:c>
      <x:c r="B185" s="48" t="str">
        <x:v>Polar Code January 2026 Supplement - Resolution MSC.538(107)</x:v>
      </x:c>
      <x:c r="C185" s="47" t="str">
        <x:v>January 2026 Supplement; effective 1 Jan 2026</x:v>
      </x:c>
      <x:c r="D185" s="59" t="n">
        <x:v>3</x:v>
      </x:c>
      <x:c r="E185" s="47" t="str">
        <x:v>9-1.3.2.1.2</x:v>
      </x:c>
      <x:c r="F185" s="47" t="str">
        <x:v>Static</x:v>
      </x:c>
      <x:c r="G185" s="48" t="str">
        <x:v>Stage 2 candidate - direct static</x:v>
      </x:c>
      <x:c r="H185" s="47" t="str">
        <x:v>Direct static</x:v>
      </x:c>
      <x:c r="I185" s="47" t="str">
        <x:v>No</x:v>
      </x:c>
      <x:c r="J185" s="47" t="str">
        <x:v>ELIGIBLE</x:v>
      </x:c>
      <x:c r="K185" s="47" t="str">
        <x:v>NOT_RUN</x:v>
      </x:c>
    </x:row>
    <x:row r="186">
      <x:c r="A186" s="47" t="str">
        <x:v>IMO26-009</x:v>
      </x:c>
      <x:c r="B186" s="48" t="str">
        <x:v>Polar Code January 2026 Supplement - Resolution MSC.538(107)</x:v>
      </x:c>
      <x:c r="C186" s="47" t="str">
        <x:v>January 2026 Supplement; effective 1 Jan 2026</x:v>
      </x:c>
      <x:c r="D186" s="59" t="n">
        <x:v>3</x:v>
      </x:c>
      <x:c r="E186" s="47" t="str">
        <x:v>9-1.3.2.1.3</x:v>
      </x:c>
      <x:c r="F186" s="47" t="str">
        <x:v>Static</x:v>
      </x:c>
      <x:c r="G186" s="48" t="str">
        <x:v>Stage 2 candidate - direct/deterministic</x:v>
      </x:c>
      <x:c r="H186" s="47" t="str">
        <x:v>High</x:v>
      </x:c>
      <x:c r="I186" s="47" t="str">
        <x:v>No</x:v>
      </x:c>
      <x:c r="J186" s="47" t="str">
        <x:v>ELIGIBLE</x:v>
      </x:c>
      <x:c r="K186" s="47" t="str">
        <x:v>NOT_RUN</x:v>
      </x:c>
    </x:row>
    <x:row r="187">
      <x:c r="A187" s="47" t="str">
        <x:v>IMO26-010</x:v>
      </x:c>
      <x:c r="B187" s="48" t="str">
        <x:v>Polar Code January 2026 Supplement - Resolution MSC.538(107)</x:v>
      </x:c>
      <x:c r="C187" s="47" t="str">
        <x:v>January 2026 Supplement; effective 1 Jan 2026</x:v>
      </x:c>
      <x:c r="D187" s="59" t="n">
        <x:v>3</x:v>
      </x:c>
      <x:c r="E187" s="47" t="str">
        <x:v>9-1.3.2.1.4.1</x:v>
      </x:c>
      <x:c r="F187" s="47" t="str">
        <x:v>Static</x:v>
      </x:c>
      <x:c r="G187" s="48" t="str">
        <x:v>Stage 2 candidate - direct/deterministic</x:v>
      </x:c>
      <x:c r="H187" s="47" t="str">
        <x:v>High</x:v>
      </x:c>
      <x:c r="I187" s="47" t="str">
        <x:v>No</x:v>
      </x:c>
      <x:c r="J187" s="47" t="str">
        <x:v>ELIGIBLE</x:v>
      </x:c>
      <x:c r="K187" s="47" t="str">
        <x:v>NOT_RUN</x:v>
      </x:c>
    </x:row>
    <x:row r="188">
      <x:c r="A188" s="47" t="str">
        <x:v>IMO26-011</x:v>
      </x:c>
      <x:c r="B188" s="48" t="str">
        <x:v>Polar Code January 2026 Supplement - Resolution MSC.538(107)</x:v>
      </x:c>
      <x:c r="C188" s="47" t="str">
        <x:v>January 2026 Supplement; effective 1 Jan 2026</x:v>
      </x:c>
      <x:c r="D188" s="59" t="n">
        <x:v>4</x:v>
      </x:c>
      <x:c r="E188" s="47" t="str">
        <x:v>9-1.3.2.1.4.2</x:v>
      </x:c>
      <x:c r="F188" s="47" t="str">
        <x:v>Static</x:v>
      </x:c>
      <x:c r="G188" s="48" t="str">
        <x:v>Stage 2 candidate - direct static</x:v>
      </x:c>
      <x:c r="H188" s="47" t="str">
        <x:v>Direct static</x:v>
      </x:c>
      <x:c r="I188" s="47" t="str">
        <x:v>No</x:v>
      </x:c>
      <x:c r="J188" s="47" t="str">
        <x:v>ELIGIBLE</x:v>
      </x:c>
      <x:c r="K188" s="47" t="str">
        <x:v>NOT_RUN</x:v>
      </x:c>
    </x:row>
    <x:row r="189">
      <x:c r="A189" s="47" t="str">
        <x:v>IMO26-012</x:v>
      </x:c>
      <x:c r="B189" s="48" t="str">
        <x:v>Polar Code January 2026 Supplement - Resolution MSC.538(107)</x:v>
      </x:c>
      <x:c r="C189" s="47" t="str">
        <x:v>January 2026 Supplement; effective 1 Jan 2026</x:v>
      </x:c>
      <x:c r="D189" s="59" t="n">
        <x:v>4</x:v>
      </x:c>
      <x:c r="E189" s="47" t="str">
        <x:v>9-1.3.2.2.1</x:v>
      </x:c>
      <x:c r="F189" s="47" t="str">
        <x:v>Static</x:v>
      </x:c>
      <x:c r="G189" s="48" t="str">
        <x:v>Stage 2 candidate - direct/deterministic</x:v>
      </x:c>
      <x:c r="H189" s="47" t="str">
        <x:v>High</x:v>
      </x:c>
      <x:c r="I189" s="47" t="str">
        <x:v>No</x:v>
      </x:c>
      <x:c r="J189" s="47" t="str">
        <x:v>ELIGIBLE</x:v>
      </x:c>
      <x:c r="K189" s="47" t="str">
        <x:v>NOT_RUN</x:v>
      </x:c>
    </x:row>
    <x:row r="190">
      <x:c r="A190" s="47" t="str">
        <x:v>IMO26-013</x:v>
      </x:c>
      <x:c r="B190" s="48" t="str">
        <x:v>Polar Code January 2026 Supplement - Resolution MSC.538(107)</x:v>
      </x:c>
      <x:c r="C190" s="47" t="str">
        <x:v>January 2026 Supplement; effective 1 Jan 2026</x:v>
      </x:c>
      <x:c r="D190" s="59" t="n">
        <x:v>4</x:v>
      </x:c>
      <x:c r="E190" s="47" t="str">
        <x:v>9-1.3.2.2.2</x:v>
      </x:c>
      <x:c r="F190" s="47" t="str">
        <x:v>Static</x:v>
      </x:c>
      <x:c r="G190" s="48" t="str">
        <x:v>Stage 2 candidate - direct/deterministic</x:v>
      </x:c>
      <x:c r="H190" s="47" t="str">
        <x:v>High</x:v>
      </x:c>
      <x:c r="I190" s="47" t="str">
        <x:v>No</x:v>
      </x:c>
      <x:c r="J190" s="47" t="str">
        <x:v>ELIGIBLE</x:v>
      </x:c>
      <x:c r="K190" s="47" t="str">
        <x:v>NOT_RUN</x:v>
      </x:c>
    </x:row>
    <x:row r="191">
      <x:c r="A191" s="47" t="str">
        <x:v>IMO26-014</x:v>
      </x:c>
      <x:c r="B191" s="48" t="str">
        <x:v>Polar Code January 2026 Supplement - Resolution MSC.538(107)</x:v>
      </x:c>
      <x:c r="C191" s="47" t="str">
        <x:v>January 2026 Supplement; effective 1 Jan 2026</x:v>
      </x:c>
      <x:c r="D191" s="59" t="n">
        <x:v>4</x:v>
      </x:c>
      <x:c r="E191" s="47" t="str">
        <x:v>9-1.3.3</x:v>
      </x:c>
      <x:c r="F191" s="47" t="str">
        <x:v>Static</x:v>
      </x:c>
      <x:c r="G191" s="48" t="str">
        <x:v>Stage 2 candidate - direct/deterministic</x:v>
      </x:c>
      <x:c r="H191" s="47" t="str">
        <x:v>High</x:v>
      </x:c>
      <x:c r="I191" s="47" t="str">
        <x:v>No</x:v>
      </x:c>
      <x:c r="J191" s="47" t="str">
        <x:v>ELIGIBLE</x:v>
      </x:c>
      <x:c r="K191" s="47" t="str">
        <x:v>NOT_RUN</x:v>
      </x:c>
    </x:row>
    <x:row r="192">
      <x:c r="A192" s="47" t="str">
        <x:v>IMO26-015</x:v>
      </x:c>
      <x:c r="B192" s="48" t="str">
        <x:v>Polar Code January 2026 Supplement - Resolution MSC.538(107)</x:v>
      </x:c>
      <x:c r="C192" s="47" t="str">
        <x:v>January 2026 Supplement; effective 1 Jan 2026</x:v>
      </x:c>
      <x:c r="D192" s="59" t="n">
        <x:v>5</x:v>
      </x:c>
      <x:c r="E192" s="47" t="str">
        <x:v>Amendment 5</x:v>
      </x:c>
      <x:c r="F192" s="47" t="str">
        <x:v>Static</x:v>
      </x:c>
      <x:c r="G192" s="48" t="str">
        <x:v>Stage 2 candidate - direct/deterministic</x:v>
      </x:c>
      <x:c r="H192" s="47" t="str">
        <x:v>High</x:v>
      </x:c>
      <x:c r="I192" s="47" t="str">
        <x:v>No</x:v>
      </x:c>
      <x:c r="J192" s="47" t="str">
        <x:v>ELIGIBLE</x:v>
      </x:c>
      <x:c r="K192" s="47" t="str">
        <x:v>NOT_RUN</x:v>
      </x:c>
    </x:row>
    <x:row r="193">
      <x:c r="A193" s="47" t="str">
        <x:v>IMO26-016</x:v>
      </x:c>
      <x:c r="B193" s="48" t="str">
        <x:v>Polar Code January 2026 Supplement - Resolution MSC.538(107)</x:v>
      </x:c>
      <x:c r="C193" s="47" t="str">
        <x:v>January 2026 Supplement; effective 1 Jan 2026</x:v>
      </x:c>
      <x:c r="D193" s="59" t="n">
        <x:v>5</x:v>
      </x:c>
      <x:c r="E193" s="47" t="str">
        <x:v>Chapter 11-1 applicability</x:v>
      </x:c>
      <x:c r="F193" s="47" t="str">
        <x:v>Static</x:v>
      </x:c>
      <x:c r="G193" s="48" t="str">
        <x:v>Stage 2 candidate - direct/deterministic</x:v>
      </x:c>
      <x:c r="H193" s="47" t="str">
        <x:v>High</x:v>
      </x:c>
      <x:c r="I193" s="47" t="str">
        <x:v>No</x:v>
      </x:c>
      <x:c r="J193" s="47" t="str">
        <x:v>ELIGIBLE</x:v>
      </x:c>
      <x:c r="K193" s="47" t="str">
        <x:v>NOT_RUN</x:v>
      </x:c>
    </x:row>
    <x:row r="194">
      <x:c r="A194" s="47" t="str">
        <x:v>IMO26-017</x:v>
      </x:c>
      <x:c r="B194" s="48" t="str">
        <x:v>Polar Code January 2026 Supplement - Resolution MSC.538(107)</x:v>
      </x:c>
      <x:c r="C194" s="47" t="str">
        <x:v>January 2026 Supplement; effective 1 Jan 2026</x:v>
      </x:c>
      <x:c r="D194" s="59" t="n">
        <x:v>5</x:v>
      </x:c>
      <x:c r="E194" s="47" t="str">
        <x:v>11-1.2</x:v>
      </x:c>
      <x:c r="F194" s="47" t="str">
        <x:v>Static</x:v>
      </x:c>
      <x:c r="G194" s="48" t="str">
        <x:v>Stage 2 candidate - direct static</x:v>
      </x:c>
      <x:c r="H194" s="47" t="str">
        <x:v>Direct static</x:v>
      </x:c>
      <x:c r="I194" s="47" t="str">
        <x:v>No</x:v>
      </x:c>
      <x:c r="J194" s="47" t="str">
        <x:v>ELIGIBLE</x:v>
      </x:c>
      <x:c r="K194" s="47" t="str">
        <x:v>NOT_RUN</x:v>
      </x:c>
    </x:row>
    <x:row r="195">
      <x:c r="A195" s="47" t="str">
        <x:v>IMO26-018</x:v>
      </x:c>
      <x:c r="B195" s="48" t="str">
        <x:v>Polar Code January 2026 Supplement - Resolution MSC.538(107)</x:v>
      </x:c>
      <x:c r="C195" s="47" t="str">
        <x:v>January 2026 Supplement; effective 1 Jan 2026</x:v>
      </x:c>
      <x:c r="D195" s="59" t="n">
        <x:v>6</x:v>
      </x:c>
      <x:c r="E195" s="47" t="str">
        <x:v>11-1.3.1-11-1.3.9</x:v>
      </x:c>
      <x:c r="F195" s="47" t="str">
        <x:v>Static</x:v>
      </x:c>
      <x:c r="G195" s="48" t="str">
        <x:v>Stage 2 candidate - direct static</x:v>
      </x:c>
      <x:c r="H195" s="47" t="str">
        <x:v>Direct static</x:v>
      </x:c>
      <x:c r="I195" s="47" t="str">
        <x:v>No</x:v>
      </x:c>
      <x:c r="J195" s="47" t="str">
        <x:v>ELIGIBLE</x:v>
      </x:c>
      <x:c r="K195" s="47" t="str">
        <x:v>NOT_RUN</x:v>
      </x:c>
    </x:row>
    <x:row r="196">
      <x:c r="A196" s="47" t="str">
        <x:v>TRF-001</x:v>
      </x:c>
      <x:c r="B196" s="48" t="str">
        <x:v>Ice Class Regulations and the Application Thereof</x:v>
      </x:c>
      <x:c r="C196" s="47" t="str">
        <x:v>TRAFICOM/68863/03.04.01.00/2021</x:v>
      </x:c>
      <x:c r="D196" s="59" t="n">
        <x:v>5</x:v>
      </x:c>
      <x:c r="E196" s="47" t="str">
        <x:v>1.1</x:v>
      </x:c>
      <x:c r="F196" s="47" t="str">
        <x:v>Static</x:v>
      </x:c>
      <x:c r="G196" s="48" t="str">
        <x:v>Stage 2 candidate - direct/deterministic</x:v>
      </x:c>
      <x:c r="H196" s="47" t="str">
        <x:v>High</x:v>
      </x:c>
      <x:c r="I196" s="47" t="str">
        <x:v>No</x:v>
      </x:c>
      <x:c r="J196" s="47" t="str">
        <x:v>ELIGIBLE</x:v>
      </x:c>
      <x:c r="K196" s="47" t="str">
        <x:v>NOT_RUN</x:v>
      </x:c>
    </x:row>
    <x:row r="197">
      <x:c r="A197" s="47" t="str">
        <x:v>TRF-002</x:v>
      </x:c>
      <x:c r="B197" s="48" t="str">
        <x:v>Ice Class Regulations and the Application Thereof</x:v>
      </x:c>
      <x:c r="C197" s="47" t="str">
        <x:v>TRAFICOM/68863/03.04.01.00/2021</x:v>
      </x:c>
      <x:c r="D197" s="59" t="n">
        <x:v>5</x:v>
      </x:c>
      <x:c r="E197" s="47" t="str">
        <x:v>1.2</x:v>
      </x:c>
      <x:c r="F197" s="47" t="str">
        <x:v>Static</x:v>
      </x:c>
      <x:c r="G197" s="48" t="str">
        <x:v>Stage 2 candidate - direct/deterministic</x:v>
      </x:c>
      <x:c r="H197" s="47" t="str">
        <x:v>High</x:v>
      </x:c>
      <x:c r="I197" s="47" t="str">
        <x:v>No</x:v>
      </x:c>
      <x:c r="J197" s="47" t="str">
        <x:v>ELIGIBLE</x:v>
      </x:c>
      <x:c r="K197" s="47" t="str">
        <x:v>NOT_RUN</x:v>
      </x:c>
    </x:row>
    <x:row r="198">
      <x:c r="A198" s="47" t="str">
        <x:v>TRF-003</x:v>
      </x:c>
      <x:c r="B198" s="48" t="str">
        <x:v>Ice Class Regulations and the Application Thereof</x:v>
      </x:c>
      <x:c r="C198" s="47" t="str">
        <x:v>TRAFICOM/68863/03.04.01.00/2021</x:v>
      </x:c>
      <x:c r="D198" s="59" t="n">
        <x:v>5</x:v>
      </x:c>
      <x:c r="E198" s="47" t="str">
        <x:v>1.3</x:v>
      </x:c>
      <x:c r="F198" s="47" t="str">
        <x:v>Static</x:v>
      </x:c>
      <x:c r="G198" s="48" t="str">
        <x:v>Stage 2 candidate - direct/deterministic</x:v>
      </x:c>
      <x:c r="H198" s="47" t="str">
        <x:v>High</x:v>
      </x:c>
      <x:c r="I198" s="47" t="str">
        <x:v>No</x:v>
      </x:c>
      <x:c r="J198" s="47" t="str">
        <x:v>ELIGIBLE</x:v>
      </x:c>
      <x:c r="K198" s="47" t="str">
        <x:v>NOT_RUN</x:v>
      </x:c>
    </x:row>
    <x:row r="199">
      <x:c r="A199" s="47" t="str">
        <x:v>TRF-004</x:v>
      </x:c>
      <x:c r="B199" s="48" t="str">
        <x:v>Ice Class Regulations and the Application Thereof</x:v>
      </x:c>
      <x:c r="C199" s="47" t="str">
        <x:v>TRAFICOM/68863/03.04.01.00/2021</x:v>
      </x:c>
      <x:c r="D199" s="59" t="n">
        <x:v>5</x:v>
      </x:c>
      <x:c r="E199" s="47" t="str">
        <x:v>1.4</x:v>
      </x:c>
      <x:c r="F199" s="47" t="str">
        <x:v>Static</x:v>
      </x:c>
      <x:c r="G199" s="48" t="str">
        <x:v>Stage 2 candidate - direct/deterministic</x:v>
      </x:c>
      <x:c r="H199" s="47" t="str">
        <x:v>Medium</x:v>
      </x:c>
      <x:c r="I199" s="47" t="str">
        <x:v>No</x:v>
      </x:c>
      <x:c r="J199" s="47" t="str">
        <x:v>ELIGIBLE</x:v>
      </x:c>
      <x:c r="K199" s="47" t="str">
        <x:v>NOT_RUN</x:v>
      </x:c>
    </x:row>
    <x:row r="200">
      <x:c r="A200" s="47" t="str">
        <x:v>TRF-005</x:v>
      </x:c>
      <x:c r="B200" s="48" t="str">
        <x:v>Ice Class Regulations and the Application Thereof</x:v>
      </x:c>
      <x:c r="C200" s="47" t="str">
        <x:v>TRAFICOM/68863/03.04.01.00/2021</x:v>
      </x:c>
      <x:c r="D200" s="59" t="n">
        <x:v>5</x:v>
      </x:c>
      <x:c r="E200" s="47" t="str">
        <x:v>1.5</x:v>
      </x:c>
      <x:c r="F200" s="47" t="str">
        <x:v>Static</x:v>
      </x:c>
      <x:c r="G200" s="48" t="str">
        <x:v>Stage 2 candidate - direct/deterministic</x:v>
      </x:c>
      <x:c r="H200" s="47" t="str">
        <x:v>Medium</x:v>
      </x:c>
      <x:c r="I200" s="47" t="str">
        <x:v>No</x:v>
      </x:c>
      <x:c r="J200" s="47" t="str">
        <x:v>ELIGIBLE</x:v>
      </x:c>
      <x:c r="K200" s="47" t="str">
        <x:v>NOT_RUN</x:v>
      </x:c>
    </x:row>
    <x:row r="201">
      <x:c r="A201" s="47" t="str">
        <x:v>TRF-006</x:v>
      </x:c>
      <x:c r="B201" s="48" t="str">
        <x:v>Ice Class Regulations and the Application Thereof</x:v>
      </x:c>
      <x:c r="C201" s="47" t="str">
        <x:v>TRAFICOM/68863/03.04.01.00/2021</x:v>
      </x:c>
      <x:c r="D201" s="59" t="n">
        <x:v>5</x:v>
      </x:c>
      <x:c r="E201" s="47" t="str">
        <x:v>1.6</x:v>
      </x:c>
      <x:c r="F201" s="47" t="str">
        <x:v>Static</x:v>
      </x:c>
      <x:c r="G201" s="48" t="str">
        <x:v>Stage 2 candidate - direct/deterministic</x:v>
      </x:c>
      <x:c r="H201" s="47" t="str">
        <x:v>High</x:v>
      </x:c>
      <x:c r="I201" s="47" t="str">
        <x:v>No</x:v>
      </x:c>
      <x:c r="J201" s="47" t="str">
        <x:v>ELIGIBLE</x:v>
      </x:c>
      <x:c r="K201" s="47" t="str">
        <x:v>NOT_RUN</x:v>
      </x:c>
    </x:row>
    <x:row r="202">
      <x:c r="A202" s="47" t="str">
        <x:v>TRF-007</x:v>
      </x:c>
      <x:c r="B202" s="48" t="str">
        <x:v>Ice Class Regulations and the Application Thereof</x:v>
      </x:c>
      <x:c r="C202" s="47" t="str">
        <x:v>TRAFICOM/68863/03.04.01.00/2021</x:v>
      </x:c>
      <x:c r="D202" s="59" t="n">
        <x:v>5</x:v>
      </x:c>
      <x:c r="E202" s="47" t="str">
        <x:v>1.6</x:v>
      </x:c>
      <x:c r="F202" s="47" t="str">
        <x:v>Static</x:v>
      </x:c>
      <x:c r="G202" s="48" t="str">
        <x:v>Stage 2 candidate - direct/deterministic</x:v>
      </x:c>
      <x:c r="H202" s="47" t="str">
        <x:v>High</x:v>
      </x:c>
      <x:c r="I202" s="47" t="str">
        <x:v>No</x:v>
      </x:c>
      <x:c r="J202" s="47" t="str">
        <x:v>ELIGIBLE</x:v>
      </x:c>
      <x:c r="K202" s="47" t="str">
        <x:v>NOT_RUN</x:v>
      </x:c>
    </x:row>
    <x:row r="203">
      <x:c r="A203" s="47" t="str">
        <x:v>TRF-009</x:v>
      </x:c>
      <x:c r="B203" s="48" t="str">
        <x:v>Ice Class Regulations and the Application Thereof</x:v>
      </x:c>
      <x:c r="C203" s="47" t="str">
        <x:v>TRAFICOM/68863/03.04.01.00/2021</x:v>
      </x:c>
      <x:c r="D203" s="59" t="n">
        <x:v>6</x:v>
      </x:c>
      <x:c r="E203" s="47" t="str">
        <x:v>1.7</x:v>
      </x:c>
      <x:c r="F203" s="47" t="str">
        <x:v>Static</x:v>
      </x:c>
      <x:c r="G203" s="48" t="str">
        <x:v>Stage 2 candidate - direct/deterministic</x:v>
      </x:c>
      <x:c r="H203" s="47" t="str">
        <x:v>High</x:v>
      </x:c>
      <x:c r="I203" s="47" t="str">
        <x:v>No</x:v>
      </x:c>
      <x:c r="J203" s="47" t="str">
        <x:v>ELIGIBLE</x:v>
      </x:c>
      <x:c r="K203" s="47" t="str">
        <x:v>NOT_RUN</x:v>
      </x:c>
    </x:row>
    <x:row r="204">
      <x:c r="A204" s="47" t="str">
        <x:v>TRF-010</x:v>
      </x:c>
      <x:c r="B204" s="48" t="str">
        <x:v>Ice Class Regulations and the Application Thereof</x:v>
      </x:c>
      <x:c r="C204" s="47" t="str">
        <x:v>TRAFICOM/68863/03.04.01.00/2021</x:v>
      </x:c>
      <x:c r="D204" s="59" t="n">
        <x:v>6</x:v>
      </x:c>
      <x:c r="E204" s="47" t="str">
        <x:v>1.8</x:v>
      </x:c>
      <x:c r="F204" s="47" t="str">
        <x:v>Static</x:v>
      </x:c>
      <x:c r="G204" s="48" t="str">
        <x:v>Stage 2 candidate - direct/deterministic</x:v>
      </x:c>
      <x:c r="H204" s="47" t="str">
        <x:v>High</x:v>
      </x:c>
      <x:c r="I204" s="47" t="str">
        <x:v>No</x:v>
      </x:c>
      <x:c r="J204" s="47" t="str">
        <x:v>ELIGIBLE</x:v>
      </x:c>
      <x:c r="K204" s="47" t="str">
        <x:v>NOT_RUN</x:v>
      </x:c>
    </x:row>
    <x:row r="205">
      <x:c r="A205" s="47" t="str">
        <x:v>TRF-011</x:v>
      </x:c>
      <x:c r="B205" s="48" t="str">
        <x:v>Ice Class Regulations and the Application Thereof</x:v>
      </x:c>
      <x:c r="C205" s="47" t="str">
        <x:v>TRAFICOM/68863/03.04.01.00/2021</x:v>
      </x:c>
      <x:c r="D205" s="59" t="n">
        <x:v>6</x:v>
      </x:c>
      <x:c r="E205" s="47" t="str">
        <x:v>2.1</x:v>
      </x:c>
      <x:c r="F205" s="47" t="str">
        <x:v>Static</x:v>
      </x:c>
      <x:c r="G205" s="48" t="str">
        <x:v>Stage 2 candidate - direct/deterministic</x:v>
      </x:c>
      <x:c r="H205" s="47" t="str">
        <x:v>High</x:v>
      </x:c>
      <x:c r="I205" s="47" t="str">
        <x:v>No</x:v>
      </x:c>
      <x:c r="J205" s="47" t="str">
        <x:v>ELIGIBLE</x:v>
      </x:c>
      <x:c r="K205" s="47" t="str">
        <x:v>NOT_RUN</x:v>
      </x:c>
    </x:row>
    <x:row r="206">
      <x:c r="A206" s="47" t="str">
        <x:v>TRF-012</x:v>
      </x:c>
      <x:c r="B206" s="48" t="str">
        <x:v>Ice Class Regulations and the Application Thereof</x:v>
      </x:c>
      <x:c r="C206" s="47" t="str">
        <x:v>TRAFICOM/68863/03.04.01.00/2021</x:v>
      </x:c>
      <x:c r="D206" s="59" t="n">
        <x:v>6</x:v>
      </x:c>
      <x:c r="E206" s="47" t="str">
        <x:v>2.1</x:v>
      </x:c>
      <x:c r="F206" s="47" t="str">
        <x:v>Complex</x:v>
      </x:c>
      <x:c r="G206" s="48" t="str">
        <x:v>Stage 2 candidate - complex readiness</x:v>
      </x:c>
      <x:c r="H206" s="47" t="str">
        <x:v>Complex readiness</x:v>
      </x:c>
      <x:c r="I206" s="47" t="str">
        <x:v>No</x:v>
      </x:c>
      <x:c r="J206" s="47" t="str">
        <x:v>ELIGIBLE</x:v>
      </x:c>
      <x:c r="K206" s="47" t="str">
        <x:v>NOT_RUN</x:v>
      </x:c>
    </x:row>
    <x:row r="207">
      <x:c r="A207" s="47" t="str">
        <x:v>TRF-013</x:v>
      </x:c>
      <x:c r="B207" s="48" t="str">
        <x:v>Ice Class Regulations and the Application Thereof</x:v>
      </x:c>
      <x:c r="C207" s="47" t="str">
        <x:v>TRAFICOM/68863/03.04.01.00/2021</x:v>
      </x:c>
      <x:c r="D207" s="59" t="n">
        <x:v>7</x:v>
      </x:c>
      <x:c r="E207" s="47" t="str">
        <x:v>2.2</x:v>
      </x:c>
      <x:c r="F207" s="47" t="str">
        <x:v>Static</x:v>
      </x:c>
      <x:c r="G207" s="48" t="str">
        <x:v>Stage 2 candidate - direct/deterministic</x:v>
      </x:c>
      <x:c r="H207" s="47" t="str">
        <x:v>High</x:v>
      </x:c>
      <x:c r="I207" s="47" t="str">
        <x:v>No</x:v>
      </x:c>
      <x:c r="J207" s="47" t="str">
        <x:v>ELIGIBLE</x:v>
      </x:c>
      <x:c r="K207" s="47" t="str">
        <x:v>NOT_RUN</x:v>
      </x:c>
    </x:row>
    <x:row r="208">
      <x:c r="A208" s="47" t="str">
        <x:v>TRF-014</x:v>
      </x:c>
      <x:c r="B208" s="48" t="str">
        <x:v>Ice Class Regulations and the Application Thereof</x:v>
      </x:c>
      <x:c r="C208" s="47" t="str">
        <x:v>TRAFICOM/68863/03.04.01.00/2021</x:v>
      </x:c>
      <x:c r="D208" s="59" t="n">
        <x:v>7</x:v>
      </x:c>
      <x:c r="E208" s="47" t="str">
        <x:v>2.2</x:v>
      </x:c>
      <x:c r="F208" s="47" t="str">
        <x:v>Static</x:v>
      </x:c>
      <x:c r="G208" s="48" t="str">
        <x:v>Stage 2 candidate - direct/deterministic</x:v>
      </x:c>
      <x:c r="H208" s="47" t="str">
        <x:v>High</x:v>
      </x:c>
      <x:c r="I208" s="47" t="str">
        <x:v>No</x:v>
      </x:c>
      <x:c r="J208" s="47" t="str">
        <x:v>ELIGIBLE</x:v>
      </x:c>
      <x:c r="K208" s="47" t="str">
        <x:v>NOT_RUN</x:v>
      </x:c>
    </x:row>
    <x:row r="209">
      <x:c r="A209" s="47" t="str">
        <x:v>TRF-015</x:v>
      </x:c>
      <x:c r="B209" s="48" t="str">
        <x:v>Ice Class Regulations and the Application Thereof</x:v>
      </x:c>
      <x:c r="C209" s="47" t="str">
        <x:v>TRAFICOM/68863/03.04.01.00/2021</x:v>
      </x:c>
      <x:c r="D209" s="59" t="n">
        <x:v>7</x:v>
      </x:c>
      <x:c r="E209" s="47" t="str">
        <x:v>2.2</x:v>
      </x:c>
      <x:c r="F209" s="47" t="str">
        <x:v>Static</x:v>
      </x:c>
      <x:c r="G209" s="48" t="str">
        <x:v>Stage 2 candidate - direct/deterministic</x:v>
      </x:c>
      <x:c r="H209" s="47" t="str">
        <x:v>High</x:v>
      </x:c>
      <x:c r="I209" s="47" t="str">
        <x:v>No</x:v>
      </x:c>
      <x:c r="J209" s="47" t="str">
        <x:v>ELIGIBLE</x:v>
      </x:c>
      <x:c r="K209" s="47" t="str">
        <x:v>NOT_RUN</x:v>
      </x:c>
    </x:row>
    <x:row r="210">
      <x:c r="A210" s="47" t="str">
        <x:v>TRF-016</x:v>
      </x:c>
      <x:c r="B210" s="48" t="str">
        <x:v>Ice Class Regulations and the Application Thereof</x:v>
      </x:c>
      <x:c r="C210" s="47" t="str">
        <x:v>TRAFICOM/68863/03.04.01.00/2021</x:v>
      </x:c>
      <x:c r="D210" s="59" t="n">
        <x:v>7</x:v>
      </x:c>
      <x:c r="E210" s="47" t="str">
        <x:v>2.2</x:v>
      </x:c>
      <x:c r="F210" s="47" t="str">
        <x:v>Static Calculation</x:v>
      </x:c>
      <x:c r="G210" s="48" t="str">
        <x:v>Stage 2 candidate - direct/deterministic</x:v>
      </x:c>
      <x:c r="H210" s="47" t="str">
        <x:v>High</x:v>
      </x:c>
      <x:c r="I210" s="47" t="str">
        <x:v>No</x:v>
      </x:c>
      <x:c r="J210" s="47" t="str">
        <x:v>ELIGIBLE</x:v>
      </x:c>
      <x:c r="K210" s="47" t="str">
        <x:v>NOT_RUN</x:v>
      </x:c>
    </x:row>
    <x:row r="211">
      <x:c r="A211" s="47" t="str">
        <x:v>TRF-017</x:v>
      </x:c>
      <x:c r="B211" s="48" t="str">
        <x:v>Ice Class Regulations and the Application Thereof</x:v>
      </x:c>
      <x:c r="C211" s="47" t="str">
        <x:v>TRAFICOM/68863/03.04.01.00/2021</x:v>
      </x:c>
      <x:c r="D211" s="59" t="n">
        <x:v>7</x:v>
      </x:c>
      <x:c r="E211" s="47" t="str">
        <x:v>3.1</x:v>
      </x:c>
      <x:c r="F211" s="47" t="str">
        <x:v>Static</x:v>
      </x:c>
      <x:c r="G211" s="48" t="str">
        <x:v>Stage 2 candidate - direct/deterministic</x:v>
      </x:c>
      <x:c r="H211" s="47" t="str">
        <x:v>High</x:v>
      </x:c>
      <x:c r="I211" s="47" t="str">
        <x:v>No</x:v>
      </x:c>
      <x:c r="J211" s="47" t="str">
        <x:v>ELIGIBLE</x:v>
      </x:c>
      <x:c r="K211" s="47" t="str">
        <x:v>NOT_RUN</x:v>
      </x:c>
    </x:row>
    <x:row r="212">
      <x:c r="A212" s="47" t="str">
        <x:v>TRF-018</x:v>
      </x:c>
      <x:c r="B212" s="48" t="str">
        <x:v>Ice Class Regulations and the Application Thereof</x:v>
      </x:c>
      <x:c r="C212" s="47" t="str">
        <x:v>TRAFICOM/68863/03.04.01.00/2021</x:v>
      </x:c>
      <x:c r="D212" s="59" t="n">
        <x:v>8</x:v>
      </x:c>
      <x:c r="E212" s="47" t="str">
        <x:v>3.2</x:v>
      </x:c>
      <x:c r="F212" s="47" t="str">
        <x:v>Static Calculation</x:v>
      </x:c>
      <x:c r="G212" s="48" t="str">
        <x:v>Stage 2 candidate - direct/deterministic</x:v>
      </x:c>
      <x:c r="H212" s="47" t="str">
        <x:v>High</x:v>
      </x:c>
      <x:c r="I212" s="47" t="str">
        <x:v>No</x:v>
      </x:c>
      <x:c r="J212" s="47" t="str">
        <x:v>ELIGIBLE</x:v>
      </x:c>
      <x:c r="K212" s="47" t="str">
        <x:v>NOT_RUN</x:v>
      </x:c>
    </x:row>
    <x:row r="213">
      <x:c r="A213" s="47" t="str">
        <x:v>TRF-020</x:v>
      </x:c>
      <x:c r="B213" s="48" t="str">
        <x:v>Ice Class Regulations and the Application Thereof</x:v>
      </x:c>
      <x:c r="C213" s="47" t="str">
        <x:v>TRAFICOM/68863/03.04.01.00/2021</x:v>
      </x:c>
      <x:c r="D213" s="59" t="str">
        <x:v>8-9</x:v>
      </x:c>
      <x:c r="E213" s="47" t="str">
        <x:v>3.2.2</x:v>
      </x:c>
      <x:c r="F213" s="47" t="str">
        <x:v>Complex</x:v>
      </x:c>
      <x:c r="G213" s="48" t="str">
        <x:v>Stage 2 candidate - complex readiness</x:v>
      </x:c>
      <x:c r="H213" s="47" t="str">
        <x:v>Complex readiness</x:v>
      </x:c>
      <x:c r="I213" s="47" t="str">
        <x:v>No</x:v>
      </x:c>
      <x:c r="J213" s="47" t="str">
        <x:v>ELIGIBLE</x:v>
      </x:c>
      <x:c r="K213" s="47" t="str">
        <x:v>NOT_RUN</x:v>
      </x:c>
    </x:row>
    <x:row r="214">
      <x:c r="A214" s="47" t="str">
        <x:v>TRF-022</x:v>
      </x:c>
      <x:c r="B214" s="48" t="str">
        <x:v>Ice Class Regulations and the Application Thereof</x:v>
      </x:c>
      <x:c r="C214" s="47" t="str">
        <x:v>TRAFICOM/68863/03.04.01.00/2021</x:v>
      </x:c>
      <x:c r="D214" s="59" t="n">
        <x:v>10</x:v>
      </x:c>
      <x:c r="E214" s="47" t="str">
        <x:v>3.2.2</x:v>
      </x:c>
      <x:c r="F214" s="47" t="str">
        <x:v>Complex</x:v>
      </x:c>
      <x:c r="G214" s="48" t="str">
        <x:v>Stage 2 candidate - complex readiness</x:v>
      </x:c>
      <x:c r="H214" s="47" t="str">
        <x:v>Complex readiness</x:v>
      </x:c>
      <x:c r="I214" s="47" t="str">
        <x:v>No</x:v>
      </x:c>
      <x:c r="J214" s="47" t="str">
        <x:v>ELIGIBLE</x:v>
      </x:c>
      <x:c r="K214" s="47" t="str">
        <x:v>NOT_RUN</x:v>
      </x:c>
    </x:row>
    <x:row r="215">
      <x:c r="A215" s="47" t="str">
        <x:v>TRF-023</x:v>
      </x:c>
      <x:c r="B215" s="48" t="str">
        <x:v>Ice Class Regulations and the Application Thereof</x:v>
      </x:c>
      <x:c r="C215" s="47" t="str">
        <x:v>TRAFICOM/68863/03.04.01.00/2021</x:v>
      </x:c>
      <x:c r="D215" s="59" t="n">
        <x:v>10</x:v>
      </x:c>
      <x:c r="E215" s="47" t="str">
        <x:v>3.2.3</x:v>
      </x:c>
      <x:c r="F215" s="47" t="str">
        <x:v>Static</x:v>
      </x:c>
      <x:c r="G215" s="48" t="str">
        <x:v>Stage 2 candidate - direct/deterministic</x:v>
      </x:c>
      <x:c r="H215" s="47" t="str">
        <x:v>High</x:v>
      </x:c>
      <x:c r="I215" s="47" t="str">
        <x:v>No</x:v>
      </x:c>
      <x:c r="J215" s="47" t="str">
        <x:v>ELIGIBLE</x:v>
      </x:c>
      <x:c r="K215" s="47" t="str">
        <x:v>NOT_RUN</x:v>
      </x:c>
    </x:row>
    <x:row r="216">
      <x:c r="A216" s="47" t="str">
        <x:v>TRF-024</x:v>
      </x:c>
      <x:c r="B216" s="48" t="str">
        <x:v>Ice Class Regulations and the Application Thereof</x:v>
      </x:c>
      <x:c r="C216" s="47" t="str">
        <x:v>TRAFICOM/68863/03.04.01.00/2021</x:v>
      </x:c>
      <x:c r="D216" s="59" t="n">
        <x:v>10</x:v>
      </x:c>
      <x:c r="E216" s="47" t="str">
        <x:v>3.2.4</x:v>
      </x:c>
      <x:c r="F216" s="47" t="str">
        <x:v>Static</x:v>
      </x:c>
      <x:c r="G216" s="48" t="str">
        <x:v>Stage 2 candidate - direct/deterministic</x:v>
      </x:c>
      <x:c r="H216" s="47" t="str">
        <x:v>High</x:v>
      </x:c>
      <x:c r="I216" s="47" t="str">
        <x:v>No</x:v>
      </x:c>
      <x:c r="J216" s="47" t="str">
        <x:v>ELIGIBLE</x:v>
      </x:c>
      <x:c r="K216" s="47" t="str">
        <x:v>NOT_RUN</x:v>
      </x:c>
    </x:row>
    <x:row r="217">
      <x:c r="A217" s="47" t="str">
        <x:v>TRF-025</x:v>
      </x:c>
      <x:c r="B217" s="48" t="str">
        <x:v>Ice Class Regulations and the Application Thereof</x:v>
      </x:c>
      <x:c r="C217" s="47" t="str">
        <x:v>TRAFICOM/68863/03.04.01.00/2021</x:v>
      </x:c>
      <x:c r="D217" s="59" t="n">
        <x:v>10</x:v>
      </x:c>
      <x:c r="E217" s="47" t="str">
        <x:v>3.2.4</x:v>
      </x:c>
      <x:c r="F217" s="47" t="str">
        <x:v>Complex</x:v>
      </x:c>
      <x:c r="G217" s="48" t="str">
        <x:v>Stage 2 candidate - complex readiness</x:v>
      </x:c>
      <x:c r="H217" s="47" t="str">
        <x:v>Complex readiness</x:v>
      </x:c>
      <x:c r="I217" s="47" t="str">
        <x:v>No</x:v>
      </x:c>
      <x:c r="J217" s="47" t="str">
        <x:v>ELIGIBLE</x:v>
      </x:c>
      <x:c r="K217" s="47" t="str">
        <x:v>NOT_RUN</x:v>
      </x:c>
    </x:row>
    <x:row r="218">
      <x:c r="A218" s="47" t="str">
        <x:v>TRF-026</x:v>
      </x:c>
      <x:c r="B218" s="48" t="str">
        <x:v>Ice Class Regulations and the Application Thereof</x:v>
      </x:c>
      <x:c r="C218" s="47" t="str">
        <x:v>TRAFICOM/68863/03.04.01.00/2021</x:v>
      </x:c>
      <x:c r="D218" s="59" t="n">
        <x:v>11</x:v>
      </x:c>
      <x:c r="E218" s="47" t="str">
        <x:v>3.2.4</x:v>
      </x:c>
      <x:c r="F218" s="47" t="str">
        <x:v>Complex</x:v>
      </x:c>
      <x:c r="G218" s="48" t="str">
        <x:v>Stage 2 candidate - complex readiness</x:v>
      </x:c>
      <x:c r="H218" s="47" t="str">
        <x:v>Complex readiness</x:v>
      </x:c>
      <x:c r="I218" s="47" t="str">
        <x:v>No</x:v>
      </x:c>
      <x:c r="J218" s="47" t="str">
        <x:v>ELIGIBLE</x:v>
      </x:c>
      <x:c r="K218" s="47" t="str">
        <x:v>NOT_RUN</x:v>
      </x:c>
    </x:row>
    <x:row r="219">
      <x:c r="A219" s="47" t="str">
        <x:v>TRF-027</x:v>
      </x:c>
      <x:c r="B219" s="48" t="str">
        <x:v>Ice Class Regulations and the Application Thereof</x:v>
      </x:c>
      <x:c r="C219" s="47" t="str">
        <x:v>TRAFICOM/68863/03.04.01.00/2021</x:v>
      </x:c>
      <x:c r="D219" s="59" t="n">
        <x:v>11</x:v>
      </x:c>
      <x:c r="E219" s="47" t="str">
        <x:v>3.2.4</x:v>
      </x:c>
      <x:c r="F219" s="47" t="str">
        <x:v>Static Calculation</x:v>
      </x:c>
      <x:c r="G219" s="48" t="str">
        <x:v>Stage 2 candidate - direct/deterministic</x:v>
      </x:c>
      <x:c r="H219" s="47" t="str">
        <x:v>Medium</x:v>
      </x:c>
      <x:c r="I219" s="47" t="str">
        <x:v>No</x:v>
      </x:c>
      <x:c r="J219" s="47" t="str">
        <x:v>ELIGIBLE</x:v>
      </x:c>
      <x:c r="K219" s="47" t="str">
        <x:v>NOT_RUN</x:v>
      </x:c>
    </x:row>
    <x:row r="220">
      <x:c r="A220" s="47" t="str">
        <x:v>TRF-028</x:v>
      </x:c>
      <x:c r="B220" s="48" t="str">
        <x:v>Ice Class Regulations and the Application Thereof</x:v>
      </x:c>
      <x:c r="C220" s="47" t="str">
        <x:v>TRAFICOM/68863/03.04.01.00/2021</x:v>
      </x:c>
      <x:c r="D220" s="59" t="n">
        <x:v>11</x:v>
      </x:c>
      <x:c r="E220" s="47" t="str">
        <x:v>3.2.5</x:v>
      </x:c>
      <x:c r="F220" s="47" t="str">
        <x:v>Complex</x:v>
      </x:c>
      <x:c r="G220" s="48" t="str">
        <x:v>Stage 2 candidate - complex readiness</x:v>
      </x:c>
      <x:c r="H220" s="47" t="str">
        <x:v>Complex readiness</x:v>
      </x:c>
      <x:c r="I220" s="47" t="str">
        <x:v>No</x:v>
      </x:c>
      <x:c r="J220" s="47" t="str">
        <x:v>ELIGIBLE</x:v>
      </x:c>
      <x:c r="K220" s="47" t="str">
        <x:v>NOT_RUN</x:v>
      </x:c>
    </x:row>
    <x:row r="221">
      <x:c r="A221" s="47" t="str">
        <x:v>TRF-029</x:v>
      </x:c>
      <x:c r="B221" s="48" t="str">
        <x:v>Ice Class Regulations and the Application Thereof</x:v>
      </x:c>
      <x:c r="C221" s="47" t="str">
        <x:v>TRAFICOM/68863/03.04.01.00/2021</x:v>
      </x:c>
      <x:c r="D221" s="59" t="n">
        <x:v>12</x:v>
      </x:c>
      <x:c r="E221" s="47" t="str">
        <x:v>4.1</x:v>
      </x:c>
      <x:c r="F221" s="47" t="str">
        <x:v>Static</x:v>
      </x:c>
      <x:c r="G221" s="48" t="str">
        <x:v>Stage 2 candidate - direct static</x:v>
      </x:c>
      <x:c r="H221" s="47" t="str">
        <x:v>Direct static</x:v>
      </x:c>
      <x:c r="I221" s="47" t="str">
        <x:v>No</x:v>
      </x:c>
      <x:c r="J221" s="47" t="str">
        <x:v>ELIGIBLE</x:v>
      </x:c>
      <x:c r="K221" s="47" t="str">
        <x:v>NOT_RUN</x:v>
      </x:c>
    </x:row>
    <x:row r="222">
      <x:c r="A222" s="47" t="str">
        <x:v>TRF-030</x:v>
      </x:c>
      <x:c r="B222" s="48" t="str">
        <x:v>Ice Class Regulations and the Application Thereof</x:v>
      </x:c>
      <x:c r="C222" s="47" t="str">
        <x:v>TRAFICOM/68863/03.04.01.00/2021</x:v>
      </x:c>
      <x:c r="D222" s="59" t="n">
        <x:v>12</x:v>
      </x:c>
      <x:c r="E222" s="47" t="str">
        <x:v>4.1</x:v>
      </x:c>
      <x:c r="F222" s="47" t="str">
        <x:v>Complex</x:v>
      </x:c>
      <x:c r="G222" s="48" t="str">
        <x:v>Stage 2 candidate - complex readiness</x:v>
      </x:c>
      <x:c r="H222" s="47" t="str">
        <x:v>Complex readiness</x:v>
      </x:c>
      <x:c r="I222" s="47" t="str">
        <x:v>No</x:v>
      </x:c>
      <x:c r="J222" s="47" t="str">
        <x:v>ELIGIBLE</x:v>
      </x:c>
      <x:c r="K222" s="47" t="str">
        <x:v>NOT_RUN</x:v>
      </x:c>
    </x:row>
    <x:row r="223">
      <x:c r="A223" s="47" t="str">
        <x:v>TRF-031</x:v>
      </x:c>
      <x:c r="B223" s="48" t="str">
        <x:v>Ice Class Regulations and the Application Thereof</x:v>
      </x:c>
      <x:c r="C223" s="47" t="str">
        <x:v>TRAFICOM/68863/03.04.01.00/2021</x:v>
      </x:c>
      <x:c r="D223" s="59" t="n">
        <x:v>12</x:v>
      </x:c>
      <x:c r="E223" s="47" t="str">
        <x:v>4.1</x:v>
      </x:c>
      <x:c r="F223" s="47" t="str">
        <x:v>Static Calculation</x:v>
      </x:c>
      <x:c r="G223" s="48" t="str">
        <x:v>Stage 2 candidate - direct/deterministic</x:v>
      </x:c>
      <x:c r="H223" s="47" t="str">
        <x:v>Medium</x:v>
      </x:c>
      <x:c r="I223" s="47" t="str">
        <x:v>No</x:v>
      </x:c>
      <x:c r="J223" s="47" t="str">
        <x:v>ELIGIBLE</x:v>
      </x:c>
      <x:c r="K223" s="47" t="str">
        <x:v>NOT_RUN</x:v>
      </x:c>
    </x:row>
    <x:row r="224">
      <x:c r="A224" s="47" t="str">
        <x:v>TRF-032</x:v>
      </x:c>
      <x:c r="B224" s="48" t="str">
        <x:v>Ice Class Regulations and the Application Thereof</x:v>
      </x:c>
      <x:c r="C224" s="47" t="str">
        <x:v>TRAFICOM/68863/03.04.01.00/2021</x:v>
      </x:c>
      <x:c r="D224" s="59" t="n">
        <x:v>12</x:v>
      </x:c>
      <x:c r="E224" s="47" t="str">
        <x:v>4.1</x:v>
      </x:c>
      <x:c r="F224" s="47" t="str">
        <x:v>Static</x:v>
      </x:c>
      <x:c r="G224" s="48" t="str">
        <x:v>Stage 2 candidate - direct/deterministic</x:v>
      </x:c>
      <x:c r="H224" s="47" t="str">
        <x:v>Medium</x:v>
      </x:c>
      <x:c r="I224" s="47" t="str">
        <x:v>No</x:v>
      </x:c>
      <x:c r="J224" s="47" t="str">
        <x:v>ELIGIBLE</x:v>
      </x:c>
      <x:c r="K224" s="47" t="str">
        <x:v>NOT_RUN</x:v>
      </x:c>
    </x:row>
    <x:row r="225">
      <x:c r="A225" s="47" t="str">
        <x:v>TRF-034</x:v>
      </x:c>
      <x:c r="B225" s="48" t="str">
        <x:v>Ice Class Regulations and the Application Thereof</x:v>
      </x:c>
      <x:c r="C225" s="47" t="str">
        <x:v>TRAFICOM/68863/03.04.01.00/2021</x:v>
      </x:c>
      <x:c r="D225" s="59" t="n">
        <x:v>13</x:v>
      </x:c>
      <x:c r="E225" s="47" t="str">
        <x:v>4.1</x:v>
      </x:c>
      <x:c r="F225" s="47" t="str">
        <x:v>Complex</x:v>
      </x:c>
      <x:c r="G225" s="48" t="str">
        <x:v>Stage 2 candidate - complex readiness</x:v>
      </x:c>
      <x:c r="H225" s="47" t="str">
        <x:v>Complex readiness</x:v>
      </x:c>
      <x:c r="I225" s="47" t="str">
        <x:v>No</x:v>
      </x:c>
      <x:c r="J225" s="47" t="str">
        <x:v>ELIGIBLE</x:v>
      </x:c>
      <x:c r="K225" s="47" t="str">
        <x:v>NOT_RUN</x:v>
      </x:c>
    </x:row>
    <x:row r="226">
      <x:c r="A226" s="47" t="str">
        <x:v>TRF-035</x:v>
      </x:c>
      <x:c r="B226" s="48" t="str">
        <x:v>Ice Class Regulations and the Application Thereof</x:v>
      </x:c>
      <x:c r="C226" s="47" t="str">
        <x:v>TRAFICOM/68863/03.04.01.00/2021</x:v>
      </x:c>
      <x:c r="D226" s="59" t="n">
        <x:v>13</x:v>
      </x:c>
      <x:c r="E226" s="47" t="str">
        <x:v>4.1.1</x:v>
      </x:c>
      <x:c r="F226" s="47" t="str">
        <x:v>Static</x:v>
      </x:c>
      <x:c r="G226" s="48" t="str">
        <x:v>Stage 2 candidate - direct/deterministic</x:v>
      </x:c>
      <x:c r="H226" s="47" t="str">
        <x:v>Medium</x:v>
      </x:c>
      <x:c r="I226" s="47" t="str">
        <x:v>No</x:v>
      </x:c>
      <x:c r="J226" s="47" t="str">
        <x:v>ELIGIBLE</x:v>
      </x:c>
      <x:c r="K226" s="47" t="str">
        <x:v>NOT_RUN</x:v>
      </x:c>
    </x:row>
    <x:row r="227">
      <x:c r="A227" s="47" t="str">
        <x:v>TRF-036</x:v>
      </x:c>
      <x:c r="B227" s="48" t="str">
        <x:v>Ice Class Regulations and the Application Thereof</x:v>
      </x:c>
      <x:c r="C227" s="47" t="str">
        <x:v>TRAFICOM/68863/03.04.01.00/2021</x:v>
      </x:c>
      <x:c r="D227" s="59" t="n">
        <x:v>14</x:v>
      </x:c>
      <x:c r="E227" s="47" t="str">
        <x:v>4.2.1</x:v>
      </x:c>
      <x:c r="F227" s="47" t="str">
        <x:v>Static</x:v>
      </x:c>
      <x:c r="G227" s="48" t="str">
        <x:v>Stage 2 candidate - direct static</x:v>
      </x:c>
      <x:c r="H227" s="47" t="str">
        <x:v>Direct static</x:v>
      </x:c>
      <x:c r="I227" s="47" t="str">
        <x:v>No</x:v>
      </x:c>
      <x:c r="J227" s="47" t="str">
        <x:v>ELIGIBLE</x:v>
      </x:c>
      <x:c r="K227" s="47" t="str">
        <x:v>NOT_RUN</x:v>
      </x:c>
    </x:row>
    <x:row r="228">
      <x:c r="A228" s="47" t="str">
        <x:v>TRF-037</x:v>
      </x:c>
      <x:c r="B228" s="48" t="str">
        <x:v>Ice Class Regulations and the Application Thereof</x:v>
      </x:c>
      <x:c r="C228" s="47" t="str">
        <x:v>TRAFICOM/68863/03.04.01.00/2021</x:v>
      </x:c>
      <x:c r="D228" s="59" t="n">
        <x:v>14</x:v>
      </x:c>
      <x:c r="E228" s="47" t="str">
        <x:v>4.2.2</x:v>
      </x:c>
      <x:c r="F228" s="47" t="str">
        <x:v>Static Calculation</x:v>
      </x:c>
      <x:c r="G228" s="48" t="str">
        <x:v>Stage 2 candidate - direct/deterministic</x:v>
      </x:c>
      <x:c r="H228" s="47" t="str">
        <x:v>Medium</x:v>
      </x:c>
      <x:c r="I228" s="47" t="str">
        <x:v>No</x:v>
      </x:c>
      <x:c r="J228" s="47" t="str">
        <x:v>ELIGIBLE</x:v>
      </x:c>
      <x:c r="K228" s="47" t="str">
        <x:v>NOT_RUN</x:v>
      </x:c>
    </x:row>
    <x:row r="229">
      <x:c r="A229" s="47" t="str">
        <x:v>TRF-039</x:v>
      </x:c>
      <x:c r="B229" s="48" t="str">
        <x:v>Ice Class Regulations and the Application Thereof</x:v>
      </x:c>
      <x:c r="C229" s="47" t="str">
        <x:v>TRAFICOM/68863/03.04.01.00/2021</x:v>
      </x:c>
      <x:c r="D229" s="59" t="n">
        <x:v>15</x:v>
      </x:c>
      <x:c r="E229" s="47" t="str">
        <x:v>4.2.2</x:v>
      </x:c>
      <x:c r="F229" s="47" t="str">
        <x:v>Static Calculation</x:v>
      </x:c>
      <x:c r="G229" s="48" t="str">
        <x:v>Deferred - existing vocabulary insufficient</x:v>
      </x:c>
      <x:c r="H229" s="47" t="str">
        <x:v>Deferred</x:v>
      </x:c>
      <x:c r="I229" s="47" t="str">
        <x:v>No</x:v>
      </x:c>
      <x:c r="J229" s="47" t="str">
        <x:v>DEFERRED</x:v>
      </x:c>
      <x:c r="K229" s="47" t="str">
        <x:v>NOT_RUN</x:v>
      </x:c>
    </x:row>
    <x:row r="230">
      <x:c r="A230" s="47" t="str">
        <x:v>TRF-040</x:v>
      </x:c>
      <x:c r="B230" s="48" t="str">
        <x:v>Ice Class Regulations and the Application Thereof</x:v>
      </x:c>
      <x:c r="C230" s="47" t="str">
        <x:v>TRAFICOM/68863/03.04.01.00/2021</x:v>
      </x:c>
      <x:c r="D230" s="59" t="n">
        <x:v>16</x:v>
      </x:c>
      <x:c r="E230" s="47" t="str">
        <x:v>4.3.1</x:v>
      </x:c>
      <x:c r="F230" s="47" t="str">
        <x:v>Static</x:v>
      </x:c>
      <x:c r="G230" s="48" t="str">
        <x:v>Stage 2 candidate - direct static</x:v>
      </x:c>
      <x:c r="H230" s="47" t="str">
        <x:v>Direct static</x:v>
      </x:c>
      <x:c r="I230" s="47" t="str">
        <x:v>No</x:v>
      </x:c>
      <x:c r="J230" s="47" t="str">
        <x:v>ELIGIBLE</x:v>
      </x:c>
      <x:c r="K230" s="47" t="str">
        <x:v>NOT_RUN</x:v>
      </x:c>
    </x:row>
    <x:row r="231">
      <x:c r="A231" s="47" t="str">
        <x:v>TRF-041</x:v>
      </x:c>
      <x:c r="B231" s="48" t="str">
        <x:v>Ice Class Regulations and the Application Thereof</x:v>
      </x:c>
      <x:c r="C231" s="47" t="str">
        <x:v>TRAFICOM/68863/03.04.01.00/2021</x:v>
      </x:c>
      <x:c r="D231" s="59" t="n">
        <x:v>17</x:v>
      </x:c>
      <x:c r="E231" s="47" t="str">
        <x:v>4.3.2</x:v>
      </x:c>
      <x:c r="F231" s="47" t="str">
        <x:v>Complex</x:v>
      </x:c>
      <x:c r="G231" s="48" t="str">
        <x:v>Stage 2 candidate - complex readiness</x:v>
      </x:c>
      <x:c r="H231" s="47" t="str">
        <x:v>Complex readiness</x:v>
      </x:c>
      <x:c r="I231" s="47" t="str">
        <x:v>No</x:v>
      </x:c>
      <x:c r="J231" s="47" t="str">
        <x:v>ELIGIBLE</x:v>
      </x:c>
      <x:c r="K231" s="47" t="str">
        <x:v>NOT_RUN</x:v>
      </x:c>
    </x:row>
    <x:row r="232">
      <x:c r="A232" s="47" t="str">
        <x:v>TRF-042</x:v>
      </x:c>
      <x:c r="B232" s="48" t="str">
        <x:v>Ice Class Regulations and the Application Thereof</x:v>
      </x:c>
      <x:c r="C232" s="47" t="str">
        <x:v>TRAFICOM/68863/03.04.01.00/2021</x:v>
      </x:c>
      <x:c r="D232" s="59" t="n">
        <x:v>17</x:v>
      </x:c>
      <x:c r="E232" s="47" t="str">
        <x:v>4.3.2</x:v>
      </x:c>
      <x:c r="F232" s="47" t="str">
        <x:v>Static Calculation</x:v>
      </x:c>
      <x:c r="G232" s="48" t="str">
        <x:v>Stage 2 candidate - direct/deterministic</x:v>
      </x:c>
      <x:c r="H232" s="47" t="str">
        <x:v>Medium</x:v>
      </x:c>
      <x:c r="I232" s="47" t="str">
        <x:v>No</x:v>
      </x:c>
      <x:c r="J232" s="47" t="str">
        <x:v>ELIGIBLE</x:v>
      </x:c>
      <x:c r="K232" s="47" t="str">
        <x:v>NOT_RUN</x:v>
      </x:c>
    </x:row>
    <x:row r="233">
      <x:c r="A233" s="47" t="str">
        <x:v>TRF-043</x:v>
      </x:c>
      <x:c r="B233" s="48" t="str">
        <x:v>Ice Class Regulations and the Application Thereof</x:v>
      </x:c>
      <x:c r="C233" s="47" t="str">
        <x:v>TRAFICOM/68863/03.04.01.00/2021</x:v>
      </x:c>
      <x:c r="D233" s="59" t="n">
        <x:v>18</x:v>
      </x:c>
      <x:c r="E233" s="47" t="str">
        <x:v>4.4.1</x:v>
      </x:c>
      <x:c r="F233" s="47" t="str">
        <x:v>Static</x:v>
      </x:c>
      <x:c r="G233" s="48" t="str">
        <x:v>Stage 2 candidate - direct/deterministic</x:v>
      </x:c>
      <x:c r="H233" s="47" t="str">
        <x:v>Medium</x:v>
      </x:c>
      <x:c r="I233" s="47" t="str">
        <x:v>No</x:v>
      </x:c>
      <x:c r="J233" s="47" t="str">
        <x:v>ELIGIBLE</x:v>
      </x:c>
      <x:c r="K233" s="47" t="str">
        <x:v>NOT_RUN</x:v>
      </x:c>
    </x:row>
    <x:row r="234">
      <x:c r="A234" s="47" t="str">
        <x:v>TRF-044</x:v>
      </x:c>
      <x:c r="B234" s="48" t="str">
        <x:v>Ice Class Regulations and the Application Thereof</x:v>
      </x:c>
      <x:c r="C234" s="47" t="str">
        <x:v>TRAFICOM/68863/03.04.01.00/2021</x:v>
      </x:c>
      <x:c r="D234" s="59" t="str">
        <x:v>18-19</x:v>
      </x:c>
      <x:c r="E234" s="47" t="str">
        <x:v>4.4.2.1</x:v>
      </x:c>
      <x:c r="F234" s="47" t="str">
        <x:v>Static Calculation</x:v>
      </x:c>
      <x:c r="G234" s="48" t="str">
        <x:v>Stage 2 candidate - direct/deterministic</x:v>
      </x:c>
      <x:c r="H234" s="47" t="str">
        <x:v>Medium</x:v>
      </x:c>
      <x:c r="I234" s="47" t="str">
        <x:v>No</x:v>
      </x:c>
      <x:c r="J234" s="47" t="str">
        <x:v>ELIGIBLE</x:v>
      </x:c>
      <x:c r="K234" s="47" t="str">
        <x:v>NOT_RUN</x:v>
      </x:c>
    </x:row>
    <x:row r="235">
      <x:c r="A235" s="47" t="str">
        <x:v>TRF-045</x:v>
      </x:c>
      <x:c r="B235" s="48" t="str">
        <x:v>Ice Class Regulations and the Application Thereof</x:v>
      </x:c>
      <x:c r="C235" s="47" t="str">
        <x:v>TRAFICOM/68863/03.04.01.00/2021</x:v>
      </x:c>
      <x:c r="D235" s="59" t="n">
        <x:v>19</x:v>
      </x:c>
      <x:c r="E235" s="47" t="str">
        <x:v>4.4.2.1</x:v>
      </x:c>
      <x:c r="F235" s="47" t="str">
        <x:v>Static</x:v>
      </x:c>
      <x:c r="G235" s="48" t="str">
        <x:v>Stage 2 candidate - direct/deterministic</x:v>
      </x:c>
      <x:c r="H235" s="47" t="str">
        <x:v>High</x:v>
      </x:c>
      <x:c r="I235" s="47" t="str">
        <x:v>No</x:v>
      </x:c>
      <x:c r="J235" s="47" t="str">
        <x:v>ELIGIBLE</x:v>
      </x:c>
      <x:c r="K235" s="47" t="str">
        <x:v>NOT_RUN</x:v>
      </x:c>
    </x:row>
    <x:row r="236">
      <x:c r="A236" s="47" t="str">
        <x:v>TRF-046</x:v>
      </x:c>
      <x:c r="B236" s="48" t="str">
        <x:v>Ice Class Regulations and the Application Thereof</x:v>
      </x:c>
      <x:c r="C236" s="47" t="str">
        <x:v>TRAFICOM/68863/03.04.01.00/2021</x:v>
      </x:c>
      <x:c r="D236" s="59" t="n">
        <x:v>19</x:v>
      </x:c>
      <x:c r="E236" s="47" t="str">
        <x:v>4.4.2.2</x:v>
      </x:c>
      <x:c r="F236" s="47" t="str">
        <x:v>Static</x:v>
      </x:c>
      <x:c r="G236" s="48" t="str">
        <x:v>Stage 2 candidate - direct/deterministic</x:v>
      </x:c>
      <x:c r="H236" s="47" t="str">
        <x:v>Medium</x:v>
      </x:c>
      <x:c r="I236" s="47" t="str">
        <x:v>No</x:v>
      </x:c>
      <x:c r="J236" s="47" t="str">
        <x:v>ELIGIBLE</x:v>
      </x:c>
      <x:c r="K236" s="47" t="str">
        <x:v>NOT_RUN</x:v>
      </x:c>
    </x:row>
    <x:row r="237">
      <x:c r="A237" s="47" t="str">
        <x:v>TRF-047</x:v>
      </x:c>
      <x:c r="B237" s="48" t="str">
        <x:v>Ice Class Regulations and the Application Thereof</x:v>
      </x:c>
      <x:c r="C237" s="47" t="str">
        <x:v>TRAFICOM/68863/03.04.01.00/2021</x:v>
      </x:c>
      <x:c r="D237" s="59" t="n">
        <x:v>20</x:v>
      </x:c>
      <x:c r="E237" s="47" t="str">
        <x:v>4.4.2.3</x:v>
      </x:c>
      <x:c r="F237" s="47" t="str">
        <x:v>Static</x:v>
      </x:c>
      <x:c r="G237" s="48" t="str">
        <x:v>Stage 2 candidate - direct/deterministic</x:v>
      </x:c>
      <x:c r="H237" s="47" t="str">
        <x:v>High</x:v>
      </x:c>
      <x:c r="I237" s="47" t="str">
        <x:v>No</x:v>
      </x:c>
      <x:c r="J237" s="47" t="str">
        <x:v>ELIGIBLE</x:v>
      </x:c>
      <x:c r="K237" s="47" t="str">
        <x:v>NOT_RUN</x:v>
      </x:c>
    </x:row>
    <x:row r="238">
      <x:c r="A238" s="47" t="str">
        <x:v>TRF-048</x:v>
      </x:c>
      <x:c r="B238" s="48" t="str">
        <x:v>Ice Class Regulations and the Application Thereof</x:v>
      </x:c>
      <x:c r="C238" s="47" t="str">
        <x:v>TRAFICOM/68863/03.04.01.00/2021</x:v>
      </x:c>
      <x:c r="D238" s="59" t="n">
        <x:v>20</x:v>
      </x:c>
      <x:c r="E238" s="47" t="str">
        <x:v>4.4.3</x:v>
      </x:c>
      <x:c r="F238" s="47" t="str">
        <x:v>Static Calculation</x:v>
      </x:c>
      <x:c r="G238" s="48" t="str">
        <x:v>Stage 2 candidate - direct/deterministic</x:v>
      </x:c>
      <x:c r="H238" s="47" t="str">
        <x:v>High</x:v>
      </x:c>
      <x:c r="I238" s="47" t="str">
        <x:v>No</x:v>
      </x:c>
      <x:c r="J238" s="47" t="str">
        <x:v>ELIGIBLE</x:v>
      </x:c>
      <x:c r="K238" s="47" t="str">
        <x:v>NOT_RUN</x:v>
      </x:c>
    </x:row>
    <x:row r="239">
      <x:c r="A239" s="47" t="str">
        <x:v>TRF-049</x:v>
      </x:c>
      <x:c r="B239" s="48" t="str">
        <x:v>Ice Class Regulations and the Application Thereof</x:v>
      </x:c>
      <x:c r="C239" s="47" t="str">
        <x:v>TRAFICOM/68863/03.04.01.00/2021</x:v>
      </x:c>
      <x:c r="D239" s="59" t="n">
        <x:v>21</x:v>
      </x:c>
      <x:c r="E239" s="47" t="str">
        <x:v>4.4.4.1</x:v>
      </x:c>
      <x:c r="F239" s="47" t="str">
        <x:v>Static</x:v>
      </x:c>
      <x:c r="G239" s="48" t="str">
        <x:v>Stage 2 candidate - direct static</x:v>
      </x:c>
      <x:c r="H239" s="47" t="str">
        <x:v>Direct static</x:v>
      </x:c>
      <x:c r="I239" s="47" t="str">
        <x:v>No</x:v>
      </x:c>
      <x:c r="J239" s="47" t="str">
        <x:v>ELIGIBLE</x:v>
      </x:c>
      <x:c r="K239" s="47" t="str">
        <x:v>NOT_RUN</x:v>
      </x:c>
    </x:row>
    <x:row r="240">
      <x:c r="A240" s="47" t="str">
        <x:v>TRF-050</x:v>
      </x:c>
      <x:c r="B240" s="48" t="str">
        <x:v>Ice Class Regulations and the Application Thereof</x:v>
      </x:c>
      <x:c r="C240" s="47" t="str">
        <x:v>TRAFICOM/68863/03.04.01.00/2021</x:v>
      </x:c>
      <x:c r="D240" s="59" t="n">
        <x:v>21</x:v>
      </x:c>
      <x:c r="E240" s="47" t="str">
        <x:v>4.4.4.2</x:v>
      </x:c>
      <x:c r="F240" s="47" t="str">
        <x:v>Static</x:v>
      </x:c>
      <x:c r="G240" s="48" t="str">
        <x:v>Stage 2 candidate - direct/deterministic</x:v>
      </x:c>
      <x:c r="H240" s="47" t="str">
        <x:v>High</x:v>
      </x:c>
      <x:c r="I240" s="47" t="str">
        <x:v>No</x:v>
      </x:c>
      <x:c r="J240" s="47" t="str">
        <x:v>ELIGIBLE</x:v>
      </x:c>
      <x:c r="K240" s="47" t="str">
        <x:v>NOT_RUN</x:v>
      </x:c>
    </x:row>
    <x:row r="241">
      <x:c r="A241" s="47" t="str">
        <x:v>TRF-051</x:v>
      </x:c>
      <x:c r="B241" s="48" t="str">
        <x:v>Ice Class Regulations and the Application Thereof</x:v>
      </x:c>
      <x:c r="C241" s="47" t="str">
        <x:v>TRAFICOM/68863/03.04.01.00/2021</x:v>
      </x:c>
      <x:c r="D241" s="59" t="n">
        <x:v>21</x:v>
      </x:c>
      <x:c r="E241" s="47" t="str">
        <x:v>4.4.4.2</x:v>
      </x:c>
      <x:c r="F241" s="47" t="str">
        <x:v>Complex</x:v>
      </x:c>
      <x:c r="G241" s="48" t="str">
        <x:v>Stage 2 candidate - complex readiness</x:v>
      </x:c>
      <x:c r="H241" s="47" t="str">
        <x:v>Complex readiness</x:v>
      </x:c>
      <x:c r="I241" s="47" t="str">
        <x:v>No</x:v>
      </x:c>
      <x:c r="J241" s="47" t="str">
        <x:v>ELIGIBLE</x:v>
      </x:c>
      <x:c r="K241" s="47" t="str">
        <x:v>NOT_RUN</x:v>
      </x:c>
    </x:row>
    <x:row r="242">
      <x:c r="A242" s="47" t="str">
        <x:v>TRF-052</x:v>
      </x:c>
      <x:c r="B242" s="48" t="str">
        <x:v>Ice Class Regulations and the Application Thereof</x:v>
      </x:c>
      <x:c r="C242" s="47" t="str">
        <x:v>TRAFICOM/68863/03.04.01.00/2021</x:v>
      </x:c>
      <x:c r="D242" s="59" t="n">
        <x:v>21</x:v>
      </x:c>
      <x:c r="E242" s="47" t="str">
        <x:v>4.4.4.2</x:v>
      </x:c>
      <x:c r="F242" s="47" t="str">
        <x:v>Static</x:v>
      </x:c>
      <x:c r="G242" s="48" t="str">
        <x:v>Stage 2 candidate - direct/deterministic</x:v>
      </x:c>
      <x:c r="H242" s="47" t="str">
        <x:v>High</x:v>
      </x:c>
      <x:c r="I242" s="47" t="str">
        <x:v>No</x:v>
      </x:c>
      <x:c r="J242" s="47" t="str">
        <x:v>ELIGIBLE</x:v>
      </x:c>
      <x:c r="K242" s="47" t="str">
        <x:v>NOT_RUN</x:v>
      </x:c>
    </x:row>
    <x:row r="243">
      <x:c r="A243" s="47" t="str">
        <x:v>TRF-053</x:v>
      </x:c>
      <x:c r="B243" s="48" t="str">
        <x:v>Ice Class Regulations and the Application Thereof</x:v>
      </x:c>
      <x:c r="C243" s="47" t="str">
        <x:v>TRAFICOM/68863/03.04.01.00/2021</x:v>
      </x:c>
      <x:c r="D243" s="59" t="str">
        <x:v>21-22</x:v>
      </x:c>
      <x:c r="E243" s="47" t="str">
        <x:v>4.5.1</x:v>
      </x:c>
      <x:c r="F243" s="47" t="str">
        <x:v>Static Calculation</x:v>
      </x:c>
      <x:c r="G243" s="48" t="str">
        <x:v>Stage 2 candidate - direct/deterministic</x:v>
      </x:c>
      <x:c r="H243" s="47" t="str">
        <x:v>High</x:v>
      </x:c>
      <x:c r="I243" s="47" t="str">
        <x:v>No</x:v>
      </x:c>
      <x:c r="J243" s="47" t="str">
        <x:v>ELIGIBLE</x:v>
      </x:c>
      <x:c r="K243" s="47" t="str">
        <x:v>NOT_RUN</x:v>
      </x:c>
    </x:row>
    <x:row r="244">
      <x:c r="A244" s="47" t="str">
        <x:v>TRF-054</x:v>
      </x:c>
      <x:c r="B244" s="48" t="str">
        <x:v>Ice Class Regulations and the Application Thereof</x:v>
      </x:c>
      <x:c r="C244" s="47" t="str">
        <x:v>TRAFICOM/68863/03.04.01.00/2021</x:v>
      </x:c>
      <x:c r="D244" s="59" t="str">
        <x:v>22-23</x:v>
      </x:c>
      <x:c r="E244" s="47" t="str">
        <x:v>4.5.2</x:v>
      </x:c>
      <x:c r="F244" s="47" t="str">
        <x:v>Static Calculation</x:v>
      </x:c>
      <x:c r="G244" s="48" t="str">
        <x:v>Stage 2 candidate - direct/deterministic</x:v>
      </x:c>
      <x:c r="H244" s="47" t="str">
        <x:v>High</x:v>
      </x:c>
      <x:c r="I244" s="47" t="str">
        <x:v>No</x:v>
      </x:c>
      <x:c r="J244" s="47" t="str">
        <x:v>ELIGIBLE</x:v>
      </x:c>
      <x:c r="K244" s="47" t="str">
        <x:v>NOT_RUN</x:v>
      </x:c>
    </x:row>
    <x:row r="245">
      <x:c r="A245" s="47" t="str">
        <x:v>TRF-055</x:v>
      </x:c>
      <x:c r="B245" s="48" t="str">
        <x:v>Ice Class Regulations and the Application Thereof</x:v>
      </x:c>
      <x:c r="C245" s="47" t="str">
        <x:v>TRAFICOM/68863/03.04.01.00/2021</x:v>
      </x:c>
      <x:c r="D245" s="59" t="n">
        <x:v>23</x:v>
      </x:c>
      <x:c r="E245" s="47" t="str">
        <x:v>4.5.3</x:v>
      </x:c>
      <x:c r="F245" s="47" t="str">
        <x:v>Static</x:v>
      </x:c>
      <x:c r="G245" s="48" t="str">
        <x:v>Stage 2 candidate - direct/deterministic static verification</x:v>
      </x:c>
      <x:c r="H245" s="47" t="str">
        <x:v>Medium</x:v>
      </x:c>
      <x:c r="I245" s="47" t="str">
        <x:v>No</x:v>
      </x:c>
      <x:c r="J245" s="47" t="str">
        <x:v>ELIGIBLE</x:v>
      </x:c>
      <x:c r="K245" s="47" t="str">
        <x:v>NOT_RUN</x:v>
      </x:c>
    </x:row>
    <x:row r="246">
      <x:c r="A246" s="47" t="str">
        <x:v>TRF-056</x:v>
      </x:c>
      <x:c r="B246" s="48" t="str">
        <x:v>Ice Class Regulations and the Application Thereof</x:v>
      </x:c>
      <x:c r="C246" s="47" t="str">
        <x:v>TRAFICOM/68863/03.04.01.00/2021</x:v>
      </x:c>
      <x:c r="D246" s="59" t="n">
        <x:v>23</x:v>
      </x:c>
      <x:c r="E246" s="47" t="str">
        <x:v>4.5.3</x:v>
      </x:c>
      <x:c r="F246" s="47" t="str">
        <x:v>Static</x:v>
      </x:c>
      <x:c r="G246" s="48" t="str">
        <x:v>Stage 2 candidate - direct static</x:v>
      </x:c>
      <x:c r="H246" s="47" t="str">
        <x:v>Direct static</x:v>
      </x:c>
      <x:c r="I246" s="47" t="str">
        <x:v>No</x:v>
      </x:c>
      <x:c r="J246" s="47" t="str">
        <x:v>ELIGIBLE</x:v>
      </x:c>
      <x:c r="K246" s="47" t="str">
        <x:v>NOT_RUN</x:v>
      </x:c>
    </x:row>
    <x:row r="247">
      <x:c r="A247" s="47" t="str">
        <x:v>TRF-057</x:v>
      </x:c>
      <x:c r="B247" s="48" t="str">
        <x:v>Ice Class Regulations and the Application Thereof</x:v>
      </x:c>
      <x:c r="C247" s="47" t="str">
        <x:v>TRAFICOM/68863/03.04.01.00/2021</x:v>
      </x:c>
      <x:c r="D247" s="59" t="n">
        <x:v>23</x:v>
      </x:c>
      <x:c r="E247" s="47" t="str">
        <x:v>4.6.1</x:v>
      </x:c>
      <x:c r="F247" s="47" t="str">
        <x:v>Static Calculation</x:v>
      </x:c>
      <x:c r="G247" s="48" t="str">
        <x:v>Stage 2 candidate - direct/deterministic</x:v>
      </x:c>
      <x:c r="H247" s="47" t="str">
        <x:v>Medium</x:v>
      </x:c>
      <x:c r="I247" s="47" t="str">
        <x:v>No</x:v>
      </x:c>
      <x:c r="J247" s="47" t="str">
        <x:v>ELIGIBLE</x:v>
      </x:c>
      <x:c r="K247" s="47" t="str">
        <x:v>NOT_RUN</x:v>
      </x:c>
    </x:row>
    <x:row r="248">
      <x:c r="A248" s="47" t="str">
        <x:v>TRF-058</x:v>
      </x:c>
      <x:c r="B248" s="48" t="str">
        <x:v>Ice Class Regulations and the Application Thereof</x:v>
      </x:c>
      <x:c r="C248" s="47" t="str">
        <x:v>TRAFICOM/68863/03.04.01.00/2021</x:v>
      </x:c>
      <x:c r="D248" s="59" t="n">
        <x:v>23</x:v>
      </x:c>
      <x:c r="E248" s="47" t="str">
        <x:v>4.6.1</x:v>
      </x:c>
      <x:c r="F248" s="47" t="str">
        <x:v>Static Calculation</x:v>
      </x:c>
      <x:c r="G248" s="48" t="str">
        <x:v>Stage 2 candidate - direct/deterministic</x:v>
      </x:c>
      <x:c r="H248" s="47" t="str">
        <x:v>High</x:v>
      </x:c>
      <x:c r="I248" s="47" t="str">
        <x:v>No</x:v>
      </x:c>
      <x:c r="J248" s="47" t="str">
        <x:v>ELIGIBLE</x:v>
      </x:c>
      <x:c r="K248" s="47" t="str">
        <x:v>NOT_RUN</x:v>
      </x:c>
    </x:row>
    <x:row r="249">
      <x:c r="A249" s="47" t="str">
        <x:v>TRF-059</x:v>
      </x:c>
      <x:c r="B249" s="48" t="str">
        <x:v>Ice Class Regulations and the Application Thereof</x:v>
      </x:c>
      <x:c r="C249" s="47" t="str">
        <x:v>TRAFICOM/68863/03.04.01.00/2021</x:v>
      </x:c>
      <x:c r="D249" s="59" t="n">
        <x:v>23</x:v>
      </x:c>
      <x:c r="E249" s="47" t="str">
        <x:v>4.6.2</x:v>
      </x:c>
      <x:c r="F249" s="47" t="str">
        <x:v>Static Calculation</x:v>
      </x:c>
      <x:c r="G249" s="48" t="str">
        <x:v>Stage 2 candidate - direct/deterministic</x:v>
      </x:c>
      <x:c r="H249" s="47" t="str">
        <x:v>High</x:v>
      </x:c>
      <x:c r="I249" s="47" t="str">
        <x:v>No</x:v>
      </x:c>
      <x:c r="J249" s="47" t="str">
        <x:v>ELIGIBLE</x:v>
      </x:c>
      <x:c r="K249" s="47" t="str">
        <x:v>NOT_RUN</x:v>
      </x:c>
    </x:row>
    <x:row r="250">
      <x:c r="A250" s="47" t="str">
        <x:v>TRF-060</x:v>
      </x:c>
      <x:c r="B250" s="48" t="str">
        <x:v>Ice Class Regulations and the Application Thereof</x:v>
      </x:c>
      <x:c r="C250" s="47" t="str">
        <x:v>TRAFICOM/68863/03.04.01.00/2021</x:v>
      </x:c>
      <x:c r="D250" s="59" t="n">
        <x:v>24</x:v>
      </x:c>
      <x:c r="E250" s="47" t="str">
        <x:v>4.6.2</x:v>
      </x:c>
      <x:c r="F250" s="47" t="str">
        <x:v>Complex</x:v>
      </x:c>
      <x:c r="G250" s="48" t="str">
        <x:v>Stage 2 candidate - complex readiness</x:v>
      </x:c>
      <x:c r="H250" s="47" t="str">
        <x:v>Complex readiness</x:v>
      </x:c>
      <x:c r="I250" s="47" t="str">
        <x:v>No</x:v>
      </x:c>
      <x:c r="J250" s="47" t="str">
        <x:v>ELIGIBLE</x:v>
      </x:c>
      <x:c r="K250" s="47" t="str">
        <x:v>NOT_RUN</x:v>
      </x:c>
    </x:row>
    <x:row r="251">
      <x:c r="A251" s="47" t="str">
        <x:v>TRF-061</x:v>
      </x:c>
      <x:c r="B251" s="48" t="str">
        <x:v>Ice Class Regulations and the Application Thereof</x:v>
      </x:c>
      <x:c r="C251" s="47" t="str">
        <x:v>TRAFICOM/68863/03.04.01.00/2021</x:v>
      </x:c>
      <x:c r="D251" s="59" t="n">
        <x:v>25</x:v>
      </x:c>
      <x:c r="E251" s="47" t="str">
        <x:v>4.7</x:v>
      </x:c>
      <x:c r="F251" s="47" t="str">
        <x:v>Complex</x:v>
      </x:c>
      <x:c r="G251" s="48" t="str">
        <x:v>Deferred - composite/evidence workflow review</x:v>
      </x:c>
      <x:c r="H251" s="47" t="str">
        <x:v>Medium</x:v>
      </x:c>
      <x:c r="I251" s="47" t="str">
        <x:v>No</x:v>
      </x:c>
      <x:c r="J251" s="47" t="str">
        <x:v>DEFERRED</x:v>
      </x:c>
      <x:c r="K251" s="47" t="str">
        <x:v>NOT_RUN</x:v>
      </x:c>
    </x:row>
    <x:row r="252">
      <x:c r="A252" s="47" t="str">
        <x:v>TRF-062</x:v>
      </x:c>
      <x:c r="B252" s="48" t="str">
        <x:v>Ice Class Regulations and the Application Thereof</x:v>
      </x:c>
      <x:c r="C252" s="47" t="str">
        <x:v>TRAFICOM/68863/03.04.01.00/2021</x:v>
      </x:c>
      <x:c r="D252" s="59" t="n">
        <x:v>25</x:v>
      </x:c>
      <x:c r="E252" s="47" t="str">
        <x:v>4.8</x:v>
      </x:c>
      <x:c r="F252" s="47" t="str">
        <x:v>Static</x:v>
      </x:c>
      <x:c r="G252" s="48" t="str">
        <x:v>Stage 2 candidate - direct/deterministic</x:v>
      </x:c>
      <x:c r="H252" s="47" t="str">
        <x:v>High</x:v>
      </x:c>
      <x:c r="I252" s="47" t="str">
        <x:v>No</x:v>
      </x:c>
      <x:c r="J252" s="47" t="str">
        <x:v>ELIGIBLE</x:v>
      </x:c>
      <x:c r="K252" s="47" t="str">
        <x:v>NOT_RUN</x:v>
      </x:c>
    </x:row>
    <x:row r="253">
      <x:c r="A253" s="47" t="str">
        <x:v>TRF-063</x:v>
      </x:c>
      <x:c r="B253" s="48" t="str">
        <x:v>Ice Class Regulations and the Application Thereof</x:v>
      </x:c>
      <x:c r="C253" s="47" t="str">
        <x:v>TRAFICOM/68863/03.04.01.00/2021</x:v>
      </x:c>
      <x:c r="D253" s="59" t="n">
        <x:v>25</x:v>
      </x:c>
      <x:c r="E253" s="47" t="str">
        <x:v>4.8</x:v>
      </x:c>
      <x:c r="F253" s="47" t="str">
        <x:v>Static</x:v>
      </x:c>
      <x:c r="G253" s="48" t="str">
        <x:v>Stage 2 candidate - direct/deterministic</x:v>
      </x:c>
      <x:c r="H253" s="47" t="str">
        <x:v>High</x:v>
      </x:c>
      <x:c r="I253" s="47" t="str">
        <x:v>No</x:v>
      </x:c>
      <x:c r="J253" s="47" t="str">
        <x:v>ELIGIBLE</x:v>
      </x:c>
      <x:c r="K253" s="47" t="str">
        <x:v>NOT_RUN</x:v>
      </x:c>
    </x:row>
    <x:row r="254">
      <x:c r="A254" s="47" t="str">
        <x:v>TRF-064</x:v>
      </x:c>
      <x:c r="B254" s="48" t="str">
        <x:v>Ice Class Regulations and the Application Thereof</x:v>
      </x:c>
      <x:c r="C254" s="47" t="str">
        <x:v>TRAFICOM/68863/03.04.01.00/2021</x:v>
      </x:c>
      <x:c r="D254" s="59" t="n">
        <x:v>26</x:v>
      </x:c>
      <x:c r="E254" s="47" t="str">
        <x:v>4.8</x:v>
      </x:c>
      <x:c r="F254" s="47" t="str">
        <x:v>Static</x:v>
      </x:c>
      <x:c r="G254" s="48" t="str">
        <x:v>Stage 2 candidate - direct/deterministic</x:v>
      </x:c>
      <x:c r="H254" s="47" t="str">
        <x:v>High</x:v>
      </x:c>
      <x:c r="I254" s="47" t="str">
        <x:v>No</x:v>
      </x:c>
      <x:c r="J254" s="47" t="str">
        <x:v>ELIGIBLE</x:v>
      </x:c>
      <x:c r="K254" s="47" t="str">
        <x:v>NOT_RUN</x:v>
      </x:c>
    </x:row>
    <x:row r="255">
      <x:c r="A255" s="47" t="str">
        <x:v>TRF-065</x:v>
      </x:c>
      <x:c r="B255" s="48" t="str">
        <x:v>Ice Class Regulations and the Application Thereof</x:v>
      </x:c>
      <x:c r="C255" s="47" t="str">
        <x:v>TRAFICOM/68863/03.04.01.00/2021</x:v>
      </x:c>
      <x:c r="D255" s="59" t="n">
        <x:v>26</x:v>
      </x:c>
      <x:c r="E255" s="47" t="str">
        <x:v>5</x:v>
      </x:c>
      <x:c r="F255" s="47" t="str">
        <x:v>Complex</x:v>
      </x:c>
      <x:c r="G255" s="48" t="str">
        <x:v>Deferred - composite/evidence workflow review</x:v>
      </x:c>
      <x:c r="H255" s="47" t="str">
        <x:v>Medium</x:v>
      </x:c>
      <x:c r="I255" s="47" t="str">
        <x:v>No</x:v>
      </x:c>
      <x:c r="J255" s="47" t="str">
        <x:v>DEFERRED</x:v>
      </x:c>
      <x:c r="K255" s="47" t="str">
        <x:v>NOT_RUN</x:v>
      </x:c>
    </x:row>
    <x:row r="256">
      <x:c r="A256" s="47" t="str">
        <x:v>TRF-066</x:v>
      </x:c>
      <x:c r="B256" s="48" t="str">
        <x:v>Ice Class Regulations and the Application Thereof</x:v>
      </x:c>
      <x:c r="C256" s="47" t="str">
        <x:v>TRAFICOM/68863/03.04.01.00/2021</x:v>
      </x:c>
      <x:c r="D256" s="59" t="n">
        <x:v>26</x:v>
      </x:c>
      <x:c r="E256" s="47" t="str">
        <x:v>5</x:v>
      </x:c>
      <x:c r="F256" s="47" t="str">
        <x:v>Static</x:v>
      </x:c>
      <x:c r="G256" s="48" t="str">
        <x:v>Stage 2 candidate - direct/deterministic</x:v>
      </x:c>
      <x:c r="H256" s="47" t="str">
        <x:v>High</x:v>
      </x:c>
      <x:c r="I256" s="47" t="str">
        <x:v>No</x:v>
      </x:c>
      <x:c r="J256" s="47" t="str">
        <x:v>ELIGIBLE</x:v>
      </x:c>
      <x:c r="K256" s="47" t="str">
        <x:v>NOT_RUN</x:v>
      </x:c>
    </x:row>
    <x:row r="257">
      <x:c r="A257" s="47" t="str">
        <x:v>TRF-067</x:v>
      </x:c>
      <x:c r="B257" s="48" t="str">
        <x:v>Ice Class Regulations and the Application Thereof</x:v>
      </x:c>
      <x:c r="C257" s="47" t="str">
        <x:v>TRAFICOM/68863/03.04.01.00/2021</x:v>
      </x:c>
      <x:c r="D257" s="59" t="n">
        <x:v>26</x:v>
      </x:c>
      <x:c r="E257" s="47" t="str">
        <x:v>5</x:v>
      </x:c>
      <x:c r="F257" s="47" t="str">
        <x:v>Static</x:v>
      </x:c>
      <x:c r="G257" s="48" t="str">
        <x:v>Stage 2 candidate - direct/deterministic</x:v>
      </x:c>
      <x:c r="H257" s="47" t="str">
        <x:v>High</x:v>
      </x:c>
      <x:c r="I257" s="47" t="str">
        <x:v>No</x:v>
      </x:c>
      <x:c r="J257" s="47" t="str">
        <x:v>ELIGIBLE</x:v>
      </x:c>
      <x:c r="K257" s="47" t="str">
        <x:v>NOT_RUN</x:v>
      </x:c>
    </x:row>
    <x:row r="258">
      <x:c r="A258" s="47" t="str">
        <x:v>TRF-068</x:v>
      </x:c>
      <x:c r="B258" s="48" t="str">
        <x:v>Ice Class Regulations and the Application Thereof</x:v>
      </x:c>
      <x:c r="C258" s="47" t="str">
        <x:v>TRAFICOM/68863/03.04.01.00/2021</x:v>
      </x:c>
      <x:c r="D258" s="59" t="n">
        <x:v>26</x:v>
      </x:c>
      <x:c r="E258" s="47" t="str">
        <x:v>5</x:v>
      </x:c>
      <x:c r="F258" s="47" t="str">
        <x:v>Complex</x:v>
      </x:c>
      <x:c r="G258" s="48" t="str">
        <x:v>Deferred - composite/evidence workflow review</x:v>
      </x:c>
      <x:c r="H258" s="47" t="str">
        <x:v>High</x:v>
      </x:c>
      <x:c r="I258" s="47" t="str">
        <x:v>No</x:v>
      </x:c>
      <x:c r="J258" s="47" t="str">
        <x:v>DEFERRED</x:v>
      </x:c>
      <x:c r="K258" s="47" t="str">
        <x:v>NOT_RUN</x:v>
      </x:c>
    </x:row>
    <x:row r="259">
      <x:c r="A259" s="47" t="str">
        <x:v>TRF-069</x:v>
      </x:c>
      <x:c r="B259" s="48" t="str">
        <x:v>Ice Class Regulations and the Application Thereof</x:v>
      </x:c>
      <x:c r="C259" s="47" t="str">
        <x:v>TRAFICOM/68863/03.04.01.00/2021</x:v>
      </x:c>
      <x:c r="D259" s="59" t="n">
        <x:v>26</x:v>
      </x:c>
      <x:c r="E259" s="47" t="str">
        <x:v>6.1</x:v>
      </x:c>
      <x:c r="F259" s="47" t="str">
        <x:v>Static</x:v>
      </x:c>
      <x:c r="G259" s="48" t="str">
        <x:v>Stage 2 candidate - direct/deterministic</x:v>
      </x:c>
      <x:c r="H259" s="47" t="str">
        <x:v>High</x:v>
      </x:c>
      <x:c r="I259" s="47" t="str">
        <x:v>No</x:v>
      </x:c>
      <x:c r="J259" s="47" t="str">
        <x:v>ELIGIBLE</x:v>
      </x:c>
      <x:c r="K259" s="47" t="str">
        <x:v>NOT_RUN</x:v>
      </x:c>
    </x:row>
    <x:row r="260">
      <x:c r="A260" s="47" t="str">
        <x:v>TRF-070</x:v>
      </x:c>
      <x:c r="B260" s="48" t="str">
        <x:v>Ice Class Regulations and the Application Thereof</x:v>
      </x:c>
      <x:c r="C260" s="47" t="str">
        <x:v>TRAFICOM/68863/03.04.01.00/2021</x:v>
      </x:c>
      <x:c r="D260" s="59" t="str">
        <x:v>26-27</x:v>
      </x:c>
      <x:c r="E260" s="47" t="str">
        <x:v>6.1</x:v>
      </x:c>
      <x:c r="F260" s="47" t="str">
        <x:v>Complex</x:v>
      </x:c>
      <x:c r="G260" s="48" t="str">
        <x:v>Stage 2 candidate - complex readiness</x:v>
      </x:c>
      <x:c r="H260" s="47" t="str">
        <x:v>Complex readiness</x:v>
      </x:c>
      <x:c r="I260" s="47" t="str">
        <x:v>No</x:v>
      </x:c>
      <x:c r="J260" s="47" t="str">
        <x:v>ELIGIBLE</x:v>
      </x:c>
      <x:c r="K260" s="47" t="str">
        <x:v>NOT_RUN</x:v>
      </x:c>
    </x:row>
    <x:row r="261">
      <x:c r="A261" s="47" t="str">
        <x:v>TRF-072</x:v>
      </x:c>
      <x:c r="B261" s="48" t="str">
        <x:v>Ice Class Regulations and the Application Thereof</x:v>
      </x:c>
      <x:c r="C261" s="47" t="str">
        <x:v>TRAFICOM/68863/03.04.01.00/2021</x:v>
      </x:c>
      <x:c r="D261" s="59" t="n">
        <x:v>31</x:v>
      </x:c>
      <x:c r="E261" s="47" t="str">
        <x:v>6.4.1</x:v>
      </x:c>
      <x:c r="F261" s="47" t="str">
        <x:v>Physical Test</x:v>
      </x:c>
      <x:c r="G261" s="48" t="str">
        <x:v>Evidence-only - physical result not inferred by SHACL</x:v>
      </x:c>
      <x:c r="H261" s="47" t="str">
        <x:v>High</x:v>
      </x:c>
      <x:c r="I261" s="47" t="str">
        <x:v>No</x:v>
      </x:c>
      <x:c r="J261" s="47" t="str">
        <x:v>DEFERRED</x:v>
      </x:c>
      <x:c r="K261" s="47" t="str">
        <x:v>NOT_RUN</x:v>
      </x:c>
    </x:row>
    <x:row r="262">
      <x:c r="A262" s="47" t="str">
        <x:v>TRF-073</x:v>
      </x:c>
      <x:c r="B262" s="48" t="str">
        <x:v>Ice Class Regulations and the Application Thereof</x:v>
      </x:c>
      <x:c r="C262" s="47" t="str">
        <x:v>TRAFICOM/68863/03.04.01.00/2021</x:v>
      </x:c>
      <x:c r="D262" s="59" t="n">
        <x:v>31</x:v>
      </x:c>
      <x:c r="E262" s="47" t="str">
        <x:v>6.4.2</x:v>
      </x:c>
      <x:c r="F262" s="47" t="str">
        <x:v>Physical Test</x:v>
      </x:c>
      <x:c r="G262" s="48" t="str">
        <x:v>Evidence-only - physical result not inferred by SHACL</x:v>
      </x:c>
      <x:c r="H262" s="47" t="str">
        <x:v>High</x:v>
      </x:c>
      <x:c r="I262" s="47" t="str">
        <x:v>No</x:v>
      </x:c>
      <x:c r="J262" s="47" t="str">
        <x:v>DEFERRED</x:v>
      </x:c>
      <x:c r="K262" s="47" t="str">
        <x:v>NOT_RUN</x:v>
      </x:c>
    </x:row>
    <x:row r="263">
      <x:c r="A263" s="47" t="str">
        <x:v>TRF-074</x:v>
      </x:c>
      <x:c r="B263" s="48" t="str">
        <x:v>Ice Class Regulations and the Application Thereof</x:v>
      </x:c>
      <x:c r="C263" s="47" t="str">
        <x:v>TRAFICOM/68863/03.04.01.00/2021</x:v>
      </x:c>
      <x:c r="D263" s="59" t="n">
        <x:v>32</x:v>
      </x:c>
      <x:c r="E263" s="47" t="str">
        <x:v>6.5</x:v>
      </x:c>
      <x:c r="F263" s="47" t="str">
        <x:v>Static</x:v>
      </x:c>
      <x:c r="G263" s="48" t="str">
        <x:v>Stage 2 candidate - direct/deterministic</x:v>
      </x:c>
      <x:c r="H263" s="47" t="str">
        <x:v>High</x:v>
      </x:c>
      <x:c r="I263" s="47" t="str">
        <x:v>No</x:v>
      </x:c>
      <x:c r="J263" s="47" t="str">
        <x:v>ELIGIBLE</x:v>
      </x:c>
      <x:c r="K263" s="47" t="str">
        <x:v>NOT_RUN</x:v>
      </x:c>
    </x:row>
    <x:row r="264">
      <x:c r="A264" s="47" t="str">
        <x:v>TRF-075</x:v>
      </x:c>
      <x:c r="B264" s="48" t="str">
        <x:v>Ice Class Regulations and the Application Thereof</x:v>
      </x:c>
      <x:c r="C264" s="47" t="str">
        <x:v>TRAFICOM/68863/03.04.01.00/2021</x:v>
      </x:c>
      <x:c r="D264" s="59" t="n">
        <x:v>32</x:v>
      </x:c>
      <x:c r="E264" s="47" t="str">
        <x:v>6.5.1</x:v>
      </x:c>
      <x:c r="F264" s="47" t="str">
        <x:v>Static</x:v>
      </x:c>
      <x:c r="G264" s="48" t="str">
        <x:v>Stage 2 candidate - direct static</x:v>
      </x:c>
      <x:c r="H264" s="47" t="str">
        <x:v>Direct static</x:v>
      </x:c>
      <x:c r="I264" s="47" t="str">
        <x:v>No</x:v>
      </x:c>
      <x:c r="J264" s="47" t="str">
        <x:v>ELIGIBLE</x:v>
      </x:c>
      <x:c r="K264" s="47" t="str">
        <x:v>NOT_RUN</x:v>
      </x:c>
    </x:row>
    <x:row r="265">
      <x:c r="A265" s="47" t="str">
        <x:v>TRF-076</x:v>
      </x:c>
      <x:c r="B265" s="48" t="str">
        <x:v>Ice Class Regulations and the Application Thereof</x:v>
      </x:c>
      <x:c r="C265" s="47" t="str">
        <x:v>TRAFICOM/68863/03.04.01.00/2021</x:v>
      </x:c>
      <x:c r="D265" s="59" t="n">
        <x:v>32</x:v>
      </x:c>
      <x:c r="E265" s="47" t="str">
        <x:v>6.5.1.3</x:v>
      </x:c>
      <x:c r="F265" s="47" t="str">
        <x:v>Static</x:v>
      </x:c>
      <x:c r="G265" s="48" t="str">
        <x:v>Stage 2 candidate - direct/deterministic</x:v>
      </x:c>
      <x:c r="H265" s="47" t="str">
        <x:v>Medium</x:v>
      </x:c>
      <x:c r="I265" s="47" t="str">
        <x:v>No</x:v>
      </x:c>
      <x:c r="J265" s="47" t="str">
        <x:v>ELIGIBLE</x:v>
      </x:c>
      <x:c r="K265" s="47" t="str">
        <x:v>NOT_RUN</x:v>
      </x:c>
    </x:row>
    <x:row r="266">
      <x:c r="A266" s="47" t="str">
        <x:v>TRF-077</x:v>
      </x:c>
      <x:c r="B266" s="48" t="str">
        <x:v>Ice Class Regulations and the Application Thereof</x:v>
      </x:c>
      <x:c r="C266" s="47" t="str">
        <x:v>TRAFICOM/68863/03.04.01.00/2021</x:v>
      </x:c>
      <x:c r="D266" s="59" t="n">
        <x:v>36</x:v>
      </x:c>
      <x:c r="E266" s="47" t="str">
        <x:v>6.5.1.8</x:v>
      </x:c>
      <x:c r="F266" s="47" t="str">
        <x:v>Static</x:v>
      </x:c>
      <x:c r="G266" s="48" t="str">
        <x:v>Stage 2 candidate - direct static</x:v>
      </x:c>
      <x:c r="H266" s="47" t="str">
        <x:v>Direct static</x:v>
      </x:c>
      <x:c r="I266" s="47" t="str">
        <x:v>No</x:v>
      </x:c>
      <x:c r="J266" s="47" t="str">
        <x:v>ELIGIBLE</x:v>
      </x:c>
      <x:c r="K266" s="47" t="str">
        <x:v>NOT_RUN</x:v>
      </x:c>
    </x:row>
    <x:row r="267">
      <x:c r="A267" s="47" t="str">
        <x:v>TRF-078</x:v>
      </x:c>
      <x:c r="B267" s="48" t="str">
        <x:v>Ice Class Regulations and the Application Thereof</x:v>
      </x:c>
      <x:c r="C267" s="47" t="str">
        <x:v>TRAFICOM/68863/03.04.01.00/2021</x:v>
      </x:c>
      <x:c r="D267" s="59" t="n">
        <x:v>36</x:v>
      </x:c>
      <x:c r="E267" s="47" t="str">
        <x:v>6.5.1.9</x:v>
      </x:c>
      <x:c r="F267" s="47" t="str">
        <x:v>Static Calculation</x:v>
      </x:c>
      <x:c r="G267" s="48" t="str">
        <x:v>Stage 2 candidate - direct/deterministic</x:v>
      </x:c>
      <x:c r="H267" s="47" t="str">
        <x:v>Medium</x:v>
      </x:c>
      <x:c r="I267" s="47" t="str">
        <x:v>No</x:v>
      </x:c>
      <x:c r="J267" s="47" t="str">
        <x:v>ELIGIBLE</x:v>
      </x:c>
      <x:c r="K267" s="47" t="str">
        <x:v>NOT_RUN</x:v>
      </x:c>
    </x:row>
    <x:row r="268">
      <x:c r="A268" s="47" t="str">
        <x:v>TRF-079</x:v>
      </x:c>
      <x:c r="B268" s="48" t="str">
        <x:v>Ice Class Regulations and the Application Thereof</x:v>
      </x:c>
      <x:c r="C268" s="47" t="str">
        <x:v>TRAFICOM/68863/03.04.01.00/2021</x:v>
      </x:c>
      <x:c r="D268" s="59" t="n">
        <x:v>37</x:v>
      </x:c>
      <x:c r="E268" s="47" t="str">
        <x:v>6.5.1.9</x:v>
      </x:c>
      <x:c r="F268" s="47" t="str">
        <x:v>Static Calculation</x:v>
      </x:c>
      <x:c r="G268" s="48" t="str">
        <x:v>Stage 2 candidate - direct/deterministic</x:v>
      </x:c>
      <x:c r="H268" s="47" t="str">
        <x:v>Medium</x:v>
      </x:c>
      <x:c r="I268" s="47" t="str">
        <x:v>No</x:v>
      </x:c>
      <x:c r="J268" s="47" t="str">
        <x:v>ELIGIBLE</x:v>
      </x:c>
      <x:c r="K268" s="47" t="str">
        <x:v>NOT_RUN</x:v>
      </x:c>
    </x:row>
    <x:row r="269">
      <x:c r="A269" s="47" t="str">
        <x:v>TRF-080</x:v>
      </x:c>
      <x:c r="B269" s="48" t="str">
        <x:v>Ice Class Regulations and the Application Thereof</x:v>
      </x:c>
      <x:c r="C269" s="47" t="str">
        <x:v>TRAFICOM/68863/03.04.01.00/2021</x:v>
      </x:c>
      <x:c r="D269" s="59" t="n">
        <x:v>37</x:v>
      </x:c>
      <x:c r="E269" s="47" t="str">
        <x:v>6.5.1.9</x:v>
      </x:c>
      <x:c r="F269" s="47" t="str">
        <x:v>Static Calculation</x:v>
      </x:c>
      <x:c r="G269" s="48" t="str">
        <x:v>Stage 2 candidate - direct calculation</x:v>
      </x:c>
      <x:c r="H269" s="47" t="str">
        <x:v>Direct calculation</x:v>
      </x:c>
      <x:c r="I269" s="47" t="str">
        <x:v>No</x:v>
      </x:c>
      <x:c r="J269" s="47" t="str">
        <x:v>ELIGIBLE</x:v>
      </x:c>
      <x:c r="K269" s="47" t="str">
        <x:v>NOT_RUN</x:v>
      </x:c>
    </x:row>
    <x:row r="270">
      <x:c r="A270" s="47" t="str">
        <x:v>TRF-081</x:v>
      </x:c>
      <x:c r="B270" s="48" t="str">
        <x:v>Ice Class Regulations and the Application Thereof</x:v>
      </x:c>
      <x:c r="C270" s="47" t="str">
        <x:v>TRAFICOM/68863/03.04.01.00/2021</x:v>
      </x:c>
      <x:c r="D270" s="59" t="n">
        <x:v>37</x:v>
      </x:c>
      <x:c r="E270" s="47" t="str">
        <x:v>6.5.2.1-6.5.2.2</x:v>
      </x:c>
      <x:c r="F270" s="47" t="str">
        <x:v>Static Calculation</x:v>
      </x:c>
      <x:c r="G270" s="48" t="str">
        <x:v>Stage 2 candidate - direct/deterministic</x:v>
      </x:c>
      <x:c r="H270" s="47" t="str">
        <x:v>High</x:v>
      </x:c>
      <x:c r="I270" s="47" t="str">
        <x:v>No</x:v>
      </x:c>
      <x:c r="J270" s="47" t="str">
        <x:v>ELIGIBLE</x:v>
      </x:c>
      <x:c r="K270" s="47" t="str">
        <x:v>NOT_RUN</x:v>
      </x:c>
    </x:row>
    <x:row r="271">
      <x:c r="A271" s="47" t="str">
        <x:v>TRF-082</x:v>
      </x:c>
      <x:c r="B271" s="48" t="str">
        <x:v>Ice Class Regulations and the Application Thereof</x:v>
      </x:c>
      <x:c r="C271" s="47" t="str">
        <x:v>TRAFICOM/68863/03.04.01.00/2021</x:v>
      </x:c>
      <x:c r="D271" s="59" t="n">
        <x:v>37</x:v>
      </x:c>
      <x:c r="E271" s="47" t="str">
        <x:v>6.5.2.2</x:v>
      </x:c>
      <x:c r="F271" s="47" t="str">
        <x:v>Static</x:v>
      </x:c>
      <x:c r="G271" s="48" t="str">
        <x:v>Stage 2 candidate - direct/deterministic</x:v>
      </x:c>
      <x:c r="H271" s="47" t="str">
        <x:v>Medium</x:v>
      </x:c>
      <x:c r="I271" s="47" t="str">
        <x:v>No</x:v>
      </x:c>
      <x:c r="J271" s="47" t="str">
        <x:v>ELIGIBLE</x:v>
      </x:c>
      <x:c r="K271" s="47" t="str">
        <x:v>NOT_RUN</x:v>
      </x:c>
    </x:row>
    <x:row r="272">
      <x:c r="A272" s="47" t="str">
        <x:v>TRF-083</x:v>
      </x:c>
      <x:c r="B272" s="48" t="str">
        <x:v>Ice Class Regulations and the Application Thereof</x:v>
      </x:c>
      <x:c r="C272" s="47" t="str">
        <x:v>TRAFICOM/68863/03.04.01.00/2021</x:v>
      </x:c>
      <x:c r="D272" s="59" t="n">
        <x:v>38</x:v>
      </x:c>
      <x:c r="E272" s="47" t="str">
        <x:v>6.5.3.1</x:v>
      </x:c>
      <x:c r="F272" s="47" t="str">
        <x:v>Static</x:v>
      </x:c>
      <x:c r="G272" s="48" t="str">
        <x:v>Stage 2 candidate - direct/deterministic</x:v>
      </x:c>
      <x:c r="H272" s="47" t="str">
        <x:v>Medium</x:v>
      </x:c>
      <x:c r="I272" s="47" t="str">
        <x:v>No</x:v>
      </x:c>
      <x:c r="J272" s="47" t="str">
        <x:v>ELIGIBLE</x:v>
      </x:c>
      <x:c r="K272" s="47" t="str">
        <x:v>NOT_RUN</x:v>
      </x:c>
    </x:row>
    <x:row r="273">
      <x:c r="A273" s="47" t="str">
        <x:v>TRF-084</x:v>
      </x:c>
      <x:c r="B273" s="48" t="str">
        <x:v>Ice Class Regulations and the Application Thereof</x:v>
      </x:c>
      <x:c r="C273" s="47" t="str">
        <x:v>TRAFICOM/68863/03.04.01.00/2021</x:v>
      </x:c>
      <x:c r="D273" s="59" t="n">
        <x:v>38</x:v>
      </x:c>
      <x:c r="E273" s="47" t="str">
        <x:v>6.5.3.1</x:v>
      </x:c>
      <x:c r="F273" s="47" t="str">
        <x:v>Static Calculation</x:v>
      </x:c>
      <x:c r="G273" s="48" t="str">
        <x:v>Stage 2 candidate - direct calculation</x:v>
      </x:c>
      <x:c r="H273" s="47" t="str">
        <x:v>Direct calculation</x:v>
      </x:c>
      <x:c r="I273" s="47" t="str">
        <x:v>No</x:v>
      </x:c>
      <x:c r="J273" s="47" t="str">
        <x:v>ELIGIBLE</x:v>
      </x:c>
      <x:c r="K273" s="47" t="str">
        <x:v>NOT_RUN</x:v>
      </x:c>
    </x:row>
    <x:row r="274">
      <x:c r="A274" s="47" t="str">
        <x:v>TRF-085</x:v>
      </x:c>
      <x:c r="B274" s="48" t="str">
        <x:v>Ice Class Regulations and the Application Thereof</x:v>
      </x:c>
      <x:c r="C274" s="47" t="str">
        <x:v>TRAFICOM/68863/03.04.01.00/2021</x:v>
      </x:c>
      <x:c r="D274" s="59" t="n">
        <x:v>39</x:v>
      </x:c>
      <x:c r="E274" s="47" t="str">
        <x:v>6.5.3.2</x:v>
      </x:c>
      <x:c r="F274" s="47" t="str">
        <x:v>Static</x:v>
      </x:c>
      <x:c r="G274" s="48" t="str">
        <x:v>Stage 2 candidate - direct/deterministic</x:v>
      </x:c>
      <x:c r="H274" s="47" t="str">
        <x:v>Medium</x:v>
      </x:c>
      <x:c r="I274" s="47" t="str">
        <x:v>No</x:v>
      </x:c>
      <x:c r="J274" s="47" t="str">
        <x:v>ELIGIBLE</x:v>
      </x:c>
      <x:c r="K274" s="47" t="str">
        <x:v>NOT_RUN</x:v>
      </x:c>
    </x:row>
    <x:row r="275">
      <x:c r="A275" s="47" t="str">
        <x:v>TRF-086</x:v>
      </x:c>
      <x:c r="B275" s="48" t="str">
        <x:v>Ice Class Regulations and the Application Thereof</x:v>
      </x:c>
      <x:c r="C275" s="47" t="str">
        <x:v>TRAFICOM/68863/03.04.01.00/2021</x:v>
      </x:c>
      <x:c r="D275" s="59" t="n">
        <x:v>39</x:v>
      </x:c>
      <x:c r="E275" s="47" t="str">
        <x:v>6.5.3.2</x:v>
      </x:c>
      <x:c r="F275" s="47" t="str">
        <x:v>Static Calculation</x:v>
      </x:c>
      <x:c r="G275" s="48" t="str">
        <x:v>Stage 2 candidate - direct calculation</x:v>
      </x:c>
      <x:c r="H275" s="47" t="str">
        <x:v>Direct calculation</x:v>
      </x:c>
      <x:c r="I275" s="47" t="str">
        <x:v>No</x:v>
      </x:c>
      <x:c r="J275" s="47" t="str">
        <x:v>ELIGIBLE</x:v>
      </x:c>
      <x:c r="K275" s="47" t="str">
        <x:v>NOT_RUN</x:v>
      </x:c>
    </x:row>
    <x:row r="276">
      <x:c r="A276" s="47" t="str">
        <x:v>TRF-087</x:v>
      </x:c>
      <x:c r="B276" s="48" t="str">
        <x:v>Ice Class Regulations and the Application Thereof</x:v>
      </x:c>
      <x:c r="C276" s="47" t="str">
        <x:v>TRAFICOM/68863/03.04.01.00/2021</x:v>
      </x:c>
      <x:c r="D276" s="59" t="n">
        <x:v>39</x:v>
      </x:c>
      <x:c r="E276" s="47" t="str">
        <x:v>6.5.3.3</x:v>
      </x:c>
      <x:c r="F276" s="47" t="str">
        <x:v>Static</x:v>
      </x:c>
      <x:c r="G276" s="48" t="str">
        <x:v>Stage 2 candidate - direct/deterministic</x:v>
      </x:c>
      <x:c r="H276" s="47" t="str">
        <x:v>High</x:v>
      </x:c>
      <x:c r="I276" s="47" t="str">
        <x:v>No</x:v>
      </x:c>
      <x:c r="J276" s="47" t="str">
        <x:v>ELIGIBLE</x:v>
      </x:c>
      <x:c r="K276" s="47" t="str">
        <x:v>NOT_RUN</x:v>
      </x:c>
    </x:row>
    <x:row r="277">
      <x:c r="A277" s="47" t="str">
        <x:v>TRF-088</x:v>
      </x:c>
      <x:c r="B277" s="48" t="str">
        <x:v>Ice Class Regulations and the Application Thereof</x:v>
      </x:c>
      <x:c r="C277" s="47" t="str">
        <x:v>TRAFICOM/68863/03.04.01.00/2021</x:v>
      </x:c>
      <x:c r="D277" s="59" t="n">
        <x:v>39</x:v>
      </x:c>
      <x:c r="E277" s="47" t="str">
        <x:v>6.5.3.3</x:v>
      </x:c>
      <x:c r="F277" s="47" t="str">
        <x:v>Static</x:v>
      </x:c>
      <x:c r="G277" s="48" t="str">
        <x:v>Stage 2 candidate - direct static</x:v>
      </x:c>
      <x:c r="H277" s="47" t="str">
        <x:v>Direct static</x:v>
      </x:c>
      <x:c r="I277" s="47" t="str">
        <x:v>No</x:v>
      </x:c>
      <x:c r="J277" s="47" t="str">
        <x:v>ELIGIBLE</x:v>
      </x:c>
      <x:c r="K277" s="47" t="str">
        <x:v>NOT_RUN</x:v>
      </x:c>
    </x:row>
    <x:row r="278">
      <x:c r="A278" s="47" t="str">
        <x:v>TRF-089</x:v>
      </x:c>
      <x:c r="B278" s="48" t="str">
        <x:v>Ice Class Regulations and the Application Thereof</x:v>
      </x:c>
      <x:c r="C278" s="47" t="str">
        <x:v>TRAFICOM/68863/03.04.01.00/2021</x:v>
      </x:c>
      <x:c r="D278" s="59" t="n">
        <x:v>39</x:v>
      </x:c>
      <x:c r="E278" s="47" t="str">
        <x:v>6.5.3.4</x:v>
      </x:c>
      <x:c r="F278" s="47" t="str">
        <x:v>Dynamic</x:v>
      </x:c>
      <x:c r="G278" s="48" t="str">
        <x:v>Deferred - observation/history/simulation design required</x:v>
      </x:c>
      <x:c r="H278" s="47" t="str">
        <x:v>Medium</x:v>
      </x:c>
      <x:c r="I278" s="47" t="str">
        <x:v>No</x:v>
      </x:c>
      <x:c r="J278" s="47" t="str">
        <x:v>DEFERRED</x:v>
      </x:c>
      <x:c r="K278" s="47" t="str">
        <x:v>NOT_RUN</x:v>
      </x:c>
    </x:row>
    <x:row r="279">
      <x:c r="A279" s="47" t="str">
        <x:v>TRF-090</x:v>
      </x:c>
      <x:c r="B279" s="48" t="str">
        <x:v>Ice Class Regulations and the Application Thereof</x:v>
      </x:c>
      <x:c r="C279" s="47" t="str">
        <x:v>TRAFICOM/68863/03.04.01.00/2021</x:v>
      </x:c>
      <x:c r="D279" s="59" t="n">
        <x:v>40</x:v>
      </x:c>
      <x:c r="E279" s="47" t="str">
        <x:v>6.5.3.4</x:v>
      </x:c>
      <x:c r="F279" s="47" t="str">
        <x:v>Dynamic</x:v>
      </x:c>
      <x:c r="G279" s="48" t="str">
        <x:v>Deferred - observation/history/simulation design required</x:v>
      </x:c>
      <x:c r="H279" s="47" t="str">
        <x:v>Medium</x:v>
      </x:c>
      <x:c r="I279" s="47" t="str">
        <x:v>No</x:v>
      </x:c>
      <x:c r="J279" s="47" t="str">
        <x:v>DEFERRED</x:v>
      </x:c>
      <x:c r="K279" s="47" t="str">
        <x:v>NOT_RUN</x:v>
      </x:c>
    </x:row>
    <x:row r="280">
      <x:c r="A280" s="47" t="str">
        <x:v>TRF-091</x:v>
      </x:c>
      <x:c r="B280" s="48" t="str">
        <x:v>Ice Class Regulations and the Application Thereof</x:v>
      </x:c>
      <x:c r="C280" s="47" t="str">
        <x:v>TRAFICOM/68863/03.04.01.00/2021</x:v>
      </x:c>
      <x:c r="D280" s="59" t="n">
        <x:v>40</x:v>
      </x:c>
      <x:c r="E280" s="47" t="str">
        <x:v>6.5.3.4</x:v>
      </x:c>
      <x:c r="F280" s="47" t="str">
        <x:v>Static</x:v>
      </x:c>
      <x:c r="G280" s="48" t="str">
        <x:v>Stage 2 candidate - direct/deterministic</x:v>
      </x:c>
      <x:c r="H280" s="47" t="str">
        <x:v>High</x:v>
      </x:c>
      <x:c r="I280" s="47" t="str">
        <x:v>No</x:v>
      </x:c>
      <x:c r="J280" s="47" t="str">
        <x:v>ELIGIBLE</x:v>
      </x:c>
      <x:c r="K280" s="47" t="str">
        <x:v>NOT_RUN</x:v>
      </x:c>
    </x:row>
    <x:row r="281">
      <x:c r="A281" s="47" t="str">
        <x:v>TRF-092</x:v>
      </x:c>
      <x:c r="B281" s="48" t="str">
        <x:v>Ice Class Regulations and the Application Thereof</x:v>
      </x:c>
      <x:c r="C281" s="47" t="str">
        <x:v>TRAFICOM/68863/03.04.01.00/2021</x:v>
      </x:c>
      <x:c r="D281" s="59" t="n">
        <x:v>40</x:v>
      </x:c>
      <x:c r="E281" s="47" t="str">
        <x:v>6.5.3.4</x:v>
      </x:c>
      <x:c r="F281" s="47" t="str">
        <x:v>Dynamic</x:v>
      </x:c>
      <x:c r="G281" s="48" t="str">
        <x:v>Deferred - observation/history/simulation design required</x:v>
      </x:c>
      <x:c r="H281" s="47" t="str">
        <x:v>Deferred</x:v>
      </x:c>
      <x:c r="I281" s="47" t="str">
        <x:v>No</x:v>
      </x:c>
      <x:c r="J281" s="47" t="str">
        <x:v>DEFERRED</x:v>
      </x:c>
      <x:c r="K281" s="47" t="str">
        <x:v>NOT_RUN</x:v>
      </x:c>
    </x:row>
    <x:row r="282">
      <x:c r="A282" s="47" t="str">
        <x:v>TRF-093</x:v>
      </x:c>
      <x:c r="B282" s="48" t="str">
        <x:v>Ice Class Regulations and the Application Thereof</x:v>
      </x:c>
      <x:c r="C282" s="47" t="str">
        <x:v>TRAFICOM/68863/03.04.01.00/2021</x:v>
      </x:c>
      <x:c r="D282" s="59" t="n">
        <x:v>40</x:v>
      </x:c>
      <x:c r="E282" s="47" t="str">
        <x:v>6.5.3.4</x:v>
      </x:c>
      <x:c r="F282" s="47" t="str">
        <x:v>Dynamic</x:v>
      </x:c>
      <x:c r="G282" s="48" t="str">
        <x:v>Deferred - observation/history/simulation design required</x:v>
      </x:c>
      <x:c r="H282" s="47" t="str">
        <x:v>Medium</x:v>
      </x:c>
      <x:c r="I282" s="47" t="str">
        <x:v>No</x:v>
      </x:c>
      <x:c r="J282" s="47" t="str">
        <x:v>DEFERRED</x:v>
      </x:c>
      <x:c r="K282" s="47" t="str">
        <x:v>NOT_RUN</x:v>
      </x:c>
    </x:row>
    <x:row r="283">
      <x:c r="A283" s="47" t="str">
        <x:v>TRF-094</x:v>
      </x:c>
      <x:c r="B283" s="48" t="str">
        <x:v>Ice Class Regulations and the Application Thereof</x:v>
      </x:c>
      <x:c r="C283" s="47" t="str">
        <x:v>TRAFICOM/68863/03.04.01.00/2021</x:v>
      </x:c>
      <x:c r="D283" s="59" t="n">
        <x:v>40</x:v>
      </x:c>
      <x:c r="E283" s="47" t="str">
        <x:v>6.5.3.4</x:v>
      </x:c>
      <x:c r="F283" s="47" t="str">
        <x:v>Dynamic</x:v>
      </x:c>
      <x:c r="G283" s="48" t="str">
        <x:v>Deferred - observation/history/simulation design required</x:v>
      </x:c>
      <x:c r="H283" s="47" t="str">
        <x:v>Medium</x:v>
      </x:c>
      <x:c r="I283" s="47" t="str">
        <x:v>No</x:v>
      </x:c>
      <x:c r="J283" s="47" t="str">
        <x:v>DEFERRED</x:v>
      </x:c>
      <x:c r="K283" s="47" t="str">
        <x:v>NOT_RUN</x:v>
      </x:c>
    </x:row>
    <x:row r="284">
      <x:c r="A284" s="47" t="str">
        <x:v>TRF-095</x:v>
      </x:c>
      <x:c r="B284" s="48" t="str">
        <x:v>Ice Class Regulations and the Application Thereof</x:v>
      </x:c>
      <x:c r="C284" s="47" t="str">
        <x:v>TRAFICOM/68863/03.04.01.00/2021</x:v>
      </x:c>
      <x:c r="D284" s="59" t="n">
        <x:v>40</x:v>
      </x:c>
      <x:c r="E284" s="47" t="str">
        <x:v>6.5.3.4</x:v>
      </x:c>
      <x:c r="F284" s="47" t="str">
        <x:v>Dynamic</x:v>
      </x:c>
      <x:c r="G284" s="48" t="str">
        <x:v>Deferred - observation/history/simulation design required</x:v>
      </x:c>
      <x:c r="H284" s="47" t="str">
        <x:v>Medium</x:v>
      </x:c>
      <x:c r="I284" s="47" t="str">
        <x:v>No</x:v>
      </x:c>
      <x:c r="J284" s="47" t="str">
        <x:v>DEFERRED</x:v>
      </x:c>
      <x:c r="K284" s="47" t="str">
        <x:v>NOT_RUN</x:v>
      </x:c>
    </x:row>
    <x:row r="285">
      <x:c r="A285" s="47" t="str">
        <x:v>TRF-096</x:v>
      </x:c>
      <x:c r="B285" s="48" t="str">
        <x:v>Ice Class Regulations and the Application Thereof</x:v>
      </x:c>
      <x:c r="C285" s="47" t="str">
        <x:v>TRAFICOM/68863/03.04.01.00/2021</x:v>
      </x:c>
      <x:c r="D285" s="59" t="n">
        <x:v>41</x:v>
      </x:c>
      <x:c r="E285" s="47" t="str">
        <x:v>6.5.3.4</x:v>
      </x:c>
      <x:c r="F285" s="47" t="str">
        <x:v>Dynamic</x:v>
      </x:c>
      <x:c r="G285" s="48" t="str">
        <x:v>Deferred - observation/history/simulation design required</x:v>
      </x:c>
      <x:c r="H285" s="47" t="str">
        <x:v>Deferred</x:v>
      </x:c>
      <x:c r="I285" s="47" t="str">
        <x:v>No</x:v>
      </x:c>
      <x:c r="J285" s="47" t="str">
        <x:v>DEFERRED</x:v>
      </x:c>
      <x:c r="K285" s="47" t="str">
        <x:v>NOT_RUN</x:v>
      </x:c>
    </x:row>
    <x:row r="286">
      <x:c r="A286" s="47" t="str">
        <x:v>TRF-097</x:v>
      </x:c>
      <x:c r="B286" s="48" t="str">
        <x:v>Ice Class Regulations and the Application Thereof</x:v>
      </x:c>
      <x:c r="C286" s="47" t="str">
        <x:v>TRAFICOM/68863/03.04.01.00/2021</x:v>
      </x:c>
      <x:c r="D286" s="59" t="str">
        <x:v>43-44</x:v>
      </x:c>
      <x:c r="E286" s="47" t="str">
        <x:v>6.5.3.4</x:v>
      </x:c>
      <x:c r="F286" s="47" t="str">
        <x:v>Dynamic</x:v>
      </x:c>
      <x:c r="G286" s="48" t="str">
        <x:v>Deferred - observation/history/simulation design required</x:v>
      </x:c>
      <x:c r="H286" s="47" t="str">
        <x:v>Medium</x:v>
      </x:c>
      <x:c r="I286" s="47" t="str">
        <x:v>No</x:v>
      </x:c>
      <x:c r="J286" s="47" t="str">
        <x:v>DEFERRED</x:v>
      </x:c>
      <x:c r="K286" s="47" t="str">
        <x:v>NOT_RUN</x:v>
      </x:c>
    </x:row>
    <x:row r="287">
      <x:c r="A287" s="47" t="str">
        <x:v>TRF-098</x:v>
      </x:c>
      <x:c r="B287" s="48" t="str">
        <x:v>Ice Class Regulations and the Application Thereof</x:v>
      </x:c>
      <x:c r="C287" s="47" t="str">
        <x:v>TRAFICOM/68863/03.04.01.00/2021</x:v>
      </x:c>
      <x:c r="D287" s="59" t="n">
        <x:v>44</x:v>
      </x:c>
      <x:c r="E287" s="47" t="str">
        <x:v>6.5.3.4</x:v>
      </x:c>
      <x:c r="F287" s="47" t="str">
        <x:v>Dynamic</x:v>
      </x:c>
      <x:c r="G287" s="48" t="str">
        <x:v>Deferred - observation/history/simulation design required</x:v>
      </x:c>
      <x:c r="H287" s="47" t="str">
        <x:v>Medium</x:v>
      </x:c>
      <x:c r="I287" s="47" t="str">
        <x:v>No</x:v>
      </x:c>
      <x:c r="J287" s="47" t="str">
        <x:v>DEFERRED</x:v>
      </x:c>
      <x:c r="K287" s="47" t="str">
        <x:v>NOT_RUN</x:v>
      </x:c>
    </x:row>
    <x:row r="288">
      <x:c r="A288" s="47" t="str">
        <x:v>TRF-099</x:v>
      </x:c>
      <x:c r="B288" s="48" t="str">
        <x:v>Ice Class Regulations and the Application Thereof</x:v>
      </x:c>
      <x:c r="C288" s="47" t="str">
        <x:v>TRAFICOM/68863/03.04.01.00/2021</x:v>
      </x:c>
      <x:c r="D288" s="59" t="n">
        <x:v>45</x:v>
      </x:c>
      <x:c r="E288" s="47" t="str">
        <x:v>6.5.3.4</x:v>
      </x:c>
      <x:c r="F288" s="47" t="str">
        <x:v>Dynamic</x:v>
      </x:c>
      <x:c r="G288" s="48" t="str">
        <x:v>Deferred - observation/history/simulation design required</x:v>
      </x:c>
      <x:c r="H288" s="47" t="str">
        <x:v>Medium</x:v>
      </x:c>
      <x:c r="I288" s="47" t="str">
        <x:v>No</x:v>
      </x:c>
      <x:c r="J288" s="47" t="str">
        <x:v>DEFERRED</x:v>
      </x:c>
      <x:c r="K288" s="47" t="str">
        <x:v>NOT_RUN</x:v>
      </x:c>
    </x:row>
    <x:row r="289">
      <x:c r="A289" s="47" t="str">
        <x:v>TRF-100</x:v>
      </x:c>
      <x:c r="B289" s="48" t="str">
        <x:v>Ice Class Regulations and the Application Thereof</x:v>
      </x:c>
      <x:c r="C289" s="47" t="str">
        <x:v>TRAFICOM/68863/03.04.01.00/2021</x:v>
      </x:c>
      <x:c r="D289" s="59" t="n">
        <x:v>45</x:v>
      </x:c>
      <x:c r="E289" s="47" t="str">
        <x:v>6.5.3.4</x:v>
      </x:c>
      <x:c r="F289" s="47" t="str">
        <x:v>Dynamic</x:v>
      </x:c>
      <x:c r="G289" s="48" t="str">
        <x:v>Deferred - observation/history/simulation design required</x:v>
      </x:c>
      <x:c r="H289" s="47" t="str">
        <x:v>Medium</x:v>
      </x:c>
      <x:c r="I289" s="47" t="str">
        <x:v>No</x:v>
      </x:c>
      <x:c r="J289" s="47" t="str">
        <x:v>DEFERRED</x:v>
      </x:c>
      <x:c r="K289" s="47" t="str">
        <x:v>NOT_RUN</x:v>
      </x:c>
    </x:row>
    <x:row r="290">
      <x:c r="A290" s="47" t="str">
        <x:v>TRF-101</x:v>
      </x:c>
      <x:c r="B290" s="48" t="str">
        <x:v>Ice Class Regulations and the Application Thereof</x:v>
      </x:c>
      <x:c r="C290" s="47" t="str">
        <x:v>TRAFICOM/68863/03.04.01.00/2021</x:v>
      </x:c>
      <x:c r="D290" s="59" t="str">
        <x:v>45-46</x:v>
      </x:c>
      <x:c r="E290" s="47" t="str">
        <x:v>6.5.4.1</x:v>
      </x:c>
      <x:c r="F290" s="47" t="str">
        <x:v>Static Calculation</x:v>
      </x:c>
      <x:c r="G290" s="48" t="str">
        <x:v>Stage 2 candidate - direct/deterministic</x:v>
      </x:c>
      <x:c r="H290" s="47" t="str">
        <x:v>Medium</x:v>
      </x:c>
      <x:c r="I290" s="47" t="str">
        <x:v>No</x:v>
      </x:c>
      <x:c r="J290" s="47" t="str">
        <x:v>ELIGIBLE</x:v>
      </x:c>
      <x:c r="K290" s="47" t="str">
        <x:v>NOT_RUN</x:v>
      </x:c>
    </x:row>
    <x:row r="291">
      <x:c r="A291" s="47" t="str">
        <x:v>TRF-102</x:v>
      </x:c>
      <x:c r="B291" s="48" t="str">
        <x:v>Ice Class Regulations and the Application Thereof</x:v>
      </x:c>
      <x:c r="C291" s="47" t="str">
        <x:v>TRAFICOM/68863/03.04.01.00/2021</x:v>
      </x:c>
      <x:c r="D291" s="59" t="n">
        <x:v>46</x:v>
      </x:c>
      <x:c r="E291" s="47" t="str">
        <x:v>6.5.4.2</x:v>
      </x:c>
      <x:c r="F291" s="47" t="str">
        <x:v>Static Calculation</x:v>
      </x:c>
      <x:c r="G291" s="48" t="str">
        <x:v>Stage 2 candidate - direct/deterministic</x:v>
      </x:c>
      <x:c r="H291" s="47" t="str">
        <x:v>Medium</x:v>
      </x:c>
      <x:c r="I291" s="47" t="str">
        <x:v>No</x:v>
      </x:c>
      <x:c r="J291" s="47" t="str">
        <x:v>ELIGIBLE</x:v>
      </x:c>
      <x:c r="K291" s="47" t="str">
        <x:v>NOT_RUN</x:v>
      </x:c>
    </x:row>
    <x:row r="292">
      <x:c r="A292" s="47" t="str">
        <x:v>TRF-103</x:v>
      </x:c>
      <x:c r="B292" s="48" t="str">
        <x:v>Ice Class Regulations and the Application Thereof</x:v>
      </x:c>
      <x:c r="C292" s="47" t="str">
        <x:v>TRAFICOM/68863/03.04.01.00/2021</x:v>
      </x:c>
      <x:c r="D292" s="59" t="n">
        <x:v>46</x:v>
      </x:c>
      <x:c r="E292" s="47" t="str">
        <x:v>6.5.4.2</x:v>
      </x:c>
      <x:c r="F292" s="47" t="str">
        <x:v>Static</x:v>
      </x:c>
      <x:c r="G292" s="48" t="str">
        <x:v>Stage 2 candidate - direct static</x:v>
      </x:c>
      <x:c r="H292" s="47" t="str">
        <x:v>Direct static</x:v>
      </x:c>
      <x:c r="I292" s="47" t="str">
        <x:v>No</x:v>
      </x:c>
      <x:c r="J292" s="47" t="str">
        <x:v>ELIGIBLE</x:v>
      </x:c>
      <x:c r="K292" s="47" t="str">
        <x:v>NOT_RUN</x:v>
      </x:c>
    </x:row>
    <x:row r="293">
      <x:c r="A293" s="47" t="str">
        <x:v>TRF-104</x:v>
      </x:c>
      <x:c r="B293" s="48" t="str">
        <x:v>Ice Class Regulations and the Application Thereof</x:v>
      </x:c>
      <x:c r="C293" s="47" t="str">
        <x:v>TRAFICOM/68863/03.04.01.00/2021</x:v>
      </x:c>
      <x:c r="D293" s="59" t="n">
        <x:v>47</x:v>
      </x:c>
      <x:c r="E293" s="47" t="str">
        <x:v>6.6.1</x:v>
      </x:c>
      <x:c r="F293" s="47" t="str">
        <x:v>Static</x:v>
      </x:c>
      <x:c r="G293" s="48" t="str">
        <x:v>Stage 2 candidate - direct/deterministic</x:v>
      </x:c>
      <x:c r="H293" s="47" t="str">
        <x:v>High</x:v>
      </x:c>
      <x:c r="I293" s="47" t="str">
        <x:v>No</x:v>
      </x:c>
      <x:c r="J293" s="47" t="str">
        <x:v>ELIGIBLE</x:v>
      </x:c>
      <x:c r="K293" s="47" t="str">
        <x:v>NOT_RUN</x:v>
      </x:c>
    </x:row>
    <x:row r="294">
      <x:c r="A294" s="47" t="str">
        <x:v>TRF-105</x:v>
      </x:c>
      <x:c r="B294" s="48" t="str">
        <x:v>Ice Class Regulations and the Application Thereof</x:v>
      </x:c>
      <x:c r="C294" s="47" t="str">
        <x:v>TRAFICOM/68863/03.04.01.00/2021</x:v>
      </x:c>
      <x:c r="D294" s="59" t="n">
        <x:v>47</x:v>
      </x:c>
      <x:c r="E294" s="47" t="str">
        <x:v>6.6.2.1</x:v>
      </x:c>
      <x:c r="F294" s="47" t="str">
        <x:v>Complex</x:v>
      </x:c>
      <x:c r="G294" s="48" t="str">
        <x:v>Deferred - composite/evidence workflow review</x:v>
      </x:c>
      <x:c r="H294" s="47" t="str">
        <x:v>Medium</x:v>
      </x:c>
      <x:c r="I294" s="47" t="str">
        <x:v>No</x:v>
      </x:c>
      <x:c r="J294" s="47" t="str">
        <x:v>DEFERRED</x:v>
      </x:c>
      <x:c r="K294" s="47" t="str">
        <x:v>NOT_RUN</x:v>
      </x:c>
    </x:row>
    <x:row r="295">
      <x:c r="A295" s="47" t="str">
        <x:v>TRF-106</x:v>
      </x:c>
      <x:c r="B295" s="48" t="str">
        <x:v>Ice Class Regulations and the Application Thereof</x:v>
      </x:c>
      <x:c r="C295" s="47" t="str">
        <x:v>TRAFICOM/68863/03.04.01.00/2021</x:v>
      </x:c>
      <x:c r="D295" s="59" t="n">
        <x:v>48</x:v>
      </x:c>
      <x:c r="E295" s="47" t="str">
        <x:v>6.6.2.2-6.6.2.3</x:v>
      </x:c>
      <x:c r="F295" s="47" t="str">
        <x:v>Complex</x:v>
      </x:c>
      <x:c r="G295" s="48" t="str">
        <x:v>Deferred - composite/evidence workflow review</x:v>
      </x:c>
      <x:c r="H295" s="47" t="str">
        <x:v>Medium</x:v>
      </x:c>
      <x:c r="I295" s="47" t="str">
        <x:v>No</x:v>
      </x:c>
      <x:c r="J295" s="47" t="str">
        <x:v>DEFERRED</x:v>
      </x:c>
      <x:c r="K295" s="47" t="str">
        <x:v>NOT_RUN</x:v>
      </x:c>
    </x:row>
    <x:row r="296">
      <x:c r="A296" s="47" t="str">
        <x:v>TRF-108</x:v>
      </x:c>
      <x:c r="B296" s="48" t="str">
        <x:v>Ice Class Regulations and the Application Thereof</x:v>
      </x:c>
      <x:c r="C296" s="47" t="str">
        <x:v>TRAFICOM/68863/03.04.01.00/2021</x:v>
      </x:c>
      <x:c r="D296" s="59" t="n">
        <x:v>48</x:v>
      </x:c>
      <x:c r="E296" s="47" t="str">
        <x:v>6.6.2.3</x:v>
      </x:c>
      <x:c r="F296" s="47" t="str">
        <x:v>Static</x:v>
      </x:c>
      <x:c r="G296" s="48" t="str">
        <x:v>Stage 2 candidate - direct/deterministic</x:v>
      </x:c>
      <x:c r="H296" s="47" t="str">
        <x:v>High</x:v>
      </x:c>
      <x:c r="I296" s="47" t="str">
        <x:v>No</x:v>
      </x:c>
      <x:c r="J296" s="47" t="str">
        <x:v>ELIGIBLE</x:v>
      </x:c>
      <x:c r="K296" s="47" t="str">
        <x:v>NOT_RUN</x:v>
      </x:c>
    </x:row>
    <x:row r="297">
      <x:c r="A297" s="47" t="str">
        <x:v>TRF-109</x:v>
      </x:c>
      <x:c r="B297" s="48" t="str">
        <x:v>Ice Class Regulations and the Application Thereof</x:v>
      </x:c>
      <x:c r="C297" s="47" t="str">
        <x:v>TRAFICOM/68863/03.04.01.00/2021</x:v>
      </x:c>
      <x:c r="D297" s="59" t="n">
        <x:v>50</x:v>
      </x:c>
      <x:c r="E297" s="47" t="str">
        <x:v>6.6.2.3</x:v>
      </x:c>
      <x:c r="F297" s="47" t="str">
        <x:v>Static</x:v>
      </x:c>
      <x:c r="G297" s="48" t="str">
        <x:v>Stage 2 candidate - direct/deterministic</x:v>
      </x:c>
      <x:c r="H297" s="47" t="str">
        <x:v>Medium</x:v>
      </x:c>
      <x:c r="I297" s="47" t="str">
        <x:v>No</x:v>
      </x:c>
      <x:c r="J297" s="47" t="str">
        <x:v>ELIGIBLE</x:v>
      </x:c>
      <x:c r="K297" s="47" t="str">
        <x:v>NOT_RUN</x:v>
      </x:c>
    </x:row>
    <x:row r="298">
      <x:c r="A298" s="47" t="str">
        <x:v>TRF-110</x:v>
      </x:c>
      <x:c r="B298" s="48" t="str">
        <x:v>Ice Class Regulations and the Application Thereof</x:v>
      </x:c>
      <x:c r="C298" s="47" t="str">
        <x:v>TRAFICOM/68863/03.04.01.00/2021</x:v>
      </x:c>
      <x:c r="D298" s="59" t="n">
        <x:v>51</x:v>
      </x:c>
      <x:c r="E298" s="47" t="str">
        <x:v>6.6.2.4; 6.6.3</x:v>
      </x:c>
      <x:c r="F298" s="47" t="str">
        <x:v>Complex</x:v>
      </x:c>
      <x:c r="G298" s="48" t="str">
        <x:v>Deferred - composite/evidence workflow review</x:v>
      </x:c>
      <x:c r="H298" s="47" t="str">
        <x:v>Medium</x:v>
      </x:c>
      <x:c r="I298" s="47" t="str">
        <x:v>No</x:v>
      </x:c>
      <x:c r="J298" s="47" t="str">
        <x:v>DEFERRED</x:v>
      </x:c>
      <x:c r="K298" s="47" t="str">
        <x:v>NOT_RUN</x:v>
      </x:c>
    </x:row>
    <x:row r="299">
      <x:c r="A299" s="47" t="str">
        <x:v>TRF-111</x:v>
      </x:c>
      <x:c r="B299" s="48" t="str">
        <x:v>Ice Class Regulations and the Application Thereof</x:v>
      </x:c>
      <x:c r="C299" s="47" t="str">
        <x:v>TRAFICOM/68863/03.04.01.00/2021</x:v>
      </x:c>
      <x:c r="D299" s="59" t="n">
        <x:v>51</x:v>
      </x:c>
      <x:c r="E299" s="47" t="str">
        <x:v>6.6.4</x:v>
      </x:c>
      <x:c r="F299" s="47" t="str">
        <x:v>Complex</x:v>
      </x:c>
      <x:c r="G299" s="48" t="str">
        <x:v>Stage 2 candidate - complex readiness</x:v>
      </x:c>
      <x:c r="H299" s="47" t="str">
        <x:v>Complex readiness</x:v>
      </x:c>
      <x:c r="I299" s="47" t="str">
        <x:v>No</x:v>
      </x:c>
      <x:c r="J299" s="47" t="str">
        <x:v>ELIGIBLE</x:v>
      </x:c>
      <x:c r="K299" s="47" t="str">
        <x:v>NOT_RUN</x:v>
      </x:c>
    </x:row>
    <x:row r="300">
      <x:c r="A300" s="47" t="str">
        <x:v>TRF-112</x:v>
      </x:c>
      <x:c r="B300" s="48" t="str">
        <x:v>Ice Class Regulations and the Application Thereof</x:v>
      </x:c>
      <x:c r="C300" s="47" t="str">
        <x:v>TRAFICOM/68863/03.04.01.00/2021</x:v>
      </x:c>
      <x:c r="D300" s="59" t="n">
        <x:v>52</x:v>
      </x:c>
      <x:c r="E300" s="47" t="str">
        <x:v>6.6.4.1</x:v>
      </x:c>
      <x:c r="F300" s="47" t="str">
        <x:v>Complex</x:v>
      </x:c>
      <x:c r="G300" s="48" t="str">
        <x:v>Stage 2 candidate - complex readiness</x:v>
      </x:c>
      <x:c r="H300" s="47" t="str">
        <x:v>Complex readiness</x:v>
      </x:c>
      <x:c r="I300" s="47" t="str">
        <x:v>No</x:v>
      </x:c>
      <x:c r="J300" s="47" t="str">
        <x:v>ELIGIBLE</x:v>
      </x:c>
      <x:c r="K300" s="47" t="str">
        <x:v>NOT_RUN</x:v>
      </x:c>
    </x:row>
    <x:row r="301">
      <x:c r="A301" s="47" t="str">
        <x:v>TRF-113</x:v>
      </x:c>
      <x:c r="B301" s="48" t="str">
        <x:v>Ice Class Regulations and the Application Thereof</x:v>
      </x:c>
      <x:c r="C301" s="47" t="str">
        <x:v>TRAFICOM/68863/03.04.01.00/2021</x:v>
      </x:c>
      <x:c r="D301" s="59" t="n">
        <x:v>52</x:v>
      </x:c>
      <x:c r="E301" s="47" t="str">
        <x:v>6.6.5.1</x:v>
      </x:c>
      <x:c r="F301" s="47" t="str">
        <x:v>Static</x:v>
      </x:c>
      <x:c r="G301" s="48" t="str">
        <x:v>Stage 2 candidate - direct/deterministic</x:v>
      </x:c>
      <x:c r="H301" s="47" t="str">
        <x:v>High</x:v>
      </x:c>
      <x:c r="I301" s="47" t="str">
        <x:v>No</x:v>
      </x:c>
      <x:c r="J301" s="47" t="str">
        <x:v>ELIGIBLE</x:v>
      </x:c>
      <x:c r="K301" s="47" t="str">
        <x:v>NOT_RUN</x:v>
      </x:c>
    </x:row>
    <x:row r="302">
      <x:c r="A302" s="47" t="str">
        <x:v>TRF-114</x:v>
      </x:c>
      <x:c r="B302" s="48" t="str">
        <x:v>Ice Class Regulations and the Application Thereof</x:v>
      </x:c>
      <x:c r="C302" s="47" t="str">
        <x:v>TRAFICOM/68863/03.04.01.00/2021</x:v>
      </x:c>
      <x:c r="D302" s="59" t="n">
        <x:v>53</x:v>
      </x:c>
      <x:c r="E302" s="47" t="str">
        <x:v>6.6.5.2</x:v>
      </x:c>
      <x:c r="F302" s="47" t="str">
        <x:v>Complex</x:v>
      </x:c>
      <x:c r="G302" s="48" t="str">
        <x:v>Stage 2 candidate - complex readiness</x:v>
      </x:c>
      <x:c r="H302" s="47" t="str">
        <x:v>Complex readiness</x:v>
      </x:c>
      <x:c r="I302" s="47" t="str">
        <x:v>No</x:v>
      </x:c>
      <x:c r="J302" s="47" t="str">
        <x:v>ELIGIBLE</x:v>
      </x:c>
      <x:c r="K302" s="47" t="str">
        <x:v>NOT_RUN</x:v>
      </x:c>
    </x:row>
    <x:row r="303">
      <x:c r="A303" s="47" t="str">
        <x:v>TRF-116</x:v>
      </x:c>
      <x:c r="B303" s="48" t="str">
        <x:v>Ice Class Regulations and the Application Thereof</x:v>
      </x:c>
      <x:c r="C303" s="47" t="str">
        <x:v>TRAFICOM/68863/03.04.01.00/2021</x:v>
      </x:c>
      <x:c r="D303" s="59" t="n">
        <x:v>56</x:v>
      </x:c>
      <x:c r="E303" s="47" t="str">
        <x:v>6.6.5.2</x:v>
      </x:c>
      <x:c r="F303" s="47" t="str">
        <x:v>Complex</x:v>
      </x:c>
      <x:c r="G303" s="48" t="str">
        <x:v>Stage 2 candidate - complex readiness</x:v>
      </x:c>
      <x:c r="H303" s="47" t="str">
        <x:v>Complex readiness</x:v>
      </x:c>
      <x:c r="I303" s="47" t="str">
        <x:v>No</x:v>
      </x:c>
      <x:c r="J303" s="47" t="str">
        <x:v>ELIGIBLE</x:v>
      </x:c>
      <x:c r="K303" s="47" t="str">
        <x:v>NOT_RUN</x:v>
      </x:c>
    </x:row>
    <x:row r="304">
      <x:c r="A304" s="47" t="str">
        <x:v>TRF-118</x:v>
      </x:c>
      <x:c r="B304" s="48" t="str">
        <x:v>Ice Class Regulations and the Application Thereof</x:v>
      </x:c>
      <x:c r="C304" s="47" t="str">
        <x:v>TRAFICOM/68863/03.04.01.00/2021</x:v>
      </x:c>
      <x:c r="D304" s="59" t="n">
        <x:v>60</x:v>
      </x:c>
      <x:c r="E304" s="47" t="str">
        <x:v>6.6.5.4</x:v>
      </x:c>
      <x:c r="F304" s="47" t="str">
        <x:v>Complex</x:v>
      </x:c>
      <x:c r="G304" s="48" t="str">
        <x:v>Stage 2 candidate - complex readiness</x:v>
      </x:c>
      <x:c r="H304" s="47" t="str">
        <x:v>Complex readiness</x:v>
      </x:c>
      <x:c r="I304" s="47" t="str">
        <x:v>No</x:v>
      </x:c>
      <x:c r="J304" s="47" t="str">
        <x:v>ELIGIBLE</x:v>
      </x:c>
      <x:c r="K304" s="47" t="str">
        <x:v>NOT_RUN</x:v>
      </x:c>
    </x:row>
    <x:row r="305">
      <x:c r="A305" s="47" t="str">
        <x:v>TRF-119</x:v>
      </x:c>
      <x:c r="B305" s="48" t="str">
        <x:v>Ice Class Regulations and the Application Thereof</x:v>
      </x:c>
      <x:c r="C305" s="47" t="str">
        <x:v>TRAFICOM/68863/03.04.01.00/2021</x:v>
      </x:c>
      <x:c r="D305" s="59" t="n">
        <x:v>60</x:v>
      </x:c>
      <x:c r="E305" s="47" t="str">
        <x:v>6.6.5.5</x:v>
      </x:c>
      <x:c r="F305" s="47" t="str">
        <x:v>Dynamic</x:v>
      </x:c>
      <x:c r="G305" s="48" t="str">
        <x:v>Deferred - observation/history/simulation design required</x:v>
      </x:c>
      <x:c r="H305" s="47" t="str">
        <x:v>Medium</x:v>
      </x:c>
      <x:c r="I305" s="47" t="str">
        <x:v>No</x:v>
      </x:c>
      <x:c r="J305" s="47" t="str">
        <x:v>DEFERRED</x:v>
      </x:c>
      <x:c r="K305" s="47" t="str">
        <x:v>NOT_RUN</x:v>
      </x:c>
    </x:row>
    <x:row r="306">
      <x:c r="A306" s="47" t="str">
        <x:v>TRF-120</x:v>
      </x:c>
      <x:c r="B306" s="48" t="str">
        <x:v>Ice Class Regulations and the Application Thereof</x:v>
      </x:c>
      <x:c r="C306" s="47" t="str">
        <x:v>TRAFICOM/68863/03.04.01.00/2021</x:v>
      </x:c>
      <x:c r="D306" s="59" t="n">
        <x:v>60</x:v>
      </x:c>
      <x:c r="E306" s="47" t="str">
        <x:v>6.6.5.5</x:v>
      </x:c>
      <x:c r="F306" s="47" t="str">
        <x:v>Static</x:v>
      </x:c>
      <x:c r="G306" s="48" t="str">
        <x:v>Stage 2 candidate - direct/deterministic</x:v>
      </x:c>
      <x:c r="H306" s="47" t="str">
        <x:v>High</x:v>
      </x:c>
      <x:c r="I306" s="47" t="str">
        <x:v>No</x:v>
      </x:c>
      <x:c r="J306" s="47" t="str">
        <x:v>ELIGIBLE</x:v>
      </x:c>
      <x:c r="K306" s="47" t="str">
        <x:v>NOT_RUN</x:v>
      </x:c>
    </x:row>
    <x:row r="307">
      <x:c r="A307" s="47" t="str">
        <x:v>TRF-121</x:v>
      </x:c>
      <x:c r="B307" s="48" t="str">
        <x:v>Ice Class Regulations and the Application Thereof</x:v>
      </x:c>
      <x:c r="C307" s="47" t="str">
        <x:v>TRAFICOM/68863/03.04.01.00/2021</x:v>
      </x:c>
      <x:c r="D307" s="59" t="n">
        <x:v>61</x:v>
      </x:c>
      <x:c r="E307" s="47" t="str">
        <x:v>6.7.1</x:v>
      </x:c>
      <x:c r="F307" s="47" t="str">
        <x:v>Complex</x:v>
      </x:c>
      <x:c r="G307" s="48" t="str">
        <x:v>Deferred - composite/evidence workflow review</x:v>
      </x:c>
      <x:c r="H307" s="47" t="str">
        <x:v>Medium</x:v>
      </x:c>
      <x:c r="I307" s="47" t="str">
        <x:v>No</x:v>
      </x:c>
      <x:c r="J307" s="47" t="str">
        <x:v>DEFERRED</x:v>
      </x:c>
      <x:c r="K307" s="47" t="str">
        <x:v>NOT_RUN</x:v>
      </x:c>
    </x:row>
    <x:row r="308">
      <x:c r="A308" s="47" t="str">
        <x:v>TRF-123</x:v>
      </x:c>
      <x:c r="B308" s="48" t="str">
        <x:v>Ice Class Regulations and the Application Thereof</x:v>
      </x:c>
      <x:c r="C308" s="47" t="str">
        <x:v>TRAFICOM/68863/03.04.01.00/2021</x:v>
      </x:c>
      <x:c r="D308" s="59" t="n">
        <x:v>61</x:v>
      </x:c>
      <x:c r="E308" s="47" t="str">
        <x:v>6.7.3</x:v>
      </x:c>
      <x:c r="F308" s="47" t="str">
        <x:v>Complex</x:v>
      </x:c>
      <x:c r="G308" s="48" t="str">
        <x:v>Stage 2 candidate - complex readiness</x:v>
      </x:c>
      <x:c r="H308" s="47" t="str">
        <x:v>Complex readiness</x:v>
      </x:c>
      <x:c r="I308" s="47" t="str">
        <x:v>No</x:v>
      </x:c>
      <x:c r="J308" s="47" t="str">
        <x:v>ELIGIBLE</x:v>
      </x:c>
      <x:c r="K308" s="47" t="str">
        <x:v>NOT_RUN</x:v>
      </x:c>
    </x:row>
    <x:row r="309">
      <x:c r="A309" s="47" t="str">
        <x:v>TRF-125</x:v>
      </x:c>
      <x:c r="B309" s="48" t="str">
        <x:v>Ice Class Regulations and the Application Thereof</x:v>
      </x:c>
      <x:c r="C309" s="47" t="str">
        <x:v>TRAFICOM/68863/03.04.01.00/2021</x:v>
      </x:c>
      <x:c r="D309" s="59" t="n">
        <x:v>61</x:v>
      </x:c>
      <x:c r="E309" s="47" t="str">
        <x:v>6.7.3</x:v>
      </x:c>
      <x:c r="F309" s="47" t="str">
        <x:v>Dynamic</x:v>
      </x:c>
      <x:c r="G309" s="48" t="str">
        <x:v>Deferred - observation/history/simulation design required</x:v>
      </x:c>
      <x:c r="H309" s="47" t="str">
        <x:v>Medium</x:v>
      </x:c>
      <x:c r="I309" s="47" t="str">
        <x:v>No</x:v>
      </x:c>
      <x:c r="J309" s="47" t="str">
        <x:v>DEFERRED</x:v>
      </x:c>
      <x:c r="K309" s="47" t="str">
        <x:v>NOT_RUN</x:v>
      </x:c>
    </x:row>
    <x:row r="310">
      <x:c r="A310" s="47" t="str">
        <x:v>TRF-126</x:v>
      </x:c>
      <x:c r="B310" s="48" t="str">
        <x:v>Ice Class Regulations and the Application Thereof</x:v>
      </x:c>
      <x:c r="C310" s="47" t="str">
        <x:v>TRAFICOM/68863/03.04.01.00/2021</x:v>
      </x:c>
      <x:c r="D310" s="59" t="n">
        <x:v>61</x:v>
      </x:c>
      <x:c r="E310" s="47" t="str">
        <x:v>7.1</x:v>
      </x:c>
      <x:c r="F310" s="47" t="str">
        <x:v>Static</x:v>
      </x:c>
      <x:c r="G310" s="48" t="str">
        <x:v>Stage 2 candidate - direct/deterministic</x:v>
      </x:c>
      <x:c r="H310" s="47" t="str">
        <x:v>High</x:v>
      </x:c>
      <x:c r="I310" s="47" t="str">
        <x:v>No</x:v>
      </x:c>
      <x:c r="J310" s="47" t="str">
        <x:v>ELIGIBLE</x:v>
      </x:c>
      <x:c r="K310" s="47" t="str">
        <x:v>NOT_RUN</x:v>
      </x:c>
    </x:row>
    <x:row r="311">
      <x:c r="A311" s="47" t="str">
        <x:v>TRF-127</x:v>
      </x:c>
      <x:c r="B311" s="48" t="str">
        <x:v>Ice Class Regulations and the Application Thereof</x:v>
      </x:c>
      <x:c r="C311" s="47" t="str">
        <x:v>TRAFICOM/68863/03.04.01.00/2021</x:v>
      </x:c>
      <x:c r="D311" s="59" t="n">
        <x:v>61</x:v>
      </x:c>
      <x:c r="E311" s="47" t="str">
        <x:v>7.1</x:v>
      </x:c>
      <x:c r="F311" s="47" t="str">
        <x:v>Static</x:v>
      </x:c>
      <x:c r="G311" s="48" t="str">
        <x:v>Stage 2 candidate - direct/deterministic</x:v>
      </x:c>
      <x:c r="H311" s="47" t="str">
        <x:v>High</x:v>
      </x:c>
      <x:c r="I311" s="47" t="str">
        <x:v>No</x:v>
      </x:c>
      <x:c r="J311" s="47" t="str">
        <x:v>ELIGIBLE</x:v>
      </x:c>
      <x:c r="K311" s="47" t="str">
        <x:v>NOT_RUN</x:v>
      </x:c>
    </x:row>
    <x:row r="312">
      <x:c r="A312" s="47" t="str">
        <x:v>TRF-128</x:v>
      </x:c>
      <x:c r="B312" s="48" t="str">
        <x:v>Ice Class Regulations and the Application Thereof</x:v>
      </x:c>
      <x:c r="C312" s="47" t="str">
        <x:v>TRAFICOM/68863/03.04.01.00/2021</x:v>
      </x:c>
      <x:c r="D312" s="59" t="n">
        <x:v>61</x:v>
      </x:c>
      <x:c r="E312" s="47" t="str">
        <x:v>7.1</x:v>
      </x:c>
      <x:c r="F312" s="47" t="str">
        <x:v>Static</x:v>
      </x:c>
      <x:c r="G312" s="48" t="str">
        <x:v>Stage 2 candidate - direct static</x:v>
      </x:c>
      <x:c r="H312" s="47" t="str">
        <x:v>Direct static</x:v>
      </x:c>
      <x:c r="I312" s="47" t="str">
        <x:v>No</x:v>
      </x:c>
      <x:c r="J312" s="47" t="str">
        <x:v>ELIGIBLE</x:v>
      </x:c>
      <x:c r="K312" s="47" t="str">
        <x:v>NOT_RUN</x:v>
      </x:c>
    </x:row>
    <x:row r="313">
      <x:c r="A313" s="47" t="str">
        <x:v>TRF-129</x:v>
      </x:c>
      <x:c r="B313" s="48" t="str">
        <x:v>Ice Class Regulations and the Application Thereof</x:v>
      </x:c>
      <x:c r="C313" s="47" t="str">
        <x:v>TRAFICOM/68863/03.04.01.00/2021</x:v>
      </x:c>
      <x:c r="D313" s="59" t="n">
        <x:v>61</x:v>
      </x:c>
      <x:c r="E313" s="47" t="str">
        <x:v>7.2</x:v>
      </x:c>
      <x:c r="F313" s="47" t="str">
        <x:v>Static</x:v>
      </x:c>
      <x:c r="G313" s="48" t="str">
        <x:v>Stage 2 candidate - direct/deterministic</x:v>
      </x:c>
      <x:c r="H313" s="47" t="str">
        <x:v>High</x:v>
      </x:c>
      <x:c r="I313" s="47" t="str">
        <x:v>No</x:v>
      </x:c>
      <x:c r="J313" s="47" t="str">
        <x:v>ELIGIBLE</x:v>
      </x:c>
      <x:c r="K313" s="47" t="str">
        <x:v>NOT_RUN</x:v>
      </x:c>
    </x:row>
    <x:row r="314">
      <x:c r="A314" s="47" t="str">
        <x:v>TRF-130</x:v>
      </x:c>
      <x:c r="B314" s="48" t="str">
        <x:v>Ice Class Regulations and the Application Thereof</x:v>
      </x:c>
      <x:c r="C314" s="47" t="str">
        <x:v>TRAFICOM/68863/03.04.01.00/2021</x:v>
      </x:c>
      <x:c r="D314" s="59" t="n">
        <x:v>62</x:v>
      </x:c>
      <x:c r="E314" s="47" t="str">
        <x:v>7.2</x:v>
      </x:c>
      <x:c r="F314" s="47" t="str">
        <x:v>Static Calculation</x:v>
      </x:c>
      <x:c r="G314" s="48" t="str">
        <x:v>Stage 2 candidate - direct calculation</x:v>
      </x:c>
      <x:c r="H314" s="47" t="str">
        <x:v>Direct calculation</x:v>
      </x:c>
      <x:c r="I314" s="47" t="str">
        <x:v>No</x:v>
      </x:c>
      <x:c r="J314" s="47" t="str">
        <x:v>ELIGIBLE</x:v>
      </x:c>
      <x:c r="K314" s="47" t="str">
        <x:v>NOT_RUN</x:v>
      </x:c>
    </x:row>
    <x:row r="315">
      <x:c r="A315" s="47" t="str">
        <x:v>TRF-131</x:v>
      </x:c>
      <x:c r="B315" s="48" t="str">
        <x:v>Ice Class Regulations and the Application Thereof</x:v>
      </x:c>
      <x:c r="C315" s="47" t="str">
        <x:v>TRAFICOM/68863/03.04.01.00/2021</x:v>
      </x:c>
      <x:c r="D315" s="59" t="n">
        <x:v>62</x:v>
      </x:c>
      <x:c r="E315" s="47" t="str">
        <x:v>7.2</x:v>
      </x:c>
      <x:c r="F315" s="47" t="str">
        <x:v>Static</x:v>
      </x:c>
      <x:c r="G315" s="48" t="str">
        <x:v>Stage 2 candidate - direct/deterministic</x:v>
      </x:c>
      <x:c r="H315" s="47" t="str">
        <x:v>High</x:v>
      </x:c>
      <x:c r="I315" s="47" t="str">
        <x:v>No</x:v>
      </x:c>
      <x:c r="J315" s="47" t="str">
        <x:v>ELIGIBLE</x:v>
      </x:c>
      <x:c r="K315" s="47" t="str">
        <x:v>NOT_RUN</x:v>
      </x:c>
    </x:row>
    <x:row r="316">
      <x:c r="A316" s="47" t="str">
        <x:v>TRF-132</x:v>
      </x:c>
      <x:c r="B316" s="48" t="str">
        <x:v>Ice Class Regulations and the Application Thereof</x:v>
      </x:c>
      <x:c r="C316" s="47" t="str">
        <x:v>TRAFICOM/68863/03.04.01.00/2021</x:v>
      </x:c>
      <x:c r="D316" s="59" t="n">
        <x:v>64</x:v>
      </x:c>
      <x:c r="E316" s="47" t="str">
        <x:v>8</x:v>
      </x:c>
      <x:c r="F316" s="47" t="str">
        <x:v>Static Calculation</x:v>
      </x:c>
      <x:c r="G316" s="48" t="str">
        <x:v>Stage 2 candidate - direct/deterministic</x:v>
      </x:c>
      <x:c r="H316" s="47" t="str">
        <x:v>High</x:v>
      </x:c>
      <x:c r="I316" s="47" t="str">
        <x:v>No</x:v>
      </x:c>
      <x:c r="J316" s="47" t="str">
        <x:v>ELIGIBLE</x:v>
      </x:c>
      <x:c r="K316" s="47" t="str">
        <x:v>NOT_RUN</x:v>
      </x:c>
    </x:row>
    <x:row r="317">
      <x:c r="A317" s="49" t="str">
        <x:v>TRF-133</x:v>
      </x:c>
      <x:c r="B317" s="50" t="str">
        <x:v>Ice Class Regulations and the Application Thereof</x:v>
      </x:c>
      <x:c r="C317" s="49" t="str">
        <x:v>TRAFICOM/68863/03.04.01.00/2021</x:v>
      </x:c>
      <x:c r="D317" s="60" t="n">
        <x:v>65</x:v>
      </x:c>
      <x:c r="E317" s="49" t="str">
        <x:v>8</x:v>
      </x:c>
      <x:c r="F317" s="49" t="str">
        <x:v>Static</x:v>
      </x:c>
      <x:c r="G317" s="50" t="str">
        <x:v>Stage 2 candidate - direct/deterministic</x:v>
      </x:c>
      <x:c r="H317" s="49" t="str">
        <x:v>High</x:v>
      </x:c>
      <x:c r="I317" s="49" t="str">
        <x:v>No</x:v>
      </x:c>
      <x:c r="J317" s="49" t="str">
        <x:v>ELIGIBLE</x:v>
      </x:c>
      <x:c r="K317" s="49" t="str">
        <x:v>NOT_RUN</x:v>
      </x:c>
    </x:row>
  </x:sheetData>
  <x:conditionalFormatting sqref="G5:G317">
    <x:cfRule type="containsText" dxfId="0" priority="1" operator="containsText" text="ACCEPT"/>
    <x:cfRule type="containsText" dxfId="1" priority="2" operator="containsText" text="ELIGIBLE"/>
    <x:cfRule type="containsText" dxfId="2" priority="3" operator="containsText" text="PASS"/>
    <x:cfRule type="containsText" dxfId="3" priority="4" operator="containsText" text="GAP"/>
    <x:cfRule type="containsText" dxfId="4" priority="5" operator="containsText" text="FAIL"/>
    <x:cfRule type="containsText" dxfId="5" priority="6" operator="containsText" text="DEFERRED"/>
  </x:conditionalFormatting>
  <x:conditionalFormatting sqref="J5:J317">
    <x:cfRule type="containsText" dxfId="6" priority="7" operator="containsText" text="ACCEPT"/>
    <x:cfRule type="containsText" dxfId="7" priority="8" operator="containsText" text="ELIGIBLE"/>
    <x:cfRule type="containsText" dxfId="8" priority="9" operator="containsText" text="PASS"/>
    <x:cfRule type="containsText" dxfId="9" priority="10" operator="containsText" text="GAP"/>
    <x:cfRule type="containsText" dxfId="10" priority="11" operator="containsText" text="FAIL"/>
    <x:cfRule type="containsText" dxfId="11" priority="12" operator="containsText" text="DEFERRED"/>
  </x:conditionalFormatting>
  <x:conditionalFormatting sqref="K5:K317">
    <x:cfRule type="containsText" dxfId="12" priority="13" operator="containsText" text="ACCEPT"/>
    <x:cfRule type="containsText" dxfId="13" priority="14" operator="containsText" text="ELIGIBLE"/>
    <x:cfRule type="containsText" dxfId="14" priority="15" operator="containsText" text="PASS"/>
    <x:cfRule type="containsText" dxfId="15" priority="16" operator="containsText" text="GAP"/>
    <x:cfRule type="containsText" dxfId="16" priority="17" operator="containsText" text="FAIL"/>
    <x:cfRule type="containsText" dxfId="17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1e0c0eefde9c4942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42" hidden="0" customWidth="1"/>
    <x:col min="3" max="3" width="18" hidden="0" customWidth="1"/>
    <x:col min="4" max="4" width="25" hidden="0" customWidth="1"/>
    <x:col min="5" max="5" width="25" hidden="0" customWidth="1"/>
    <x:col min="6" max="6" width="24" hidden="0" customWidth="1"/>
    <x:col min="7" max="7" width="24" hidden="0" customWidth="1"/>
    <x:col min="8" max="8" width="11" hidden="0" customWidth="1"/>
    <x:col min="9" max="9" width="24" hidden="0" customWidth="1"/>
    <x:col min="10" max="10" width="11" hidden="0" customWidth="1"/>
    <x:col min="11" max="11" width="13" hidden="0" customWidth="1"/>
    <x:col min="12" max="12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</x:row>
    <x:row r="2">
      <x:c r="A2" s="20" t="str">
        <x:v>RUNS | Run folder: RUN-IMO-104-20260902T070559844193Z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</x:row>
    <x:row r="4" ht="30" customHeight="1">
      <x:c r="A4" s="43" t="str">
        <x:v>SESSION_ID</x:v>
      </x:c>
      <x:c r="B4" s="57" t="str">
        <x:v>RUN_ID</x:v>
      </x:c>
      <x:c r="C4" s="57" t="str">
        <x:v>REQUIREMENT_ID</x:v>
      </x:c>
      <x:c r="D4" s="57" t="str">
        <x:v>STARTED_UTC</x:v>
      </x:c>
      <x:c r="E4" s="57" t="str">
        <x:v>FINISHED_UTC</x:v>
      </x:c>
      <x:c r="F4" s="57" t="str">
        <x:v>PIPELINE_VERSION</x:v>
      </x:c>
      <x:c r="G4" s="57" t="str">
        <x:v>VOCABULARY_LOCK_ID</x:v>
      </x:c>
      <x:c r="H4" s="57" t="str">
        <x:v>ATTEMPTS</x:v>
      </x:c>
      <x:c r="I4" s="57" t="str">
        <x:v>FINAL_STATUS</x:v>
      </x:c>
      <x:c r="J4" s="57" t="str">
        <x:v>ACCEPTED</x:v>
      </x:c>
      <x:c r="K4" s="57" t="str">
        <x:v>FINAL_SHAPE</x:v>
      </x:c>
      <x:c r="L4" s="44" t="str">
        <x:v>FINAL_FEEDBACK</x:v>
      </x:c>
    </x:row>
    <x:row r="5">
      <x:c r="A5" s="69" t="str">
        <x:v>SESSION-NO-SEMANTIC-VALIDATOR-BATCH-20260902T061348966620Z</x:v>
      </x:c>
      <x:c r="B5" s="69" t="str">
        <x:v>RUN-IMO-104-20260902T070559844193Z</x:v>
      </x:c>
      <x:c r="C5" s="69" t="str">
        <x:v>IMO-104</x:v>
      </x:c>
      <x:c r="D5" s="70" t="n">
        <x:v>46267.295831539355</x:v>
      </x:c>
      <x:c r="E5" s="70" t="n">
        <x:v>46267.296224652775</x:v>
      </x:c>
      <x:c r="F5" s="69" t="str">
        <x:v>luna-no-semantic-validator-run06-v1</x:v>
      </x:c>
      <x:c r="G5" s="69" t="str">
        <x:v>VOCAB-LOCK-2026-08-22-R13</x:v>
      </x:c>
      <x:c r="H5" s="71" t="n">
        <x:v>1</x:v>
      </x:c>
      <x:c r="I5" s="69" t="str">
        <x:v>NO_SEMANTIC_VALIDATOR_DETERMINISTIC_FAIL</x:v>
      </x:c>
      <x:c r="J5" s="72" t="b">
        <x:v>0</x:v>
      </x:c>
      <x:c r="K5" s="69" t="str"/>
      <x:c r="L5" s="73" t="str">
        <x:v>Semantic validator disabled; no semantic acceptance judgement was made.</x:v>
      </x:c>
    </x:row>
  </x:sheetData>
  <x:conditionalFormatting sqref="I5:I5">
    <x:cfRule type="containsText" dxfId="18" priority="1" operator="containsText" text="ACCEPT"/>
    <x:cfRule type="containsText" dxfId="19" priority="2" operator="containsText" text="ELIGIBLE"/>
    <x:cfRule type="containsText" dxfId="20" priority="3" operator="containsText" text="PASS"/>
    <x:cfRule type="containsText" dxfId="21" priority="4" operator="containsText" text="GAP"/>
    <x:cfRule type="containsText" dxfId="22" priority="5" operator="containsText" text="FAIL"/>
    <x:cfRule type="containsText" dxfId="23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ead254d23bc14303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4" hidden="0" customWidth="1"/>
    <x:col min="5" max="5" width="18" hidden="0" customWidth="1"/>
    <x:col min="6" max="6" width="19" hidden="0" customWidth="1"/>
    <x:col min="7" max="7" width="24" hidden="0" customWidth="1"/>
    <x:col min="8" max="8" width="52" hidden="0" customWidth="1"/>
    <x:col min="9" max="9" width="22" hidden="0" customWidth="1"/>
    <x:col min="10" max="10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ITERATIONS | Run folder: RUN-IMO-104-20260902T070559844193Z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STATIC_VALID</x:v>
      </x:c>
      <x:c r="E4" s="57" t="str">
        <x:v>VALIDATOR_ACCEPT</x:v>
      </x:c>
      <x:c r="F4" s="57" t="str">
        <x:v>MATCHER_ACTIVATED</x:v>
      </x:c>
      <x:c r="G4" s="57" t="str">
        <x:v>DECISION</x:v>
      </x:c>
      <x:c r="H4" s="57" t="str">
        <x:v>FEEDBACK</x:v>
      </x:c>
      <x:c r="I4" s="57" t="str">
        <x:v>GENERATOR_ELAPSED_MS</x:v>
      </x:c>
      <x:c r="J4" s="44" t="str">
        <x:v>VALIDATOR_ELAPSED_MS</x:v>
      </x:c>
    </x:row>
    <x:row r="5">
      <x:c r="A5" s="69" t="str">
        <x:v>RUN-IMO-104-20260902T070559844193Z</x:v>
      </x:c>
      <x:c r="B5" s="69" t="str">
        <x:v>IMO-104</x:v>
      </x:c>
      <x:c r="C5" s="71" t="n">
        <x:v>1</x:v>
      </x:c>
      <x:c r="D5" s="72" t="b">
        <x:v>0</x:v>
      </x:c>
      <x:c r="E5" s="69"/>
      <x:c r="F5" s="72" t="b">
        <x:v>0</x:v>
      </x:c>
      <x:c r="G5" s="69" t="str">
        <x:v>NO_SEMANTIC_VALIDATOR_DETERMINISTIC_FAIL</x:v>
      </x:c>
      <x:c r="H5" s="73" t="str">
        <x:v>Semantic validator disabled; deterministic diagnostics were not used as repair feedback.</x:v>
      </x:c>
      <x:c r="I5" s="75" t="n">
        <x:v>33862.679</x:v>
      </x:c>
      <x:c r="J5" s="75" t="n">
        <x:v>0</x:v>
      </x:c>
    </x:row>
  </x:sheetData>
  <x:conditionalFormatting sqref="G5:G5">
    <x:cfRule type="containsText" dxfId="24" priority="1" operator="containsText" text="ACCEPT"/>
    <x:cfRule type="containsText" dxfId="25" priority="2" operator="containsText" text="ELIGIBLE"/>
    <x:cfRule type="containsText" dxfId="26" priority="3" operator="containsText" text="PASS"/>
    <x:cfRule type="containsText" dxfId="27" priority="4" operator="containsText" text="GAP"/>
    <x:cfRule type="containsText" dxfId="28" priority="5" operator="containsText" text="FAIL"/>
    <x:cfRule type="containsText" dxfId="29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3096ed3be1a946f4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42" hidden="0" customWidth="1"/>
    <x:col min="3" max="3" width="18" hidden="0" customWidth="1"/>
    <x:col min="4" max="4" width="25" hidden="0" customWidth="1"/>
    <x:col min="5" max="5" width="11" hidden="0" customWidth="1"/>
    <x:col min="6" max="6" width="30" hidden="0" customWidth="1"/>
    <x:col min="7" max="7" width="19" hidden="0" customWidth="1"/>
    <x:col min="8" max="8" width="11" hidden="0" customWidth="1"/>
    <x:col min="9" max="9" width="24" hidden="0" customWidth="1"/>
    <x:col min="10" max="10" width="20" hidden="0" customWidth="1"/>
    <x:col min="11" max="11" width="12" hidden="0" customWidth="1"/>
    <x:col min="12" max="12" width="11" hidden="0" customWidth="1"/>
    <x:col min="13" max="13" width="24" hidden="0" customWidth="1"/>
    <x:col min="14" max="14" width="14" hidden="0" customWidth="1"/>
    <x:col min="15" max="15" width="15" hidden="0" customWidth="1"/>
    <x:col min="16" max="16" width="1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</x:row>
    <x:row r="2">
      <x:c r="A2" s="20" t="str">
        <x:v>API_CALLS | Run folder: RUN-IMO-104-20260902T070559844193Z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</x:row>
    <x:row r="4" ht="30" customHeight="1">
      <x:c r="A4" s="43" t="str">
        <x:v>EVENT_ID</x:v>
      </x:c>
      <x:c r="B4" s="57" t="str">
        <x:v>RUN_ID</x:v>
      </x:c>
      <x:c r="C4" s="57" t="str">
        <x:v>REQUIREMENT_ID</x:v>
      </x:c>
      <x:c r="D4" s="57" t="str">
        <x:v>TIMESTAMP_UTC</x:v>
      </x:c>
      <x:c r="E4" s="57" t="str">
        <x:v>ROLE</x:v>
      </x:c>
      <x:c r="F4" s="57" t="str">
        <x:v>MODEL</x:v>
      </x:c>
      <x:c r="G4" s="57" t="str">
        <x:v>TRANSPORT_ATTEMPT</x:v>
      </x:c>
      <x:c r="H4" s="57" t="str">
        <x:v>STATUS</x:v>
      </x:c>
      <x:c r="I4" s="57" t="str">
        <x:v>AUTH_HEADER_NAME</x:v>
      </x:c>
      <x:c r="J4" s="57" t="str">
        <x:v>RATE_LIMIT_WAIT_MS</x:v>
      </x:c>
      <x:c r="K4" s="57" t="str">
        <x:v>ELAPSED_MS</x:v>
      </x:c>
      <x:c r="L4" s="57" t="str">
        <x:v>RETRYING</x:v>
      </x:c>
      <x:c r="M4" s="57" t="str">
        <x:v>RESPONSE_ID</x:v>
      </x:c>
      <x:c r="N4" s="57" t="str">
        <x:v>INPUT_TOKENS</x:v>
      </x:c>
      <x:c r="O4" s="57" t="str">
        <x:v>OUTPUT_TOKENS</x:v>
      </x:c>
      <x:c r="P4" s="44" t="str">
        <x:v>TOTAL_TOKENS</x:v>
      </x:c>
    </x:row>
    <x:row r="5">
      <x:c r="A5" s="45" t="str">
        <x:v>EVT-000026</x:v>
      </x:c>
      <x:c r="B5" s="45" t="str">
        <x:v>RUN-IMO-104-20260902T070559844193Z</x:v>
      </x:c>
      <x:c r="C5" s="45" t="str">
        <x:v>IMO-104</x:v>
      </x:c>
      <x:c r="D5" s="84" t="n">
        <x:v>46267.29622347222</x:v>
      </x:c>
      <x:c r="E5" s="45" t="str">
        <x:v>generator</x:v>
      </x:c>
      <x:c r="F5" s="45" t="str">
        <x:v>gpt-5.6-luna-2026-07-09</x:v>
      </x:c>
      <x:c r="G5" s="45" t="n">
        <x:v>1</x:v>
      </x:c>
      <x:c r="H5" s="45" t="n">
        <x:v>200</x:v>
      </x:c>
      <x:c r="I5" s="45" t="str">
        <x:v>Ocp-Apim-Subscription-Key</x:v>
      </x:c>
      <x:c r="J5" s="85" t="n">
        <x:v>0</x:v>
      </x:c>
      <x:c r="K5" s="85" t="n">
        <x:v>33861.085</x:v>
      </x:c>
      <x:c r="L5" s="86" t="b">
        <x:v>0</x:v>
      </x:c>
      <x:c r="M5" s="45" t="str"/>
      <x:c r="N5" s="58" t="str"/>
      <x:c r="O5" s="58" t="str"/>
      <x:c r="P5" s="58" t="str"/>
    </x:row>
    <x:row r="6">
      <x:c r="A6" s="49" t="str">
        <x:v>EVT-000027</x:v>
      </x:c>
      <x:c r="B6" s="49" t="str">
        <x:v>RUN-IMO-104-20260902T070559844193Z</x:v>
      </x:c>
      <x:c r="C6" s="49" t="str">
        <x:v>IMO-104</x:v>
      </x:c>
      <x:c r="D6" s="87" t="n">
        <x:v>46267.296223495374</x:v>
      </x:c>
      <x:c r="E6" s="49" t="str">
        <x:v>generator</x:v>
      </x:c>
      <x:c r="F6" s="49" t="str">
        <x:v>gpt-5.6-luna-2026-07-09</x:v>
      </x:c>
      <x:c r="G6" s="49" t="n">
        <x:v>1</x:v>
      </x:c>
      <x:c r="H6" s="49" t="str">
        <x:v>COMPLETED</x:v>
      </x:c>
      <x:c r="I6" s="49" t="str"/>
      <x:c r="J6" s="88" t="n">
        <x:v>0</x:v>
      </x:c>
      <x:c r="K6" s="88" t="n">
        <x:v>33862.679</x:v>
      </x:c>
      <x:c r="L6" s="89" t="b">
        <x:v>0</x:v>
      </x:c>
      <x:c r="M6" s="49" t="str">
        <x:v>resp_0b56489ef2bb9add006a97cad7efd88197a29b0f1120094100</x:v>
      </x:c>
      <x:c r="N6" s="60" t="n">
        <x:v>9068</x:v>
      </x:c>
      <x:c r="O6" s="60" t="n">
        <x:v>2675</x:v>
      </x:c>
      <x:c r="P6" s="60" t="n">
        <x:v>11743</x:v>
      </x:c>
    </x:row>
  </x:sheetData>
  <x:conditionalFormatting sqref="H5:H6">
    <x:cfRule type="containsText" dxfId="30" priority="1" operator="containsText" text="ACCEPT"/>
    <x:cfRule type="containsText" dxfId="31" priority="2" operator="containsText" text="ELIGIBLE"/>
    <x:cfRule type="containsText" dxfId="32" priority="3" operator="containsText" text="PASS"/>
    <x:cfRule type="containsText" dxfId="33" priority="4" operator="containsText" text="GAP"/>
    <x:cfRule type="containsText" dxfId="34" priority="5" operator="containsText" text="FAIL"/>
    <x:cfRule type="containsText" dxfId="35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604a351e0079438d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38" hidden="0" customWidth="1"/>
    <x:col min="4" max="4" width="52" hidden="0" customWidth="1"/>
    <x:col min="5" max="5" width="18" hidden="0" customWidth="1"/>
    <x:col min="6" max="6" width="13" hidden="0" customWidth="1"/>
    <x:col min="7" max="7" width="46" hidden="0" customWidth="1"/>
    <x:col min="8" max="8" width="18" hidden="0" customWidth="1"/>
    <x:col min="9" max="9" width="52" hidden="0" customWidth="1"/>
    <x:col min="10" max="10" width="17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TERM_RETRIEVAL | Run folder: RUN-IMO-104-20260902T070559844193Z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LOCAL_NAME</x:v>
      </x:c>
      <x:c r="D4" s="57" t="str">
        <x:v>IRI</x:v>
      </x:c>
      <x:c r="E4" s="57" t="str">
        <x:v>KIND</x:v>
      </x:c>
      <x:c r="F4" s="57" t="str">
        <x:v>DATATYPE</x:v>
      </x:c>
      <x:c r="G4" s="57" t="str">
        <x:v>RANGE</x:v>
      </x:c>
      <x:c r="H4" s="57" t="str">
        <x:v>RECOMMENDED_UNIT</x:v>
      </x:c>
      <x:c r="I4" s="57" t="str">
        <x:v>SELECTION_REASON</x:v>
      </x:c>
      <x:c r="J4" s="44" t="str">
        <x:v>ITERATION_ADDED</x:v>
      </x:c>
    </x:row>
    <x:row r="5">
      <x:c r="A5" s="45" t="str">
        <x:v>RUN-IMO-104-20260902T070559844193Z</x:v>
      </x:c>
      <x:c r="B5" s="45" t="str">
        <x:v>IMO-104</x:v>
      </x:c>
      <x:c r="C5" s="45" t="str">
        <x:v>assignedDuties</x:v>
      </x:c>
      <x:c r="D5" s="46" t="str">
        <x:v>https://w3id.org/nltl/vocab#assignedDuties</x:v>
      </x:c>
      <x:c r="E5" s="45" t="str">
        <x:v>DatatypeProperty</x:v>
      </x:c>
      <x:c r="F5" s="45" t="str">
        <x:v>xsd:string</x:v>
      </x:c>
      <x:c r="G5" s="45" t="str">
        <x:v>http://www.w3.org/2001/XMLSchema#string</x:v>
      </x:c>
      <x:c r="H5" s="45" t="str"/>
      <x:c r="I5" s="46" t="str">
        <x:v>linked by the locked 313-requirement index</x:v>
      </x:c>
      <x:c r="J5" s="45" t="n">
        <x:v>0</x:v>
      </x:c>
    </x:row>
    <x:row r="6">
      <x:c r="A6" s="47" t="str">
        <x:v>RUN-IMO-104-20260902T070559844193Z</x:v>
      </x:c>
      <x:c r="B6" s="47" t="str">
        <x:v>IMO-104</x:v>
      </x:c>
      <x:c r="C6" s="47" t="str">
        <x:v>assignedDuty</x:v>
      </x:c>
      <x:c r="D6" s="48" t="str">
        <x:v>https://w3id.org/nltl/vocab#assignedDuty</x:v>
      </x:c>
      <x:c r="E6" s="47" t="str">
        <x:v>Class</x:v>
      </x:c>
      <x:c r="F6" s="47" t="str"/>
      <x:c r="G6" s="47" t="str">
        <x:v>https://w3id.org/nltl/vocab#benchmarkEntity</x:v>
      </x:c>
      <x:c r="H6" s="47" t="str"/>
      <x:c r="I6" s="48" t="str">
        <x:v>authoritative required owner class; domain dependency of hasRelevantPolarWaterOperationalManualItem; linked by the locked 313-requirement index; range dependency of hasAssignedDuty</x:v>
      </x:c>
      <x:c r="J6" s="47" t="n">
        <x:v>0</x:v>
      </x:c>
    </x:row>
    <x:row r="7">
      <x:c r="A7" s="47" t="str">
        <x:v>RUN-IMO-104-20260902T070559844193Z</x:v>
      </x:c>
      <x:c r="B7" s="47" t="str">
        <x:v>IMO-104</x:v>
      </x:c>
      <x:c r="C7" s="47" t="str">
        <x:v>benchmarkEntity</x:v>
      </x:c>
      <x:c r="D7" s="48" t="str">
        <x:v>https://w3id.org/nltl/vocab#benchmarkEntity</x:v>
      </x:c>
      <x:c r="E7" s="47" t="str">
        <x:v>Class</x:v>
      </x:c>
      <x:c r="F7" s="47" t="str"/>
      <x:c r="G7" s="47" t="str"/>
      <x:c r="H7" s="47" t="str"/>
      <x:c r="I7" s="48" t="str">
        <x:v>baseline target infrastructure; domain dependency of assignedDuties; domain dependency of polarWaterOperationalManualFamiliarizationStatus; domain dependency of relevantPolarWaterOperationalManualProcedureOrEquipment; range dependency of assignedDuty</x:v>
      </x:c>
      <x:c r="J7" s="47" t="n">
        <x:v>0</x:v>
      </x:c>
    </x:row>
    <x:row r="8">
      <x:c r="A8" s="47" t="str">
        <x:v>RUN-IMO-104-20260902T070559844193Z</x:v>
      </x:c>
      <x:c r="B8" s="47" t="str">
        <x:v>IMO-104</x:v>
      </x:c>
      <x:c r="C8" s="47" t="str">
        <x:v>crewMember</x:v>
      </x:c>
      <x:c r="D8" s="48" t="str">
        <x:v>https://w3id.org/nltl/vocab#crewMember</x:v>
      </x:c>
      <x:c r="E8" s="47" t="str">
        <x:v>Class</x:v>
      </x:c>
      <x:c r="F8" s="47" t="str"/>
      <x:c r="G8" s="47" t="str">
        <x:v>https://w3id.org/nltl/vocab#person</x:v>
      </x:c>
      <x:c r="H8" s="47" t="str"/>
      <x:c r="I8" s="48" t="str">
        <x:v>authoritative required owner class; domain dependency of hasAssignedDuty; domain dependency of hasFamiliarizationRecord; linked by the locked 313-requirement index; range dependency of hasCrewMember; range dependency of hasCrewMemberInventory</x:v>
      </x:c>
      <x:c r="J8" s="47" t="n">
        <x:v>0</x:v>
      </x:c>
    </x:row>
    <x:row r="9">
      <x:c r="A9" s="47" t="str">
        <x:v>RUN-IMO-104-20260902T070559844193Z</x:v>
      </x:c>
      <x:c r="B9" s="47" t="str">
        <x:v>IMO-104</x:v>
      </x:c>
      <x:c r="C9" s="47" t="str">
        <x:v>documentRecord</x:v>
      </x:c>
      <x:c r="D9" s="48" t="str">
        <x:v>https://w3id.org/nltl/vocab#documentRecord</x:v>
      </x:c>
      <x:c r="E9" s="47" t="str">
        <x:v>Class</x:v>
      </x:c>
      <x:c r="F9" s="47" t="str"/>
      <x:c r="G9" s="47" t="str">
        <x:v>https://w3id.org/nltl/vocab#documentArtifact</x:v>
      </x:c>
      <x:c r="H9" s="47" t="str"/>
      <x:c r="I9" s="48" t="str">
        <x:v>range dependency of polarWaterOperationalManualItem</x:v>
      </x:c>
      <x:c r="J9" s="47" t="n">
        <x:v>0</x:v>
      </x:c>
    </x:row>
    <x:row r="10">
      <x:c r="A10" s="47" t="str">
        <x:v>RUN-IMO-104-20260902T070559844193Z</x:v>
      </x:c>
      <x:c r="B10" s="47" t="str">
        <x:v>IMO-104</x:v>
      </x:c>
      <x:c r="C10" s="47" t="str">
        <x:v>evidenceArtifact</x:v>
      </x:c>
      <x:c r="D10" s="48" t="str">
        <x:v>https://w3id.org/nltl/vocab#evidenceArtifact</x:v>
      </x:c>
      <x:c r="E10" s="47" t="str">
        <x:v>Class</x:v>
      </x:c>
      <x:c r="F10" s="47" t="str"/>
      <x:c r="G10" s="47" t="str"/>
      <x:c r="H10" s="47" t="str"/>
      <x:c r="I10" s="48" t="str">
        <x:v>range dependency of familiarizationRecord</x:v>
      </x:c>
      <x:c r="J10" s="47" t="n">
        <x:v>0</x:v>
      </x:c>
    </x:row>
    <x:row r="11">
      <x:c r="A11" s="47" t="str">
        <x:v>RUN-IMO-104-20260902T070559844193Z</x:v>
      </x:c>
      <x:c r="B11" s="47" t="str">
        <x:v>IMO-104</x:v>
      </x:c>
      <x:c r="C11" s="47" t="str">
        <x:v>familiarizationRecord</x:v>
      </x:c>
      <x:c r="D11" s="48" t="str">
        <x:v>https://w3id.org/nltl/vocab#familiarizationRecord</x:v>
      </x:c>
      <x:c r="E11" s="47" t="str">
        <x:v>Class</x:v>
      </x:c>
      <x:c r="F11" s="47" t="str"/>
      <x:c r="G11" s="47" t="str">
        <x:v>https://w3id.org/nltl/vocab#evidenceArtifact</x:v>
      </x:c>
      <x:c r="H11" s="47" t="str"/>
      <x:c r="I11" s="48" t="str">
        <x:v>authoritative required owner class; domain dependency of familiarizationRecordItem; linked by the locked 313-requirement index; range dependency of hasFamiliarizationRecord</x:v>
      </x:c>
      <x:c r="J11" s="47" t="n">
        <x:v>0</x:v>
      </x:c>
    </x:row>
    <x:row r="12">
      <x:c r="A12" s="47" t="str">
        <x:v>RUN-IMO-104-20260902T070559844193Z</x:v>
      </x:c>
      <x:c r="B12" s="47" t="str">
        <x:v>IMO-104</x:v>
      </x:c>
      <x:c r="C12" s="47" t="str">
        <x:v>familiarizationRecordItem</x:v>
      </x:c>
      <x:c r="D12" s="48" t="str">
        <x:v>https://w3id.org/nltl/vocab#familiarizationRecordItem</x:v>
      </x:c>
      <x:c r="E12" s="47" t="str">
        <x:v>ObjectProperty</x:v>
      </x:c>
      <x:c r="F12" s="47" t="str"/>
      <x:c r="G12" s="47" t="str">
        <x:v>https://w3id.org/nltl/vocab#polarWaterOperationalManualItem</x:v>
      </x:c>
      <x:c r="H12" s="47" t="str"/>
      <x:c r="I12" s="48" t="str">
        <x:v>linked by the locked 313-requirement index</x:v>
      </x:c>
      <x:c r="J12" s="47" t="n">
        <x:v>0</x:v>
      </x:c>
    </x:row>
    <x:row r="13">
      <x:c r="A13" s="47" t="str">
        <x:v>RUN-IMO-104-20260902T070559844193Z</x:v>
      </x:c>
      <x:c r="B13" s="47" t="str">
        <x:v>IMO-104</x:v>
      </x:c>
      <x:c r="C13" s="47" t="str">
        <x:v>hasAssignedDuty</x:v>
      </x:c>
      <x:c r="D13" s="48" t="str">
        <x:v>https://w3id.org/nltl/vocab#hasAssignedDuty</x:v>
      </x:c>
      <x:c r="E13" s="47" t="str">
        <x:v>ObjectProperty</x:v>
      </x:c>
      <x:c r="F13" s="47" t="str"/>
      <x:c r="G13" s="47" t="str">
        <x:v>https://w3id.org/nltl/vocab#assignedDuty</x:v>
      </x:c>
      <x:c r="H13" s="47" t="str"/>
      <x:c r="I13" s="48" t="str">
        <x:v>linked by the locked 313-requirement index</x:v>
      </x:c>
      <x:c r="J13" s="47" t="n">
        <x:v>0</x:v>
      </x:c>
    </x:row>
    <x:row r="14">
      <x:c r="A14" s="47" t="str">
        <x:v>RUN-IMO-104-20260902T070559844193Z</x:v>
      </x:c>
      <x:c r="B14" s="47" t="str">
        <x:v>IMO-104</x:v>
      </x:c>
      <x:c r="C14" s="47" t="str">
        <x:v>hasCrewMember</x:v>
      </x:c>
      <x:c r="D14" s="48" t="str">
        <x:v>https://w3id.org/nltl/vocab#hasCrewMember</x:v>
      </x:c>
      <x:c r="E14" s="47" t="str">
        <x:v>ObjectProperty</x:v>
      </x:c>
      <x:c r="F14" s="47" t="str"/>
      <x:c r="G14" s="47" t="str">
        <x:v>https://w3id.org/nltl/vocab#crewMember</x:v>
      </x:c>
      <x:c r="H14" s="47" t="str"/>
      <x:c r="I14" s="48" t="str">
        <x:v>canonical path from target owner ship to required owner crewMember; linked by the locked 313-requirement index</x:v>
      </x:c>
      <x:c r="J14" s="47" t="n">
        <x:v>0</x:v>
      </x:c>
    </x:row>
    <x:row r="15">
      <x:c r="A15" s="47" t="str">
        <x:v>RUN-IMO-104-20260902T070559844193Z</x:v>
      </x:c>
      <x:c r="B15" s="47" t="str">
        <x:v>IMO-104</x:v>
      </x:c>
      <x:c r="C15" s="47" t="str">
        <x:v>hasCrewMemberInventory</x:v>
      </x:c>
      <x:c r="D15" s="48" t="str">
        <x:v>https://w3id.org/nltl/vocab#hasCrewMemberInventory</x:v>
      </x:c>
      <x:c r="E15" s="47" t="str">
        <x:v>ObjectProperty</x:v>
      </x:c>
      <x:c r="F15" s="47" t="str"/>
      <x:c r="G15" s="47" t="str">
        <x:v>https://w3id.org/nltl/vocab#crewMember</x:v>
      </x:c>
      <x:c r="H15" s="47" t="str"/>
      <x:c r="I15" s="48" t="str">
        <x:v>canonical path from target owner ship to required owner crewMember; linked by the locked 313-requirement index</x:v>
      </x:c>
      <x:c r="J15" s="47" t="n">
        <x:v>0</x:v>
      </x:c>
    </x:row>
    <x:row r="16">
      <x:c r="A16" s="47" t="str">
        <x:v>RUN-IMO-104-20260902T070559844193Z</x:v>
      </x:c>
      <x:c r="B16" s="47" t="str">
        <x:v>IMO-104</x:v>
      </x:c>
      <x:c r="C16" s="47" t="str">
        <x:v>hasFamiliarizationRecord</x:v>
      </x:c>
      <x:c r="D16" s="48" t="str">
        <x:v>https://w3id.org/nltl/vocab#hasFamiliarizationRecord</x:v>
      </x:c>
      <x:c r="E16" s="47" t="str">
        <x:v>ObjectProperty</x:v>
      </x:c>
      <x:c r="F16" s="47" t="str"/>
      <x:c r="G16" s="47" t="str">
        <x:v>https://w3id.org/nltl/vocab#familiarizationRecord</x:v>
      </x:c>
      <x:c r="H16" s="47" t="str"/>
      <x:c r="I16" s="48" t="str">
        <x:v>linked by the locked 313-requirement index</x:v>
      </x:c>
      <x:c r="J16" s="47" t="n">
        <x:v>0</x:v>
      </x:c>
    </x:row>
    <x:row r="17">
      <x:c r="A17" s="47" t="str">
        <x:v>RUN-IMO-104-20260902T070559844193Z</x:v>
      </x:c>
      <x:c r="B17" s="47" t="str">
        <x:v>IMO-104</x:v>
      </x:c>
      <x:c r="C17" s="47" t="str">
        <x:v>hasRelevantPolarWaterOperationalManualItem</x:v>
      </x:c>
      <x:c r="D17" s="48" t="str">
        <x:v>https://w3id.org/nltl/vocab#hasRelevantPolarWaterOperationalManualItem</x:v>
      </x:c>
      <x:c r="E17" s="47" t="str">
        <x:v>ObjectProperty</x:v>
      </x:c>
      <x:c r="F17" s="47" t="str"/>
      <x:c r="G17" s="47" t="str">
        <x:v>https://w3id.org/nltl/vocab#polarWaterOperationalManualItem</x:v>
      </x:c>
      <x:c r="H17" s="47" t="str"/>
      <x:c r="I17" s="48" t="str">
        <x:v>linked by the locked 313-requirement index</x:v>
      </x:c>
      <x:c r="J17" s="47" t="n">
        <x:v>0</x:v>
      </x:c>
    </x:row>
    <x:row r="18">
      <x:c r="A18" s="47" t="str">
        <x:v>RUN-IMO-104-20260902T070559844193Z</x:v>
      </x:c>
      <x:c r="B18" s="47" t="str">
        <x:v>IMO-104</x:v>
      </x:c>
      <x:c r="C18" s="47" t="str">
        <x:v>person</x:v>
      </x:c>
      <x:c r="D18" s="48" t="str">
        <x:v>https://w3id.org/nltl/vocab#person</x:v>
      </x:c>
      <x:c r="E18" s="47" t="str">
        <x:v>Class</x:v>
      </x:c>
      <x:c r="F18" s="47" t="str"/>
      <x:c r="G18" s="47" t="str"/>
      <x:c r="H18" s="47" t="str"/>
      <x:c r="I18" s="48" t="str">
        <x:v>range dependency of crewMember</x:v>
      </x:c>
      <x:c r="J18" s="47" t="n">
        <x:v>0</x:v>
      </x:c>
    </x:row>
    <x:row r="19">
      <x:c r="A19" s="47" t="str">
        <x:v>RUN-IMO-104-20260902T070559844193Z</x:v>
      </x:c>
      <x:c r="B19" s="47" t="str">
        <x:v>IMO-104</x:v>
      </x:c>
      <x:c r="C19" s="47" t="str">
        <x:v>polarWaterOperationalManualFamiliarizationStatus</x:v>
      </x:c>
      <x:c r="D19" s="48" t="str">
        <x:v>https://w3id.org/nltl/vocab#polarWaterOperationalManualFamiliarizationStatus</x:v>
      </x:c>
      <x:c r="E19" s="47" t="str">
        <x:v>DatatypeProperty</x:v>
      </x:c>
      <x:c r="F19" s="47" t="str">
        <x:v>xsd:boolean</x:v>
      </x:c>
      <x:c r="G19" s="47" t="str">
        <x:v>http://www.w3.org/2001/XMLSchema#boolean</x:v>
      </x:c>
      <x:c r="H19" s="47" t="str"/>
      <x:c r="I19" s="48" t="str">
        <x:v>linked by the locked 313-requirement index</x:v>
      </x:c>
      <x:c r="J19" s="47" t="n">
        <x:v>0</x:v>
      </x:c>
    </x:row>
    <x:row r="20">
      <x:c r="A20" s="47" t="str">
        <x:v>RUN-IMO-104-20260902T070559844193Z</x:v>
      </x:c>
      <x:c r="B20" s="47" t="str">
        <x:v>IMO-104</x:v>
      </x:c>
      <x:c r="C20" s="47" t="str">
        <x:v>polarWaterOperationalManualItem</x:v>
      </x:c>
      <x:c r="D20" s="48" t="str">
        <x:v>https://w3id.org/nltl/vocab#polarWaterOperationalManualItem</x:v>
      </x:c>
      <x:c r="E20" s="47" t="str">
        <x:v>Class</x:v>
      </x:c>
      <x:c r="F20" s="47" t="str"/>
      <x:c r="G20" s="47" t="str">
        <x:v>https://w3id.org/nltl/vocab#documentRecord</x:v>
      </x:c>
      <x:c r="H20" s="47" t="str"/>
      <x:c r="I20" s="48" t="str">
        <x:v>linked by the locked 313-requirement index; range dependency of familiarizationRecordItem; range dependency of hasRelevantPolarWaterOperationalManualItem</x:v>
      </x:c>
      <x:c r="J20" s="47" t="n">
        <x:v>0</x:v>
      </x:c>
    </x:row>
    <x:row r="21">
      <x:c r="A21" s="47" t="str">
        <x:v>RUN-IMO-104-20260902T070559844193Z</x:v>
      </x:c>
      <x:c r="B21" s="47" t="str">
        <x:v>IMO-104</x:v>
      </x:c>
      <x:c r="C21" s="47" t="str">
        <x:v>relevantPolarWaterOperationalManualProcedureOrEquipment</x:v>
      </x:c>
      <x:c r="D21" s="48" t="str">
        <x:v>https://w3id.org/nltl/vocab#relevantPolarWaterOperationalManualProcedureOrEquipment</x:v>
      </x:c>
      <x:c r="E21" s="47" t="str">
        <x:v>DatatypeProperty</x:v>
      </x:c>
      <x:c r="F21" s="47" t="str">
        <x:v>xsd:string</x:v>
      </x:c>
      <x:c r="G21" s="47" t="str">
        <x:v>http://www.w3.org/2001/XMLSchema#string</x:v>
      </x:c>
      <x:c r="H21" s="47" t="str"/>
      <x:c r="I21" s="48" t="str">
        <x:v>linked by the locked 313-requirement index</x:v>
      </x:c>
      <x:c r="J21" s="47" t="n">
        <x:v>0</x:v>
      </x:c>
    </x:row>
    <x:row r="22">
      <x:c r="A22" s="49" t="str">
        <x:v>RUN-IMO-104-20260902T070559844193Z</x:v>
      </x:c>
      <x:c r="B22" s="49" t="str">
        <x:v>IMO-104</x:v>
      </x:c>
      <x:c r="C22" s="49" t="str">
        <x:v>ship</x:v>
      </x:c>
      <x:c r="D22" s="50" t="str">
        <x:v>https://w3id.org/nltl/vocab#ship</x:v>
      </x:c>
      <x:c r="E22" s="49" t="str">
        <x:v>Class</x:v>
      </x:c>
      <x:c r="F22" s="49" t="str"/>
      <x:c r="G22" s="49" t="str"/>
      <x:c r="H22" s="49" t="str"/>
      <x:c r="I22" s="50" t="str">
        <x:v>authoritative required owner class; authoritative requirement target owner; baseline target infrastructure; domain dependency of hasCrewMember; domain dependency of hasCrewMemberInventory</x:v>
      </x:c>
      <x:c r="J22" s="49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595c7a59653c4a8e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2" hidden="0" customWidth="1"/>
    <x:col min="4" max="4" width="15" hidden="0" customWidth="1"/>
    <x:col min="5" max="5" width="11" hidden="0" customWidth="1"/>
    <x:col min="6" max="6" width="24" hidden="0" customWidth="1"/>
    <x:col min="7" max="7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FEW_SHOT_SELECTION | Run folder: RUN-IMO-104-20260902T070559844193Z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EXAMPLE_ID</x:v>
      </x:c>
      <x:c r="D4" s="57" t="str">
        <x:v>CASE_ID</x:v>
      </x:c>
      <x:c r="E4" s="57" t="str">
        <x:v>SCORE</x:v>
      </x:c>
      <x:c r="F4" s="57" t="str">
        <x:v>MATCHED_TAGS</x:v>
      </x:c>
      <x:c r="G4" s="44" t="str">
        <x:v>STATUS</x:v>
      </x:c>
    </x:row>
    <x:row r="5">
      <x:c r="A5" s="45" t="str">
        <x:v>RUN-IMO-104-20260902T070559844193Z</x:v>
      </x:c>
      <x:c r="B5" s="45" t="str">
        <x:v>IMO-104</x:v>
      </x:c>
      <x:c r="C5" s="45" t="str">
        <x:v>FS-BOOL-01</x:v>
      </x:c>
      <x:c r="D5" s="45" t="str">
        <x:v>boolean_state</x:v>
      </x:c>
      <x:c r="E5" s="92" t="n">
        <x:v>0.075</x:v>
      </x:c>
      <x:c r="F5" s="45" t="str">
        <x:v>boolean | required | value</x:v>
      </x:c>
      <x:c r="G5" s="45" t="str">
        <x:v>synthetic-few-shot-not-benchmark-ground-truth</x:v>
      </x:c>
    </x:row>
    <x:row r="6">
      <x:c r="A6" s="49" t="str">
        <x:v>RUN-IMO-104-20260902T070559844193Z</x:v>
      </x:c>
      <x:c r="B6" s="49" t="str">
        <x:v>IMO-104</x:v>
      </x:c>
      <x:c r="C6" s="49" t="str">
        <x:v>FS-BOOL-02</x:v>
      </x:c>
      <x:c r="D6" s="49" t="str">
        <x:v>boolean_state</x:v>
      </x:c>
      <x:c r="E6" s="93" t="n">
        <x:v>0.075</x:v>
      </x:c>
      <x:c r="F6" s="49" t="str">
        <x:v>boolean | required | value</x:v>
      </x:c>
      <x:c r="G6" s="49" t="str">
        <x:v>synthetic-few-shot-not-benchmark-ground-truth</x:v>
      </x:c>
    </x:row>
  </x:sheetData>
  <x:conditionalFormatting sqref="G5:G6">
    <x:cfRule type="containsText" dxfId="36" priority="1" operator="containsText" text="ACCEPT"/>
    <x:cfRule type="containsText" dxfId="37" priority="2" operator="containsText" text="ELIGIBLE"/>
    <x:cfRule type="containsText" dxfId="38" priority="3" operator="containsText" text="PASS"/>
    <x:cfRule type="containsText" dxfId="39" priority="4" operator="containsText" text="GAP"/>
    <x:cfRule type="containsText" dxfId="40" priority="5" operator="containsText" text="FAIL"/>
    <x:cfRule type="containsText" dxfId="41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e2c72aa829764131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1" hidden="0" customWidth="1"/>
    <x:col min="5" max="5" width="18" hidden="0" customWidth="1"/>
    <x:col min="6" max="6" width="14" hidden="0" customWidth="1"/>
    <x:col min="7" max="7" width="23" hidden="0" customWidth="1"/>
    <x:col min="8" max="8" width="18" hidden="0" customWidth="1"/>
    <x:col min="9" max="9" width="18" hidden="0" customWidth="1"/>
    <x:col min="10" max="10" width="21" hidden="0" customWidth="1"/>
    <x:col min="11" max="11" width="20" hidden="0" customWidth="1"/>
    <x:col min="12" max="12" width="52" hidden="0" customWidth="1"/>
    <x:col min="13" max="13" width="20" hidden="0" customWidth="1"/>
    <x:col min="14" max="14" width="52" hidden="0" customWidth="1"/>
    <x:col min="15" max="15" width="20" hidden="0" customWidth="1"/>
    <x:col min="16" max="16" width="20" hidden="0" customWidth="1"/>
    <x:col min="17" max="17" width="26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</x:row>
    <x:row r="2">
      <x:c r="A2" s="20" t="str">
        <x:v>VALIDATION | Run folder: RUN-IMO-104-20260902T070559844193Z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VALID</x:v>
      </x:c>
      <x:c r="E4" s="57" t="str">
        <x:v>EXTRACTION_VALID</x:v>
      </x:c>
      <x:c r="F4" s="57" t="str">
        <x:v>TURTLE_VALID</x:v>
      </x:c>
      <x:c r="G4" s="57" t="str">
        <x:v>SHACL_STRUCTURE_VALID</x:v>
      </x:c>
      <x:c r="H4" s="57" t="str">
        <x:v>META_SHACL_VALID</x:v>
      </x:c>
      <x:c r="I4" s="57" t="str">
        <x:v>VOCABULARY_VALID</x:v>
      </x:c>
      <x:c r="J4" s="57" t="str">
        <x:v>DATATYPE_UNIT_VALID</x:v>
      </x:c>
      <x:c r="K4" s="57" t="str">
        <x:v>TARGET_PATH_VALID</x:v>
      </x:c>
      <x:c r="L4" s="57" t="str">
        <x:v>ERRORS</x:v>
      </x:c>
      <x:c r="M4" s="57" t="str">
        <x:v>WARNINGS</x:v>
      </x:c>
      <x:c r="N4" s="57" t="str">
        <x:v>USED_CANONICAL_IRIS</x:v>
      </x:c>
      <x:c r="O4" s="57" t="str">
        <x:v>UNKNOWN_IRIS</x:v>
      </x:c>
      <x:c r="P4" s="57" t="str">
        <x:v>OUT_OF_SCOPE_IRIS</x:v>
      </x:c>
      <x:c r="Q4" s="44" t="str">
        <x:v>SUSPICIOUS_EXTERNAL_IRIS</x:v>
      </x:c>
    </x:row>
    <x:row r="5">
      <x:c r="A5" s="69" t="str">
        <x:v>RUN-IMO-104-20260902T070559844193Z</x:v>
      </x:c>
      <x:c r="B5" s="69" t="str">
        <x:v>IMO-104</x:v>
      </x:c>
      <x:c r="C5" s="71" t="n">
        <x:v>1</x:v>
      </x:c>
      <x:c r="D5" s="72" t="b">
        <x:v>0</x:v>
      </x:c>
      <x:c r="E5" s="72" t="b">
        <x:v>1</x:v>
      </x:c>
      <x:c r="F5" s="72" t="b">
        <x:v>1</x:v>
      </x:c>
      <x:c r="G5" s="72" t="b">
        <x:v>1</x:v>
      </x:c>
      <x:c r="H5" s="72" t="b">
        <x:v>1</x:v>
      </x:c>
      <x:c r="I5" s="72" t="b">
        <x:v>1</x:v>
      </x:c>
      <x:c r="J5" s="72" t="b">
        <x:v>1</x:v>
      </x:c>
      <x:c r="K5" s="95" t="b">
        <x:v>1</x:v>
      </x:c>
      <x:c r="L5" s="73" t="str">
        <x:v>COMPLETE dependency relationship(s) absent from candidate: hasCrewMember</x:v>
      </x:c>
      <x:c r="M5" s="73" t="str"/>
      <x:c r="N5" s="73" t="str">
        <x:v>https://w3id.org/nltl/vocab#assignedDuty | https://w3id.org/nltl/vocab#crewMember | https://w3id.org/nltl/vocab#familiarizationRecord | https://w3id.org/nltl/vocab#familiarizationRecordItem | https://w3id.org/nltl/vocab#hasAssignedDuty | https://w3id.org/nltl/vocab#hasCrewMemberInventory | https://w3id.org/nltl/vocab#hasFamiliarizationRecord | https://w3id.org/nltl/vocab#hasRelevantPolarWaterOperationalManualItem | https://w3id.org/nltl/vocab#polarWaterOperationalManualFamiliarizationStatus | https://w3id.org/nltl/vocab#polarWaterOperationalManualItem | https://w3id.org/nltl/vocab#ship</x:v>
      </x:c>
      <x:c r="O5" s="73" t="str"/>
      <x:c r="P5" s="73" t="str"/>
      <x:c r="Q5" s="73" t="str"/>
    </x:row>
  </x:sheetData>
  <x:pageMargins left="0.7" right="0.7" top="0.75" bottom="0.75" header="0.3" footer="0.3"/>
  <x:tableParts count="1">
    <x:tablePart xmlns:r="http://schemas.openxmlformats.org/officeDocument/2006/relationships" r:id="R7ce3e31164224b2b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VOCAB_MATCHES | Run folder: RUN-IMO-104-20260902T070559844193Z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EVENT</x:v>
      </x:c>
      <x:c r="E4" s="57" t="str">
        <x:v>QUERY_FEEDBACK</x:v>
      </x:c>
      <x:c r="F4" s="57" t="str">
        <x:v>CANDIDATE_COUNT</x:v>
      </x:c>
      <x:c r="G4" s="57" t="str">
        <x:v>MATCH_FOUND</x:v>
      </x:c>
      <x:c r="H4" s="57" t="str">
        <x:v>CANONICAL_LOCAL_NAME</x:v>
      </x:c>
      <x:c r="I4" s="57" t="str">
        <x:v>CANONICAL_IRI</x:v>
      </x:c>
      <x:c r="J4" s="44" t="str">
        <x:v>FEEDBACK_APPENDIX</x:v>
      </x:c>
    </x:row>
    <x:row r="5">
      <x:c r="A5" s="97" t="str">
        <x:v>No records for this run.</x:v>
      </x:c>
      <x:c r="B5" s="21"/>
      <x:c r="C5" s="21"/>
      <x:c r="D5" s="21"/>
      <x:c r="E5" s="21"/>
      <x:c r="F5" s="21"/>
      <x:c r="G5" s="21"/>
      <x:c r="H5" s="21"/>
      <x:c r="I5" s="21"/>
      <x:c r="J5" s="21"/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8" hidden="0" customWidth="1"/>
    <x:col min="5" max="5" width="52" hidden="0" customWidth="1"/>
    <x:col min="6" max="6" width="36" hidden="0" customWidth="1"/>
    <x:col min="7" max="7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ARTIFACTS | Run folder: RUN-IMO-104-20260902T070559844193Z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ARTIFACT_TYPE</x:v>
      </x:c>
      <x:c r="E4" s="57" t="str">
        <x:v>ARTIFACT_PATH</x:v>
      </x:c>
      <x:c r="F4" s="57" t="str">
        <x:v>SHA256</x:v>
      </x:c>
      <x:c r="G4" s="44" t="str">
        <x:v>BYTES</x:v>
      </x:c>
    </x:row>
    <x:row r="5">
      <x:c r="A5" s="45" t="str">
        <x:v>RUN-IMO-104-20260902T070559844193Z</x:v>
      </x:c>
      <x:c r="B5" s="45" t="str">
        <x:v>IMO-104</x:v>
      </x:c>
      <x:c r="C5" s="58"/>
      <x:c r="D5" s="45" t="str">
        <x:v>initial_context_pack</x:v>
      </x:c>
      <x:c r="E5" s="46" t="str">
        <x:v>artifacts/context_pack_initial.json</x:v>
      </x:c>
      <x:c r="F5" s="45" t="str">
        <x:v>f3adcb739fe22c08df22c9ba8f7c25fb615bb47f0e9bf9938a49ec6c5646e85d</x:v>
      </x:c>
      <x:c r="G5" s="58" t="n">
        <x:v>24378</x:v>
      </x:c>
    </x:row>
    <x:row r="6">
      <x:c r="A6" s="47" t="str">
        <x:v>RUN-IMO-104-20260902T070559844193Z</x:v>
      </x:c>
      <x:c r="B6" s="47" t="str">
        <x:v>IMO-104</x:v>
      </x:c>
      <x:c r="C6" s="59"/>
      <x:c r="D6" s="47" t="str">
        <x:v>few_shot_selection</x:v>
      </x:c>
      <x:c r="E6" s="48" t="str">
        <x:v>artifacts/few_shots_selected.json</x:v>
      </x:c>
      <x:c r="F6" s="47" t="str">
        <x:v>4032ef4975996b3439b565ad26df86135ecd385713565da1e7ac0d26ad7e6a26</x:v>
      </x:c>
      <x:c r="G6" s="59" t="n">
        <x:v>3104</x:v>
      </x:c>
    </x:row>
    <x:row r="7">
      <x:c r="A7" s="47" t="str">
        <x:v>RUN-IMO-104-20260902T070559844193Z</x:v>
      </x:c>
      <x:c r="B7" s="47" t="str">
        <x:v>IMO-104</x:v>
      </x:c>
      <x:c r="C7" s="59" t="n">
        <x:v>1</x:v>
      </x:c>
      <x:c r="D7" s="47" t="str">
        <x:v>generator_prompt</x:v>
      </x:c>
      <x:c r="E7" s="48" t="str">
        <x:v>artifacts/attempt_01/generator_prompt.txt</x:v>
      </x:c>
      <x:c r="F7" s="47" t="str">
        <x:v>74cfa6b0e27bdf2f0a538308a41a9190d50b6074487f3d2240ebacef4d4a83bb</x:v>
      </x:c>
      <x:c r="G7" s="59" t="n">
        <x:v>38996</x:v>
      </x:c>
    </x:row>
    <x:row r="8">
      <x:c r="A8" s="47" t="str">
        <x:v>RUN-IMO-104-20260902T070559844193Z</x:v>
      </x:c>
      <x:c r="B8" s="47" t="str">
        <x:v>IMO-104</x:v>
      </x:c>
      <x:c r="C8" s="59" t="n">
        <x:v>1</x:v>
      </x:c>
      <x:c r="D8" s="47" t="str">
        <x:v>generator_raw_response</x:v>
      </x:c>
      <x:c r="E8" s="48" t="str">
        <x:v>artifacts/attempt_01/generator_raw.txt</x:v>
      </x:c>
      <x:c r="F8" s="47" t="str">
        <x:v>44fe75c08f76266c2cca4dea334b1e06369e902942d139d53202e38ab6d902aa</x:v>
      </x:c>
      <x:c r="G8" s="59" t="n">
        <x:v>2814</x:v>
      </x:c>
    </x:row>
    <x:row r="9">
      <x:c r="A9" s="47" t="str">
        <x:v>RUN-IMO-104-20260902T070559844193Z</x:v>
      </x:c>
      <x:c r="B9" s="47" t="str">
        <x:v>IMO-104</x:v>
      </x:c>
      <x:c r="C9" s="59" t="n">
        <x:v>1</x:v>
      </x:c>
      <x:c r="D9" s="47" t="str">
        <x:v>no_semantic_validator_candidate_shape</x:v>
      </x:c>
      <x:c r="E9" s="48" t="str">
        <x:v>artifacts/attempt_01/candidate_shape.ttl</x:v>
      </x:c>
      <x:c r="F9" s="47" t="str">
        <x:v>4960f6cc87085e5da437cf7323aa62930ce262b8bab8eb7bbb9b050110ae0ab8</x:v>
      </x:c>
      <x:c r="G9" s="59" t="n">
        <x:v>2789</x:v>
      </x:c>
    </x:row>
    <x:row r="10">
      <x:c r="A10" s="49" t="str">
        <x:v>RUN-IMO-104-20260902T070559844193Z</x:v>
      </x:c>
      <x:c r="B10" s="49" t="str">
        <x:v>IMO-104</x:v>
      </x:c>
      <x:c r="C10" s="60" t="n">
        <x:v>1</x:v>
      </x:c>
      <x:c r="D10" s="49" t="str">
        <x:v>no_semantic_validator_diagnostics</x:v>
      </x:c>
      <x:c r="E10" s="50" t="str">
        <x:v>artifacts/attempt_01/no_semantic_validator_diagnostics.json</x:v>
      </x:c>
      <x:c r="F10" s="49" t="str">
        <x:v>27f170b95ae6409581c070e3fcbbb2f03fa4a35796f7886c0e277481bbf2ec3f</x:v>
      </x:c>
      <x:c r="G10" s="60" t="n">
        <x:v>1559</x:v>
      </x:c>
    </x:row>
  </x:sheetData>
  <x:pageMargins left="0.7" right="0.7" top="0.75" bottom="0.75" header="0.3" footer="0.3"/>
  <x:tableParts count="1">
    <x:tablePart xmlns:r="http://schemas.openxmlformats.org/officeDocument/2006/relationships" r:id="R64f64e611295481b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UNRESOLVED | Run folder: RUN-IMO-104-20260902T070559844193Z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ISSUE_TYPE</x:v>
      </x:c>
      <x:c r="E4" s="57" t="str">
        <x:v>DETAIL</x:v>
      </x:c>
      <x:c r="F4" s="44" t="str">
        <x:v>STATUS</x:v>
      </x:c>
    </x:row>
    <x:row r="5">
      <x:c r="A5" s="97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RDF_TEST_QUEUE | Run folder: RUN-IMO-104-20260902T070559844193Z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FINAL_SHAPE</x:v>
      </x:c>
      <x:c r="D4" s="57" t="str">
        <x:v>GENERATION_STATUS</x:v>
      </x:c>
      <x:c r="E4" s="57" t="str">
        <x:v>RDF_EVALUATION_STATUS</x:v>
      </x:c>
      <x:c r="F4" s="44" t="str">
        <x:v>NOTES</x:v>
      </x:c>
    </x:row>
    <x:row r="5">
      <x:c r="A5" s="97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