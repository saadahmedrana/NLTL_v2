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05b8e666a5460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65cb4830285442d"/>
    <x:sheet xmlns:r="http://schemas.openxmlformats.org/officeDocument/2006/relationships" name="README" sheetId="2" r:id="R73ad72a6da9b4c9f"/>
    <x:sheet xmlns:r="http://schemas.openxmlformats.org/officeDocument/2006/relationships" name="REGULATION_QUEUE" sheetId="3" r:id="R0a082794134147f7"/>
    <x:sheet xmlns:r="http://schemas.openxmlformats.org/officeDocument/2006/relationships" name="RUNS" sheetId="4" r:id="Rc14d7aa8304249fd"/>
    <x:sheet xmlns:r="http://schemas.openxmlformats.org/officeDocument/2006/relationships" name="ITERATIONS" sheetId="5" r:id="Ra58024830d434351"/>
    <x:sheet xmlns:r="http://schemas.openxmlformats.org/officeDocument/2006/relationships" name="API_CALLS" sheetId="6" r:id="R59483e6cb1da4524"/>
    <x:sheet xmlns:r="http://schemas.openxmlformats.org/officeDocument/2006/relationships" name="TERM_RETRIEVAL" sheetId="7" r:id="Rdae36ed6cbbf4155"/>
    <x:sheet xmlns:r="http://schemas.openxmlformats.org/officeDocument/2006/relationships" name="FEW_SHOT_SELECTION" sheetId="8" r:id="R452f49f50bec46d3"/>
    <x:sheet xmlns:r="http://schemas.openxmlformats.org/officeDocument/2006/relationships" name="VALIDATION" sheetId="9" r:id="R106161ebce484d1c"/>
    <x:sheet xmlns:r="http://schemas.openxmlformats.org/officeDocument/2006/relationships" name="VOCAB_MATCHES" sheetId="10" r:id="R47418a69c03b4886"/>
    <x:sheet xmlns:r="http://schemas.openxmlformats.org/officeDocument/2006/relationships" name="ARTIFACTS" sheetId="11" r:id="R4787e028b9d347b3"/>
    <x:sheet xmlns:r="http://schemas.openxmlformats.org/officeDocument/2006/relationships" name="UNRESOLVED" sheetId="12" r:id="Rba2118b0893f4bc9"/>
    <x:sheet xmlns:r="http://schemas.openxmlformats.org/officeDocument/2006/relationships" name="RDF_TEST_QUEUE" sheetId="13" r:id="Re9efd714c1f643b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62d61fbe2054a9f" /><Relationship Type="http://schemas.openxmlformats.org/officeDocument/2006/relationships/theme" Target="/xl/theme/theme1.xml" Id="Rc21532c032ac4668" /><Relationship Type="http://schemas.microsoft.com/office/2022/11/relationships/FeaturePropertyBag" Target="/xl/featurePropertyBag/featurePropertyBag.xml" Id="R788819ed2a094497" /><Relationship Type="http://schemas.openxmlformats.org/officeDocument/2006/relationships/sharedStrings" Target="/xl/sharedStrings.xml" Id="Re47f6aeeb4514e87" /><Relationship Type="http://schemas.openxmlformats.org/officeDocument/2006/relationships/worksheet" Target="/xl/worksheets/sheet1.xml" Id="R665cb4830285442d" /><Relationship Type="http://schemas.openxmlformats.org/officeDocument/2006/relationships/worksheet" Target="/xl/worksheets/sheet2.xml" Id="R73ad72a6da9b4c9f" /><Relationship Type="http://schemas.openxmlformats.org/officeDocument/2006/relationships/worksheet" Target="/xl/worksheets/sheet3.xml" Id="R0a082794134147f7" /><Relationship Type="http://schemas.openxmlformats.org/officeDocument/2006/relationships/worksheet" Target="/xl/worksheets/sheet4.xml" Id="Rc14d7aa8304249fd" /><Relationship Type="http://schemas.openxmlformats.org/officeDocument/2006/relationships/worksheet" Target="/xl/worksheets/sheet5.xml" Id="Ra58024830d434351" /><Relationship Type="http://schemas.openxmlformats.org/officeDocument/2006/relationships/worksheet" Target="/xl/worksheets/sheet6.xml" Id="R59483e6cb1da4524" /><Relationship Type="http://schemas.openxmlformats.org/officeDocument/2006/relationships/worksheet" Target="/xl/worksheets/sheet7.xml" Id="Rdae36ed6cbbf4155" /><Relationship Type="http://schemas.openxmlformats.org/officeDocument/2006/relationships/worksheet" Target="/xl/worksheets/sheet8.xml" Id="R452f49f50bec46d3" /><Relationship Type="http://schemas.openxmlformats.org/officeDocument/2006/relationships/worksheet" Target="/xl/worksheets/sheet9.xml" Id="R106161ebce484d1c" /><Relationship Type="http://schemas.openxmlformats.org/officeDocument/2006/relationships/worksheet" Target="/xl/worksheets/sheet10.xml" Id="R47418a69c03b4886" /><Relationship Type="http://schemas.openxmlformats.org/officeDocument/2006/relationships/worksheet" Target="/xl/worksheets/sheet11.xml" Id="R4787e028b9d347b3" /><Relationship Type="http://schemas.openxmlformats.org/officeDocument/2006/relationships/worksheet" Target="/xl/worksheets/sheet12.xml" Id="Rba2118b0893f4bc9" /><Relationship Type="http://schemas.openxmlformats.org/officeDocument/2006/relationships/worksheet" Target="/xl/worksheets/sheet13.xml" Id="Re9efd714c1f643b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f64c700b49b43f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633b2f7d390407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6e99c0a14c9408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5938bd146ad4bc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cbd47ef2fa64e9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cb2a65e1a6f4fc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939b0d1b685426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0f41a0e03f443b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f24033b5dbd486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RUN-IMO-033-20260902T085306679798Z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26556.002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RUN-IMO-033-20260902T085306679798Z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f64c700b49b43f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RUN-IMO-033-20260902T085306679798Z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NO_SEMANTIC_VALIDATOR_DETERMINISTIC_PASS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633b2f7d390407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RUN-IMO-033-20260902T085306679798Z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SESSION-NO-SEMANTIC-VALIDATOR-BATCH-20260902T082029491975Z</x:v>
      </x:c>
      <x:c r="B5" s="69" t="str">
        <x:v>RUN-IMO-033-20260902T085306679798Z</x:v>
      </x:c>
      <x:c r="C5" s="69" t="str">
        <x:v>IMO-033</x:v>
      </x:c>
      <x:c r="D5" s="70" t="n">
        <x:v>46267.3702162037</x:v>
      </x:c>
      <x:c r="E5" s="70" t="n">
        <x:v>46267.37052621528</x:v>
      </x:c>
      <x:c r="F5" s="69" t="str">
        <x:v>luna-no-semantic-validator-run07-v1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6e99c0a14c9408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RUN-IMO-033-20260902T085306679798Z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RUN-IMO-033-20260902T085306679798Z</x:v>
      </x:c>
      <x:c r="B5" s="69" t="str">
        <x:v>IMO-033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26556.785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5938bd146ad4bc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RUN-IMO-033-20260902T085306679798Z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RUN-IMO-033-20260902T085306679798Z</x:v>
      </x:c>
      <x:c r="C5" s="45" t="str">
        <x:v>IMO-033</x:v>
      </x:c>
      <x:c r="D5" s="84" t="n">
        <x:v>46267.37052357639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26555.219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EVT-000018</x:v>
      </x:c>
      <x:c r="B6" s="49" t="str">
        <x:v>RUN-IMO-033-20260902T085306679798Z</x:v>
      </x:c>
      <x:c r="C6" s="49" t="str">
        <x:v>IMO-033</x:v>
      </x:c>
      <x:c r="D6" s="87" t="n">
        <x:v>46267.37052358796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26556.785</x:v>
      </x:c>
      <x:c r="L6" s="89" t="b">
        <x:v>0</x:v>
      </x:c>
      <x:c r="M6" s="49" t="str">
        <x:v>resp_0ed71a2b3a81bba2006a97e3f4ceb08194861a533c0dacfd9e</x:v>
      </x:c>
      <x:c r="N6" s="60" t="n">
        <x:v>8353</x:v>
      </x:c>
      <x:c r="O6" s="60" t="n">
        <x:v>1968</x:v>
      </x:c>
      <x:c r="P6" s="60" t="n">
        <x:v>10321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cbd47ef2fa64e9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RUN-IMO-033-20260902T085306679798Z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RUN-IMO-033-20260902T085306679798Z</x:v>
      </x:c>
      <x:c r="B5" s="45" t="str">
        <x:v>IMO-033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continuousSurfaceProjectedArea; domain dependency of continuousSurfaceStaticMoment; domain dependency of deckIcingAllowance; domain dependency of discontinuousSurfaceProjectedArea; domain dependency of discontinuousSurfaceStaticMoment; domain dependency of iceAccretionLikely; domain dependency of sideIcingAllowance</x:v>
      </x:c>
      <x:c r="J5" s="45" t="n">
        <x:v>0</x:v>
      </x:c>
    </x:row>
    <x:row r="6">
      <x:c r="A6" s="47" t="str">
        <x:v>RUN-IMO-033-20260902T085306679798Z</x:v>
      </x:c>
      <x:c r="B6" s="47" t="str">
        <x:v>IMO-033</x:v>
      </x:c>
      <x:c r="C6" s="47" t="str">
        <x:v>continuousSurfaceProjectedArea</x:v>
      </x:c>
      <x:c r="D6" s="48" t="str">
        <x:v>https://w3id.org/nltl/vocab#continuousSurfaceProjectedArea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http://qudt.org/vocab/unit/M2</x:v>
      </x:c>
      <x:c r="I6" s="48" t="str">
        <x:v>linked by the locked 313-requirement index</x:v>
      </x:c>
      <x:c r="J6" s="47" t="n">
        <x:v>0</x:v>
      </x:c>
    </x:row>
    <x:row r="7">
      <x:c r="A7" s="47" t="str">
        <x:v>RUN-IMO-033-20260902T085306679798Z</x:v>
      </x:c>
      <x:c r="B7" s="47" t="str">
        <x:v>IMO-033</x:v>
      </x:c>
      <x:c r="C7" s="47" t="str">
        <x:v>continuousSurfaceStaticMoment</x:v>
      </x:c>
      <x:c r="D7" s="48" t="str">
        <x:v>https://w3id.org/nltl/vocab#continuousSurfaceStaticMoment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http://qudt.org/vocab/unit/KiloN-M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RUN-IMO-033-20260902T085306679798Z</x:v>
      </x:c>
      <x:c r="B8" s="47" t="str">
        <x:v>IMO-033</x:v>
      </x:c>
      <x:c r="C8" s="47" t="str">
        <x:v>deckIcingAllowance</x:v>
      </x:c>
      <x:c r="D8" s="48" t="str">
        <x:v>https://w3id.org/nltl/vocab#deckIcingAllowance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http://qudt.org/vocab/unit/KiloGM-PER-M2</x:v>
      </x:c>
      <x:c r="I8" s="48" t="str">
        <x:v>linked by the locked 313-requirement index</x:v>
      </x:c>
      <x:c r="J8" s="47" t="n">
        <x:v>0</x:v>
      </x:c>
    </x:row>
    <x:row r="9">
      <x:c r="A9" s="47" t="str">
        <x:v>RUN-IMO-033-20260902T085306679798Z</x:v>
      </x:c>
      <x:c r="B9" s="47" t="str">
        <x:v>IMO-033</x:v>
      </x:c>
      <x:c r="C9" s="47" t="str">
        <x:v>discontinuousSurfaceProjectedArea</x:v>
      </x:c>
      <x:c r="D9" s="48" t="str">
        <x:v>https://w3id.org/nltl/vocab#discontinuousSurfaceProjectedArea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http://qudt.org/vocab/unit/M2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RUN-IMO-033-20260902T085306679798Z</x:v>
      </x:c>
      <x:c r="B10" s="47" t="str">
        <x:v>IMO-033</x:v>
      </x:c>
      <x:c r="C10" s="47" t="str">
        <x:v>discontinuousSurfaceStaticMoment</x:v>
      </x:c>
      <x:c r="D10" s="48" t="str">
        <x:v>https://w3id.org/nltl/vocab#discontinuousSurfaceStaticMoment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http://qudt.org/vocab/unit/KiloN-M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RUN-IMO-033-20260902T085306679798Z</x:v>
      </x:c>
      <x:c r="B11" s="47" t="str">
        <x:v>IMO-033</x:v>
      </x:c>
      <x:c r="C11" s="47" t="str">
        <x:v>iceAccretionLikely</x:v>
      </x:c>
      <x:c r="D11" s="48" t="str">
        <x:v>https://w3id.org/nltl/vocab#iceAccretionLikely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RUN-IMO-033-20260902T085306679798Z</x:v>
      </x:c>
      <x:c r="B12" s="47" t="str">
        <x:v>IMO-033</x:v>
      </x:c>
      <x:c r="C12" s="47" t="str">
        <x:v>ship</x:v>
      </x:c>
      <x:c r="D12" s="48" t="str">
        <x:v>https://w3id.org/nltl/vocab#ship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</x:v>
      </x:c>
      <x:c r="J12" s="47" t="n">
        <x:v>0</x:v>
      </x:c>
    </x:row>
    <x:row r="13">
      <x:c r="A13" s="49" t="str">
        <x:v>RUN-IMO-033-20260902T085306679798Z</x:v>
      </x:c>
      <x:c r="B13" s="49" t="str">
        <x:v>IMO-033</x:v>
      </x:c>
      <x:c r="C13" s="49" t="str">
        <x:v>sideIcingAllowance</x:v>
      </x:c>
      <x:c r="D13" s="50" t="str">
        <x:v>https://w3id.org/nltl/vocab#sideIcingAllowance</x:v>
      </x:c>
      <x:c r="E13" s="49" t="str">
        <x:v>QuantityProperty</x:v>
      </x:c>
      <x:c r="F13" s="49" t="str"/>
      <x:c r="G13" s="49" t="str">
        <x:v>http://qudt.org/schema/qudt/QuantityValue</x:v>
      </x:c>
      <x:c r="H13" s="49" t="str">
        <x:v>http://qudt.org/vocab/unit/KiloGM-PER-M2</x:v>
      </x:c>
      <x:c r="I13" s="50" t="str">
        <x:v>linked by the locked 313-requirement index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cb2a65e1a6f4fc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RUN-IMO-033-20260902T085306679798Z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RUN-IMO-033-20260902T085306679798Z</x:v>
      </x:c>
      <x:c r="B5" s="45" t="str">
        <x:v>IMO-033</x:v>
      </x:c>
      <x:c r="C5" s="45" t="str">
        <x:v>FS-CALC-02</x:v>
      </x:c>
      <x:c r="D5" s="45" t="str">
        <x:v>comparison_calculation</x:v>
      </x:c>
      <x:c r="E5" s="92" t="n">
        <x:v>0.042105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RUN-IMO-033-20260902T085306679798Z</x:v>
      </x:c>
      <x:c r="B6" s="49" t="str">
        <x:v>IMO-033</x:v>
      </x:c>
      <x:c r="C6" s="49" t="str">
        <x:v>FS-INT-02</x:v>
      </x:c>
      <x:c r="D6" s="49" t="str">
        <x:v>conditional_integrated</x:v>
      </x:c>
      <x:c r="E6" s="93" t="n">
        <x:v>0.041237</x:v>
      </x:c>
      <x:c r="F6" s="49" t="str">
        <x:v>boolean | conditional | quantity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939b0d1b685426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RUN-IMO-033-20260902T085306679798Z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RUN-IMO-033-20260902T085306679798Z</x:v>
      </x:c>
      <x:c r="B5" s="69" t="str">
        <x:v>IMO-033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https://w3id.org/nltl/vocab#continuousSurfaceProjectedArea | https://w3id.org/nltl/vocab#continuousSurfaceStaticMoment | https://w3id.org/nltl/vocab#deckIcingAllowance | https://w3id.org/nltl/vocab#discontinuousSurfaceProjectedArea | https://w3id.org/nltl/vocab#discontinuousSurfaceStaticMoment | https://w3id.org/nltl/vocab#iceAccretionLikely | https://w3id.org/nltl/vocab#ship | https://w3id.org/nltl/vocab#sideIcingAllowance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0f41a0e03f443b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RUN-IMO-033-20260902T085306679798Z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RUN-IMO-033-20260902T085306679798Z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RUN-IMO-033-20260902T085306679798Z</x:v>
      </x:c>
      <x:c r="B5" s="45" t="str">
        <x:v>IMO-033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d971c157cd4415802de383371ab742a96afbee06509c7a165684c6bdc141dd04</x:v>
      </x:c>
      <x:c r="G5" s="58" t="n">
        <x:v>15184</x:v>
      </x:c>
    </x:row>
    <x:row r="6">
      <x:c r="A6" s="47" t="str">
        <x:v>RUN-IMO-033-20260902T085306679798Z</x:v>
      </x:c>
      <x:c r="B6" s="47" t="str">
        <x:v>IMO-033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be906fbb463eb69014efa6c7272b546226a6169475897dc3e0e2fe7aa460a98c</x:v>
      </x:c>
      <x:c r="G6" s="59" t="n">
        <x:v>7729</x:v>
      </x:c>
    </x:row>
    <x:row r="7">
      <x:c r="A7" s="47" t="str">
        <x:v>RUN-IMO-033-20260902T085306679798Z</x:v>
      </x:c>
      <x:c r="B7" s="47" t="str">
        <x:v>IMO-033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dcc112f7c7234f5091603ba9239200b0486528abf0493716189c790cf73a5358</x:v>
      </x:c>
      <x:c r="G7" s="59" t="n">
        <x:v>34567</x:v>
      </x:c>
    </x:row>
    <x:row r="8">
      <x:c r="A8" s="47" t="str">
        <x:v>RUN-IMO-033-20260902T085306679798Z</x:v>
      </x:c>
      <x:c r="B8" s="47" t="str">
        <x:v>IMO-033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8f029ab060130d9c7250e4a22bc3be11851468960dda5c505562e2a73689d555</x:v>
      </x:c>
      <x:c r="G8" s="59" t="n">
        <x:v>7207</x:v>
      </x:c>
    </x:row>
    <x:row r="9">
      <x:c r="A9" s="47" t="str">
        <x:v>RUN-IMO-033-20260902T085306679798Z</x:v>
      </x:c>
      <x:c r="B9" s="47" t="str">
        <x:v>IMO-033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d7954ae55dee9cdd5fbf5c51bfcc919a2b9561b7bea6d50db79c8f46e5712909</x:v>
      </x:c>
      <x:c r="G9" s="59" t="n">
        <x:v>7182</x:v>
      </x:c>
    </x:row>
    <x:row r="10">
      <x:c r="A10" s="49" t="str">
        <x:v>RUN-IMO-033-20260902T085306679798Z</x:v>
      </x:c>
      <x:c r="B10" s="49" t="str">
        <x:v>IMO-033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833741693625cecbc9f90bd7901fdad3cf4f497e1fb5e2b9b7b1c860ca8d0ed9</x:v>
      </x:c>
      <x:c r="G10" s="60" t="n">
        <x:v>1286</x:v>
      </x:c>
    </x:row>
  </x:sheetData>
  <x:pageMargins left="0.7" right="0.7" top="0.75" bottom="0.75" header="0.3" footer="0.3"/>
  <x:tableParts count="1">
    <x:tablePart xmlns:r="http://schemas.openxmlformats.org/officeDocument/2006/relationships" r:id="R8f24033b5dbd486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RUN-IMO-033-20260902T085306679798Z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RUN-IMO-033-20260902T085306679798Z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