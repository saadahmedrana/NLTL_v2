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495bb4087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a2e18c3cbf4f6b"/>
    <x:sheet xmlns:r="http://schemas.openxmlformats.org/officeDocument/2006/relationships" name="README" sheetId="2" r:id="R75817f4877f7420c"/>
    <x:sheet xmlns:r="http://schemas.openxmlformats.org/officeDocument/2006/relationships" name="REGULATION_QUEUE" sheetId="3" r:id="Ra5118dd524054bb4"/>
    <x:sheet xmlns:r="http://schemas.openxmlformats.org/officeDocument/2006/relationships" name="RUNS" sheetId="4" r:id="R524cf147f4d74ade"/>
    <x:sheet xmlns:r="http://schemas.openxmlformats.org/officeDocument/2006/relationships" name="ITERATIONS" sheetId="5" r:id="R5b03a57317334dcd"/>
    <x:sheet xmlns:r="http://schemas.openxmlformats.org/officeDocument/2006/relationships" name="API_CALLS" sheetId="6" r:id="R28bfdf7cc02d4514"/>
    <x:sheet xmlns:r="http://schemas.openxmlformats.org/officeDocument/2006/relationships" name="TERM_RETRIEVAL" sheetId="7" r:id="R2e0dcf8fe3dc4e4a"/>
    <x:sheet xmlns:r="http://schemas.openxmlformats.org/officeDocument/2006/relationships" name="FEW_SHOT_SELECTION" sheetId="8" r:id="Ra7703e4e74254d2f"/>
    <x:sheet xmlns:r="http://schemas.openxmlformats.org/officeDocument/2006/relationships" name="VALIDATION" sheetId="9" r:id="Rddb748efec794ccf"/>
    <x:sheet xmlns:r="http://schemas.openxmlformats.org/officeDocument/2006/relationships" name="VOCAB_MATCHES" sheetId="10" r:id="Reb448ce7cff84286"/>
    <x:sheet xmlns:r="http://schemas.openxmlformats.org/officeDocument/2006/relationships" name="ARTIFACTS" sheetId="11" r:id="Re31f8b407d754d2e"/>
    <x:sheet xmlns:r="http://schemas.openxmlformats.org/officeDocument/2006/relationships" name="UNRESOLVED" sheetId="12" r:id="R63d9b818522f4ccf"/>
    <x:sheet xmlns:r="http://schemas.openxmlformats.org/officeDocument/2006/relationships" name="RDF_TEST_QUEUE" sheetId="13" r:id="Rfcb89eaa6047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de997d71254fa6" /><Relationship Type="http://schemas.openxmlformats.org/officeDocument/2006/relationships/theme" Target="/xl/theme/theme1.xml" Id="R5a82e67666824276" /><Relationship Type="http://schemas.microsoft.com/office/2022/11/relationships/FeaturePropertyBag" Target="/xl/featurePropertyBag/featurePropertyBag.xml" Id="R0df72c9372b14c32" /><Relationship Type="http://schemas.openxmlformats.org/officeDocument/2006/relationships/sharedStrings" Target="/xl/sharedStrings.xml" Id="Re4a34d84ff404f47" /><Relationship Type="http://schemas.openxmlformats.org/officeDocument/2006/relationships/worksheet" Target="/xl/worksheets/sheet1.xml" Id="R4aa2e18c3cbf4f6b" /><Relationship Type="http://schemas.openxmlformats.org/officeDocument/2006/relationships/worksheet" Target="/xl/worksheets/sheet2.xml" Id="R75817f4877f7420c" /><Relationship Type="http://schemas.openxmlformats.org/officeDocument/2006/relationships/worksheet" Target="/xl/worksheets/sheet3.xml" Id="Ra5118dd524054bb4" /><Relationship Type="http://schemas.openxmlformats.org/officeDocument/2006/relationships/worksheet" Target="/xl/worksheets/sheet4.xml" Id="R524cf147f4d74ade" /><Relationship Type="http://schemas.openxmlformats.org/officeDocument/2006/relationships/worksheet" Target="/xl/worksheets/sheet5.xml" Id="R5b03a57317334dcd" /><Relationship Type="http://schemas.openxmlformats.org/officeDocument/2006/relationships/worksheet" Target="/xl/worksheets/sheet6.xml" Id="R28bfdf7cc02d4514" /><Relationship Type="http://schemas.openxmlformats.org/officeDocument/2006/relationships/worksheet" Target="/xl/worksheets/sheet7.xml" Id="R2e0dcf8fe3dc4e4a" /><Relationship Type="http://schemas.openxmlformats.org/officeDocument/2006/relationships/worksheet" Target="/xl/worksheets/sheet8.xml" Id="Ra7703e4e74254d2f" /><Relationship Type="http://schemas.openxmlformats.org/officeDocument/2006/relationships/worksheet" Target="/xl/worksheets/sheet9.xml" Id="Rddb748efec794ccf" /><Relationship Type="http://schemas.openxmlformats.org/officeDocument/2006/relationships/worksheet" Target="/xl/worksheets/sheet10.xml" Id="Reb448ce7cff84286" /><Relationship Type="http://schemas.openxmlformats.org/officeDocument/2006/relationships/worksheet" Target="/xl/worksheets/sheet11.xml" Id="Re31f8b407d754d2e" /><Relationship Type="http://schemas.openxmlformats.org/officeDocument/2006/relationships/worksheet" Target="/xl/worksheets/sheet12.xml" Id="R63d9b818522f4ccf" /><Relationship Type="http://schemas.openxmlformats.org/officeDocument/2006/relationships/worksheet" Target="/xl/worksheets/sheet13.xml" Id="Rfcb89eaa604740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97ab08fd2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716fa704d043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1d2d900eca48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219581960d43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f0380328a848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25366c687a48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f5af37906642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92ed4370db45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7d7754818e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RUN-I2-050-20260902T104635176462Z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21226.682999999997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RUN-I2-050-20260902T104635176462Z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897ab08fd241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RUN-I2-050-20260902T104635176462Z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NO_SEMANTIC_VALIDATOR_DETERMINISTIC_PASS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716fa704d043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RUN-I2-050-20260902T104635176462Z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RUN-I2-050-20260902T104635176462Z</x:v>
      </x:c>
      <x:c r="C5" s="69" t="str">
        <x:v>I2-050</x:v>
      </x:c>
      <x:c r="D5" s="70" t="n">
        <x:v>46267.449018252315</x:v>
      </x:c>
      <x:c r="E5" s="70" t="n">
        <x:v>46267.44926616898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d2d900eca48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RUN-I2-050-20260902T104635176462Z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RUN-I2-050-20260902T104635176462Z</x:v>
      </x:c>
      <x:c r="B5" s="69" t="str">
        <x:v>I2-050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21227.422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19581960d43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RUN-I2-050-20260902T104635176462Z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RUN-I2-050-20260902T104635176462Z</x:v>
      </x:c>
      <x:c r="C5" s="45" t="str">
        <x:v>I2-050</x:v>
      </x:c>
      <x:c r="D5" s="84" t="n">
        <x:v>46267.44926394676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21225.944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RUN-I2-050-20260902T104635176462Z</x:v>
      </x:c>
      <x:c r="C6" s="49" t="str">
        <x:v>I2-050</x:v>
      </x:c>
      <x:c r="D6" s="87" t="n">
        <x:v>46267.44926396991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21227.422</x:v>
      </x:c>
      <x:c r="L6" s="89" t="b">
        <x:v>0</x:v>
      </x:c>
      <x:c r="M6" s="49" t="str">
        <x:v>resp_0a741da1a2fd9a2e006a97fe8b45e081909fad9e734b4dbefa</x:v>
      </x:c>
      <x:c r="N6" s="60" t="n">
        <x:v>10113</x:v>
      </x:c>
      <x:c r="O6" s="60" t="n">
        <x:v>2330</x:v>
      </x:c>
      <x:c r="P6" s="60" t="n">
        <x:v>12443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0380328a848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RUN-I2-050-20260902T104635176462Z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RUN-I2-050-20260902T104635176462Z</x:v>
      </x:c>
      <x:c r="B5" s="45" t="str">
        <x:v>I2-050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RUN-I2-050-20260902T104635176462Z</x:v>
      </x:c>
      <x:c r="B6" s="47" t="str">
        <x:v>I2-050</x:v>
      </x:c>
      <x:c r="C6" s="47" t="str">
        <x:v>crushingFailureClassFactor</x:v>
      </x:c>
      <x:c r="D6" s="48" t="str">
        <x:v>https://w3id.org/nltl/vocab#crushingFailureClassFactor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RUN-I2-050-20260902T104635176462Z</x:v>
      </x:c>
      <x:c r="B7" s="47" t="str">
        <x:v>I2-050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RUN-I2-050-20260902T104635176462Z</x:v>
      </x:c>
      <x:c r="B8" s="47" t="str">
        <x:v>I2-050</x:v>
      </x:c>
      <x:c r="C8" s="47" t="str">
        <x:v>designVerticalIceForceAtBowCandidateOne</x:v>
      </x:c>
      <x:c r="D8" s="48" t="str">
        <x:v>https://w3id.org/nltl/vocab#designVerticalIceForceAtBowCandidateOne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RUN-I2-050-20260902T104635176462Z</x:v>
      </x:c>
      <x:c r="B9" s="47" t="str">
        <x:v>I2-050</x:v>
      </x:c>
      <x:c r="C9" s="47" t="str">
        <x:v>designVerticalIceForceAtBowCandidateTwo</x:v>
      </x:c>
      <x:c r="D9" s="48" t="str">
        <x:v>https://w3id.org/nltl/vocab#designVerticalIceForceAtBowCandidateTwo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RUN-I2-050-20260902T104635176462Z</x:v>
      </x:c>
      <x:c r="B10" s="47" t="str">
        <x:v>I2-050</x:v>
      </x:c>
      <x:c r="C10" s="47" t="str">
        <x:v>flexuralFailureClassFactor</x:v>
      </x:c>
      <x:c r="D10" s="48" t="str">
        <x:v>https://w3id.org/nltl/vocab#flexuralFailureClassFactor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RUN-I2-050-20260902T104635176462Z</x:v>
      </x:c>
      <x:c r="B11" s="47" t="str">
        <x:v>I2-050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RUN-I2-050-20260902T104635176462Z</x:v>
      </x:c>
      <x:c r="B12" s="47" t="str">
        <x:v>I2-050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RUN-I2-050-20260902T104635176462Z</x:v>
      </x:c>
      <x:c r="B13" s="47" t="str">
        <x:v>I2-050</x:v>
      </x:c>
      <x:c r="C13" s="47" t="str">
        <x:v>hullFormCoefficientKh</x:v>
      </x:c>
      <x:c r="D13" s="48" t="str">
        <x:v>https://w3id.org/nltl/vocab#hullFormCoefficientKh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RUN-I2-050-20260902T104635176462Z</x:v>
      </x:c>
      <x:c r="B14" s="47" t="str">
        <x:v>I2-050</x:v>
      </x:c>
      <x:c r="C14" s="47" t="str">
        <x:v>iceStrengthCoefficientKI</x:v>
      </x:c>
      <x:c r="D14" s="48" t="str">
        <x:v>https://w3id.org/nltl/vocab#iceStrengthCoefficientKI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RUN-I2-050-20260902T104635176462Z</x:v>
      </x:c>
      <x:c r="B15" s="47" t="str">
        <x:v>I2-050</x:v>
      </x:c>
      <x:c r="C15" s="47" t="str">
        <x:v>longitudinalStrengthClassFactor</x:v>
      </x:c>
      <x:c r="D15" s="48" t="str">
        <x:v>https://w3id.org/nltl/vocab#longitudinalStrengthClassFactor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RUN-I2-050-20260902T104635176462Z</x:v>
      </x:c>
      <x:c r="B16" s="47" t="str">
        <x:v>I2-050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designVerticalIceForceAtBow; domain dependency of designVerticalIceForceAtBowCandidateOne; domain dependency of designVerticalIceForceAtBowCandidateTwo; domain dependency of hullFormCoefficientKh; domain dependency of iceStrengthCoefficientKI; domain dependency of upperIceWaterlineDraughtDUI</x:v>
      </x:c>
      <x:c r="J16" s="47" t="n">
        <x:v>0</x:v>
      </x:c>
    </x:row>
    <x:row r="17">
      <x:c r="A17" s="47" t="str">
        <x:v>RUN-I2-050-20260902T104635176462Z</x:v>
      </x:c>
      <x:c r="B17" s="47" t="str">
        <x:v>I2-050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RUN-I2-050-20260902T104635176462Z</x:v>
      </x:c>
      <x:c r="B18" s="47" t="str">
        <x:v>I2-050</x:v>
      </x:c>
      <x:c r="C18" s="47" t="str">
        <x:v>stemAngle</x:v>
      </x:c>
      <x:c r="D18" s="48" t="str">
        <x:v>https://w3id.org/nltl/vocab#stemAngle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RUN-I2-050-20260902T104635176462Z</x:v>
      </x:c>
      <x:c r="B19" s="47" t="str">
        <x:v>I2-050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crushingFailureClassFactor; domain dependency of flexuralFailureClassFactor; domain dependency of longitudinalStrengthClassFactor</x:v>
      </x:c>
      <x:c r="J19" s="47" t="n">
        <x:v>0</x:v>
      </x:c>
    </x:row>
    <x:row r="20">
      <x:c r="A20" s="49" t="str">
        <x:v>RUN-I2-050-20260902T104635176462Z</x:v>
      </x:c>
      <x:c r="B20" s="49" t="str">
        <x:v>I2-050</x:v>
      </x:c>
      <x:c r="C20" s="49" t="str">
        <x:v>upperIceWaterlineDraughtDUI</x:v>
      </x:c>
      <x:c r="D20" s="50" t="str">
        <x:v>https://w3id.org/nltl/vocab#upperIceWaterlineDraughtDUI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25366c687a48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RUN-I2-050-20260902T104635176462Z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RUN-I2-050-20260902T104635176462Z</x:v>
      </x:c>
      <x:c r="B5" s="45" t="str">
        <x:v>I2-050</x:v>
      </x:c>
      <x:c r="C5" s="45" t="str">
        <x:v>FS-COMPLEX-READINESS-01</x:v>
      </x:c>
      <x:c r="D5" s="45" t="str">
        <x:v>complex_readiness_external_calculation</x:v>
      </x:c>
      <x:c r="E5" s="92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RUN-I2-050-20260902T104635176462Z</x:v>
      </x:c>
      <x:c r="B6" s="49" t="str">
        <x:v>I2-050</x:v>
      </x:c>
      <x:c r="C6" s="49" t="str">
        <x:v>FS-COMPLEX-READINESS-02</x:v>
      </x:c>
      <x:c r="D6" s="49" t="str">
        <x:v>complex_readiness_with_direct_residual_check</x:v>
      </x:c>
      <x:c r="E6" s="93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5af37906642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RUN-I2-050-20260902T104635176462Z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RUN-I2-050-20260902T104635176462Z</x:v>
      </x:c>
      <x:c r="B5" s="69" t="str">
        <x:v>I2-050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https://w3id.org/nltl/vocab#crushingFailureClassFactor | https://w3id.org/nltl/vocab#designVerticalIceForceAtBow | https://w3id.org/nltl/vocab#designVerticalIceForceAtBowCandidateOne | https://w3id.org/nltl/vocab#designVerticalIceForceAtBowCandidateTwo | https://w3id.org/nltl/vocab#flexuralFailureClassFactor | https://w3id.org/nltl/vocab#hasTableLookupCase | https://w3id.org/nltl/vocab#hullFormCoefficientKh | https://w3id.org/nltl/vocab#iceStrengthCoefficientKI | https://w3id.org/nltl/vocab#longitudinalStrengthClassFactor | https://w3id.org/nltl/vocab#ship | https://w3id.org/nltl/vocab#stemAngle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92ed4370db45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RUN-I2-050-20260902T104635176462Z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RUN-I2-050-20260902T104635176462Z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RUN-I2-050-20260902T104635176462Z</x:v>
      </x:c>
      <x:c r="B5" s="45" t="str">
        <x:v>I2-050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eb9f5743868fdc7f4e179770a025984777b6a2f085833dcdf0831e6184e1a8cf</x:v>
      </x:c>
      <x:c r="G5" s="58" t="n">
        <x:v>23373</x:v>
      </x:c>
    </x:row>
    <x:row r="6">
      <x:c r="A6" s="47" t="str">
        <x:v>RUN-I2-050-20260902T104635176462Z</x:v>
      </x:c>
      <x:c r="B6" s="47" t="str">
        <x:v>I2-050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RUN-I2-050-20260902T104635176462Z</x:v>
      </x:c>
      <x:c r="B7" s="47" t="str">
        <x:v>I2-050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36fe2044ed02be6c3e08cfda28ef923242e874cd56dda6447875551c4b43cb64</x:v>
      </x:c>
      <x:c r="G7" s="59" t="n">
        <x:v>41572</x:v>
      </x:c>
    </x:row>
    <x:row r="8">
      <x:c r="A8" s="47" t="str">
        <x:v>RUN-I2-050-20260902T104635176462Z</x:v>
      </x:c>
      <x:c r="B8" s="47" t="str">
        <x:v>I2-050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b86fd8c8c0b255ddac9dfca70ca12a0377859d4b6dc5ef72a18615f6d8a8d35e</x:v>
      </x:c>
      <x:c r="G8" s="59" t="n">
        <x:v>4957</x:v>
      </x:c>
    </x:row>
    <x:row r="9">
      <x:c r="A9" s="47" t="str">
        <x:v>RUN-I2-050-20260902T104635176462Z</x:v>
      </x:c>
      <x:c r="B9" s="47" t="str">
        <x:v>I2-050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850cf4ba812f5179f710c60b2005a4cf5d25f638837b65bb823c239fb2772d09</x:v>
      </x:c>
      <x:c r="G9" s="59" t="n">
        <x:v>4932</x:v>
      </x:c>
    </x:row>
    <x:row r="10">
      <x:c r="A10" s="49" t="str">
        <x:v>RUN-I2-050-20260902T104635176462Z</x:v>
      </x:c>
      <x:c r="B10" s="49" t="str">
        <x:v>I2-050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80c286aa6f8c7c7e6675a6241240b085194b131250d610e67ae5fc102a2d3cd5</x:v>
      </x:c>
      <x:c r="G10" s="60" t="n">
        <x:v>1600</x:v>
      </x:c>
    </x:row>
  </x:sheetData>
  <x:pageMargins left="0.7" right="0.7" top="0.75" bottom="0.75" header="0.3" footer="0.3"/>
  <x:tableParts count="1">
    <x:tablePart xmlns:r="http://schemas.openxmlformats.org/officeDocument/2006/relationships" r:id="Rec7d7754818e46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RUN-I2-050-20260902T104635176462Z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RUN-I2-050-20260902T104635176462Z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