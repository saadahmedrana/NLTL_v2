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a86a93cbed49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8c69a8dca541cc"/>
    <x:sheet xmlns:r="http://schemas.openxmlformats.org/officeDocument/2006/relationships" name="README" sheetId="2" r:id="R9a1b2570be044a90"/>
    <x:sheet xmlns:r="http://schemas.openxmlformats.org/officeDocument/2006/relationships" name="REGULATION_QUEUE" sheetId="3" r:id="R40ab690061b7437d"/>
    <x:sheet xmlns:r="http://schemas.openxmlformats.org/officeDocument/2006/relationships" name="RUNS" sheetId="4" r:id="R3fb8056e96fe4936"/>
    <x:sheet xmlns:r="http://schemas.openxmlformats.org/officeDocument/2006/relationships" name="ITERATIONS" sheetId="5" r:id="R13ae8c2ccd8241ba"/>
    <x:sheet xmlns:r="http://schemas.openxmlformats.org/officeDocument/2006/relationships" name="API_CALLS" sheetId="6" r:id="R2516d6471bcc4026"/>
    <x:sheet xmlns:r="http://schemas.openxmlformats.org/officeDocument/2006/relationships" name="TERM_RETRIEVAL" sheetId="7" r:id="R2f2ccce437ae453d"/>
    <x:sheet xmlns:r="http://schemas.openxmlformats.org/officeDocument/2006/relationships" name="FEW_SHOT_SELECTION" sheetId="8" r:id="R69c2ac5f2de04cb9"/>
    <x:sheet xmlns:r="http://schemas.openxmlformats.org/officeDocument/2006/relationships" name="VALIDATION" sheetId="9" r:id="Redb0e19dc142421d"/>
    <x:sheet xmlns:r="http://schemas.openxmlformats.org/officeDocument/2006/relationships" name="VOCAB_MATCHES" sheetId="10" r:id="Rcca4d308032b4c33"/>
    <x:sheet xmlns:r="http://schemas.openxmlformats.org/officeDocument/2006/relationships" name="ARTIFACTS" sheetId="11" r:id="Ra015e40becbb4d13"/>
    <x:sheet xmlns:r="http://schemas.openxmlformats.org/officeDocument/2006/relationships" name="UNRESOLVED" sheetId="12" r:id="R399f1c06ff7a4d54"/>
    <x:sheet xmlns:r="http://schemas.openxmlformats.org/officeDocument/2006/relationships" name="RDF_TEST_QUEUE" sheetId="13" r:id="Rd15d764e0ece46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9eb3f8fc464b6d" /><Relationship Type="http://schemas.openxmlformats.org/officeDocument/2006/relationships/theme" Target="/xl/theme/theme1.xml" Id="R2db351d9dcde45dd" /><Relationship Type="http://schemas.microsoft.com/office/2022/11/relationships/FeaturePropertyBag" Target="/xl/featurePropertyBag/featurePropertyBag.xml" Id="Rfbe4c0d8e3af421b" /><Relationship Type="http://schemas.openxmlformats.org/officeDocument/2006/relationships/sharedStrings" Target="/xl/sharedStrings.xml" Id="Rad933eba071f47ed" /><Relationship Type="http://schemas.openxmlformats.org/officeDocument/2006/relationships/worksheet" Target="/xl/worksheets/sheet1.xml" Id="R4c8c69a8dca541cc" /><Relationship Type="http://schemas.openxmlformats.org/officeDocument/2006/relationships/worksheet" Target="/xl/worksheets/sheet2.xml" Id="R9a1b2570be044a90" /><Relationship Type="http://schemas.openxmlformats.org/officeDocument/2006/relationships/worksheet" Target="/xl/worksheets/sheet3.xml" Id="R40ab690061b7437d" /><Relationship Type="http://schemas.openxmlformats.org/officeDocument/2006/relationships/worksheet" Target="/xl/worksheets/sheet4.xml" Id="R3fb8056e96fe4936" /><Relationship Type="http://schemas.openxmlformats.org/officeDocument/2006/relationships/worksheet" Target="/xl/worksheets/sheet5.xml" Id="R13ae8c2ccd8241ba" /><Relationship Type="http://schemas.openxmlformats.org/officeDocument/2006/relationships/worksheet" Target="/xl/worksheets/sheet6.xml" Id="R2516d6471bcc4026" /><Relationship Type="http://schemas.openxmlformats.org/officeDocument/2006/relationships/worksheet" Target="/xl/worksheets/sheet7.xml" Id="R2f2ccce437ae453d" /><Relationship Type="http://schemas.openxmlformats.org/officeDocument/2006/relationships/worksheet" Target="/xl/worksheets/sheet8.xml" Id="R69c2ac5f2de04cb9" /><Relationship Type="http://schemas.openxmlformats.org/officeDocument/2006/relationships/worksheet" Target="/xl/worksheets/sheet9.xml" Id="Redb0e19dc142421d" /><Relationship Type="http://schemas.openxmlformats.org/officeDocument/2006/relationships/worksheet" Target="/xl/worksheets/sheet10.xml" Id="Rcca4d308032b4c33" /><Relationship Type="http://schemas.openxmlformats.org/officeDocument/2006/relationships/worksheet" Target="/xl/worksheets/sheet11.xml" Id="Ra015e40becbb4d13" /><Relationship Type="http://schemas.openxmlformats.org/officeDocument/2006/relationships/worksheet" Target="/xl/worksheets/sheet12.xml" Id="R399f1c06ff7a4d54" /><Relationship Type="http://schemas.openxmlformats.org/officeDocument/2006/relationships/worksheet" Target="/xl/worksheets/sheet13.xml" Id="Rd15d764e0ece463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a7558a9bd346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50dbbd315245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06bb22a4ec4f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0eadb22b4b45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d13511ec28545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a99b8b5e78347f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87e83812bca427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209680f36b34f7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99070f6a4a342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RUN-I2-029-20260902T123933780060Z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17505.341500000002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RUN-I2-029-20260902T123933780060Z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3a7558a9bd346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RUN-I2-029-20260902T123933780060Z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NO_SEMANTIC_VALIDATOR_DETERMINISTIC_PASS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50dbbd3152459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RUN-I2-029-20260902T123933780060Z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RUN-I2-029-20260902T123933780060Z</x:v>
      </x:c>
      <x:c r="C5" s="69" t="str">
        <x:v>I2-029</x:v>
      </x:c>
      <x:c r="D5" s="70" t="n">
        <x:v>46267.52747431713</x:v>
      </x:c>
      <x:c r="E5" s="70" t="n">
        <x:v>46267.52788084491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06bb22a4ec4f6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RUN-I2-029-20260902T123933780060Z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RUN-I2-029-20260902T123933780060Z</x:v>
      </x:c>
      <x:c r="B5" s="69" t="str">
        <x:v>I2-029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14436.785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0eadb22b4b45b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RUN-I2-029-20260902T123933780060Z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RUN-I2-029-20260902T123933780060Z</x:v>
      </x:c>
      <x:c r="C5" s="45" t="str">
        <x:v>I2-029</x:v>
      </x:c>
      <x:c r="D5" s="88" t="n">
        <x:v>46267.52764144676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14435.229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RUN-I2-029-20260902T123933780060Z</x:v>
      </x:c>
      <x:c r="C6" s="47" t="str">
        <x:v>I2-029</x:v>
      </x:c>
      <x:c r="D6" s="91" t="n">
        <x:v>46267.52764146991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14436.785</x:v>
      </x:c>
      <x:c r="L6" s="93" t="b">
        <x:v>0</x:v>
      </x:c>
      <x:c r="M6" s="47" t="str">
        <x:v>resp_068cda2938d8c5e2006a981905e93c8196ab5f186704eb48bc</x:v>
      </x:c>
      <x:c r="N6" s="59" t="n">
        <x:v>8390</x:v>
      </x:c>
      <x:c r="O6" s="59" t="n">
        <x:v>1070</x:v>
      </x:c>
      <x:c r="P6" s="59" t="n">
        <x:v>9460</x:v>
      </x:c>
    </x:row>
    <x:row r="7">
      <x:c r="A7" s="47" t="str">
        <x:v>EVT-000028</x:v>
      </x:c>
      <x:c r="B7" s="47" t="str">
        <x:v>RUN-I2-029-20260902T123933780060Z</x:v>
      </x:c>
      <x:c r="C7" s="47" t="str">
        <x:v>I2-029</x:v>
      </x:c>
      <x:c r="D7" s="91" t="n">
        <x:v>46267.52787967592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20574.151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RUN-I2-029-20260902T123933780060Z</x:v>
      </x:c>
      <x:c r="C8" s="49" t="str">
        <x:v>I2-029</x:v>
      </x:c>
      <x:c r="D8" s="94" t="n">
        <x:v>46267.5278796875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20575.201</x:v>
      </x:c>
      <x:c r="L8" s="96" t="b">
        <x:v>0</x:v>
      </x:c>
      <x:c r="M8" s="49" t="str">
        <x:v>resp_09fcf95651229717006a98191455688197a6b31f8e241e71b8</x:v>
      </x:c>
      <x:c r="N8" s="60" t="n">
        <x:v>966</x:v>
      </x:c>
      <x:c r="O8" s="60" t="n">
        <x:v>2112</x:v>
      </x:c>
      <x:c r="P8" s="60" t="n">
        <x:v>3078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13511ec285456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RUN-I2-029-20260902T123933780060Z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RUN-I2-029-20260902T123933780060Z</x:v>
      </x:c>
      <x:c r="B5" s="45" t="str">
        <x:v>I2-029</x:v>
      </x:c>
      <x:c r="C5" s="45" t="str">
        <x:v>attachedShellPlatingExcludedFromShearArea</x:v>
      </x:c>
      <x:c r="D5" s="46" t="str">
        <x:v>https://w3id.org/nltl/vocab#attachedShellPlatingExcludedFromShearArea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RUN-I2-029-20260902T123933780060Z</x:v>
      </x:c>
      <x:c r="B6" s="47" t="str">
        <x:v>I2-029</x:v>
      </x:c>
      <x:c r="C6" s="47" t="str">
        <x:v>attachedShellPlatingIncludedInSectionModulus</x:v>
      </x:c>
      <x:c r="D6" s="48" t="str">
        <x:v>https://w3id.org/nltl/vocab#attachedShellPlatingIncludedInSectionModulus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RUN-I2-029-20260902T123933780060Z</x:v>
      </x:c>
      <x:c r="B7" s="47" t="str">
        <x:v>I2-029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range dependency of calculationCase</x:v>
      </x:c>
      <x:c r="J7" s="47" t="n">
        <x:v>0</x:v>
      </x:c>
    </x:row>
    <x:row r="8">
      <x:c r="A8" s="47" t="str">
        <x:v>RUN-I2-029-20260902T123933780060Z</x:v>
      </x:c>
      <x:c r="B8" s="47" t="str">
        <x:v>I2-029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attachedShellPlatingExcludedFromShearArea; domain dependency of attachedShellPlatingIncludedInSectionModulus; domain dependency of flangeMaterialIncludedInShearArea; domain dependency of sectionCalculationCaseStructuralMember; linked by the locked 313-requirement index; range dependency of hasCalculationCase</x:v>
      </x:c>
      <x:c r="J8" s="47" t="n">
        <x:v>0</x:v>
      </x:c>
    </x:row>
    <x:row r="9">
      <x:c r="A9" s="47" t="str">
        <x:v>RUN-I2-029-20260902T123933780060Z</x:v>
      </x:c>
      <x:c r="B9" s="47" t="str">
        <x:v>I2-029</x:v>
      </x:c>
      <x:c r="C9" s="47" t="str">
        <x:v>flangeFitted</x:v>
      </x:c>
      <x:c r="D9" s="48" t="str">
        <x:v>https://w3id.org/nltl/vocab#flangeFitted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RUN-I2-029-20260902T123933780060Z</x:v>
      </x:c>
      <x:c r="B10" s="47" t="str">
        <x:v>I2-029</x:v>
      </x:c>
      <x:c r="C10" s="47" t="str">
        <x:v>flangeMaterialIncludedInShearArea</x:v>
      </x:c>
      <x:c r="D10" s="48" t="str">
        <x:v>https://w3id.org/nltl/vocab#flangeMaterialIncludedInShearArea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RUN-I2-029-20260902T123933780060Z</x:v>
      </x:c>
      <x:c r="B11" s="47" t="str">
        <x:v>I2-029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RUN-I2-029-20260902T123933780060Z</x:v>
      </x:c>
      <x:c r="B12" s="47" t="str">
        <x:v>I2-029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RUN-I2-029-20260902T123933780060Z</x:v>
      </x:c>
      <x:c r="B13" s="47" t="str">
        <x:v>I2-029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RUN-I2-029-20260902T123933780060Z</x:v>
      </x:c>
      <x:c r="B14" s="47" t="str">
        <x:v>I2-029</x:v>
      </x:c>
      <x:c r="C14" s="47" t="str">
        <x:v>hullStructure</x:v>
      </x:c>
      <x:c r="D14" s="48" t="str">
        <x:v>https://w3id.org/nltl/vocab#hullStructure</x:v>
      </x:c>
      <x:c r="E14" s="47" t="str">
        <x:v>Class</x:v>
      </x:c>
      <x:c r="F14" s="47" t="str"/>
      <x:c r="G14" s="47" t="str"/>
      <x:c r="H14" s="47" t="str"/>
      <x:c r="I14" s="48" t="str">
        <x:v>range dependency of structuralMember</x:v>
      </x:c>
      <x:c r="J14" s="47" t="n">
        <x:v>0</x:v>
      </x:c>
    </x:row>
    <x:row r="15">
      <x:c r="A15" s="47" t="str">
        <x:v>RUN-I2-029-20260902T123933780060Z</x:v>
      </x:c>
      <x:c r="B15" s="47" t="str">
        <x:v>I2-029</x:v>
      </x:c>
      <x:c r="C15" s="47" t="str">
        <x:v>sectionCalculationCaseStructuralMember</x:v>
      </x:c>
      <x:c r="D15" s="48" t="str">
        <x:v>https://w3id.org/nltl/vocab#sectionCalculationCaseStructuralMember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RUN-I2-029-20260902T123933780060Z</x:v>
      </x:c>
      <x:c r="B16" s="47" t="str">
        <x:v>I2-029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hasCalculationCase; linked by the locked 313-requirement index</x:v>
      </x:c>
      <x:c r="J16" s="47" t="n">
        <x:v>0</x:v>
      </x:c>
    </x:row>
    <x:row r="17">
      <x:c r="A17" s="47" t="str">
        <x:v>RUN-I2-029-20260902T123933780060Z</x:v>
      </x:c>
      <x:c r="B17" s="47" t="str">
        <x:v>I2-029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RUN-I2-029-20260902T123933780060Z</x:v>
      </x:c>
      <x:c r="B18" s="49" t="str">
        <x:v>I2-029</x:v>
      </x:c>
      <x:c r="C18" s="49" t="str">
        <x:v>structuralMember</x:v>
      </x:c>
      <x:c r="D18" s="50" t="str">
        <x:v>https://w3id.org/nltl/vocab#structuralMember</x:v>
      </x:c>
      <x:c r="E18" s="49" t="str">
        <x:v>Class</x:v>
      </x:c>
      <x:c r="F18" s="49" t="str"/>
      <x:c r="G18" s="49" t="str">
        <x:v>https://w3id.org/nltl/vocab#hullStructure</x:v>
      </x:c>
      <x:c r="H18" s="49" t="str"/>
      <x:c r="I18" s="50" t="str">
        <x:v>authoritative required owner class; domain dependency of flangeFitted; linked by the locked 313-requirement index; range dependency of sectionCalculationCaseStructuralMember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a99b8b5e78347f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RUN-I2-029-20260902T123933780060Z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RUN-I2-029-20260902T123933780060Z</x:v>
      </x:c>
      <x:c r="B5" s="45" t="str">
        <x:v>I2-029</x:v>
      </x:c>
      <x:c r="C5" s="45" t="str">
        <x:v>FS-BOOL-01</x:v>
      </x:c>
      <x:c r="D5" s="45" t="str">
        <x:v>boolean_state</x:v>
      </x:c>
      <x:c r="E5" s="99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RUN-I2-029-20260902T123933780060Z</x:v>
      </x:c>
      <x:c r="B6" s="49" t="str">
        <x:v>I2-029</x:v>
      </x:c>
      <x:c r="C6" s="49" t="str">
        <x:v>FS-BOOL-02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7e83812bca427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RUN-I2-029-20260902T123933780060Z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RUN-I2-029-20260902T123933780060Z</x:v>
      </x:c>
      <x:c r="B5" s="69" t="str">
        <x:v>I2-029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https://w3id.org/nltl/vocab#attachedShellPlatingExcludedFromShearArea | https://w3id.org/nltl/vocab#attachedShellPlatingIncludedInSectionModulus | https://w3id.org/nltl/vocab#flangeFitted | https://w3id.org/nltl/vocab#flangeMaterialIncludedInShearArea | https://w3id.org/nltl/vocab#hasCalculationCase | https://w3id.org/nltl/vocab#sectionCalculationCaseStructuralMember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209680f36b34f7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RUN-I2-029-20260902T123933780060Z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RUN-I2-029-20260902T123933780060Z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RUN-I2-029-20260902T123933780060Z</x:v>
      </x:c>
      <x:c r="B5" s="45" t="str">
        <x:v>I2-029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933724dd894b716fc0d87394093b6012476d9bf3d62642d82ea76d203afa712c</x:v>
      </x:c>
      <x:c r="G5" s="58" t="n">
        <x:v>21261</x:v>
      </x:c>
    </x:row>
    <x:row r="6">
      <x:c r="A6" s="47" t="str">
        <x:v>RUN-I2-029-20260902T123933780060Z</x:v>
      </x:c>
      <x:c r="B6" s="47" t="str">
        <x:v>I2-029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RUN-I2-029-20260902T123933780060Z</x:v>
      </x:c>
      <x:c r="B7" s="47" t="str">
        <x:v>I2-029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88c7bb08943fd9a35ceb2ae6118b3b0acfb5676e67bf2032bff30cf44d82bb9f</x:v>
      </x:c>
      <x:c r="G7" s="59" t="n">
        <x:v>35885</x:v>
      </x:c>
    </x:row>
    <x:row r="8">
      <x:c r="A8" s="47" t="str">
        <x:v>RUN-I2-029-20260902T123933780060Z</x:v>
      </x:c>
      <x:c r="B8" s="47" t="str">
        <x:v>I2-029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6997ec65ddd8e8924d84e05c0e96ed872eb6b0ae7dce160b0a5e27f4bfc503d2</x:v>
      </x:c>
      <x:c r="G8" s="59" t="n">
        <x:v>2150</x:v>
      </x:c>
    </x:row>
    <x:row r="9">
      <x:c r="A9" s="47" t="str">
        <x:v>RUN-I2-029-20260902T123933780060Z</x:v>
      </x:c>
      <x:c r="B9" s="47" t="str">
        <x:v>I2-029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a79443fa01bf2c05f208efece6083f6507644e31ed0c9a546da63ec8a9a23fdd</x:v>
      </x:c>
      <x:c r="G9" s="59" t="n">
        <x:v>3421</x:v>
      </x:c>
    </x:row>
    <x:row r="10">
      <x:c r="A10" s="47" t="str">
        <x:v>RUN-I2-029-20260902T123933780060Z</x:v>
      </x:c>
      <x:c r="B10" s="47" t="str">
        <x:v>I2-029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d7ac49f2486b8dc882f7322d7de97f799a9b6e66f2fb993539c1c509cb510a18</x:v>
      </x:c>
      <x:c r="G10" s="59" t="n">
        <x:v>2076</x:v>
      </x:c>
    </x:row>
    <x:row r="11">
      <x:c r="A11" s="47" t="str">
        <x:v>RUN-I2-029-20260902T123933780060Z</x:v>
      </x:c>
      <x:c r="B11" s="47" t="str">
        <x:v>I2-029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02ac4a9356b799f08210676fa26660247bc29d17b1247a8e4c659a1f4d4ae407</x:v>
      </x:c>
      <x:c r="G11" s="59" t="n">
        <x:v>2051</x:v>
      </x:c>
    </x:row>
    <x:row r="12">
      <x:c r="A12" s="49" t="str">
        <x:v>RUN-I2-029-20260902T123933780060Z</x:v>
      </x:c>
      <x:c r="B12" s="49" t="str">
        <x:v>I2-029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63114afeb86c87cc6b1bd27745de9c728aa333267ff75e9d45c52767252958b2</x:v>
      </x:c>
      <x:c r="G12" s="60" t="n">
        <x:v>1256</x:v>
      </x:c>
    </x:row>
  </x:sheetData>
  <x:pageMargins left="0.7" right="0.7" top="0.75" bottom="0.75" header="0.3" footer="0.3"/>
  <x:tableParts count="1">
    <x:tablePart xmlns:r="http://schemas.openxmlformats.org/officeDocument/2006/relationships" r:id="R999070f6a4a3424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RUN-I2-029-20260902T123933780060Z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RUN-I2-029-20260902T123933780060Z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