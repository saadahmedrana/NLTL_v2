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e8eb8e728134c6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4ae5328346a74a23"/>
    <x:sheet xmlns:r="http://schemas.openxmlformats.org/officeDocument/2006/relationships" name="README" sheetId="2" r:id="Rc41d8c3f02ca4a8e"/>
    <x:sheet xmlns:r="http://schemas.openxmlformats.org/officeDocument/2006/relationships" name="REGULATION_QUEUE" sheetId="3" r:id="R06f1bbc080454f14"/>
    <x:sheet xmlns:r="http://schemas.openxmlformats.org/officeDocument/2006/relationships" name="RUNS" sheetId="4" r:id="R4b9d1469c785450a"/>
    <x:sheet xmlns:r="http://schemas.openxmlformats.org/officeDocument/2006/relationships" name="ITERATIONS" sheetId="5" r:id="Rc8bd561be46343f2"/>
    <x:sheet xmlns:r="http://schemas.openxmlformats.org/officeDocument/2006/relationships" name="API_CALLS" sheetId="6" r:id="Rbc2cfc510484447b"/>
    <x:sheet xmlns:r="http://schemas.openxmlformats.org/officeDocument/2006/relationships" name="TERM_RETRIEVAL" sheetId="7" r:id="Ree1c695dfa4a4071"/>
    <x:sheet xmlns:r="http://schemas.openxmlformats.org/officeDocument/2006/relationships" name="FEW_SHOT_SELECTION" sheetId="8" r:id="Rb727c047594a4ee3"/>
    <x:sheet xmlns:r="http://schemas.openxmlformats.org/officeDocument/2006/relationships" name="VALIDATION" sheetId="9" r:id="R78c5be5359cb4b36"/>
    <x:sheet xmlns:r="http://schemas.openxmlformats.org/officeDocument/2006/relationships" name="VOCAB_MATCHES" sheetId="10" r:id="R1bc96f21553149e9"/>
    <x:sheet xmlns:r="http://schemas.openxmlformats.org/officeDocument/2006/relationships" name="ARTIFACTS" sheetId="11" r:id="Rf77fb26a82074b4d"/>
    <x:sheet xmlns:r="http://schemas.openxmlformats.org/officeDocument/2006/relationships" name="UNRESOLVED" sheetId="12" r:id="Rb2ee7b8b83bc496a"/>
    <x:sheet xmlns:r="http://schemas.openxmlformats.org/officeDocument/2006/relationships" name="RDF_TEST_QUEUE" sheetId="13" r:id="R71d6f699711b4b3f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98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42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6e6d9d450824cdb" /><Relationship Type="http://schemas.openxmlformats.org/officeDocument/2006/relationships/theme" Target="/xl/theme/theme1.xml" Id="R00556788fc9b416a" /><Relationship Type="http://schemas.microsoft.com/office/2022/11/relationships/FeaturePropertyBag" Target="/xl/featurePropertyBag/featurePropertyBag.xml" Id="R887ae924fb114639" /><Relationship Type="http://schemas.openxmlformats.org/officeDocument/2006/relationships/sharedStrings" Target="/xl/sharedStrings.xml" Id="Rfa02635b56844231" /><Relationship Type="http://schemas.openxmlformats.org/officeDocument/2006/relationships/worksheet" Target="/xl/worksheets/sheet1.xml" Id="R4ae5328346a74a23" /><Relationship Type="http://schemas.openxmlformats.org/officeDocument/2006/relationships/worksheet" Target="/xl/worksheets/sheet2.xml" Id="Rc41d8c3f02ca4a8e" /><Relationship Type="http://schemas.openxmlformats.org/officeDocument/2006/relationships/worksheet" Target="/xl/worksheets/sheet3.xml" Id="R06f1bbc080454f14" /><Relationship Type="http://schemas.openxmlformats.org/officeDocument/2006/relationships/worksheet" Target="/xl/worksheets/sheet4.xml" Id="R4b9d1469c785450a" /><Relationship Type="http://schemas.openxmlformats.org/officeDocument/2006/relationships/worksheet" Target="/xl/worksheets/sheet5.xml" Id="Rc8bd561be46343f2" /><Relationship Type="http://schemas.openxmlformats.org/officeDocument/2006/relationships/worksheet" Target="/xl/worksheets/sheet6.xml" Id="Rbc2cfc510484447b" /><Relationship Type="http://schemas.openxmlformats.org/officeDocument/2006/relationships/worksheet" Target="/xl/worksheets/sheet7.xml" Id="Ree1c695dfa4a4071" /><Relationship Type="http://schemas.openxmlformats.org/officeDocument/2006/relationships/worksheet" Target="/xl/worksheets/sheet8.xml" Id="Rb727c047594a4ee3" /><Relationship Type="http://schemas.openxmlformats.org/officeDocument/2006/relationships/worksheet" Target="/xl/worksheets/sheet9.xml" Id="R78c5be5359cb4b36" /><Relationship Type="http://schemas.openxmlformats.org/officeDocument/2006/relationships/worksheet" Target="/xl/worksheets/sheet10.xml" Id="R1bc96f21553149e9" /><Relationship Type="http://schemas.openxmlformats.org/officeDocument/2006/relationships/worksheet" Target="/xl/worksheets/sheet11.xml" Id="Rf77fb26a82074b4d" /><Relationship Type="http://schemas.openxmlformats.org/officeDocument/2006/relationships/worksheet" Target="/xl/worksheets/sheet12.xml" Id="Rb2ee7b8b83bc496a" /><Relationship Type="http://schemas.openxmlformats.org/officeDocument/2006/relationships/worksheet" Target="/xl/worksheets/sheet13.xml" Id="R71d6f699711b4b3f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6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17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0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edce322a357c413f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79510906c6924c6d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e32b8561f77349a2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a691b51df9e346fa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f4e8a4e52f564ed7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b3d3d4dc8a454188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179fe8b5ed6c433e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4267c9bb24ef4eb7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c8178cb877634c22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RUN-TRF-050-20260902T140211594538Z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0</x:v>
      </x:c>
      <x:c r="C8" s="21"/>
      <x:c r="D8" s="21"/>
    </x:row>
    <x:row r="9">
      <x:c r="A9" s="25" t="str">
        <x:v>API/LLM records</x:v>
      </x:c>
      <x:c r="B9" s="26" t="n">
        <x:f>COUNTA('API_CALLS'!$A$5:$A$6)</x:f>
        <x:v>2</x:v>
      </x:c>
      <x:c r="C9" s="21"/>
      <x:c r="D9" s="21"/>
    </x:row>
    <x:row r="10">
      <x:c r="A10" s="27" t="str">
        <x:v>Mean API/LLM elapsed ms</x:v>
      </x:c>
      <x:c r="B10" s="28" t="n">
        <x:f>IFERROR(AVERAGE('API_CALLS'!$K$5:$K$6),0)</x:f>
        <x:v>30479.315499999997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RUN-TRF-050-20260902T140211594538Z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edce322a357c413f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RUN-TRF-050-20260902T140211594538Z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NO_SEMANTIC_VALIDATOR_DETERMINISTIC_PASS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79510906c6924c6d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4" hidden="0" customWidth="1"/>
    <x:col min="7" max="7" width="24" hidden="0" customWidth="1"/>
    <x:col min="8" max="8" width="11" hidden="0" customWidth="1"/>
    <x:col min="9" max="9" width="24" hidden="0" customWidth="1"/>
    <x:col min="10" max="10" width="11" hidden="0" customWidth="1"/>
    <x:col min="11" max="11" width="1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RUN-TRF-050-20260902T140211594538Z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SESSION-NO-SEMANTIC-VALIDATOR-BATCH-20260902T123113963947Z</x:v>
      </x:c>
      <x:c r="B5" s="69" t="str">
        <x:v>RUN-TRF-050-20260902T140211594538Z</x:v>
      </x:c>
      <x:c r="C5" s="69" t="str">
        <x:v>TRF-050</x:v>
      </x:c>
      <x:c r="D5" s="70" t="n">
        <x:v>46267.58485642361</x:v>
      </x:c>
      <x:c r="E5" s="70" t="n">
        <x:v>46267.58521034722</x:v>
      </x:c>
      <x:c r="F5" s="69" t="str">
        <x:v>luna-no-semantic-validator-run09-v1</x:v>
      </x:c>
      <x:c r="G5" s="69" t="str">
        <x:v>VOCAB-LOCK-2026-08-22-R13</x:v>
      </x:c>
      <x:c r="H5" s="71" t="n">
        <x:v>1</x:v>
      </x:c>
      <x:c r="I5" s="69" t="str">
        <x:v>NO_SEMANTIC_VALIDATOR_DETERMINISTIC_PASS</x:v>
      </x:c>
      <x:c r="J5" s="72" t="b">
        <x:v>0</x:v>
      </x:c>
      <x:c r="K5" s="69" t="str"/>
      <x:c r="L5" s="73" t="str">
        <x:v>Semantic validator disabled; no semantic acceptance judgement was made.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e32b8561f77349a2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24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RUN-TRF-050-20260902T140211594538Z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RUN-TRF-050-20260902T140211594538Z</x:v>
      </x:c>
      <x:c r="B5" s="69" t="str">
        <x:v>TRF-050</x:v>
      </x:c>
      <x:c r="C5" s="71" t="n">
        <x:v>1</x:v>
      </x:c>
      <x:c r="D5" s="72" t="b">
        <x:v>1</x:v>
      </x:c>
      <x:c r="E5" s="69"/>
      <x:c r="F5" s="72" t="b">
        <x:v>0</x:v>
      </x:c>
      <x:c r="G5" s="69" t="str">
        <x:v>NO_SEMANTIC_VALIDATOR_DETERMINISTIC_PASS</x:v>
      </x:c>
      <x:c r="H5" s="73" t="str">
        <x:v>Semantic validator disabled; deterministic diagnostics were not used as repair feedback.</x:v>
      </x:c>
      <x:c r="I5" s="75" t="n">
        <x:v>30480.101</x:v>
      </x:c>
      <x:c r="J5" s="75" t="n">
        <x:v>0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a691b51df9e346fa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RUN-TRF-050-20260902T140211594538Z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EVT-000021</x:v>
      </x:c>
      <x:c r="B5" s="45" t="str">
        <x:v>RUN-TRF-050-20260902T140211594538Z</x:v>
      </x:c>
      <x:c r="C5" s="45" t="str">
        <x:v>TRF-050</x:v>
      </x:c>
      <x:c r="D5" s="84" t="n">
        <x:v>46267.585209212964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5" t="n">
        <x:v>0</x:v>
      </x:c>
      <x:c r="K5" s="85" t="n">
        <x:v>30478.53</x:v>
      </x:c>
      <x:c r="L5" s="86" t="b">
        <x:v>0</x:v>
      </x:c>
      <x:c r="M5" s="45" t="str"/>
      <x:c r="N5" s="58" t="str"/>
      <x:c r="O5" s="58" t="str"/>
      <x:c r="P5" s="58" t="str"/>
    </x:row>
    <x:row r="6">
      <x:c r="A6" s="49" t="str">
        <x:v>EVT-000022</x:v>
      </x:c>
      <x:c r="B6" s="49" t="str">
        <x:v>RUN-TRF-050-20260902T140211594538Z</x:v>
      </x:c>
      <x:c r="C6" s="49" t="str">
        <x:v>TRF-050</x:v>
      </x:c>
      <x:c r="D6" s="87" t="n">
        <x:v>46267.58520922454</x:v>
      </x:c>
      <x:c r="E6" s="49" t="str">
        <x:v>generator</x:v>
      </x:c>
      <x:c r="F6" s="49" t="str">
        <x:v>gpt-5.6-luna-2026-07-09</x:v>
      </x:c>
      <x:c r="G6" s="49" t="n">
        <x:v>1</x:v>
      </x:c>
      <x:c r="H6" s="49" t="str">
        <x:v>COMPLETED</x:v>
      </x:c>
      <x:c r="I6" s="49" t="str"/>
      <x:c r="J6" s="88" t="n">
        <x:v>0</x:v>
      </x:c>
      <x:c r="K6" s="88" t="n">
        <x:v>30480.101</x:v>
      </x:c>
      <x:c r="L6" s="89" t="b">
        <x:v>0</x:v>
      </x:c>
      <x:c r="M6" s="49" t="str">
        <x:v>resp_0d0bce33575d9796006a982c6473f081909fc9f532efc044d4</x:v>
      </x:c>
      <x:c r="N6" s="60" t="n">
        <x:v>7484</x:v>
      </x:c>
      <x:c r="O6" s="60" t="n">
        <x:v>2112</x:v>
      </x:c>
      <x:c r="P6" s="60" t="n">
        <x:v>9596</x:v>
      </x:c>
    </x:row>
  </x:sheetData>
  <x:conditionalFormatting sqref="H5:H6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f4e8a4e52f564ed7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18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RUN-TRF-050-20260902T140211594538Z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RUN-TRF-050-20260902T140211594538Z</x:v>
      </x:c>
      <x:c r="B5" s="45" t="str">
        <x:v>TRF-050</x:v>
      </x:c>
      <x:c r="C5" s="45" t="str">
        <x:v>benchmarkEntity</x:v>
      </x:c>
      <x:c r="D5" s="46" t="str">
        <x:v>https://w3id.org/nltl/vocab#benchmarkEntity</x:v>
      </x:c>
      <x:c r="E5" s="45" t="str">
        <x:v>Class</x:v>
      </x:c>
      <x:c r="F5" s="45" t="str"/>
      <x:c r="G5" s="45" t="str"/>
      <x:c r="H5" s="45" t="str"/>
      <x:c r="I5" s="46" t="str">
        <x:v>baseline target infrastructure; range dependency of frameAttachmentRecord; range dependency of weldTypeValue</x:v>
      </x:c>
      <x:c r="J5" s="45" t="n">
        <x:v>0</x:v>
      </x:c>
    </x:row>
    <x:row r="6">
      <x:c r="A6" s="47" t="str">
        <x:v>RUN-TRF-050-20260902T140211594538Z</x:v>
      </x:c>
      <x:c r="B6" s="47" t="str">
        <x:v>TRF-050</x:v>
      </x:c>
      <x:c r="C6" s="47" t="str">
        <x:v>doubleContinuousWeld</x:v>
      </x:c>
      <x:c r="D6" s="48" t="str">
        <x:v>https://w3id.org/nltl/vocab#doubleContinuousWeld</x:v>
      </x:c>
      <x:c r="E6" s="47" t="str">
        <x:v>NamedIndividual</x:v>
      </x:c>
      <x:c r="F6" s="47" t="str"/>
      <x:c r="G6" s="47" t="str">
        <x:v>https://w3id.org/nltl/vocab#weldTypeValue</x:v>
      </x:c>
      <x:c r="H6" s="47" t="str"/>
      <x:c r="I6" s="48" t="str">
        <x:v>controlled value permitted by the range of doubleContinuousWeld; controlled value permitted by the range of frameShellWeldType; linked by the locked 313-requirement index</x:v>
      </x:c>
      <x:c r="J6" s="47" t="n">
        <x:v>0</x:v>
      </x:c>
    </x:row>
    <x:row r="7">
      <x:c r="A7" s="47" t="str">
        <x:v>RUN-TRF-050-20260902T140211594538Z</x:v>
      </x:c>
      <x:c r="B7" s="47" t="str">
        <x:v>TRF-050</x:v>
      </x:c>
      <x:c r="C7" s="47" t="str">
        <x:v>frame</x:v>
      </x:c>
      <x:c r="D7" s="48" t="str">
        <x:v>https://w3id.org/nltl/vocab#frame</x:v>
      </x:c>
      <x:c r="E7" s="47" t="str">
        <x:v>Class</x:v>
      </x:c>
      <x:c r="F7" s="47" t="str"/>
      <x:c r="G7" s="47" t="str">
        <x:v>https://w3id.org/nltl/vocab#hullStructure</x:v>
      </x:c>
      <x:c r="H7" s="47" t="str"/>
      <x:c r="I7" s="48" t="str">
        <x:v>authoritative required owner class; domain dependency of frameAttachment; linked by the locked 313-requirement index</x:v>
      </x:c>
      <x:c r="J7" s="47" t="n">
        <x:v>0</x:v>
      </x:c>
    </x:row>
    <x:row r="8">
      <x:c r="A8" s="47" t="str">
        <x:v>RUN-TRF-050-20260902T140211594538Z</x:v>
      </x:c>
      <x:c r="B8" s="47" t="str">
        <x:v>TRF-050</x:v>
      </x:c>
      <x:c r="C8" s="47" t="str">
        <x:v>frameAttachment</x:v>
      </x:c>
      <x:c r="D8" s="48" t="str">
        <x:v>https://w3id.org/nltl/vocab#frameAttachment</x:v>
      </x:c>
      <x:c r="E8" s="47" t="str">
        <x:v>ObjectProperty</x:v>
      </x:c>
      <x:c r="F8" s="47" t="str"/>
      <x:c r="G8" s="47" t="str">
        <x:v>https://w3id.org/nltl/vocab#frameAttachmentRecord</x:v>
      </x:c>
      <x:c r="H8" s="47" t="str"/>
      <x:c r="I8" s="48" t="str">
        <x:v>linked by the locked 313-requirement index</x:v>
      </x:c>
      <x:c r="J8" s="47" t="n">
        <x:v>0</x:v>
      </x:c>
    </x:row>
    <x:row r="9">
      <x:c r="A9" s="47" t="str">
        <x:v>RUN-TRF-050-20260902T140211594538Z</x:v>
      </x:c>
      <x:c r="B9" s="47" t="str">
        <x:v>TRF-050</x:v>
      </x:c>
      <x:c r="C9" s="47" t="str">
        <x:v>frameAttachmentRecord</x:v>
      </x:c>
      <x:c r="D9" s="48" t="str">
        <x:v>https://w3id.org/nltl/vocab#frameAttachmentRecord</x:v>
      </x:c>
      <x:c r="E9" s="47" t="str">
        <x:v>Class</x:v>
      </x:c>
      <x:c r="F9" s="47" t="str"/>
      <x:c r="G9" s="47" t="str">
        <x:v>https://w3id.org/nltl/vocab#benchmarkEntity</x:v>
      </x:c>
      <x:c r="H9" s="47" t="str"/>
      <x:c r="I9" s="48" t="str">
        <x:v>authoritative required owner class; authoritative requirement target owner; domain dependency of frameShellWeldType; domain dependency of scallopingPresent; domain dependency of shellPlateButtCrossing; linked by the locked 313-requirement index; range dependency of frameAttachment</x:v>
      </x:c>
      <x:c r="J9" s="47" t="n">
        <x:v>0</x:v>
      </x:c>
    </x:row>
    <x:row r="10">
      <x:c r="A10" s="47" t="str">
        <x:v>RUN-TRF-050-20260902T140211594538Z</x:v>
      </x:c>
      <x:c r="B10" s="47" t="str">
        <x:v>TRF-050</x:v>
      </x:c>
      <x:c r="C10" s="47" t="str">
        <x:v>frameShellWeldType</x:v>
      </x:c>
      <x:c r="D10" s="48" t="str">
        <x:v>https://w3id.org/nltl/vocab#frameShellWeldType</x:v>
      </x:c>
      <x:c r="E10" s="47" t="str">
        <x:v>ObjectProperty</x:v>
      </x:c>
      <x:c r="F10" s="47" t="str"/>
      <x:c r="G10" s="47" t="str">
        <x:v>https://w3id.org/nltl/vocab#weldTypeValue</x:v>
      </x:c>
      <x:c r="H10" s="47" t="str"/>
      <x:c r="I10" s="48" t="str">
        <x:v>linked by the locked 313-requirement index</x:v>
      </x:c>
      <x:c r="J10" s="47" t="n">
        <x:v>0</x:v>
      </x:c>
    </x:row>
    <x:row r="11">
      <x:c r="A11" s="47" t="str">
        <x:v>RUN-TRF-050-20260902T140211594538Z</x:v>
      </x:c>
      <x:c r="B11" s="47" t="str">
        <x:v>TRF-050</x:v>
      </x:c>
      <x:c r="C11" s="47" t="str">
        <x:v>hasComponent</x:v>
      </x:c>
      <x:c r="D11" s="48" t="str">
        <x:v>https://w3id.org/nltl/vocab#hasComponent</x:v>
      </x:c>
      <x:c r="E11" s="47" t="str">
        <x:v>ObjectProperty</x:v>
      </x:c>
      <x:c r="F11" s="47" t="str"/>
      <x:c r="G11" s="47" t="str">
        <x:v>https://w3id.org/nltl/vocab#shipComponent</x:v>
      </x:c>
      <x:c r="H11" s="47" t="str"/>
      <x:c r="I11" s="48" t="str">
        <x:v>component-path dependency inferred from the linked term module</x:v>
      </x:c>
      <x:c r="J11" s="47" t="n">
        <x:v>0</x:v>
      </x:c>
    </x:row>
    <x:row r="12">
      <x:c r="A12" s="47" t="str">
        <x:v>RUN-TRF-050-20260902T140211594538Z</x:v>
      </x:c>
      <x:c r="B12" s="47" t="str">
        <x:v>TRF-050</x:v>
      </x:c>
      <x:c r="C12" s="47" t="str">
        <x:v>hullStructure</x:v>
      </x:c>
      <x:c r="D12" s="48" t="str">
        <x:v>https://w3id.org/nltl/vocab#hullStructure</x:v>
      </x:c>
      <x:c r="E12" s="47" t="str">
        <x:v>Class</x:v>
      </x:c>
      <x:c r="F12" s="47" t="str"/>
      <x:c r="G12" s="47" t="str"/>
      <x:c r="H12" s="47" t="str"/>
      <x:c r="I12" s="48" t="str">
        <x:v>range dependency of frame</x:v>
      </x:c>
      <x:c r="J12" s="47" t="n">
        <x:v>0</x:v>
      </x:c>
    </x:row>
    <x:row r="13">
      <x:c r="A13" s="47" t="str">
        <x:v>RUN-TRF-050-20260902T140211594538Z</x:v>
      </x:c>
      <x:c r="B13" s="47" t="str">
        <x:v>TRF-050</x:v>
      </x:c>
      <x:c r="C13" s="47" t="str">
        <x:v>scallopingPresent</x:v>
      </x:c>
      <x:c r="D13" s="48" t="str">
        <x:v>https://w3id.org/nltl/vocab#scallopingPresent</x:v>
      </x:c>
      <x:c r="E13" s="47" t="str">
        <x:v>DatatypeProperty</x:v>
      </x:c>
      <x:c r="F13" s="47" t="str">
        <x:v>xsd:boolean</x:v>
      </x:c>
      <x:c r="G13" s="47" t="str">
        <x:v>http://www.w3.org/2001/XMLSchema#boolean</x:v>
      </x:c>
      <x:c r="H13" s="47" t="str"/>
      <x:c r="I13" s="48" t="str">
        <x:v>linked by the locked 313-requirement index</x:v>
      </x:c>
      <x:c r="J13" s="47" t="n">
        <x:v>0</x:v>
      </x:c>
    </x:row>
    <x:row r="14">
      <x:c r="A14" s="47" t="str">
        <x:v>RUN-TRF-050-20260902T140211594538Z</x:v>
      </x:c>
      <x:c r="B14" s="47" t="str">
        <x:v>TRF-050</x:v>
      </x:c>
      <x:c r="C14" s="47" t="str">
        <x:v>shellPlateButtCrossing</x:v>
      </x:c>
      <x:c r="D14" s="48" t="str">
        <x:v>https://w3id.org/nltl/vocab#shellPlateButtCrossing</x:v>
      </x:c>
      <x:c r="E14" s="47" t="str">
        <x:v>DatatypeProperty</x:v>
      </x:c>
      <x:c r="F14" s="47" t="str">
        <x:v>xsd:boolean</x:v>
      </x:c>
      <x:c r="G14" s="47" t="str">
        <x:v>http://www.w3.org/2001/XMLSchema#boolean</x:v>
      </x:c>
      <x:c r="H14" s="47" t="str"/>
      <x:c r="I14" s="48" t="str">
        <x:v>linked by the locked 313-requirement index</x:v>
      </x:c>
      <x:c r="J14" s="47" t="n">
        <x:v>0</x:v>
      </x:c>
    </x:row>
    <x:row r="15">
      <x:c r="A15" s="47" t="str">
        <x:v>RUN-TRF-050-20260902T140211594538Z</x:v>
      </x:c>
      <x:c r="B15" s="47" t="str">
        <x:v>TRF-050</x:v>
      </x:c>
      <x:c r="C15" s="47" t="str">
        <x:v>ship</x:v>
      </x:c>
      <x:c r="D15" s="48" t="str">
        <x:v>https://w3id.org/nltl/vocab#ship</x:v>
      </x:c>
      <x:c r="E15" s="47" t="str">
        <x:v>Class</x:v>
      </x:c>
      <x:c r="F15" s="47" t="str"/>
      <x:c r="G15" s="47" t="str"/>
      <x:c r="H15" s="47" t="str"/>
      <x:c r="I15" s="48" t="str">
        <x:v>baseline target infrastructure</x:v>
      </x:c>
      <x:c r="J15" s="47" t="n">
        <x:v>0</x:v>
      </x:c>
    </x:row>
    <x:row r="16">
      <x:c r="A16" s="47" t="str">
        <x:v>RUN-TRF-050-20260902T140211594538Z</x:v>
      </x:c>
      <x:c r="B16" s="47" t="str">
        <x:v>TRF-050</x:v>
      </x:c>
      <x:c r="C16" s="47" t="str">
        <x:v>shipComponent</x:v>
      </x:c>
      <x:c r="D16" s="48" t="str">
        <x:v>https://w3id.org/nltl/vocab#shipComponent</x:v>
      </x:c>
      <x:c r="E16" s="47" t="str">
        <x:v>Class</x:v>
      </x:c>
      <x:c r="F16" s="47" t="str"/>
      <x:c r="G16" s="47" t="str"/>
      <x:c r="H16" s="47" t="str"/>
      <x:c r="I16" s="48" t="str">
        <x:v>component-path dependency inferred from the linked term module</x:v>
      </x:c>
      <x:c r="J16" s="47" t="n">
        <x:v>0</x:v>
      </x:c>
    </x:row>
    <x:row r="17">
      <x:c r="A17" s="49" t="str">
        <x:v>RUN-TRF-050-20260902T140211594538Z</x:v>
      </x:c>
      <x:c r="B17" s="49" t="str">
        <x:v>TRF-050</x:v>
      </x:c>
      <x:c r="C17" s="49" t="str">
        <x:v>weldTypeValue</x:v>
      </x:c>
      <x:c r="D17" s="50" t="str">
        <x:v>https://w3id.org/nltl/vocab#weldTypeValue</x:v>
      </x:c>
      <x:c r="E17" s="49" t="str">
        <x:v>Class</x:v>
      </x:c>
      <x:c r="F17" s="49" t="str"/>
      <x:c r="G17" s="49" t="str">
        <x:v>https://w3id.org/nltl/vocab#benchmarkEntity</x:v>
      </x:c>
      <x:c r="H17" s="49" t="str"/>
      <x:c r="I17" s="50" t="str">
        <x:v>linked by the locked 313-requirement index; range dependency of doubleContinuousWeld; range dependency of frameShellWeldType</x:v>
      </x:c>
      <x:c r="J17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b3d3d4dc8a454188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15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RUN-TRF-050-20260902T140211594538Z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RUN-TRF-050-20260902T140211594538Z</x:v>
      </x:c>
      <x:c r="B5" s="45" t="str">
        <x:v>TRF-050</x:v>
      </x:c>
      <x:c r="C5" s="45" t="str">
        <x:v>FS-BOOL-01</x:v>
      </x:c>
      <x:c r="D5" s="45" t="str">
        <x:v>boolean_state</x:v>
      </x:c>
      <x:c r="E5" s="92" t="n">
        <x:v>0.090909</x:v>
      </x:c>
      <x:c r="F5" s="45" t="str">
        <x:v>boolean | required | value</x:v>
      </x:c>
      <x:c r="G5" s="45" t="str">
        <x:v>synthetic-few-shot-not-benchmark-ground-truth</x:v>
      </x:c>
    </x:row>
    <x:row r="6">
      <x:c r="A6" s="49" t="str">
        <x:v>RUN-TRF-050-20260902T140211594538Z</x:v>
      </x:c>
      <x:c r="B6" s="49" t="str">
        <x:v>TRF-050</x:v>
      </x:c>
      <x:c r="C6" s="49" t="str">
        <x:v>FS-BOOL-02</x:v>
      </x:c>
      <x:c r="D6" s="49" t="str">
        <x:v>boolean_state</x:v>
      </x:c>
      <x:c r="E6" s="93" t="n">
        <x:v>0.090909</x:v>
      </x:c>
      <x:c r="F6" s="49" t="str">
        <x:v>boolean | required | value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179fe8b5ed6c433e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RUN-TRF-050-20260902T140211594538Z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RUN-TRF-050-20260902T140211594538Z</x:v>
      </x:c>
      <x:c r="B5" s="69" t="str">
        <x:v>TRF-050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95" t="b">
        <x:v>1</x:v>
      </x:c>
      <x:c r="L5" s="73" t="str"/>
      <x:c r="M5" s="73" t="str"/>
      <x:c r="N5" s="73" t="str">
        <x:v>https://w3id.org/nltl/vocab#doubleContinuousWeld | https://w3id.org/nltl/vocab#frame | https://w3id.org/nltl/vocab#frameAttachment | https://w3id.org/nltl/vocab#frameAttachmentRecord | https://w3id.org/nltl/vocab#frameShellWeldType | https://w3id.org/nltl/vocab#scallopingPresent | https://w3id.org/nltl/vocab#shellPlateButtCrossing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4267c9bb24ef4eb7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RUN-TRF-050-20260902T140211594538Z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RUN-TRF-050-20260902T140211594538Z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RUN-TRF-050-20260902T140211594538Z</x:v>
      </x:c>
      <x:c r="B5" s="45" t="str">
        <x:v>TRF-050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78160ecec1775a8a0f2a6d3ef2e030bf4f000cf7f0105d5042666f394c901761</x:v>
      </x:c>
      <x:c r="G5" s="58" t="n">
        <x:v>17264</x:v>
      </x:c>
    </x:row>
    <x:row r="6">
      <x:c r="A6" s="47" t="str">
        <x:v>RUN-TRF-050-20260902T140211594538Z</x:v>
      </x:c>
      <x:c r="B6" s="47" t="str">
        <x:v>TRF-050</x:v>
      </x:c>
      <x:c r="C6" s="59"/>
      <x:c r="D6" s="47" t="str">
        <x:v>few_shot_selection</x:v>
      </x:c>
      <x:c r="E6" s="48" t="str">
        <x:v>artifacts/few_shots_selected.json</x:v>
      </x:c>
      <x:c r="F6" s="47" t="str">
        <x:v>8b2c2bd6a25a19122b457dfc59b9efadf1935800ddbe52a0171a55691c2c00bc</x:v>
      </x:c>
      <x:c r="G6" s="59" t="n">
        <x:v>3110</x:v>
      </x:c>
    </x:row>
    <x:row r="7">
      <x:c r="A7" s="47" t="str">
        <x:v>RUN-TRF-050-20260902T140211594538Z</x:v>
      </x:c>
      <x:c r="B7" s="47" t="str">
        <x:v>TRF-050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578deadc5f7d80b003091b3a11aacc8ec4e30a3853485def52d0277feab9bf7b</x:v>
      </x:c>
      <x:c r="G7" s="59" t="n">
        <x:v>31888</x:v>
      </x:c>
    </x:row>
    <x:row r="8">
      <x:c r="A8" s="47" t="str">
        <x:v>RUN-TRF-050-20260902T140211594538Z</x:v>
      </x:c>
      <x:c r="B8" s="47" t="str">
        <x:v>TRF-050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a1f7c1dd5b4d907ab369a20f27bb873c3235960dabf7835bb604585f547651c4</x:v>
      </x:c>
      <x:c r="G8" s="59" t="n">
        <x:v>1754</x:v>
      </x:c>
    </x:row>
    <x:row r="9">
      <x:c r="A9" s="47" t="str">
        <x:v>RUN-TRF-050-20260902T140211594538Z</x:v>
      </x:c>
      <x:c r="B9" s="47" t="str">
        <x:v>TRF-050</x:v>
      </x:c>
      <x:c r="C9" s="59" t="n">
        <x:v>1</x:v>
      </x:c>
      <x:c r="D9" s="47" t="str">
        <x:v>no_semantic_validator_candidate_shape</x:v>
      </x:c>
      <x:c r="E9" s="48" t="str">
        <x:v>artifacts/attempt_01/candidate_shape.ttl</x:v>
      </x:c>
      <x:c r="F9" s="47" t="str">
        <x:v>cbcf006c2b6c87d89189e514beb4526147a198428d5384c2cfaa2e1e60ef7145</x:v>
      </x:c>
      <x:c r="G9" s="59" t="n">
        <x:v>1729</x:v>
      </x:c>
    </x:row>
    <x:row r="10">
      <x:c r="A10" s="49" t="str">
        <x:v>RUN-TRF-050-20260902T140211594538Z</x:v>
      </x:c>
      <x:c r="B10" s="49" t="str">
        <x:v>TRF-050</x:v>
      </x:c>
      <x:c r="C10" s="60" t="n">
        <x:v>1</x:v>
      </x:c>
      <x:c r="D10" s="49" t="str">
        <x:v>no_semantic_validator_diagnostics</x:v>
      </x:c>
      <x:c r="E10" s="50" t="str">
        <x:v>artifacts/attempt_01/no_semantic_validator_diagnostics.json</x:v>
      </x:c>
      <x:c r="F10" s="49" t="str">
        <x:v>cb8c58480bcc15adf0e571de0fe9dd3df43ec2a269605ea5973bfd6d2afe9c61</x:v>
      </x:c>
      <x:c r="G10" s="60" t="n">
        <x:v>1184</x:v>
      </x:c>
    </x:row>
  </x:sheetData>
  <x:pageMargins left="0.7" right="0.7" top="0.75" bottom="0.75" header="0.3" footer="0.3"/>
  <x:tableParts count="1">
    <x:tablePart xmlns:r="http://schemas.openxmlformats.org/officeDocument/2006/relationships" r:id="Rc8178cb877634c22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RUN-TRF-050-20260902T140211594538Z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RUN-TRF-050-20260902T140211594538Z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