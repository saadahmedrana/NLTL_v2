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720ed980b7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b96eec0ba844fa2"/>
    <x:sheet xmlns:r="http://schemas.openxmlformats.org/officeDocument/2006/relationships" name="README" sheetId="2" r:id="Rfb70a282b6d64272"/>
    <x:sheet xmlns:r="http://schemas.openxmlformats.org/officeDocument/2006/relationships" name="REGULATION_QUEUE" sheetId="3" r:id="Rbe5acb1028a844d8"/>
    <x:sheet xmlns:r="http://schemas.openxmlformats.org/officeDocument/2006/relationships" name="RUNS" sheetId="4" r:id="R1f2e614550ac4a2c"/>
    <x:sheet xmlns:r="http://schemas.openxmlformats.org/officeDocument/2006/relationships" name="ITERATIONS" sheetId="5" r:id="R0b41717b50b146bf"/>
    <x:sheet xmlns:r="http://schemas.openxmlformats.org/officeDocument/2006/relationships" name="API_CALLS" sheetId="6" r:id="R1a23135b8fb94ee9"/>
    <x:sheet xmlns:r="http://schemas.openxmlformats.org/officeDocument/2006/relationships" name="TERM_RETRIEVAL" sheetId="7" r:id="R93473d60781b4067"/>
    <x:sheet xmlns:r="http://schemas.openxmlformats.org/officeDocument/2006/relationships" name="FEW_SHOT_SELECTION" sheetId="8" r:id="R32430f740728448e"/>
    <x:sheet xmlns:r="http://schemas.openxmlformats.org/officeDocument/2006/relationships" name="VALIDATION" sheetId="9" r:id="Re6a70762e1474afb"/>
    <x:sheet xmlns:r="http://schemas.openxmlformats.org/officeDocument/2006/relationships" name="VOCAB_MATCHES" sheetId="10" r:id="R93b1fa28f0d64467"/>
    <x:sheet xmlns:r="http://schemas.openxmlformats.org/officeDocument/2006/relationships" name="ARTIFACTS" sheetId="11" r:id="R708acba368f143fd"/>
    <x:sheet xmlns:r="http://schemas.openxmlformats.org/officeDocument/2006/relationships" name="UNRESOLVED" sheetId="12" r:id="R13b52d4857074423"/>
    <x:sheet xmlns:r="http://schemas.openxmlformats.org/officeDocument/2006/relationships" name="RDF_TEST_QUEUE" sheetId="13" r:id="Rdd47866f3745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592864b5364eaf" /><Relationship Type="http://schemas.openxmlformats.org/officeDocument/2006/relationships/theme" Target="/xl/theme/theme1.xml" Id="Ra23d60b3621f467f" /><Relationship Type="http://schemas.microsoft.com/office/2022/11/relationships/FeaturePropertyBag" Target="/xl/featurePropertyBag/featurePropertyBag.xml" Id="Rd45b6acd342b4a41" /><Relationship Type="http://schemas.openxmlformats.org/officeDocument/2006/relationships/sharedStrings" Target="/xl/sharedStrings.xml" Id="R114a467fae4545bf" /><Relationship Type="http://schemas.openxmlformats.org/officeDocument/2006/relationships/worksheet" Target="/xl/worksheets/sheet1.xml" Id="Reb96eec0ba844fa2" /><Relationship Type="http://schemas.openxmlformats.org/officeDocument/2006/relationships/worksheet" Target="/xl/worksheets/sheet2.xml" Id="Rfb70a282b6d64272" /><Relationship Type="http://schemas.openxmlformats.org/officeDocument/2006/relationships/worksheet" Target="/xl/worksheets/sheet3.xml" Id="Rbe5acb1028a844d8" /><Relationship Type="http://schemas.openxmlformats.org/officeDocument/2006/relationships/worksheet" Target="/xl/worksheets/sheet4.xml" Id="R1f2e614550ac4a2c" /><Relationship Type="http://schemas.openxmlformats.org/officeDocument/2006/relationships/worksheet" Target="/xl/worksheets/sheet5.xml" Id="R0b41717b50b146bf" /><Relationship Type="http://schemas.openxmlformats.org/officeDocument/2006/relationships/worksheet" Target="/xl/worksheets/sheet6.xml" Id="R1a23135b8fb94ee9" /><Relationship Type="http://schemas.openxmlformats.org/officeDocument/2006/relationships/worksheet" Target="/xl/worksheets/sheet7.xml" Id="R93473d60781b4067" /><Relationship Type="http://schemas.openxmlformats.org/officeDocument/2006/relationships/worksheet" Target="/xl/worksheets/sheet8.xml" Id="R32430f740728448e" /><Relationship Type="http://schemas.openxmlformats.org/officeDocument/2006/relationships/worksheet" Target="/xl/worksheets/sheet9.xml" Id="Re6a70762e1474afb" /><Relationship Type="http://schemas.openxmlformats.org/officeDocument/2006/relationships/worksheet" Target="/xl/worksheets/sheet10.xml" Id="R93b1fa28f0d64467" /><Relationship Type="http://schemas.openxmlformats.org/officeDocument/2006/relationships/worksheet" Target="/xl/worksheets/sheet11.xml" Id="R708acba368f143fd" /><Relationship Type="http://schemas.openxmlformats.org/officeDocument/2006/relationships/worksheet" Target="/xl/worksheets/sheet12.xml" Id="R13b52d4857074423" /><Relationship Type="http://schemas.openxmlformats.org/officeDocument/2006/relationships/worksheet" Target="/xl/worksheets/sheet13.xml" Id="Rdd47866f37454b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7e96943e7145d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570ca62c50849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7da1c08eae45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911f01043247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53330c98414b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a92e23fd9246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3f361f92cae437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f7db76c2c91494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0990b709e34d2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RUN-IMO-038-20260902T150423592521Z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27708.908499999998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RUN-IMO-038-20260902T150423592521Z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7e96943e7145d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NO_SEMANTIC_VALIDATOR_DETERMINISTIC_PASS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0ca62c50849c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RUN-IMO-038-20260902T150423592521Z</x:v>
      </x:c>
      <x:c r="C5" s="69" t="str">
        <x:v>IMO-038</x:v>
      </x:c>
      <x:c r="D5" s="70" t="n">
        <x:v>46267.628050844905</x:v>
      </x:c>
      <x:c r="E5" s="70" t="n">
        <x:v>46267.628374224536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d7da1c08eae45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RUN-IMO-038-20260902T150423592521Z</x:v>
      </x:c>
      <x:c r="B5" s="69" t="str">
        <x:v>IMO-038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27709.728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911f01043247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RUN-IMO-038-20260902T150423592521Z</x:v>
      </x:c>
      <x:c r="C5" s="45" t="str">
        <x:v>IMO-038</x:v>
      </x:c>
      <x:c r="D5" s="84" t="n">
        <x:v>46267.6283715625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27708.089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EVT-000021</x:v>
      </x:c>
      <x:c r="B6" s="49" t="str">
        <x:v>RUN-IMO-038-20260902T150423592521Z</x:v>
      </x:c>
      <x:c r="C6" s="49" t="str">
        <x:v>IMO-038</x:v>
      </x:c>
      <x:c r="D6" s="87" t="n">
        <x:v>46267.62837157407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27709.728</x:v>
      </x:c>
      <x:c r="L6" s="89" t="b">
        <x:v>0</x:v>
      </x:c>
      <x:c r="M6" s="49" t="str">
        <x:v>resp_021125802bb4bd12006a983af7b1c881958273e1fb448fab2f</x:v>
      </x:c>
      <x:c r="N6" s="60" t="n">
        <x:v>8040</x:v>
      </x:c>
      <x:c r="O6" s="60" t="n">
        <x:v>2870</x:v>
      </x:c>
      <x:c r="P6" s="60" t="n">
        <x:v>10910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53330c98414b1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RUN-IMO-038-20260902T150423592521Z</x:v>
      </x:c>
      <x:c r="B5" s="45" t="str">
        <x:v>IMO-038</x:v>
      </x:c>
      <x:c r="C5" s="45" t="str">
        <x:v>allowedVerticalPosition</x:v>
      </x:c>
      <x:c r="D5" s="46" t="str">
        <x:v>https://w3id.org/nltl/vocab#allowedVerticalPosition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RUN-IMO-038-20260902T150423592521Z</x:v>
      </x:c>
      <x:c r="B6" s="47" t="str">
        <x:v>IMO-038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allowedVerticalPosition; domain dependency of damageCenterForwardOfMaxBreadth; domain dependency of longitudinalDamageExtent; domain dependency of transversePenetration; domain dependency of upperIceWaterlineDraught; domain dependency of upperIceWaterlineLength; domain dependency of verticalDamageExtent</x:v>
      </x:c>
      <x:c r="J6" s="47" t="n">
        <x:v>0</x:v>
      </x:c>
    </x:row>
    <x:row r="7">
      <x:c r="A7" s="47" t="str">
        <x:v>RUN-IMO-038-20260902T150423592521Z</x:v>
      </x:c>
      <x:c r="B7" s="47" t="str">
        <x:v>IMO-038</x:v>
      </x:c>
      <x:c r="C7" s="47" t="str">
        <x:v>damageCenterForwardOfMaxBreadth</x:v>
      </x:c>
      <x:c r="D7" s="48" t="str">
        <x:v>https://w3id.org/nltl/vocab#damageCenterForwardOfMaxBreadth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RUN-IMO-038-20260902T150423592521Z</x:v>
      </x:c>
      <x:c r="B8" s="47" t="str">
        <x:v>IMO-038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RUN-IMO-038-20260902T150423592521Z</x:v>
      </x:c>
      <x:c r="B9" s="47" t="str">
        <x:v>IMO-038</x:v>
      </x:c>
      <x:c r="C9" s="47" t="str">
        <x:v>longitudinalDamageExtent</x:v>
      </x:c>
      <x:c r="D9" s="48" t="str">
        <x:v>https://w3id.org/nltl/vocab#longitudinalDamageExtent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RUN-IMO-038-20260902T150423592521Z</x:v>
      </x:c>
      <x:c r="B10" s="47" t="str">
        <x:v>IMO-038</x:v>
      </x:c>
      <x:c r="C10" s="47" t="str">
        <x:v>selectedVerticalDamagePosition</x:v>
      </x:c>
      <x:c r="D10" s="48" t="str">
        <x:v>https://w3id.org/nltl/vocab#selectedVerticalDamagePosition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RUN-IMO-038-20260902T150423592521Z</x:v>
      </x:c>
      <x:c r="B11" s="47" t="str">
        <x:v>IMO-038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selectedVerticalDamagePosition</x:v>
      </x:c>
      <x:c r="J11" s="47" t="n">
        <x:v>0</x:v>
      </x:c>
    </x:row>
    <x:row r="12">
      <x:c r="A12" s="47" t="str">
        <x:v>RUN-IMO-038-20260902T150423592521Z</x:v>
      </x:c>
      <x:c r="B12" s="47" t="str">
        <x:v>IMO-038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RUN-IMO-038-20260902T150423592521Z</x:v>
      </x:c>
      <x:c r="B13" s="47" t="str">
        <x:v>IMO-038</x:v>
      </x:c>
      <x:c r="C13" s="47" t="str">
        <x:v>transversePenetration</x:v>
      </x:c>
      <x:c r="D13" s="48" t="str">
        <x:v>https://w3id.org/nltl/vocab#transversePenetration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http://qudt.org/vocab/unit/MilliM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RUN-IMO-038-20260902T150423592521Z</x:v>
      </x:c>
      <x:c r="B14" s="47" t="str">
        <x:v>IMO-038</x:v>
      </x:c>
      <x:c r="C14" s="47" t="str">
        <x:v>upperIceWaterlineDraught</x:v>
      </x:c>
      <x:c r="D14" s="48" t="str">
        <x:v>https://w3id.org/nltl/vocab#upperIceWaterlineDraught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RUN-IMO-038-20260902T150423592521Z</x:v>
      </x:c>
      <x:c r="B15" s="47" t="str">
        <x:v>IMO-038</x:v>
      </x:c>
      <x:c r="C15" s="47" t="str">
        <x:v>upperIceWaterlineLength</x:v>
      </x:c>
      <x:c r="D15" s="48" t="str">
        <x:v>https://w3id.org/nltl/vocab#upperIceWaterlineLength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</x:v>
      </x:c>
      <x:c r="I15" s="48" t="str">
        <x:v>linked by the locked 313-requirement index</x:v>
      </x:c>
      <x:c r="J15" s="47" t="n">
        <x:v>0</x:v>
      </x:c>
    </x:row>
    <x:row r="16">
      <x:c r="A16" s="49" t="str">
        <x:v>RUN-IMO-038-20260902T150423592521Z</x:v>
      </x:c>
      <x:c r="B16" s="49" t="str">
        <x:v>IMO-038</x:v>
      </x:c>
      <x:c r="C16" s="49" t="str">
        <x:v>verticalDamageExtent</x:v>
      </x:c>
      <x:c r="D16" s="50" t="str">
        <x:v>https://w3id.org/nltl/vocab#verticalDamageExtent</x:v>
      </x:c>
      <x:c r="E16" s="49" t="str">
        <x:v>QuantityProperty</x:v>
      </x:c>
      <x:c r="F16" s="49" t="str"/>
      <x:c r="G16" s="49" t="str">
        <x:v>http://qudt.org/schema/qudt/QuantityValue</x:v>
      </x:c>
      <x:c r="H16" s="49" t="str">
        <x:v>http://qudt.org/vocab/unit/M</x:v>
      </x:c>
      <x:c r="I16" s="50" t="str">
        <x:v>linked by the locked 313-requirement index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a92e23fd9246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RUN-IMO-038-20260902T150423592521Z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RUN-IMO-038-20260902T150423592521Z</x:v>
      </x:c>
      <x:c r="B5" s="45" t="str">
        <x:v>IMO-038</x:v>
      </x:c>
      <x:c r="C5" s="45" t="str">
        <x:v>FS-CALC-02</x:v>
      </x:c>
      <x:c r="D5" s="45" t="str">
        <x:v>comparison_calculation</x:v>
      </x:c>
      <x:c r="E5" s="92" t="n">
        <x:v>0.046512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RUN-IMO-038-20260902T150423592521Z</x:v>
      </x:c>
      <x:c r="B6" s="49" t="str">
        <x:v>IMO-038</x:v>
      </x:c>
      <x:c r="C6" s="49" t="str">
        <x:v>FS-BOOL-01</x:v>
      </x:c>
      <x:c r="D6" s="49" t="str">
        <x:v>boolean_state</x:v>
      </x:c>
      <x:c r="E6" s="93" t="n">
        <x:v>0.034483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f361f92cae437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RUN-IMO-038-20260902T150423592521Z</x:v>
      </x:c>
      <x:c r="B5" s="69" t="str">
        <x:v>IMO-038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https://w3id.org/nltl/vocab#damageCenterForwardOfMaxBreadth | https://w3id.org/nltl/vocab#longitudinalDamageExtent | https://w3id.org/nltl/vocab#selectedVerticalDamagePosition | https://w3id.org/nltl/vocab#ship | https://w3id.org/nltl/vocab#transversePenetration | https://w3id.org/nltl/vocab#upperIceWaterlineDraught | https://w3id.org/nltl/vocab#upperIceWaterlineLength | https://w3id.org/nltl/vocab#verticalDamageExtent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f7db76c2c91494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RUN-IMO-038-20260902T150423592521Z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RUN-IMO-038-20260902T150423592521Z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RUN-IMO-038-20260902T150423592521Z</x:v>
      </x:c>
      <x:c r="B5" s="45" t="str">
        <x:v>IMO-038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48cc5e337fd43ca15a5b85580190d190569c8c5a01986d50483b8dab8fb10b9e</x:v>
      </x:c>
      <x:c r="G5" s="58" t="n">
        <x:v>17793</x:v>
      </x:c>
    </x:row>
    <x:row r="6">
      <x:c r="A6" s="47" t="str">
        <x:v>RUN-IMO-038-20260902T150423592521Z</x:v>
      </x:c>
      <x:c r="B6" s="47" t="str">
        <x:v>IMO-038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4ed896c7f017510bfa69781cf7d3a5792327945269ae9e7d76d38703354c2399</x:v>
      </x:c>
      <x:c r="G6" s="59" t="n">
        <x:v>4749</x:v>
      </x:c>
    </x:row>
    <x:row r="7">
      <x:c r="A7" s="47" t="str">
        <x:v>RUN-IMO-038-20260902T150423592521Z</x:v>
      </x:c>
      <x:c r="B7" s="47" t="str">
        <x:v>IMO-038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ce38a33a7bfa7f5c1b83bc07c77e0534bfc997e1c1c68057f58e768044e4e3a7</x:v>
      </x:c>
      <x:c r="G7" s="59" t="n">
        <x:v>34096</x:v>
      </x:c>
    </x:row>
    <x:row r="8">
      <x:c r="A8" s="47" t="str">
        <x:v>RUN-IMO-038-20260902T150423592521Z</x:v>
      </x:c>
      <x:c r="B8" s="47" t="str">
        <x:v>IMO-038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95edc250f187062d19ba6fdc65e5be6a221c51b2eb34a92011308601881de555</x:v>
      </x:c>
      <x:c r="G8" s="59" t="n">
        <x:v>6286</x:v>
      </x:c>
    </x:row>
    <x:row r="9">
      <x:c r="A9" s="47" t="str">
        <x:v>RUN-IMO-038-20260902T150423592521Z</x:v>
      </x:c>
      <x:c r="B9" s="47" t="str">
        <x:v>IMO-038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00ae8de059988e47532cec1c36e9797653b48d197b861653810d7fa4f9eb7fff</x:v>
      </x:c>
      <x:c r="G9" s="59" t="n">
        <x:v>6261</x:v>
      </x:c>
    </x:row>
    <x:row r="10">
      <x:c r="A10" s="49" t="str">
        <x:v>RUN-IMO-038-20260902T150423592521Z</x:v>
      </x:c>
      <x:c r="B10" s="49" t="str">
        <x:v>IMO-038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66f6c066bf1f8a7cdcc281484ef093516ff44baa84060eb083107700a1ddc16d</x:v>
      </x:c>
      <x:c r="G10" s="60" t="n">
        <x:v>1281</x:v>
      </x:c>
    </x:row>
  </x:sheetData>
  <x:pageMargins left="0.7" right="0.7" top="0.75" bottom="0.75" header="0.3" footer="0.3"/>
  <x:tableParts count="1">
    <x:tablePart xmlns:r="http://schemas.openxmlformats.org/officeDocument/2006/relationships" r:id="R620990b709e34d2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RUN-IMO-038-20260902T150423592521Z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RUN-IMO-038-20260902T150423592521Z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