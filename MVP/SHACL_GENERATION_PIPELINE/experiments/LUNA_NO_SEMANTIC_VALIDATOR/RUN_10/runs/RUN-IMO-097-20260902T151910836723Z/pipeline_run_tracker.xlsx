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ba8487694274ced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95837545ec5445c5"/>
    <x:sheet xmlns:r="http://schemas.openxmlformats.org/officeDocument/2006/relationships" name="README" sheetId="2" r:id="Re0c77d938bf94a59"/>
    <x:sheet xmlns:r="http://schemas.openxmlformats.org/officeDocument/2006/relationships" name="REGULATION_QUEUE" sheetId="3" r:id="Rc6b2a7887d394613"/>
    <x:sheet xmlns:r="http://schemas.openxmlformats.org/officeDocument/2006/relationships" name="RUNS" sheetId="4" r:id="Rabccdddb0cc643a1"/>
    <x:sheet xmlns:r="http://schemas.openxmlformats.org/officeDocument/2006/relationships" name="ITERATIONS" sheetId="5" r:id="R7e92f934899f44c6"/>
    <x:sheet xmlns:r="http://schemas.openxmlformats.org/officeDocument/2006/relationships" name="API_CALLS" sheetId="6" r:id="Rf39fc15cade4499a"/>
    <x:sheet xmlns:r="http://schemas.openxmlformats.org/officeDocument/2006/relationships" name="TERM_RETRIEVAL" sheetId="7" r:id="Rf3436f1902aa4239"/>
    <x:sheet xmlns:r="http://schemas.openxmlformats.org/officeDocument/2006/relationships" name="FEW_SHOT_SELECTION" sheetId="8" r:id="R0aec129143a94b73"/>
    <x:sheet xmlns:r="http://schemas.openxmlformats.org/officeDocument/2006/relationships" name="VALIDATION" sheetId="9" r:id="R879ef60ac02c43fe"/>
    <x:sheet xmlns:r="http://schemas.openxmlformats.org/officeDocument/2006/relationships" name="VOCAB_MATCHES" sheetId="10" r:id="R5e09b5fdbd0c4d69"/>
    <x:sheet xmlns:r="http://schemas.openxmlformats.org/officeDocument/2006/relationships" name="ARTIFACTS" sheetId="11" r:id="R20cea9ded1594748"/>
    <x:sheet xmlns:r="http://schemas.openxmlformats.org/officeDocument/2006/relationships" name="UNRESOLVED" sheetId="12" r:id="R155f0df8ad54437a"/>
    <x:sheet xmlns:r="http://schemas.openxmlformats.org/officeDocument/2006/relationships" name="RDF_TEST_QUEUE" sheetId="13" r:id="R361fa649e2274c1e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98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/>
    </x:xf>
    <x:xf numFmtId="201" fontId="6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42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127d755123a647c5" /><Relationship Type="http://schemas.openxmlformats.org/officeDocument/2006/relationships/theme" Target="/xl/theme/theme1.xml" Id="R824e7e879dc44147" /><Relationship Type="http://schemas.microsoft.com/office/2022/11/relationships/FeaturePropertyBag" Target="/xl/featurePropertyBag/featurePropertyBag.xml" Id="Rd1dd92459c74464e" /><Relationship Type="http://schemas.openxmlformats.org/officeDocument/2006/relationships/sharedStrings" Target="/xl/sharedStrings.xml" Id="R9f6fc3b1c0aa4cb2" /><Relationship Type="http://schemas.openxmlformats.org/officeDocument/2006/relationships/worksheet" Target="/xl/worksheets/sheet1.xml" Id="R95837545ec5445c5" /><Relationship Type="http://schemas.openxmlformats.org/officeDocument/2006/relationships/worksheet" Target="/xl/worksheets/sheet2.xml" Id="Re0c77d938bf94a59" /><Relationship Type="http://schemas.openxmlformats.org/officeDocument/2006/relationships/worksheet" Target="/xl/worksheets/sheet3.xml" Id="Rc6b2a7887d394613" /><Relationship Type="http://schemas.openxmlformats.org/officeDocument/2006/relationships/worksheet" Target="/xl/worksheets/sheet4.xml" Id="Rabccdddb0cc643a1" /><Relationship Type="http://schemas.openxmlformats.org/officeDocument/2006/relationships/worksheet" Target="/xl/worksheets/sheet5.xml" Id="R7e92f934899f44c6" /><Relationship Type="http://schemas.openxmlformats.org/officeDocument/2006/relationships/worksheet" Target="/xl/worksheets/sheet6.xml" Id="Rf39fc15cade4499a" /><Relationship Type="http://schemas.openxmlformats.org/officeDocument/2006/relationships/worksheet" Target="/xl/worksheets/sheet7.xml" Id="Rf3436f1902aa4239" /><Relationship Type="http://schemas.openxmlformats.org/officeDocument/2006/relationships/worksheet" Target="/xl/worksheets/sheet8.xml" Id="R0aec129143a94b73" /><Relationship Type="http://schemas.openxmlformats.org/officeDocument/2006/relationships/worksheet" Target="/xl/worksheets/sheet9.xml" Id="R879ef60ac02c43fe" /><Relationship Type="http://schemas.openxmlformats.org/officeDocument/2006/relationships/worksheet" Target="/xl/worksheets/sheet10.xml" Id="R5e09b5fdbd0c4d69" /><Relationship Type="http://schemas.openxmlformats.org/officeDocument/2006/relationships/worksheet" Target="/xl/worksheets/sheet11.xml" Id="R20cea9ded1594748" /><Relationship Type="http://schemas.openxmlformats.org/officeDocument/2006/relationships/worksheet" Target="/xl/worksheets/sheet12.xml" Id="R155f0df8ad54437a" /><Relationship Type="http://schemas.openxmlformats.org/officeDocument/2006/relationships/worksheet" Target="/xl/worksheets/sheet13.xml" Id="R361fa649e2274c1e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5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6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26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0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349592bd702449d8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555d642f47a743d5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26b6384239384606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822a8e541cdc4712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94225d30092b46cf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3ea0636922864215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cdbceefae2d94a27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d9b5ccbe18c54a64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24c5df95000440b9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RUN-IMO-097-20260902T151910836723Z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0</x:v>
      </x:c>
      <x:c r="C8" s="21"/>
      <x:c r="D8" s="21"/>
    </x:row>
    <x:row r="9">
      <x:c r="A9" s="25" t="str">
        <x:v>API/LLM records</x:v>
      </x:c>
      <x:c r="B9" s="26" t="n">
        <x:f>COUNTA('API_CALLS'!$A$5:$A$6)</x:f>
        <x:v>2</x:v>
      </x:c>
      <x:c r="C9" s="21"/>
      <x:c r="D9" s="21"/>
    </x:row>
    <x:row r="10">
      <x:c r="A10" s="27" t="str">
        <x:v>Mean API/LLM elapsed ms</x:v>
      </x:c>
      <x:c r="B10" s="28" t="n">
        <x:f>IFERROR(AVERAGE('API_CALLS'!$K$5:$K$6),0)</x:f>
        <x:v>24056.0625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RUN-IMO-097-20260902T151910836723Z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349592bd702449d8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RUN-IMO-097-20260902T151910836723Z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NO_SEMANTIC_VALIDATOR_DETERMINISTIC_FAIL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555d642f47a743d5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4" hidden="0" customWidth="1"/>
    <x:col min="7" max="7" width="24" hidden="0" customWidth="1"/>
    <x:col min="8" max="8" width="11" hidden="0" customWidth="1"/>
    <x:col min="9" max="9" width="24" hidden="0" customWidth="1"/>
    <x:col min="10" max="10" width="11" hidden="0" customWidth="1"/>
    <x:col min="11" max="11" width="1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RUN-IMO-097-20260902T151910836723Z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SESSION-NO-SEMANTIC-VALIDATOR-BATCH-20260902T143008933037Z</x:v>
      </x:c>
      <x:c r="B5" s="69" t="str">
        <x:v>RUN-IMO-097-20260902T151910836723Z</x:v>
      </x:c>
      <x:c r="C5" s="69" t="str">
        <x:v>IMO-097</x:v>
      </x:c>
      <x:c r="D5" s="70" t="n">
        <x:v>46267.63831988426</x:v>
      </x:c>
      <x:c r="E5" s="70" t="n">
        <x:v>46267.638599722224</x:v>
      </x:c>
      <x:c r="F5" s="69" t="str">
        <x:v>luna-no-semantic-validator-run10-v1</x:v>
      </x:c>
      <x:c r="G5" s="69" t="str">
        <x:v>VOCAB-LOCK-2026-08-22-R13</x:v>
      </x:c>
      <x:c r="H5" s="71" t="n">
        <x:v>1</x:v>
      </x:c>
      <x:c r="I5" s="69" t="str">
        <x:v>NO_SEMANTIC_VALIDATOR_DETERMINISTIC_FAIL</x:v>
      </x:c>
      <x:c r="J5" s="72" t="b">
        <x:v>0</x:v>
      </x:c>
      <x:c r="K5" s="69" t="str"/>
      <x:c r="L5" s="73" t="str">
        <x:v>Semantic validator disabled; no semantic acceptance judgement was made.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26b6384239384606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24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RUN-IMO-097-20260902T151910836723Z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69" t="str">
        <x:v>RUN-IMO-097-20260902T151910836723Z</x:v>
      </x:c>
      <x:c r="B5" s="69" t="str">
        <x:v>IMO-097</x:v>
      </x:c>
      <x:c r="C5" s="71" t="n">
        <x:v>1</x:v>
      </x:c>
      <x:c r="D5" s="72" t="b">
        <x:v>0</x:v>
      </x:c>
      <x:c r="E5" s="69"/>
      <x:c r="F5" s="72" t="b">
        <x:v>0</x:v>
      </x:c>
      <x:c r="G5" s="69" t="str">
        <x:v>NO_SEMANTIC_VALIDATOR_DETERMINISTIC_FAIL</x:v>
      </x:c>
      <x:c r="H5" s="73" t="str">
        <x:v>Semantic validator disabled; deterministic diagnostics were not used as repair feedback.</x:v>
      </x:c>
      <x:c r="I5" s="75" t="n">
        <x:v>24056.878</x:v>
      </x:c>
      <x:c r="J5" s="75" t="n">
        <x:v>0</x:v>
      </x:c>
    </x:row>
  </x:sheetData>
  <x:conditionalFormatting sqref="G5:G5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822a8e541cdc4712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RUN-IMO-097-20260902T151910836723Z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EVT-000030</x:v>
      </x:c>
      <x:c r="B5" s="45" t="str">
        <x:v>RUN-IMO-097-20260902T151910836723Z</x:v>
      </x:c>
      <x:c r="C5" s="45" t="str">
        <x:v>IMO-097</x:v>
      </x:c>
      <x:c r="D5" s="84" t="n">
        <x:v>46267.63859833333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5" t="n">
        <x:v>0</x:v>
      </x:c>
      <x:c r="K5" s="85" t="n">
        <x:v>24055.247</x:v>
      </x:c>
      <x:c r="L5" s="86" t="b">
        <x:v>0</x:v>
      </x:c>
      <x:c r="M5" s="45" t="str"/>
      <x:c r="N5" s="58" t="str"/>
      <x:c r="O5" s="58" t="str"/>
      <x:c r="P5" s="58" t="str"/>
    </x:row>
    <x:row r="6">
      <x:c r="A6" s="49" t="str">
        <x:v>EVT-000031</x:v>
      </x:c>
      <x:c r="B6" s="49" t="str">
        <x:v>RUN-IMO-097-20260902T151910836723Z</x:v>
      </x:c>
      <x:c r="C6" s="49" t="str">
        <x:v>IMO-097</x:v>
      </x:c>
      <x:c r="D6" s="87" t="n">
        <x:v>46267.63859834491</x:v>
      </x:c>
      <x:c r="E6" s="49" t="str">
        <x:v>generator</x:v>
      </x:c>
      <x:c r="F6" s="49" t="str">
        <x:v>gpt-5.6-luna-2026-07-09</x:v>
      </x:c>
      <x:c r="G6" s="49" t="n">
        <x:v>1</x:v>
      </x:c>
      <x:c r="H6" s="49" t="str">
        <x:v>COMPLETED</x:v>
      </x:c>
      <x:c r="I6" s="49" t="str"/>
      <x:c r="J6" s="88" t="n">
        <x:v>0</x:v>
      </x:c>
      <x:c r="K6" s="88" t="n">
        <x:v>24056.878</x:v>
      </x:c>
      <x:c r="L6" s="89" t="b">
        <x:v>0</x:v>
      </x:c>
      <x:c r="M6" s="49" t="str">
        <x:v>resp_0a4f3b962661c853006a983e6ef3708197a0782a7ad50019a2</x:v>
      </x:c>
      <x:c r="N6" s="60" t="n">
        <x:v>10798</x:v>
      </x:c>
      <x:c r="O6" s="60" t="n">
        <x:v>2130</x:v>
      </x:c>
      <x:c r="P6" s="60" t="n">
        <x:v>12928</x:v>
      </x:c>
    </x:row>
  </x:sheetData>
  <x:conditionalFormatting sqref="H5:H6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94225d30092b46cf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3" hidden="0" customWidth="1"/>
    <x:col min="7" max="7" width="46" hidden="0" customWidth="1"/>
    <x:col min="8" max="8" width="18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RUN-IMO-097-20260902T151910836723Z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RUN-IMO-097-20260902T151910836723Z</x:v>
      </x:c>
      <x:c r="B5" s="45" t="str">
        <x:v>IMO-097</x:v>
      </x:c>
      <x:c r="C5" s="45" t="str">
        <x:v>benchmarkEntity</x:v>
      </x:c>
      <x:c r="D5" s="46" t="str">
        <x:v>https://w3id.org/nltl/vocab#benchmarkEntity</x:v>
      </x:c>
      <x:c r="E5" s="45" t="str">
        <x:v>Class</x:v>
      </x:c>
      <x:c r="F5" s="45" t="str"/>
      <x:c r="G5" s="45" t="str"/>
      <x:c r="H5" s="45" t="str"/>
      <x:c r="I5" s="46" t="str">
        <x:v>baseline target infrastructure; domain dependency of distressAlertDeviceCount; domain dependency of locationSignalDeviceCount; domain dependency of onSceneTransmitReceiveDeviceCount; domain dependency of releasedRescueBoatOrLifeboat; domain dependency of shipOperatesInLowAirTemperature</x:v>
      </x:c>
      <x:c r="J5" s="45" t="n">
        <x:v>0</x:v>
      </x:c>
    </x:row>
    <x:row r="6">
      <x:c r="A6" s="47" t="str">
        <x:v>RUN-IMO-097-20260902T151910836723Z</x:v>
      </x:c>
      <x:c r="B6" s="47" t="str">
        <x:v>IMO-097</x:v>
      </x:c>
      <x:c r="C6" s="47" t="str">
        <x:v>distressAlertDeviceCount</x:v>
      </x:c>
      <x:c r="D6" s="48" t="str">
        <x:v>https://w3id.org/nltl/vocab#distressAlertDeviceCount</x:v>
      </x:c>
      <x:c r="E6" s="47" t="str">
        <x:v>DatatypeProperty</x:v>
      </x:c>
      <x:c r="F6" s="47" t="str">
        <x:v>xsd:integer</x:v>
      </x:c>
      <x:c r="G6" s="47" t="str">
        <x:v>http://www.w3.org/2001/XMLSchema#integer</x:v>
      </x:c>
      <x:c r="H6" s="47" t="str"/>
      <x:c r="I6" s="48" t="str">
        <x:v>linked by the locked 313-requirement index</x:v>
      </x:c>
      <x:c r="J6" s="47" t="n">
        <x:v>0</x:v>
      </x:c>
    </x:row>
    <x:row r="7">
      <x:c r="A7" s="47" t="str">
        <x:v>RUN-IMO-097-20260902T151910836723Z</x:v>
      </x:c>
      <x:c r="B7" s="47" t="str">
        <x:v>IMO-097</x:v>
      </x:c>
      <x:c r="C7" s="47" t="str">
        <x:v>equipmentItem</x:v>
      </x:c>
      <x:c r="D7" s="48" t="str">
        <x:v>https://w3id.org/nltl/vocab#equipmentItem</x:v>
      </x:c>
      <x:c r="E7" s="47" t="str">
        <x:v>Class</x:v>
      </x:c>
      <x:c r="F7" s="47" t="str"/>
      <x:c r="G7" s="47" t="str">
        <x:v>https://w3id.org/nltl/vocab#shipComponent</x:v>
      </x:c>
      <x:c r="H7" s="47" t="str"/>
      <x:c r="I7" s="48" t="str">
        <x:v>range dependency of hasDistressAlertDevice; range dependency of shipToShoreDistressAlertDevice; range dependency of survivalCraft</x:v>
      </x:c>
      <x:c r="J7" s="47" t="n">
        <x:v>0</x:v>
      </x:c>
    </x:row>
    <x:row r="8">
      <x:c r="A8" s="47" t="str">
        <x:v>RUN-IMO-097-20260902T151910836723Z</x:v>
      </x:c>
      <x:c r="B8" s="47" t="str">
        <x:v>IMO-097</x:v>
      </x:c>
      <x:c r="C8" s="47" t="str">
        <x:v>hasDistressAlertDevice</x:v>
      </x:c>
      <x:c r="D8" s="48" t="str">
        <x:v>https://w3id.org/nltl/vocab#hasDistressAlertDevice</x:v>
      </x:c>
      <x:c r="E8" s="47" t="str">
        <x:v>ObjectProperty</x:v>
      </x:c>
      <x:c r="F8" s="47" t="str"/>
      <x:c r="G8" s="47" t="str">
        <x:v>https://w3id.org/nltl/vocab#equipmentItem</x:v>
      </x:c>
      <x:c r="H8" s="47" t="str"/>
      <x:c r="I8" s="48" t="str">
        <x:v>linked by the locked 313-requirement index</x:v>
      </x:c>
      <x:c r="J8" s="47" t="n">
        <x:v>0</x:v>
      </x:c>
    </x:row>
    <x:row r="9">
      <x:c r="A9" s="47" t="str">
        <x:v>RUN-IMO-097-20260902T151910836723Z</x:v>
      </x:c>
      <x:c r="B9" s="47" t="str">
        <x:v>IMO-097</x:v>
      </x:c>
      <x:c r="C9" s="47" t="str">
        <x:v>hasLifeboat</x:v>
      </x:c>
      <x:c r="D9" s="48" t="str">
        <x:v>https://w3id.org/nltl/vocab#hasLifeboat</x:v>
      </x:c>
      <x:c r="E9" s="47" t="str">
        <x:v>ObjectProperty</x:v>
      </x:c>
      <x:c r="F9" s="47" t="str"/>
      <x:c r="G9" s="47" t="str">
        <x:v>https://w3id.org/nltl/vocab#lifeboat</x:v>
      </x:c>
      <x:c r="H9" s="47" t="str"/>
      <x:c r="I9" s="48" t="str">
        <x:v>canonical path from target owner ship to required owner lifeboat; linked by the locked 313-requirement index</x:v>
      </x:c>
      <x:c r="J9" s="47" t="n">
        <x:v>0</x:v>
      </x:c>
    </x:row>
    <x:row r="10">
      <x:c r="A10" s="47" t="str">
        <x:v>RUN-IMO-097-20260902T151910836723Z</x:v>
      </x:c>
      <x:c r="B10" s="47" t="str">
        <x:v>IMO-097</x:v>
      </x:c>
      <x:c r="C10" s="47" t="str">
        <x:v>hasOtherSurvivalCraft</x:v>
      </x:c>
      <x:c r="D10" s="48" t="str">
        <x:v>https://w3id.org/nltl/vocab#hasOtherSurvivalCraft</x:v>
      </x:c>
      <x:c r="E10" s="47" t="str">
        <x:v>ObjectProperty</x:v>
      </x:c>
      <x:c r="F10" s="47" t="str"/>
      <x:c r="G10" s="47" t="str">
        <x:v>https://w3id.org/nltl/vocab#otherSurvivalCraft</x:v>
      </x:c>
      <x:c r="H10" s="47" t="str"/>
      <x:c r="I10" s="48" t="str">
        <x:v>linked by the locked 313-requirement index</x:v>
      </x:c>
      <x:c r="J10" s="47" t="n">
        <x:v>0</x:v>
      </x:c>
    </x:row>
    <x:row r="11">
      <x:c r="A11" s="47" t="str">
        <x:v>RUN-IMO-097-20260902T151910836723Z</x:v>
      </x:c>
      <x:c r="B11" s="47" t="str">
        <x:v>IMO-097</x:v>
      </x:c>
      <x:c r="C11" s="47" t="str">
        <x:v>hasRequiredRescueBoatOrLifeboat</x:v>
      </x:c>
      <x:c r="D11" s="48" t="str">
        <x:v>https://w3id.org/nltl/vocab#hasRequiredRescueBoatOrLifeboat</x:v>
      </x:c>
      <x:c r="E11" s="47" t="str">
        <x:v>ObjectProperty</x:v>
      </x:c>
      <x:c r="F11" s="47" t="str"/>
      <x:c r="G11" s="47" t="str">
        <x:v>https://w3id.org/nltl/vocab#lifeboat</x:v>
      </x:c>
      <x:c r="H11" s="47" t="str"/>
      <x:c r="I11" s="48" t="str">
        <x:v>canonical path from target owner ship to required owner lifeboat; linked by the locked 313-requirement index</x:v>
      </x:c>
      <x:c r="J11" s="47" t="n">
        <x:v>0</x:v>
      </x:c>
    </x:row>
    <x:row r="12">
      <x:c r="A12" s="47" t="str">
        <x:v>RUN-IMO-097-20260902T151910836723Z</x:v>
      </x:c>
      <x:c r="B12" s="47" t="str">
        <x:v>IMO-097</x:v>
      </x:c>
      <x:c r="C12" s="47" t="str">
        <x:v>hasSurvivalCraft</x:v>
      </x:c>
      <x:c r="D12" s="48" t="str">
        <x:v>https://w3id.org/nltl/vocab#hasSurvivalCraft</x:v>
      </x:c>
      <x:c r="E12" s="47" t="str">
        <x:v>ObjectProperty</x:v>
      </x:c>
      <x:c r="F12" s="47" t="str"/>
      <x:c r="G12" s="47" t="str">
        <x:v>https://w3id.org/nltl/vocab#survivalCraft</x:v>
      </x:c>
      <x:c r="H12" s="47" t="str"/>
      <x:c r="I12" s="48" t="str">
        <x:v>canonical path from target owner ship to required owner survivalCraft; linked by the locked 313-requirement index</x:v>
      </x:c>
      <x:c r="J12" s="47" t="n">
        <x:v>0</x:v>
      </x:c>
    </x:row>
    <x:row r="13">
      <x:c r="A13" s="47" t="str">
        <x:v>RUN-IMO-097-20260902T151910836723Z</x:v>
      </x:c>
      <x:c r="B13" s="47" t="str">
        <x:v>IMO-097</x:v>
      </x:c>
      <x:c r="C13" s="47" t="str">
        <x:v>lifeboat</x:v>
      </x:c>
      <x:c r="D13" s="48" t="str">
        <x:v>https://w3id.org/nltl/vocab#lifeboat</x:v>
      </x:c>
      <x:c r="E13" s="47" t="str">
        <x:v>Class</x:v>
      </x:c>
      <x:c r="F13" s="47" t="str"/>
      <x:c r="G13" s="47" t="str">
        <x:v>https://w3id.org/nltl/vocab#benchmarkEntity</x:v>
      </x:c>
      <x:c r="H13" s="47" t="str"/>
      <x:c r="I13" s="48" t="str">
        <x:v>authoritative required owner class; domain dependency of hasDistressAlertDevice; range dependency of hasLifeboat; range dependency of hasRequiredRescueBoatOrLifeboat</x:v>
      </x:c>
      <x:c r="J13" s="47" t="n">
        <x:v>0</x:v>
      </x:c>
    </x:row>
    <x:row r="14">
      <x:c r="A14" s="47" t="str">
        <x:v>RUN-IMO-097-20260902T151910836723Z</x:v>
      </x:c>
      <x:c r="B14" s="47" t="str">
        <x:v>IMO-097</x:v>
      </x:c>
      <x:c r="C14" s="47" t="str">
        <x:v>locationSignalDevice</x:v>
      </x:c>
      <x:c r="D14" s="48" t="str">
        <x:v>https://w3id.org/nltl/vocab#locationSignalDevice</x:v>
      </x:c>
      <x:c r="E14" s="47" t="str">
        <x:v>Class</x:v>
      </x:c>
      <x:c r="F14" s="47" t="str"/>
      <x:c r="G14" s="47" t="str">
        <x:v>https://w3id.org/nltl/vocab#equipmentItem</x:v>
      </x:c>
      <x:c r="H14" s="47" t="str"/>
      <x:c r="I14" s="48" t="str">
        <x:v>range dependency of survivalCraftHasLocationSignalDevice</x:v>
      </x:c>
      <x:c r="J14" s="47" t="n">
        <x:v>0</x:v>
      </x:c>
    </x:row>
    <x:row r="15">
      <x:c r="A15" s="47" t="str">
        <x:v>RUN-IMO-097-20260902T151910836723Z</x:v>
      </x:c>
      <x:c r="B15" s="47" t="str">
        <x:v>IMO-097</x:v>
      </x:c>
      <x:c r="C15" s="47" t="str">
        <x:v>locationSignalDeviceCount</x:v>
      </x:c>
      <x:c r="D15" s="48" t="str">
        <x:v>https://w3id.org/nltl/vocab#locationSignalDeviceCount</x:v>
      </x:c>
      <x:c r="E15" s="47" t="str">
        <x:v>DatatypeProperty</x:v>
      </x:c>
      <x:c r="F15" s="47" t="str">
        <x:v>xsd:integer</x:v>
      </x:c>
      <x:c r="G15" s="47" t="str">
        <x:v>http://www.w3.org/2001/XMLSchema#integer</x:v>
      </x:c>
      <x:c r="H15" s="47" t="str"/>
      <x:c r="I15" s="48" t="str">
        <x:v>linked by the locked 313-requirement index</x:v>
      </x:c>
      <x:c r="J15" s="47" t="n">
        <x:v>0</x:v>
      </x:c>
    </x:row>
    <x:row r="16">
      <x:c r="A16" s="47" t="str">
        <x:v>RUN-IMO-097-20260902T151910836723Z</x:v>
      </x:c>
      <x:c r="B16" s="47" t="str">
        <x:v>IMO-097</x:v>
      </x:c>
      <x:c r="C16" s="47" t="str">
        <x:v>onSceneCommunicationDevice</x:v>
      </x:c>
      <x:c r="D16" s="48" t="str">
        <x:v>https://w3id.org/nltl/vocab#onSceneCommunicationDevice</x:v>
      </x:c>
      <x:c r="E16" s="47" t="str">
        <x:v>Class</x:v>
      </x:c>
      <x:c r="F16" s="47" t="str"/>
      <x:c r="G16" s="47" t="str">
        <x:v>https://w3id.org/nltl/vocab#equipmentItem</x:v>
      </x:c>
      <x:c r="H16" s="47" t="str"/>
      <x:c r="I16" s="48" t="str">
        <x:v>range dependency of survivalCraftHasOnSceneCommunicationDevice</x:v>
      </x:c>
      <x:c r="J16" s="47" t="n">
        <x:v>0</x:v>
      </x:c>
    </x:row>
    <x:row r="17">
      <x:c r="A17" s="47" t="str">
        <x:v>RUN-IMO-097-20260902T151910836723Z</x:v>
      </x:c>
      <x:c r="B17" s="47" t="str">
        <x:v>IMO-097</x:v>
      </x:c>
      <x:c r="C17" s="47" t="str">
        <x:v>onSceneTransmitReceiveDeviceCount</x:v>
      </x:c>
      <x:c r="D17" s="48" t="str">
        <x:v>https://w3id.org/nltl/vocab#onSceneTransmitReceiveDeviceCount</x:v>
      </x:c>
      <x:c r="E17" s="47" t="str">
        <x:v>DatatypeProperty</x:v>
      </x:c>
      <x:c r="F17" s="47" t="str">
        <x:v>xsd:integer</x:v>
      </x:c>
      <x:c r="G17" s="47" t="str">
        <x:v>http://www.w3.org/2001/XMLSchema#integer</x:v>
      </x:c>
      <x:c r="H17" s="47" t="str"/>
      <x:c r="I17" s="48" t="str">
        <x:v>linked by the locked 313-requirement index</x:v>
      </x:c>
      <x:c r="J17" s="47" t="n">
        <x:v>0</x:v>
      </x:c>
    </x:row>
    <x:row r="18">
      <x:c r="A18" s="47" t="str">
        <x:v>RUN-IMO-097-20260902T151910836723Z</x:v>
      </x:c>
      <x:c r="B18" s="47" t="str">
        <x:v>IMO-097</x:v>
      </x:c>
      <x:c r="C18" s="47" t="str">
        <x:v>otherSurvivalCraft</x:v>
      </x:c>
      <x:c r="D18" s="48" t="str">
        <x:v>https://w3id.org/nltl/vocab#otherSurvivalCraft</x:v>
      </x:c>
      <x:c r="E18" s="47" t="str">
        <x:v>Class</x:v>
      </x:c>
      <x:c r="F18" s="47" t="str"/>
      <x:c r="G18" s="47" t="str">
        <x:v>https://w3id.org/nltl/vocab#benchmarkEntity</x:v>
      </x:c>
      <x:c r="H18" s="47" t="str"/>
      <x:c r="I18" s="48" t="str">
        <x:v>range dependency of hasOtherSurvivalCraft</x:v>
      </x:c>
      <x:c r="J18" s="47" t="n">
        <x:v>0</x:v>
      </x:c>
    </x:row>
    <x:row r="19">
      <x:c r="A19" s="47" t="str">
        <x:v>RUN-IMO-097-20260902T151910836723Z</x:v>
      </x:c>
      <x:c r="B19" s="47" t="str">
        <x:v>IMO-097</x:v>
      </x:c>
      <x:c r="C19" s="47" t="str">
        <x:v>releasedRescueBoatOrLifeboat</x:v>
      </x:c>
      <x:c r="D19" s="48" t="str">
        <x:v>https://w3id.org/nltl/vocab#releasedRescueBoatOrLifeboat</x:v>
      </x:c>
      <x:c r="E19" s="47" t="str">
        <x:v>DatatypeProperty</x:v>
      </x:c>
      <x:c r="F19" s="47" t="str">
        <x:v>xsd:boolean</x:v>
      </x:c>
      <x:c r="G19" s="47" t="str">
        <x:v>http://www.w3.org/2001/XMLSchema#boolean</x:v>
      </x:c>
      <x:c r="H19" s="47" t="str"/>
      <x:c r="I19" s="48" t="str">
        <x:v>linked by the locked 313-requirement index</x:v>
      </x:c>
      <x:c r="J19" s="47" t="n">
        <x:v>0</x:v>
      </x:c>
    </x:row>
    <x:row r="20">
      <x:c r="A20" s="47" t="str">
        <x:v>RUN-IMO-097-20260902T151910836723Z</x:v>
      </x:c>
      <x:c r="B20" s="47" t="str">
        <x:v>IMO-097</x:v>
      </x:c>
      <x:c r="C20" s="47" t="str">
        <x:v>ship</x:v>
      </x:c>
      <x:c r="D20" s="48" t="str">
        <x:v>https://w3id.org/nltl/vocab#ship</x:v>
      </x:c>
      <x:c r="E20" s="47" t="str">
        <x:v>Class</x:v>
      </x:c>
      <x:c r="F20" s="47" t="str"/>
      <x:c r="G20" s="47" t="str"/>
      <x:c r="H20" s="47" t="str"/>
      <x:c r="I20" s="48" t="str">
        <x:v>authoritative required owner class; authoritative requirement target owner; baseline target infrastructure; domain dependency of hasLifeboat; domain dependency of hasOtherSurvivalCraft; domain dependency of hasRequiredRescueBoatOrLifeboat; domain dependency of hasSurvivalCraft</x:v>
      </x:c>
      <x:c r="J20" s="47" t="n">
        <x:v>0</x:v>
      </x:c>
    </x:row>
    <x:row r="21">
      <x:c r="A21" s="47" t="str">
        <x:v>RUN-IMO-097-20260902T151910836723Z</x:v>
      </x:c>
      <x:c r="B21" s="47" t="str">
        <x:v>IMO-097</x:v>
      </x:c>
      <x:c r="C21" s="47" t="str">
        <x:v>shipOperatesInLowAirTemperature</x:v>
      </x:c>
      <x:c r="D21" s="48" t="str">
        <x:v>https://w3id.org/nltl/vocab#shipOperatesInLowAirTemperature</x:v>
      </x:c>
      <x:c r="E21" s="47" t="str">
        <x:v>DatatypeProperty</x:v>
      </x:c>
      <x:c r="F21" s="47" t="str">
        <x:v>xsd:boolean</x:v>
      </x:c>
      <x:c r="G21" s="47" t="str">
        <x:v>http://www.w3.org/2001/XMLSchema#boolean</x:v>
      </x:c>
      <x:c r="H21" s="47" t="str"/>
      <x:c r="I21" s="48" t="str">
        <x:v>linked by the locked 313-requirement index</x:v>
      </x:c>
      <x:c r="J21" s="47" t="n">
        <x:v>0</x:v>
      </x:c>
    </x:row>
    <x:row r="22">
      <x:c r="A22" s="47" t="str">
        <x:v>RUN-IMO-097-20260902T151910836723Z</x:v>
      </x:c>
      <x:c r="B22" s="47" t="str">
        <x:v>IMO-097</x:v>
      </x:c>
      <x:c r="C22" s="47" t="str">
        <x:v>shipToShoreDistressAlertDevice</x:v>
      </x:c>
      <x:c r="D22" s="48" t="str">
        <x:v>https://w3id.org/nltl/vocab#shipToShoreDistressAlertDevice</x:v>
      </x:c>
      <x:c r="E22" s="47" t="str">
        <x:v>Class</x:v>
      </x:c>
      <x:c r="F22" s="47" t="str"/>
      <x:c r="G22" s="47" t="str">
        <x:v>https://w3id.org/nltl/vocab#equipmentItem</x:v>
      </x:c>
      <x:c r="H22" s="47" t="str"/>
      <x:c r="I22" s="48" t="str">
        <x:v>linked by the locked 313-requirement index; range dependency of survivalCraftHasShipToShoreDistressAlertDevice</x:v>
      </x:c>
      <x:c r="J22" s="47" t="n">
        <x:v>0</x:v>
      </x:c>
    </x:row>
    <x:row r="23">
      <x:c r="A23" s="47" t="str">
        <x:v>RUN-IMO-097-20260902T151910836723Z</x:v>
      </x:c>
      <x:c r="B23" s="47" t="str">
        <x:v>IMO-097</x:v>
      </x:c>
      <x:c r="C23" s="47" t="str">
        <x:v>survivalCraft</x:v>
      </x:c>
      <x:c r="D23" s="48" t="str">
        <x:v>https://w3id.org/nltl/vocab#survivalCraft</x:v>
      </x:c>
      <x:c r="E23" s="47" t="str">
        <x:v>Class</x:v>
      </x:c>
      <x:c r="F23" s="47" t="str"/>
      <x:c r="G23" s="47" t="str">
        <x:v>https://w3id.org/nltl/vocab#equipmentItem</x:v>
      </x:c>
      <x:c r="H23" s="47" t="str"/>
      <x:c r="I23" s="48" t="str">
        <x:v>authoritative required owner class; domain dependency of survivalCraftHasLocationSignalDevice; domain dependency of survivalCraftHasOnSceneCommunicationDevice; domain dependency of survivalCraftHasShipToShoreDistressAlertDevice; linked by the locked 313-requirement index; range dependency of hasSurvivalCraft</x:v>
      </x:c>
      <x:c r="J23" s="47" t="n">
        <x:v>0</x:v>
      </x:c>
    </x:row>
    <x:row r="24">
      <x:c r="A24" s="47" t="str">
        <x:v>RUN-IMO-097-20260902T151910836723Z</x:v>
      </x:c>
      <x:c r="B24" s="47" t="str">
        <x:v>IMO-097</x:v>
      </x:c>
      <x:c r="C24" s="47" t="str">
        <x:v>survivalCraftHasLocationSignalDevice</x:v>
      </x:c>
      <x:c r="D24" s="48" t="str">
        <x:v>https://w3id.org/nltl/vocab#survivalCraftHasLocationSignalDevice</x:v>
      </x:c>
      <x:c r="E24" s="47" t="str">
        <x:v>ObjectProperty</x:v>
      </x:c>
      <x:c r="F24" s="47" t="str"/>
      <x:c r="G24" s="47" t="str">
        <x:v>https://w3id.org/nltl/vocab#locationSignalDevice</x:v>
      </x:c>
      <x:c r="H24" s="47" t="str"/>
      <x:c r="I24" s="48" t="str">
        <x:v>linked by the locked 313-requirement index</x:v>
      </x:c>
      <x:c r="J24" s="47" t="n">
        <x:v>0</x:v>
      </x:c>
    </x:row>
    <x:row r="25">
      <x:c r="A25" s="47" t="str">
        <x:v>RUN-IMO-097-20260902T151910836723Z</x:v>
      </x:c>
      <x:c r="B25" s="47" t="str">
        <x:v>IMO-097</x:v>
      </x:c>
      <x:c r="C25" s="47" t="str">
        <x:v>survivalCraftHasOnSceneCommunicationDevice</x:v>
      </x:c>
      <x:c r="D25" s="48" t="str">
        <x:v>https://w3id.org/nltl/vocab#survivalCraftHasOnSceneCommunicationDevice</x:v>
      </x:c>
      <x:c r="E25" s="47" t="str">
        <x:v>ObjectProperty</x:v>
      </x:c>
      <x:c r="F25" s="47" t="str"/>
      <x:c r="G25" s="47" t="str">
        <x:v>https://w3id.org/nltl/vocab#onSceneCommunicationDevice</x:v>
      </x:c>
      <x:c r="H25" s="47" t="str"/>
      <x:c r="I25" s="48" t="str">
        <x:v>linked by the locked 313-requirement index</x:v>
      </x:c>
      <x:c r="J25" s="47" t="n">
        <x:v>0</x:v>
      </x:c>
    </x:row>
    <x:row r="26">
      <x:c r="A26" s="49" t="str">
        <x:v>RUN-IMO-097-20260902T151910836723Z</x:v>
      </x:c>
      <x:c r="B26" s="49" t="str">
        <x:v>IMO-097</x:v>
      </x:c>
      <x:c r="C26" s="49" t="str">
        <x:v>survivalCraftHasShipToShoreDistressAlertDevice</x:v>
      </x:c>
      <x:c r="D26" s="50" t="str">
        <x:v>https://w3id.org/nltl/vocab#survivalCraftHasShipToShoreDistressAlertDevice</x:v>
      </x:c>
      <x:c r="E26" s="49" t="str">
        <x:v>ObjectProperty</x:v>
      </x:c>
      <x:c r="F26" s="49" t="str"/>
      <x:c r="G26" s="49" t="str">
        <x:v>https://w3id.org/nltl/vocab#shipToShoreDistressAlertDevice</x:v>
      </x:c>
      <x:c r="H26" s="49" t="str"/>
      <x:c r="I26" s="50" t="str">
        <x:v>linked by the locked 313-requirement index</x:v>
      </x:c>
      <x:c r="J26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3ea0636922864215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15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RUN-IMO-097-20260902T151910836723Z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RUN-IMO-097-20260902T151910836723Z</x:v>
      </x:c>
      <x:c r="B5" s="45" t="str">
        <x:v>IMO-097</x:v>
      </x:c>
      <x:c r="C5" s="45" t="str">
        <x:v>FS-BOOL-01</x:v>
      </x:c>
      <x:c r="D5" s="45" t="str">
        <x:v>boolean_state</x:v>
      </x:c>
      <x:c r="E5" s="92" t="n">
        <x:v>0.046875</x:v>
      </x:c>
      <x:c r="F5" s="45" t="str">
        <x:v>boolean | required | value</x:v>
      </x:c>
      <x:c r="G5" s="45" t="str">
        <x:v>synthetic-few-shot-not-benchmark-ground-truth</x:v>
      </x:c>
    </x:row>
    <x:row r="6">
      <x:c r="A6" s="49" t="str">
        <x:v>RUN-IMO-097-20260902T151910836723Z</x:v>
      </x:c>
      <x:c r="B6" s="49" t="str">
        <x:v>IMO-097</x:v>
      </x:c>
      <x:c r="C6" s="49" t="str">
        <x:v>FS-BOOL-02</x:v>
      </x:c>
      <x:c r="D6" s="49" t="str">
        <x:v>boolean_state</x:v>
      </x:c>
      <x:c r="E6" s="93" t="n">
        <x:v>0.046875</x:v>
      </x:c>
      <x:c r="F6" s="49" t="str">
        <x:v>boolean | required | value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cdbceefae2d94a27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52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RUN-IMO-097-20260902T151910836723Z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RUN-IMO-097-20260902T151910836723Z</x:v>
      </x:c>
      <x:c r="B5" s="69" t="str">
        <x:v>IMO-097</x:v>
      </x:c>
      <x:c r="C5" s="71" t="n">
        <x:v>1</x:v>
      </x:c>
      <x:c r="D5" s="72" t="b">
        <x:v>0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1</x:v>
      </x:c>
      <x:c r="J5" s="72" t="b">
        <x:v>1</x:v>
      </x:c>
      <x:c r="K5" s="95" t="b">
        <x:v>1</x:v>
      </x:c>
      <x:c r="L5" s="73" t="str">
        <x:v>COMPLETE dependency relationship(s) absent from candidate: hasLifeboat, hasOtherSurvivalCraft</x:v>
      </x:c>
      <x:c r="M5" s="73" t="str"/>
      <x:c r="N5" s="73" t="str">
        <x:v>https://w3id.org/nltl/vocab#hasDistressAlertDevice | https://w3id.org/nltl/vocab#hasRequiredRescueBoatOrLifeboat | https://w3id.org/nltl/vocab#hasSurvivalCraft | https://w3id.org/nltl/vocab#ship | https://w3id.org/nltl/vocab#shipOperatesInLowAirTemperature | https://w3id.org/nltl/vocab#survivalCraftHasLocationSignalDevice | https://w3id.org/nltl/vocab#survivalCraftHasOnSceneCommunicationDevice | https://w3id.org/nltl/vocab#survivalCraftHasShipToShoreDistressAlertDevice</x:v>
      </x:c>
      <x:c r="O5" s="73" t="str"/>
      <x:c r="P5" s="73" t="str"/>
      <x:c r="Q5" s="73" t="str"/>
    </x:row>
  </x:sheetData>
  <x:pageMargins left="0.7" right="0.7" top="0.75" bottom="0.75" header="0.3" footer="0.3"/>
  <x:tableParts count="1">
    <x:tablePart xmlns:r="http://schemas.openxmlformats.org/officeDocument/2006/relationships" r:id="Rd9b5ccbe18c54a64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RUN-IMO-097-20260902T151910836723Z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RUN-IMO-097-20260902T151910836723Z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RUN-IMO-097-20260902T151910836723Z</x:v>
      </x:c>
      <x:c r="B5" s="45" t="str">
        <x:v>IMO-097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2c3088a0c20951144369263ec73e7b757daa53eaec240f18aef366e67ae4ec6d</x:v>
      </x:c>
      <x:c r="G5" s="58" t="n">
        <x:v>30560</x:v>
      </x:c>
    </x:row>
    <x:row r="6">
      <x:c r="A6" s="47" t="str">
        <x:v>RUN-IMO-097-20260902T151910836723Z</x:v>
      </x:c>
      <x:c r="B6" s="47" t="str">
        <x:v>IMO-097</x:v>
      </x:c>
      <x:c r="C6" s="59"/>
      <x:c r="D6" s="47" t="str">
        <x:v>few_shot_selection</x:v>
      </x:c>
      <x:c r="E6" s="48" t="str">
        <x:v>artifacts/few_shots_selected.json</x:v>
      </x:c>
      <x:c r="F6" s="47" t="str">
        <x:v>892f2f7d6787c88a668a4e23254b9566af9018d26c57f86c2013b6f54fa3da57</x:v>
      </x:c>
      <x:c r="G6" s="59" t="n">
        <x:v>3110</x:v>
      </x:c>
    </x:row>
    <x:row r="7">
      <x:c r="A7" s="47" t="str">
        <x:v>RUN-IMO-097-20260902T151910836723Z</x:v>
      </x:c>
      <x:c r="B7" s="47" t="str">
        <x:v>IMO-097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7c3d3a5eb85c847ed58d4f50e7307cf2363d3998d8e8922b93b96e2e25949784</x:v>
      </x:c>
      <x:c r="G7" s="59" t="n">
        <x:v>45184</x:v>
      </x:c>
    </x:row>
    <x:row r="8">
      <x:c r="A8" s="47" t="str">
        <x:v>RUN-IMO-097-20260902T151910836723Z</x:v>
      </x:c>
      <x:c r="B8" s="47" t="str">
        <x:v>IMO-097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1c4a16a903ae4a553e8a742bc78859cb7856661a1f8e6aa7476b3a23af389c67</x:v>
      </x:c>
      <x:c r="G8" s="59" t="n">
        <x:v>2346</x:v>
      </x:c>
    </x:row>
    <x:row r="9">
      <x:c r="A9" s="47" t="str">
        <x:v>RUN-IMO-097-20260902T151910836723Z</x:v>
      </x:c>
      <x:c r="B9" s="47" t="str">
        <x:v>IMO-097</x:v>
      </x:c>
      <x:c r="C9" s="59" t="n">
        <x:v>1</x:v>
      </x:c>
      <x:c r="D9" s="47" t="str">
        <x:v>no_semantic_validator_candidate_shape</x:v>
      </x:c>
      <x:c r="E9" s="48" t="str">
        <x:v>artifacts/attempt_01/candidate_shape.ttl</x:v>
      </x:c>
      <x:c r="F9" s="47" t="str">
        <x:v>0bae46cf32ca7bbdb0e03dfda6db889370f816f6130601b0d53e46e557e5ac6f</x:v>
      </x:c>
      <x:c r="G9" s="59" t="n">
        <x:v>2321</x:v>
      </x:c>
    </x:row>
    <x:row r="10">
      <x:c r="A10" s="49" t="str">
        <x:v>RUN-IMO-097-20260902T151910836723Z</x:v>
      </x:c>
      <x:c r="B10" s="49" t="str">
        <x:v>IMO-097</x:v>
      </x:c>
      <x:c r="C10" s="60" t="n">
        <x:v>1</x:v>
      </x:c>
      <x:c r="D10" s="49" t="str">
        <x:v>no_semantic_validator_diagnostics</x:v>
      </x:c>
      <x:c r="E10" s="50" t="str">
        <x:v>artifacts/attempt_01/no_semantic_validator_diagnostics.json</x:v>
      </x:c>
      <x:c r="F10" s="49" t="str">
        <x:v>d95f61474da68520a59fbfa9a844980081fa86367c2cb1fd8936fafc52adde1f</x:v>
      </x:c>
      <x:c r="G10" s="60" t="n">
        <x:v>1440</x:v>
      </x:c>
    </x:row>
  </x:sheetData>
  <x:pageMargins left="0.7" right="0.7" top="0.75" bottom="0.75" header="0.3" footer="0.3"/>
  <x:tableParts count="1">
    <x:tablePart xmlns:r="http://schemas.openxmlformats.org/officeDocument/2006/relationships" r:id="R24c5df95000440b9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RUN-IMO-097-20260902T151910836723Z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RUN-IMO-097-20260902T151910836723Z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