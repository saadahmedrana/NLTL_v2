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b439d4e1d54a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c7d9a1dacb340c2"/>
    <x:sheet xmlns:r="http://schemas.openxmlformats.org/officeDocument/2006/relationships" name="README" sheetId="2" r:id="R82a1bcb03cf74be4"/>
    <x:sheet xmlns:r="http://schemas.openxmlformats.org/officeDocument/2006/relationships" name="REGULATION_QUEUE" sheetId="3" r:id="R4413da292daf43f2"/>
    <x:sheet xmlns:r="http://schemas.openxmlformats.org/officeDocument/2006/relationships" name="RUNS" sheetId="4" r:id="Re3f564f3c998431e"/>
    <x:sheet xmlns:r="http://schemas.openxmlformats.org/officeDocument/2006/relationships" name="ITERATIONS" sheetId="5" r:id="Rf5b296c2d50942f3"/>
    <x:sheet xmlns:r="http://schemas.openxmlformats.org/officeDocument/2006/relationships" name="API_CALLS" sheetId="6" r:id="R44acf76f3f2d413c"/>
    <x:sheet xmlns:r="http://schemas.openxmlformats.org/officeDocument/2006/relationships" name="TERM_RETRIEVAL" sheetId="7" r:id="R4b4b3ac582bd4fde"/>
    <x:sheet xmlns:r="http://schemas.openxmlformats.org/officeDocument/2006/relationships" name="FEW_SHOT_SELECTION" sheetId="8" r:id="Reb3d007406ea4231"/>
    <x:sheet xmlns:r="http://schemas.openxmlformats.org/officeDocument/2006/relationships" name="VALIDATION" sheetId="9" r:id="R88e7a17863da48f4"/>
    <x:sheet xmlns:r="http://schemas.openxmlformats.org/officeDocument/2006/relationships" name="VOCAB_MATCHES" sheetId="10" r:id="Rb7cd5e6ec9d14e58"/>
    <x:sheet xmlns:r="http://schemas.openxmlformats.org/officeDocument/2006/relationships" name="ARTIFACTS" sheetId="11" r:id="R2caf57a42d1d4c57"/>
    <x:sheet xmlns:r="http://schemas.openxmlformats.org/officeDocument/2006/relationships" name="UNRESOLVED" sheetId="12" r:id="R4c6e95b65cca476d"/>
    <x:sheet xmlns:r="http://schemas.openxmlformats.org/officeDocument/2006/relationships" name="RDF_TEST_QUEUE" sheetId="13" r:id="Rfb041770a45942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9a200323f2419d" /><Relationship Type="http://schemas.openxmlformats.org/officeDocument/2006/relationships/theme" Target="/xl/theme/theme1.xml" Id="R9f12dde8bbb449b1" /><Relationship Type="http://schemas.microsoft.com/office/2022/11/relationships/FeaturePropertyBag" Target="/xl/featurePropertyBag/featurePropertyBag.xml" Id="R8a1d8c9639a940d2" /><Relationship Type="http://schemas.openxmlformats.org/officeDocument/2006/relationships/sharedStrings" Target="/xl/sharedStrings.xml" Id="Rb6845be98b594774" /><Relationship Type="http://schemas.openxmlformats.org/officeDocument/2006/relationships/worksheet" Target="/xl/worksheets/sheet1.xml" Id="Rcc7d9a1dacb340c2" /><Relationship Type="http://schemas.openxmlformats.org/officeDocument/2006/relationships/worksheet" Target="/xl/worksheets/sheet2.xml" Id="R82a1bcb03cf74be4" /><Relationship Type="http://schemas.openxmlformats.org/officeDocument/2006/relationships/worksheet" Target="/xl/worksheets/sheet3.xml" Id="R4413da292daf43f2" /><Relationship Type="http://schemas.openxmlformats.org/officeDocument/2006/relationships/worksheet" Target="/xl/worksheets/sheet4.xml" Id="Re3f564f3c998431e" /><Relationship Type="http://schemas.openxmlformats.org/officeDocument/2006/relationships/worksheet" Target="/xl/worksheets/sheet5.xml" Id="Rf5b296c2d50942f3" /><Relationship Type="http://schemas.openxmlformats.org/officeDocument/2006/relationships/worksheet" Target="/xl/worksheets/sheet6.xml" Id="R44acf76f3f2d413c" /><Relationship Type="http://schemas.openxmlformats.org/officeDocument/2006/relationships/worksheet" Target="/xl/worksheets/sheet7.xml" Id="R4b4b3ac582bd4fde" /><Relationship Type="http://schemas.openxmlformats.org/officeDocument/2006/relationships/worksheet" Target="/xl/worksheets/sheet8.xml" Id="Reb3d007406ea4231" /><Relationship Type="http://schemas.openxmlformats.org/officeDocument/2006/relationships/worksheet" Target="/xl/worksheets/sheet9.xml" Id="R88e7a17863da48f4" /><Relationship Type="http://schemas.openxmlformats.org/officeDocument/2006/relationships/worksheet" Target="/xl/worksheets/sheet10.xml" Id="Rb7cd5e6ec9d14e58" /><Relationship Type="http://schemas.openxmlformats.org/officeDocument/2006/relationships/worksheet" Target="/xl/worksheets/sheet11.xml" Id="R2caf57a42d1d4c57" /><Relationship Type="http://schemas.openxmlformats.org/officeDocument/2006/relationships/worksheet" Target="/xl/worksheets/sheet12.xml" Id="R4c6e95b65cca476d" /><Relationship Type="http://schemas.openxmlformats.org/officeDocument/2006/relationships/worksheet" Target="/xl/worksheets/sheet13.xml" Id="Rfb041770a459427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d01d56de19c42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5c9e606748e406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b54cd2c4dc245a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e77f2a7155c453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3fdc2186f074b7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478c1110bbe4a4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209dfaf5fa94a7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e15266d215d495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f1b74424c0447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RUN-TRF-102-20260902T162352772871Z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19832.691749999998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RUN-TRF-102-20260902T162352772871Z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d01d56de19c428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RUN-TRF-102-20260902T162352772871Z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NO_SEMANTIC_VALIDATOR_DETERMINISTIC_PASS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c9e606748e406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RUN-TRF-102-20260902T162352772871Z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RUN-TRF-102-20260902T162352772871Z</x:v>
      </x:c>
      <x:c r="C5" s="69" t="str">
        <x:v>TRF-102</x:v>
      </x:c>
      <x:c r="D5" s="70" t="n">
        <x:v>46267.683249699076</x:v>
      </x:c>
      <x:c r="E5" s="70" t="n">
        <x:v>46267.68371239583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54cd2c4dc245a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RUN-TRF-102-20260902T162352772871Z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RUN-TRF-102-20260902T162352772871Z</x:v>
      </x:c>
      <x:c r="B5" s="69" t="str">
        <x:v>TRF-102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25509.196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77f2a7155c453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RUN-TRF-102-20260902T162352772871Z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RUN-TRF-102-20260902T162352772871Z</x:v>
      </x:c>
      <x:c r="C5" s="45" t="str">
        <x:v>TRF-102</x:v>
      </x:c>
      <x:c r="D5" s="88" t="n">
        <x:v>46267.68354494213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25507.662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RUN-TRF-102-20260902T162352772871Z</x:v>
      </x:c>
      <x:c r="C6" s="47" t="str">
        <x:v>TRF-102</x:v>
      </x:c>
      <x:c r="D6" s="91" t="n">
        <x:v>46267.68354496528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25509.196</x:v>
      </x:c>
      <x:c r="L6" s="93" t="b">
        <x:v>0</x:v>
      </x:c>
      <x:c r="M6" s="47" t="str">
        <x:v>resp_08df332804dcc490006a984d9919b081948232e60a37c20627</x:v>
      </x:c>
      <x:c r="N6" s="59" t="n">
        <x:v>9026</x:v>
      </x:c>
      <x:c r="O6" s="59" t="n">
        <x:v>2944</x:v>
      </x:c>
      <x:c r="P6" s="59" t="n">
        <x:v>11970</x:v>
      </x:c>
    </x:row>
    <x:row r="7">
      <x:c r="A7" s="47" t="str">
        <x:v>EVT-000028</x:v>
      </x:c>
      <x:c r="B7" s="47" t="str">
        <x:v>RUN-TRF-102-20260902T162352772871Z</x:v>
      </x:c>
      <x:c r="C7" s="47" t="str">
        <x:v>TRF-102</x:v>
      </x:c>
      <x:c r="D7" s="91" t="n">
        <x:v>46267.68370893518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14156.479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RUN-TRF-102-20260902T162352772871Z</x:v>
      </x:c>
      <x:c r="C8" s="49" t="str">
        <x:v>TRF-102</x:v>
      </x:c>
      <x:c r="D8" s="94" t="n">
        <x:v>46267.68370894676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14157.43</x:v>
      </x:c>
      <x:c r="L8" s="96" t="b">
        <x:v>0</x:v>
      </x:c>
      <x:c r="M8" s="49" t="str">
        <x:v>resp_0573e8ab43f7a2ad006a984db2645c819796d050e5a7fe7696</x:v>
      </x:c>
      <x:c r="N8" s="60" t="n">
        <x:v>2615</x:v>
      </x:c>
      <x:c r="O8" s="60" t="n">
        <x:v>2268</x:v>
      </x:c>
      <x:c r="P8" s="60" t="n">
        <x:v>4883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fdc2186f074b7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RUN-TRF-102-20260902T162352772871Z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RUN-TRF-102-20260902T162352772871Z</x:v>
      </x:c>
      <x:c r="B5" s="45" t="str">
        <x:v>TRF-102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range dependency of approvedSpindleTorqueStressAnalysis</x:v>
      </x:c>
      <x:c r="J5" s="45" t="n">
        <x:v>0</x:v>
      </x:c>
    </x:row>
    <x:row r="6">
      <x:c r="A6" s="47" t="str">
        <x:v>RUN-TRF-102-20260902T162352772871Z</x:v>
      </x:c>
      <x:c r="B6" s="47" t="str">
        <x:v>TRF-102</x:v>
      </x:c>
      <x:c r="C6" s="47" t="str">
        <x:v>approvedSpindleTorqueStressAnalysis</x:v>
      </x:c>
      <x:c r="D6" s="48" t="str">
        <x:v>https://w3id.org/nltl/vocab#approvedSpindleTorqueStressAnalysis</x:v>
      </x:c>
      <x:c r="E6" s="47" t="str">
        <x:v>ObjectProperty</x:v>
      </x:c>
      <x:c r="F6" s="47" t="str"/>
      <x:c r="G6" s="47" t="str">
        <x:v>https://w3id.org/nltl/vocab#approvalRecord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RUN-TRF-102-20260902T162352772871Z</x:v>
      </x:c>
      <x:c r="B7" s="47" t="str">
        <x:v>TRF-102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bladeFailureSpindleTorque; domain dependency of extremeIceForce; domain dependency of maximumSpindleTorque; domain dependency of propellerBladeCount</x:v>
      </x:c>
      <x:c r="J7" s="47" t="n">
        <x:v>0</x:v>
      </x:c>
    </x:row>
    <x:row r="8">
      <x:c r="A8" s="47" t="str">
        <x:v>RUN-TRF-102-20260902T162352772871Z</x:v>
      </x:c>
      <x:c r="B8" s="47" t="str">
        <x:v>TRF-102</x:v>
      </x:c>
      <x:c r="C8" s="47" t="str">
        <x:v>bladeExpandedAreaRatio</x:v>
      </x:c>
      <x:c r="D8" s="48" t="str">
        <x:v>https://w3id.org/nltl/vocab#bladeExpandedAreaRatio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RUN-TRF-102-20260902T162352772871Z</x:v>
      </x:c>
      <x:c r="B9" s="47" t="str">
        <x:v>TRF-102</x:v>
      </x:c>
      <x:c r="C9" s="47" t="str">
        <x:v>bladeFailureSpindleTorque</x:v>
      </x:c>
      <x:c r="D9" s="48" t="str">
        <x:v>https://w3id.org/nltl/vocab#bladeFailureSpindleTorque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RUN-TRF-102-20260902T162352772871Z</x:v>
      </x:c>
      <x:c r="B10" s="47" t="str">
        <x:v>TRF-102</x:v>
      </x:c>
      <x:c r="C10" s="47" t="str">
        <x:v>bladeFailureSpindleTorqueFactor</x:v>
      </x:c>
      <x:c r="D10" s="48" t="str">
        <x:v>https://w3id.org/nltl/vocab#bladeFailureSpindleTorqueFactor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RUN-TRF-102-20260902T162352772871Z</x:v>
      </x:c>
      <x:c r="B11" s="47" t="str">
        <x:v>TRF-102</x:v>
      </x:c>
      <x:c r="C11" s="47" t="str">
        <x:v>extremeIceForce</x:v>
      </x:c>
      <x:c r="D11" s="48" t="str">
        <x:v>https://w3id.org/nltl/vocab#extremeIceForce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http://qudt.org/vocab/unit/KiloN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RUN-TRF-102-20260902T162352772871Z</x:v>
      </x:c>
      <x:c r="B12" s="47" t="str">
        <x:v>TRF-102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RUN-TRF-102-20260902T162352772871Z</x:v>
      </x:c>
      <x:c r="B13" s="47" t="str">
        <x:v>TRF-102</x:v>
      </x:c>
      <x:c r="C13" s="47" t="str">
        <x:v>leadingEdgeChordPortionAtZeroPointEightRadius</x:v>
      </x:c>
      <x:c r="D13" s="48" t="str">
        <x:v>https://w3id.org/nltl/vocab#leadingEdgeChordPortionAtZeroPointEightRadius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RUN-TRF-102-20260902T162352772871Z</x:v>
      </x:c>
      <x:c r="B14" s="47" t="str">
        <x:v>TRF-102</x:v>
      </x:c>
      <x:c r="C14" s="47" t="str">
        <x:v>maximumSpindleTorque</x:v>
      </x:c>
      <x:c r="D14" s="48" t="str">
        <x:v>https://w3id.org/nltl/vocab#maximumSpindleTorque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RUN-TRF-102-20260902T162352772871Z</x:v>
      </x:c>
      <x:c r="B15" s="47" t="str">
        <x:v>TRF-102</x:v>
      </x:c>
      <x:c r="C15" s="47" t="str">
        <x:v>propellerBladeCount</x:v>
      </x:c>
      <x:c r="D15" s="48" t="str">
        <x:v>https://w3id.org/nltl/vocab#propellerBladeCount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RUN-TRF-102-20260902T162352772871Z</x:v>
      </x:c>
      <x:c r="B16" s="47" t="str">
        <x:v>TRF-102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approvedSpindleTorqueStressAnalysis; domain dependency of bladeExpandedAreaRatio; domain dependency of bladeFailureSpindleTorqueFactor; domain dependency of leadingEdgeChordPortionAtZeroPointEightRadius; domain dependency of trailingEdgeChordPortionAtZeroPointEightRadius</x:v>
      </x:c>
      <x:c r="J16" s="47" t="n">
        <x:v>0</x:v>
      </x:c>
    </x:row>
    <x:row r="17">
      <x:c r="A17" s="47" t="str">
        <x:v>RUN-TRF-102-20260902T162352772871Z</x:v>
      </x:c>
      <x:c r="B17" s="47" t="str">
        <x:v>TRF-102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RUN-TRF-102-20260902T162352772871Z</x:v>
      </x:c>
      <x:c r="B18" s="49" t="str">
        <x:v>TRF-102</x:v>
      </x:c>
      <x:c r="C18" s="49" t="str">
        <x:v>trailingEdgeChordPortionAtZeroPointEightRadius</x:v>
      </x:c>
      <x:c r="D18" s="50" t="str">
        <x:v>https://w3id.org/nltl/vocab#trailingEdgeChordPortionAtZeroPointEightRadius</x:v>
      </x:c>
      <x:c r="E18" s="49" t="str">
        <x:v>QuantityProperty</x:v>
      </x:c>
      <x:c r="F18" s="49" t="str"/>
      <x:c r="G18" s="49" t="str">
        <x:v>http://qudt.org/schema/qudt/QuantityValue</x:v>
      </x:c>
      <x:c r="H18" s="49" t="str">
        <x:v>http://qudt.org/vocab/unit/M</x:v>
      </x:c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478c1110bbe4a4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RUN-TRF-102-20260902T162352772871Z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RUN-TRF-102-20260902T162352772871Z</x:v>
      </x:c>
      <x:c r="B5" s="45" t="str">
        <x:v>TRF-102</x:v>
      </x:c>
      <x:c r="C5" s="45" t="str">
        <x:v>FS-CALC-02</x:v>
      </x:c>
      <x:c r="D5" s="45" t="str">
        <x:v>comparison_calculation</x:v>
      </x:c>
      <x:c r="E5" s="99" t="n">
        <x:v>0.049383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RUN-TRF-102-20260902T162352772871Z</x:v>
      </x:c>
      <x:c r="B6" s="49" t="str">
        <x:v>TRF-102</x:v>
      </x:c>
      <x:c r="C6" s="49" t="str">
        <x:v>FS-QTY-01</x:v>
      </x:c>
      <x:c r="D6" s="49" t="str">
        <x:v>qudt_quantity</x:v>
      </x:c>
      <x:c r="E6" s="100" t="n">
        <x:v>0.02439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09dfaf5fa94a7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RUN-TRF-102-20260902T162352772871Z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RUN-TRF-102-20260902T162352772871Z</x:v>
      </x:c>
      <x:c r="B5" s="69" t="str">
        <x:v>TRF-102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https://w3id.org/nltl/vocab#approvalRecord | https://w3id.org/nltl/vocab#approvedSpindleTorqueStressAnalysis | https://w3id.org/nltl/vocab#bladeExpandedAreaRatio | https://w3id.org/nltl/vocab#bladeFailureSpindleTorque | https://w3id.org/nltl/vocab#bladeFailureSpindleTorqueFactor | https://w3id.org/nltl/vocab#extremeIceForce | https://w3id.org/nltl/vocab#leadingEdgeChordPortionAtZeroPointEightRadius | https://w3id.org/nltl/vocab#maximumSpindleTorque | https://w3id.org/nltl/vocab#propellerBladeCount | https://w3id.org/nltl/vocab#ship | https://w3id.org/nltl/vocab#trailingEdgeChordPortionAtZeroPointEightRadius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e15266d215d495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RUN-TRF-102-20260902T162352772871Z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RUN-TRF-102-20260902T162352772871Z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RUN-TRF-102-20260902T162352772871Z</x:v>
      </x:c>
      <x:c r="B5" s="45" t="str">
        <x:v>TRF-102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3cd957fd02511c27b79f37f187e49e83e5b73b1baa4bec5354a04fcd14199a59</x:v>
      </x:c>
      <x:c r="G5" s="58" t="n">
        <x:v>20518</x:v>
      </x:c>
    </x:row>
    <x:row r="6">
      <x:c r="A6" s="47" t="str">
        <x:v>RUN-TRF-102-20260902T162352772871Z</x:v>
      </x:c>
      <x:c r="B6" s="47" t="str">
        <x:v>TRF-102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537d3b0b40fb5e6240bcac0f9c556670a12923c3ff098cace380accbbcbf2913</x:v>
      </x:c>
      <x:c r="G6" s="59" t="n">
        <x:v>5254</x:v>
      </x:c>
    </x:row>
    <x:row r="7">
      <x:c r="A7" s="47" t="str">
        <x:v>RUN-TRF-102-20260902T162352772871Z</x:v>
      </x:c>
      <x:c r="B7" s="47" t="str">
        <x:v>TRF-102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f4f70fc2d7b67da225b42fbbfd19ee87d54de4ae3ec6941d4c595cf0f8ddc70c</x:v>
      </x:c>
      <x:c r="G7" s="59" t="n">
        <x:v>37326</x:v>
      </x:c>
    </x:row>
    <x:row r="8">
      <x:c r="A8" s="47" t="str">
        <x:v>RUN-TRF-102-20260902T162352772871Z</x:v>
      </x:c>
      <x:c r="B8" s="47" t="str">
        <x:v>TRF-102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c51d520006cf6c5037574cbfc820228346649a1a85d0a9b7b2d7ae4ca92cb912</x:v>
      </x:c>
      <x:c r="G8" s="59" t="n">
        <x:v>9358</x:v>
      </x:c>
    </x:row>
    <x:row r="9">
      <x:c r="A9" s="47" t="str">
        <x:v>RUN-TRF-102-20260902T162352772871Z</x:v>
      </x:c>
      <x:c r="B9" s="47" t="str">
        <x:v>TRF-102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ccdbca371673027ea97b0f7c59e4d0f9ca8b5db799dd373f1e17259c30ff7aad</x:v>
      </x:c>
      <x:c r="G9" s="59" t="n">
        <x:v>10747</x:v>
      </x:c>
    </x:row>
    <x:row r="10">
      <x:c r="A10" s="47" t="str">
        <x:v>RUN-TRF-102-20260902T162352772871Z</x:v>
      </x:c>
      <x:c r="B10" s="47" t="str">
        <x:v>TRF-102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027ba2cfb9a34aed5e30b38bb07291858a3e7c3331b721911ce876b35de36591</x:v>
      </x:c>
      <x:c r="G10" s="59" t="n">
        <x:v>9358</x:v>
      </x:c>
    </x:row>
    <x:row r="11">
      <x:c r="A11" s="47" t="str">
        <x:v>RUN-TRF-102-20260902T162352772871Z</x:v>
      </x:c>
      <x:c r="B11" s="47" t="str">
        <x:v>TRF-102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1faaa6774bb84e958123f6997883e68c648a9009a9c44bc0bb827b1bc65c926d</x:v>
      </x:c>
      <x:c r="G11" s="59" t="n">
        <x:v>9333</x:v>
      </x:c>
    </x:row>
    <x:row r="12">
      <x:c r="A12" s="49" t="str">
        <x:v>RUN-TRF-102-20260902T162352772871Z</x:v>
      </x:c>
      <x:c r="B12" s="49" t="str">
        <x:v>TRF-102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f5f961b454df12b9ef1e9dc78f9bc46d8f0e4f762a59590f80f1672c8d21e732</x:v>
      </x:c>
      <x:c r="G12" s="60" t="n">
        <x:v>1494</x:v>
      </x:c>
    </x:row>
  </x:sheetData>
  <x:pageMargins left="0.7" right="0.7" top="0.75" bottom="0.75" header="0.3" footer="0.3"/>
  <x:tableParts count="1">
    <x:tablePart xmlns:r="http://schemas.openxmlformats.org/officeDocument/2006/relationships" r:id="R7f1b74424c04472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RUN-TRF-102-20260902T162352772871Z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RUN-TRF-102-20260902T162352772871Z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