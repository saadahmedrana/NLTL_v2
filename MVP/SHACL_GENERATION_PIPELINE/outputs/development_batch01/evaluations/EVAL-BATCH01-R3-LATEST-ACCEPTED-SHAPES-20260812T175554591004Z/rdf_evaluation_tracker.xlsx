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212b5b092d496a" /></Relationships>
</file>

<file path=xl/workbook.xml><?xml version="1.0" encoding="utf-8"?>
<x:workbook xmlns:x="http://schemas.openxmlformats.org/spreadsheetml/2006/main">
  <x:sheets>
    <x:sheet xmlns:r="http://schemas.openxmlformats.org/officeDocument/2006/relationships" name="SUMMARY" sheetId="1" r:id="Rb2b48246c5034059"/>
    <x:sheet xmlns:r="http://schemas.openxmlformats.org/officeDocument/2006/relationships" name="README" sheetId="2" r:id="Rbcb9de29498c45cd"/>
    <x:sheet xmlns:r="http://schemas.openxmlformats.org/officeDocument/2006/relationships" name="EVALUATION_RESULTS" sheetId="3" r:id="R3f4e62a78799419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2"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201" fontId="6" fillId="0" borderId="2" xfId="0" applyNumberFormat="1" applyFont="1" applyFill="1" applyBorder="1"/>
    <x:xf numFmtId="0" fontId="9" fillId="0" borderId="3" xfId="0" applyNumberFormat="1" applyFont="1" applyFill="1" applyBorder="1"/>
    <x:xf numFmtId="0"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1" fontId="6" fillId="0" borderId="1" xfId="0" applyNumberFormat="1" applyFont="1" applyFill="1" applyBorder="1" applyAlignment="1">
      <x:alignment vertical="top"/>
    </x:xf>
    <x:xf numFmtId="200" fontId="6" fillId="0" borderId="1" xfId="0" applyNumberFormat="1" applyFont="1" applyFill="1" applyBorder="1" applyAlignment="1">
      <x:alignment vertical="top"/>
    </x:xf>
    <x:xf numFmtId="201" fontId="6" fillId="0" borderId="2" xfId="0" applyNumberFormat="1" applyFont="1" applyFill="1" applyBorder="1" applyAlignment="1">
      <x:alignment vertical="top"/>
    </x:xf>
    <x:xf numFmtId="200" fontId="6" fillId="0" borderId="2" xfId="0" applyNumberFormat="1" applyFont="1" applyFill="1" applyBorder="1" applyAlignment="1">
      <x:alignment vertical="top"/>
    </x:xf>
    <x:xf numFmtId="201" fontId="6" fillId="0" borderId="3" xfId="0" applyNumberFormat="1" applyFont="1" applyFill="1" applyBorder="1" applyAlignment="1">
      <x:alignment vertical="top"/>
    </x:xf>
    <x:xf numFmtId="200" fontId="6" fillId="0"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d24fcac5db47bc" /><Relationship Type="http://schemas.openxmlformats.org/officeDocument/2006/relationships/theme" Target="/xl/theme/theme1.xml" Id="Rb36f8218bd56469f" /><Relationship Type="http://schemas.openxmlformats.org/officeDocument/2006/relationships/sharedStrings" Target="/xl/sharedStrings.xml" Id="Ra2964667732d444a" /><Relationship Type="http://schemas.openxmlformats.org/officeDocument/2006/relationships/worksheet" Target="/xl/worksheets/sheet1.xml" Id="Rb2b48246c5034059" /><Relationship Type="http://schemas.openxmlformats.org/officeDocument/2006/relationships/worksheet" Target="/xl/worksheets/sheet2.xml" Id="Rbcb9de29498c45cd" /><Relationship Type="http://schemas.openxmlformats.org/officeDocument/2006/relationships/worksheet" Target="/xl/worksheets/sheet3.xml" Id="R3f4e62a787994190" /></Relationship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EVALUATIONRESULTS" displayName="T2_EVALUATIONRESULTS" ref="A4:R124" headerRowCount="1" totalsRowCount="0" totalsRowShown="0">
  <x:tableColumns count="18">
    <x:tableColumn id="1" name="EVALUATION_ID"/>
    <x:tableColumn id="2" name="CASE_ID"/>
    <x:tableColumn id="3" name="VARIANT_ID"/>
    <x:tableColumn id="4" name="CASE_LEVEL"/>
    <x:tableColumn id="5" name="REQUIREMENT_IDS"/>
    <x:tableColumn id="6" name="SHAPE_FILE"/>
    <x:tableColumn id="7" name="DATA_FILE"/>
    <x:tableColumn id="8" name="SHAPE_SHA256"/>
    <x:tableColumn id="9" name="DATA_SHA256"/>
    <x:tableColumn id="10" name="FILE_INTEGRITY_OK"/>
    <x:tableColumn id="11" name="EXPECTED_CONFORMS"/>
    <x:tableColumn id="12" name="EXECUTION_OK"/>
    <x:tableColumn id="13" name="ACTUAL_CONFORMS"/>
    <x:tableColumn id="14" name="EXPECTED_MATCH"/>
    <x:tableColumn id="15" name="REPORT_TRIPLES"/>
    <x:tableColumn id="16" name="ELAPSED_MS"/>
    <x:tableColumn id="17" name="ERROR"/>
    <x:tableColumn id="18" name="REPORT_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db4bc0709e4ee4" /></Relationships>
</file>

<file path=xl/worksheets/_rels/sheet3.xml.rels>&#65279;<?xml version="1.0" encoding="utf-8"?><Relationships xmlns="http://schemas.openxmlformats.org/package/2006/relationships"><Relationship Type="http://schemas.openxmlformats.org/officeDocument/2006/relationships/table" Target="/xl/tables/table2.xml" Id="Rf0a5d5d21ec94b8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Bulk RDF Evaluation Tracker</x:v>
      </x:c>
      <x:c r="B1" s="19"/>
      <x:c r="C1" s="19"/>
      <x:c r="D1" s="19"/>
    </x:row>
    <x:row r="2">
      <x:c r="A2" s="20" t="str">
        <x:v>Evaluation: BATCH01-R3-LATEST-ACCEPTED-SHAPES</x:v>
      </x:c>
      <x:c r="B2" s="20"/>
      <x:c r="C2" s="20"/>
      <x:c r="D2" s="20"/>
    </x:row>
    <x:row r="3">
      <x:c r="A3" s="21"/>
      <x:c r="B3" s="21"/>
      <x:c r="C3" s="21"/>
      <x:c r="D3" s="21"/>
    </x:row>
    <x:row r="4">
      <x:c r="A4" s="22" t="str">
        <x:v>METRIC</x:v>
      </x:c>
      <x:c r="B4" s="22" t="str">
        <x:v>VALUE</x:v>
      </x:c>
      <x:c r="C4" s="21"/>
      <x:c r="D4" s="21"/>
    </x:row>
    <x:row r="5">
      <x:c r="A5" s="23" t="str">
        <x:v>Evaluation records</x:v>
      </x:c>
      <x:c r="B5" s="24" t="n">
        <x:f>COUNTA('EVALUATION_RESULTS'!$A$5:$A$124)</x:f>
        <x:v>120</x:v>
      </x:c>
      <x:c r="C5" s="21"/>
      <x:c r="D5" s="21"/>
    </x:row>
    <x:row r="6">
      <x:c r="A6" s="25" t="str">
        <x:v>Executed successfully</x:v>
      </x:c>
      <x:c r="B6" s="26" t="n">
        <x:f>COUNTIF('EVALUATION_RESULTS'!$L$5:$L$124,"TRUE")</x:f>
        <x:v>120</x:v>
      </x:c>
      <x:c r="C6" s="21"/>
      <x:c r="D6" s="21"/>
    </x:row>
    <x:row r="7">
      <x:c r="A7" s="25" t="str">
        <x:v>Expected outcomes matched</x:v>
      </x:c>
      <x:c r="B7" s="26" t="n">
        <x:f>COUNTIF('EVALUATION_RESULTS'!$N$5:$N$124,"TRUE")</x:f>
        <x:v>82</x:v>
      </x:c>
      <x:c r="C7" s="21"/>
      <x:c r="D7" s="21"/>
    </x:row>
    <x:row r="8">
      <x:c r="A8" s="25" t="str">
        <x:v>Expected outcomes mismatched</x:v>
      </x:c>
      <x:c r="B8" s="26" t="n">
        <x:f>COUNTIF('EVALUATION_RESULTS'!$N$5:$N$124,"FALSE")</x:f>
        <x:v>38</x:v>
      </x:c>
      <x:c r="C8" s="21"/>
      <x:c r="D8" s="21"/>
    </x:row>
    <x:row r="9">
      <x:c r="A9" s="25" t="str">
        <x:v>Mean evaluation elapsed ms</x:v>
      </x:c>
      <x:c r="B9" s="27" t="n">
        <x:f>IFERROR(AVERAGE('EVALUATION_RESULTS'!$P$5:$P$124),0)</x:f>
        <x:v>4396.766524999999</x:v>
      </x:c>
      <x:c r="C9" s="21"/>
      <x:c r="D9" s="21"/>
    </x:row>
    <x:row r="10">
      <x:c r="A10" s="28"/>
      <x:c r="B10" s="29"/>
      <x:c r="C10" s="21"/>
      <x:c r="D10" s="21"/>
    </x:row>
    <x:row r="11">
      <x:c r="A11" s="21"/>
      <x:c r="B11" s="21"/>
      <x:c r="C11" s="21"/>
      <x:c r="D11" s="21"/>
    </x:row>
    <x:row r="12" ht="38" customHeight="1">
      <x:c r="A12" s="30" t="str">
        <x:v>INTERPRETATION</x:v>
      </x:c>
      <x:c r="B12" s="31" t="str">
        <x:v>EXPECTED_MATCH = TRUE means the SHACL result matched the independently declared pass/fail expectation.</x:v>
      </x:c>
      <x:c r="C12" s="31" t="str"/>
      <x:c r="D12" s="31" t="str"/>
    </x:row>
    <x:row r="13" ht="38" customHeight="1">
      <x:c r="A13" s="30" t="str">
        <x:v>RESULT DETAIL</x:v>
      </x:c>
      <x:c r="B13" s="31" t="str">
        <x:v>The workbook contains concise messages; evaluation_results.csv and evaluation_results.jsonl retain complete SHACL reports.</x:v>
      </x:c>
      <x:c r="C13" s="31" t="str"/>
      <x:c r="D13" s="31" t="str"/>
    </x:row>
    <x:row r="14" ht="38" customHeight="1">
      <x:c r="A14" s="30" t="str">
        <x:v>BOUNDARY</x:v>
      </x:c>
      <x:c r="B14" s="31" t="str">
        <x:v>This evaluator makes no LLM or API calls and never repairs a generated shape.</x:v>
      </x:c>
      <x:c r="C14" s="31" t="str"/>
      <x:c r="D14" s="31" t="str"/>
    </x:row>
    <x:row r="15" ht="38" customHeight="1">
      <x:c r="A15" s="30" t="str">
        <x:v>REPRODUCIBILITY</x:v>
      </x:c>
      <x:c r="B15" s="31" t="str">
        <x:v>The manifest links every RDF variant to the exact frozen generated SHACL file.</x:v>
      </x:c>
      <x:c r="C15" s="31" t="str"/>
      <x:c r="D15" s="31"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Bulk RDF Evaluation Tracker</x:v>
      </x:c>
      <x:c r="B1" s="19"/>
    </x:row>
    <x:row r="2">
      <x:c r="A2" s="20" t="str">
        <x:v>README | Evaluation: BATCH01-R3-LATEST-ACCEPTED-SHAPES</x:v>
      </x:c>
      <x:c r="B2" s="20"/>
    </x:row>
    <x:row r="3">
      <x:c r="A3" s="21"/>
      <x:c r="B3" s="21"/>
    </x:row>
    <x:row r="4" ht="30" customHeight="1">
      <x:c r="A4" s="44" t="str">
        <x:v>SECTION</x:v>
      </x:c>
      <x:c r="B4" s="45" t="str">
        <x:v>DETAIL</x:v>
      </x:c>
    </x:row>
    <x:row r="5">
      <x:c r="A5" s="46" t="str">
        <x:v>PURPOSE</x:v>
      </x:c>
      <x:c r="B5" s="47" t="str">
        <x:v>Separate bulk RDF/ship-graph execution of frozen SHACL shapes.</x:v>
      </x:c>
    </x:row>
    <x:row r="6">
      <x:c r="A6" s="48" t="str">
        <x:v>BOUNDARY</x:v>
      </x:c>
      <x:c r="B6" s="49" t="str">
        <x:v>This evaluator never calls an LLM and is not part of the generation repair loop.</x:v>
      </x:c>
    </x:row>
    <x:row r="7">
      <x:c r="A7" s="48" t="str">
        <x:v>VOCABULARY_LOCK</x:v>
      </x:c>
      <x:c r="B7" s="49" t="str">
        <x:v>VOCAB-DEV-2026-08-12-BATCH01-R4</x:v>
      </x:c>
    </x:row>
    <x:row r="8">
      <x:c r="A8" s="48" t="str">
        <x:v>ONTOLOGY_SHA256</x:v>
      </x:c>
      <x:c r="B8" s="49" t="str">
        <x:v>5cd5483a24d85be7e5b9029e3c4e019471e4dd8a3e704b39d78312c94d51b58e</x:v>
      </x:c>
    </x:row>
    <x:row r="9">
      <x:c r="A9" s="48" t="str">
        <x:v>MANIFEST</x:v>
      </x:c>
      <x:c r="B9" s="49" t="str">
        <x:v>/Users/sadisfaction570/Desktop/Journal 1/NLTL_v2/MVP/INPUTS/DEVELOPMENT_CALIBRATION/BATCH_01_FIRST_50/generated_shape_evaluation_manifest.json</x:v>
      </x:c>
    </x:row>
    <x:row r="10">
      <x:c r="A10" s="50" t="str">
        <x:v>MANIFEST_SHA256</x:v>
      </x:c>
      <x:c r="B10" s="51" t="str">
        <x:v>ac10f01a3664dbfcef74ed9e89c14436411a68b4b57ed30f004ff8373fa7c644</x:v>
      </x:c>
    </x:row>
  </x:sheetData>
  <x:pageMargins left="0.7" right="0.7" top="0.75" bottom="0.75" header="0.3" footer="0.3"/>
  <x:tableParts count="1">
    <x:tablePart xmlns:r="http://schemas.openxmlformats.org/officeDocument/2006/relationships" r:id="Ra4db4bc0709e4e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2" hidden="0" customWidth="1"/>
    <x:col min="4" max="4" width="24" hidden="0" customWidth="1"/>
    <x:col min="5" max="5" width="17" hidden="0" customWidth="1"/>
    <x:col min="6" max="6" width="24" hidden="0" customWidth="1"/>
    <x:col min="7" max="7" width="24" hidden="0" customWidth="1"/>
    <x:col min="8" max="8" width="24" hidden="0" customWidth="1"/>
    <x:col min="9" max="9" width="24" hidden="0" customWidth="1"/>
    <x:col min="10" max="10" width="19" hidden="0" customWidth="1"/>
    <x:col min="11" max="11" width="19" hidden="0" customWidth="1"/>
    <x:col min="12" max="12" width="14" hidden="0" customWidth="1"/>
    <x:col min="13" max="13" width="17" hidden="0" customWidth="1"/>
    <x:col min="14" max="14" width="16" hidden="0" customWidth="1"/>
    <x:col min="15" max="15" width="16" hidden="0" customWidth="1"/>
    <x:col min="16" max="16" width="12" hidden="0" customWidth="1"/>
    <x:col min="17" max="17" width="20" hidden="0" customWidth="1"/>
    <x:col min="18" max="18" width="24" hidden="0" customWidth="1"/>
  </x:cols>
  <x:sheetData>
    <x:row r="1">
      <x:c r="A1" s="18" t="str">
        <x:v>NLTL Bulk RDF Evaluation Tracker</x:v>
      </x:c>
      <x:c r="B1" s="19"/>
      <x:c r="C1" s="19"/>
      <x:c r="D1" s="19"/>
      <x:c r="E1" s="19"/>
      <x:c r="F1" s="19"/>
      <x:c r="G1" s="19"/>
      <x:c r="H1" s="19"/>
      <x:c r="I1" s="19"/>
      <x:c r="J1" s="19"/>
      <x:c r="K1" s="19"/>
      <x:c r="L1" s="19"/>
      <x:c r="M1" s="19"/>
      <x:c r="N1" s="19"/>
      <x:c r="O1" s="19"/>
      <x:c r="P1" s="19"/>
      <x:c r="Q1" s="19"/>
      <x:c r="R1" s="19"/>
    </x:row>
    <x:row r="2">
      <x:c r="A2" s="20" t="str">
        <x:v>EVALUATION_RESULTS | Evaluation: BATCH01-R3-LATEST-ACCEPTED-SHAPES</x:v>
      </x:c>
      <x:c r="B2" s="20"/>
      <x:c r="C2" s="20"/>
      <x:c r="D2" s="20"/>
      <x:c r="E2" s="20"/>
      <x:c r="F2" s="20"/>
      <x:c r="G2" s="20"/>
      <x:c r="H2" s="20"/>
      <x:c r="I2" s="20"/>
      <x:c r="J2" s="20"/>
      <x:c r="K2" s="20"/>
      <x:c r="L2" s="20"/>
      <x:c r="M2" s="20"/>
      <x:c r="N2" s="20"/>
      <x:c r="O2" s="20"/>
      <x:c r="P2" s="20"/>
      <x:c r="Q2" s="20"/>
      <x:c r="R2" s="20"/>
    </x:row>
    <x:row r="3">
      <x:c r="A3" s="21"/>
      <x:c r="B3" s="21"/>
      <x:c r="C3" s="21"/>
      <x:c r="D3" s="21"/>
      <x:c r="E3" s="21"/>
      <x:c r="F3" s="21"/>
      <x:c r="G3" s="21"/>
      <x:c r="H3" s="21"/>
      <x:c r="I3" s="21"/>
      <x:c r="J3" s="21"/>
      <x:c r="K3" s="21"/>
      <x:c r="L3" s="21"/>
      <x:c r="M3" s="21"/>
      <x:c r="N3" s="21"/>
      <x:c r="O3" s="21"/>
      <x:c r="P3" s="21"/>
      <x:c r="Q3" s="21"/>
      <x:c r="R3" s="21"/>
    </x:row>
    <x:row r="4" ht="30" customHeight="1">
      <x:c r="A4" s="44" t="str">
        <x:v>EVALUATION_ID</x:v>
      </x:c>
      <x:c r="B4" s="61" t="str">
        <x:v>CASE_ID</x:v>
      </x:c>
      <x:c r="C4" s="61" t="str">
        <x:v>VARIANT_ID</x:v>
      </x:c>
      <x:c r="D4" s="61" t="str">
        <x:v>CASE_LEVEL</x:v>
      </x:c>
      <x:c r="E4" s="61" t="str">
        <x:v>REQUIREMENT_IDS</x:v>
      </x:c>
      <x:c r="F4" s="61" t="str">
        <x:v>SHAPE_FILE</x:v>
      </x:c>
      <x:c r="G4" s="61" t="str">
        <x:v>DATA_FILE</x:v>
      </x:c>
      <x:c r="H4" s="61" t="str">
        <x:v>SHAPE_SHA256</x:v>
      </x:c>
      <x:c r="I4" s="61" t="str">
        <x:v>DATA_SHA256</x:v>
      </x:c>
      <x:c r="J4" s="61" t="str">
        <x:v>FILE_INTEGRITY_OK</x:v>
      </x:c>
      <x:c r="K4" s="61" t="str">
        <x:v>EXPECTED_CONFORMS</x:v>
      </x:c>
      <x:c r="L4" s="61" t="str">
        <x:v>EXECUTION_OK</x:v>
      </x:c>
      <x:c r="M4" s="61" t="str">
        <x:v>ACTUAL_CONFORMS</x:v>
      </x:c>
      <x:c r="N4" s="61" t="str">
        <x:v>EXPECTED_MATCH</x:v>
      </x:c>
      <x:c r="O4" s="61" t="str">
        <x:v>REPORT_TRIPLES</x:v>
      </x:c>
      <x:c r="P4" s="61" t="str">
        <x:v>ELAPSED_MS</x:v>
      </x:c>
      <x:c r="Q4" s="61" t="str">
        <x:v>ERROR</x:v>
      </x:c>
      <x:c r="R4" s="45" t="str">
        <x:v>REPORT_SUMMARY</x:v>
      </x:c>
    </x:row>
    <x:row r="5">
      <x:c r="A5" s="46" t="str">
        <x:v>BATCH01-R3-LATEST-ACCEPTED-SHAPES</x:v>
      </x:c>
      <x:c r="B5" s="46" t="str">
        <x:v>B01-TRF-001-PASS</x:v>
      </x:c>
      <x:c r="C5" s="46" t="str">
        <x:v>PASS</x:v>
      </x:c>
      <x:c r="D5" s="46" t="str">
        <x:v>requirement-development-calibration</x:v>
      </x:c>
      <x:c r="E5" s="46" t="str">
        <x:v>TRF-001</x:v>
      </x:c>
      <x:c r="F5" s="46" t="str">
        <x:v>/Users/sadisfaction570/Desktop/Journal 1/NLTL_v2/MVP/SHACL_GENERATION_PIPELINE/outputs/development_batch01/runs/RUN-TRF-001-20260812T125429218385Z/final/final_shape.ttl</x:v>
      </x:c>
      <x:c r="G5" s="46" t="str">
        <x:v>/Users/sadisfaction570/Desktop/Journal 1/NLTL_v2/MVP/INPUTS/DEVELOPMENT_CALIBRATION/BATCH_01_FIRST_50/rdf_fixtures/TRF-001/trf-001_01_pass.ttl</x:v>
      </x:c>
      <x:c r="H5" s="46" t="str">
        <x:v>6be35a93434058aad2596d816f86471b166035f9bde30cc247e166730b37cc14</x:v>
      </x:c>
      <x:c r="I5" s="46" t="str">
        <x:v>7b474b3a49b0e386459bac9cc61dadb322f61e6fdb2e46a437aa394617f066ae</x:v>
      </x:c>
      <x:c r="J5" s="46" t="str">
        <x:v>TRUE</x:v>
      </x:c>
      <x:c r="K5" s="62" t="str">
        <x:v>TRUE</x:v>
      </x:c>
      <x:c r="L5" s="46" t="str">
        <x:v>TRUE</x:v>
      </x:c>
      <x:c r="M5" s="62" t="str">
        <x:v>TRUE</x:v>
      </x:c>
      <x:c r="N5" s="46" t="str">
        <x:v>TRUE</x:v>
      </x:c>
      <x:c r="O5" s="63" t="n">
        <x:v>2</x:v>
      </x:c>
      <x:c r="P5" s="62" t="n">
        <x:v>340.894</x:v>
      </x:c>
      <x:c r="Q5" s="47" t="str"/>
      <x:c r="R5" s="46" t="str">
        <x:v>Conforms: true</x:v>
      </x:c>
    </x:row>
    <x:row r="6">
      <x:c r="A6" s="48" t="str">
        <x:v>BATCH01-R3-LATEST-ACCEPTED-SHAPES</x:v>
      </x:c>
      <x:c r="B6" s="48" t="str">
        <x:v>B01-TRF-001-FAIL</x:v>
      </x:c>
      <x:c r="C6" s="48" t="str">
        <x:v>FAIL</x:v>
      </x:c>
      <x:c r="D6" s="48" t="str">
        <x:v>requirement-development-calibration</x:v>
      </x:c>
      <x:c r="E6" s="48" t="str">
        <x:v>TRF-001</x:v>
      </x:c>
      <x:c r="F6" s="48" t="str">
        <x:v>/Users/sadisfaction570/Desktop/Journal 1/NLTL_v2/MVP/SHACL_GENERATION_PIPELINE/outputs/development_batch01/runs/RUN-TRF-001-20260812T125429218385Z/final/final_shape.ttl</x:v>
      </x:c>
      <x:c r="G6" s="48" t="str">
        <x:v>/Users/sadisfaction570/Desktop/Journal 1/NLTL_v2/MVP/INPUTS/DEVELOPMENT_CALIBRATION/BATCH_01_FIRST_50/rdf_fixtures/TRF-001/trf-001_02_fail.ttl</x:v>
      </x:c>
      <x:c r="H6" s="48" t="str">
        <x:v>6be35a93434058aad2596d816f86471b166035f9bde30cc247e166730b37cc14</x:v>
      </x:c>
      <x:c r="I6" s="48" t="str">
        <x:v>3594e90695cb43fe083219ac24afaee0c949d26591fb6f842c7eb7df856bf15d</x:v>
      </x:c>
      <x:c r="J6" s="48" t="str">
        <x:v>TRUE</x:v>
      </x:c>
      <x:c r="K6" s="64" t="str">
        <x:v>FALSE</x:v>
      </x:c>
      <x:c r="L6" s="48" t="str">
        <x:v>TRUE</x:v>
      </x:c>
      <x:c r="M6" s="64" t="str">
        <x:v>FALSE</x:v>
      </x:c>
      <x:c r="N6" s="48" t="str">
        <x:v>TRUE</x:v>
      </x:c>
      <x:c r="O6" s="65" t="n">
        <x:v>10</x:v>
      </x:c>
      <x:c r="P6" s="64" t="n">
        <x:v>323.162</x:v>
      </x:c>
      <x:c r="Q6" s="49" t="str"/>
      <x:c r="R6" s="48" t="str">
        <x:v>Conforms: false | Node &lt;urn:nltl:batch01-fixture:TRF-001:fail:ship&gt; must conform to one or more shapes in [ sh:property [ sh:maxExclusive Literal("2021-07-05", datatype=xsd:date) ; sh:path nltl:constructionContractDate ] ] , [ sh:property [ sh:hasValue nltl:iceClassRegulationEdition2021 ; sh:message Literal("A ship contracted on or after 5 July 2021 must identify the 2021 Ice Class Regulations as applicable.") ; sh:path nltl:applicableIceClassRegulationEdition ] ]</x:v>
      </x:c>
    </x:row>
    <x:row r="7">
      <x:c r="A7" s="48" t="str">
        <x:v>BATCH01-R3-LATEST-ACCEPTED-SHAPES</x:v>
      </x:c>
      <x:c r="B7" s="48" t="str">
        <x:v>B01-TRF-001-BOUNDARY</x:v>
      </x:c>
      <x:c r="C7" s="48" t="str">
        <x:v>BOUNDARY</x:v>
      </x:c>
      <x:c r="D7" s="48" t="str">
        <x:v>requirement-development-calibration</x:v>
      </x:c>
      <x:c r="E7" s="48" t="str">
        <x:v>TRF-001</x:v>
      </x:c>
      <x:c r="F7" s="48" t="str">
        <x:v>/Users/sadisfaction570/Desktop/Journal 1/NLTL_v2/MVP/SHACL_GENERATION_PIPELINE/outputs/development_batch01/runs/RUN-TRF-001-20260812T125429218385Z/final/final_shape.ttl</x:v>
      </x:c>
      <x:c r="G7" s="48" t="str">
        <x:v>/Users/sadisfaction570/Desktop/Journal 1/NLTL_v2/MVP/INPUTS/DEVELOPMENT_CALIBRATION/BATCH_01_FIRST_50/rdf_fixtures/TRF-001/trf-001_03_boundary.ttl</x:v>
      </x:c>
      <x:c r="H7" s="48" t="str">
        <x:v>6be35a93434058aad2596d816f86471b166035f9bde30cc247e166730b37cc14</x:v>
      </x:c>
      <x:c r="I7" s="48" t="str">
        <x:v>e06ed3076a763bb26b211b32fc00bc81a18c31e2ae1b07632510a0b30fc44e38</x:v>
      </x:c>
      <x:c r="J7" s="48" t="str">
        <x:v>TRUE</x:v>
      </x:c>
      <x:c r="K7" s="64" t="str">
        <x:v>TRUE</x:v>
      </x:c>
      <x:c r="L7" s="48" t="str">
        <x:v>TRUE</x:v>
      </x:c>
      <x:c r="M7" s="64" t="str">
        <x:v>TRUE</x:v>
      </x:c>
      <x:c r="N7" s="48" t="str">
        <x:v>TRUE</x:v>
      </x:c>
      <x:c r="O7" s="65" t="n">
        <x:v>2</x:v>
      </x:c>
      <x:c r="P7" s="64" t="n">
        <x:v>343.54</x:v>
      </x:c>
      <x:c r="Q7" s="49" t="str"/>
      <x:c r="R7" s="48" t="str">
        <x:v>Conforms: true</x:v>
      </x:c>
    </x:row>
    <x:row r="8">
      <x:c r="A8" s="48" t="str">
        <x:v>BATCH01-R3-LATEST-ACCEPTED-SHAPES</x:v>
      </x:c>
      <x:c r="B8" s="48" t="str">
        <x:v>B01-TRF-002-PASS</x:v>
      </x:c>
      <x:c r="C8" s="48" t="str">
        <x:v>PASS</x:v>
      </x:c>
      <x:c r="D8" s="48" t="str">
        <x:v>requirement-development-calibration</x:v>
      </x:c>
      <x:c r="E8" s="48" t="str">
        <x:v>TRF-002</x:v>
      </x:c>
      <x:c r="F8" s="48" t="str">
        <x:v>/Users/sadisfaction570/Desktop/Journal 1/NLTL_v2/MVP/SHACL_GENERATION_PIPELINE/outputs/development_batch01/runs/RUN-TRF-002-20260812T125513415336Z/final/final_shape.ttl</x:v>
      </x:c>
      <x:c r="G8" s="48" t="str">
        <x:v>/Users/sadisfaction570/Desktop/Journal 1/NLTL_v2/MVP/INPUTS/DEVELOPMENT_CALIBRATION/BATCH_01_FIRST_50/rdf_fixtures/TRF-002/trf-002_01_pass.ttl</x:v>
      </x:c>
      <x:c r="H8" s="48" t="str">
        <x:v>91fb15610af9d737ad97880304c1c8242d79b63bfdf61eb58ffc6180e0a182c7</x:v>
      </x:c>
      <x:c r="I8" s="48" t="str">
        <x:v>69423548edf05a8750a78d3b6a90b7e8706b917280219489a251d4a11329d498</x:v>
      </x:c>
      <x:c r="J8" s="48" t="str">
        <x:v>TRUE</x:v>
      </x:c>
      <x:c r="K8" s="64" t="str">
        <x:v>TRUE</x:v>
      </x:c>
      <x:c r="L8" s="48" t="str">
        <x:v>TRUE</x:v>
      </x:c>
      <x:c r="M8" s="64" t="str">
        <x:v>TRUE</x:v>
      </x:c>
      <x:c r="N8" s="48" t="str">
        <x:v>TRUE</x:v>
      </x:c>
      <x:c r="O8" s="65" t="n">
        <x:v>2</x:v>
      </x:c>
      <x:c r="P8" s="64" t="n">
        <x:v>310.777</x:v>
      </x:c>
      <x:c r="Q8" s="49" t="str"/>
      <x:c r="R8" s="48" t="str">
        <x:v>Conforms: true</x:v>
      </x:c>
    </x:row>
    <x:row r="9">
      <x:c r="A9" s="48" t="str">
        <x:v>BATCH01-R3-LATEST-ACCEPTED-SHAPES</x:v>
      </x:c>
      <x:c r="B9" s="48" t="str">
        <x:v>B01-TRF-002-FAIL</x:v>
      </x:c>
      <x:c r="C9" s="48" t="str">
        <x:v>FAIL</x:v>
      </x:c>
      <x:c r="D9" s="48" t="str">
        <x:v>requirement-development-calibration</x:v>
      </x:c>
      <x:c r="E9" s="48" t="str">
        <x:v>TRF-002</x:v>
      </x:c>
      <x:c r="F9" s="48" t="str">
        <x:v>/Users/sadisfaction570/Desktop/Journal 1/NLTL_v2/MVP/SHACL_GENERATION_PIPELINE/outputs/development_batch01/runs/RUN-TRF-002-20260812T125513415336Z/final/final_shape.ttl</x:v>
      </x:c>
      <x:c r="G9" s="48" t="str">
        <x:v>/Users/sadisfaction570/Desktop/Journal 1/NLTL_v2/MVP/INPUTS/DEVELOPMENT_CALIBRATION/BATCH_01_FIRST_50/rdf_fixtures/TRF-002/trf-002_02_fail.ttl</x:v>
      </x:c>
      <x:c r="H9" s="48" t="str">
        <x:v>91fb15610af9d737ad97880304c1c8242d79b63bfdf61eb58ffc6180e0a182c7</x:v>
      </x:c>
      <x:c r="I9" s="48" t="str">
        <x:v>08a8fa24a137f138b425c5fc23a2948e82a76ed5e3757f992ffacd7acbc684fb</x:v>
      </x:c>
      <x:c r="J9" s="48" t="str">
        <x:v>TRUE</x:v>
      </x:c>
      <x:c r="K9" s="64" t="str">
        <x:v>FALSE</x:v>
      </x:c>
      <x:c r="L9" s="48" t="str">
        <x:v>TRUE</x:v>
      </x:c>
      <x:c r="M9" s="64" t="str">
        <x:v>FALSE</x:v>
      </x:c>
      <x:c r="N9" s="48" t="str">
        <x:v>TRUE</x:v>
      </x:c>
      <x:c r="O9" s="65" t="n">
        <x:v>10</x:v>
      </x:c>
      <x:c r="P9" s="64" t="n">
        <x:v>309.058</x:v>
      </x:c>
      <x:c r="Q9" s="49" t="str"/>
      <x:c r="R9" s="48" t="str">
        <x:v>Conforms: false | Ships contracted from 1 January 2019 through 4 July 2021 must use the 2017 Ice Class Regulations.</x:v>
      </x:c>
    </x:row>
    <x:row r="10">
      <x:c r="A10" s="48" t="str">
        <x:v>BATCH01-R3-LATEST-ACCEPTED-SHAPES</x:v>
      </x:c>
      <x:c r="B10" s="48" t="str">
        <x:v>B01-TRF-002-BOUNDARY</x:v>
      </x:c>
      <x:c r="C10" s="48" t="str">
        <x:v>BOUNDARY</x:v>
      </x:c>
      <x:c r="D10" s="48" t="str">
        <x:v>requirement-development-calibration</x:v>
      </x:c>
      <x:c r="E10" s="48" t="str">
        <x:v>TRF-002</x:v>
      </x:c>
      <x:c r="F10" s="48" t="str">
        <x:v>/Users/sadisfaction570/Desktop/Journal 1/NLTL_v2/MVP/SHACL_GENERATION_PIPELINE/outputs/development_batch01/runs/RUN-TRF-002-20260812T125513415336Z/final/final_shape.ttl</x:v>
      </x:c>
      <x:c r="G10" s="48" t="str">
        <x:v>/Users/sadisfaction570/Desktop/Journal 1/NLTL_v2/MVP/INPUTS/DEVELOPMENT_CALIBRATION/BATCH_01_FIRST_50/rdf_fixtures/TRF-002/trf-002_03_boundary.ttl</x:v>
      </x:c>
      <x:c r="H10" s="48" t="str">
        <x:v>91fb15610af9d737ad97880304c1c8242d79b63bfdf61eb58ffc6180e0a182c7</x:v>
      </x:c>
      <x:c r="I10" s="48" t="str">
        <x:v>b1f5055a76c4b8659a0948904f85529a2716573521107fb1bf5eb36d503af076</x:v>
      </x:c>
      <x:c r="J10" s="48" t="str">
        <x:v>TRUE</x:v>
      </x:c>
      <x:c r="K10" s="64" t="str">
        <x:v>TRUE</x:v>
      </x:c>
      <x:c r="L10" s="48" t="str">
        <x:v>TRUE</x:v>
      </x:c>
      <x:c r="M10" s="64" t="str">
        <x:v>TRUE</x:v>
      </x:c>
      <x:c r="N10" s="48" t="str">
        <x:v>TRUE</x:v>
      </x:c>
      <x:c r="O10" s="65" t="n">
        <x:v>2</x:v>
      </x:c>
      <x:c r="P10" s="64" t="n">
        <x:v>313.257</x:v>
      </x:c>
      <x:c r="Q10" s="49" t="str"/>
      <x:c r="R10" s="48" t="str">
        <x:v>Conforms: true</x:v>
      </x:c>
    </x:row>
    <x:row r="11">
      <x:c r="A11" s="48" t="str">
        <x:v>BATCH01-R3-LATEST-ACCEPTED-SHAPES</x:v>
      </x:c>
      <x:c r="B11" s="48" t="str">
        <x:v>B01-TRF-003-PASS</x:v>
      </x:c>
      <x:c r="C11" s="48" t="str">
        <x:v>PASS</x:v>
      </x:c>
      <x:c r="D11" s="48" t="str">
        <x:v>requirement-development-calibration</x:v>
      </x:c>
      <x:c r="E11" s="48" t="str">
        <x:v>TRF-003</x:v>
      </x:c>
      <x:c r="F11" s="48" t="str">
        <x:v>/Users/sadisfaction570/Desktop/Journal 1/NLTL_v2/MVP/SHACL_GENERATION_PIPELINE/outputs/development_batch01/runs/RUN-TRF-003-20260812T130023872353Z/final/final_shape.ttl</x:v>
      </x:c>
      <x:c r="G11" s="48" t="str">
        <x:v>/Users/sadisfaction570/Desktop/Journal 1/NLTL_v2/MVP/INPUTS/DEVELOPMENT_CALIBRATION/BATCH_01_FIRST_50/rdf_fixtures/TRF-003/trf-003_01_pass.ttl</x:v>
      </x:c>
      <x:c r="H11" s="48" t="str">
        <x:v>c73f57c8c664fd36e3f8ca564333184953e56164869e4fa9ff2e37d78cfbebd2</x:v>
      </x:c>
      <x:c r="I11" s="48" t="str">
        <x:v>dd9c13f0ecaa6987a91ce890abc11fb53389fcc80d654ee7dbcfa1c4e2c91950</x:v>
      </x:c>
      <x:c r="J11" s="48" t="str">
        <x:v>TRUE</x:v>
      </x:c>
      <x:c r="K11" s="64" t="str">
        <x:v>TRUE</x:v>
      </x:c>
      <x:c r="L11" s="48" t="str">
        <x:v>TRUE</x:v>
      </x:c>
      <x:c r="M11" s="64" t="str">
        <x:v>TRUE</x:v>
      </x:c>
      <x:c r="N11" s="48" t="str">
        <x:v>TRUE</x:v>
      </x:c>
      <x:c r="O11" s="65" t="n">
        <x:v>2</x:v>
      </x:c>
      <x:c r="P11" s="64" t="n">
        <x:v>298.262</x:v>
      </x:c>
      <x:c r="Q11" s="49" t="str"/>
      <x:c r="R11" s="48" t="str">
        <x:v>Conforms: true</x:v>
      </x:c>
    </x:row>
    <x:row r="12">
      <x:c r="A12" s="48" t="str">
        <x:v>BATCH01-R3-LATEST-ACCEPTED-SHAPES</x:v>
      </x:c>
      <x:c r="B12" s="48" t="str">
        <x:v>B01-TRF-003-FAIL</x:v>
      </x:c>
      <x:c r="C12" s="48" t="str">
        <x:v>FAIL</x:v>
      </x:c>
      <x:c r="D12" s="48" t="str">
        <x:v>requirement-development-calibration</x:v>
      </x:c>
      <x:c r="E12" s="48" t="str">
        <x:v>TRF-003</x:v>
      </x:c>
      <x:c r="F12" s="48" t="str">
        <x:v>/Users/sadisfaction570/Desktop/Journal 1/NLTL_v2/MVP/SHACL_GENERATION_PIPELINE/outputs/development_batch01/runs/RUN-TRF-003-20260812T130023872353Z/final/final_shape.ttl</x:v>
      </x:c>
      <x:c r="G12" s="48" t="str">
        <x:v>/Users/sadisfaction570/Desktop/Journal 1/NLTL_v2/MVP/INPUTS/DEVELOPMENT_CALIBRATION/BATCH_01_FIRST_50/rdf_fixtures/TRF-003/trf-003_02_fail.ttl</x:v>
      </x:c>
      <x:c r="H12" s="48" t="str">
        <x:v>c73f57c8c664fd36e3f8ca564333184953e56164869e4fa9ff2e37d78cfbebd2</x:v>
      </x:c>
      <x:c r="I12" s="48" t="str">
        <x:v>7381d581c55de21e5c1212c1116b8ada0585b45c1cc4f7495f7f4ffdf7564bb7</x:v>
      </x:c>
      <x:c r="J12" s="48" t="str">
        <x:v>TRUE</x:v>
      </x:c>
      <x:c r="K12" s="64" t="str">
        <x:v>FALSE</x:v>
      </x:c>
      <x:c r="L12" s="48" t="str">
        <x:v>TRUE</x:v>
      </x:c>
      <x:c r="M12" s="64" t="str">
        <x:v>FALSE</x:v>
      </x:c>
      <x:c r="N12" s="48" t="str">
        <x:v>TRUE</x:v>
      </x:c>
      <x:c r="O12" s="65" t="n">
        <x:v>13</x:v>
      </x:c>
      <x:c r="P12" s="64" t="n">
        <x:v>297.97</x:v>
      </x:c>
      <x:c r="Q12" s="49" t="str"/>
      <x:c r="R12" s="48" t="str">
        <x:v>Conforms: false | A ship contracted on or after 2012-01-01 and before 2019-01-01 must identify the 2010 Ice Class Regulations as applicable.</x:v>
      </x:c>
    </x:row>
    <x:row r="13">
      <x:c r="A13" s="48" t="str">
        <x:v>BATCH01-R3-LATEST-ACCEPTED-SHAPES</x:v>
      </x:c>
      <x:c r="B13" s="48" t="str">
        <x:v>B01-TRF-003-BOUNDARY</x:v>
      </x:c>
      <x:c r="C13" s="48" t="str">
        <x:v>BOUNDARY</x:v>
      </x:c>
      <x:c r="D13" s="48" t="str">
        <x:v>requirement-development-calibration</x:v>
      </x:c>
      <x:c r="E13" s="48" t="str">
        <x:v>TRF-003</x:v>
      </x:c>
      <x:c r="F13" s="48" t="str">
        <x:v>/Users/sadisfaction570/Desktop/Journal 1/NLTL_v2/MVP/SHACL_GENERATION_PIPELINE/outputs/development_batch01/runs/RUN-TRF-003-20260812T130023872353Z/final/final_shape.ttl</x:v>
      </x:c>
      <x:c r="G13" s="48" t="str">
        <x:v>/Users/sadisfaction570/Desktop/Journal 1/NLTL_v2/MVP/INPUTS/DEVELOPMENT_CALIBRATION/BATCH_01_FIRST_50/rdf_fixtures/TRF-003/trf-003_03_boundary.ttl</x:v>
      </x:c>
      <x:c r="H13" s="48" t="str">
        <x:v>c73f57c8c664fd36e3f8ca564333184953e56164869e4fa9ff2e37d78cfbebd2</x:v>
      </x:c>
      <x:c r="I13" s="48" t="str">
        <x:v>096c758301740cf42cf4ee574445555e361f793ffde2695c9a11d03298438bd3</x:v>
      </x:c>
      <x:c r="J13" s="48" t="str">
        <x:v>TRUE</x:v>
      </x:c>
      <x:c r="K13" s="64" t="str">
        <x:v>TRUE</x:v>
      </x:c>
      <x:c r="L13" s="48" t="str">
        <x:v>TRUE</x:v>
      </x:c>
      <x:c r="M13" s="64" t="str">
        <x:v>TRUE</x:v>
      </x:c>
      <x:c r="N13" s="48" t="str">
        <x:v>TRUE</x:v>
      </x:c>
      <x:c r="O13" s="65" t="n">
        <x:v>2</x:v>
      </x:c>
      <x:c r="P13" s="64" t="n">
        <x:v>293.166</x:v>
      </x:c>
      <x:c r="Q13" s="49" t="str"/>
      <x:c r="R13" s="48" t="str">
        <x:v>Conforms: true</x:v>
      </x:c>
    </x:row>
    <x:row r="14">
      <x:c r="A14" s="48" t="str">
        <x:v>BATCH01-R3-LATEST-ACCEPTED-SHAPES</x:v>
      </x:c>
      <x:c r="B14" s="48" t="str">
        <x:v>B01-TRF-004-PASS</x:v>
      </x:c>
      <x:c r="C14" s="48" t="str">
        <x:v>PASS</x:v>
      </x:c>
      <x:c r="D14" s="48" t="str">
        <x:v>requirement-development-calibration</x:v>
      </x:c>
      <x:c r="E14" s="48" t="str">
        <x:v>TRF-004</x:v>
      </x:c>
      <x:c r="F14" s="48" t="str">
        <x:v>/Users/sadisfaction570/Desktop/Journal 1/NLTL_v2/MVP/SHACL_GENERATION_PIPELINE/outputs/development_batch01/runs/RUN-TRF-004-20260812T130126870073Z/final/final_shape.ttl</x:v>
      </x:c>
      <x:c r="G14" s="48" t="str">
        <x:v>/Users/sadisfaction570/Desktop/Journal 1/NLTL_v2/MVP/INPUTS/DEVELOPMENT_CALIBRATION/BATCH_01_FIRST_50/rdf_fixtures/TRF-004/trf-004_01_pass.ttl</x:v>
      </x:c>
      <x:c r="H14" s="48" t="str">
        <x:v>8945013554cd88c929598644f216ca6edb6d6defb3957068187d8ce46c78592d</x:v>
      </x:c>
      <x:c r="I14" s="48" t="str">
        <x:v>8d4e77c43aea0f23413b3453e69cc86b0929290a4968b7e88eb9f479e7acd9fb</x:v>
      </x:c>
      <x:c r="J14" s="48" t="str">
        <x:v>TRUE</x:v>
      </x:c>
      <x:c r="K14" s="64" t="str">
        <x:v>TRUE</x:v>
      </x:c>
      <x:c r="L14" s="48" t="str">
        <x:v>TRUE</x:v>
      </x:c>
      <x:c r="M14" s="64" t="str">
        <x:v>TRUE</x:v>
      </x:c>
      <x:c r="N14" s="48" t="str">
        <x:v>TRUE</x:v>
      </x:c>
      <x:c r="O14" s="65" t="n">
        <x:v>2</x:v>
      </x:c>
      <x:c r="P14" s="64" t="n">
        <x:v>298.273</x:v>
      </x:c>
      <x:c r="Q14" s="49" t="str"/>
      <x:c r="R14" s="48" t="str">
        <x:v>Conforms: true</x:v>
      </x:c>
    </x:row>
    <x:row r="15">
      <x:c r="A15" s="48" t="str">
        <x:v>BATCH01-R3-LATEST-ACCEPTED-SHAPES</x:v>
      </x:c>
      <x:c r="B15" s="48" t="str">
        <x:v>B01-TRF-004-FAIL</x:v>
      </x:c>
      <x:c r="C15" s="48" t="str">
        <x:v>FAIL</x:v>
      </x:c>
      <x:c r="D15" s="48" t="str">
        <x:v>requirement-development-calibration</x:v>
      </x:c>
      <x:c r="E15" s="48" t="str">
        <x:v>TRF-004</x:v>
      </x:c>
      <x:c r="F15" s="48" t="str">
        <x:v>/Users/sadisfaction570/Desktop/Journal 1/NLTL_v2/MVP/SHACL_GENERATION_PIPELINE/outputs/development_batch01/runs/RUN-TRF-004-20260812T130126870073Z/final/final_shape.ttl</x:v>
      </x:c>
      <x:c r="G15" s="48" t="str">
        <x:v>/Users/sadisfaction570/Desktop/Journal 1/NLTL_v2/MVP/INPUTS/DEVELOPMENT_CALIBRATION/BATCH_01_FIRST_50/rdf_fixtures/TRF-004/trf-004_02_fail.ttl</x:v>
      </x:c>
      <x:c r="H15" s="48" t="str">
        <x:v>8945013554cd88c929598644f216ca6edb6d6defb3957068187d8ce46c78592d</x:v>
      </x:c>
      <x:c r="I15" s="48" t="str">
        <x:v>c17293b5a76fb206510038e12e4792c711f66970cd3e55b3038ee5ea7e022ae2</x:v>
      </x:c>
      <x:c r="J15" s="48" t="str">
        <x:v>TRUE</x:v>
      </x:c>
      <x:c r="K15" s="64" t="str">
        <x:v>FALSE</x:v>
      </x:c>
      <x:c r="L15" s="48" t="str">
        <x:v>TRUE</x:v>
      </x:c>
      <x:c r="M15" s="64" t="str">
        <x:v>FALSE</x:v>
      </x:c>
      <x:c r="N15" s="48" t="str">
        <x:v>TRUE</x:v>
      </x:c>
      <x:c r="O15" s="65" t="n">
        <x:v>14</x:v>
      </x:c>
      <x:c r="P15" s="64" t="n">
        <x:v>331.108</x:v>
      </x:c>
      <x:c r="Q15" s="49" t="str"/>
      <x:c r="R15" s="48" t="str">
        <x:v>Conforms: false | Ships contracted on or after 2010-01-01 and before 2012-01-01 must identify the 2008 Ice Class Regulations as applicable.</x:v>
      </x:c>
    </x:row>
    <x:row r="16">
      <x:c r="A16" s="48" t="str">
        <x:v>BATCH01-R3-LATEST-ACCEPTED-SHAPES</x:v>
      </x:c>
      <x:c r="B16" s="48" t="str">
        <x:v>B01-TRF-004-BOUNDARY</x:v>
      </x:c>
      <x:c r="C16" s="48" t="str">
        <x:v>BOUNDARY</x:v>
      </x:c>
      <x:c r="D16" s="48" t="str">
        <x:v>requirement-development-calibration</x:v>
      </x:c>
      <x:c r="E16" s="48" t="str">
        <x:v>TRF-004</x:v>
      </x:c>
      <x:c r="F16" s="48" t="str">
        <x:v>/Users/sadisfaction570/Desktop/Journal 1/NLTL_v2/MVP/SHACL_GENERATION_PIPELINE/outputs/development_batch01/runs/RUN-TRF-004-20260812T130126870073Z/final/final_shape.ttl</x:v>
      </x:c>
      <x:c r="G16" s="48" t="str">
        <x:v>/Users/sadisfaction570/Desktop/Journal 1/NLTL_v2/MVP/INPUTS/DEVELOPMENT_CALIBRATION/BATCH_01_FIRST_50/rdf_fixtures/TRF-004/trf-004_03_boundary.ttl</x:v>
      </x:c>
      <x:c r="H16" s="48" t="str">
        <x:v>8945013554cd88c929598644f216ca6edb6d6defb3957068187d8ce46c78592d</x:v>
      </x:c>
      <x:c r="I16" s="48" t="str">
        <x:v>8fc406ebbecbac8bcb5121c46265115ada98ebfcd762a13219e889aa8d8dbe15</x:v>
      </x:c>
      <x:c r="J16" s="48" t="str">
        <x:v>TRUE</x:v>
      </x:c>
      <x:c r="K16" s="64" t="str">
        <x:v>TRUE</x:v>
      </x:c>
      <x:c r="L16" s="48" t="str">
        <x:v>TRUE</x:v>
      </x:c>
      <x:c r="M16" s="64" t="str">
        <x:v>TRUE</x:v>
      </x:c>
      <x:c r="N16" s="48" t="str">
        <x:v>TRUE</x:v>
      </x:c>
      <x:c r="O16" s="65" t="n">
        <x:v>2</x:v>
      </x:c>
      <x:c r="P16" s="64" t="n">
        <x:v>297.075</x:v>
      </x:c>
      <x:c r="Q16" s="49" t="str"/>
      <x:c r="R16" s="48" t="str">
        <x:v>Conforms: true</x:v>
      </x:c>
    </x:row>
    <x:row r="17">
      <x:c r="A17" s="48" t="str">
        <x:v>BATCH01-R3-LATEST-ACCEPTED-SHAPES</x:v>
      </x:c>
      <x:c r="B17" s="48" t="str">
        <x:v>B01-TRF-005-PASS</x:v>
      </x:c>
      <x:c r="C17" s="48" t="str">
        <x:v>PASS</x:v>
      </x:c>
      <x:c r="D17" s="48" t="str">
        <x:v>requirement-development-calibration</x:v>
      </x:c>
      <x:c r="E17" s="48" t="str">
        <x:v>TRF-005</x:v>
      </x:c>
      <x:c r="F17" s="48" t="str">
        <x:v>/Users/sadisfaction570/Desktop/Journal 1/NLTL_v2/MVP/SHACL_GENERATION_PIPELINE/outputs/development_batch01/runs/RUN-TRF-005-20260812T130201778712Z/final/final_shape.ttl</x:v>
      </x:c>
      <x:c r="G17" s="48" t="str">
        <x:v>/Users/sadisfaction570/Desktop/Journal 1/NLTL_v2/MVP/INPUTS/DEVELOPMENT_CALIBRATION/BATCH_01_FIRST_50/rdf_fixtures/TRF-005/trf-005_01_pass.ttl</x:v>
      </x:c>
      <x:c r="H17" s="48" t="str">
        <x:v>549bd5b8dea7ae07669f87b3fcdd0d9ffc5f0102794ddbc3b1816df95498a702</x:v>
      </x:c>
      <x:c r="I17" s="48" t="str">
        <x:v>71716b14fa14cc887ec5f731184c747a84d5b96f27cd2b22a94d4b666289e2a0</x:v>
      </x:c>
      <x:c r="J17" s="48" t="str">
        <x:v>TRUE</x:v>
      </x:c>
      <x:c r="K17" s="64" t="str">
        <x:v>TRUE</x:v>
      </x:c>
      <x:c r="L17" s="48" t="str">
        <x:v>TRUE</x:v>
      </x:c>
      <x:c r="M17" s="64" t="str">
        <x:v>TRUE</x:v>
      </x:c>
      <x:c r="N17" s="48" t="str">
        <x:v>TRUE</x:v>
      </x:c>
      <x:c r="O17" s="65" t="n">
        <x:v>2</x:v>
      </x:c>
      <x:c r="P17" s="64" t="n">
        <x:v>298.802</x:v>
      </x:c>
      <x:c r="Q17" s="49" t="str"/>
      <x:c r="R17" s="48" t="str">
        <x:v>Conforms: true</x:v>
      </x:c>
    </x:row>
    <x:row r="18">
      <x:c r="A18" s="48" t="str">
        <x:v>BATCH01-R3-LATEST-ACCEPTED-SHAPES</x:v>
      </x:c>
      <x:c r="B18" s="48" t="str">
        <x:v>B01-TRF-005-FAIL</x:v>
      </x:c>
      <x:c r="C18" s="48" t="str">
        <x:v>FAIL</x:v>
      </x:c>
      <x:c r="D18" s="48" t="str">
        <x:v>requirement-development-calibration</x:v>
      </x:c>
      <x:c r="E18" s="48" t="str">
        <x:v>TRF-005</x:v>
      </x:c>
      <x:c r="F18" s="48" t="str">
        <x:v>/Users/sadisfaction570/Desktop/Journal 1/NLTL_v2/MVP/SHACL_GENERATION_PIPELINE/outputs/development_batch01/runs/RUN-TRF-005-20260812T130201778712Z/final/final_shape.ttl</x:v>
      </x:c>
      <x:c r="G18" s="48" t="str">
        <x:v>/Users/sadisfaction570/Desktop/Journal 1/NLTL_v2/MVP/INPUTS/DEVELOPMENT_CALIBRATION/BATCH_01_FIRST_50/rdf_fixtures/TRF-005/trf-005_02_fail.ttl</x:v>
      </x:c>
      <x:c r="H18" s="48" t="str">
        <x:v>549bd5b8dea7ae07669f87b3fcdd0d9ffc5f0102794ddbc3b1816df95498a702</x:v>
      </x:c>
      <x:c r="I18" s="48" t="str">
        <x:v>ea483503f3bbc11a8a996a2d5e7b13d7b5f81df939749399509b431d0329449b</x:v>
      </x:c>
      <x:c r="J18" s="48" t="str">
        <x:v>TRUE</x:v>
      </x:c>
      <x:c r="K18" s="64" t="str">
        <x:v>FALSE</x:v>
      </x:c>
      <x:c r="L18" s="48" t="str">
        <x:v>TRUE</x:v>
      </x:c>
      <x:c r="M18" s="64" t="str">
        <x:v>FALSE</x:v>
      </x:c>
      <x:c r="N18" s="48" t="str">
        <x:v>TRUE</x:v>
      </x:c>
      <x:c r="O18" s="65" t="n">
        <x:v>14</x:v>
      </x:c>
      <x:c r="P18" s="64" t="n">
        <x:v>303.498</x:v>
      </x:c>
      <x:c r="Q18" s="49" t="str"/>
      <x:c r="R18" s="48" t="str">
        <x:v>Conforms: false | A ship at the specified construction stage on or after 1 September 2003 and contracted before 1 January 2010 must identify the 2002 Ice Class Regulations as applicable.</x:v>
      </x:c>
    </x:row>
    <x:row r="19">
      <x:c r="A19" s="48" t="str">
        <x:v>BATCH01-R3-LATEST-ACCEPTED-SHAPES</x:v>
      </x:c>
      <x:c r="B19" s="48" t="str">
        <x:v>B01-TRF-005-BOUNDARY</x:v>
      </x:c>
      <x:c r="C19" s="48" t="str">
        <x:v>BOUNDARY</x:v>
      </x:c>
      <x:c r="D19" s="48" t="str">
        <x:v>requirement-development-calibration</x:v>
      </x:c>
      <x:c r="E19" s="48" t="str">
        <x:v>TRF-005</x:v>
      </x:c>
      <x:c r="F19" s="48" t="str">
        <x:v>/Users/sadisfaction570/Desktop/Journal 1/NLTL_v2/MVP/SHACL_GENERATION_PIPELINE/outputs/development_batch01/runs/RUN-TRF-005-20260812T130201778712Z/final/final_shape.ttl</x:v>
      </x:c>
      <x:c r="G19" s="48" t="str">
        <x:v>/Users/sadisfaction570/Desktop/Journal 1/NLTL_v2/MVP/INPUTS/DEVELOPMENT_CALIBRATION/BATCH_01_FIRST_50/rdf_fixtures/TRF-005/trf-005_03_boundary.ttl</x:v>
      </x:c>
      <x:c r="H19" s="48" t="str">
        <x:v>549bd5b8dea7ae07669f87b3fcdd0d9ffc5f0102794ddbc3b1816df95498a702</x:v>
      </x:c>
      <x:c r="I19" s="48" t="str">
        <x:v>f053a22398d96dea3cdeb3326a650f2ab47710f9da41ed13a096919564dad8f5</x:v>
      </x:c>
      <x:c r="J19" s="48" t="str">
        <x:v>TRUE</x:v>
      </x:c>
      <x:c r="K19" s="64" t="str">
        <x:v>TRUE</x:v>
      </x:c>
      <x:c r="L19" s="48" t="str">
        <x:v>TRUE</x:v>
      </x:c>
      <x:c r="M19" s="64" t="str">
        <x:v>TRUE</x:v>
      </x:c>
      <x:c r="N19" s="48" t="str">
        <x:v>TRUE</x:v>
      </x:c>
      <x:c r="O19" s="65" t="n">
        <x:v>2</x:v>
      </x:c>
      <x:c r="P19" s="64" t="n">
        <x:v>301.919</x:v>
      </x:c>
      <x:c r="Q19" s="49" t="str"/>
      <x:c r="R19" s="48" t="str">
        <x:v>Conforms: true</x:v>
      </x:c>
    </x:row>
    <x:row r="20">
      <x:c r="A20" s="48" t="str">
        <x:v>BATCH01-R3-LATEST-ACCEPTED-SHAPES</x:v>
      </x:c>
      <x:c r="B20" s="48" t="str">
        <x:v>B01-TRF-006-PASS</x:v>
      </x:c>
      <x:c r="C20" s="48" t="str">
        <x:v>PASS</x:v>
      </x:c>
      <x:c r="D20" s="48" t="str">
        <x:v>requirement-development-calibration</x:v>
      </x:c>
      <x:c r="E20" s="48" t="str">
        <x:v>TRF-006</x:v>
      </x:c>
      <x:c r="F20" s="48" t="str">
        <x:v>/Users/sadisfaction570/Desktop/Journal 1/NLTL_v2/MVP/SHACL_GENERATION_PIPELINE/outputs/development_batch01/runs/RUN-TRF-006-20260812T130228816496Z/final/final_shape.ttl</x:v>
      </x:c>
      <x:c r="G20" s="48" t="str">
        <x:v>/Users/sadisfaction570/Desktop/Journal 1/NLTL_v2/MVP/INPUTS/DEVELOPMENT_CALIBRATION/BATCH_01_FIRST_50/rdf_fixtures/TRF-006/trf-006_01_pass.ttl</x:v>
      </x:c>
      <x:c r="H20" s="48" t="str">
        <x:v>2ab109d179de6a8b430fe056d4e62b9cda4a791f5218e1580fed44a92d6fdb77</x:v>
      </x:c>
      <x:c r="I20" s="48" t="str">
        <x:v>fad0f5e50dfbb3c5363631a045558e45d3235a40d51da75d92ac89d6d96e2b4b</x:v>
      </x:c>
      <x:c r="J20" s="48" t="str">
        <x:v>TRUE</x:v>
      </x:c>
      <x:c r="K20" s="64" t="str">
        <x:v>TRUE</x:v>
      </x:c>
      <x:c r="L20" s="48" t="str">
        <x:v>TRUE</x:v>
      </x:c>
      <x:c r="M20" s="64" t="str">
        <x:v>TRUE</x:v>
      </x:c>
      <x:c r="N20" s="48" t="str">
        <x:v>TRUE</x:v>
      </x:c>
      <x:c r="O20" s="65" t="n">
        <x:v>2</x:v>
      </x:c>
      <x:c r="P20" s="64" t="n">
        <x:v>310.219</x:v>
      </x:c>
      <x:c r="Q20" s="49" t="str"/>
      <x:c r="R20" s="48" t="str">
        <x:v>Conforms: true</x:v>
      </x:c>
    </x:row>
    <x:row r="21">
      <x:c r="A21" s="48" t="str">
        <x:v>BATCH01-R3-LATEST-ACCEPTED-SHAPES</x:v>
      </x:c>
      <x:c r="B21" s="48" t="str">
        <x:v>B01-TRF-006-FAIL</x:v>
      </x:c>
      <x:c r="C21" s="48" t="str">
        <x:v>FAIL</x:v>
      </x:c>
      <x:c r="D21" s="48" t="str">
        <x:v>requirement-development-calibration</x:v>
      </x:c>
      <x:c r="E21" s="48" t="str">
        <x:v>TRF-006</x:v>
      </x:c>
      <x:c r="F21" s="48" t="str">
        <x:v>/Users/sadisfaction570/Desktop/Journal 1/NLTL_v2/MVP/SHACL_GENERATION_PIPELINE/outputs/development_batch01/runs/RUN-TRF-006-20260812T130228816496Z/final/final_shape.ttl</x:v>
      </x:c>
      <x:c r="G21" s="48" t="str">
        <x:v>/Users/sadisfaction570/Desktop/Journal 1/NLTL_v2/MVP/INPUTS/DEVELOPMENT_CALIBRATION/BATCH_01_FIRST_50/rdf_fixtures/TRF-006/trf-006_02_fail.ttl</x:v>
      </x:c>
      <x:c r="H21" s="48" t="str">
        <x:v>2ab109d179de6a8b430fe056d4e62b9cda4a791f5218e1580fed44a92d6fdb77</x:v>
      </x:c>
      <x:c r="I21" s="48" t="str">
        <x:v>d4c1e752987d7f1f240fbd02ee93957a101bbca7534413a8a33c30bf26a2f368</x:v>
      </x:c>
      <x:c r="J21" s="48" t="str">
        <x:v>TRUE</x:v>
      </x:c>
      <x:c r="K21" s="64" t="str">
        <x:v>FALSE</x:v>
      </x:c>
      <x:c r="L21" s="48" t="str">
        <x:v>TRUE</x:v>
      </x:c>
      <x:c r="M21" s="64" t="str">
        <x:v>FALSE</x:v>
      </x:c>
      <x:c r="N21" s="48" t="str">
        <x:v>TRUE</x:v>
      </x:c>
      <x:c r="O21" s="65" t="n">
        <x:v>14</x:v>
      </x:c>
      <x:c r="P21" s="64" t="n">
        <x:v>307.702</x:v>
      </x:c>
      <x:c r="Q21" s="49" t="str"/>
      <x:c r="R21" s="48" t="str">
        <x:v>Conforms: false | For a construction stage from 1 November 1986 through 31 August 2003, the applicable ice class regulation edition must be the 1985 Ice Class Rules.</x:v>
      </x:c>
    </x:row>
    <x:row r="22">
      <x:c r="A22" s="48" t="str">
        <x:v>BATCH01-R3-LATEST-ACCEPTED-SHAPES</x:v>
      </x:c>
      <x:c r="B22" s="48" t="str">
        <x:v>B01-TRF-006-BOUNDARY</x:v>
      </x:c>
      <x:c r="C22" s="48" t="str">
        <x:v>BOUNDARY</x:v>
      </x:c>
      <x:c r="D22" s="48" t="str">
        <x:v>requirement-development-calibration</x:v>
      </x:c>
      <x:c r="E22" s="48" t="str">
        <x:v>TRF-006</x:v>
      </x:c>
      <x:c r="F22" s="48" t="str">
        <x:v>/Users/sadisfaction570/Desktop/Journal 1/NLTL_v2/MVP/SHACL_GENERATION_PIPELINE/outputs/development_batch01/runs/RUN-TRF-006-20260812T130228816496Z/final/final_shape.ttl</x:v>
      </x:c>
      <x:c r="G22" s="48" t="str">
        <x:v>/Users/sadisfaction570/Desktop/Journal 1/NLTL_v2/MVP/INPUTS/DEVELOPMENT_CALIBRATION/BATCH_01_FIRST_50/rdf_fixtures/TRF-006/trf-006_03_boundary.ttl</x:v>
      </x:c>
      <x:c r="H22" s="48" t="str">
        <x:v>2ab109d179de6a8b430fe056d4e62b9cda4a791f5218e1580fed44a92d6fdb77</x:v>
      </x:c>
      <x:c r="I22" s="48" t="str">
        <x:v>91bf30f651445c6a2819d5e5ea799de5c01e889518f403ae689f92b0de70bb5c</x:v>
      </x:c>
      <x:c r="J22" s="48" t="str">
        <x:v>TRUE</x:v>
      </x:c>
      <x:c r="K22" s="64" t="str">
        <x:v>TRUE</x:v>
      </x:c>
      <x:c r="L22" s="48" t="str">
        <x:v>TRUE</x:v>
      </x:c>
      <x:c r="M22" s="64" t="str">
        <x:v>TRUE</x:v>
      </x:c>
      <x:c r="N22" s="48" t="str">
        <x:v>TRUE</x:v>
      </x:c>
      <x:c r="O22" s="65" t="n">
        <x:v>2</x:v>
      </x:c>
      <x:c r="P22" s="64" t="n">
        <x:v>316.341</x:v>
      </x:c>
      <x:c r="Q22" s="49" t="str"/>
      <x:c r="R22" s="48" t="str">
        <x:v>Conforms: true</x:v>
      </x:c>
    </x:row>
    <x:row r="23">
      <x:c r="A23" s="48" t="str">
        <x:v>BATCH01-R3-LATEST-ACCEPTED-SHAPES</x:v>
      </x:c>
      <x:c r="B23" s="48" t="str">
        <x:v>B01-TRF-007-PASS</x:v>
      </x:c>
      <x:c r="C23" s="48" t="str">
        <x:v>PASS</x:v>
      </x:c>
      <x:c r="D23" s="48" t="str">
        <x:v>requirement-development-calibration</x:v>
      </x:c>
      <x:c r="E23" s="48" t="str">
        <x:v>TRF-007</x:v>
      </x:c>
      <x:c r="F23" s="48" t="str">
        <x:v>/Users/sadisfaction570/Desktop/Journal 1/NLTL_v2/MVP/SHACL_GENERATION_PIPELINE/outputs/development_batch01/runs/RUN-TRF-007-20260812T150310676314Z/final/final_shape.ttl</x:v>
      </x:c>
      <x:c r="G23" s="48" t="str">
        <x:v>/Users/sadisfaction570/Desktop/Journal 1/NLTL_v2/MVP/INPUTS/DEVELOPMENT_CALIBRATION/BATCH_01_FIRST_50/rdf_fixtures/TRF-007/trf-007_01_pass.ttl</x:v>
      </x:c>
      <x:c r="H23" s="48" t="str">
        <x:v>090451370936670db9f84191b00f4ea5349792712e0c8e3f583b773dc085981c</x:v>
      </x:c>
      <x:c r="I23" s="48" t="str">
        <x:v>f88046e112b3f3fe3b868ec3ebb52e55c7fbd316543ebaabe615b3f69e6c924a</x:v>
      </x:c>
      <x:c r="J23" s="48" t="str">
        <x:v>TRUE</x:v>
      </x:c>
      <x:c r="K23" s="64" t="str">
        <x:v>TRUE</x:v>
      </x:c>
      <x:c r="L23" s="48" t="str">
        <x:v>TRUE</x:v>
      </x:c>
      <x:c r="M23" s="64" t="str">
        <x:v>TRUE</x:v>
      </x:c>
      <x:c r="N23" s="48" t="str">
        <x:v>TRUE</x:v>
      </x:c>
      <x:c r="O23" s="65" t="n">
        <x:v>2</x:v>
      </x:c>
      <x:c r="P23" s="64" t="n">
        <x:v>376.515</x:v>
      </x:c>
      <x:c r="Q23" s="49" t="str"/>
      <x:c r="R23" s="48" t="str">
        <x:v>Conforms: true</x:v>
      </x:c>
    </x:row>
    <x:row r="24">
      <x:c r="A24" s="48" t="str">
        <x:v>BATCH01-R3-LATEST-ACCEPTED-SHAPES</x:v>
      </x:c>
      <x:c r="B24" s="48" t="str">
        <x:v>B01-TRF-007-FAIL</x:v>
      </x:c>
      <x:c r="C24" s="48" t="str">
        <x:v>FAIL</x:v>
      </x:c>
      <x:c r="D24" s="48" t="str">
        <x:v>requirement-development-calibration</x:v>
      </x:c>
      <x:c r="E24" s="48" t="str">
        <x:v>TRF-007</x:v>
      </x:c>
      <x:c r="F24" s="48" t="str">
        <x:v>/Users/sadisfaction570/Desktop/Journal 1/NLTL_v2/MVP/SHACL_GENERATION_PIPELINE/outputs/development_batch01/runs/RUN-TRF-007-20260812T150310676314Z/final/final_shape.ttl</x:v>
      </x:c>
      <x:c r="G24" s="48" t="str">
        <x:v>/Users/sadisfaction570/Desktop/Journal 1/NLTL_v2/MVP/INPUTS/DEVELOPMENT_CALIBRATION/BATCH_01_FIRST_50/rdf_fixtures/TRF-007/trf-007_02_fail.ttl</x:v>
      </x:c>
      <x:c r="H24" s="48" t="str">
        <x:v>090451370936670db9f84191b00f4ea5349792712e0c8e3f583b773dc085981c</x:v>
      </x:c>
      <x:c r="I24" s="48" t="str">
        <x:v>ba9cc2949d33aa39d5359c2dd862c1de45caad842bb9b44f03f8aee7bac4d027</x:v>
      </x:c>
      <x:c r="J24" s="48" t="str">
        <x:v>TRUE</x:v>
      </x:c>
      <x:c r="K24" s="64" t="str">
        <x:v>FALSE</x:v>
      </x:c>
      <x:c r="L24" s="48" t="str">
        <x:v>TRUE</x:v>
      </x:c>
      <x:c r="M24" s="64" t="str">
        <x:v>TRUE</x:v>
      </x:c>
      <x:c r="N24" s="48" t="str">
        <x:v>FALSE</x:v>
      </x:c>
      <x:c r="O24" s="65" t="n">
        <x:v>2</x:v>
      </x:c>
      <x:c r="P24" s="64" t="n">
        <x:v>333.553</x:v>
      </x:c>
      <x:c r="Q24" s="49" t="str"/>
      <x:c r="R24" s="48" t="str">
        <x:v>Conforms: true</x:v>
      </x:c>
    </x:row>
    <x:row r="25">
      <x:c r="A25" s="48" t="str">
        <x:v>BATCH01-R3-LATEST-ACCEPTED-SHAPES</x:v>
      </x:c>
      <x:c r="B25" s="48" t="str">
        <x:v>B01-TRF-007-BOUNDARY</x:v>
      </x:c>
      <x:c r="C25" s="48" t="str">
        <x:v>BOUNDARY</x:v>
      </x:c>
      <x:c r="D25" s="48" t="str">
        <x:v>requirement-development-calibration</x:v>
      </x:c>
      <x:c r="E25" s="48" t="str">
        <x:v>TRF-007</x:v>
      </x:c>
      <x:c r="F25" s="48" t="str">
        <x:v>/Users/sadisfaction570/Desktop/Journal 1/NLTL_v2/MVP/SHACL_GENERATION_PIPELINE/outputs/development_batch01/runs/RUN-TRF-007-20260812T150310676314Z/final/final_shape.ttl</x:v>
      </x:c>
      <x:c r="G25" s="48" t="str">
        <x:v>/Users/sadisfaction570/Desktop/Journal 1/NLTL_v2/MVP/INPUTS/DEVELOPMENT_CALIBRATION/BATCH_01_FIRST_50/rdf_fixtures/TRF-007/trf-007_03_boundary.ttl</x:v>
      </x:c>
      <x:c r="H25" s="48" t="str">
        <x:v>090451370936670db9f84191b00f4ea5349792712e0c8e3f583b773dc085981c</x:v>
      </x:c>
      <x:c r="I25" s="48" t="str">
        <x:v>6a014de8d16c9213fdb0371160b5e12b4de259dc258cbd8ee11a57bae98f2c04</x:v>
      </x:c>
      <x:c r="J25" s="48" t="str">
        <x:v>TRUE</x:v>
      </x:c>
      <x:c r="K25" s="64" t="str">
        <x:v>TRUE</x:v>
      </x:c>
      <x:c r="L25" s="48" t="str">
        <x:v>TRUE</x:v>
      </x:c>
      <x:c r="M25" s="64" t="str">
        <x:v>TRUE</x:v>
      </x:c>
      <x:c r="N25" s="48" t="str">
        <x:v>TRUE</x:v>
      </x:c>
      <x:c r="O25" s="65" t="n">
        <x:v>2</x:v>
      </x:c>
      <x:c r="P25" s="64" t="n">
        <x:v>338.995</x:v>
      </x:c>
      <x:c r="Q25" s="49" t="str"/>
      <x:c r="R25" s="48" t="str">
        <x:v>Conforms: true</x:v>
      </x:c>
    </x:row>
    <x:row r="26">
      <x:c r="A26" s="48" t="str">
        <x:v>BATCH01-R3-LATEST-ACCEPTED-SHAPES</x:v>
      </x:c>
      <x:c r="B26" s="48" t="str">
        <x:v>B01-TRF-009-PASS</x:v>
      </x:c>
      <x:c r="C26" s="48" t="str">
        <x:v>PASS</x:v>
      </x:c>
      <x:c r="D26" s="48" t="str">
        <x:v>requirement-development-calibration</x:v>
      </x:c>
      <x:c r="E26" s="48" t="str">
        <x:v>TRF-009</x:v>
      </x:c>
      <x:c r="F26" s="48" t="str">
        <x:v>/Users/sadisfaction570/Desktop/Journal 1/NLTL_v2/MVP/SHACL_GENERATION_PIPELINE/outputs/development_batch01/runs/RUN-TRF-009-20260812T150523068293Z/final/final_shape.ttl</x:v>
      </x:c>
      <x:c r="G26" s="48" t="str">
        <x:v>/Users/sadisfaction570/Desktop/Journal 1/NLTL_v2/MVP/INPUTS/DEVELOPMENT_CALIBRATION/BATCH_01_FIRST_50/rdf_fixtures/TRF-009/trf-009_01_pass.ttl</x:v>
      </x:c>
      <x:c r="H26" s="48" t="str">
        <x:v>3f8c05da2a2e900077b8d0bf879069c687c053cd56ea7c230aa22afdb3a4d07e</x:v>
      </x:c>
      <x:c r="I26" s="48" t="str">
        <x:v>8154b245bb4e050432a1ddc491dd63894ddb6f09a8144a4f36647926d7f362fc</x:v>
      </x:c>
      <x:c r="J26" s="48" t="str">
        <x:v>TRUE</x:v>
      </x:c>
      <x:c r="K26" s="64" t="str">
        <x:v>TRUE</x:v>
      </x:c>
      <x:c r="L26" s="48" t="str">
        <x:v>TRUE</x:v>
      </x:c>
      <x:c r="M26" s="64" t="str">
        <x:v>FALSE</x:v>
      </x:c>
      <x:c r="N26" s="48" t="str">
        <x:v>FALSE</x:v>
      </x:c>
      <x:c r="O26" s="65" t="n">
        <x:v>14</x:v>
      </x:c>
      <x:c r="P26" s="64" t="n">
        <x:v>319.321</x:v>
      </x:c>
      <x:c r="Q26" s="49" t="str"/>
      <x:c r="R26" s="48" t="str">
        <x:v>Conforms: false | Compliance must be assessed no later than 1 January of the year twenty years after the delivery year.</x:v>
      </x:c>
    </x:row>
    <x:row r="27">
      <x:c r="A27" s="48" t="str">
        <x:v>BATCH01-R3-LATEST-ACCEPTED-SHAPES</x:v>
      </x:c>
      <x:c r="B27" s="48" t="str">
        <x:v>B01-TRF-009-FAIL</x:v>
      </x:c>
      <x:c r="C27" s="48" t="str">
        <x:v>FAIL</x:v>
      </x:c>
      <x:c r="D27" s="48" t="str">
        <x:v>requirement-development-calibration</x:v>
      </x:c>
      <x:c r="E27" s="48" t="str">
        <x:v>TRF-009</x:v>
      </x:c>
      <x:c r="F27" s="48" t="str">
        <x:v>/Users/sadisfaction570/Desktop/Journal 1/NLTL_v2/MVP/SHACL_GENERATION_PIPELINE/outputs/development_batch01/runs/RUN-TRF-009-20260812T150523068293Z/final/final_shape.ttl</x:v>
      </x:c>
      <x:c r="G27" s="48" t="str">
        <x:v>/Users/sadisfaction570/Desktop/Journal 1/NLTL_v2/MVP/INPUTS/DEVELOPMENT_CALIBRATION/BATCH_01_FIRST_50/rdf_fixtures/TRF-009/trf-009_02_fail.ttl</x:v>
      </x:c>
      <x:c r="H27" s="48" t="str">
        <x:v>3f8c05da2a2e900077b8d0bf879069c687c053cd56ea7c230aa22afdb3a4d07e</x:v>
      </x:c>
      <x:c r="I27" s="48" t="str">
        <x:v>dea276db1659a5a0362529b6ca6a699e4f23e2dec7fbc4b9281c26a4327a3fd2</x:v>
      </x:c>
      <x:c r="J27" s="48" t="str">
        <x:v>TRUE</x:v>
      </x:c>
      <x:c r="K27" s="64" t="str">
        <x:v>FALSE</x:v>
      </x:c>
      <x:c r="L27" s="48" t="str">
        <x:v>TRUE</x:v>
      </x:c>
      <x:c r="M27" s="64" t="str">
        <x:v>FALSE</x:v>
      </x:c>
      <x:c r="N27" s="48" t="str">
        <x:v>TRUE</x:v>
      </x:c>
      <x:c r="O27" s="65" t="n">
        <x:v>26</x:v>
      </x:c>
      <x:c r="P27" s="64" t="n">
        <x:v>313.336</x:v>
      </x:c>
      <x:c r="Q27" s="49" t="str"/>
      <x:c r="R27" s="48" t="str">
        <x:v>Conforms: false | Compliance must be assessed no later than 1 January of the year twenty years after the delivery year.</x:v>
      </x:c>
    </x:row>
    <x:row r="28">
      <x:c r="A28" s="48" t="str">
        <x:v>BATCH01-R3-LATEST-ACCEPTED-SHAPES</x:v>
      </x:c>
      <x:c r="B28" s="48" t="str">
        <x:v>B01-TRF-009-BOUNDARY</x:v>
      </x:c>
      <x:c r="C28" s="48" t="str">
        <x:v>BOUNDARY</x:v>
      </x:c>
      <x:c r="D28" s="48" t="str">
        <x:v>requirement-development-calibration</x:v>
      </x:c>
      <x:c r="E28" s="48" t="str">
        <x:v>TRF-009</x:v>
      </x:c>
      <x:c r="F28" s="48" t="str">
        <x:v>/Users/sadisfaction570/Desktop/Journal 1/NLTL_v2/MVP/SHACL_GENERATION_PIPELINE/outputs/development_batch01/runs/RUN-TRF-009-20260812T150523068293Z/final/final_shape.ttl</x:v>
      </x:c>
      <x:c r="G28" s="48" t="str">
        <x:v>/Users/sadisfaction570/Desktop/Journal 1/NLTL_v2/MVP/INPUTS/DEVELOPMENT_CALIBRATION/BATCH_01_FIRST_50/rdf_fixtures/TRF-009/trf-009_03_boundary.ttl</x:v>
      </x:c>
      <x:c r="H28" s="48" t="str">
        <x:v>3f8c05da2a2e900077b8d0bf879069c687c053cd56ea7c230aa22afdb3a4d07e</x:v>
      </x:c>
      <x:c r="I28" s="48" t="str">
        <x:v>2ed06eafcc4ecd4569f1239a98aeaf8c5aeb2dd8a91f5b9eddc3384e5ed154db</x:v>
      </x:c>
      <x:c r="J28" s="48" t="str">
        <x:v>TRUE</x:v>
      </x:c>
      <x:c r="K28" s="64" t="str">
        <x:v>TRUE</x:v>
      </x:c>
      <x:c r="L28" s="48" t="str">
        <x:v>TRUE</x:v>
      </x:c>
      <x:c r="M28" s="64" t="str">
        <x:v>FALSE</x:v>
      </x:c>
      <x:c r="N28" s="48" t="str">
        <x:v>FALSE</x:v>
      </x:c>
      <x:c r="O28" s="65" t="n">
        <x:v>14</x:v>
      </x:c>
      <x:c r="P28" s="64" t="n">
        <x:v>345.921</x:v>
      </x:c>
      <x:c r="Q28" s="49" t="str"/>
      <x:c r="R28" s="48" t="str">
        <x:v>Conforms: false | Compliance must be assessed no later than 1 January of the year twenty years after the delivery year.</x:v>
      </x:c>
    </x:row>
    <x:row r="29">
      <x:c r="A29" s="48" t="str">
        <x:v>BATCH01-R3-LATEST-ACCEPTED-SHAPES</x:v>
      </x:c>
      <x:c r="B29" s="48" t="str">
        <x:v>B01-TRF-010-PASS</x:v>
      </x:c>
      <x:c r="C29" s="48" t="str">
        <x:v>PASS</x:v>
      </x:c>
      <x:c r="D29" s="48" t="str">
        <x:v>requirement-development-calibration</x:v>
      </x:c>
      <x:c r="E29" s="48" t="str">
        <x:v>TRF-010</x:v>
      </x:c>
      <x:c r="F29" s="48" t="str">
        <x:v>/Users/sadisfaction570/Desktop/Journal 1/NLTL_v2/MVP/SHACL_GENERATION_PIPELINE/outputs/development_batch01/runs/RUN-TRF-010-20260812T131007294415Z/final/final_shape.ttl</x:v>
      </x:c>
      <x:c r="G29" s="48" t="str">
        <x:v>/Users/sadisfaction570/Desktop/Journal 1/NLTL_v2/MVP/INPUTS/DEVELOPMENT_CALIBRATION/BATCH_01_FIRST_50/rdf_fixtures/TRF-010/trf-010_01_pass.ttl</x:v>
      </x:c>
      <x:c r="H29" s="48" t="str">
        <x:v>6654a26ccc2d84941ece9ff7e48e5ad2fc0919b306e91e96ff401a8b661a2fe8</x:v>
      </x:c>
      <x:c r="I29" s="48" t="str">
        <x:v>080a0ca6ce6b4d43a57fececec5a18830ba5e411dd4461caf6ffd9cc1e2adf70</x:v>
      </x:c>
      <x:c r="J29" s="48" t="str">
        <x:v>TRUE</x:v>
      </x:c>
      <x:c r="K29" s="64" t="str">
        <x:v>TRUE</x:v>
      </x:c>
      <x:c r="L29" s="48" t="str">
        <x:v>TRUE</x:v>
      </x:c>
      <x:c r="M29" s="64" t="str">
        <x:v>TRUE</x:v>
      </x:c>
      <x:c r="N29" s="48" t="str">
        <x:v>TRUE</x:v>
      </x:c>
      <x:c r="O29" s="65" t="n">
        <x:v>2</x:v>
      </x:c>
      <x:c r="P29" s="64" t="n">
        <x:v>302.442</x:v>
      </x:c>
      <x:c r="Q29" s="49" t="str"/>
      <x:c r="R29" s="48" t="str">
        <x:v>Conforms: true</x:v>
      </x:c>
    </x:row>
    <x:row r="30">
      <x:c r="A30" s="48" t="str">
        <x:v>BATCH01-R3-LATEST-ACCEPTED-SHAPES</x:v>
      </x:c>
      <x:c r="B30" s="48" t="str">
        <x:v>B01-TRF-010-FAIL</x:v>
      </x:c>
      <x:c r="C30" s="48" t="str">
        <x:v>FAIL</x:v>
      </x:c>
      <x:c r="D30" s="48" t="str">
        <x:v>requirement-development-calibration</x:v>
      </x:c>
      <x:c r="E30" s="48" t="str">
        <x:v>TRF-010</x:v>
      </x:c>
      <x:c r="F30" s="48" t="str">
        <x:v>/Users/sadisfaction570/Desktop/Journal 1/NLTL_v2/MVP/SHACL_GENERATION_PIPELINE/outputs/development_batch01/runs/RUN-TRF-010-20260812T131007294415Z/final/final_shape.ttl</x:v>
      </x:c>
      <x:c r="G30" s="48" t="str">
        <x:v>/Users/sadisfaction570/Desktop/Journal 1/NLTL_v2/MVP/INPUTS/DEVELOPMENT_CALIBRATION/BATCH_01_FIRST_50/rdf_fixtures/TRF-010/trf-010_02_fail.ttl</x:v>
      </x:c>
      <x:c r="H30" s="48" t="str">
        <x:v>6654a26ccc2d84941ece9ff7e48e5ad2fc0919b306e91e96ff401a8b661a2fe8</x:v>
      </x:c>
      <x:c r="I30" s="48" t="str">
        <x:v>7ffd4a192ac3e8ff2c088df3cc27ec8ccbcc0af6aa766c0f406d6a963c7e341d</x:v>
      </x:c>
      <x:c r="J30" s="48" t="str">
        <x:v>TRUE</x:v>
      </x:c>
      <x:c r="K30" s="64" t="str">
        <x:v>FALSE</x:v>
      </x:c>
      <x:c r="L30" s="48" t="str">
        <x:v>TRUE</x:v>
      </x:c>
      <x:c r="M30" s="64" t="str">
        <x:v>FALSE</x:v>
      </x:c>
      <x:c r="N30" s="48" t="str">
        <x:v>TRUE</x:v>
      </x:c>
      <x:c r="O30" s="65" t="n">
        <x:v>28</x:v>
      </x:c>
      <x:c r="P30" s="64" t="n">
        <x:v>294.292</x:v>
      </x:c>
      <x:c r="Q30" s="49" t="str"/>
      <x:c r="R30" s="48" t="str">
        <x:v>Conforms: false | A ship shall be assigned to ice class IA Super, IA, IB, IC, II, or III.</x:v>
      </x:c>
    </x:row>
    <x:row r="31">
      <x:c r="A31" s="48" t="str">
        <x:v>BATCH01-R3-LATEST-ACCEPTED-SHAPES</x:v>
      </x:c>
      <x:c r="B31" s="48" t="str">
        <x:v>B01-TRF-010-BOUNDARY</x:v>
      </x:c>
      <x:c r="C31" s="48" t="str">
        <x:v>BOUNDARY</x:v>
      </x:c>
      <x:c r="D31" s="48" t="str">
        <x:v>requirement-development-calibration</x:v>
      </x:c>
      <x:c r="E31" s="48" t="str">
        <x:v>TRF-010</x:v>
      </x:c>
      <x:c r="F31" s="48" t="str">
        <x:v>/Users/sadisfaction570/Desktop/Journal 1/NLTL_v2/MVP/SHACL_GENERATION_PIPELINE/outputs/development_batch01/runs/RUN-TRF-010-20260812T131007294415Z/final/final_shape.ttl</x:v>
      </x:c>
      <x:c r="G31" s="48" t="str">
        <x:v>/Users/sadisfaction570/Desktop/Journal 1/NLTL_v2/MVP/INPUTS/DEVELOPMENT_CALIBRATION/BATCH_01_FIRST_50/rdf_fixtures/TRF-010/trf-010_03_boundary.ttl</x:v>
      </x:c>
      <x:c r="H31" s="48" t="str">
        <x:v>6654a26ccc2d84941ece9ff7e48e5ad2fc0919b306e91e96ff401a8b661a2fe8</x:v>
      </x:c>
      <x:c r="I31" s="48" t="str">
        <x:v>a7a3ce9e5976570e14adef384993bca209e8f6ee6be36a7e9fbc53063a806f64</x:v>
      </x:c>
      <x:c r="J31" s="48" t="str">
        <x:v>TRUE</x:v>
      </x:c>
      <x:c r="K31" s="64" t="str">
        <x:v>TRUE</x:v>
      </x:c>
      <x:c r="L31" s="48" t="str">
        <x:v>TRUE</x:v>
      </x:c>
      <x:c r="M31" s="64" t="str">
        <x:v>TRUE</x:v>
      </x:c>
      <x:c r="N31" s="48" t="str">
        <x:v>TRUE</x:v>
      </x:c>
      <x:c r="O31" s="65" t="n">
        <x:v>2</x:v>
      </x:c>
      <x:c r="P31" s="64" t="n">
        <x:v>294.063</x:v>
      </x:c>
      <x:c r="Q31" s="49" t="str"/>
      <x:c r="R31" s="48" t="str">
        <x:v>Conforms: true</x:v>
      </x:c>
    </x:row>
    <x:row r="32">
      <x:c r="A32" s="48" t="str">
        <x:v>BATCH01-R3-LATEST-ACCEPTED-SHAPES</x:v>
      </x:c>
      <x:c r="B32" s="48" t="str">
        <x:v>B01-TRF-011-PASS</x:v>
      </x:c>
      <x:c r="C32" s="48" t="str">
        <x:v>PASS</x:v>
      </x:c>
      <x:c r="D32" s="48" t="str">
        <x:v>requirement-development-calibration</x:v>
      </x:c>
      <x:c r="E32" s="48" t="str">
        <x:v>TRF-011</x:v>
      </x:c>
      <x:c r="F32" s="48" t="str">
        <x:v>/Users/sadisfaction570/Desktop/Journal 1/NLTL_v2/MVP/SHACL_GENERATION_PIPELINE/outputs/development_batch01/runs/RUN-TRF-011-20260812T150611652989Z/final/final_shape.ttl</x:v>
      </x:c>
      <x:c r="G32" s="48" t="str">
        <x:v>/Users/sadisfaction570/Desktop/Journal 1/NLTL_v2/MVP/INPUTS/DEVELOPMENT_CALIBRATION/BATCH_01_FIRST_50/rdf_fixtures/TRF-011/trf-011_01_pass.ttl</x:v>
      </x:c>
      <x:c r="H32" s="48" t="str">
        <x:v>905176f24e6fb3540b9bbb252af55f64439a870f5035b9d3988bfdf60ea3008d</x:v>
      </x:c>
      <x:c r="I32" s="48" t="str">
        <x:v>e108f2618cd1646432931c798eef63b319dbeb59c08615d7be3f3cd42d4c0d47</x:v>
      </x:c>
      <x:c r="J32" s="48" t="str">
        <x:v>TRUE</x:v>
      </x:c>
      <x:c r="K32" s="64" t="str">
        <x:v>TRUE</x:v>
      </x:c>
      <x:c r="L32" s="48" t="str">
        <x:v>TRUE</x:v>
      </x:c>
      <x:c r="M32" s="64" t="str">
        <x:v>FALSE</x:v>
      </x:c>
      <x:c r="N32" s="48" t="str">
        <x:v>FALSE</x:v>
      </x:c>
      <x:c r="O32" s="65" t="n">
        <x:v>26</x:v>
      </x:c>
      <x:c r="P32" s="64" t="n">
        <x:v>366.962</x:v>
      </x:c>
      <x:c r="Q32" s="49" t="str"/>
      <x:c r="R32" s="48" t="str">
        <x:v>Conforms: false | Every upper-ice-waterline point shall coincide with an intended-operating-waterline point and shall have no higher intended point at the same longitudinal position.</x:v>
      </x:c>
    </x:row>
    <x:row r="33">
      <x:c r="A33" s="48" t="str">
        <x:v>BATCH01-R3-LATEST-ACCEPTED-SHAPES</x:v>
      </x:c>
      <x:c r="B33" s="48" t="str">
        <x:v>B01-TRF-011-FAIL</x:v>
      </x:c>
      <x:c r="C33" s="48" t="str">
        <x:v>FAIL</x:v>
      </x:c>
      <x:c r="D33" s="48" t="str">
        <x:v>requirement-development-calibration</x:v>
      </x:c>
      <x:c r="E33" s="48" t="str">
        <x:v>TRF-011</x:v>
      </x:c>
      <x:c r="F33" s="48" t="str">
        <x:v>/Users/sadisfaction570/Desktop/Journal 1/NLTL_v2/MVP/SHACL_GENERATION_PIPELINE/outputs/development_batch01/runs/RUN-TRF-011-20260812T150611652989Z/final/final_shape.ttl</x:v>
      </x:c>
      <x:c r="G33" s="48" t="str">
        <x:v>/Users/sadisfaction570/Desktop/Journal 1/NLTL_v2/MVP/INPUTS/DEVELOPMENT_CALIBRATION/BATCH_01_FIRST_50/rdf_fixtures/TRF-011/trf-011_02_fail.ttl</x:v>
      </x:c>
      <x:c r="H33" s="48" t="str">
        <x:v>905176f24e6fb3540b9bbb252af55f64439a870f5035b9d3988bfdf60ea3008d</x:v>
      </x:c>
      <x:c r="I33" s="48" t="str">
        <x:v>c037743f1b4cbb9ab255aadc06e7c8d9679214b32c8fc019b76f56fdaa513e28</x:v>
      </x:c>
      <x:c r="J33" s="48" t="str">
        <x:v>TRUE</x:v>
      </x:c>
      <x:c r="K33" s="64" t="str">
        <x:v>FALSE</x:v>
      </x:c>
      <x:c r="L33" s="48" t="str">
        <x:v>TRUE</x:v>
      </x:c>
      <x:c r="M33" s="64" t="str">
        <x:v>FALSE</x:v>
      </x:c>
      <x:c r="N33" s="48" t="str">
        <x:v>TRUE</x:v>
      </x:c>
      <x:c r="O33" s="65" t="n">
        <x:v>26</x:v>
      </x:c>
      <x:c r="P33" s="64" t="n">
        <x:v>369.696</x:v>
      </x:c>
      <x:c r="Q33" s="49" t="str"/>
      <x:c r="R33" s="48" t="str">
        <x:v>Conforms: false | Every upper-ice-waterline point shall coincide with an intended-operating-waterline point and shall have no higher intended point at the same longitudinal position.</x:v>
      </x:c>
    </x:row>
    <x:row r="34">
      <x:c r="A34" s="48" t="str">
        <x:v>BATCH01-R3-LATEST-ACCEPTED-SHAPES</x:v>
      </x:c>
      <x:c r="B34" s="48" t="str">
        <x:v>B01-TRF-011-BOUNDARY</x:v>
      </x:c>
      <x:c r="C34" s="48" t="str">
        <x:v>BOUNDARY</x:v>
      </x:c>
      <x:c r="D34" s="48" t="str">
        <x:v>requirement-development-calibration</x:v>
      </x:c>
      <x:c r="E34" s="48" t="str">
        <x:v>TRF-011</x:v>
      </x:c>
      <x:c r="F34" s="48" t="str">
        <x:v>/Users/sadisfaction570/Desktop/Journal 1/NLTL_v2/MVP/SHACL_GENERATION_PIPELINE/outputs/development_batch01/runs/RUN-TRF-011-20260812T150611652989Z/final/final_shape.ttl</x:v>
      </x:c>
      <x:c r="G34" s="48" t="str">
        <x:v>/Users/sadisfaction570/Desktop/Journal 1/NLTL_v2/MVP/INPUTS/DEVELOPMENT_CALIBRATION/BATCH_01_FIRST_50/rdf_fixtures/TRF-011/trf-011_03_boundary.ttl</x:v>
      </x:c>
      <x:c r="H34" s="48" t="str">
        <x:v>905176f24e6fb3540b9bbb252af55f64439a870f5035b9d3988bfdf60ea3008d</x:v>
      </x:c>
      <x:c r="I34" s="48" t="str">
        <x:v>da6c7e1bcacfb65ba1a3ea6fac363dc603774ef01ff05836fed8ef78f460a4ec</x:v>
      </x:c>
      <x:c r="J34" s="48" t="str">
        <x:v>TRUE</x:v>
      </x:c>
      <x:c r="K34" s="64" t="str">
        <x:v>TRUE</x:v>
      </x:c>
      <x:c r="L34" s="48" t="str">
        <x:v>TRUE</x:v>
      </x:c>
      <x:c r="M34" s="64" t="str">
        <x:v>FALSE</x:v>
      </x:c>
      <x:c r="N34" s="48" t="str">
        <x:v>FALSE</x:v>
      </x:c>
      <x:c r="O34" s="65" t="n">
        <x:v>26</x:v>
      </x:c>
      <x:c r="P34" s="64" t="n">
        <x:v>364.592</x:v>
      </x:c>
      <x:c r="Q34" s="49" t="str"/>
      <x:c r="R34" s="48" t="str">
        <x:v>Conforms: false | Every upper-ice-waterline point shall coincide with an intended-operating-waterline point and shall have no higher intended point at the same longitudinal position.</x:v>
      </x:c>
    </x:row>
    <x:row r="35">
      <x:c r="A35" s="48" t="str">
        <x:v>BATCH01-R3-LATEST-ACCEPTED-SHAPES</x:v>
      </x:c>
      <x:c r="B35" s="48" t="str">
        <x:v>B01-TRF-012-PASS</x:v>
      </x:c>
      <x:c r="C35" s="48" t="str">
        <x:v>PASS</x:v>
      </x:c>
      <x:c r="D35" s="48" t="str">
        <x:v>requirement-development-calibration</x:v>
      </x:c>
      <x:c r="E35" s="48" t="str">
        <x:v>TRF-012</x:v>
      </x:c>
      <x:c r="F35" s="48" t="str">
        <x:v>/Users/sadisfaction570/Desktop/Journal 1/NLTL_v2/MVP/SHACL_GENERATION_PIPELINE/outputs/development_batch01/runs/RUN-TRF-012-20260812T150921618068Z/final/final_shape.ttl</x:v>
      </x:c>
      <x:c r="G35" s="48" t="str">
        <x:v>/Users/sadisfaction570/Desktop/Journal 1/NLTL_v2/MVP/INPUTS/DEVELOPMENT_CALIBRATION/BATCH_01_FIRST_50/rdf_fixtures/TRF-012/trf-012_01_pass.ttl</x:v>
      </x:c>
      <x:c r="H35" s="48" t="str">
        <x:v>a9579b84063913cd7c728d487bcb1e594f001fd2c980019687c1a3527e617bc5</x:v>
      </x:c>
      <x:c r="I35" s="48" t="str">
        <x:v>d1e2bde866463b0314c1b7bc88e251cad3db1e2600783bd3927798146ee93e59</x:v>
      </x:c>
      <x:c r="J35" s="48" t="str">
        <x:v>TRUE</x:v>
      </x:c>
      <x:c r="K35" s="64" t="str">
        <x:v>TRUE</x:v>
      </x:c>
      <x:c r="L35" s="48" t="str">
        <x:v>TRUE</x:v>
      </x:c>
      <x:c r="M35" s="64" t="str">
        <x:v>FALSE</x:v>
      </x:c>
      <x:c r="N35" s="48" t="str">
        <x:v>FALSE</x:v>
      </x:c>
      <x:c r="O35" s="65" t="n">
        <x:v>14</x:v>
      </x:c>
      <x:c r="P35" s="64" t="n">
        <x:v>406.326</x:v>
      </x:c>
      <x:c r="Q35" s="49" t="str"/>
      <x:c r="R35" s="48" t="str">
        <x:v>Conforms: false | The lower ice waterline profile shall coincide with the lowest intended ice operating waterline profile at each represented longitudinal position.</x:v>
      </x:c>
    </x:row>
    <x:row r="36">
      <x:c r="A36" s="48" t="str">
        <x:v>BATCH01-R3-LATEST-ACCEPTED-SHAPES</x:v>
      </x:c>
      <x:c r="B36" s="48" t="str">
        <x:v>B01-TRF-012-FAIL</x:v>
      </x:c>
      <x:c r="C36" s="48" t="str">
        <x:v>FAIL</x:v>
      </x:c>
      <x:c r="D36" s="48" t="str">
        <x:v>requirement-development-calibration</x:v>
      </x:c>
      <x:c r="E36" s="48" t="str">
        <x:v>TRF-012</x:v>
      </x:c>
      <x:c r="F36" s="48" t="str">
        <x:v>/Users/sadisfaction570/Desktop/Journal 1/NLTL_v2/MVP/SHACL_GENERATION_PIPELINE/outputs/development_batch01/runs/RUN-TRF-012-20260812T150921618068Z/final/final_shape.ttl</x:v>
      </x:c>
      <x:c r="G36" s="48" t="str">
        <x:v>/Users/sadisfaction570/Desktop/Journal 1/NLTL_v2/MVP/INPUTS/DEVELOPMENT_CALIBRATION/BATCH_01_FIRST_50/rdf_fixtures/TRF-012/trf-012_02_fail.ttl</x:v>
      </x:c>
      <x:c r="H36" s="48" t="str">
        <x:v>a9579b84063913cd7c728d487bcb1e594f001fd2c980019687c1a3527e617bc5</x:v>
      </x:c>
      <x:c r="I36" s="48" t="str">
        <x:v>5fff174b01efd784a98a3a93635c07dcaca33e9f067b6af71f82c9be945718fb</x:v>
      </x:c>
      <x:c r="J36" s="48" t="str">
        <x:v>TRUE</x:v>
      </x:c>
      <x:c r="K36" s="64" t="str">
        <x:v>FALSE</x:v>
      </x:c>
      <x:c r="L36" s="48" t="str">
        <x:v>TRUE</x:v>
      </x:c>
      <x:c r="M36" s="64" t="str">
        <x:v>FALSE</x:v>
      </x:c>
      <x:c r="N36" s="48" t="str">
        <x:v>TRUE</x:v>
      </x:c>
      <x:c r="O36" s="65" t="n">
        <x:v>14</x:v>
      </x:c>
      <x:c r="P36" s="64" t="n">
        <x:v>375.443</x:v>
      </x:c>
      <x:c r="Q36" s="49" t="str"/>
      <x:c r="R36" s="48" t="str">
        <x:v>Conforms: false | The lower ice waterline profile shall coincide with the lowest intended ice operating waterline profile at each represented longitudinal position.</x:v>
      </x:c>
    </x:row>
    <x:row r="37">
      <x:c r="A37" s="48" t="str">
        <x:v>BATCH01-R3-LATEST-ACCEPTED-SHAPES</x:v>
      </x:c>
      <x:c r="B37" s="48" t="str">
        <x:v>B01-TRF-012-BOUNDARY</x:v>
      </x:c>
      <x:c r="C37" s="48" t="str">
        <x:v>BOUNDARY</x:v>
      </x:c>
      <x:c r="D37" s="48" t="str">
        <x:v>requirement-development-calibration</x:v>
      </x:c>
      <x:c r="E37" s="48" t="str">
        <x:v>TRF-012</x:v>
      </x:c>
      <x:c r="F37" s="48" t="str">
        <x:v>/Users/sadisfaction570/Desktop/Journal 1/NLTL_v2/MVP/SHACL_GENERATION_PIPELINE/outputs/development_batch01/runs/RUN-TRF-012-20260812T150921618068Z/final/final_shape.ttl</x:v>
      </x:c>
      <x:c r="G37" s="48" t="str">
        <x:v>/Users/sadisfaction570/Desktop/Journal 1/NLTL_v2/MVP/INPUTS/DEVELOPMENT_CALIBRATION/BATCH_01_FIRST_50/rdf_fixtures/TRF-012/trf-012_03_boundary.ttl</x:v>
      </x:c>
      <x:c r="H37" s="48" t="str">
        <x:v>a9579b84063913cd7c728d487bcb1e594f001fd2c980019687c1a3527e617bc5</x:v>
      </x:c>
      <x:c r="I37" s="48" t="str">
        <x:v>dbaaf08daff6953e79336778ea19e24955024bb771d5c9e357527eb78ac28b61</x:v>
      </x:c>
      <x:c r="J37" s="48" t="str">
        <x:v>TRUE</x:v>
      </x:c>
      <x:c r="K37" s="64" t="str">
        <x:v>TRUE</x:v>
      </x:c>
      <x:c r="L37" s="48" t="str">
        <x:v>TRUE</x:v>
      </x:c>
      <x:c r="M37" s="64" t="str">
        <x:v>FALSE</x:v>
      </x:c>
      <x:c r="N37" s="48" t="str">
        <x:v>FALSE</x:v>
      </x:c>
      <x:c r="O37" s="65" t="n">
        <x:v>14</x:v>
      </x:c>
      <x:c r="P37" s="64" t="n">
        <x:v>376.533</x:v>
      </x:c>
      <x:c r="Q37" s="49" t="str"/>
      <x:c r="R37" s="48" t="str">
        <x:v>Conforms: false | The lower ice waterline profile shall coincide with the lowest intended ice operating waterline profile at each represented longitudinal position.</x:v>
      </x:c>
    </x:row>
    <x:row r="38">
      <x:c r="A38" s="48" t="str">
        <x:v>BATCH01-R3-LATEST-ACCEPTED-SHAPES</x:v>
      </x:c>
      <x:c r="B38" s="48" t="str">
        <x:v>B01-TRF-013-PASS</x:v>
      </x:c>
      <x:c r="C38" s="48" t="str">
        <x:v>PASS</x:v>
      </x:c>
      <x:c r="D38" s="48" t="str">
        <x:v>requirement-development-calibration</x:v>
      </x:c>
      <x:c r="E38" s="48" t="str">
        <x:v>TRF-013</x:v>
      </x:c>
      <x:c r="F38" s="48" t="str">
        <x:v>/Users/sadisfaction570/Desktop/Journal 1/NLTL_v2/MVP/SHACL_GENERATION_PIPELINE/outputs/development_batch01/runs/RUN-TRF-013-20260812T151026676073Z/final/final_shape.ttl</x:v>
      </x:c>
      <x:c r="G38" s="48" t="str">
        <x:v>/Users/sadisfaction570/Desktop/Journal 1/NLTL_v2/MVP/INPUTS/DEVELOPMENT_CALIBRATION/BATCH_01_FIRST_50/rdf_fixtures/TRF-013/trf-013_01_pass.ttl</x:v>
      </x:c>
      <x:c r="H38" s="48" t="str">
        <x:v>186ec92c896b59b7133b40a69a4245eddde3c8b3ce53efa2f4d658c3dfddc42b</x:v>
      </x:c>
      <x:c r="I38" s="48" t="str">
        <x:v>cf5fbf3d57be828aca17915ccde9eddbf514f20ee569fe5e827341b14f3a54c6</x:v>
      </x:c>
      <x:c r="J38" s="48" t="str">
        <x:v>TRUE</x:v>
      </x:c>
      <x:c r="K38" s="64" t="str">
        <x:v>TRUE</x:v>
      </x:c>
      <x:c r="L38" s="48" t="str">
        <x:v>TRUE</x:v>
      </x:c>
      <x:c r="M38" s="64" t="str">
        <x:v>TRUE</x:v>
      </x:c>
      <x:c r="N38" s="48" t="str">
        <x:v>TRUE</x:v>
      </x:c>
      <x:c r="O38" s="65" t="n">
        <x:v>2</x:v>
      </x:c>
      <x:c r="P38" s="64" t="n">
        <x:v>11336.956</x:v>
      </x:c>
      <x:c r="Q38" s="49" t="str"/>
      <x:c r="R38" s="48" t="str">
        <x:v>Conforms: true</x:v>
      </x:c>
    </x:row>
    <x:row r="39">
      <x:c r="A39" s="48" t="str">
        <x:v>BATCH01-R3-LATEST-ACCEPTED-SHAPES</x:v>
      </x:c>
      <x:c r="B39" s="48" t="str">
        <x:v>B01-TRF-013-FAIL</x:v>
      </x:c>
      <x:c r="C39" s="48" t="str">
        <x:v>FAIL</x:v>
      </x:c>
      <x:c r="D39" s="48" t="str">
        <x:v>requirement-development-calibration</x:v>
      </x:c>
      <x:c r="E39" s="48" t="str">
        <x:v>TRF-013</x:v>
      </x:c>
      <x:c r="F39" s="48" t="str">
        <x:v>/Users/sadisfaction570/Desktop/Journal 1/NLTL_v2/MVP/SHACL_GENERATION_PIPELINE/outputs/development_batch01/runs/RUN-TRF-013-20260812T151026676073Z/final/final_shape.ttl</x:v>
      </x:c>
      <x:c r="G39" s="48" t="str">
        <x:v>/Users/sadisfaction570/Desktop/Journal 1/NLTL_v2/MVP/INPUTS/DEVELOPMENT_CALIBRATION/BATCH_01_FIRST_50/rdf_fixtures/TRF-013/trf-013_02_fail.ttl</x:v>
      </x:c>
      <x:c r="H39" s="48" t="str">
        <x:v>186ec92c896b59b7133b40a69a4245eddde3c8b3ce53efa2f4d658c3dfddc42b</x:v>
      </x:c>
      <x:c r="I39" s="48" t="str">
        <x:v>aca0f00530f0b2878fdd96bbc596d963714fefab3336150d7eacbedf4deeefcf</x:v>
      </x:c>
      <x:c r="J39" s="48" t="str">
        <x:v>TRUE</x:v>
      </x:c>
      <x:c r="K39" s="64" t="str">
        <x:v>FALSE</x:v>
      </x:c>
      <x:c r="L39" s="48" t="str">
        <x:v>TRUE</x:v>
      </x:c>
      <x:c r="M39" s="64" t="str">
        <x:v>TRUE</x:v>
      </x:c>
      <x:c r="N39" s="48" t="str">
        <x:v>FALSE</x:v>
      </x:c>
      <x:c r="O39" s="65" t="n">
        <x:v>2</x:v>
      </x:c>
      <x:c r="P39" s="64" t="n">
        <x:v>11528.671</x:v>
      </x:c>
      <x:c r="Q39" s="49" t="str"/>
      <x:c r="R39" s="48" t="str">
        <x:v>Conforms: true</x:v>
      </x:c>
    </x:row>
    <x:row r="40">
      <x:c r="A40" s="48" t="str">
        <x:v>BATCH01-R3-LATEST-ACCEPTED-SHAPES</x:v>
      </x:c>
      <x:c r="B40" s="48" t="str">
        <x:v>B01-TRF-013-BOUNDARY</x:v>
      </x:c>
      <x:c r="C40" s="48" t="str">
        <x:v>BOUNDARY</x:v>
      </x:c>
      <x:c r="D40" s="48" t="str">
        <x:v>requirement-development-calibration</x:v>
      </x:c>
      <x:c r="E40" s="48" t="str">
        <x:v>TRF-013</x:v>
      </x:c>
      <x:c r="F40" s="48" t="str">
        <x:v>/Users/sadisfaction570/Desktop/Journal 1/NLTL_v2/MVP/SHACL_GENERATION_PIPELINE/outputs/development_batch01/runs/RUN-TRF-013-20260812T151026676073Z/final/final_shape.ttl</x:v>
      </x:c>
      <x:c r="G40" s="48" t="str">
        <x:v>/Users/sadisfaction570/Desktop/Journal 1/NLTL_v2/MVP/INPUTS/DEVELOPMENT_CALIBRATION/BATCH_01_FIRST_50/rdf_fixtures/TRF-013/trf-013_03_boundary.ttl</x:v>
      </x:c>
      <x:c r="H40" s="48" t="str">
        <x:v>186ec92c896b59b7133b40a69a4245eddde3c8b3ce53efa2f4d658c3dfddc42b</x:v>
      </x:c>
      <x:c r="I40" s="48" t="str">
        <x:v>863de4df43f95c15fad893a6611e13de69629c4b63ece72dae39a846e9b2dd51</x:v>
      </x:c>
      <x:c r="J40" s="48" t="str">
        <x:v>TRUE</x:v>
      </x:c>
      <x:c r="K40" s="64" t="str">
        <x:v>TRUE</x:v>
      </x:c>
      <x:c r="L40" s="48" t="str">
        <x:v>TRUE</x:v>
      </x:c>
      <x:c r="M40" s="64" t="str">
        <x:v>TRUE</x:v>
      </x:c>
      <x:c r="N40" s="48" t="str">
        <x:v>TRUE</x:v>
      </x:c>
      <x:c r="O40" s="65" t="n">
        <x:v>2</x:v>
      </x:c>
      <x:c r="P40" s="64" t="n">
        <x:v>11504.247</x:v>
      </x:c>
      <x:c r="Q40" s="49" t="str"/>
      <x:c r="R40" s="48" t="str">
        <x:v>Conforms: true</x:v>
      </x:c>
    </x:row>
    <x:row r="41">
      <x:c r="A41" s="48" t="str">
        <x:v>BATCH01-R3-LATEST-ACCEPTED-SHAPES</x:v>
      </x:c>
      <x:c r="B41" s="48" t="str">
        <x:v>B01-TRF-015-PASS</x:v>
      </x:c>
      <x:c r="C41" s="48" t="str">
        <x:v>PASS</x:v>
      </x:c>
      <x:c r="D41" s="48" t="str">
        <x:v>requirement-development-calibration</x:v>
      </x:c>
      <x:c r="E41" s="48" t="str">
        <x:v>TRF-015</x:v>
      </x:c>
      <x:c r="F41" s="48" t="str">
        <x:v>/Users/sadisfaction570/Desktop/Journal 1/NLTL_v2/MVP/SHACL_GENERATION_PIPELINE/outputs/development_batch01/runs/RUN-TRF-015-20260812T151632169807Z/final/final_shape.ttl</x:v>
      </x:c>
      <x:c r="G41" s="48" t="str">
        <x:v>/Users/sadisfaction570/Desktop/Journal 1/NLTL_v2/MVP/INPUTS/DEVELOPMENT_CALIBRATION/BATCH_01_FIRST_50/rdf_fixtures/TRF-015/trf-015_01_pass.ttl</x:v>
      </x:c>
      <x:c r="H41" s="48" t="str">
        <x:v>095d088838088279bcc558f70a656c7b60b9e7b4bf99581a5ccdb298d3850dee</x:v>
      </x:c>
      <x:c r="I41" s="48" t="str">
        <x:v>0b32131dad4219d60f47abb04bc4d2d821cb5232ba79c990ce1315d2e50baf70</x:v>
      </x:c>
      <x:c r="J41" s="48" t="str">
        <x:v>TRUE</x:v>
      </x:c>
      <x:c r="K41" s="64" t="str">
        <x:v>TRUE</x:v>
      </x:c>
      <x:c r="L41" s="48" t="str">
        <x:v>TRUE</x:v>
      </x:c>
      <x:c r="M41" s="64" t="str">
        <x:v>FALSE</x:v>
      </x:c>
      <x:c r="N41" s="48" t="str">
        <x:v>FALSE</x:v>
      </x:c>
      <x:c r="O41" s="65" t="n">
        <x:v>14</x:v>
      </x:c>
      <x:c r="P41" s="64" t="n">
        <x:v>349.232</x:v>
      </x:c>
      <x:c r="Q41" s="49" t="str"/>
      <x:c r="R41" s="48" t="str">
        <x:v>Conforms: false | When navigating in ice, draught, trim, their applicable limits, and route and loading-calculation salinity inputs must be recorded with compatible quantity data.</x:v>
      </x:c>
    </x:row>
    <x:row r="42">
      <x:c r="A42" s="48" t="str">
        <x:v>BATCH01-R3-LATEST-ACCEPTED-SHAPES</x:v>
      </x:c>
      <x:c r="B42" s="48" t="str">
        <x:v>B01-TRF-015-FAIL</x:v>
      </x:c>
      <x:c r="C42" s="48" t="str">
        <x:v>FAIL</x:v>
      </x:c>
      <x:c r="D42" s="48" t="str">
        <x:v>requirement-development-calibration</x:v>
      </x:c>
      <x:c r="E42" s="48" t="str">
        <x:v>TRF-015</x:v>
      </x:c>
      <x:c r="F42" s="48" t="str">
        <x:v>/Users/sadisfaction570/Desktop/Journal 1/NLTL_v2/MVP/SHACL_GENERATION_PIPELINE/outputs/development_batch01/runs/RUN-TRF-015-20260812T151632169807Z/final/final_shape.ttl</x:v>
      </x:c>
      <x:c r="G42" s="48" t="str">
        <x:v>/Users/sadisfaction570/Desktop/Journal 1/NLTL_v2/MVP/INPUTS/DEVELOPMENT_CALIBRATION/BATCH_01_FIRST_50/rdf_fixtures/TRF-015/trf-015_02_fail.ttl</x:v>
      </x:c>
      <x:c r="H42" s="48" t="str">
        <x:v>095d088838088279bcc558f70a656c7b60b9e7b4bf99581a5ccdb298d3850dee</x:v>
      </x:c>
      <x:c r="I42" s="48" t="str">
        <x:v>f304bd62905ef3989daf34b008e23035b6b89769ffb09b13337cf9734c871d41</x:v>
      </x:c>
      <x:c r="J42" s="48" t="str">
        <x:v>TRUE</x:v>
      </x:c>
      <x:c r="K42" s="64" t="str">
        <x:v>FALSE</x:v>
      </x:c>
      <x:c r="L42" s="48" t="str">
        <x:v>TRUE</x:v>
      </x:c>
      <x:c r="M42" s="64" t="str">
        <x:v>FALSE</x:v>
      </x:c>
      <x:c r="N42" s="48" t="str">
        <x:v>TRUE</x:v>
      </x:c>
      <x:c r="O42" s="65" t="n">
        <x:v>26</x:v>
      </x:c>
      <x:c r="P42" s="64" t="n">
        <x:v>342.553</x:v>
      </x:c>
      <x:c r="Q42" s="49" t="str"/>
      <x:c r="R42" s="48" t="str">
        <x:v>Conforms: false | When navigating in ice, the operating draught must not exceed the upper ice waterline draught.</x:v>
      </x:c>
    </x:row>
    <x:row r="43">
      <x:c r="A43" s="48" t="str">
        <x:v>BATCH01-R3-LATEST-ACCEPTED-SHAPES</x:v>
      </x:c>
      <x:c r="B43" s="48" t="str">
        <x:v>B01-TRF-015-BOUNDARY</x:v>
      </x:c>
      <x:c r="C43" s="48" t="str">
        <x:v>BOUNDARY</x:v>
      </x:c>
      <x:c r="D43" s="48" t="str">
        <x:v>requirement-development-calibration</x:v>
      </x:c>
      <x:c r="E43" s="48" t="str">
        <x:v>TRF-015</x:v>
      </x:c>
      <x:c r="F43" s="48" t="str">
        <x:v>/Users/sadisfaction570/Desktop/Journal 1/NLTL_v2/MVP/SHACL_GENERATION_PIPELINE/outputs/development_batch01/runs/RUN-TRF-015-20260812T151632169807Z/final/final_shape.ttl</x:v>
      </x:c>
      <x:c r="G43" s="48" t="str">
        <x:v>/Users/sadisfaction570/Desktop/Journal 1/NLTL_v2/MVP/INPUTS/DEVELOPMENT_CALIBRATION/BATCH_01_FIRST_50/rdf_fixtures/TRF-015/trf-015_03_boundary.ttl</x:v>
      </x:c>
      <x:c r="H43" s="48" t="str">
        <x:v>095d088838088279bcc558f70a656c7b60b9e7b4bf99581a5ccdb298d3850dee</x:v>
      </x:c>
      <x:c r="I43" s="48" t="str">
        <x:v>ce658647fd8cbe67204d3a450d969cc5bf1a5649d6eb7e1c95a4b3425be16510</x:v>
      </x:c>
      <x:c r="J43" s="48" t="str">
        <x:v>TRUE</x:v>
      </x:c>
      <x:c r="K43" s="64" t="str">
        <x:v>TRUE</x:v>
      </x:c>
      <x:c r="L43" s="48" t="str">
        <x:v>TRUE</x:v>
      </x:c>
      <x:c r="M43" s="64" t="str">
        <x:v>FALSE</x:v>
      </x:c>
      <x:c r="N43" s="48" t="str">
        <x:v>FALSE</x:v>
      </x:c>
      <x:c r="O43" s="65" t="n">
        <x:v>14</x:v>
      </x:c>
      <x:c r="P43" s="64" t="n">
        <x:v>346.047</x:v>
      </x:c>
      <x:c r="Q43" s="49" t="str"/>
      <x:c r="R43" s="48" t="str">
        <x:v>Conforms: false | When navigating in ice, draught, trim, their applicable limits, and route and loading-calculation salinity inputs must be recorded with compatible quantity data.</x:v>
      </x:c>
    </x:row>
    <x:row r="44">
      <x:c r="A44" s="48" t="str">
        <x:v>BATCH01-R3-LATEST-ACCEPTED-SHAPES</x:v>
      </x:c>
      <x:c r="B44" s="48" t="str">
        <x:v>B01-TRF-016-PASS</x:v>
      </x:c>
      <x:c r="C44" s="48" t="str">
        <x:v>PASS</x:v>
      </x:c>
      <x:c r="D44" s="48" t="str">
        <x:v>requirement-development-calibration</x:v>
      </x:c>
      <x:c r="E44" s="48" t="str">
        <x:v>TRF-016</x:v>
      </x:c>
      <x:c r="F44" s="48" t="str">
        <x:v>/Users/sadisfaction570/Desktop/Journal 1/NLTL_v2/MVP/SHACL_GENERATION_PIPELINE/outputs/development_batch01/runs/RUN-TRF-016-20260812T151725520560Z/final/final_shape.ttl</x:v>
      </x:c>
      <x:c r="G44" s="48" t="str">
        <x:v>/Users/sadisfaction570/Desktop/Journal 1/NLTL_v2/MVP/INPUTS/DEVELOPMENT_CALIBRATION/BATCH_01_FIRST_50/rdf_fixtures/TRF-016/trf-016_01_pass.ttl</x:v>
      </x:c>
      <x:c r="H44" s="48" t="str">
        <x:v>d00958e011bc0c4f6a66de6bf188f4f98d7635977c089f9966d92df6c852f496</x:v>
      </x:c>
      <x:c r="I44" s="48" t="str">
        <x:v>f610b7869e94829ed50415c3f50f9314b85d1fd96b2ffde1688100221a291d9e</x:v>
      </x:c>
      <x:c r="J44" s="48" t="str">
        <x:v>TRUE</x:v>
      </x:c>
      <x:c r="K44" s="64" t="str">
        <x:v>TRUE</x:v>
      </x:c>
      <x:c r="L44" s="48" t="str">
        <x:v>TRUE</x:v>
      </x:c>
      <x:c r="M44" s="64" t="str">
        <x:v>FALSE</x:v>
      </x:c>
      <x:c r="N44" s="48" t="str">
        <x:v>FALSE</x:v>
      </x:c>
      <x:c r="O44" s="65" t="n">
        <x:v>13</x:v>
      </x:c>
      <x:c r="P44" s="64" t="n">
        <x:v>414.114</x:v>
      </x:c>
      <x:c r="Q44" s="49" t="str"/>
      <x:c r="R44" s="48" t="str">
        <x:v>Conforms: false | Forward draught calculation requires level ice thickness, forward draught, and displacement for every UIWL.</x:v>
      </x:c>
    </x:row>
    <x:row r="45">
      <x:c r="A45" s="48" t="str">
        <x:v>BATCH01-R3-LATEST-ACCEPTED-SHAPES</x:v>
      </x:c>
      <x:c r="B45" s="48" t="str">
        <x:v>B01-TRF-016-FAIL</x:v>
      </x:c>
      <x:c r="C45" s="48" t="str">
        <x:v>FAIL</x:v>
      </x:c>
      <x:c r="D45" s="48" t="str">
        <x:v>requirement-development-calibration</x:v>
      </x:c>
      <x:c r="E45" s="48" t="str">
        <x:v>TRF-016</x:v>
      </x:c>
      <x:c r="F45" s="48" t="str">
        <x:v>/Users/sadisfaction570/Desktop/Journal 1/NLTL_v2/MVP/SHACL_GENERATION_PIPELINE/outputs/development_batch01/runs/RUN-TRF-016-20260812T151725520560Z/final/final_shape.ttl</x:v>
      </x:c>
      <x:c r="G45" s="48" t="str">
        <x:v>/Users/sadisfaction570/Desktop/Journal 1/NLTL_v2/MVP/INPUTS/DEVELOPMENT_CALIBRATION/BATCH_01_FIRST_50/rdf_fixtures/TRF-016/trf-016_02_fail.ttl</x:v>
      </x:c>
      <x:c r="H45" s="48" t="str">
        <x:v>d00958e011bc0c4f6a66de6bf188f4f98d7635977c089f9966d92df6c852f496</x:v>
      </x:c>
      <x:c r="I45" s="48" t="str">
        <x:v>428321e438fbc610f4ecf7f3300cd664caa2d1c96c1b7ff14971d20fb54fdc2b</x:v>
      </x:c>
      <x:c r="J45" s="48" t="str">
        <x:v>TRUE</x:v>
      </x:c>
      <x:c r="K45" s="64" t="str">
        <x:v>FALSE</x:v>
      </x:c>
      <x:c r="L45" s="48" t="str">
        <x:v>TRUE</x:v>
      </x:c>
      <x:c r="M45" s="64" t="str">
        <x:v>FALSE</x:v>
      </x:c>
      <x:c r="N45" s="48" t="str">
        <x:v>TRUE</x:v>
      </x:c>
      <x:c r="O45" s="65" t="n">
        <x:v>13</x:v>
      </x:c>
      <x:c r="P45" s="64" t="n">
        <x:v>384.073</x:v>
      </x:c>
      <x:c r="Q45" s="49" t="str"/>
      <x:c r="R45" s="48" t="str">
        <x:v>Conforms: false | Forward draught calculation requires level ice thickness, forward draught, and displacement for every UIWL.</x:v>
      </x:c>
    </x:row>
    <x:row r="46">
      <x:c r="A46" s="48" t="str">
        <x:v>BATCH01-R3-LATEST-ACCEPTED-SHAPES</x:v>
      </x:c>
      <x:c r="B46" s="48" t="str">
        <x:v>B01-TRF-016-BOUNDARY</x:v>
      </x:c>
      <x:c r="C46" s="48" t="str">
        <x:v>BOUNDARY</x:v>
      </x:c>
      <x:c r="D46" s="48" t="str">
        <x:v>requirement-development-calibration</x:v>
      </x:c>
      <x:c r="E46" s="48" t="str">
        <x:v>TRF-016</x:v>
      </x:c>
      <x:c r="F46" s="48" t="str">
        <x:v>/Users/sadisfaction570/Desktop/Journal 1/NLTL_v2/MVP/SHACL_GENERATION_PIPELINE/outputs/development_batch01/runs/RUN-TRF-016-20260812T151725520560Z/final/final_shape.ttl</x:v>
      </x:c>
      <x:c r="G46" s="48" t="str">
        <x:v>/Users/sadisfaction570/Desktop/Journal 1/NLTL_v2/MVP/INPUTS/DEVELOPMENT_CALIBRATION/BATCH_01_FIRST_50/rdf_fixtures/TRF-016/trf-016_03_boundary.ttl</x:v>
      </x:c>
      <x:c r="H46" s="48" t="str">
        <x:v>d00958e011bc0c4f6a66de6bf188f4f98d7635977c089f9966d92df6c852f496</x:v>
      </x:c>
      <x:c r="I46" s="48" t="str">
        <x:v>99008ff7bcf6a4e5039f85a811cc3a67f06e4fc3506037c5193a48301ea13836</x:v>
      </x:c>
      <x:c r="J46" s="48" t="str">
        <x:v>TRUE</x:v>
      </x:c>
      <x:c r="K46" s="64" t="str">
        <x:v>TRUE</x:v>
      </x:c>
      <x:c r="L46" s="48" t="str">
        <x:v>TRUE</x:v>
      </x:c>
      <x:c r="M46" s="64" t="str">
        <x:v>FALSE</x:v>
      </x:c>
      <x:c r="N46" s="48" t="str">
        <x:v>FALSE</x:v>
      </x:c>
      <x:c r="O46" s="65" t="n">
        <x:v>13</x:v>
      </x:c>
      <x:c r="P46" s="64" t="n">
        <x:v>382.03</x:v>
      </x:c>
      <x:c r="Q46" s="49" t="str"/>
      <x:c r="R46" s="48" t="str">
        <x:v>Conforms: false | Forward draught calculation requires level ice thickness, forward draught, and displacement for every UIWL.</x:v>
      </x:c>
    </x:row>
    <x:row r="47">
      <x:c r="A47" s="48" t="str">
        <x:v>BATCH01-R3-LATEST-ACCEPTED-SHAPES</x:v>
      </x:c>
      <x:c r="B47" s="48" t="str">
        <x:v>B01-TRF-017-PASS</x:v>
      </x:c>
      <x:c r="C47" s="48" t="str">
        <x:v>PASS</x:v>
      </x:c>
      <x:c r="D47" s="48" t="str">
        <x:v>requirement-development-calibration</x:v>
      </x:c>
      <x:c r="E47" s="48" t="str">
        <x:v>TRF-017</x:v>
      </x:c>
      <x:c r="F47" s="48" t="str">
        <x:v>/Users/sadisfaction570/Desktop/Journal 1/NLTL_v2/MVP/SHACL_GENERATION_PIPELINE/outputs/development_batch01/runs/RUN-TRF-017-20260812T151849366176Z/final/final_shape.ttl</x:v>
      </x:c>
      <x:c r="G47" s="48" t="str">
        <x:v>/Users/sadisfaction570/Desktop/Journal 1/NLTL_v2/MVP/INPUTS/DEVELOPMENT_CALIBRATION/BATCH_01_FIRST_50/rdf_fixtures/TRF-017/trf-017_01_pass.ttl</x:v>
      </x:c>
      <x:c r="H47" s="48" t="str">
        <x:v>d55c32d94ffa7857599e943a6880f708d9e13c1dcaa3eb523d1fddaa271d0d79</x:v>
      </x:c>
      <x:c r="I47" s="48" t="str">
        <x:v>d05c0455d0298dda618afe388b5c9d4dc58a99ac67bb55195177eb26321a5d59</x:v>
      </x:c>
      <x:c r="J47" s="48" t="str">
        <x:v>TRUE</x:v>
      </x:c>
      <x:c r="K47" s="64" t="str">
        <x:v>TRUE</x:v>
      </x:c>
      <x:c r="L47" s="48" t="str">
        <x:v>TRUE</x:v>
      </x:c>
      <x:c r="M47" s="64" t="str">
        <x:v>TRUE</x:v>
      </x:c>
      <x:c r="N47" s="48" t="str">
        <x:v>TRUE</x:v>
      </x:c>
      <x:c r="O47" s="65" t="n">
        <x:v>2</x:v>
      </x:c>
      <x:c r="P47" s="64" t="n">
        <x:v>352.462</x:v>
      </x:c>
      <x:c r="Q47" s="49" t="str"/>
      <x:c r="R47" s="48" t="str">
        <x:v>Conforms: true</x:v>
      </x:c>
    </x:row>
    <x:row r="48">
      <x:c r="A48" s="48" t="str">
        <x:v>BATCH01-R3-LATEST-ACCEPTED-SHAPES</x:v>
      </x:c>
      <x:c r="B48" s="48" t="str">
        <x:v>B01-TRF-017-FAIL</x:v>
      </x:c>
      <x:c r="C48" s="48" t="str">
        <x:v>FAIL</x:v>
      </x:c>
      <x:c r="D48" s="48" t="str">
        <x:v>requirement-development-calibration</x:v>
      </x:c>
      <x:c r="E48" s="48" t="str">
        <x:v>TRF-017</x:v>
      </x:c>
      <x:c r="F48" s="48" t="str">
        <x:v>/Users/sadisfaction570/Desktop/Journal 1/NLTL_v2/MVP/SHACL_GENERATION_PIPELINE/outputs/development_batch01/runs/RUN-TRF-017-20260812T151849366176Z/final/final_shape.ttl</x:v>
      </x:c>
      <x:c r="G48" s="48" t="str">
        <x:v>/Users/sadisfaction570/Desktop/Journal 1/NLTL_v2/MVP/INPUTS/DEVELOPMENT_CALIBRATION/BATCH_01_FIRST_50/rdf_fixtures/TRF-017/trf-017_02_fail.ttl</x:v>
      </x:c>
      <x:c r="H48" s="48" t="str">
        <x:v>d55c32d94ffa7857599e943a6880f708d9e13c1dcaa3eb523d1fddaa271d0d79</x:v>
      </x:c>
      <x:c r="I48" s="48" t="str">
        <x:v>3f378ef74369b905a83d9aa6ff64152e91ac836eac243024f91f231e43327f8a</x:v>
      </x:c>
      <x:c r="J48" s="48" t="str">
        <x:v>TRUE</x:v>
      </x:c>
      <x:c r="K48" s="64" t="str">
        <x:v>FALSE</x:v>
      </x:c>
      <x:c r="L48" s="48" t="str">
        <x:v>TRUE</x:v>
      </x:c>
      <x:c r="M48" s="64" t="str">
        <x:v>FALSE</x:v>
      </x:c>
      <x:c r="N48" s="48" t="str">
        <x:v>TRUE</x:v>
      </x:c>
      <x:c r="O48" s="65" t="n">
        <x:v>13</x:v>
      </x:c>
      <x:c r="P48" s="64" t="n">
        <x:v>348.798</x:v>
      </x:c>
      <x:c r="Q48" s="49" t="str"/>
      <x:c r="R48" s="48" t="str">
        <x:v>Conforms: false | When propulsion output is not restricted, engine output P must equal the total continuous propulsion output, including additional propulsion power sources.</x:v>
      </x:c>
    </x:row>
    <x:row r="49">
      <x:c r="A49" s="48" t="str">
        <x:v>BATCH01-R3-LATEST-ACCEPTED-SHAPES</x:v>
      </x:c>
      <x:c r="B49" s="48" t="str">
        <x:v>B01-TRF-017-BOUNDARY</x:v>
      </x:c>
      <x:c r="C49" s="48" t="str">
        <x:v>BOUNDARY</x:v>
      </x:c>
      <x:c r="D49" s="48" t="str">
        <x:v>requirement-development-calibration</x:v>
      </x:c>
      <x:c r="E49" s="48" t="str">
        <x:v>TRF-017</x:v>
      </x:c>
      <x:c r="F49" s="48" t="str">
        <x:v>/Users/sadisfaction570/Desktop/Journal 1/NLTL_v2/MVP/SHACL_GENERATION_PIPELINE/outputs/development_batch01/runs/RUN-TRF-017-20260812T151849366176Z/final/final_shape.ttl</x:v>
      </x:c>
      <x:c r="G49" s="48" t="str">
        <x:v>/Users/sadisfaction570/Desktop/Journal 1/NLTL_v2/MVP/INPUTS/DEVELOPMENT_CALIBRATION/BATCH_01_FIRST_50/rdf_fixtures/TRF-017/trf-017_03_boundary.ttl</x:v>
      </x:c>
      <x:c r="H49" s="48" t="str">
        <x:v>d55c32d94ffa7857599e943a6880f708d9e13c1dcaa3eb523d1fddaa271d0d79</x:v>
      </x:c>
      <x:c r="I49" s="48" t="str">
        <x:v>89b08b6f18a34b87185e0170693da1f74bddfcf1a32f0e9090f48afdc83473f1</x:v>
      </x:c>
      <x:c r="J49" s="48" t="str">
        <x:v>TRUE</x:v>
      </x:c>
      <x:c r="K49" s="64" t="str">
        <x:v>TRUE</x:v>
      </x:c>
      <x:c r="L49" s="48" t="str">
        <x:v>TRUE</x:v>
      </x:c>
      <x:c r="M49" s="64" t="str">
        <x:v>TRUE</x:v>
      </x:c>
      <x:c r="N49" s="48" t="str">
        <x:v>TRUE</x:v>
      </x:c>
      <x:c r="O49" s="65" t="n">
        <x:v>2</x:v>
      </x:c>
      <x:c r="P49" s="64" t="n">
        <x:v>387.431</x:v>
      </x:c>
      <x:c r="Q49" s="49" t="str"/>
      <x:c r="R49" s="48" t="str">
        <x:v>Conforms: true</x:v>
      </x:c>
    </x:row>
    <x:row r="50">
      <x:c r="A50" s="48" t="str">
        <x:v>BATCH01-R3-LATEST-ACCEPTED-SHAPES</x:v>
      </x:c>
      <x:c r="B50" s="48" t="str">
        <x:v>B01-TRF-018-PASS</x:v>
      </x:c>
      <x:c r="C50" s="48" t="str">
        <x:v>PASS</x:v>
      </x:c>
      <x:c r="D50" s="48" t="str">
        <x:v>requirement-development-calibration</x:v>
      </x:c>
      <x:c r="E50" s="48" t="str">
        <x:v>TRF-018</x:v>
      </x:c>
      <x:c r="F50" s="48" t="str">
        <x:v>/Users/sadisfaction570/Desktop/Journal 1/NLTL_v2/MVP/SHACL_GENERATION_PIPELINE/outputs/development_batch01/runs/RUN-TRF-018-20260812T152040630179Z/final/final_shape.ttl</x:v>
      </x:c>
      <x:c r="G50" s="48" t="str">
        <x:v>/Users/sadisfaction570/Desktop/Journal 1/NLTL_v2/MVP/INPUTS/DEVELOPMENT_CALIBRATION/BATCH_01_FIRST_50/rdf_fixtures/TRF-018/trf-018_01_pass.ttl</x:v>
      </x:c>
      <x:c r="H50" s="48" t="str">
        <x:v>cf3a3e9ecf7772f5551e195f9b15fa005cf1c42e067845e1927f3dbc2af1ea82</x:v>
      </x:c>
      <x:c r="I50" s="48" t="str">
        <x:v>878e1928b16bd5c8b49cb1774909940f3b887886b58081f275fe9cf8b944f673</x:v>
      </x:c>
      <x:c r="J50" s="48" t="str">
        <x:v>TRUE</x:v>
      </x:c>
      <x:c r="K50" s="64" t="str">
        <x:v>TRUE</x:v>
      </x:c>
      <x:c r="L50" s="48" t="str">
        <x:v>TRUE</x:v>
      </x:c>
      <x:c r="M50" s="64" t="str">
        <x:v>TRUE</x:v>
      </x:c>
      <x:c r="N50" s="48" t="str">
        <x:v>TRUE</x:v>
      </x:c>
      <x:c r="O50" s="65" t="n">
        <x:v>2</x:v>
      </x:c>
      <x:c r="P50" s="64" t="n">
        <x:v>331.437</x:v>
      </x:c>
      <x:c r="Q50" s="49" t="str"/>
      <x:c r="R50" s="48" t="str">
        <x:v>Conforms: true</x:v>
      </x:c>
    </x:row>
    <x:row r="51">
      <x:c r="A51" s="48" t="str">
        <x:v>BATCH01-R3-LATEST-ACCEPTED-SHAPES</x:v>
      </x:c>
      <x:c r="B51" s="48" t="str">
        <x:v>B01-TRF-018-FAIL</x:v>
      </x:c>
      <x:c r="C51" s="48" t="str">
        <x:v>FAIL</x:v>
      </x:c>
      <x:c r="D51" s="48" t="str">
        <x:v>requirement-development-calibration</x:v>
      </x:c>
      <x:c r="E51" s="48" t="str">
        <x:v>TRF-018</x:v>
      </x:c>
      <x:c r="F51" s="48" t="str">
        <x:v>/Users/sadisfaction570/Desktop/Journal 1/NLTL_v2/MVP/SHACL_GENERATION_PIPELINE/outputs/development_batch01/runs/RUN-TRF-018-20260812T152040630179Z/final/final_shape.ttl</x:v>
      </x:c>
      <x:c r="G51" s="48" t="str">
        <x:v>/Users/sadisfaction570/Desktop/Journal 1/NLTL_v2/MVP/INPUTS/DEVELOPMENT_CALIBRATION/BATCH_01_FIRST_50/rdf_fixtures/TRF-018/trf-018_02_fail.ttl</x:v>
      </x:c>
      <x:c r="H51" s="48" t="str">
        <x:v>cf3a3e9ecf7772f5551e195f9b15fa005cf1c42e067845e1927f3dbc2af1ea82</x:v>
      </x:c>
      <x:c r="I51" s="48" t="str">
        <x:v>abe804f5ab9bcc282e4007bc8a6d81817e99aad226c7c544c6df8db7c4812a9f</x:v>
      </x:c>
      <x:c r="J51" s="48" t="str">
        <x:v>TRUE</x:v>
      </x:c>
      <x:c r="K51" s="64" t="str">
        <x:v>FALSE</x:v>
      </x:c>
      <x:c r="L51" s="48" t="str">
        <x:v>TRUE</x:v>
      </x:c>
      <x:c r="M51" s="64" t="str">
        <x:v>FALSE</x:v>
      </x:c>
      <x:c r="N51" s="48" t="str">
        <x:v>TRUE</x:v>
      </x:c>
      <x:c r="O51" s="65" t="n">
        <x:v>13</x:v>
      </x:c>
      <x:c r="P51" s="64" t="n">
        <x:v>331.385</x:v>
      </x:c>
      <x:c r="Q51" s="49" t="str"/>
      <x:c r="R51" s="48" t="str">
        <x:v>Conforms: false | For ice classes IA, IB, IC, and IA Super, maximum continuous rating power must be a valid kW quantity not less than the calculated required power or the applicable minimum.</x:v>
      </x:c>
    </x:row>
    <x:row r="52">
      <x:c r="A52" s="48" t="str">
        <x:v>BATCH01-R3-LATEST-ACCEPTED-SHAPES</x:v>
      </x:c>
      <x:c r="B52" s="48" t="str">
        <x:v>B01-TRF-018-BOUNDARY</x:v>
      </x:c>
      <x:c r="C52" s="48" t="str">
        <x:v>BOUNDARY</x:v>
      </x:c>
      <x:c r="D52" s="48" t="str">
        <x:v>requirement-development-calibration</x:v>
      </x:c>
      <x:c r="E52" s="48" t="str">
        <x:v>TRF-018</x:v>
      </x:c>
      <x:c r="F52" s="48" t="str">
        <x:v>/Users/sadisfaction570/Desktop/Journal 1/NLTL_v2/MVP/SHACL_GENERATION_PIPELINE/outputs/development_batch01/runs/RUN-TRF-018-20260812T152040630179Z/final/final_shape.ttl</x:v>
      </x:c>
      <x:c r="G52" s="48" t="str">
        <x:v>/Users/sadisfaction570/Desktop/Journal 1/NLTL_v2/MVP/INPUTS/DEVELOPMENT_CALIBRATION/BATCH_01_FIRST_50/rdf_fixtures/TRF-018/trf-018_03_boundary.ttl</x:v>
      </x:c>
      <x:c r="H52" s="48" t="str">
        <x:v>cf3a3e9ecf7772f5551e195f9b15fa005cf1c42e067845e1927f3dbc2af1ea82</x:v>
      </x:c>
      <x:c r="I52" s="48" t="str">
        <x:v>436e862ba535a404f84fb1957d44e388d57634614fcaf173bc1fadf124718499</x:v>
      </x:c>
      <x:c r="J52" s="48" t="str">
        <x:v>TRUE</x:v>
      </x:c>
      <x:c r="K52" s="64" t="str">
        <x:v>TRUE</x:v>
      </x:c>
      <x:c r="L52" s="48" t="str">
        <x:v>TRUE</x:v>
      </x:c>
      <x:c r="M52" s="64" t="str">
        <x:v>TRUE</x:v>
      </x:c>
      <x:c r="N52" s="48" t="str">
        <x:v>TRUE</x:v>
      </x:c>
      <x:c r="O52" s="65" t="n">
        <x:v>2</x:v>
      </x:c>
      <x:c r="P52" s="64" t="n">
        <x:v>332.756</x:v>
      </x:c>
      <x:c r="Q52" s="49" t="str"/>
      <x:c r="R52" s="48" t="str">
        <x:v>Conforms: true</x:v>
      </x:c>
    </x:row>
    <x:row r="53">
      <x:c r="A53" s="48" t="str">
        <x:v>BATCH01-R3-LATEST-ACCEPTED-SHAPES</x:v>
      </x:c>
      <x:c r="B53" s="48" t="str">
        <x:v>B01-TRF-023-PASS</x:v>
      </x:c>
      <x:c r="C53" s="48" t="str">
        <x:v>PASS</x:v>
      </x:c>
      <x:c r="D53" s="48" t="str">
        <x:v>requirement-development-calibration</x:v>
      </x:c>
      <x:c r="E53" s="48" t="str">
        <x:v>TRF-023</x:v>
      </x:c>
      <x:c r="F53" s="48" t="str">
        <x:v>/Users/sadisfaction570/Desktop/Journal 1/NLTL_v2/MVP/SHACL_GENERATION_PIPELINE/outputs/development_batch01/runs/RUN-TRF-023-20260812T133201884449Z/final/final_shape.ttl</x:v>
      </x:c>
      <x:c r="G53" s="48" t="str">
        <x:v>/Users/sadisfaction570/Desktop/Journal 1/NLTL_v2/MVP/INPUTS/DEVELOPMENT_CALIBRATION/BATCH_01_FIRST_50/rdf_fixtures/TRF-023/trf-023_01_pass.ttl</x:v>
      </x:c>
      <x:c r="H53" s="48" t="str">
        <x:v>5822f58161dbddcb39f94a638cd3e3d57a4a5ce5ec04beb8b0e00df4d900e49d</x:v>
      </x:c>
      <x:c r="I53" s="48" t="str">
        <x:v>0517ae3b11d19ec030fdb79dbb05be49a1ab51e2b6d38e00cf20ad39b11cf7b1</x:v>
      </x:c>
      <x:c r="J53" s="48" t="str">
        <x:v>TRUE</x:v>
      </x:c>
      <x:c r="K53" s="64" t="str">
        <x:v>TRUE</x:v>
      </x:c>
      <x:c r="L53" s="48" t="str">
        <x:v>TRUE</x:v>
      </x:c>
      <x:c r="M53" s="64" t="str">
        <x:v>TRUE</x:v>
      </x:c>
      <x:c r="N53" s="48" t="str">
        <x:v>TRUE</x:v>
      </x:c>
      <x:c r="O53" s="65" t="n">
        <x:v>2</x:v>
      </x:c>
      <x:c r="P53" s="64" t="n">
        <x:v>316.686</x:v>
      </x:c>
      <x:c r="Q53" s="49" t="str"/>
      <x:c r="R53" s="48" t="str">
        <x:v>Conforms: true</x:v>
      </x:c>
    </x:row>
    <x:row r="54">
      <x:c r="A54" s="48" t="str">
        <x:v>BATCH01-R3-LATEST-ACCEPTED-SHAPES</x:v>
      </x:c>
      <x:c r="B54" s="48" t="str">
        <x:v>B01-TRF-023-FAIL</x:v>
      </x:c>
      <x:c r="C54" s="48" t="str">
        <x:v>FAIL</x:v>
      </x:c>
      <x:c r="D54" s="48" t="str">
        <x:v>requirement-development-calibration</x:v>
      </x:c>
      <x:c r="E54" s="48" t="str">
        <x:v>TRF-023</x:v>
      </x:c>
      <x:c r="F54" s="48" t="str">
        <x:v>/Users/sadisfaction570/Desktop/Journal 1/NLTL_v2/MVP/SHACL_GENERATION_PIPELINE/outputs/development_batch01/runs/RUN-TRF-023-20260812T133201884449Z/final/final_shape.ttl</x:v>
      </x:c>
      <x:c r="G54" s="48" t="str">
        <x:v>/Users/sadisfaction570/Desktop/Journal 1/NLTL_v2/MVP/INPUTS/DEVELOPMENT_CALIBRATION/BATCH_01_FIRST_50/rdf_fixtures/TRF-023/trf-023_02_fail.ttl</x:v>
      </x:c>
      <x:c r="H54" s="48" t="str">
        <x:v>5822f58161dbddcb39f94a638cd3e3d57a4a5ce5ec04beb8b0e00df4d900e49d</x:v>
      </x:c>
      <x:c r="I54" s="48" t="str">
        <x:v>c441bd10935d4e0e0cbbbce8e76ba86ae611222db00b726102e96ad7e581c249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 ice class IB or IC subject to the 1985 regulations must have maximum continuous rating power in kW at least equal to the required power under the 1985 rules.</x:v>
      </x:c>
    </x:row>
    <x:row r="55">
      <x:c r="A55" s="48" t="str">
        <x:v>BATCH01-R3-LATEST-ACCEPTED-SHAPES</x:v>
      </x:c>
      <x:c r="B55" s="48" t="str">
        <x:v>B01-TRF-023-BOUNDARY</x:v>
      </x:c>
      <x:c r="C55" s="48" t="str">
        <x:v>BOUNDARY</x:v>
      </x:c>
      <x:c r="D55" s="48" t="str">
        <x:v>requirement-development-calibration</x:v>
      </x:c>
      <x:c r="E55" s="48" t="str">
        <x:v>TRF-023</x:v>
      </x:c>
      <x:c r="F55" s="48" t="str">
        <x:v>/Users/sadisfaction570/Desktop/Journal 1/NLTL_v2/MVP/SHACL_GENERATION_PIPELINE/outputs/development_batch01/runs/RUN-TRF-023-20260812T133201884449Z/final/final_shape.ttl</x:v>
      </x:c>
      <x:c r="G55" s="48" t="str">
        <x:v>/Users/sadisfaction570/Desktop/Journal 1/NLTL_v2/MVP/INPUTS/DEVELOPMENT_CALIBRATION/BATCH_01_FIRST_50/rdf_fixtures/TRF-023/trf-023_03_boundary.ttl</x:v>
      </x:c>
      <x:c r="H55" s="48" t="str">
        <x:v>5822f58161dbddcb39f94a638cd3e3d57a4a5ce5ec04beb8b0e00df4d900e49d</x:v>
      </x:c>
      <x:c r="I55" s="48" t="str">
        <x:v>1c8cbf0ab94c4b0b191661a13fcf748cdaa97c355f2a99f4e2906108a0b093de</x:v>
      </x:c>
      <x:c r="J55" s="48" t="str">
        <x:v>TRUE</x:v>
      </x:c>
      <x:c r="K55" s="64" t="str">
        <x:v>TRUE</x:v>
      </x:c>
      <x:c r="L55" s="48" t="str">
        <x:v>TRUE</x:v>
      </x:c>
      <x:c r="M55" s="64" t="str">
        <x:v>TRUE</x:v>
      </x:c>
      <x:c r="N55" s="48" t="str">
        <x:v>TRUE</x:v>
      </x:c>
      <x:c r="O55" s="65" t="n">
        <x:v>2</x:v>
      </x:c>
      <x:c r="P55" s="64" t="n">
        <x:v>314.158</x:v>
      </x:c>
      <x:c r="Q55" s="49" t="str"/>
      <x:c r="R55" s="48" t="str">
        <x:v>Conforms: true</x:v>
      </x:c>
    </x:row>
    <x:row r="56">
      <x:c r="A56" s="48" t="str">
        <x:v>BATCH01-R3-LATEST-ACCEPTED-SHAPES</x:v>
      </x:c>
      <x:c r="B56" s="48" t="str">
        <x:v>B01-TRF-024-PASS</x:v>
      </x:c>
      <x:c r="C56" s="48" t="str">
        <x:v>PASS</x:v>
      </x:c>
      <x:c r="D56" s="48" t="str">
        <x:v>requirement-development-calibration</x:v>
      </x:c>
      <x:c r="E56" s="48" t="str">
        <x:v>TRF-024</x:v>
      </x:c>
      <x:c r="F56" s="48" t="str">
        <x:v>/Users/sadisfaction570/Desktop/Journal 1/NLTL_v2/MVP/SHACL_GENERATION_PIPELINE/outputs/development_batch01/runs/RUN-TRF-024-20260812T153014530439Z/final/final_shape.ttl</x:v>
      </x:c>
      <x:c r="G56" s="48" t="str">
        <x:v>/Users/sadisfaction570/Desktop/Journal 1/NLTL_v2/MVP/INPUTS/DEVELOPMENT_CALIBRATION/BATCH_01_FIRST_50/rdf_fixtures/TRF-024/trf-024_01_pass.ttl</x:v>
      </x:c>
      <x:c r="H56" s="48" t="str">
        <x:v>ce2350f636d5bce7ef98ef17df3538db28378e20a37da3e1de24ac740ba3e24b</x:v>
      </x:c>
      <x:c r="I56" s="48" t="str">
        <x:v>be92c7ee865f41a8163fdd813bde89b8cdbbe18726b25aff30ca9638109c4a6c</x:v>
      </x:c>
      <x:c r="J56" s="48" t="str">
        <x:v>TRUE</x:v>
      </x:c>
      <x:c r="K56" s="64" t="str">
        <x:v>TRUE</x:v>
      </x:c>
      <x:c r="L56" s="48" t="str">
        <x:v>TRUE</x:v>
      </x:c>
      <x:c r="M56" s="64" t="str">
        <x:v>TRUE</x:v>
      </x:c>
      <x:c r="N56" s="48" t="str">
        <x:v>TRUE</x:v>
      </x:c>
      <x:c r="O56" s="65" t="n">
        <x:v>2</x:v>
      </x:c>
      <x:c r="P56" s="64" t="n">
        <x:v>371.605</x:v>
      </x:c>
      <x:c r="Q56" s="49" t="str"/>
      <x:c r="R56" s="48" t="str">
        <x:v>Conforms: true</x:v>
      </x:c>
    </x:row>
    <x:row r="57">
      <x:c r="A57" s="48" t="str">
        <x:v>BATCH01-R3-LATEST-ACCEPTED-SHAPES</x:v>
      </x:c>
      <x:c r="B57" s="48" t="str">
        <x:v>B01-TRF-024-FAIL</x:v>
      </x:c>
      <x:c r="C57" s="48" t="str">
        <x:v>FAIL</x:v>
      </x:c>
      <x:c r="D57" s="48" t="str">
        <x:v>requirement-development-calibration</x:v>
      </x:c>
      <x:c r="E57" s="48" t="str">
        <x:v>TRF-024</x:v>
      </x:c>
      <x:c r="F57" s="48" t="str">
        <x:v>/Users/sadisfaction570/Desktop/Journal 1/NLTL_v2/MVP/SHACL_GENERATION_PIPELINE/outputs/development_batch01/runs/RUN-TRF-024-20260812T153014530439Z/final/final_shape.ttl</x:v>
      </x:c>
      <x:c r="G57" s="48" t="str">
        <x:v>/Users/sadisfaction570/Desktop/Journal 1/NLTL_v2/MVP/INPUTS/DEVELOPMENT_CALIBRATION/BATCH_01_FIRST_50/rdf_fixtures/TRF-024/trf-024_02_fail.ttl</x:v>
      </x:c>
      <x:c r="H57" s="48" t="str">
        <x:v>ce2350f636d5bce7ef98ef17df3538db28378e20a37da3e1de24ac740ba3e24b</x:v>
      </x:c>
      <x:c r="I57" s="48" t="str">
        <x:v>b2669401b3e7ff4c4c3c7563035af1212289ba5dcddfb488b82dee8a9fca52d6</x:v>
      </x:c>
      <x:c r="J57" s="48" t="str">
        <x:v>TRUE</x:v>
      </x:c>
      <x:c r="K57" s="64" t="str">
        <x:v>FALSE</x:v>
      </x:c>
      <x:c r="L57" s="48" t="str">
        <x:v>TRUE</x:v>
      </x:c>
      <x:c r="M57" s="64" t="str">
        <x:v>TRUE</x:v>
      </x:c>
      <x:c r="N57" s="48" t="str">
        <x:v>FALSE</x:v>
      </x:c>
      <x:c r="O57" s="65" t="n">
        <x:v>2</x:v>
      </x:c>
      <x:c r="P57" s="64" t="n">
        <x:v>337.413</x:v>
      </x:c>
      <x:c r="Q57" s="49" t="str"/>
      <x:c r="R57" s="48" t="str">
        <x:v>Conforms: true</x:v>
      </x:c>
    </x:row>
    <x:row r="58">
      <x:c r="A58" s="48" t="str">
        <x:v>BATCH01-R3-LATEST-ACCEPTED-SHAPES</x:v>
      </x:c>
      <x:c r="B58" s="48" t="str">
        <x:v>B01-TRF-024-BOUNDARY</x:v>
      </x:c>
      <x:c r="C58" s="48" t="str">
        <x:v>BOUNDARY</x:v>
      </x:c>
      <x:c r="D58" s="48" t="str">
        <x:v>requirement-development-calibration</x:v>
      </x:c>
      <x:c r="E58" s="48" t="str">
        <x:v>TRF-024</x:v>
      </x:c>
      <x:c r="F58" s="48" t="str">
        <x:v>/Users/sadisfaction570/Desktop/Journal 1/NLTL_v2/MVP/SHACL_GENERATION_PIPELINE/outputs/development_batch01/runs/RUN-TRF-024-20260812T153014530439Z/final/final_shape.ttl</x:v>
      </x:c>
      <x:c r="G58" s="48" t="str">
        <x:v>/Users/sadisfaction570/Desktop/Journal 1/NLTL_v2/MVP/INPUTS/DEVELOPMENT_CALIBRATION/BATCH_01_FIRST_50/rdf_fixtures/TRF-024/trf-024_03_boundary.ttl</x:v>
      </x:c>
      <x:c r="H58" s="48" t="str">
        <x:v>ce2350f636d5bce7ef98ef17df3538db28378e20a37da3e1de24ac740ba3e24b</x:v>
      </x:c>
      <x:c r="I58" s="48" t="str">
        <x:v>d560aaf425b5be78e708d5f4a47901a26e475d273409a6949fd661dd2d3c76b3</x:v>
      </x:c>
      <x:c r="J58" s="48" t="str">
        <x:v>TRUE</x:v>
      </x:c>
      <x:c r="K58" s="64" t="str">
        <x:v>TRUE</x:v>
      </x:c>
      <x:c r="L58" s="48" t="str">
        <x:v>TRUE</x:v>
      </x:c>
      <x:c r="M58" s="64" t="str">
        <x:v>TRUE</x:v>
      </x:c>
      <x:c r="N58" s="48" t="str">
        <x:v>TRUE</x:v>
      </x:c>
      <x:c r="O58" s="65" t="n">
        <x:v>2</x:v>
      </x:c>
      <x:c r="P58" s="64" t="n">
        <x:v>333.076</x:v>
      </x:c>
      <x:c r="Q58" s="49" t="str"/>
      <x:c r="R58" s="48" t="str">
        <x:v>Conforms: true</x:v>
      </x:c>
    </x:row>
    <x:row r="59">
      <x:c r="A59" s="48" t="str">
        <x:v>BATCH01-R3-LATEST-ACCEPTED-SHAPES</x:v>
      </x:c>
      <x:c r="B59" s="48" t="str">
        <x:v>B01-TRF-025-PASS</x:v>
      </x:c>
      <x:c r="C59" s="48" t="str">
        <x:v>PASS</x:v>
      </x:c>
      <x:c r="D59" s="48" t="str">
        <x:v>requirement-development-calibration</x:v>
      </x:c>
      <x:c r="E59" s="48" t="str">
        <x:v>TRF-025</x:v>
      </x:c>
      <x:c r="F59" s="48" t="str">
        <x:v>/Users/sadisfaction570/Desktop/Journal 1/NLTL_v2/MVP/SHACL_GENERATION_PIPELINE/outputs/development_batch01/runs/RUN-TRF-025-20260812T153109257258Z/final/final_shape.ttl</x:v>
      </x:c>
      <x:c r="G59" s="48" t="str">
        <x:v>/Users/sadisfaction570/Desktop/Journal 1/NLTL_v2/MVP/INPUTS/DEVELOPMENT_CALIBRATION/BATCH_01_FIRST_50/rdf_fixtures/TRF-025/trf-025_01_pass.ttl</x:v>
      </x:c>
      <x:c r="H59" s="48" t="str">
        <x:v>cca1815150543d828f28001e33be16e9dfe2c986ebc9d1cea22388b28db45ab0</x:v>
      </x:c>
      <x:c r="I59" s="48" t="str">
        <x:v>7dce2529e6b9ee37d51cc12eb649d39f79a1d289fc0982dbae63e7f4d55f8228</x:v>
      </x:c>
      <x:c r="J59" s="48" t="str">
        <x:v>TRUE</x:v>
      </x:c>
      <x:c r="K59" s="64" t="str">
        <x:v>TRUE</x:v>
      </x:c>
      <x:c r="L59" s="48" t="str">
        <x:v>TRUE</x:v>
      </x:c>
      <x:c r="M59" s="64" t="str">
        <x:v>FALSE</x:v>
      </x:c>
      <x:c r="N59" s="48" t="str">
        <x:v>FALSE</x:v>
      </x:c>
      <x:c r="O59" s="65" t="n">
        <x:v>35</x:v>
      </x:c>
      <x:c r="P59" s="64" t="n">
        <x:v>409.788</x:v>
      </x:c>
      <x:c r="Q59" s="49" t="str"/>
      <x:c r="R59" s="48" t="str">
        <x:v>Conforms: false | C2 must equal 3.52*(g1+g2*B)+g3*(1+1.2*T/B)*B^2/sqrt(L).</x:v>
      </x:c>
    </x:row>
    <x:row r="60">
      <x:c r="A60" s="48" t="str">
        <x:v>BATCH01-R3-LATEST-ACCEPTED-SHAPES</x:v>
      </x:c>
      <x:c r="B60" s="48" t="str">
        <x:v>B01-TRF-025-FAIL</x:v>
      </x:c>
      <x:c r="C60" s="48" t="str">
        <x:v>FAIL</x:v>
      </x:c>
      <x:c r="D60" s="48" t="str">
        <x:v>requirement-development-calibration</x:v>
      </x:c>
      <x:c r="E60" s="48" t="str">
        <x:v>TRF-025</x:v>
      </x:c>
      <x:c r="F60" s="48" t="str">
        <x:v>/Users/sadisfaction570/Desktop/Journal 1/NLTL_v2/MVP/SHACL_GENERATION_PIPELINE/outputs/development_batch01/runs/RUN-TRF-025-20260812T153109257258Z/final/final_shape.ttl</x:v>
      </x:c>
      <x:c r="G60" s="48" t="str">
        <x:v>/Users/sadisfaction570/Desktop/Journal 1/NLTL_v2/MVP/INPUTS/DEVELOPMENT_CALIBRATION/BATCH_01_FIRST_50/rdf_fixtures/TRF-025/trf-025_02_fail.ttl</x:v>
      </x:c>
      <x:c r="H60" s="48" t="str">
        <x:v>cca1815150543d828f28001e33be16e9dfe2c986ebc9d1cea22388b28db45ab0</x:v>
      </x:c>
      <x:c r="I60" s="48" t="str">
        <x:v>e83b3a175531fed9a834b462ab26504ae9889851c70b02020dbb5c972565b517</x:v>
      </x:c>
      <x:c r="J60" s="48" t="str">
        <x:v>TRUE</x:v>
      </x:c>
      <x:c r="K60" s="64" t="str">
        <x:v>FALSE</x:v>
      </x:c>
      <x:c r="L60" s="48" t="str">
        <x:v>TRUE</x:v>
      </x:c>
      <x:c r="M60" s="64" t="str">
        <x:v>FALSE</x:v>
      </x:c>
      <x:c r="N60" s="48" t="str">
        <x:v>TRUE</x:v>
      </x:c>
      <x:c r="O60" s="65" t="n">
        <x:v>35</x:v>
      </x:c>
      <x:c r="P60" s="64" t="n">
        <x:v>450.464</x:v>
      </x:c>
      <x:c r="Q60" s="49" t="str"/>
      <x:c r="R60" s="48" t="str">
        <x:v>Conforms: false | C2 must equal 3.52*(g1+g2*B)+g3*(1+1.2*T/B)*B^2/sqrt(L).</x:v>
      </x:c>
    </x:row>
    <x:row r="61">
      <x:c r="A61" s="48" t="str">
        <x:v>BATCH01-R3-LATEST-ACCEPTED-SHAPES</x:v>
      </x:c>
      <x:c r="B61" s="48" t="str">
        <x:v>B01-TRF-025-BOUNDARY</x:v>
      </x:c>
      <x:c r="C61" s="48" t="str">
        <x:v>BOUNDARY</x:v>
      </x:c>
      <x:c r="D61" s="48" t="str">
        <x:v>requirement-development-calibration</x:v>
      </x:c>
      <x:c r="E61" s="48" t="str">
        <x:v>TRF-025</x:v>
      </x:c>
      <x:c r="F61" s="48" t="str">
        <x:v>/Users/sadisfaction570/Desktop/Journal 1/NLTL_v2/MVP/SHACL_GENERATION_PIPELINE/outputs/development_batch01/runs/RUN-TRF-025-20260812T153109257258Z/final/final_shape.ttl</x:v>
      </x:c>
      <x:c r="G61" s="48" t="str">
        <x:v>/Users/sadisfaction570/Desktop/Journal 1/NLTL_v2/MVP/INPUTS/DEVELOPMENT_CALIBRATION/BATCH_01_FIRST_50/rdf_fixtures/TRF-025/trf-025_03_boundary.ttl</x:v>
      </x:c>
      <x:c r="H61" s="48" t="str">
        <x:v>cca1815150543d828f28001e33be16e9dfe2c986ebc9d1cea22388b28db45ab0</x:v>
      </x:c>
      <x:c r="I61" s="48" t="str">
        <x:v>6924695c108fdd0037fe497a366298c210c9dc64766f4eb0f4db352a439d56d2</x:v>
      </x:c>
      <x:c r="J61" s="48" t="str">
        <x:v>TRUE</x:v>
      </x:c>
      <x:c r="K61" s="64" t="str">
        <x:v>TRUE</x:v>
      </x:c>
      <x:c r="L61" s="48" t="str">
        <x:v>TRUE</x:v>
      </x:c>
      <x:c r="M61" s="64" t="str">
        <x:v>FALSE</x:v>
      </x:c>
      <x:c r="N61" s="48" t="str">
        <x:v>FALSE</x:v>
      </x:c>
      <x:c r="O61" s="65" t="n">
        <x:v>35</x:v>
      </x:c>
      <x:c r="P61" s="64" t="n">
        <x:v>420.566</x:v>
      </x:c>
      <x:c r="Q61" s="49" t="str"/>
      <x:c r="R61" s="48" t="str">
        <x:v>Conforms: false | C2 must equal 3.52*(g1+g2*B)+g3*(1+1.2*T/B)*B^2/sqrt(L).</x:v>
      </x:c>
    </x:row>
    <x:row r="62">
      <x:c r="A62" s="48" t="str">
        <x:v>BATCH01-R3-LATEST-ACCEPTED-SHAPES</x:v>
      </x:c>
      <x:c r="B62" s="48" t="str">
        <x:v>B01-TRF-026-PASS</x:v>
      </x:c>
      <x:c r="C62" s="48" t="str">
        <x:v>PASS</x:v>
      </x:c>
      <x:c r="D62" s="48" t="str">
        <x:v>requirement-development-calibration</x:v>
      </x:c>
      <x:c r="E62" s="48" t="str">
        <x:v>TRF-026</x:v>
      </x:c>
      <x:c r="F62" s="48" t="str">
        <x:v>/Users/sadisfaction570/Desktop/Journal 1/NLTL_v2/MVP/SHACL_GENERATION_PIPELINE/outputs/development_batch01/runs/RUN-TRF-026-20260812T153331017086Z/final/final_shape.ttl</x:v>
      </x:c>
      <x:c r="G62" s="48" t="str">
        <x:v>/Users/sadisfaction570/Desktop/Journal 1/NLTL_v2/MVP/INPUTS/DEVELOPMENT_CALIBRATION/BATCH_01_FIRST_50/rdf_fixtures/TRF-026/trf-026_01_pass.ttl</x:v>
      </x:c>
      <x:c r="H62" s="48" t="str">
        <x:v>a6141dfab5e0ec6eac077169452c97f0ee9035b75a1bb98dfc17f0f26d6ec9fa</x:v>
      </x:c>
      <x:c r="I62" s="48" t="str">
        <x:v>99e67a52a8f7065c2ce9b9945cd7779161ab036ff51e33aa4406f929b221c207</x:v>
      </x:c>
      <x:c r="J62" s="48" t="str">
        <x:v>TRUE</x:v>
      </x:c>
      <x:c r="K62" s="64" t="str">
        <x:v>TRUE</x:v>
      </x:c>
      <x:c r="L62" s="48" t="str">
        <x:v>TRUE</x:v>
      </x:c>
      <x:c r="M62" s="64" t="str">
        <x:v>FALSE</x:v>
      </x:c>
      <x:c r="N62" s="48" t="str">
        <x:v>FALSE</x:v>
      </x:c>
      <x:c r="O62" s="65" t="n">
        <x:v>13</x:v>
      </x:c>
      <x:c r="P62" s="64" t="n">
        <x:v>418.94</x:v>
      </x:c>
      <x:c r="Q62" s="49" t="str"/>
      <x:c r="R62" s="48" t="str">
        <x:v>Conforms: false | An IA Super ship with a bulbous bow must provide decimal quantity values in the required units for C1, C2, f1-f4, g1-g3, breadth, length, and ice-class draught.</x:v>
      </x:c>
    </x:row>
    <x:row r="63">
      <x:c r="A63" s="48" t="str">
        <x:v>BATCH01-R3-LATEST-ACCEPTED-SHAPES</x:v>
      </x:c>
      <x:c r="B63" s="48" t="str">
        <x:v>B01-TRF-026-FAIL</x:v>
      </x:c>
      <x:c r="C63" s="48" t="str">
        <x:v>FAIL</x:v>
      </x:c>
      <x:c r="D63" s="48" t="str">
        <x:v>requirement-development-calibration</x:v>
      </x:c>
      <x:c r="E63" s="48" t="str">
        <x:v>TRF-026</x:v>
      </x:c>
      <x:c r="F63" s="48" t="str">
        <x:v>/Users/sadisfaction570/Desktop/Journal 1/NLTL_v2/MVP/SHACL_GENERATION_PIPELINE/outputs/development_batch01/runs/RUN-TRF-026-20260812T153331017086Z/final/final_shape.ttl</x:v>
      </x:c>
      <x:c r="G63" s="48" t="str">
        <x:v>/Users/sadisfaction570/Desktop/Journal 1/NLTL_v2/MVP/INPUTS/DEVELOPMENT_CALIBRATION/BATCH_01_FIRST_50/rdf_fixtures/TRF-026/trf-026_02_fail.ttl</x:v>
      </x:c>
      <x:c r="H63" s="48" t="str">
        <x:v>a6141dfab5e0ec6eac077169452c97f0ee9035b75a1bb98dfc17f0f26d6ec9fa</x:v>
      </x:c>
      <x:c r="I63" s="48" t="str">
        <x:v>1052dbf25c1fc6d0bdc807d12f85144c761034fdabfae1ea599fd0730b583664</x:v>
      </x:c>
      <x:c r="J63" s="48" t="str">
        <x:v>TRUE</x:v>
      </x:c>
      <x:c r="K63" s="64" t="str">
        <x:v>FALSE</x:v>
      </x:c>
      <x:c r="L63" s="48" t="str">
        <x:v>TRUE</x:v>
      </x:c>
      <x:c r="M63" s="64" t="str">
        <x:v>FALSE</x:v>
      </x:c>
      <x:c r="N63" s="48" t="str">
        <x:v>TRUE</x:v>
      </x:c>
      <x:c r="O63" s="65" t="n">
        <x:v>13</x:v>
      </x:c>
      <x:c r="P63" s="64" t="n">
        <x:v>453.54</x:v>
      </x:c>
      <x:c r="Q63" s="49" t="str"/>
      <x:c r="R63" s="48" t="str">
        <x:v>Conforms: false | An IA Super ship with a bulbous bow must provide decimal quantity values in the required units for C1, C2, f1-f4, g1-g3, breadth, length, and ice-class draught.</x:v>
      </x:c>
    </x:row>
    <x:row r="64">
      <x:c r="A64" s="48" t="str">
        <x:v>BATCH01-R3-LATEST-ACCEPTED-SHAPES</x:v>
      </x:c>
      <x:c r="B64" s="48" t="str">
        <x:v>B01-TRF-026-BOUNDARY</x:v>
      </x:c>
      <x:c r="C64" s="48" t="str">
        <x:v>BOUNDARY</x:v>
      </x:c>
      <x:c r="D64" s="48" t="str">
        <x:v>requirement-development-calibration</x:v>
      </x:c>
      <x:c r="E64" s="48" t="str">
        <x:v>TRF-026</x:v>
      </x:c>
      <x:c r="F64" s="48" t="str">
        <x:v>/Users/sadisfaction570/Desktop/Journal 1/NLTL_v2/MVP/SHACL_GENERATION_PIPELINE/outputs/development_batch01/runs/RUN-TRF-026-20260812T153331017086Z/final/final_shape.ttl</x:v>
      </x:c>
      <x:c r="G64" s="48" t="str">
        <x:v>/Users/sadisfaction570/Desktop/Journal 1/NLTL_v2/MVP/INPUTS/DEVELOPMENT_CALIBRATION/BATCH_01_FIRST_50/rdf_fixtures/TRF-026/trf-026_03_boundary.ttl</x:v>
      </x:c>
      <x:c r="H64" s="48" t="str">
        <x:v>a6141dfab5e0ec6eac077169452c97f0ee9035b75a1bb98dfc17f0f26d6ec9fa</x:v>
      </x:c>
      <x:c r="I64" s="48" t="str">
        <x:v>ad708908e5a1b88ccc205d1b6a6fb82532057fa0fa3209f02b75360a4dcd741d</x:v>
      </x:c>
      <x:c r="J64" s="48" t="str">
        <x:v>TRUE</x:v>
      </x:c>
      <x:c r="K64" s="64" t="str">
        <x:v>TRUE</x:v>
      </x:c>
      <x:c r="L64" s="48" t="str">
        <x:v>TRUE</x:v>
      </x:c>
      <x:c r="M64" s="64" t="str">
        <x:v>FALSE</x:v>
      </x:c>
      <x:c r="N64" s="48" t="str">
        <x:v>FALSE</x:v>
      </x:c>
      <x:c r="O64" s="65" t="n">
        <x:v>13</x:v>
      </x:c>
      <x:c r="P64" s="64" t="n">
        <x:v>418.517</x:v>
      </x:c>
      <x:c r="Q64" s="49" t="str"/>
      <x:c r="R64" s="48" t="str">
        <x:v>Conforms: false | An IA Super ship with a bulbous bow must provide decimal quantity values in the required units for C1, C2, f1-f4, g1-g3, breadth, length, and ice-class draught.</x:v>
      </x:c>
    </x:row>
    <x:row r="65">
      <x:c r="A65" s="48" t="str">
        <x:v>BATCH01-R3-LATEST-ACCEPTED-SHAPES</x:v>
      </x:c>
      <x:c r="B65" s="48" t="str">
        <x:v>B01-TRF-030-PASS</x:v>
      </x:c>
      <x:c r="C65" s="48" t="str">
        <x:v>PASS</x:v>
      </x:c>
      <x:c r="D65" s="48" t="str">
        <x:v>requirement-development-calibration</x:v>
      </x:c>
      <x:c r="E65" s="48" t="str">
        <x:v>TRF-030</x:v>
      </x:c>
      <x:c r="F65" s="48" t="str">
        <x:v>/Users/sadisfaction570/Desktop/Journal 1/NLTL_v2/MVP/SHACL_GENERATION_PIPELINE/outputs/development_batch01/runs/RUN-TRF-030-20260812T153726073106Z/final/final_shape.ttl</x:v>
      </x:c>
      <x:c r="G65" s="48" t="str">
        <x:v>/Users/sadisfaction570/Desktop/Journal 1/NLTL_v2/MVP/INPUTS/DEVELOPMENT_CALIBRATION/BATCH_01_FIRST_50/rdf_fixtures/TRF-030/trf-030_01_pass.ttl</x:v>
      </x:c>
      <x:c r="H65" s="48" t="str">
        <x:v>57acedce49c7c86e18c18487eb507efb59cca92649b05286a0b367b267d66442</x:v>
      </x:c>
      <x:c r="I65" s="48" t="str">
        <x:v>455a147d5973bc72ac8d155e993989a8a52b4c69ef18b580d805f301d989aef9</x:v>
      </x:c>
      <x:c r="J65" s="48" t="str">
        <x:v>TRUE</x:v>
      </x:c>
      <x:c r="K65" s="64" t="str">
        <x:v>TRUE</x:v>
      </x:c>
      <x:c r="L65" s="48" t="str">
        <x:v>TRUE</x:v>
      </x:c>
      <x:c r="M65" s="64" t="str">
        <x:v>FALSE</x:v>
      </x:c>
      <x:c r="N65" s="48" t="str">
        <x:v>FALSE</x:v>
      </x:c>
      <x:c r="O65" s="65" t="n">
        <x:v>78</x:v>
      </x:c>
      <x:c r="P65" s="64" t="n">
        <x:v>469.718</x:v>
      </x:c>
      <x:c r="Q65" s="49" t="str"/>
      <x:c r="R65" s="48" t="str">
        <x:v>Conforms: false | At least two typed intermediate direct-analysis cases at distinct vertical positions are required.</x:v>
      </x:c>
    </x:row>
    <x:row r="66">
      <x:c r="A66" s="48" t="str">
        <x:v>BATCH01-R3-LATEST-ACCEPTED-SHAPES</x:v>
      </x:c>
      <x:c r="B66" s="48" t="str">
        <x:v>B01-TRF-030-FAIL</x:v>
      </x:c>
      <x:c r="C66" s="48" t="str">
        <x:v>FAIL</x:v>
      </x:c>
      <x:c r="D66" s="48" t="str">
        <x:v>requirement-development-calibration</x:v>
      </x:c>
      <x:c r="E66" s="48" t="str">
        <x:v>TRF-030</x:v>
      </x:c>
      <x:c r="F66" s="48" t="str">
        <x:v>/Users/sadisfaction570/Desktop/Journal 1/NLTL_v2/MVP/SHACL_GENERATION_PIPELINE/outputs/development_batch01/runs/RUN-TRF-030-20260812T153726073106Z/final/final_shape.ttl</x:v>
      </x:c>
      <x:c r="G66" s="48" t="str">
        <x:v>/Users/sadisfaction570/Desktop/Journal 1/NLTL_v2/MVP/INPUTS/DEVELOPMENT_CALIBRATION/BATCH_01_FIRST_50/rdf_fixtures/TRF-030/trf-030_02_fail.ttl</x:v>
      </x:c>
      <x:c r="H66" s="48" t="str">
        <x:v>57acedce49c7c86e18c18487eb507efb59cca92649b05286a0b367b267d66442</x:v>
      </x:c>
      <x:c r="I66" s="48" t="str">
        <x:v>fc83d99adb50992f13db6f34d530c4dc51d0a9f1e0c42084497505cf07f5ae75</x:v>
      </x:c>
      <x:c r="J66" s="48" t="str">
        <x:v>TRUE</x:v>
      </x:c>
      <x:c r="K66" s="64" t="str">
        <x:v>FALSE</x:v>
      </x:c>
      <x:c r="L66" s="48" t="str">
        <x:v>TRUE</x:v>
      </x:c>
      <x:c r="M66" s="64" t="str">
        <x:v>FALSE</x:v>
      </x:c>
      <x:c r="N66" s="48" t="str">
        <x:v>TRUE</x:v>
      </x:c>
      <x:c r="O66" s="65" t="n">
        <x:v>78</x:v>
      </x:c>
      <x:c r="P66" s="64" t="n">
        <x:v>503.957</x:v>
      </x:c>
      <x:c r="Q66" s="49" t="str"/>
      <x:c r="R66" s="48" t="str">
        <x:v>Conforms: false | At least two typed intermediate direct-analysis cases at distinct vertical positions are required.</x:v>
      </x:c>
    </x:row>
    <x:row r="67">
      <x:c r="A67" s="48" t="str">
        <x:v>BATCH01-R3-LATEST-ACCEPTED-SHAPES</x:v>
      </x:c>
      <x:c r="B67" s="48" t="str">
        <x:v>B01-TRF-030-BOUNDARY</x:v>
      </x:c>
      <x:c r="C67" s="48" t="str">
        <x:v>BOUNDARY</x:v>
      </x:c>
      <x:c r="D67" s="48" t="str">
        <x:v>requirement-development-calibration</x:v>
      </x:c>
      <x:c r="E67" s="48" t="str">
        <x:v>TRF-030</x:v>
      </x:c>
      <x:c r="F67" s="48" t="str">
        <x:v>/Users/sadisfaction570/Desktop/Journal 1/NLTL_v2/MVP/SHACL_GENERATION_PIPELINE/outputs/development_batch01/runs/RUN-TRF-030-20260812T153726073106Z/final/final_shape.ttl</x:v>
      </x:c>
      <x:c r="G67" s="48" t="str">
        <x:v>/Users/sadisfaction570/Desktop/Journal 1/NLTL_v2/MVP/INPUTS/DEVELOPMENT_CALIBRATION/BATCH_01_FIRST_50/rdf_fixtures/TRF-030/trf-030_03_boundary.ttl</x:v>
      </x:c>
      <x:c r="H67" s="48" t="str">
        <x:v>57acedce49c7c86e18c18487eb507efb59cca92649b05286a0b367b267d66442</x:v>
      </x:c>
      <x:c r="I67" s="48" t="str">
        <x:v>3ea5781c032d7bd8f7924f5af8cbe736ed6570eb4565c67dbae6d1d2966cb913</x:v>
      </x:c>
      <x:c r="J67" s="48" t="str">
        <x:v>TRUE</x:v>
      </x:c>
      <x:c r="K67" s="64" t="str">
        <x:v>TRUE</x:v>
      </x:c>
      <x:c r="L67" s="48" t="str">
        <x:v>TRUE</x:v>
      </x:c>
      <x:c r="M67" s="64" t="str">
        <x:v>FALSE</x:v>
      </x:c>
      <x:c r="N67" s="48" t="str">
        <x:v>FALSE</x:v>
      </x:c>
      <x:c r="O67" s="65" t="n">
        <x:v>78</x:v>
      </x:c>
      <x:c r="P67" s="64" t="n">
        <x:v>476.013</x:v>
      </x:c>
      <x:c r="Q67" s="49" t="str"/>
      <x:c r="R67" s="48" t="str">
        <x:v>Conforms: false | At least two typed intermediate direct-analysis cases at distinct vertical positions are required.</x:v>
      </x:c>
    </x:row>
    <x:row r="68">
      <x:c r="A68" s="48" t="str">
        <x:v>BATCH01-R3-LATEST-ACCEPTED-SHAPES</x:v>
      </x:c>
      <x:c r="B68" s="48" t="str">
        <x:v>B01-TRF-031-PASS</x:v>
      </x:c>
      <x:c r="C68" s="48" t="str">
        <x:v>PASS</x:v>
      </x:c>
      <x:c r="D68" s="48" t="str">
        <x:v>requirement-development-calibration</x:v>
      </x:c>
      <x:c r="E68" s="48" t="str">
        <x:v>TRF-031</x:v>
      </x:c>
      <x:c r="F68" s="48" t="str">
        <x:v>/Users/sadisfaction570/Desktop/Journal 1/NLTL_v2/MVP/SHACL_GENERATION_PIPELINE/outputs/development_batch01/runs/RUN-TRF-031-20260812T134641365802Z/final/final_shape.ttl</x:v>
      </x:c>
      <x:c r="G68" s="48" t="str">
        <x:v>/Users/sadisfaction570/Desktop/Journal 1/NLTL_v2/MVP/INPUTS/DEVELOPMENT_CALIBRATION/BATCH_01_FIRST_50/rdf_fixtures/TRF-031/trf-031_01_pass.ttl</x:v>
      </x:c>
      <x:c r="H68" s="48" t="str">
        <x:v>4f144c63c17e35f3b4c0a59adfdac819cb0b6b7c7e359221fcc5d51b2af2e583</x:v>
      </x:c>
      <x:c r="I68" s="48" t="str">
        <x:v>cb8bc6fa6715094c26cd7ab7e0bdd114e0f16278a1ebb5623af8322c13ce4f48</x:v>
      </x:c>
      <x:c r="J68" s="48" t="str">
        <x:v>TRUE</x:v>
      </x:c>
      <x:c r="K68" s="64" t="str">
        <x:v>TRUE</x:v>
      </x:c>
      <x:c r="L68" s="48" t="str">
        <x:v>TRUE</x:v>
      </x:c>
      <x:c r="M68" s="64" t="str">
        <x:v>TRUE</x:v>
      </x:c>
      <x:c r="N68" s="48" t="str">
        <x:v>TRUE</x:v>
      </x:c>
      <x:c r="O68" s="65" t="n">
        <x:v>2</x:v>
      </x:c>
      <x:c r="P68" s="64" t="n">
        <x:v>382.717</x:v>
      </x:c>
      <x:c r="Q68" s="49" t="str"/>
      <x:c r="R68" s="48" t="str">
        <x:v>Conforms: true</x:v>
      </x:c>
    </x:row>
    <x:row r="69">
      <x:c r="A69" s="48" t="str">
        <x:v>BATCH01-R3-LATEST-ACCEPTED-SHAPES</x:v>
      </x:c>
      <x:c r="B69" s="48" t="str">
        <x:v>B01-TRF-031-FAIL</x:v>
      </x:c>
      <x:c r="C69" s="48" t="str">
        <x:v>FAIL</x:v>
      </x:c>
      <x:c r="D69" s="48" t="str">
        <x:v>requirement-development-calibration</x:v>
      </x:c>
      <x:c r="E69" s="48" t="str">
        <x:v>TRF-031</x:v>
      </x:c>
      <x:c r="F69" s="48" t="str">
        <x:v>/Users/sadisfaction570/Desktop/Journal 1/NLTL_v2/MVP/SHACL_GENERATION_PIPELINE/outputs/development_batch01/runs/RUN-TRF-031-20260812T134641365802Z/final/final_shape.ttl</x:v>
      </x:c>
      <x:c r="G69" s="48" t="str">
        <x:v>/Users/sadisfaction570/Desktop/Journal 1/NLTL_v2/MVP/INPUTS/DEVELOPMENT_CALIBRATION/BATCH_01_FIRST_50/rdf_fixtures/TRF-031/trf-031_02_fail.ttl</x:v>
      </x:c>
      <x:c r="H69" s="48" t="str">
        <x:v>4f144c63c17e35f3b4c0a59adfdac819cb0b6b7c7e359221fcc5d51b2af2e583</x:v>
      </x:c>
      <x:c r="I69" s="48" t="str">
        <x:v>dd43b70f20d849ac320c3c635f6f0d95ee31d5f41cb6118fab5417694bad21f9</x:v>
      </x:c>
      <x:c r="J69" s="48" t="str">
        <x:v>TRUE</x:v>
      </x:c>
      <x:c r="K69" s="64" t="str">
        <x:v>FALSE</x:v>
      </x:c>
      <x:c r="L69" s="48" t="str">
        <x:v>TRUE</x:v>
      </x:c>
      <x:c r="M69" s="64" t="str">
        <x:v>FALSE</x:v>
      </x:c>
      <x:c r="N69" s="48" t="str">
        <x:v>TRUE</x:v>
      </x:c>
      <x:c r="O69" s="65" t="n">
        <x:v>13</x:v>
      </x:c>
      <x:c r="P69" s="64" t="n">
        <x:v>386.407</x:v>
      </x:c>
      <x:c r="Q69" s="49" t="str"/>
      <x:c r="R69" s="48" t="str">
        <x:v>Conforms: false | Combined bending and shear stress must be strictly lower than the yield point when Von Mises criterion evidence is supplied.</x:v>
      </x:c>
    </x:row>
    <x:row r="70">
      <x:c r="A70" s="48" t="str">
        <x:v>BATCH01-R3-LATEST-ACCEPTED-SHAPES</x:v>
      </x:c>
      <x:c r="B70" s="48" t="str">
        <x:v>B01-TRF-031-BOUNDARY</x:v>
      </x:c>
      <x:c r="C70" s="48" t="str">
        <x:v>BOUNDARY</x:v>
      </x:c>
      <x:c r="D70" s="48" t="str">
        <x:v>requirement-development-calibration</x:v>
      </x:c>
      <x:c r="E70" s="48" t="str">
        <x:v>TRF-031</x:v>
      </x:c>
      <x:c r="F70" s="48" t="str">
        <x:v>/Users/sadisfaction570/Desktop/Journal 1/NLTL_v2/MVP/SHACL_GENERATION_PIPELINE/outputs/development_batch01/runs/RUN-TRF-031-20260812T134641365802Z/final/final_shape.ttl</x:v>
      </x:c>
      <x:c r="G70" s="48" t="str">
        <x:v>/Users/sadisfaction570/Desktop/Journal 1/NLTL_v2/MVP/INPUTS/DEVELOPMENT_CALIBRATION/BATCH_01_FIRST_50/rdf_fixtures/TRF-031/trf-031_03_boundary.ttl</x:v>
      </x:c>
      <x:c r="H70" s="48" t="str">
        <x:v>4f144c63c17e35f3b4c0a59adfdac819cb0b6b7c7e359221fcc5d51b2af2e583</x:v>
      </x:c>
      <x:c r="I70" s="48" t="str">
        <x:v>b86aa8cd6df59464ee8eda6b76928b3c07859674a63d7ac9aa894f7b2f11410f</x:v>
      </x:c>
      <x:c r="J70" s="48" t="str">
        <x:v>TRUE</x:v>
      </x:c>
      <x:c r="K70" s="64" t="str">
        <x:v>TRUE</x:v>
      </x:c>
      <x:c r="L70" s="48" t="str">
        <x:v>TRUE</x:v>
      </x:c>
      <x:c r="M70" s="64" t="str">
        <x:v>TRUE</x:v>
      </x:c>
      <x:c r="N70" s="48" t="str">
        <x:v>TRUE</x:v>
      </x:c>
      <x:c r="O70" s="65" t="n">
        <x:v>2</x:v>
      </x:c>
      <x:c r="P70" s="64" t="n">
        <x:v>383.29</x:v>
      </x:c>
      <x:c r="Q70" s="49" t="str"/>
      <x:c r="R70" s="48" t="str">
        <x:v>Conforms: true</x:v>
      </x:c>
    </x:row>
    <x:row r="71">
      <x:c r="A71" s="48" t="str">
        <x:v>BATCH01-R3-LATEST-ACCEPTED-SHAPES</x:v>
      </x:c>
      <x:c r="B71" s="48" t="str">
        <x:v>B01-TRF-032-PASS</x:v>
      </x:c>
      <x:c r="C71" s="48" t="str">
        <x:v>PASS</x:v>
      </x:c>
      <x:c r="D71" s="48" t="str">
        <x:v>requirement-development-calibration</x:v>
      </x:c>
      <x:c r="E71" s="48" t="str">
        <x:v>TRF-032</x:v>
      </x:c>
      <x:c r="F71" s="48" t="str">
        <x:v>/Users/sadisfaction570/Desktop/Journal 1/NLTL_v2/MVP/SHACL_GENERATION_PIPELINE/outputs/development_batch01/runs/RUN-TRF-032-20260812T154132954458Z/final/final_shape.ttl</x:v>
      </x:c>
      <x:c r="G71" s="48" t="str">
        <x:v>/Users/sadisfaction570/Desktop/Journal 1/NLTL_v2/MVP/INPUTS/DEVELOPMENT_CALIBRATION/BATCH_01_FIRST_50/rdf_fixtures/TRF-032/trf-032_01_pass.ttl</x:v>
      </x:c>
      <x:c r="H71" s="48" t="str">
        <x:v>3d4353961a9fdffdd1586ddf9cf81f72d97d4b7f4795844b8815858f81759dbd</x:v>
      </x:c>
      <x:c r="I71" s="48" t="str">
        <x:v>55eb07ab0fe49aed8deb500e1d8d175964bdd389ff2b7ac624906a3d0eacfd45</x:v>
      </x:c>
      <x:c r="J71" s="48" t="str">
        <x:v>TRUE</x:v>
      </x:c>
      <x:c r="K71" s="64" t="str">
        <x:v>TRUE</x:v>
      </x:c>
      <x:c r="L71" s="48" t="str">
        <x:v>TRUE</x:v>
      </x:c>
      <x:c r="M71" s="64" t="str">
        <x:v>FALSE</x:v>
      </x:c>
      <x:c r="N71" s="48" t="str">
        <x:v>FALSE</x:v>
      </x:c>
      <x:c r="O71" s="65" t="n">
        <x:v>14</x:v>
      </x:c>
      <x:c r="P71" s="64" t="n">
        <x:v>322.881</x:v>
      </x:c>
      <x:c r="Q71" s="49" t="str"/>
      <x:c r="R71" s="48" t="str">
        <x:v>Conforms: false | Regulation and classification-society scantlings must provide comparable decimal quantity values in the same unit.</x:v>
      </x:c>
    </x:row>
    <x:row r="72">
      <x:c r="A72" s="48" t="str">
        <x:v>BATCH01-R3-LATEST-ACCEPTED-SHAPES</x:v>
      </x:c>
      <x:c r="B72" s="48" t="str">
        <x:v>B01-TRF-032-FAIL</x:v>
      </x:c>
      <x:c r="C72" s="48" t="str">
        <x:v>FAIL</x:v>
      </x:c>
      <x:c r="D72" s="48" t="str">
        <x:v>requirement-development-calibration</x:v>
      </x:c>
      <x:c r="E72" s="48" t="str">
        <x:v>TRF-032</x:v>
      </x:c>
      <x:c r="F72" s="48" t="str">
        <x:v>/Users/sadisfaction570/Desktop/Journal 1/NLTL_v2/MVP/SHACL_GENERATION_PIPELINE/outputs/development_batch01/runs/RUN-TRF-032-20260812T154132954458Z/final/final_shape.ttl</x:v>
      </x:c>
      <x:c r="G72" s="48" t="str">
        <x:v>/Users/sadisfaction570/Desktop/Journal 1/NLTL_v2/MVP/INPUTS/DEVELOPMENT_CALIBRATION/BATCH_01_FIRST_50/rdf_fixtures/TRF-032/trf-032_02_fail.ttl</x:v>
      </x:c>
      <x:c r="H72" s="48" t="str">
        <x:v>3d4353961a9fdffdd1586ddf9cf81f72d97d4b7f4795844b8815858f81759dbd</x:v>
      </x:c>
      <x:c r="I72" s="48" t="str">
        <x:v>98758272eef79f5565b5ec6631d55b95626ddb1978a0276e5b1fd3ff9be8b44a</x:v>
      </x:c>
      <x:c r="J72" s="48" t="str">
        <x:v>TRUE</x:v>
      </x:c>
      <x:c r="K72" s="64" t="str">
        <x:v>FALSE</x:v>
      </x:c>
      <x:c r="L72" s="48" t="str">
        <x:v>TRUE</x:v>
      </x:c>
      <x:c r="M72" s="64" t="str">
        <x:v>FALSE</x:v>
      </x:c>
      <x:c r="N72" s="48" t="str">
        <x:v>TRUE</x:v>
      </x:c>
      <x:c r="O72" s="65" t="n">
        <x:v>14</x:v>
      </x:c>
      <x:c r="P72" s="64" t="n">
        <x:v>361.275</x:v>
      </x:c>
      <x:c r="Q72" s="49" t="str"/>
      <x:c r="R72" s="48" t="str">
        <x:v>Conforms: false | Regulation and classification-society scantlings must provide comparable decimal quantity values in the same unit.</x:v>
      </x:c>
    </x:row>
    <x:row r="73">
      <x:c r="A73" s="48" t="str">
        <x:v>BATCH01-R3-LATEST-ACCEPTED-SHAPES</x:v>
      </x:c>
      <x:c r="B73" s="48" t="str">
        <x:v>B01-TRF-032-BOUNDARY</x:v>
      </x:c>
      <x:c r="C73" s="48" t="str">
        <x:v>BOUNDARY</x:v>
      </x:c>
      <x:c r="D73" s="48" t="str">
        <x:v>requirement-development-calibration</x:v>
      </x:c>
      <x:c r="E73" s="48" t="str">
        <x:v>TRF-032</x:v>
      </x:c>
      <x:c r="F73" s="48" t="str">
        <x:v>/Users/sadisfaction570/Desktop/Journal 1/NLTL_v2/MVP/SHACL_GENERATION_PIPELINE/outputs/development_batch01/runs/RUN-TRF-032-20260812T154132954458Z/final/final_shape.ttl</x:v>
      </x:c>
      <x:c r="G73" s="48" t="str">
        <x:v>/Users/sadisfaction570/Desktop/Journal 1/NLTL_v2/MVP/INPUTS/DEVELOPMENT_CALIBRATION/BATCH_01_FIRST_50/rdf_fixtures/TRF-032/trf-032_03_boundary.ttl</x:v>
      </x:c>
      <x:c r="H73" s="48" t="str">
        <x:v>3d4353961a9fdffdd1586ddf9cf81f72d97d4b7f4795844b8815858f81759dbd</x:v>
      </x:c>
      <x:c r="I73" s="48" t="str">
        <x:v>12279419f05c6414579b770bd567bacaa5f58b9e6248857b418dacf09cace08f</x:v>
      </x:c>
      <x:c r="J73" s="48" t="str">
        <x:v>TRUE</x:v>
      </x:c>
      <x:c r="K73" s="64" t="str">
        <x:v>TRUE</x:v>
      </x:c>
      <x:c r="L73" s="48" t="str">
        <x:v>TRUE</x:v>
      </x:c>
      <x:c r="M73" s="64" t="str">
        <x:v>FALSE</x:v>
      </x:c>
      <x:c r="N73" s="48" t="str">
        <x:v>FALSE</x:v>
      </x:c>
      <x:c r="O73" s="65" t="n">
        <x:v>14</x:v>
      </x:c>
      <x:c r="P73" s="64" t="n">
        <x:v>323.356</x:v>
      </x:c>
      <x:c r="Q73" s="49" t="str"/>
      <x:c r="R73" s="48" t="str">
        <x:v>Conforms: false | Regulation and classification-society scantlings must provide comparable decimal quantity values in the same unit.</x:v>
      </x:c>
    </x:row>
    <x:row r="74">
      <x:c r="A74" s="48" t="str">
        <x:v>BATCH01-R3-LATEST-ACCEPTED-SHAPES</x:v>
      </x:c>
      <x:c r="B74" s="48" t="str">
        <x:v>B01-TRF-035-PASS</x:v>
      </x:c>
      <x:c r="C74" s="48" t="str">
        <x:v>PASS</x:v>
      </x:c>
      <x:c r="D74" s="48" t="str">
        <x:v>requirement-development-calibration</x:v>
      </x:c>
      <x:c r="E74" s="48" t="str">
        <x:v>TRF-035</x:v>
      </x:c>
      <x:c r="F74" s="48" t="str">
        <x:v>/Users/sadisfaction570/Desktop/Journal 1/NLTL_v2/MVP/SHACL_GENERATION_PIPELINE/outputs/development_batch01/runs/RUN-TRF-035-20260812T135248255977Z/final/final_shape.ttl</x:v>
      </x:c>
      <x:c r="G74" s="48" t="str">
        <x:v>/Users/sadisfaction570/Desktop/Journal 1/NLTL_v2/MVP/INPUTS/DEVELOPMENT_CALIBRATION/BATCH_01_FIRST_50/rdf_fixtures/TRF-035/trf-035_01_pass.ttl</x:v>
      </x:c>
      <x:c r="H74" s="48" t="str">
        <x:v>7e4c5b03c55c6043c33b35bedc4bb728a18502049c9f770356c6ce460eeec9e4</x:v>
      </x:c>
      <x:c r="I74" s="48" t="str">
        <x:v>421ab22ed945dc7bcd4415a2708b5285a1b4cd0b3be97d5fdcc0d11843604b03</x:v>
      </x:c>
      <x:c r="J74" s="48" t="str">
        <x:v>TRUE</x:v>
      </x:c>
      <x:c r="K74" s="64" t="str">
        <x:v>TRUE</x:v>
      </x:c>
      <x:c r="L74" s="48" t="str">
        <x:v>TRUE</x:v>
      </x:c>
      <x:c r="M74" s="64" t="str">
        <x:v>TRUE</x:v>
      </x:c>
      <x:c r="N74" s="48" t="str">
        <x:v>TRUE</x:v>
      </x:c>
      <x:c r="O74" s="65" t="n">
        <x:v>2</x:v>
      </x:c>
      <x:c r="P74" s="64" t="n">
        <x:v>323.136</x:v>
      </x:c>
      <x:c r="Q74" s="49" t="str"/>
      <x:c r="R74" s="48" t="str">
        <x:v>Conforms: true</x:v>
      </x:c>
    </x:row>
    <x:row r="75">
      <x:c r="A75" s="48" t="str">
        <x:v>BATCH01-R3-LATEST-ACCEPTED-SHAPES</x:v>
      </x:c>
      <x:c r="B75" s="48" t="str">
        <x:v>B01-TRF-035-FAIL</x:v>
      </x:c>
      <x:c r="C75" s="48" t="str">
        <x:v>FAIL</x:v>
      </x:c>
      <x:c r="D75" s="48" t="str">
        <x:v>requirement-development-calibration</x:v>
      </x:c>
      <x:c r="E75" s="48" t="str">
        <x:v>TRF-035</x:v>
      </x:c>
      <x:c r="F75" s="48" t="str">
        <x:v>/Users/sadisfaction570/Desktop/Journal 1/NLTL_v2/MVP/SHACL_GENERATION_PIPELINE/outputs/development_batch01/runs/RUN-TRF-035-20260812T135248255977Z/final/final_shape.ttl</x:v>
      </x:c>
      <x:c r="G75" s="48" t="str">
        <x:v>/Users/sadisfaction570/Desktop/Journal 1/NLTL_v2/MVP/INPUTS/DEVELOPMENT_CALIBRATION/BATCH_01_FIRST_50/rdf_fixtures/TRF-035/trf-035_02_fail.ttl</x:v>
      </x:c>
      <x:c r="H75" s="48" t="str">
        <x:v>7e4c5b03c55c6043c33b35bedc4bb728a18502049c9f770356c6ce460eeec9e4</x:v>
      </x:c>
      <x:c r="I75" s="48" t="str">
        <x:v>ff7643fed70a888cf26438a4be661f7fa432488af50af26bc5bfb33f8bdc7cb1</x:v>
      </x:c>
      <x:c r="J75" s="48" t="str">
        <x:v>TRUE</x:v>
      </x:c>
      <x:c r="K75" s="64" t="str">
        <x:v>FALSE</x:v>
      </x:c>
      <x:c r="L75" s="48" t="str">
        <x:v>TRUE</x:v>
      </x:c>
      <x:c r="M75" s="64" t="str">
        <x:v>FALSE</x:v>
      </x:c>
      <x:c r="N75" s="48" t="str">
        <x:v>TRUE</x:v>
      </x:c>
      <x:c r="O75" s="65" t="n">
        <x:v>14</x:v>
      </x:c>
      <x:c r="P75" s="64" t="n">
        <x:v>325.964</x:v>
      </x:c>
      <x:c r="Q75" s="49" t="str"/>
      <x:c r="R75" s="48" t="str">
        <x:v>Conforms: false | The ship's rule length must equal the classification society rule length.</x:v>
      </x:c>
    </x:row>
    <x:row r="76">
      <x:c r="A76" s="48" t="str">
        <x:v>BATCH01-R3-LATEST-ACCEPTED-SHAPES</x:v>
      </x:c>
      <x:c r="B76" s="48" t="str">
        <x:v>B01-TRF-035-BOUNDARY</x:v>
      </x:c>
      <x:c r="C76" s="48" t="str">
        <x:v>BOUNDARY</x:v>
      </x:c>
      <x:c r="D76" s="48" t="str">
        <x:v>requirement-development-calibration</x:v>
      </x:c>
      <x:c r="E76" s="48" t="str">
        <x:v>TRF-035</x:v>
      </x:c>
      <x:c r="F76" s="48" t="str">
        <x:v>/Users/sadisfaction570/Desktop/Journal 1/NLTL_v2/MVP/SHACL_GENERATION_PIPELINE/outputs/development_batch01/runs/RUN-TRF-035-20260812T135248255977Z/final/final_shape.ttl</x:v>
      </x:c>
      <x:c r="G76" s="48" t="str">
        <x:v>/Users/sadisfaction570/Desktop/Journal 1/NLTL_v2/MVP/INPUTS/DEVELOPMENT_CALIBRATION/BATCH_01_FIRST_50/rdf_fixtures/TRF-035/trf-035_03_boundary.ttl</x:v>
      </x:c>
      <x:c r="H76" s="48" t="str">
        <x:v>7e4c5b03c55c6043c33b35bedc4bb728a18502049c9f770356c6ce460eeec9e4</x:v>
      </x:c>
      <x:c r="I76" s="48" t="str">
        <x:v>b0775a0548ffa4a73cb4069719c17f985bd2a17e364f0187b2aec9003afc1d22</x:v>
      </x:c>
      <x:c r="J76" s="48" t="str">
        <x:v>TRUE</x:v>
      </x:c>
      <x:c r="K76" s="64" t="str">
        <x:v>TRUE</x:v>
      </x:c>
      <x:c r="L76" s="48" t="str">
        <x:v>TRUE</x:v>
      </x:c>
      <x:c r="M76" s="64" t="str">
        <x:v>TRUE</x:v>
      </x:c>
      <x:c r="N76" s="48" t="str">
        <x:v>TRUE</x:v>
      </x:c>
      <x:c r="O76" s="65" t="n">
        <x:v>2</x:v>
      </x:c>
      <x:c r="P76" s="64" t="n">
        <x:v>334.274</x:v>
      </x:c>
      <x:c r="Q76" s="49" t="str"/>
      <x:c r="R76" s="48" t="str">
        <x:v>Conforms: true</x:v>
      </x:c>
    </x:row>
    <x:row r="77">
      <x:c r="A77" s="48" t="str">
        <x:v>BATCH01-R3-LATEST-ACCEPTED-SHAPES</x:v>
      </x:c>
      <x:c r="B77" s="48" t="str">
        <x:v>B01-TRF-036-PASS</x:v>
      </x:c>
      <x:c r="C77" s="48" t="str">
        <x:v>PASS</x:v>
      </x:c>
      <x:c r="D77" s="48" t="str">
        <x:v>requirement-development-calibration</x:v>
      </x:c>
      <x:c r="E77" s="48" t="str">
        <x:v>TRF-036</x:v>
      </x:c>
      <x:c r="F77" s="48" t="str">
        <x:v>/Users/sadisfaction570/Desktop/Journal 1/NLTL_v2/MVP/SHACL_GENERATION_PIPELINE/outputs/development_batch01/runs/RUN-TRF-036-20260812T154451484110Z/final/final_shape.ttl</x:v>
      </x:c>
      <x:c r="G77" s="48" t="str">
        <x:v>/Users/sadisfaction570/Desktop/Journal 1/NLTL_v2/MVP/INPUTS/DEVELOPMENT_CALIBRATION/BATCH_01_FIRST_50/rdf_fixtures/TRF-036/trf-036_01_pass.ttl</x:v>
      </x:c>
      <x:c r="H77" s="48" t="str">
        <x:v>f2bc4cff86100e8a6e2877830774f285db1fdda1a0c04d46ec2a627814b686da</x:v>
      </x:c>
      <x:c r="I77" s="48" t="str">
        <x:v>ceb698c4adc59e8f96598aaecd221b62a218ba02a0ca02ac728662c586bcb781</x:v>
      </x:c>
      <x:c r="J77" s="48" t="str">
        <x:v>TRUE</x:v>
      </x:c>
      <x:c r="K77" s="64" t="str">
        <x:v>TRUE</x:v>
      </x:c>
      <x:c r="L77" s="48" t="str">
        <x:v>TRUE</x:v>
      </x:c>
      <x:c r="M77" s="64" t="str">
        <x:v>TRUE</x:v>
      </x:c>
      <x:c r="N77" s="48" t="str">
        <x:v>TRUE</x:v>
      </x:c>
      <x:c r="O77" s="65" t="n">
        <x:v>2</x:v>
      </x:c>
      <x:c r="P77" s="64" t="n">
        <x:v>348.438</x:v>
      </x:c>
      <x:c r="Q77" s="49" t="str"/>
      <x:c r="R77" s="48" t="str">
        <x:v>Conforms: true</x:v>
      </x:c>
    </x:row>
    <x:row r="78">
      <x:c r="A78" s="48" t="str">
        <x:v>BATCH01-R3-LATEST-ACCEPTED-SHAPES</x:v>
      </x:c>
      <x:c r="B78" s="48" t="str">
        <x:v>B01-TRF-036-FAIL</x:v>
      </x:c>
      <x:c r="C78" s="48" t="str">
        <x:v>FAIL</x:v>
      </x:c>
      <x:c r="D78" s="48" t="str">
        <x:v>requirement-development-calibration</x:v>
      </x:c>
      <x:c r="E78" s="48" t="str">
        <x:v>TRF-036</x:v>
      </x:c>
      <x:c r="F78" s="48" t="str">
        <x:v>/Users/sadisfaction570/Desktop/Journal 1/NLTL_v2/MVP/SHACL_GENERATION_PIPELINE/outputs/development_batch01/runs/RUN-TRF-036-20260812T154451484110Z/final/final_shape.ttl</x:v>
      </x:c>
      <x:c r="G78" s="48" t="str">
        <x:v>/Users/sadisfaction570/Desktop/Journal 1/NLTL_v2/MVP/INPUTS/DEVELOPMENT_CALIBRATION/BATCH_01_FIRST_50/rdf_fixtures/TRF-036/trf-036_02_fail.ttl</x:v>
      </x:c>
      <x:c r="H78" s="48" t="str">
        <x:v>f2bc4cff86100e8a6e2877830774f285db1fdda1a0c04d46ec2a627814b686da</x:v>
      </x:c>
      <x:c r="I78" s="48" t="str">
        <x:v>5b422c9125a0bfebaabbed2d138087d90d7b2d86e30a0a46631aa88cf504bc53</x:v>
      </x:c>
      <x:c r="J78" s="48" t="str">
        <x:v>TRUE</x:v>
      </x:c>
      <x:c r="K78" s="64" t="str">
        <x:v>FALSE</x:v>
      </x:c>
      <x:c r="L78" s="48" t="str">
        <x:v>TRUE</x:v>
      </x:c>
      <x:c r="M78" s="64" t="str">
        <x:v>TRUE</x:v>
      </x:c>
      <x:c r="N78" s="48" t="str">
        <x:v>FALSE</x:v>
      </x:c>
      <x:c r="O78" s="65" t="n">
        <x:v>2</x:v>
      </x:c>
      <x:c r="P78" s="64" t="n">
        <x:v>349.812</x:v>
      </x:c>
      <x:c r="Q78" s="49" t="str"/>
      <x:c r="R78" s="48" t="str">
        <x:v>Conforms: true</x:v>
      </x:c>
    </x:row>
    <x:row r="79">
      <x:c r="A79" s="48" t="str">
        <x:v>BATCH01-R3-LATEST-ACCEPTED-SHAPES</x:v>
      </x:c>
      <x:c r="B79" s="48" t="str">
        <x:v>B01-TRF-036-BOUNDARY</x:v>
      </x:c>
      <x:c r="C79" s="48" t="str">
        <x:v>BOUNDARY</x:v>
      </x:c>
      <x:c r="D79" s="48" t="str">
        <x:v>requirement-development-calibration</x:v>
      </x:c>
      <x:c r="E79" s="48" t="str">
        <x:v>TRF-036</x:v>
      </x:c>
      <x:c r="F79" s="48" t="str">
        <x:v>/Users/sadisfaction570/Desktop/Journal 1/NLTL_v2/MVP/SHACL_GENERATION_PIPELINE/outputs/development_batch01/runs/RUN-TRF-036-20260812T154451484110Z/final/final_shape.ttl</x:v>
      </x:c>
      <x:c r="G79" s="48" t="str">
        <x:v>/Users/sadisfaction570/Desktop/Journal 1/NLTL_v2/MVP/INPUTS/DEVELOPMENT_CALIBRATION/BATCH_01_FIRST_50/rdf_fixtures/TRF-036/trf-036_03_boundary.ttl</x:v>
      </x:c>
      <x:c r="H79" s="48" t="str">
        <x:v>f2bc4cff86100e8a6e2877830774f285db1fdda1a0c04d46ec2a627814b686da</x:v>
      </x:c>
      <x:c r="I79" s="48" t="str">
        <x:v>0edc503b806303e855d74ceb9a628fc6a3f58d14e48085c3165330c74e0d26b9</x:v>
      </x:c>
      <x:c r="J79" s="48" t="str">
        <x:v>TRUE</x:v>
      </x:c>
      <x:c r="K79" s="64" t="str">
        <x:v>TRUE</x:v>
      </x:c>
      <x:c r="L79" s="48" t="str">
        <x:v>TRUE</x:v>
      </x:c>
      <x:c r="M79" s="64" t="str">
        <x:v>TRUE</x:v>
      </x:c>
      <x:c r="N79" s="48" t="str">
        <x:v>TRUE</x:v>
      </x:c>
      <x:c r="O79" s="65" t="n">
        <x:v>2</x:v>
      </x:c>
      <x:c r="P79" s="64" t="n">
        <x:v>383.13</x:v>
      </x:c>
      <x:c r="Q79" s="49" t="str"/>
      <x:c r="R79" s="48" t="str">
        <x:v>Conforms: true</x:v>
      </x:c>
    </x:row>
    <x:row r="80">
      <x:c r="A80" s="48" t="str">
        <x:v>BATCH01-R3-LATEST-ACCEPTED-SHAPES</x:v>
      </x:c>
      <x:c r="B80" s="48" t="str">
        <x:v>B01-TRF-037-PASS</x:v>
      </x:c>
      <x:c r="C80" s="48" t="str">
        <x:v>PASS</x:v>
      </x:c>
      <x:c r="D80" s="48" t="str">
        <x:v>requirement-development-calibration</x:v>
      </x:c>
      <x:c r="E80" s="48" t="str">
        <x:v>TRF-037</x:v>
      </x:c>
      <x:c r="F80" s="48" t="str">
        <x:v>/Users/sadisfaction570/Desktop/Journal 1/NLTL_v2/MVP/SHACL_GENERATION_PIPELINE/outputs/development_batch01/runs/RUN-TRF-037-20260812T154626913050Z/final/final_shape.ttl</x:v>
      </x:c>
      <x:c r="G80" s="48" t="str">
        <x:v>/Users/sadisfaction570/Desktop/Journal 1/NLTL_v2/MVP/INPUTS/DEVELOPMENT_CALIBRATION/BATCH_01_FIRST_50/rdf_fixtures/TRF-037/trf-037_01_pass.ttl</x:v>
      </x:c>
      <x:c r="H80" s="48" t="str">
        <x:v>bef2f5ff7514c887e77ad509dfd4757c4144d74de1c05dcf7ac609fbb9195f01</x:v>
      </x:c>
      <x:c r="I80" s="48" t="str">
        <x:v>744f43ef5d3774750196a3135e97b7662afe3cdf28f627b4d825827f634c29a0</x:v>
      </x:c>
      <x:c r="J80" s="48" t="str">
        <x:v>TRUE</x:v>
      </x:c>
      <x:c r="K80" s="64" t="str">
        <x:v>TRUE</x:v>
      </x:c>
      <x:c r="L80" s="48" t="str">
        <x:v>TRUE</x:v>
      </x:c>
      <x:c r="M80" s="64" t="str">
        <x:v>FALSE</x:v>
      </x:c>
      <x:c r="N80" s="48" t="str">
        <x:v>FALSE</x:v>
      </x:c>
      <x:c r="O80" s="65" t="n">
        <x:v>24</x:v>
      </x:c>
      <x:c r="P80" s="64" t="n">
        <x:v>398.481</x:v>
      </x:c>
      <x:c r="Q80" s="49" t="str"/>
      <x:c r="R80" s="48" t="str">
        <x:v>Conforms: false | Factor c_d must equal min((a*k+b)/1000, 1), with k expressed in kW.</x:v>
      </x:c>
    </x:row>
    <x:row r="81">
      <x:c r="A81" s="48" t="str">
        <x:v>BATCH01-R3-LATEST-ACCEPTED-SHAPES</x:v>
      </x:c>
      <x:c r="B81" s="48" t="str">
        <x:v>B01-TRF-037-FAIL</x:v>
      </x:c>
      <x:c r="C81" s="48" t="str">
        <x:v>FAIL</x:v>
      </x:c>
      <x:c r="D81" s="48" t="str">
        <x:v>requirement-development-calibration</x:v>
      </x:c>
      <x:c r="E81" s="48" t="str">
        <x:v>TRF-037</x:v>
      </x:c>
      <x:c r="F81" s="48" t="str">
        <x:v>/Users/sadisfaction570/Desktop/Journal 1/NLTL_v2/MVP/SHACL_GENERATION_PIPELINE/outputs/development_batch01/runs/RUN-TRF-037-20260812T154626913050Z/final/final_shape.ttl</x:v>
      </x:c>
      <x:c r="G81" s="48" t="str">
        <x:v>/Users/sadisfaction570/Desktop/Journal 1/NLTL_v2/MVP/INPUTS/DEVELOPMENT_CALIBRATION/BATCH_01_FIRST_50/rdf_fixtures/TRF-037/trf-037_02_fail.ttl</x:v>
      </x:c>
      <x:c r="H81" s="48" t="str">
        <x:v>bef2f5ff7514c887e77ad509dfd4757c4144d74de1c05dcf7ac609fbb9195f01</x:v>
      </x:c>
      <x:c r="I81" s="48" t="str">
        <x:v>6ea7868415a1f74d2be8e863acc12811c437067a1639529c38e04fa7dc3e3441</x:v>
      </x:c>
      <x:c r="J81" s="48" t="str">
        <x:v>TRUE</x:v>
      </x:c>
      <x:c r="K81" s="64" t="str">
        <x:v>FALSE</x:v>
      </x:c>
      <x:c r="L81" s="48" t="str">
        <x:v>TRUE</x:v>
      </x:c>
      <x:c r="M81" s="64" t="str">
        <x:v>FALSE</x:v>
      </x:c>
      <x:c r="N81" s="48" t="str">
        <x:v>TRUE</x:v>
      </x:c>
      <x:c r="O81" s="65" t="n">
        <x:v>24</x:v>
      </x:c>
      <x:c r="P81" s="64" t="n">
        <x:v>401.103</x:v>
      </x:c>
      <x:c r="Q81" s="49" t="str"/>
      <x:c r="R81" s="48" t="str">
        <x:v>Conforms: false | Factor c_d must equal min((a*k+b)/1000, 1), with k expressed in kW.</x:v>
      </x:c>
    </x:row>
    <x:row r="82">
      <x:c r="A82" s="48" t="str">
        <x:v>BATCH01-R3-LATEST-ACCEPTED-SHAPES</x:v>
      </x:c>
      <x:c r="B82" s="48" t="str">
        <x:v>B01-TRF-037-BOUNDARY</x:v>
      </x:c>
      <x:c r="C82" s="48" t="str">
        <x:v>BOUNDARY</x:v>
      </x:c>
      <x:c r="D82" s="48" t="str">
        <x:v>requirement-development-calibration</x:v>
      </x:c>
      <x:c r="E82" s="48" t="str">
        <x:v>TRF-037</x:v>
      </x:c>
      <x:c r="F82" s="48" t="str">
        <x:v>/Users/sadisfaction570/Desktop/Journal 1/NLTL_v2/MVP/SHACL_GENERATION_PIPELINE/outputs/development_batch01/runs/RUN-TRF-037-20260812T154626913050Z/final/final_shape.ttl</x:v>
      </x:c>
      <x:c r="G82" s="48" t="str">
        <x:v>/Users/sadisfaction570/Desktop/Journal 1/NLTL_v2/MVP/INPUTS/DEVELOPMENT_CALIBRATION/BATCH_01_FIRST_50/rdf_fixtures/TRF-037/trf-037_03_boundary.ttl</x:v>
      </x:c>
      <x:c r="H82" s="48" t="str">
        <x:v>bef2f5ff7514c887e77ad509dfd4757c4144d74de1c05dcf7ac609fbb9195f01</x:v>
      </x:c>
      <x:c r="I82" s="48" t="str">
        <x:v>0727b637915042ae272c3225550fc9621a4eb1c895afd3ef615fb36ad6ffda0e</x:v>
      </x:c>
      <x:c r="J82" s="48" t="str">
        <x:v>TRUE</x:v>
      </x:c>
      <x:c r="K82" s="64" t="str">
        <x:v>TRUE</x:v>
      </x:c>
      <x:c r="L82" s="48" t="str">
        <x:v>TRUE</x:v>
      </x:c>
      <x:c r="M82" s="64" t="str">
        <x:v>FALSE</x:v>
      </x:c>
      <x:c r="N82" s="48" t="str">
        <x:v>FALSE</x:v>
      </x:c>
      <x:c r="O82" s="65" t="n">
        <x:v>24</x:v>
      </x:c>
      <x:c r="P82" s="64" t="n">
        <x:v>401.441</x:v>
      </x:c>
      <x:c r="Q82" s="49" t="str"/>
      <x:c r="R82" s="48" t="str">
        <x:v>Conforms: false | Factor c_d must equal min((a*k+b)/1000, 1), with k expressed in kW.</x:v>
      </x:c>
    </x:row>
    <x:row r="83">
      <x:c r="A83" s="48" t="str">
        <x:v>BATCH01-R3-LATEST-ACCEPTED-SHAPES</x:v>
      </x:c>
      <x:c r="B83" s="48" t="str">
        <x:v>B01-TRF-041-PASS</x:v>
      </x:c>
      <x:c r="C83" s="48" t="str">
        <x:v>PASS</x:v>
      </x:c>
      <x:c r="D83" s="48" t="str">
        <x:v>requirement-development-calibration</x:v>
      </x:c>
      <x:c r="E83" s="48" t="str">
        <x:v>TRF-041</x:v>
      </x:c>
      <x:c r="F83" s="48" t="str">
        <x:v>/Users/sadisfaction570/Desktop/Journal 1/NLTL_v2/MVP/SHACL_GENERATION_PIPELINE/outputs/development_batch01/runs/RUN-TRF-041-20260812T154835223319Z/final/final_shape.ttl</x:v>
      </x:c>
      <x:c r="G83" s="48" t="str">
        <x:v>/Users/sadisfaction570/Desktop/Journal 1/NLTL_v2/MVP/INPUTS/DEVELOPMENT_CALIBRATION/BATCH_01_FIRST_50/rdf_fixtures/TRF-041/trf-041_01_pass.ttl</x:v>
      </x:c>
      <x:c r="H83" s="48" t="str">
        <x:v>49106e20e4a8ed5cd95760e9e8d0dbf16a4936ce82cb0a82a1e8dd731e19e4e4</x:v>
      </x:c>
      <x:c r="I83" s="48" t="str">
        <x:v>0d521eff4b97a93205bc15eb04132be6b5c7eabebfccd8a68d7ed28dccf549d8</x:v>
      </x:c>
      <x:c r="J83" s="48" t="str">
        <x:v>TRUE</x:v>
      </x:c>
      <x:c r="K83" s="64" t="str">
        <x:v>TRUE</x:v>
      </x:c>
      <x:c r="L83" s="48" t="str">
        <x:v>TRUE</x:v>
      </x:c>
      <x:c r="M83" s="64" t="str">
        <x:v>FALSE</x:v>
      </x:c>
      <x:c r="N83" s="48" t="str">
        <x:v>FALSE</x:v>
      </x:c>
      <x:c r="O83" s="65" t="n">
        <x:v>13</x:v>
      </x:c>
      <x:c r="P83" s="64" t="n">
        <x:v>385.847</x:v>
      </x:c>
      <x:c r="Q83" s="49" t="str"/>
      <x:c r="R83" s="48" t="str">
        <x:v>Conforms: false | For transverse framing, required shell plating thickness must equal 667*s*sqrt(f1*p_pl/sigma_y)+t_c.</x:v>
      </x:c>
    </x:row>
    <x:row r="84">
      <x:c r="A84" s="48" t="str">
        <x:v>BATCH01-R3-LATEST-ACCEPTED-SHAPES</x:v>
      </x:c>
      <x:c r="B84" s="48" t="str">
        <x:v>B01-TRF-041-FAIL</x:v>
      </x:c>
      <x:c r="C84" s="48" t="str">
        <x:v>FAIL</x:v>
      </x:c>
      <x:c r="D84" s="48" t="str">
        <x:v>requirement-development-calibration</x:v>
      </x:c>
      <x:c r="E84" s="48" t="str">
        <x:v>TRF-041</x:v>
      </x:c>
      <x:c r="F84" s="48" t="str">
        <x:v>/Users/sadisfaction570/Desktop/Journal 1/NLTL_v2/MVP/SHACL_GENERATION_PIPELINE/outputs/development_batch01/runs/RUN-TRF-041-20260812T154835223319Z/final/final_shape.ttl</x:v>
      </x:c>
      <x:c r="G84" s="48" t="str">
        <x:v>/Users/sadisfaction570/Desktop/Journal 1/NLTL_v2/MVP/INPUTS/DEVELOPMENT_CALIBRATION/BATCH_01_FIRST_50/rdf_fixtures/TRF-041/trf-041_02_fail.ttl</x:v>
      </x:c>
      <x:c r="H84" s="48" t="str">
        <x:v>49106e20e4a8ed5cd95760e9e8d0dbf16a4936ce82cb0a82a1e8dd731e19e4e4</x:v>
      </x:c>
      <x:c r="I84" s="48" t="str">
        <x:v>e02f7e2d3eb96e190f8eb520d6b4c67ee2ee4256c08e8e6c19b29e7d2f5e3d9e</x:v>
      </x:c>
      <x:c r="J84" s="48" t="str">
        <x:v>TRUE</x:v>
      </x:c>
      <x:c r="K84" s="64" t="str">
        <x:v>FALSE</x:v>
      </x:c>
      <x:c r="L84" s="48" t="str">
        <x:v>TRUE</x:v>
      </x:c>
      <x:c r="M84" s="64" t="str">
        <x:v>FALSE</x:v>
      </x:c>
      <x:c r="N84" s="48" t="str">
        <x:v>TRUE</x:v>
      </x:c>
      <x:c r="O84" s="65" t="n">
        <x:v>13</x:v>
      </x:c>
      <x:c r="P84" s="64" t="n">
        <x:v>413.295</x:v>
      </x:c>
      <x:c r="Q84" s="49" t="str"/>
      <x:c r="R84" s="48" t="str">
        <x:v>Conforms: false | For transverse framing, required shell plating thickness must equal 667*s*sqrt(f1*p_pl/sigma_y)+t_c.</x:v>
      </x:c>
    </x:row>
    <x:row r="85">
      <x:c r="A85" s="48" t="str">
        <x:v>BATCH01-R3-LATEST-ACCEPTED-SHAPES</x:v>
      </x:c>
      <x:c r="B85" s="48" t="str">
        <x:v>B01-TRF-041-BOUNDARY</x:v>
      </x:c>
      <x:c r="C85" s="48" t="str">
        <x:v>BOUNDARY</x:v>
      </x:c>
      <x:c r="D85" s="48" t="str">
        <x:v>requirement-development-calibration</x:v>
      </x:c>
      <x:c r="E85" s="48" t="str">
        <x:v>TRF-041</x:v>
      </x:c>
      <x:c r="F85" s="48" t="str">
        <x:v>/Users/sadisfaction570/Desktop/Journal 1/NLTL_v2/MVP/SHACL_GENERATION_PIPELINE/outputs/development_batch01/runs/RUN-TRF-041-20260812T154835223319Z/final/final_shape.ttl</x:v>
      </x:c>
      <x:c r="G85" s="48" t="str">
        <x:v>/Users/sadisfaction570/Desktop/Journal 1/NLTL_v2/MVP/INPUTS/DEVELOPMENT_CALIBRATION/BATCH_01_FIRST_50/rdf_fixtures/TRF-041/trf-041_03_boundary.ttl</x:v>
      </x:c>
      <x:c r="H85" s="48" t="str">
        <x:v>49106e20e4a8ed5cd95760e9e8d0dbf16a4936ce82cb0a82a1e8dd731e19e4e4</x:v>
      </x:c>
      <x:c r="I85" s="48" t="str">
        <x:v>6b94d9adf32119c099029f3a8d2b13f9f3e98615eb5e9b47ab90456ba50e0bd6</x:v>
      </x:c>
      <x:c r="J85" s="48" t="str">
        <x:v>TRUE</x:v>
      </x:c>
      <x:c r="K85" s="64" t="str">
        <x:v>TRUE</x:v>
      </x:c>
      <x:c r="L85" s="48" t="str">
        <x:v>TRUE</x:v>
      </x:c>
      <x:c r="M85" s="64" t="str">
        <x:v>FALSE</x:v>
      </x:c>
      <x:c r="N85" s="48" t="str">
        <x:v>FALSE</x:v>
      </x:c>
      <x:c r="O85" s="65" t="n">
        <x:v>13</x:v>
      </x:c>
      <x:c r="P85" s="64" t="n">
        <x:v>386.218</x:v>
      </x:c>
      <x:c r="Q85" s="49" t="str"/>
      <x:c r="R85" s="48" t="str">
        <x:v>Conforms: false | For transverse framing, required shell plating thickness must equal 667*s*sqrt(f1*p_pl/sigma_y)+t_c.</x:v>
      </x:c>
    </x:row>
    <x:row r="86">
      <x:c r="A86" s="48" t="str">
        <x:v>BATCH01-R3-LATEST-ACCEPTED-SHAPES</x:v>
      </x:c>
      <x:c r="B86" s="48" t="str">
        <x:v>B01-TRF-042-PASS</x:v>
      </x:c>
      <x:c r="C86" s="48" t="str">
        <x:v>PASS</x:v>
      </x:c>
      <x:c r="D86" s="48" t="str">
        <x:v>requirement-development-calibration</x:v>
      </x:c>
      <x:c r="E86" s="48" t="str">
        <x:v>TRF-042</x:v>
      </x:c>
      <x:c r="F86" s="48" t="str">
        <x:v>/Users/sadisfaction570/Desktop/Journal 1/NLTL_v2/MVP/SHACL_GENERATION_PIPELINE/outputs/development_batch01/runs/RUN-TRF-042-20260812T154956071590Z/final/final_shape.ttl</x:v>
      </x:c>
      <x:c r="G86" s="48" t="str">
        <x:v>/Users/sadisfaction570/Desktop/Journal 1/NLTL_v2/MVP/INPUTS/DEVELOPMENT_CALIBRATION/BATCH_01_FIRST_50/rdf_fixtures/TRF-042/trf-042_01_pass.ttl</x:v>
      </x:c>
      <x:c r="H86" s="48" t="str">
        <x:v>58b7d6610b16b5ba70dd3d208664515c8b27a8b9ad7bbdc3e7ced2e16aeaa7b0</x:v>
      </x:c>
      <x:c r="I86" s="48" t="str">
        <x:v>b1830fdc30b51114ae6297363210ed78e24bb8366e9bbb9e9c271ba21703ed58</x:v>
      </x:c>
      <x:c r="J86" s="48" t="str">
        <x:v>TRUE</x:v>
      </x:c>
      <x:c r="K86" s="64" t="str">
        <x:v>TRUE</x:v>
      </x:c>
      <x:c r="L86" s="48" t="str">
        <x:v>TRUE</x:v>
      </x:c>
      <x:c r="M86" s="64" t="str">
        <x:v>TRUE</x:v>
      </x:c>
      <x:c r="N86" s="48" t="str">
        <x:v>TRUE</x:v>
      </x:c>
      <x:c r="O86" s="65" t="n">
        <x:v>2</x:v>
      </x:c>
      <x:c r="P86" s="64" t="n">
        <x:v>320.837</x:v>
      </x:c>
      <x:c r="Q86" s="49" t="str"/>
      <x:c r="R86" s="48" t="str">
        <x:v>Conforms: true</x:v>
      </x:c>
    </x:row>
    <x:row r="87">
      <x:c r="A87" s="48" t="str">
        <x:v>BATCH01-R3-LATEST-ACCEPTED-SHAPES</x:v>
      </x:c>
      <x:c r="B87" s="48" t="str">
        <x:v>B01-TRF-042-FAIL</x:v>
      </x:c>
      <x:c r="C87" s="48" t="str">
        <x:v>FAIL</x:v>
      </x:c>
      <x:c r="D87" s="48" t="str">
        <x:v>requirement-development-calibration</x:v>
      </x:c>
      <x:c r="E87" s="48" t="str">
        <x:v>TRF-042</x:v>
      </x:c>
      <x:c r="F87" s="48" t="str">
        <x:v>/Users/sadisfaction570/Desktop/Journal 1/NLTL_v2/MVP/SHACL_GENERATION_PIPELINE/outputs/development_batch01/runs/RUN-TRF-042-20260812T154956071590Z/final/final_shape.ttl</x:v>
      </x:c>
      <x:c r="G87" s="48" t="str">
        <x:v>/Users/sadisfaction570/Desktop/Journal 1/NLTL_v2/MVP/INPUTS/DEVELOPMENT_CALIBRATION/BATCH_01_FIRST_50/rdf_fixtures/TRF-042/trf-042_02_fail.ttl</x:v>
      </x:c>
      <x:c r="H87" s="48" t="str">
        <x:v>58b7d6610b16b5ba70dd3d208664515c8b27a8b9ad7bbdc3e7ced2e16aeaa7b0</x:v>
      </x:c>
      <x:c r="I87" s="48" t="str">
        <x:v>0d2ac4ca79e785fd4e5c9a65f4f2a6004c6b7949e9ef6c1aa6e031e07551f7ff</x:v>
      </x:c>
      <x:c r="J87" s="48" t="str">
        <x:v>TRUE</x:v>
      </x:c>
      <x:c r="K87" s="64" t="str">
        <x:v>FALSE</x:v>
      </x:c>
      <x:c r="L87" s="48" t="str">
        <x:v>TRUE</x:v>
      </x:c>
      <x:c r="M87" s="64" t="str">
        <x:v>TRUE</x:v>
      </x:c>
      <x:c r="N87" s="48" t="str">
        <x:v>FALSE</x:v>
      </x:c>
      <x:c r="O87" s="65" t="n">
        <x:v>2</x:v>
      </x:c>
      <x:c r="P87" s="64" t="n">
        <x:v>323.978</x:v>
      </x:c>
      <x:c r="Q87" s="49" t="str"/>
      <x:c r="R87" s="48" t="str">
        <x:v>Conforms: true</x:v>
      </x:c>
    </x:row>
    <x:row r="88">
      <x:c r="A88" s="48" t="str">
        <x:v>BATCH01-R3-LATEST-ACCEPTED-SHAPES</x:v>
      </x:c>
      <x:c r="B88" s="48" t="str">
        <x:v>B01-TRF-042-BOUNDARY</x:v>
      </x:c>
      <x:c r="C88" s="48" t="str">
        <x:v>BOUNDARY</x:v>
      </x:c>
      <x:c r="D88" s="48" t="str">
        <x:v>requirement-development-calibration</x:v>
      </x:c>
      <x:c r="E88" s="48" t="str">
        <x:v>TRF-042</x:v>
      </x:c>
      <x:c r="F88" s="48" t="str">
        <x:v>/Users/sadisfaction570/Desktop/Journal 1/NLTL_v2/MVP/SHACL_GENERATION_PIPELINE/outputs/development_batch01/runs/RUN-TRF-042-20260812T154956071590Z/final/final_shape.ttl</x:v>
      </x:c>
      <x:c r="G88" s="48" t="str">
        <x:v>/Users/sadisfaction570/Desktop/Journal 1/NLTL_v2/MVP/INPUTS/DEVELOPMENT_CALIBRATION/BATCH_01_FIRST_50/rdf_fixtures/TRF-042/trf-042_03_boundary.ttl</x:v>
      </x:c>
      <x:c r="H88" s="48" t="str">
        <x:v>58b7d6610b16b5ba70dd3d208664515c8b27a8b9ad7bbdc3e7ced2e16aeaa7b0</x:v>
      </x:c>
      <x:c r="I88" s="48" t="str">
        <x:v>00ac33b65d3e61750bd0f89ce57d75579eec898bdab4d4420c423ef5392c4928</x:v>
      </x:c>
      <x:c r="J88" s="48" t="str">
        <x:v>TRUE</x:v>
      </x:c>
      <x:c r="K88" s="64" t="str">
        <x:v>TRUE</x:v>
      </x:c>
      <x:c r="L88" s="48" t="str">
        <x:v>TRUE</x:v>
      </x:c>
      <x:c r="M88" s="64" t="str">
        <x:v>TRUE</x:v>
      </x:c>
      <x:c r="N88" s="48" t="str">
        <x:v>TRUE</x:v>
      </x:c>
      <x:c r="O88" s="65" t="n">
        <x:v>2</x:v>
      </x:c>
      <x:c r="P88" s="64" t="n">
        <x:v>323.686</x:v>
      </x:c>
      <x:c r="Q88" s="49" t="str"/>
      <x:c r="R88" s="48" t="str">
        <x:v>Conforms: true</x:v>
      </x:c>
    </x:row>
    <x:row r="89">
      <x:c r="A89" s="48" t="str">
        <x:v>BATCH01-R3-LATEST-ACCEPTED-SHAPES</x:v>
      </x:c>
      <x:c r="B89" s="48" t="str">
        <x:v>B01-TRF-045-PASS</x:v>
      </x:c>
      <x:c r="C89" s="48" t="str">
        <x:v>PASS</x:v>
      </x:c>
      <x:c r="D89" s="48" t="str">
        <x:v>requirement-development-calibration</x:v>
      </x:c>
      <x:c r="E89" s="48" t="str">
        <x:v>TRF-045</x:v>
      </x:c>
      <x:c r="F89" s="48" t="str">
        <x:v>/Users/sadisfaction570/Desktop/Journal 1/NLTL_v2/MVP/SHACL_GENERATION_PIPELINE/outputs/development_batch01/runs/RUN-TRF-045-20260812T140529216502Z/final/final_shape.ttl</x:v>
      </x:c>
      <x:c r="G89" s="48" t="str">
        <x:v>/Users/sadisfaction570/Desktop/Journal 1/NLTL_v2/MVP/INPUTS/DEVELOPMENT_CALIBRATION/BATCH_01_FIRST_50/rdf_fixtures/TRF-045/trf-045_01_pass.ttl</x:v>
      </x:c>
      <x:c r="H89" s="48" t="str">
        <x:v>c8201733af6f1838eaf5b5bccbe4b67c40c6ca1fdc2b7285187957d2a3abf20c</x:v>
      </x:c>
      <x:c r="I89" s="48" t="str">
        <x:v>77c90f3e6c74b070e2df0bdfbf6e30e743a85dcd5088e9c8b4d55321b7dc9728</x:v>
      </x:c>
      <x:c r="J89" s="48" t="str">
        <x:v>TRUE</x:v>
      </x:c>
      <x:c r="K89" s="64" t="str">
        <x:v>TRUE</x:v>
      </x:c>
      <x:c r="L89" s="48" t="str">
        <x:v>TRUE</x:v>
      </x:c>
      <x:c r="M89" s="64" t="str">
        <x:v>TRUE</x:v>
      </x:c>
      <x:c r="N89" s="48" t="str">
        <x:v>TRUE</x:v>
      </x:c>
      <x:c r="O89" s="65" t="n">
        <x:v>2</x:v>
      </x:c>
      <x:c r="P89" s="64" t="n">
        <x:v>372.737</x:v>
      </x:c>
      <x:c r="Q89" s="49" t="str"/>
      <x:c r="R89" s="48" t="str">
        <x:v>Conforms: true</x:v>
      </x:c>
    </x:row>
    <x:row r="90">
      <x:c r="A90" s="48" t="str">
        <x:v>BATCH01-R3-LATEST-ACCEPTED-SHAPES</x:v>
      </x:c>
      <x:c r="B90" s="48" t="str">
        <x:v>B01-TRF-045-FAIL</x:v>
      </x:c>
      <x:c r="C90" s="48" t="str">
        <x:v>FAIL</x:v>
      </x:c>
      <x:c r="D90" s="48" t="str">
        <x:v>requirement-development-calibration</x:v>
      </x:c>
      <x:c r="E90" s="48" t="str">
        <x:v>TRF-045</x:v>
      </x:c>
      <x:c r="F90" s="48" t="str">
        <x:v>/Users/sadisfaction570/Desktop/Journal 1/NLTL_v2/MVP/SHACL_GENERATION_PIPELINE/outputs/development_batch01/runs/RUN-TRF-045-20260812T140529216502Z/final/final_shape.ttl</x:v>
      </x:c>
      <x:c r="G90" s="48" t="str">
        <x:v>/Users/sadisfaction570/Desktop/Journal 1/NLTL_v2/MVP/INPUTS/DEVELOPMENT_CALIBRATION/BATCH_01_FIRST_50/rdf_fixtures/TRF-045/trf-045_02_fail.ttl</x:v>
      </x:c>
      <x:c r="H90" s="48" t="str">
        <x:v>c8201733af6f1838eaf5b5bccbe4b67c40c6ca1fdc2b7285187957d2a3abf20c</x:v>
      </x:c>
      <x:c r="I90" s="48" t="str">
        <x:v>da16bfa5e823b70c0c3c94ea2c4e4b184d9532d5d64e4e1ca09f796c3ab2c44e</x:v>
      </x:c>
      <x:c r="J90" s="48" t="str">
        <x:v>TRUE</x:v>
      </x:c>
      <x:c r="K90" s="64" t="str">
        <x:v>FALSE</x:v>
      </x:c>
      <x:c r="L90" s="48" t="str">
        <x:v>TRUE</x:v>
      </x:c>
      <x:c r="M90" s="64" t="str">
        <x:v>FALSE</x:v>
      </x:c>
      <x:c r="N90" s="48" t="str">
        <x:v>TRUE</x:v>
      </x:c>
      <x:c r="O90" s="65" t="n">
        <x:v>23</x:v>
      </x:c>
      <x:c r="P90" s="64" t="n">
        <x:v>333.305</x:v>
      </x:c>
      <x:c r="Q90" s="49" t="str"/>
      <x:c r="R90" s="48" t="str">
        <x:v>Conforms: false | Ordinary frame scantlings may be used only when less than 15% of the frame span is within the ice-strengthening zone.</x:v>
      </x:c>
    </x:row>
    <x:row r="91">
      <x:c r="A91" s="48" t="str">
        <x:v>BATCH01-R3-LATEST-ACCEPTED-SHAPES</x:v>
      </x:c>
      <x:c r="B91" s="48" t="str">
        <x:v>B01-TRF-045-BOUNDARY</x:v>
      </x:c>
      <x:c r="C91" s="48" t="str">
        <x:v>BOUNDARY</x:v>
      </x:c>
      <x:c r="D91" s="48" t="str">
        <x:v>requirement-development-calibration</x:v>
      </x:c>
      <x:c r="E91" s="48" t="str">
        <x:v>TRF-045</x:v>
      </x:c>
      <x:c r="F91" s="48" t="str">
        <x:v>/Users/sadisfaction570/Desktop/Journal 1/NLTL_v2/MVP/SHACL_GENERATION_PIPELINE/outputs/development_batch01/runs/RUN-TRF-045-20260812T140529216502Z/final/final_shape.ttl</x:v>
      </x:c>
      <x:c r="G91" s="48" t="str">
        <x:v>/Users/sadisfaction570/Desktop/Journal 1/NLTL_v2/MVP/INPUTS/DEVELOPMENT_CALIBRATION/BATCH_01_FIRST_50/rdf_fixtures/TRF-045/trf-045_03_boundary.ttl</x:v>
      </x:c>
      <x:c r="H91" s="48" t="str">
        <x:v>c8201733af6f1838eaf5b5bccbe4b67c40c6ca1fdc2b7285187957d2a3abf20c</x:v>
      </x:c>
      <x:c r="I91" s="48" t="str">
        <x:v>a3dd43e6b664f218567e0466477717c74de0ab3de6c06cd532e0cd7693550899</x:v>
      </x:c>
      <x:c r="J91" s="48" t="str">
        <x:v>TRUE</x:v>
      </x:c>
      <x:c r="K91" s="64" t="str">
        <x:v>TRUE</x:v>
      </x:c>
      <x:c r="L91" s="48" t="str">
        <x:v>TRUE</x:v>
      </x:c>
      <x:c r="M91" s="64" t="str">
        <x:v>TRUE</x:v>
      </x:c>
      <x:c r="N91" s="48" t="str">
        <x:v>TRUE</x:v>
      </x:c>
      <x:c r="O91" s="65" t="n">
        <x:v>2</x:v>
      </x:c>
      <x:c r="P91" s="64" t="n">
        <x:v>334.964</x:v>
      </x:c>
      <x:c r="Q91" s="49" t="str"/>
      <x:c r="R91" s="48" t="str">
        <x:v>Conforms: true</x:v>
      </x:c>
    </x:row>
    <x:row r="92">
      <x:c r="A92" s="48" t="str">
        <x:v>BATCH01-R3-LATEST-ACCEPTED-SHAPES</x:v>
      </x:c>
      <x:c r="B92" s="48" t="str">
        <x:v>B01-TRF-046-PASS</x:v>
      </x:c>
      <x:c r="C92" s="48" t="str">
        <x:v>PASS</x:v>
      </x:c>
      <x:c r="D92" s="48" t="str">
        <x:v>requirement-development-calibration</x:v>
      </x:c>
      <x:c r="E92" s="48" t="str">
        <x:v>TRF-046</x:v>
      </x:c>
      <x:c r="F92" s="48" t="str">
        <x:v>/Users/sadisfaction570/Desktop/Journal 1/NLTL_v2/MVP/SHACL_GENERATION_PIPELINE/outputs/development_batch01/runs/RUN-TRF-046-20260812T155816159890Z/final/final_shape.ttl</x:v>
      </x:c>
      <x:c r="G92" s="48" t="str">
        <x:v>/Users/sadisfaction570/Desktop/Journal 1/NLTL_v2/MVP/INPUTS/DEVELOPMENT_CALIBRATION/BATCH_01_FIRST_50/rdf_fixtures/TRF-046/trf-046_01_pass.ttl</x:v>
      </x:c>
      <x:c r="H92" s="48" t="str">
        <x:v>d0ed91592d9285c07680610fbfaaea253cb96c09b7f63429e192ba384938a233</x:v>
      </x:c>
      <x:c r="I92" s="48" t="str">
        <x:v>ede612afa1ce9db728e381944205e2f5e181951114102a1612fdb515bd4cd301</x:v>
      </x:c>
      <x:c r="J92" s="48" t="str">
        <x:v>TRUE</x:v>
      </x:c>
      <x:c r="K92" s="64" t="str">
        <x:v>TRUE</x:v>
      </x:c>
      <x:c r="L92" s="48" t="str">
        <x:v>TRUE</x:v>
      </x:c>
      <x:c r="M92" s="64" t="str">
        <x:v>FALSE</x:v>
      </x:c>
      <x:c r="N92" s="48" t="str">
        <x:v>FALSE</x:v>
      </x:c>
      <x:c r="O92" s="65" t="n">
        <x:v>53</x:v>
      </x:c>
      <x:c r="P92" s="64" t="n">
        <x:v>359.824</x:v>
      </x:c>
      <x:c r="Q92" s="49" t="str"/>
      <x:c r="R92" s="48" t="str">
        <x:v>Conforms: false | The upper end of the main frame's strengthened part must be attached to a deck structure, tank boundary plating, or ice stringer.</x:v>
      </x:c>
    </x:row>
    <x:row r="93">
      <x:c r="A93" s="48" t="str">
        <x:v>BATCH01-R3-LATEST-ACCEPTED-SHAPES</x:v>
      </x:c>
      <x:c r="B93" s="48" t="str">
        <x:v>B01-TRF-046-FAIL</x:v>
      </x:c>
      <x:c r="C93" s="48" t="str">
        <x:v>FAIL</x:v>
      </x:c>
      <x:c r="D93" s="48" t="str">
        <x:v>requirement-development-calibration</x:v>
      </x:c>
      <x:c r="E93" s="48" t="str">
        <x:v>TRF-046</x:v>
      </x:c>
      <x:c r="F93" s="48" t="str">
        <x:v>/Users/sadisfaction570/Desktop/Journal 1/NLTL_v2/MVP/SHACL_GENERATION_PIPELINE/outputs/development_batch01/runs/RUN-TRF-046-20260812T155816159890Z/final/final_shape.ttl</x:v>
      </x:c>
      <x:c r="G93" s="48" t="str">
        <x:v>/Users/sadisfaction570/Desktop/Journal 1/NLTL_v2/MVP/INPUTS/DEVELOPMENT_CALIBRATION/BATCH_01_FIRST_50/rdf_fixtures/TRF-046/trf-046_02_fail.ttl</x:v>
      </x:c>
      <x:c r="H93" s="48" t="str">
        <x:v>d0ed91592d9285c07680610fbfaaea253cb96c09b7f63429e192ba384938a233</x:v>
      </x:c>
      <x:c r="I93" s="48" t="str">
        <x:v>208c698219eb4fe7ec060ff5cdb8acb5557e2bdd3917a4b4f029fda3967b4442</x:v>
      </x:c>
      <x:c r="J93" s="48" t="str">
        <x:v>TRUE</x:v>
      </x:c>
      <x:c r="K93" s="64" t="str">
        <x:v>FALSE</x:v>
      </x:c>
      <x:c r="L93" s="48" t="str">
        <x:v>TRUE</x:v>
      </x:c>
      <x:c r="M93" s="64" t="str">
        <x:v>FALSE</x:v>
      </x:c>
      <x:c r="N93" s="48" t="str">
        <x:v>TRUE</x:v>
      </x:c>
      <x:c r="O93" s="65" t="n">
        <x:v>53</x:v>
      </x:c>
      <x:c r="P93" s="64" t="n">
        <x:v>358.714</x:v>
      </x:c>
      <x:c r="Q93" s="49" t="str"/>
      <x:c r="R93" s="48" t="str">
        <x:v>Conforms: false | The upper end of the main frame's strengthened part must be attached to a deck structure, tank boundary plating, or ice stringer.</x:v>
      </x:c>
    </x:row>
    <x:row r="94">
      <x:c r="A94" s="48" t="str">
        <x:v>BATCH01-R3-LATEST-ACCEPTED-SHAPES</x:v>
      </x:c>
      <x:c r="B94" s="48" t="str">
        <x:v>B01-TRF-046-BOUNDARY</x:v>
      </x:c>
      <x:c r="C94" s="48" t="str">
        <x:v>BOUNDARY</x:v>
      </x:c>
      <x:c r="D94" s="48" t="str">
        <x:v>requirement-development-calibration</x:v>
      </x:c>
      <x:c r="E94" s="48" t="str">
        <x:v>TRF-046</x:v>
      </x:c>
      <x:c r="F94" s="48" t="str">
        <x:v>/Users/sadisfaction570/Desktop/Journal 1/NLTL_v2/MVP/SHACL_GENERATION_PIPELINE/outputs/development_batch01/runs/RUN-TRF-046-20260812T155816159890Z/final/final_shape.ttl</x:v>
      </x:c>
      <x:c r="G94" s="48" t="str">
        <x:v>/Users/sadisfaction570/Desktop/Journal 1/NLTL_v2/MVP/INPUTS/DEVELOPMENT_CALIBRATION/BATCH_01_FIRST_50/rdf_fixtures/TRF-046/trf-046_03_boundary.ttl</x:v>
      </x:c>
      <x:c r="H94" s="48" t="str">
        <x:v>d0ed91592d9285c07680610fbfaaea253cb96c09b7f63429e192ba384938a233</x:v>
      </x:c>
      <x:c r="I94" s="48" t="str">
        <x:v>7b3e7dfe860ec7370a536fab70ff0bb3e6000da0db7a993824665a51fbc623b7</x:v>
      </x:c>
      <x:c r="J94" s="48" t="str">
        <x:v>TRUE</x:v>
      </x:c>
      <x:c r="K94" s="64" t="str">
        <x:v>TRUE</x:v>
      </x:c>
      <x:c r="L94" s="48" t="str">
        <x:v>TRUE</x:v>
      </x:c>
      <x:c r="M94" s="64" t="str">
        <x:v>FALSE</x:v>
      </x:c>
      <x:c r="N94" s="48" t="str">
        <x:v>FALSE</x:v>
      </x:c>
      <x:c r="O94" s="65" t="n">
        <x:v>53</x:v>
      </x:c>
      <x:c r="P94" s="64" t="n">
        <x:v>392.036</x:v>
      </x:c>
      <x:c r="Q94" s="49" t="str"/>
      <x:c r="R94" s="48" t="str">
        <x:v>Conforms: false | The upper end of the main frame's strengthened part must be attached to a deck structure, tank boundary plating, or ice stringer.</x:v>
      </x:c>
    </x:row>
    <x:row r="95">
      <x:c r="A95" s="48" t="str">
        <x:v>BATCH01-R3-LATEST-ACCEPTED-SHAPES</x:v>
      </x:c>
      <x:c r="B95" s="48" t="str">
        <x:v>B01-TRF-047-PASS</x:v>
      </x:c>
      <x:c r="C95" s="48" t="str">
        <x:v>PASS</x:v>
      </x:c>
      <x:c r="D95" s="48" t="str">
        <x:v>requirement-development-calibration</x:v>
      </x:c>
      <x:c r="E95" s="48" t="str">
        <x:v>TRF-047</x:v>
      </x:c>
      <x:c r="F95" s="48" t="str">
        <x:v>/Users/sadisfaction570/Desktop/Journal 1/NLTL_v2/MVP/SHACL_GENERATION_PIPELINE/outputs/development_batch01/runs/RUN-TRF-047-20260812T160032342142Z/final/final_shape.ttl</x:v>
      </x:c>
      <x:c r="G95" s="48" t="str">
        <x:v>/Users/sadisfaction570/Desktop/Journal 1/NLTL_v2/MVP/INPUTS/DEVELOPMENT_CALIBRATION/BATCH_01_FIRST_50/rdf_fixtures/TRF-047/trf-047_01_pass.ttl</x:v>
      </x:c>
      <x:c r="H95" s="48" t="str">
        <x:v>2f4d5818fd0a93e0e15b4bf4bbcc682afd64b16356ee026de779d5c0053df306</x:v>
      </x:c>
      <x:c r="I95" s="48" t="str">
        <x:v>d6510c2dcc3f539d8f081b39b13f054b2acb28b6aa4f4b3a869f87b6a190d765</x:v>
      </x:c>
      <x:c r="J95" s="48" t="str">
        <x:v>TRUE</x:v>
      </x:c>
      <x:c r="K95" s="64" t="str">
        <x:v>TRUE</x:v>
      </x:c>
      <x:c r="L95" s="48" t="str">
        <x:v>TRUE</x:v>
      </x:c>
      <x:c r="M95" s="64" t="str">
        <x:v>TRUE</x:v>
      </x:c>
      <x:c r="N95" s="48" t="str">
        <x:v>TRUE</x:v>
      </x:c>
      <x:c r="O95" s="65" t="n">
        <x:v>2</x:v>
      </x:c>
      <x:c r="P95" s="64" t="n">
        <x:v>331.366</x:v>
      </x:c>
      <x:c r="Q95" s="49" t="str"/>
      <x:c r="R95" s="48" t="str">
        <x:v>Conforms: true</x:v>
      </x:c>
    </x:row>
    <x:row r="96">
      <x:c r="A96" s="48" t="str">
        <x:v>BATCH01-R3-LATEST-ACCEPTED-SHAPES</x:v>
      </x:c>
      <x:c r="B96" s="48" t="str">
        <x:v>B01-TRF-047-FAIL</x:v>
      </x:c>
      <x:c r="C96" s="48" t="str">
        <x:v>FAIL</x:v>
      </x:c>
      <x:c r="D96" s="48" t="str">
        <x:v>requirement-development-calibration</x:v>
      </x:c>
      <x:c r="E96" s="48" t="str">
        <x:v>TRF-047</x:v>
      </x:c>
      <x:c r="F96" s="48" t="str">
        <x:v>/Users/sadisfaction570/Desktop/Journal 1/NLTL_v2/MVP/SHACL_GENERATION_PIPELINE/outputs/development_batch01/runs/RUN-TRF-047-20260812T160032342142Z/final/final_shape.ttl</x:v>
      </x:c>
      <x:c r="G96" s="48" t="str">
        <x:v>/Users/sadisfaction570/Desktop/Journal 1/NLTL_v2/MVP/INPUTS/DEVELOPMENT_CALIBRATION/BATCH_01_FIRST_50/rdf_fixtures/TRF-047/trf-047_02_fail.ttl</x:v>
      </x:c>
      <x:c r="H96" s="48" t="str">
        <x:v>2f4d5818fd0a93e0e15b4bf4bbcc682afd64b16356ee026de779d5c0053df306</x:v>
      </x:c>
      <x:c r="I96" s="48" t="str">
        <x:v>30a046cea1ddec533585e0bf272e0a4c2b72f95f410aaf048c9cadd3b035f472</x:v>
      </x:c>
      <x:c r="J96" s="48" t="str">
        <x:v>TRUE</x:v>
      </x:c>
      <x:c r="K96" s="64" t="str">
        <x:v>FALSE</x:v>
      </x:c>
      <x:c r="L96" s="48" t="str">
        <x:v>TRUE</x:v>
      </x:c>
      <x:c r="M96" s="64" t="str">
        <x:v>TRUE</x:v>
      </x:c>
      <x:c r="N96" s="48" t="str">
        <x:v>FALSE</x:v>
      </x:c>
      <x:c r="O96" s="65" t="n">
        <x:v>2</x:v>
      </x:c>
      <x:c r="P96" s="64" t="n">
        <x:v>329.46</x:v>
      </x:c>
      <x:c r="Q96" s="49" t="str"/>
      <x:c r="R96" s="48" t="str">
        <x:v>Conforms: true</x:v>
      </x:c>
    </x:row>
    <x:row r="97">
      <x:c r="A97" s="48" t="str">
        <x:v>BATCH01-R3-LATEST-ACCEPTED-SHAPES</x:v>
      </x:c>
      <x:c r="B97" s="48" t="str">
        <x:v>B01-TRF-047-BOUNDARY</x:v>
      </x:c>
      <x:c r="C97" s="48" t="str">
        <x:v>BOUNDARY</x:v>
      </x:c>
      <x:c r="D97" s="48" t="str">
        <x:v>requirement-development-calibration</x:v>
      </x:c>
      <x:c r="E97" s="48" t="str">
        <x:v>TRF-047</x:v>
      </x:c>
      <x:c r="F97" s="48" t="str">
        <x:v>/Users/sadisfaction570/Desktop/Journal 1/NLTL_v2/MVP/SHACL_GENERATION_PIPELINE/outputs/development_batch01/runs/RUN-TRF-047-20260812T160032342142Z/final/final_shape.ttl</x:v>
      </x:c>
      <x:c r="G97" s="48" t="str">
        <x:v>/Users/sadisfaction570/Desktop/Journal 1/NLTL_v2/MVP/INPUTS/DEVELOPMENT_CALIBRATION/BATCH_01_FIRST_50/rdf_fixtures/TRF-047/trf-047_03_boundary.ttl</x:v>
      </x:c>
      <x:c r="H97" s="48" t="str">
        <x:v>2f4d5818fd0a93e0e15b4bf4bbcc682afd64b16356ee026de779d5c0053df306</x:v>
      </x:c>
      <x:c r="I97" s="48" t="str">
        <x:v>dd134368305de1c374ed3b52910ea7168202da1508706853b37be796a8d76993</x:v>
      </x:c>
      <x:c r="J97" s="48" t="str">
        <x:v>TRUE</x:v>
      </x:c>
      <x:c r="K97" s="64" t="str">
        <x:v>TRUE</x:v>
      </x:c>
      <x:c r="L97" s="48" t="str">
        <x:v>TRUE</x:v>
      </x:c>
      <x:c r="M97" s="64" t="str">
        <x:v>TRUE</x:v>
      </x:c>
      <x:c r="N97" s="48" t="str">
        <x:v>TRUE</x:v>
      </x:c>
      <x:c r="O97" s="65" t="n">
        <x:v>2</x:v>
      </x:c>
      <x:c r="P97" s="64" t="n">
        <x:v>328.896</x:v>
      </x:c>
      <x:c r="Q97" s="49" t="str"/>
      <x:c r="R97" s="48" t="str">
        <x:v>Conforms: true</x:v>
      </x:c>
    </x:row>
    <x:row r="98">
      <x:c r="A98" s="48" t="str">
        <x:v>BATCH01-R3-LATEST-ACCEPTED-SHAPES</x:v>
      </x:c>
      <x:c r="B98" s="48" t="str">
        <x:v>B01-TRF-048-PASS</x:v>
      </x:c>
      <x:c r="C98" s="48" t="str">
        <x:v>PASS</x:v>
      </x:c>
      <x:c r="D98" s="48" t="str">
        <x:v>requirement-development-calibration</x:v>
      </x:c>
      <x:c r="E98" s="48" t="str">
        <x:v>TRF-048</x:v>
      </x:c>
      <x:c r="F98" s="48" t="str">
        <x:v>/Users/sadisfaction570/Desktop/Journal 1/NLTL_v2/MVP/SHACL_GENERATION_PIPELINE/outputs/development_batch01/runs/RUN-TRF-048-20260812T160233914783Z/final/final_shape.ttl</x:v>
      </x:c>
      <x:c r="G98" s="48" t="str">
        <x:v>/Users/sadisfaction570/Desktop/Journal 1/NLTL_v2/MVP/INPUTS/DEVELOPMENT_CALIBRATION/BATCH_01_FIRST_50/rdf_fixtures/TRF-048/trf-048_01_pass.ttl</x:v>
      </x:c>
      <x:c r="H98" s="48" t="str">
        <x:v>e8f75a2c7f0ed89fd083c4485555504a361b6accd02d48779bf175223a44d7e1</x:v>
      </x:c>
      <x:c r="I98" s="48" t="str">
        <x:v>c4a2f31594b5b9e0d676997118765dd59670c2f8b89daed2678cf507ed0dc6e4</x:v>
      </x:c>
      <x:c r="J98" s="48" t="str">
        <x:v>TRUE</x:v>
      </x:c>
      <x:c r="K98" s="64" t="str">
        <x:v>TRUE</x:v>
      </x:c>
      <x:c r="L98" s="48" t="str">
        <x:v>TRUE</x:v>
      </x:c>
      <x:c r="M98" s="64" t="str">
        <x:v>FALSE</x:v>
      </x:c>
      <x:c r="N98" s="48" t="str">
        <x:v>FALSE</x:v>
      </x:c>
      <x:c r="O98" s="65" t="n">
        <x:v>22</x:v>
      </x:c>
      <x:c r="P98" s="64" t="n">
        <x:v>489.877</x:v>
      </x:c>
      <x:c r="Q98" s="49" t="str"/>
      <x:c r="R98" s="48" t="str">
        <x:v>Conforms: false | Section modulus must equal f4*p*h*l^2/(4*m*yieldStrength)*10^6 cm3.</x:v>
      </x:c>
    </x:row>
    <x:row r="99">
      <x:c r="A99" s="48" t="str">
        <x:v>BATCH01-R3-LATEST-ACCEPTED-SHAPES</x:v>
      </x:c>
      <x:c r="B99" s="48" t="str">
        <x:v>B01-TRF-048-FAIL</x:v>
      </x:c>
      <x:c r="C99" s="48" t="str">
        <x:v>FAIL</x:v>
      </x:c>
      <x:c r="D99" s="48" t="str">
        <x:v>requirement-development-calibration</x:v>
      </x:c>
      <x:c r="E99" s="48" t="str">
        <x:v>TRF-048</x:v>
      </x:c>
      <x:c r="F99" s="48" t="str">
        <x:v>/Users/sadisfaction570/Desktop/Journal 1/NLTL_v2/MVP/SHACL_GENERATION_PIPELINE/outputs/development_batch01/runs/RUN-TRF-048-20260812T160233914783Z/final/final_shape.ttl</x:v>
      </x:c>
      <x:c r="G99" s="48" t="str">
        <x:v>/Users/sadisfaction570/Desktop/Journal 1/NLTL_v2/MVP/INPUTS/DEVELOPMENT_CALIBRATION/BATCH_01_FIRST_50/rdf_fixtures/TRF-048/trf-048_02_fail.ttl</x:v>
      </x:c>
      <x:c r="H99" s="48" t="str">
        <x:v>e8f75a2c7f0ed89fd083c4485555504a361b6accd02d48779bf175223a44d7e1</x:v>
      </x:c>
      <x:c r="I99" s="48" t="str">
        <x:v>d7e4340fb0099bc397970c1bad09d78a6f108bdda3ef1185a18f48a95dc2f9be</x:v>
      </x:c>
      <x:c r="J99" s="48" t="str">
        <x:v>TRUE</x:v>
      </x:c>
      <x:c r="K99" s="64" t="str">
        <x:v>FALSE</x:v>
      </x:c>
      <x:c r="L99" s="48" t="str">
        <x:v>TRUE</x:v>
      </x:c>
      <x:c r="M99" s="64" t="str">
        <x:v>FALSE</x:v>
      </x:c>
      <x:c r="N99" s="48" t="str">
        <x:v>TRUE</x:v>
      </x:c>
      <x:c r="O99" s="65" t="n">
        <x:v>42</x:v>
      </x:c>
      <x:c r="P99" s="64" t="n">
        <x:v>517.31</x:v>
      </x:c>
      <x:c r="Q99" s="49" t="str"/>
      <x:c r="R99" s="48" t="str">
        <x:v>Conforms: false | Section modulus must equal f4*p*h*l^2/(4*m*yieldStrength)*10^6 cm3.</x:v>
      </x:c>
    </x:row>
    <x:row r="100">
      <x:c r="A100" s="48" t="str">
        <x:v>BATCH01-R3-LATEST-ACCEPTED-SHAPES</x:v>
      </x:c>
      <x:c r="B100" s="48" t="str">
        <x:v>B01-TRF-048-BOUNDARY</x:v>
      </x:c>
      <x:c r="C100" s="48" t="str">
        <x:v>BOUNDARY</x:v>
      </x:c>
      <x:c r="D100" s="48" t="str">
        <x:v>requirement-development-calibration</x:v>
      </x:c>
      <x:c r="E100" s="48" t="str">
        <x:v>TRF-048</x:v>
      </x:c>
      <x:c r="F100" s="48" t="str">
        <x:v>/Users/sadisfaction570/Desktop/Journal 1/NLTL_v2/MVP/SHACL_GENERATION_PIPELINE/outputs/development_batch01/runs/RUN-TRF-048-20260812T160233914783Z/final/final_shape.ttl</x:v>
      </x:c>
      <x:c r="G100" s="48" t="str">
        <x:v>/Users/sadisfaction570/Desktop/Journal 1/NLTL_v2/MVP/INPUTS/DEVELOPMENT_CALIBRATION/BATCH_01_FIRST_50/rdf_fixtures/TRF-048/trf-048_03_boundary.ttl</x:v>
      </x:c>
      <x:c r="H100" s="48" t="str">
        <x:v>e8f75a2c7f0ed89fd083c4485555504a361b6accd02d48779bf175223a44d7e1</x:v>
      </x:c>
      <x:c r="I100" s="48" t="str">
        <x:v>5ad2acc1059006f5d84698e0759961edef531294f3b7ffa564353110b1fe2ecd</x:v>
      </x:c>
      <x:c r="J100" s="48" t="str">
        <x:v>TRUE</x:v>
      </x:c>
      <x:c r="K100" s="64" t="str">
        <x:v>TRUE</x:v>
      </x:c>
      <x:c r="L100" s="48" t="str">
        <x:v>TRUE</x:v>
      </x:c>
      <x:c r="M100" s="64" t="str">
        <x:v>FALSE</x:v>
      </x:c>
      <x:c r="N100" s="48" t="str">
        <x:v>FALSE</x:v>
      </x:c>
      <x:c r="O100" s="65" t="n">
        <x:v>22</x:v>
      </x:c>
      <x:c r="P100" s="64" t="n">
        <x:v>485.187</x:v>
      </x:c>
      <x:c r="Q100" s="49" t="str"/>
      <x:c r="R100" s="48" t="str">
        <x:v>Conforms: false | Section modulus must equal f4*p*h*l^2/(4*m*yieldStrength)*10^6 cm3.</x:v>
      </x:c>
    </x:row>
    <x:row r="101">
      <x:c r="A101" s="48" t="str">
        <x:v>BATCH01-R3-LATEST-ACCEPTED-SHAPES</x:v>
      </x:c>
      <x:c r="B101" s="48" t="str">
        <x:v>B01-TRF-049-PASS</x:v>
      </x:c>
      <x:c r="C101" s="48" t="str">
        <x:v>PASS</x:v>
      </x:c>
      <x:c r="D101" s="48" t="str">
        <x:v>requirement-development-calibration</x:v>
      </x:c>
      <x:c r="E101" s="48" t="str">
        <x:v>TRF-049</x:v>
      </x:c>
      <x:c r="F101" s="48" t="str">
        <x:v>/Users/sadisfaction570/Desktop/Journal 1/NLTL_v2/MVP/SHACL_GENERATION_PIPELINE/outputs/development_batch01/runs/RUN-TRF-049-20260812T160533382226Z/final/final_shape.ttl</x:v>
      </x:c>
      <x:c r="G101" s="48" t="str">
        <x:v>/Users/sadisfaction570/Desktop/Journal 1/NLTL_v2/MVP/INPUTS/DEVELOPMENT_CALIBRATION/BATCH_01_FIRST_50/rdf_fixtures/TRF-049/trf-049_01_pass.ttl</x:v>
      </x:c>
      <x:c r="H101" s="48" t="str">
        <x:v>86e3c9f41f2206c73d477930cb3fb1d369d6073e0d141952437322d78309d10a</x:v>
      </x:c>
      <x:c r="I101" s="48" t="str">
        <x:v>65a6e9b535711fa38321e7f8921c16e4eceaa7cd59bd746552f1a4a00c5b8630</x:v>
      </x:c>
      <x:c r="J101" s="48" t="str">
        <x:v>TRUE</x:v>
      </x:c>
      <x:c r="K101" s="64" t="str">
        <x:v>TRUE</x:v>
      </x:c>
      <x:c r="L101" s="48" t="str">
        <x:v>TRUE</x:v>
      </x:c>
      <x:c r="M101" s="64" t="str">
        <x:v>FALSE</x:v>
      </x:c>
      <x:c r="N101" s="48" t="str">
        <x:v>FALSE</x:v>
      </x:c>
      <x:c r="O101" s="65" t="n">
        <x:v>24</x:v>
      </x:c>
      <x:c r="P101" s="64" t="n">
        <x:v>401.272</x:v>
      </x:c>
      <x:c r="Q101" s="49" t="str"/>
      <x:c r="R101" s="48" t="str">
        <x:v>Conforms: false | A transverse frame terminating at a deck or ice stringer must have a connection bracket or a similar frame attachment.</x:v>
      </x:c>
    </x:row>
    <x:row r="102">
      <x:c r="A102" s="48" t="str">
        <x:v>BATCH01-R3-LATEST-ACCEPTED-SHAPES</x:v>
      </x:c>
      <x:c r="B102" s="48" t="str">
        <x:v>B01-TRF-049-FAIL</x:v>
      </x:c>
      <x:c r="C102" s="48" t="str">
        <x:v>FAIL</x:v>
      </x:c>
      <x:c r="D102" s="48" t="str">
        <x:v>requirement-development-calibration</x:v>
      </x:c>
      <x:c r="E102" s="48" t="str">
        <x:v>TRF-049</x:v>
      </x:c>
      <x:c r="F102" s="48" t="str">
        <x:v>/Users/sadisfaction570/Desktop/Journal 1/NLTL_v2/MVP/SHACL_GENERATION_PIPELINE/outputs/development_batch01/runs/RUN-TRF-049-20260812T160533382226Z/final/final_shape.ttl</x:v>
      </x:c>
      <x:c r="G102" s="48" t="str">
        <x:v>/Users/sadisfaction570/Desktop/Journal 1/NLTL_v2/MVP/INPUTS/DEVELOPMENT_CALIBRATION/BATCH_01_FIRST_50/rdf_fixtures/TRF-049/trf-049_02_fail.ttl</x:v>
      </x:c>
      <x:c r="H102" s="48" t="str">
        <x:v>86e3c9f41f2206c73d477930cb3fb1d369d6073e0d141952437322d78309d10a</x:v>
      </x:c>
      <x:c r="I102" s="48" t="str">
        <x:v>0c6f33acbd244e460ffd4efb2d07b30ccbe4a02a80a9a1eb7698cfa1baa205cb</x:v>
      </x:c>
      <x:c r="J102" s="48" t="str">
        <x:v>TRUE</x:v>
      </x:c>
      <x:c r="K102" s="64" t="str">
        <x:v>FALSE</x:v>
      </x:c>
      <x:c r="L102" s="48" t="str">
        <x:v>TRUE</x:v>
      </x:c>
      <x:c r="M102" s="64" t="str">
        <x:v>FALSE</x:v>
      </x:c>
      <x:c r="N102" s="48" t="str">
        <x:v>TRUE</x:v>
      </x:c>
      <x:c r="O102" s="65" t="n">
        <x:v>24</x:v>
      </x:c>
      <x:c r="P102" s="64" t="n">
        <x:v>421.844</x:v>
      </x:c>
      <x:c r="Q102" s="49" t="str"/>
      <x:c r="R102" s="48" t="str">
        <x:v>Conforms: false | A transverse frame terminating at a deck or ice stringer must have a connection bracket or a similar frame attachment.</x:v>
      </x:c>
    </x:row>
    <x:row r="103">
      <x:c r="A103" s="48" t="str">
        <x:v>BATCH01-R3-LATEST-ACCEPTED-SHAPES</x:v>
      </x:c>
      <x:c r="B103" s="48" t="str">
        <x:v>B01-TRF-049-BOUNDARY</x:v>
      </x:c>
      <x:c r="C103" s="48" t="str">
        <x:v>BOUNDARY</x:v>
      </x:c>
      <x:c r="D103" s="48" t="str">
        <x:v>requirement-development-calibration</x:v>
      </x:c>
      <x:c r="E103" s="48" t="str">
        <x:v>TRF-049</x:v>
      </x:c>
      <x:c r="F103" s="48" t="str">
        <x:v>/Users/sadisfaction570/Desktop/Journal 1/NLTL_v2/MVP/SHACL_GENERATION_PIPELINE/outputs/development_batch01/runs/RUN-TRF-049-20260812T160533382226Z/final/final_shape.ttl</x:v>
      </x:c>
      <x:c r="G103" s="48" t="str">
        <x:v>/Users/sadisfaction570/Desktop/Journal 1/NLTL_v2/MVP/INPUTS/DEVELOPMENT_CALIBRATION/BATCH_01_FIRST_50/rdf_fixtures/TRF-049/trf-049_03_boundary.ttl</x:v>
      </x:c>
      <x:c r="H103" s="48" t="str">
        <x:v>86e3c9f41f2206c73d477930cb3fb1d369d6073e0d141952437322d78309d10a</x:v>
      </x:c>
      <x:c r="I103" s="48" t="str">
        <x:v>53b4e5074acb880a8efb059ac0782ab1e1dda1b620dc9d79aba61d240b8ea57b</x:v>
      </x:c>
      <x:c r="J103" s="48" t="str">
        <x:v>TRUE</x:v>
      </x:c>
      <x:c r="K103" s="64" t="str">
        <x:v>TRUE</x:v>
      </x:c>
      <x:c r="L103" s="48" t="str">
        <x:v>TRUE</x:v>
      </x:c>
      <x:c r="M103" s="64" t="str">
        <x:v>FALSE</x:v>
      </x:c>
      <x:c r="N103" s="48" t="str">
        <x:v>FALSE</x:v>
      </x:c>
      <x:c r="O103" s="65" t="n">
        <x:v>24</x:v>
      </x:c>
      <x:c r="P103" s="64" t="n">
        <x:v>407.975</x:v>
      </x:c>
      <x:c r="Q103" s="49" t="str"/>
      <x:c r="R103" s="48" t="str">
        <x:v>Conforms: false | A transverse frame terminating at a deck or ice stringer must have a connection bracket or a similar frame attachment.</x:v>
      </x:c>
    </x:row>
    <x:row r="104">
      <x:c r="A104" s="48" t="str">
        <x:v>BATCH01-R3-LATEST-ACCEPTED-SHAPES</x:v>
      </x:c>
      <x:c r="B104" s="48" t="str">
        <x:v>B01-TRF-050-PASS</x:v>
      </x:c>
      <x:c r="C104" s="48" t="str">
        <x:v>PASS</x:v>
      </x:c>
      <x:c r="D104" s="48" t="str">
        <x:v>requirement-development-calibration</x:v>
      </x:c>
      <x:c r="E104" s="48" t="str">
        <x:v>TRF-050</x:v>
      </x:c>
      <x:c r="F104" s="48" t="str">
        <x:v>/Users/sadisfaction570/Desktop/Journal 1/NLTL_v2/MVP/SHACL_GENERATION_PIPELINE/outputs/development_batch01/runs/RUN-TRF-050-20260812T160844109138Z/final/final_shape.ttl</x:v>
      </x:c>
      <x:c r="G104" s="48" t="str">
        <x:v>/Users/sadisfaction570/Desktop/Journal 1/NLTL_v2/MVP/INPUTS/DEVELOPMENT_CALIBRATION/BATCH_01_FIRST_50/rdf_fixtures/TRF-050/trf-050_01_pass.ttl</x:v>
      </x:c>
      <x:c r="H104" s="48" t="str">
        <x:v>d47794af7de09ca948e91a9999bafbaa57616e9aaa32ff8d702ea46bdf107ea5</x:v>
      </x:c>
      <x:c r="I104" s="48" t="str">
        <x:v>00ec9cd718743964e913d573e118459d0cfbd3fd3e167ef69f33d80d9618c21c</x:v>
      </x:c>
      <x:c r="J104" s="48" t="str">
        <x:v>TRUE</x:v>
      </x:c>
      <x:c r="K104" s="64" t="str">
        <x:v>TRUE</x:v>
      </x:c>
      <x:c r="L104" s="48" t="str">
        <x:v>TRUE</x:v>
      </x:c>
      <x:c r="M104" s="64" t="str">
        <x:v>TRUE</x:v>
      </x:c>
      <x:c r="N104" s="48" t="str">
        <x:v>TRUE</x:v>
      </x:c>
      <x:c r="O104" s="65" t="n">
        <x:v>2</x:v>
      </x:c>
      <x:c r="P104" s="64" t="n">
        <x:v>335.745</x:v>
      </x:c>
      <x:c r="Q104" s="49" t="str"/>
      <x:c r="R104" s="48" t="str">
        <x:v>Conforms: true</x:v>
      </x:c>
    </x:row>
    <x:row r="105">
      <x:c r="A105" s="48" t="str">
        <x:v>BATCH01-R3-LATEST-ACCEPTED-SHAPES</x:v>
      </x:c>
      <x:c r="B105" s="48" t="str">
        <x:v>B01-TRF-050-FAIL</x:v>
      </x:c>
      <x:c r="C105" s="48" t="str">
        <x:v>FAIL</x:v>
      </x:c>
      <x:c r="D105" s="48" t="str">
        <x:v>requirement-development-calibration</x:v>
      </x:c>
      <x:c r="E105" s="48" t="str">
        <x:v>TRF-050</x:v>
      </x:c>
      <x:c r="F105" s="48" t="str">
        <x:v>/Users/sadisfaction570/Desktop/Journal 1/NLTL_v2/MVP/SHACL_GENERATION_PIPELINE/outputs/development_batch01/runs/RUN-TRF-050-20260812T160844109138Z/final/final_shape.ttl</x:v>
      </x:c>
      <x:c r="G105" s="48" t="str">
        <x:v>/Users/sadisfaction570/Desktop/Journal 1/NLTL_v2/MVP/INPUTS/DEVELOPMENT_CALIBRATION/BATCH_01_FIRST_50/rdf_fixtures/TRF-050/trf-050_02_fail.ttl</x:v>
      </x:c>
      <x:c r="H105" s="48" t="str">
        <x:v>d47794af7de09ca948e91a9999bafbaa57616e9aaa32ff8d702ea46bdf107ea5</x:v>
      </x:c>
      <x:c r="I105" s="48" t="str">
        <x:v>aace1520f8b87c07fdd04d126522db505aac4da0a63ef2480057f85d2e13e6b9</x:v>
      </x:c>
      <x:c r="J105" s="48" t="str">
        <x:v>TRUE</x:v>
      </x:c>
      <x:c r="K105" s="64" t="str">
        <x:v>FALSE</x:v>
      </x:c>
      <x:c r="L105" s="48" t="str">
        <x:v>TRUE</x:v>
      </x:c>
      <x:c r="M105" s="64" t="str">
        <x:v>FALSE</x:v>
      </x:c>
      <x:c r="N105" s="48" t="str">
        <x:v>TRUE</x:v>
      </x:c>
      <x:c r="O105" s="65" t="n">
        <x:v>10</x:v>
      </x:c>
      <x:c r="P105" s="64" t="n">
        <x:v>335.599</x:v>
      </x:c>
      <x:c r="Q105" s="49" t="str"/>
      <x:c r="R105" s="48" t="str">
        <x:v>Conforms: false | Scalloping must be absent unless the attachment crosses a shell plate butt.</x:v>
      </x:c>
    </x:row>
    <x:row r="106">
      <x:c r="A106" s="48" t="str">
        <x:v>BATCH01-R3-LATEST-ACCEPTED-SHAPES</x:v>
      </x:c>
      <x:c r="B106" s="48" t="str">
        <x:v>B01-TRF-050-BOUNDARY</x:v>
      </x:c>
      <x:c r="C106" s="48" t="str">
        <x:v>BOUNDARY</x:v>
      </x:c>
      <x:c r="D106" s="48" t="str">
        <x:v>requirement-development-calibration</x:v>
      </x:c>
      <x:c r="E106" s="48" t="str">
        <x:v>TRF-050</x:v>
      </x:c>
      <x:c r="F106" s="48" t="str">
        <x:v>/Users/sadisfaction570/Desktop/Journal 1/NLTL_v2/MVP/SHACL_GENERATION_PIPELINE/outputs/development_batch01/runs/RUN-TRF-050-20260812T160844109138Z/final/final_shape.ttl</x:v>
      </x:c>
      <x:c r="G106" s="48" t="str">
        <x:v>/Users/sadisfaction570/Desktop/Journal 1/NLTL_v2/MVP/INPUTS/DEVELOPMENT_CALIBRATION/BATCH_01_FIRST_50/rdf_fixtures/TRF-050/trf-050_03_boundary.ttl</x:v>
      </x:c>
      <x:c r="H106" s="48" t="str">
        <x:v>d47794af7de09ca948e91a9999bafbaa57616e9aaa32ff8d702ea46bdf107ea5</x:v>
      </x:c>
      <x:c r="I106" s="48" t="str">
        <x:v>be3220689861323d043781c5e36d736676602790beaba64d52e86489e3f024d8</x:v>
      </x:c>
      <x:c r="J106" s="48" t="str">
        <x:v>TRUE</x:v>
      </x:c>
      <x:c r="K106" s="64" t="str">
        <x:v>TRUE</x:v>
      </x:c>
      <x:c r="L106" s="48" t="str">
        <x:v>TRUE</x:v>
      </x:c>
      <x:c r="M106" s="64" t="str">
        <x:v>TRUE</x:v>
      </x:c>
      <x:c r="N106" s="48" t="str">
        <x:v>TRUE</x:v>
      </x:c>
      <x:c r="O106" s="65" t="n">
        <x:v>2</x:v>
      </x:c>
      <x:c r="P106" s="64" t="n">
        <x:v>335.673</x:v>
      </x:c>
      <x:c r="Q106" s="49" t="str"/>
      <x:c r="R106" s="48" t="str">
        <x:v>Conforms: true</x:v>
      </x:c>
    </x:row>
    <x:row r="107">
      <x:c r="A107" s="48" t="str">
        <x:v>BATCH01-R3-LATEST-ACCEPTED-SHAPES</x:v>
      </x:c>
      <x:c r="B107" s="48" t="str">
        <x:v>B01-TRF-052-PASS</x:v>
      </x:c>
      <x:c r="C107" s="48" t="str">
        <x:v>PASS</x:v>
      </x:c>
      <x:c r="D107" s="48" t="str">
        <x:v>requirement-development-calibration</x:v>
      </x:c>
      <x:c r="E107" s="48" t="str">
        <x:v>TRF-052</x:v>
      </x:c>
      <x:c r="F107" s="48" t="str">
        <x:v>/Users/sadisfaction570/Desktop/Journal 1/NLTL_v2/MVP/SHACL_GENERATION_PIPELINE/outputs/development_batch01/runs/RUN-TRF-052-20260812T161157150600Z/final/final_shape.ttl</x:v>
      </x:c>
      <x:c r="G107" s="48" t="str">
        <x:v>/Users/sadisfaction570/Desktop/Journal 1/NLTL_v2/MVP/INPUTS/DEVELOPMENT_CALIBRATION/BATCH_01_FIRST_50/rdf_fixtures/TRF-052/trf-052_01_pass.ttl</x:v>
      </x:c>
      <x:c r="H107" s="48" t="str">
        <x:v>f2b3370b2eb8194a7c2e055e86d4533c291dedd2dc009a3238a7911a8e4320bd</x:v>
      </x:c>
      <x:c r="I107" s="48" t="str">
        <x:v>ec1a5da818045a5eacf797591e0d714064d4e500fad0cb7e7fd090de2db55a19</x:v>
      </x:c>
      <x:c r="J107" s="48" t="str">
        <x:v>TRUE</x:v>
      </x:c>
      <x:c r="K107" s="64" t="str">
        <x:v>TRUE</x:v>
      </x:c>
      <x:c r="L107" s="48" t="str">
        <x:v>TRUE</x:v>
      </x:c>
      <x:c r="M107" s="64" t="str">
        <x:v>TRUE</x:v>
      </x:c>
      <x:c r="N107" s="48" t="str">
        <x:v>TRUE</x:v>
      </x:c>
      <x:c r="O107" s="65" t="n">
        <x:v>2</x:v>
      </x:c>
      <x:c r="P107" s="64" t="n">
        <x:v>420.524</x:v>
      </x:c>
      <x:c r="Q107" s="49" t="str"/>
      <x:c r="R107" s="48" t="str">
        <x:v>Conforms: true</x:v>
      </x:c>
    </x:row>
    <x:row r="108">
      <x:c r="A108" s="48" t="str">
        <x:v>BATCH01-R3-LATEST-ACCEPTED-SHAPES</x:v>
      </x:c>
      <x:c r="B108" s="48" t="str">
        <x:v>B01-TRF-052-FAIL</x:v>
      </x:c>
      <x:c r="C108" s="48" t="str">
        <x:v>FAIL</x:v>
      </x:c>
      <x:c r="D108" s="48" t="str">
        <x:v>requirement-development-calibration</x:v>
      </x:c>
      <x:c r="E108" s="48" t="str">
        <x:v>TRF-052</x:v>
      </x:c>
      <x:c r="F108" s="48" t="str">
        <x:v>/Users/sadisfaction570/Desktop/Journal 1/NLTL_v2/MVP/SHACL_GENERATION_PIPELINE/outputs/development_batch01/runs/RUN-TRF-052-20260812T161157150600Z/final/final_shape.ttl</x:v>
      </x:c>
      <x:c r="G108" s="48" t="str">
        <x:v>/Users/sadisfaction570/Desktop/Journal 1/NLTL_v2/MVP/INPUTS/DEVELOPMENT_CALIBRATION/BATCH_01_FIRST_50/rdf_fixtures/TRF-052/trf-052_02_fail.ttl</x:v>
      </x:c>
      <x:c r="H108" s="48" t="str">
        <x:v>f2b3370b2eb8194a7c2e055e86d4533c291dedd2dc009a3238a7911a8e4320bd</x:v>
      </x:c>
      <x:c r="I108" s="48" t="str">
        <x:v>ab381bd68cd3a686591d70c8cbf6ae8920dde8aeca40ba68c1b6affc684ceaf1</x:v>
      </x:c>
      <x:c r="J108" s="48" t="str">
        <x:v>TRUE</x:v>
      </x:c>
      <x:c r="K108" s="64" t="str">
        <x:v>FALSE</x:v>
      </x:c>
      <x:c r="L108" s="48" t="str">
        <x:v>TRUE</x:v>
      </x:c>
      <x:c r="M108" s="64" t="str">
        <x:v>FALSE</x:v>
      </x:c>
      <x:c r="N108" s="48" t="str">
        <x:v>TRUE</x:v>
      </x:c>
      <x:c r="O108" s="65" t="n">
        <x:v>26</x:v>
      </x:c>
      <x:c r="P108" s="64" t="n">
        <x:v>382.487</x:v>
      </x:c>
      <x:c r="Q108" s="49" t="str"/>
      <x:c r="R108" s="48" t="str">
        <x:v>Conforms: false | For ice classes IA Super and IA, an applicable frame with span not exceeding 4 m must have antitripping support in the midbody region.</x:v>
      </x:c>
    </x:row>
    <x:row r="109">
      <x:c r="A109" s="48" t="str">
        <x:v>BATCH01-R3-LATEST-ACCEPTED-SHAPES</x:v>
      </x:c>
      <x:c r="B109" s="48" t="str">
        <x:v>B01-TRF-052-BOUNDARY</x:v>
      </x:c>
      <x:c r="C109" s="48" t="str">
        <x:v>BOUNDARY</x:v>
      </x:c>
      <x:c r="D109" s="48" t="str">
        <x:v>requirement-development-calibration</x:v>
      </x:c>
      <x:c r="E109" s="48" t="str">
        <x:v>TRF-052</x:v>
      </x:c>
      <x:c r="F109" s="48" t="str">
        <x:v>/Users/sadisfaction570/Desktop/Journal 1/NLTL_v2/MVP/SHACL_GENERATION_PIPELINE/outputs/development_batch01/runs/RUN-TRF-052-20260812T161157150600Z/final/final_shape.ttl</x:v>
      </x:c>
      <x:c r="G109" s="48" t="str">
        <x:v>/Users/sadisfaction570/Desktop/Journal 1/NLTL_v2/MVP/INPUTS/DEVELOPMENT_CALIBRATION/BATCH_01_FIRST_50/rdf_fixtures/TRF-052/trf-052_03_boundary.ttl</x:v>
      </x:c>
      <x:c r="H109" s="48" t="str">
        <x:v>f2b3370b2eb8194a7c2e055e86d4533c291dedd2dc009a3238a7911a8e4320bd</x:v>
      </x:c>
      <x:c r="I109" s="48" t="str">
        <x:v>11be55fb88653a1ed377d8eb51efe861c0163d86c005942c4edd3522a4aaf055</x:v>
      </x:c>
      <x:c r="J109" s="48" t="str">
        <x:v>TRUE</x:v>
      </x:c>
      <x:c r="K109" s="64" t="str">
        <x:v>TRUE</x:v>
      </x:c>
      <x:c r="L109" s="48" t="str">
        <x:v>TRUE</x:v>
      </x:c>
      <x:c r="M109" s="64" t="str">
        <x:v>TRUE</x:v>
      </x:c>
      <x:c r="N109" s="48" t="str">
        <x:v>TRUE</x:v>
      </x:c>
      <x:c r="O109" s="65" t="n">
        <x:v>2</x:v>
      </x:c>
      <x:c r="P109" s="64" t="n">
        <x:v>387.693</x:v>
      </x:c>
      <x:c r="Q109" s="49" t="str"/>
      <x:c r="R109" s="48" t="str">
        <x:v>Conforms: true</x:v>
      </x:c>
    </x:row>
    <x:row r="110">
      <x:c r="A110" s="48" t="str">
        <x:v>BATCH01-R3-LATEST-ACCEPTED-SHAPES</x:v>
      </x:c>
      <x:c r="B110" s="48" t="str">
        <x:v>B01-TRF-053-PASS</x:v>
      </x:c>
      <x:c r="C110" s="48" t="str">
        <x:v>PASS</x:v>
      </x:c>
      <x:c r="D110" s="48" t="str">
        <x:v>requirement-development-calibration</x:v>
      </x:c>
      <x:c r="E110" s="48" t="str">
        <x:v>TRF-053</x:v>
      </x:c>
      <x:c r="F110" s="48" t="str">
        <x:v>/Users/sadisfaction570/Desktop/Journal 1/NLTL_v2/MVP/SHACL_GENERATION_PIPELINE/outputs/development_batch01/runs/RUN-TRF-053-20260812T161317514077Z/final/final_shape.ttl</x:v>
      </x:c>
      <x:c r="G110" s="48" t="str">
        <x:v>/Users/sadisfaction570/Desktop/Journal 1/NLTL_v2/MVP/INPUTS/DEVELOPMENT_CALIBRATION/BATCH_01_FIRST_50/rdf_fixtures/TRF-053/trf-053_01_pass.ttl</x:v>
      </x:c>
      <x:c r="H110" s="48" t="str">
        <x:v>c290e8b6c4927e69bf2cd3eadac591dd9d65f6dcde6a0e1099cc6b244c28e149</x:v>
      </x:c>
      <x:c r="I110" s="48" t="str">
        <x:v>2a58622d8e30feff3148446727f9b608075b9fdccc14ad1e9846b358fcdf48be</x:v>
      </x:c>
      <x:c r="J110" s="48" t="str">
        <x:v>TRUE</x:v>
      </x:c>
      <x:c r="K110" s="64" t="str">
        <x:v>TRUE</x:v>
      </x:c>
      <x:c r="L110" s="48" t="str">
        <x:v>TRUE</x:v>
      </x:c>
      <x:c r="M110" s="64" t="str">
        <x:v>FALSE</x:v>
      </x:c>
      <x:c r="N110" s="48" t="str">
        <x:v>FALSE</x:v>
      </x:c>
      <x:c r="O110" s="65" t="n">
        <x:v>24</x:v>
      </x:c>
      <x:c r="P110" s="64" t="n">
        <x:v>453.208</x:v>
      </x:c>
      <x:c r="Q110" s="49" t="str"/>
      <x:c r="R110" s="48" t="str">
        <x:v>Conforms: false | Section modulus must satisfy the prescribed ice-stringer formula.</x:v>
      </x:c>
    </x:row>
    <x:row r="111">
      <x:c r="A111" s="48" t="str">
        <x:v>BATCH01-R3-LATEST-ACCEPTED-SHAPES</x:v>
      </x:c>
      <x:c r="B111" s="48" t="str">
        <x:v>B01-TRF-053-FAIL</x:v>
      </x:c>
      <x:c r="C111" s="48" t="str">
        <x:v>FAIL</x:v>
      </x:c>
      <x:c r="D111" s="48" t="str">
        <x:v>requirement-development-calibration</x:v>
      </x:c>
      <x:c r="E111" s="48" t="str">
        <x:v>TRF-053</x:v>
      </x:c>
      <x:c r="F111" s="48" t="str">
        <x:v>/Users/sadisfaction570/Desktop/Journal 1/NLTL_v2/MVP/SHACL_GENERATION_PIPELINE/outputs/development_batch01/runs/RUN-TRF-053-20260812T161317514077Z/final/final_shape.ttl</x:v>
      </x:c>
      <x:c r="G111" s="48" t="str">
        <x:v>/Users/sadisfaction570/Desktop/Journal 1/NLTL_v2/MVP/INPUTS/DEVELOPMENT_CALIBRATION/BATCH_01_FIRST_50/rdf_fixtures/TRF-053/trf-053_02_fail.ttl</x:v>
      </x:c>
      <x:c r="H111" s="48" t="str">
        <x:v>c290e8b6c4927e69bf2cd3eadac591dd9d65f6dcde6a0e1099cc6b244c28e149</x:v>
      </x:c>
      <x:c r="I111" s="48" t="str">
        <x:v>acc4a9f462462f0b5fc2ab7eb0915cd777e92beec1527ad2410c8b3280dede1d</x:v>
      </x:c>
      <x:c r="J111" s="48" t="str">
        <x:v>TRUE</x:v>
      </x:c>
      <x:c r="K111" s="64" t="str">
        <x:v>FALSE</x:v>
      </x:c>
      <x:c r="L111" s="48" t="str">
        <x:v>TRUE</x:v>
      </x:c>
      <x:c r="M111" s="64" t="str">
        <x:v>FALSE</x:v>
      </x:c>
      <x:c r="N111" s="48" t="str">
        <x:v>TRUE</x:v>
      </x:c>
      <x:c r="O111" s="65" t="n">
        <x:v>24</x:v>
      </x:c>
      <x:c r="P111" s="64" t="n">
        <x:v>422.075</x:v>
      </x:c>
      <x:c r="Q111" s="49" t="str"/>
      <x:c r="R111" s="48" t="str">
        <x:v>Conforms: false | Section modulus must satisfy the prescribed ice-stringer formula.</x:v>
      </x:c>
    </x:row>
    <x:row r="112">
      <x:c r="A112" s="48" t="str">
        <x:v>BATCH01-R3-LATEST-ACCEPTED-SHAPES</x:v>
      </x:c>
      <x:c r="B112" s="48" t="str">
        <x:v>B01-TRF-053-BOUNDARY</x:v>
      </x:c>
      <x:c r="C112" s="48" t="str">
        <x:v>BOUNDARY</x:v>
      </x:c>
      <x:c r="D112" s="48" t="str">
        <x:v>requirement-development-calibration</x:v>
      </x:c>
      <x:c r="E112" s="48" t="str">
        <x:v>TRF-053</x:v>
      </x:c>
      <x:c r="F112" s="48" t="str">
        <x:v>/Users/sadisfaction570/Desktop/Journal 1/NLTL_v2/MVP/SHACL_GENERATION_PIPELINE/outputs/development_batch01/runs/RUN-TRF-053-20260812T161317514077Z/final/final_shape.ttl</x:v>
      </x:c>
      <x:c r="G112" s="48" t="str">
        <x:v>/Users/sadisfaction570/Desktop/Journal 1/NLTL_v2/MVP/INPUTS/DEVELOPMENT_CALIBRATION/BATCH_01_FIRST_50/rdf_fixtures/TRF-053/trf-053_03_boundary.ttl</x:v>
      </x:c>
      <x:c r="H112" s="48" t="str">
        <x:v>c290e8b6c4927e69bf2cd3eadac591dd9d65f6dcde6a0e1099cc6b244c28e149</x:v>
      </x:c>
      <x:c r="I112" s="48" t="str">
        <x:v>5322a11ee625ef8f967808bff919ed38fc3ecebad304a5bc1f25d87a14a6b05e</x:v>
      </x:c>
      <x:c r="J112" s="48" t="str">
        <x:v>TRUE</x:v>
      </x:c>
      <x:c r="K112" s="64" t="str">
        <x:v>TRUE</x:v>
      </x:c>
      <x:c r="L112" s="48" t="str">
        <x:v>TRUE</x:v>
      </x:c>
      <x:c r="M112" s="64" t="str">
        <x:v>FALSE</x:v>
      </x:c>
      <x:c r="N112" s="48" t="str">
        <x:v>FALSE</x:v>
      </x:c>
      <x:c r="O112" s="65" t="n">
        <x:v>24</x:v>
      </x:c>
      <x:c r="P112" s="64" t="n">
        <x:v>430.73</x:v>
      </x:c>
      <x:c r="Q112" s="49" t="str"/>
      <x:c r="R112" s="48" t="str">
        <x:v>Conforms: false | Section modulus must satisfy the prescribed ice-stringer formula.</x:v>
      </x:c>
    </x:row>
    <x:row r="113">
      <x:c r="A113" s="48" t="str">
        <x:v>BATCH01-R3-LATEST-ACCEPTED-SHAPES</x:v>
      </x:c>
      <x:c r="B113" s="48" t="str">
        <x:v>B01-TRF-054-PASS</x:v>
      </x:c>
      <x:c r="C113" s="48" t="str">
        <x:v>PASS</x:v>
      </x:c>
      <x:c r="D113" s="48" t="str">
        <x:v>requirement-development-calibration</x:v>
      </x:c>
      <x:c r="E113" s="48" t="str">
        <x:v>TRF-054</x:v>
      </x:c>
      <x:c r="F113" s="48" t="str">
        <x:v>/Users/sadisfaction570/Desktop/Journal 1/NLTL_v2/MVP/SHACL_GENERATION_PIPELINE/outputs/development_batch01/runs/RUN-TRF-054-20260812T161435119630Z/final/final_shape.ttl</x:v>
      </x:c>
      <x:c r="G113" s="48" t="str">
        <x:v>/Users/sadisfaction570/Desktop/Journal 1/NLTL_v2/MVP/INPUTS/DEVELOPMENT_CALIBRATION/BATCH_01_FIRST_50/rdf_fixtures/TRF-054/trf-054_01_pass.ttl</x:v>
      </x:c>
      <x:c r="H113" s="48" t="str">
        <x:v>6e2b789e6eb6049cf4794471fb679ad2b0726353190f80c4fe9d2ea2c566c344</x:v>
      </x:c>
      <x:c r="I113" s="48" t="str">
        <x:v>20171ece5301077c29e46fce8af7c43dadb5f598235ab2b4131deef9fce9875d</x:v>
      </x:c>
      <x:c r="J113" s="48" t="str">
        <x:v>TRUE</x:v>
      </x:c>
      <x:c r="K113" s="64" t="str">
        <x:v>TRUE</x:v>
      </x:c>
      <x:c r="L113" s="48" t="str">
        <x:v>TRUE</x:v>
      </x:c>
      <x:c r="M113" s="64" t="str">
        <x:v>FALSE</x:v>
      </x:c>
      <x:c r="N113" s="48" t="str">
        <x:v>FALSE</x:v>
      </x:c>
      <x:c r="O113" s="65" t="n">
        <x:v>13</x:v>
      </x:c>
      <x:c r="P113" s="64" t="n">
        <x:v>149528.693</x:v>
      </x:c>
      <x:c r="Q113" s="49" t="str"/>
      <x:c r="R113" s="48" t="str">
        <x:v>Conforms: false | The design line load, outside-ice-belt factor, section modulus, or effective shear area does not satisfy the required formula.</x:v>
      </x:c>
    </x:row>
    <x:row r="114">
      <x:c r="A114" s="48" t="str">
        <x:v>BATCH01-R3-LATEST-ACCEPTED-SHAPES</x:v>
      </x:c>
      <x:c r="B114" s="48" t="str">
        <x:v>B01-TRF-054-FAIL</x:v>
      </x:c>
      <x:c r="C114" s="48" t="str">
        <x:v>FAIL</x:v>
      </x:c>
      <x:c r="D114" s="48" t="str">
        <x:v>requirement-development-calibration</x:v>
      </x:c>
      <x:c r="E114" s="48" t="str">
        <x:v>TRF-054</x:v>
      </x:c>
      <x:c r="F114" s="48" t="str">
        <x:v>/Users/sadisfaction570/Desktop/Journal 1/NLTL_v2/MVP/SHACL_GENERATION_PIPELINE/outputs/development_batch01/runs/RUN-TRF-054-20260812T161435119630Z/final/final_shape.ttl</x:v>
      </x:c>
      <x:c r="G114" s="48" t="str">
        <x:v>/Users/sadisfaction570/Desktop/Journal 1/NLTL_v2/MVP/INPUTS/DEVELOPMENT_CALIBRATION/BATCH_01_FIRST_50/rdf_fixtures/TRF-054/trf-054_02_fail.ttl</x:v>
      </x:c>
      <x:c r="H114" s="48" t="str">
        <x:v>6e2b789e6eb6049cf4794471fb679ad2b0726353190f80c4fe9d2ea2c566c344</x:v>
      </x:c>
      <x:c r="I114" s="48" t="str">
        <x:v>2cdcc9389af1d858e6fe807a54423ab0a7ec7adaf58d412631023b0a564b6781</x:v>
      </x:c>
      <x:c r="J114" s="48" t="str">
        <x:v>TRUE</x:v>
      </x:c>
      <x:c r="K114" s="64" t="str">
        <x:v>FALSE</x:v>
      </x:c>
      <x:c r="L114" s="48" t="str">
        <x:v>TRUE</x:v>
      </x:c>
      <x:c r="M114" s="64" t="str">
        <x:v>FALSE</x:v>
      </x:c>
      <x:c r="N114" s="48" t="str">
        <x:v>TRUE</x:v>
      </x:c>
      <x:c r="O114" s="65" t="n">
        <x:v>13</x:v>
      </x:c>
      <x:c r="P114" s="64" t="n">
        <x:v>151988.015</x:v>
      </x:c>
      <x:c r="Q114" s="49" t="str"/>
      <x:c r="R114" s="48" t="str">
        <x:v>Conforms: false | The design line load, outside-ice-belt factor, section modulus, or effective shear area does not satisfy the required formula.</x:v>
      </x:c>
    </x:row>
    <x:row r="115">
      <x:c r="A115" s="48" t="str">
        <x:v>BATCH01-R3-LATEST-ACCEPTED-SHAPES</x:v>
      </x:c>
      <x:c r="B115" s="48" t="str">
        <x:v>B01-TRF-054-BOUNDARY</x:v>
      </x:c>
      <x:c r="C115" s="48" t="str">
        <x:v>BOUNDARY</x:v>
      </x:c>
      <x:c r="D115" s="48" t="str">
        <x:v>requirement-development-calibration</x:v>
      </x:c>
      <x:c r="E115" s="48" t="str">
        <x:v>TRF-054</x:v>
      </x:c>
      <x:c r="F115" s="48" t="str">
        <x:v>/Users/sadisfaction570/Desktop/Journal 1/NLTL_v2/MVP/SHACL_GENERATION_PIPELINE/outputs/development_batch01/runs/RUN-TRF-054-20260812T161435119630Z/final/final_shape.ttl</x:v>
      </x:c>
      <x:c r="G115" s="48" t="str">
        <x:v>/Users/sadisfaction570/Desktop/Journal 1/NLTL_v2/MVP/INPUTS/DEVELOPMENT_CALIBRATION/BATCH_01_FIRST_50/rdf_fixtures/TRF-054/trf-054_03_boundary.ttl</x:v>
      </x:c>
      <x:c r="H115" s="48" t="str">
        <x:v>6e2b789e6eb6049cf4794471fb679ad2b0726353190f80c4fe9d2ea2c566c344</x:v>
      </x:c>
      <x:c r="I115" s="48" t="str">
        <x:v>2d340606fd2f9b83cdcf5de3b39f0ce9faad61fbee90d793e4c5d16298135ead</x:v>
      </x:c>
      <x:c r="J115" s="48" t="str">
        <x:v>TRUE</x:v>
      </x:c>
      <x:c r="K115" s="64" t="str">
        <x:v>TRUE</x:v>
      </x:c>
      <x:c r="L115" s="48" t="str">
        <x:v>TRUE</x:v>
      </x:c>
      <x:c r="M115" s="64" t="str">
        <x:v>FALSE</x:v>
      </x:c>
      <x:c r="N115" s="48" t="str">
        <x:v>FALSE</x:v>
      </x:c>
      <x:c r="O115" s="65" t="n">
        <x:v>13</x:v>
      </x:c>
      <x:c r="P115" s="64" t="n">
        <x:v>150413.754</x:v>
      </x:c>
      <x:c r="Q115" s="49" t="str"/>
      <x:c r="R115" s="48" t="str">
        <x:v>Conforms: false | The design line load, outside-ice-belt factor, section modulus, or effective shear area does not satisfy the required formula.</x:v>
      </x:c>
    </x:row>
    <x:row r="116">
      <x:c r="A116" s="48" t="str">
        <x:v>BATCH01-R3-LATEST-ACCEPTED-SHAPES</x:v>
      </x:c>
      <x:c r="B116" s="48" t="str">
        <x:v>B01-TRF-056-PASS</x:v>
      </x:c>
      <x:c r="C116" s="48" t="str">
        <x:v>PASS</x:v>
      </x:c>
      <x:c r="D116" s="48" t="str">
        <x:v>requirement-development-calibration</x:v>
      </x:c>
      <x:c r="E116" s="48" t="str">
        <x:v>TRF-056</x:v>
      </x:c>
      <x:c r="F116" s="48" t="str">
        <x:v>/Users/sadisfaction570/Desktop/Journal 1/NLTL_v2/MVP/SHACL_GENERATION_PIPELINE/outputs/development_batch01/runs/RUN-TRF-056-20260812T162122387273Z/final/final_shape.ttl</x:v>
      </x:c>
      <x:c r="G116" s="48" t="str">
        <x:v>/Users/sadisfaction570/Desktop/Journal 1/NLTL_v2/MVP/INPUTS/DEVELOPMENT_CALIBRATION/BATCH_01_FIRST_50/rdf_fixtures/TRF-056/trf-056_01_pass.ttl</x:v>
      </x:c>
      <x:c r="H116" s="48" t="str">
        <x:v>b8b98643a9931999adfa7cb20d3593c318e5f763e989afc23dd79cd5a47f86f4</x:v>
      </x:c>
      <x:c r="I116" s="48" t="str">
        <x:v>2c1ca34cb5ce8bdb8b5d9f2250f3990e4e567dac835d280aad2f86f69df056d3</x:v>
      </x:c>
      <x:c r="J116" s="48" t="str">
        <x:v>TRUE</x:v>
      </x:c>
      <x:c r="K116" s="64" t="str">
        <x:v>TRUE</x:v>
      </x:c>
      <x:c r="L116" s="48" t="str">
        <x:v>TRUE</x:v>
      </x:c>
      <x:c r="M116" s="64" t="str">
        <x:v>TRUE</x:v>
      </x:c>
      <x:c r="N116" s="48" t="str">
        <x:v>TRUE</x:v>
      </x:c>
      <x:c r="O116" s="65" t="n">
        <x:v>2</x:v>
      </x:c>
      <x:c r="P116" s="64" t="n">
        <x:v>392.759</x:v>
      </x:c>
      <x:c r="Q116" s="49" t="str"/>
      <x:c r="R116" s="48" t="str">
        <x:v>Conforms: true</x:v>
      </x:c>
    </x:row>
    <x:row r="117">
      <x:c r="A117" s="48" t="str">
        <x:v>BATCH01-R3-LATEST-ACCEPTED-SHAPES</x:v>
      </x:c>
      <x:c r="B117" s="48" t="str">
        <x:v>B01-TRF-056-FAIL</x:v>
      </x:c>
      <x:c r="C117" s="48" t="str">
        <x:v>FAIL</x:v>
      </x:c>
      <x:c r="D117" s="48" t="str">
        <x:v>requirement-development-calibration</x:v>
      </x:c>
      <x:c r="E117" s="48" t="str">
        <x:v>TRF-056</x:v>
      </x:c>
      <x:c r="F117" s="48" t="str">
        <x:v>/Users/sadisfaction570/Desktop/Journal 1/NLTL_v2/MVP/SHACL_GENERATION_PIPELINE/outputs/development_batch01/runs/RUN-TRF-056-20260812T162122387273Z/final/final_shape.ttl</x:v>
      </x:c>
      <x:c r="G117" s="48" t="str">
        <x:v>/Users/sadisfaction570/Desktop/Journal 1/NLTL_v2/MVP/INPUTS/DEVELOPMENT_CALIBRATION/BATCH_01_FIRST_50/rdf_fixtures/TRF-056/trf-056_02_fail.ttl</x:v>
      </x:c>
      <x:c r="H117" s="48" t="str">
        <x:v>b8b98643a9931999adfa7cb20d3593c318e5f763e989afc23dd79cd5a47f86f4</x:v>
      </x:c>
      <x:c r="I117" s="48" t="str">
        <x:v>b8b8c66f58843725d436aaff381e21b44d8fcc3ac813d64535a7aa072204666c</x:v>
      </x:c>
      <x:c r="J117" s="48" t="str">
        <x:v>TRUE</x:v>
      </x:c>
      <x:c r="K117" s="64" t="str">
        <x:v>FALSE</x:v>
      </x:c>
      <x:c r="L117" s="48" t="str">
        <x:v>TRUE</x:v>
      </x:c>
      <x:c r="M117" s="64" t="str">
        <x:v>FALSE</x:v>
      </x:c>
      <x:c r="N117" s="48" t="str">
        <x:v>TRUE</x:v>
      </x:c>
      <x:c r="O117" s="65" t="n">
        <x:v>24</x:v>
      </x:c>
      <x:c r="P117" s="64" t="n">
        <x:v>360.806</x:v>
      </x:c>
      <x:c r="Q117" s="49" t="str"/>
      <x:c r="R117" s="48" t="str">
        <x:v>Conforms: false | Hatch-fitting design evidence is required for a weatherdeck hatch opening greater than B/2.</x:v>
      </x:c>
    </x:row>
    <x:row r="118">
      <x:c r="A118" s="48" t="str">
        <x:v>BATCH01-R3-LATEST-ACCEPTED-SHAPES</x:v>
      </x:c>
      <x:c r="B118" s="48" t="str">
        <x:v>B01-TRF-056-BOUNDARY</x:v>
      </x:c>
      <x:c r="C118" s="48" t="str">
        <x:v>BOUNDARY</x:v>
      </x:c>
      <x:c r="D118" s="48" t="str">
        <x:v>requirement-development-calibration</x:v>
      </x:c>
      <x:c r="E118" s="48" t="str">
        <x:v>TRF-056</x:v>
      </x:c>
      <x:c r="F118" s="48" t="str">
        <x:v>/Users/sadisfaction570/Desktop/Journal 1/NLTL_v2/MVP/SHACL_GENERATION_PIPELINE/outputs/development_batch01/runs/RUN-TRF-056-20260812T162122387273Z/final/final_shape.ttl</x:v>
      </x:c>
      <x:c r="G118" s="48" t="str">
        <x:v>/Users/sadisfaction570/Desktop/Journal 1/NLTL_v2/MVP/INPUTS/DEVELOPMENT_CALIBRATION/BATCH_01_FIRST_50/rdf_fixtures/TRF-056/trf-056_03_boundary.ttl</x:v>
      </x:c>
      <x:c r="H118" s="48" t="str">
        <x:v>b8b98643a9931999adfa7cb20d3593c318e5f763e989afc23dd79cd5a47f86f4</x:v>
      </x:c>
      <x:c r="I118" s="48" t="str">
        <x:v>3fff3e4fbeaf09ff7bf5760c327f575a92500d2478a35de1db5e6b6d3ed27db4</x:v>
      </x:c>
      <x:c r="J118" s="48" t="str">
        <x:v>TRUE</x:v>
      </x:c>
      <x:c r="K118" s="64" t="str">
        <x:v>TRUE</x:v>
      </x:c>
      <x:c r="L118" s="48" t="str">
        <x:v>TRUE</x:v>
      </x:c>
      <x:c r="M118" s="64" t="str">
        <x:v>TRUE</x:v>
      </x:c>
      <x:c r="N118" s="48" t="str">
        <x:v>TRUE</x:v>
      </x:c>
      <x:c r="O118" s="65" t="n">
        <x:v>2</x:v>
      </x:c>
      <x:c r="P118" s="64" t="n">
        <x:v>359.684</x:v>
      </x:c>
      <x:c r="Q118" s="49" t="str"/>
      <x:c r="R118" s="48" t="str">
        <x:v>Conforms: true</x:v>
      </x:c>
    </x:row>
    <x:row r="119">
      <x:c r="A119" s="48" t="str">
        <x:v>BATCH01-R3-LATEST-ACCEPTED-SHAPES</x:v>
      </x:c>
      <x:c r="B119" s="48" t="str">
        <x:v>B01-TRF-057-PASS</x:v>
      </x:c>
      <x:c r="C119" s="48" t="str">
        <x:v>PASS</x:v>
      </x:c>
      <x:c r="D119" s="48" t="str">
        <x:v>requirement-development-calibration</x:v>
      </x:c>
      <x:c r="E119" s="48" t="str">
        <x:v>TRF-057</x:v>
      </x:c>
      <x:c r="F119" s="48" t="str">
        <x:v>/Users/sadisfaction570/Desktop/Journal 1/NLTL_v2/MVP/SHACL_GENERATION_PIPELINE/outputs/development_batch01/runs/RUN-TRF-057-20260812T162229141612Z/final/final_shape.ttl</x:v>
      </x:c>
      <x:c r="G119" s="48" t="str">
        <x:v>/Users/sadisfaction570/Desktop/Journal 1/NLTL_v2/MVP/INPUTS/DEVELOPMENT_CALIBRATION/BATCH_01_FIRST_50/rdf_fixtures/TRF-057/trf-057_01_pass.ttl</x:v>
      </x:c>
      <x:c r="H119" s="48" t="str">
        <x:v>74dd9a0a61b41fee1ad30486c1e748badb47419ef7a4a1dbc7f1eac306c90e67</x:v>
      </x:c>
      <x:c r="I119" s="48" t="str">
        <x:v>b3e69c1af47a4f9ff8ee1be8caaf0851c8cfb5e65186ffe2062cd92d57bd56b3</x:v>
      </x:c>
      <x:c r="J119" s="48" t="str">
        <x:v>TRUE</x:v>
      </x:c>
      <x:c r="K119" s="64" t="str">
        <x:v>TRUE</x:v>
      </x:c>
      <x:c r="L119" s="48" t="str">
        <x:v>TRUE</x:v>
      </x:c>
      <x:c r="M119" s="64" t="str">
        <x:v>TRUE</x:v>
      </x:c>
      <x:c r="N119" s="48" t="str">
        <x:v>TRUE</x:v>
      </x:c>
      <x:c r="O119" s="65" t="n">
        <x:v>2</x:v>
      </x:c>
      <x:c r="P119" s="64" t="n">
        <x:v>353.869</x:v>
      </x:c>
      <x:c r="Q119" s="49" t="str"/>
      <x:c r="R119" s="48" t="str">
        <x:v>Conforms: true</x:v>
      </x:c>
    </x:row>
    <x:row r="120">
      <x:c r="A120" s="48" t="str">
        <x:v>BATCH01-R3-LATEST-ACCEPTED-SHAPES</x:v>
      </x:c>
      <x:c r="B120" s="48" t="str">
        <x:v>B01-TRF-057-FAIL</x:v>
      </x:c>
      <x:c r="C120" s="48" t="str">
        <x:v>FAIL</x:v>
      </x:c>
      <x:c r="D120" s="48" t="str">
        <x:v>requirement-development-calibration</x:v>
      </x:c>
      <x:c r="E120" s="48" t="str">
        <x:v>TRF-057</x:v>
      </x:c>
      <x:c r="F120" s="48" t="str">
        <x:v>/Users/sadisfaction570/Desktop/Journal 1/NLTL_v2/MVP/SHACL_GENERATION_PIPELINE/outputs/development_batch01/runs/RUN-TRF-057-20260812T162229141612Z/final/final_shape.ttl</x:v>
      </x:c>
      <x:c r="G120" s="48" t="str">
        <x:v>/Users/sadisfaction570/Desktop/Journal 1/NLTL_v2/MVP/INPUTS/DEVELOPMENT_CALIBRATION/BATCH_01_FIRST_50/rdf_fixtures/TRF-057/trf-057_02_fail.ttl</x:v>
      </x:c>
      <x:c r="H120" s="48" t="str">
        <x:v>74dd9a0a61b41fee1ad30486c1e748badb47419ef7a4a1dbc7f1eac306c90e67</x:v>
      </x:c>
      <x:c r="I120" s="48" t="str">
        <x:v>de53bb5641fd7e537bc3a59aa3ebd5824c3404f2f687d760907e202a47e067c2</x:v>
      </x:c>
      <x:c r="J120" s="48" t="str">
        <x:v>TRUE</x:v>
      </x:c>
      <x:c r="K120" s="64" t="str">
        <x:v>FALSE</x:v>
      </x:c>
      <x:c r="L120" s="48" t="str">
        <x:v>TRUE</x:v>
      </x:c>
      <x:c r="M120" s="64" t="str">
        <x:v>FALSE</x:v>
      </x:c>
      <x:c r="N120" s="48" t="str">
        <x:v>TRUE</x:v>
      </x:c>
      <x:c r="O120" s="65" t="n">
        <x:v>13</x:v>
      </x:c>
      <x:c r="P120" s="64" t="n">
        <x:v>352.816</x:v>
      </x:c>
      <x:c r="Q120" s="49" t="str"/>
      <x:c r="R120" s="48" t="str">
        <x:v>Conforms: false | For a ship component receiving load from an ice stringer or longitudinal framing, the required quantities, units, constants, load-length relation, and web-frame ice-load formula must conform to clause 4.6.1.</x:v>
      </x:c>
    </x:row>
    <x:row r="121">
      <x:c r="A121" s="48" t="str">
        <x:v>BATCH01-R3-LATEST-ACCEPTED-SHAPES</x:v>
      </x:c>
      <x:c r="B121" s="48" t="str">
        <x:v>B01-TRF-057-BOUNDARY</x:v>
      </x:c>
      <x:c r="C121" s="48" t="str">
        <x:v>BOUNDARY</x:v>
      </x:c>
      <x:c r="D121" s="48" t="str">
        <x:v>requirement-development-calibration</x:v>
      </x:c>
      <x:c r="E121" s="48" t="str">
        <x:v>TRF-057</x:v>
      </x:c>
      <x:c r="F121" s="48" t="str">
        <x:v>/Users/sadisfaction570/Desktop/Journal 1/NLTL_v2/MVP/SHACL_GENERATION_PIPELINE/outputs/development_batch01/runs/RUN-TRF-057-20260812T162229141612Z/final/final_shape.ttl</x:v>
      </x:c>
      <x:c r="G121" s="48" t="str">
        <x:v>/Users/sadisfaction570/Desktop/Journal 1/NLTL_v2/MVP/INPUTS/DEVELOPMENT_CALIBRATION/BATCH_01_FIRST_50/rdf_fixtures/TRF-057/trf-057_03_boundary.ttl</x:v>
      </x:c>
      <x:c r="H121" s="48" t="str">
        <x:v>74dd9a0a61b41fee1ad30486c1e748badb47419ef7a4a1dbc7f1eac306c90e67</x:v>
      </x:c>
      <x:c r="I121" s="48" t="str">
        <x:v>36f940aaddc62eba20c9c050215943387a43d2cbfc7b7447af50ee5e4a19d5ff</x:v>
      </x:c>
      <x:c r="J121" s="48" t="str">
        <x:v>TRUE</x:v>
      </x:c>
      <x:c r="K121" s="64" t="str">
        <x:v>TRUE</x:v>
      </x:c>
      <x:c r="L121" s="48" t="str">
        <x:v>TRUE</x:v>
      </x:c>
      <x:c r="M121" s="64" t="str">
        <x:v>TRUE</x:v>
      </x:c>
      <x:c r="N121" s="48" t="str">
        <x:v>TRUE</x:v>
      </x:c>
      <x:c r="O121" s="65" t="n">
        <x:v>2</x:v>
      </x:c>
      <x:c r="P121" s="64" t="n">
        <x:v>392.1</x:v>
      </x:c>
      <x:c r="Q121" s="49" t="str"/>
      <x:c r="R121" s="48" t="str">
        <x:v>Conforms: true</x:v>
      </x:c>
    </x:row>
    <x:row r="122">
      <x:c r="A122" s="48" t="str">
        <x:v>BATCH01-R3-LATEST-ACCEPTED-SHAPES</x:v>
      </x:c>
      <x:c r="B122" s="48" t="str">
        <x:v>B01-TRF-058-PASS</x:v>
      </x:c>
      <x:c r="C122" s="48" t="str">
        <x:v>PASS</x:v>
      </x:c>
      <x:c r="D122" s="48" t="str">
        <x:v>requirement-development-calibration</x:v>
      </x:c>
      <x:c r="E122" s="48" t="str">
        <x:v>TRF-058</x:v>
      </x:c>
      <x:c r="F122" s="48" t="str">
        <x:v>/Users/sadisfaction570/Desktop/Journal 1/NLTL_v2/MVP/SHACL_GENERATION_PIPELINE/outputs/development_batch01/runs/RUN-TRF-058-20260812T143017909336Z/final/final_shape.ttl</x:v>
      </x:c>
      <x:c r="G122" s="48" t="str">
        <x:v>/Users/sadisfaction570/Desktop/Journal 1/NLTL_v2/MVP/INPUTS/DEVELOPMENT_CALIBRATION/BATCH_01_FIRST_50/rdf_fixtures/TRF-058/trf-058_01_pass.ttl</x:v>
      </x:c>
      <x:c r="H122" s="48" t="str">
        <x:v>061d204cd9ded6f0e38f891c4aa24ff0c95b4ede090b8dad0c15550212df811f</x:v>
      </x:c>
      <x:c r="I122" s="48" t="str">
        <x:v>ead6a2a27ed3625838a02bde3340b20267cd9203902e24a48881d72517c234b7</x:v>
      </x:c>
      <x:c r="J122" s="48" t="str">
        <x:v>TRUE</x:v>
      </x:c>
      <x:c r="K122" s="64" t="str">
        <x:v>TRUE</x:v>
      </x:c>
      <x:c r="L122" s="48" t="str">
        <x:v>TRUE</x:v>
      </x:c>
      <x:c r="M122" s="64" t="str">
        <x:v>TRUE</x:v>
      </x:c>
      <x:c r="N122" s="48" t="str">
        <x:v>TRUE</x:v>
      </x:c>
      <x:c r="O122" s="65" t="n">
        <x:v>2</x:v>
      </x:c>
      <x:c r="P122" s="64" t="n">
        <x:v>360.006</x:v>
      </x:c>
      <x:c r="Q122" s="49" t="str"/>
      <x:c r="R122" s="48" t="str">
        <x:v>Conforms: true</x:v>
      </x:c>
    </x:row>
    <x:row r="123">
      <x:c r="A123" s="48" t="str">
        <x:v>BATCH01-R3-LATEST-ACCEPTED-SHAPES</x:v>
      </x:c>
      <x:c r="B123" s="48" t="str">
        <x:v>B01-TRF-058-FAIL</x:v>
      </x:c>
      <x:c r="C123" s="48" t="str">
        <x:v>FAIL</x:v>
      </x:c>
      <x:c r="D123" s="48" t="str">
        <x:v>requirement-development-calibration</x:v>
      </x:c>
      <x:c r="E123" s="48" t="str">
        <x:v>TRF-058</x:v>
      </x:c>
      <x:c r="F123" s="48" t="str">
        <x:v>/Users/sadisfaction570/Desktop/Journal 1/NLTL_v2/MVP/SHACL_GENERATION_PIPELINE/outputs/development_batch01/runs/RUN-TRF-058-20260812T143017909336Z/final/final_shape.ttl</x:v>
      </x:c>
      <x:c r="G123" s="48" t="str">
        <x:v>/Users/sadisfaction570/Desktop/Journal 1/NLTL_v2/MVP/INPUTS/DEVELOPMENT_CALIBRATION/BATCH_01_FIRST_50/rdf_fixtures/TRF-058/trf-058_02_fail.ttl</x:v>
      </x:c>
      <x:c r="H123" s="48" t="str">
        <x:v>061d204cd9ded6f0e38f891c4aa24ff0c95b4ede090b8dad0c15550212df811f</x:v>
      </x:c>
      <x:c r="I123" s="48" t="str">
        <x:v>390ad3a54b4139605641597bacf26769448a9e998ab064719b5a97470dad8978</x:v>
      </x:c>
      <x:c r="J123" s="48" t="str">
        <x:v>TRUE</x:v>
      </x:c>
      <x:c r="K123" s="64" t="str">
        <x:v>FALSE</x:v>
      </x:c>
      <x:c r="L123" s="48" t="str">
        <x:v>TRUE</x:v>
      </x:c>
      <x:c r="M123" s="64" t="str">
        <x:v>FALSE</x:v>
      </x:c>
      <x:c r="N123" s="48" t="str">
        <x:v>TRUE</x:v>
      </x:c>
      <x:c r="O123" s="65" t="n">
        <x:v>24</x:v>
      </x:c>
      <x:c r="P123" s="64" t="n">
        <x:v>350.505</x:v>
      </x:c>
      <x:c r="Q123" s="49" t="str"/>
      <x:c r="R123" s="48" t="str">
        <x:v>Conforms: false | Adjusted ice load force must equal ice load force multiplied by (1 - stringerOutsideIceBeltHeight/stringerSpan).</x:v>
      </x:c>
    </x:row>
    <x:row r="124">
      <x:c r="A124" s="50" t="str">
        <x:v>BATCH01-R3-LATEST-ACCEPTED-SHAPES</x:v>
      </x:c>
      <x:c r="B124" s="50" t="str">
        <x:v>B01-TRF-058-BOUNDARY</x:v>
      </x:c>
      <x:c r="C124" s="50" t="str">
        <x:v>BOUNDARY</x:v>
      </x:c>
      <x:c r="D124" s="50" t="str">
        <x:v>requirement-development-calibration</x:v>
      </x:c>
      <x:c r="E124" s="50" t="str">
        <x:v>TRF-058</x:v>
      </x:c>
      <x:c r="F124" s="50" t="str">
        <x:v>/Users/sadisfaction570/Desktop/Journal 1/NLTL_v2/MVP/SHACL_GENERATION_PIPELINE/outputs/development_batch01/runs/RUN-TRF-058-20260812T143017909336Z/final/final_shape.ttl</x:v>
      </x:c>
      <x:c r="G124" s="50" t="str">
        <x:v>/Users/sadisfaction570/Desktop/Journal 1/NLTL_v2/MVP/INPUTS/DEVELOPMENT_CALIBRATION/BATCH_01_FIRST_50/rdf_fixtures/TRF-058/trf-058_03_boundary.ttl</x:v>
      </x:c>
      <x:c r="H124" s="50" t="str">
        <x:v>061d204cd9ded6f0e38f891c4aa24ff0c95b4ede090b8dad0c15550212df811f</x:v>
      </x:c>
      <x:c r="I124" s="50" t="str">
        <x:v>e43fd30430eedb8d1942f0d9ae55f5598d220e0369ae6fbe2bfbe8aba4c84b2c</x:v>
      </x:c>
      <x:c r="J124" s="50" t="str">
        <x:v>TRUE</x:v>
      </x:c>
      <x:c r="K124" s="66" t="str">
        <x:v>TRUE</x:v>
      </x:c>
      <x:c r="L124" s="50" t="str">
        <x:v>TRUE</x:v>
      </x:c>
      <x:c r="M124" s="66" t="str">
        <x:v>TRUE</x:v>
      </x:c>
      <x:c r="N124" s="50" t="str">
        <x:v>TRUE</x:v>
      </x:c>
      <x:c r="O124" s="67" t="n">
        <x:v>2</x:v>
      </x:c>
      <x:c r="P124" s="66" t="n">
        <x:v>359.588</x:v>
      </x:c>
      <x:c r="Q124" s="51" t="str"/>
      <x:c r="R124" s="50" t="str">
        <x:v>Conforms: true</x:v>
      </x:c>
    </x:row>
  </x:sheetData>
  <x:pageMargins left="0.7" right="0.7" top="0.75" bottom="0.75" header="0.3" footer="0.3"/>
  <x:tableParts count="1">
    <x:tablePart xmlns:r="http://schemas.openxmlformats.org/officeDocument/2006/relationships" r:id="Rf0a5d5d21ec94b87"/>
  </x:tableParts>
</x:worksheet>
</file>