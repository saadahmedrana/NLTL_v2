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f3ee6189c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e1f1d12e9f4d02"/>
    <x:sheet xmlns:r="http://schemas.openxmlformats.org/officeDocument/2006/relationships" name="README" sheetId="2" r:id="R850a4cc935664c97"/>
    <x:sheet xmlns:r="http://schemas.openxmlformats.org/officeDocument/2006/relationships" name="EVALUATION_RESULTS" sheetId="3" r:id="R90f183aa3565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24c1bd50047ae" /><Relationship Type="http://schemas.openxmlformats.org/officeDocument/2006/relationships/theme" Target="/xl/theme/theme1.xml" Id="Rc1191f50279d4680" /><Relationship Type="http://schemas.openxmlformats.org/officeDocument/2006/relationships/sharedStrings" Target="/xl/sharedStrings.xml" Id="Rae35353258614d61" /><Relationship Type="http://schemas.openxmlformats.org/officeDocument/2006/relationships/worksheet" Target="/xl/worksheets/sheet1.xml" Id="Ra7e1f1d12e9f4d02" /><Relationship Type="http://schemas.openxmlformats.org/officeDocument/2006/relationships/worksheet" Target="/xl/worksheets/sheet2.xml" Id="R850a4cc935664c97" /><Relationship Type="http://schemas.openxmlformats.org/officeDocument/2006/relationships/worksheet" Target="/xl/worksheets/sheet3.xml" Id="R90f183aa356548b5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34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688c04682a48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2de0aad0174e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BATCH01-R6-ACCEPTED-SHAPES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COUNTA('EVALUATION_RESULTS'!$A$5:$A$34)</x:f>
        <x:v>30</x:v>
      </x:c>
      <x:c r="C5" s="21"/>
      <x:c r="D5" s="21"/>
    </x:row>
    <x:row r="6">
      <x:c r="A6" s="25" t="str">
        <x:v>Executed successfully</x:v>
      </x:c>
      <x:c r="B6" s="26" t="n">
        <x:f>COUNTIF('EVALUATION_RESULTS'!$L$5:$L$34,"TRUE")</x:f>
        <x:v>30</x:v>
      </x:c>
      <x:c r="C6" s="21"/>
      <x:c r="D6" s="21"/>
    </x:row>
    <x:row r="7">
      <x:c r="A7" s="25" t="str">
        <x:v>Expected outcomes matched</x:v>
      </x:c>
      <x:c r="B7" s="26" t="n">
        <x:f>COUNTIF('EVALUATION_RESULTS'!$N$5:$N$34,"TRUE")</x:f>
        <x:v>30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COUNTIF('EVALUATION_RESULTS'!$N$5:$N$34,"FALSE")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IFERROR(AVERAGE('EVALUATION_RESULTS'!$P$5:$P$34),0)</x:f>
        <x:v>439.20529999999997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BATCH01-R6-ACCEPTED-SHAPES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VOCAB-DEV-2026-08-13-BATCH01-R6</x:v>
      </x:c>
    </x:row>
    <x:row r="8">
      <x:c r="A8" s="48" t="str">
        <x:v>ONTOLOGY_SHA256</x:v>
      </x:c>
      <x:c r="B8" s="49" t="str">
        <x:v>0d8463b715104a3fd8968e061cc11b9b83b638abf2beb23d5e18750970be9954</x:v>
      </x:c>
    </x:row>
    <x:row r="9">
      <x:c r="A9" s="48" t="str">
        <x:v>MANIFEST</x:v>
      </x:c>
      <x:c r="B9" s="49" t="str">
        <x:v>/Users/sadisfaction570/Desktop/Journal 1/NLTL_v2/MVP/INPUTS/DEVELOPMENT_CALIBRATION/BATCH_01_FIRST_50/r6_generated_shape_evaluation_manifest.json</x:v>
      </x:c>
    </x:row>
    <x:row r="10">
      <x:c r="A10" s="50" t="str">
        <x:v>MANIFEST_SHA256</x:v>
      </x:c>
      <x:c r="B10" s="51" t="str">
        <x:v>9fc931181b2d444540012271b70fd374244ed858c084ce6b03e12f05364df6ce</x:v>
      </x:c>
    </x:row>
  </x:sheetData>
  <x:pageMargins left="0.7" right="0.7" top="0.75" bottom="0.75" header="0.3" footer="0.3"/>
  <x:tableParts count="1">
    <x:tablePart xmlns:r="http://schemas.openxmlformats.org/officeDocument/2006/relationships" r:id="Rc8688c04682a48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BATCH01-R6-ACCEPTED-SHAPES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BATCH01-R6-ACCEPTED-SHAPES</x:v>
      </x:c>
      <x:c r="B5" s="46" t="str">
        <x:v>B01-TRF-012-PASS</x:v>
      </x:c>
      <x:c r="C5" s="46" t="str">
        <x:v>PASS</x:v>
      </x:c>
      <x:c r="D5" s="46" t="str">
        <x:v>r6-requirement-development-calibration</x:v>
      </x:c>
      <x:c r="E5" s="46" t="str">
        <x:v>TRF-012</x:v>
      </x:c>
      <x:c r="F5" s="46" t="str">
        <x:v>/Users/sadisfaction570/Desktop/Journal 1/NLTL_v2/MVP/SHACL_GENERATION_PIPELINE/outputs/development_batch01/runs/RUN-TRF-012-20260812T213326263009Z/final/final_shape.ttl</x:v>
      </x:c>
      <x:c r="G5" s="46" t="str">
        <x:v>/Users/sadisfaction570/Desktop/Journal 1/NLTL_v2/MVP/INPUTS/DEVELOPMENT_CALIBRATION/BATCH_01_FIRST_50/rdf_fixtures/TRF-012/trf-012_01_pass.ttl</x:v>
      </x:c>
      <x:c r="H5" s="46" t="str">
        <x:v>83a38015b6165d0579dfa54ce190ec709dc3c089c2821bf4e6b1d83df6f34bc5</x:v>
      </x:c>
      <x:c r="I5" s="46" t="str">
        <x:v>59e5f2bd2268688682ba85b0699b961c7376874f46b12724fcfd3ca6e2a0c3b4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394.35</x:v>
      </x:c>
      <x:c r="Q5" s="47" t="str"/>
      <x:c r="R5" s="46" t="str">
        <x:v>Conforms: true</x:v>
      </x:c>
    </x:row>
    <x:row r="6">
      <x:c r="A6" s="48" t="str">
        <x:v>BATCH01-R6-ACCEPTED-SHAPES</x:v>
      </x:c>
      <x:c r="B6" s="48" t="str">
        <x:v>B01-TRF-012-FAIL</x:v>
      </x:c>
      <x:c r="C6" s="48" t="str">
        <x:v>FAIL</x:v>
      </x:c>
      <x:c r="D6" s="48" t="str">
        <x:v>r6-requirement-development-calibration</x:v>
      </x:c>
      <x:c r="E6" s="48" t="str">
        <x:v>TRF-012</x:v>
      </x:c>
      <x:c r="F6" s="48" t="str">
        <x:v>/Users/sadisfaction570/Desktop/Journal 1/NLTL_v2/MVP/SHACL_GENERATION_PIPELINE/outputs/development_batch01/runs/RUN-TRF-012-20260812T213326263009Z/final/final_shape.ttl</x:v>
      </x:c>
      <x:c r="G6" s="48" t="str">
        <x:v>/Users/sadisfaction570/Desktop/Journal 1/NLTL_v2/MVP/INPUTS/DEVELOPMENT_CALIBRATION/BATCH_01_FIRST_50/rdf_fixtures/TRF-012/trf-012_02_fail.ttl</x:v>
      </x:c>
      <x:c r="H6" s="48" t="str">
        <x:v>83a38015b6165d0579dfa54ce190ec709dc3c089c2821bf4e6b1d83df6f34bc5</x:v>
      </x:c>
      <x:c r="I6" s="48" t="str">
        <x:v>75aeaf606dfe772d873094e90ec191730a6de3c5674a5bf3394b0339f6e8c758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396.608</x:v>
      </x:c>
      <x:c r="Q6" s="49" t="str"/>
      <x:c r="R6" s="48" t="str">
        <x:v>Conforms: false | The lower ice waterline must contain exactly the minimum intended vertical envelope and no non-envelope profile points.</x:v>
      </x:c>
    </x:row>
    <x:row r="7">
      <x:c r="A7" s="48" t="str">
        <x:v>BATCH01-R6-ACCEPTED-SHAPES</x:v>
      </x:c>
      <x:c r="B7" s="48" t="str">
        <x:v>B01-TRF-012-BOUNDARY</x:v>
      </x:c>
      <x:c r="C7" s="48" t="str">
        <x:v>BOUNDARY</x:v>
      </x:c>
      <x:c r="D7" s="48" t="str">
        <x:v>r6-requirement-development-calibration</x:v>
      </x:c>
      <x:c r="E7" s="48" t="str">
        <x:v>TRF-012</x:v>
      </x:c>
      <x:c r="F7" s="48" t="str">
        <x:v>/Users/sadisfaction570/Desktop/Journal 1/NLTL_v2/MVP/SHACL_GENERATION_PIPELINE/outputs/development_batch01/runs/RUN-TRF-012-20260812T213326263009Z/final/final_shape.ttl</x:v>
      </x:c>
      <x:c r="G7" s="48" t="str">
        <x:v>/Users/sadisfaction570/Desktop/Journal 1/NLTL_v2/MVP/INPUTS/DEVELOPMENT_CALIBRATION/BATCH_01_FIRST_50/rdf_fixtures/TRF-012/trf-012_03_boundary.ttl</x:v>
      </x:c>
      <x:c r="H7" s="48" t="str">
        <x:v>83a38015b6165d0579dfa54ce190ec709dc3c089c2821bf4e6b1d83df6f34bc5</x:v>
      </x:c>
      <x:c r="I7" s="48" t="str">
        <x:v>0282845d30058df89f497659cb2e24ad37a23196d60ca4c809f58afe880bd017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381.727</x:v>
      </x:c>
      <x:c r="Q7" s="49" t="str"/>
      <x:c r="R7" s="48" t="str">
        <x:v>Conforms: true</x:v>
      </x:c>
    </x:row>
    <x:row r="8">
      <x:c r="A8" s="48" t="str">
        <x:v>BATCH01-R6-ACCEPTED-SHAPES</x:v>
      </x:c>
      <x:c r="B8" s="48" t="str">
        <x:v>B01-TRF-015-PASS</x:v>
      </x:c>
      <x:c r="C8" s="48" t="str">
        <x:v>PASS</x:v>
      </x:c>
      <x:c r="D8" s="48" t="str">
        <x:v>r6-requirement-development-calibration</x:v>
      </x:c>
      <x:c r="E8" s="48" t="str">
        <x:v>TRF-015</x:v>
      </x:c>
      <x:c r="F8" s="48" t="str">
        <x:v>/Users/sadisfaction570/Desktop/Journal 1/NLTL_v2/MVP/SHACL_GENERATION_PIPELINE/outputs/development_batch01/runs/RUN-TRF-015-20260812T214231852616Z/final/final_shape.ttl</x:v>
      </x:c>
      <x:c r="G8" s="48" t="str">
        <x:v>/Users/sadisfaction570/Desktop/Journal 1/NLTL_v2/MVP/INPUTS/DEVELOPMENT_CALIBRATION/BATCH_01_FIRST_50/rdf_fixtures/TRF-015/trf-015_01_pass.ttl</x:v>
      </x:c>
      <x:c r="H8" s="48" t="str">
        <x:v>b8d143cc5ee3c2874be92e409f5cf403be98096a33e33ec903b80d81a5969be9</x:v>
      </x:c>
      <x:c r="I8" s="48" t="str">
        <x:v>a9f519dbf5bf6177951bffc2759b2776ae6abdeea6b5458fc27ced40c6f0747a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368.405</x:v>
      </x:c>
      <x:c r="Q8" s="49" t="str"/>
      <x:c r="R8" s="48" t="str">
        <x:v>Conforms: true</x:v>
      </x:c>
    </x:row>
    <x:row r="9">
      <x:c r="A9" s="48" t="str">
        <x:v>BATCH01-R6-ACCEPTED-SHAPES</x:v>
      </x:c>
      <x:c r="B9" s="48" t="str">
        <x:v>B01-TRF-015-FAIL</x:v>
      </x:c>
      <x:c r="C9" s="48" t="str">
        <x:v>FAIL</x:v>
      </x:c>
      <x:c r="D9" s="48" t="str">
        <x:v>r6-requirement-development-calibration</x:v>
      </x:c>
      <x:c r="E9" s="48" t="str">
        <x:v>TRF-015</x:v>
      </x:c>
      <x:c r="F9" s="48" t="str">
        <x:v>/Users/sadisfaction570/Desktop/Journal 1/NLTL_v2/MVP/SHACL_GENERATION_PIPELINE/outputs/development_batch01/runs/RUN-TRF-015-20260812T214231852616Z/final/final_shape.ttl</x:v>
      </x:c>
      <x:c r="G9" s="48" t="str">
        <x:v>/Users/sadisfaction570/Desktop/Journal 1/NLTL_v2/MVP/INPUTS/DEVELOPMENT_CALIBRATION/BATCH_01_FIRST_50/rdf_fixtures/TRF-015/trf-015_02_fail.ttl</x:v>
      </x:c>
      <x:c r="H9" s="48" t="str">
        <x:v>b8d143cc5ee3c2874be92e409f5cf403be98096a33e33ec903b80d81a5969be9</x:v>
      </x:c>
      <x:c r="I9" s="48" t="str">
        <x:v>cb31de3188d73104ae103f8a3ab1c1133c9e9b48cb53a94bed0510acfc5a83b5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369.021</x:v>
      </x:c>
      <x:c r="Q9" s="49" t="str"/>
      <x:c r="R9" s="48" t="str">
        <x:v>Conforms: false | Node &lt;urn:nltl:batch01-fixture:TRF-015:fail:ship&gt; must conform to one or more shapes in [ sh:property [ sh:hasValue Literal("false" = False, datatype=xsd:boolean) ; sh:path nltl:navigatingInIce ] ] , [ sh:property [ sh:hasValue Literal("true" = True, datatype=xsd:boolean) ; sh:path nltl:navigatingInIce ], [ sh:message Literal("Intended-route sea-water salinity in grams per kilogram is required when navigating in ice.") ; sh:minCount Literal("1", datatype=xsd:integer) ; sh:node gs:SalinityQuantityShape ; sh:path nltl:intendedRouteSeaWaterSalinity ], [ sh:message Literal("Loading-calculation sea-water salinity in grams per kilogram is required when navigating in ice.") ; sh:minCount Literal("1", datatype=xsd:integer) ; sh:node gs:SalinityQuantityShape ; sh:path nltl:loadingCalculationSeaWaterSalinity ], [ sh:message Literal("Maximum permitted ice trim in metres is required when navigating in ice.") ; sh:minCount Literal("1", datatype=xsd:integer) ; sh:node gs:MetreQuantityShape ; sh:path nltl:maximumPermittedIceTrim ], [ sh:message Literal("Operating draught in metres is required when navigating in ice.") ; sh:minCount Literal("1", datatype=xsd:integer) ; sh:node gs:MetreQuantityShape ; sh:path nltl:operatingDraught ], [ sh:message Literal("Operating trim in metres is required when navigating in ice.") ; sh:minCount Literal("1", datatype=xsd:integer) ; sh:node gs:MetreQuantityShape ; sh:path nltl:operatingTrim ], [ sh:message Literal("Upper ice waterline draught in metres is required when navigating in ice.") ; sh:minCount Literal("1", datatype=xsd:integer) ; sh:node gs:MetreQuantityShape ; sh:path nltl:upperIceWaterlineDraught ] ; sh:sparql [ rdf:type sh:SPARQLConstraint ; sh:message Literal("When navigating in ice, operating draught and trim must not exceed their permitted limits, and the loading calculation must use the intended-route sea-water salinity.") ; sh:select Literal("</x:v>
      </x:c>
    </x:row>
    <x:row r="10">
      <x:c r="A10" s="48" t="str">
        <x:v>BATCH01-R6-ACCEPTED-SHAPES</x:v>
      </x:c>
      <x:c r="B10" s="48" t="str">
        <x:v>B01-TRF-015-BOUNDARY</x:v>
      </x:c>
      <x:c r="C10" s="48" t="str">
        <x:v>BOUNDARY</x:v>
      </x:c>
      <x:c r="D10" s="48" t="str">
        <x:v>r6-requirement-development-calibration</x:v>
      </x:c>
      <x:c r="E10" s="48" t="str">
        <x:v>TRF-015</x:v>
      </x:c>
      <x:c r="F10" s="48" t="str">
        <x:v>/Users/sadisfaction570/Desktop/Journal 1/NLTL_v2/MVP/SHACL_GENERATION_PIPELINE/outputs/development_batch01/runs/RUN-TRF-015-20260812T214231852616Z/final/final_shape.ttl</x:v>
      </x:c>
      <x:c r="G10" s="48" t="str">
        <x:v>/Users/sadisfaction570/Desktop/Journal 1/NLTL_v2/MVP/INPUTS/DEVELOPMENT_CALIBRATION/BATCH_01_FIRST_50/rdf_fixtures/TRF-015/trf-015_03_boundary.ttl</x:v>
      </x:c>
      <x:c r="H10" s="48" t="str">
        <x:v>b8d143cc5ee3c2874be92e409f5cf403be98096a33e33ec903b80d81a5969be9</x:v>
      </x:c>
      <x:c r="I10" s="48" t="str">
        <x:v>15643e43e237e89447f3ed73fc13f3f85f2a897c51127c866f121654d2b9e871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365.222</x:v>
      </x:c>
      <x:c r="Q10" s="49" t="str"/>
      <x:c r="R10" s="48" t="str">
        <x:v>Conforms: true</x:v>
      </x:c>
    </x:row>
    <x:row r="11">
      <x:c r="A11" s="48" t="str">
        <x:v>BATCH01-R6-ACCEPTED-SHAPES</x:v>
      </x:c>
      <x:c r="B11" s="48" t="str">
        <x:v>B01-TRF-034-PASS</x:v>
      </x:c>
      <x:c r="C11" s="48" t="str">
        <x:v>PASS</x:v>
      </x:c>
      <x:c r="D11" s="48" t="str">
        <x:v>r6-requirement-development-calibration</x:v>
      </x:c>
      <x:c r="E11" s="48" t="str">
        <x:v>TRF-034</x:v>
      </x:c>
      <x:c r="F11" s="48" t="str">
        <x:v>/Users/sadisfaction570/Desktop/Journal 1/NLTL_v2/MVP/SHACL_GENERATION_PIPELINE/outputs/development_batch01/runs/RUN-TRF-034-20260812T220456052212Z/final/final_shape.ttl</x:v>
      </x:c>
      <x:c r="G11" s="48" t="str">
        <x:v>/Users/sadisfaction570/Desktop/Journal 1/NLTL_v2/MVP/INPUTS/DEVELOPMENT_CALIBRATION/BATCH_01_FIRST_50/rdf_fixtures/TRF-034/trf-034_01_pass.ttl</x:v>
      </x:c>
      <x:c r="H11" s="48" t="str">
        <x:v>bee0978e30a1f8b854ec7daa74e7d601956c6b1e5f881ea563e8f8685ad7eef9</x:v>
      </x:c>
      <x:c r="I11" s="48" t="str">
        <x:v>906941be7c0080cb28b83456b2352be310bf9e0a8d295f91b752c30b5eb01c28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343.974</x:v>
      </x:c>
      <x:c r="Q11" s="49" t="str"/>
      <x:c r="R11" s="48" t="str">
        <x:v>Conforms: true</x:v>
      </x:c>
    </x:row>
    <x:row r="12">
      <x:c r="A12" s="48" t="str">
        <x:v>BATCH01-R6-ACCEPTED-SHAPES</x:v>
      </x:c>
      <x:c r="B12" s="48" t="str">
        <x:v>B01-TRF-034-FAIL</x:v>
      </x:c>
      <x:c r="C12" s="48" t="str">
        <x:v>FAIL</x:v>
      </x:c>
      <x:c r="D12" s="48" t="str">
        <x:v>r6-requirement-development-calibration</x:v>
      </x:c>
      <x:c r="E12" s="48" t="str">
        <x:v>TRF-034</x:v>
      </x:c>
      <x:c r="F12" s="48" t="str">
        <x:v>/Users/sadisfaction570/Desktop/Journal 1/NLTL_v2/MVP/SHACL_GENERATION_PIPELINE/outputs/development_batch01/runs/RUN-TRF-034-20260812T220456052212Z/final/final_shape.ttl</x:v>
      </x:c>
      <x:c r="G12" s="48" t="str">
        <x:v>/Users/sadisfaction570/Desktop/Journal 1/NLTL_v2/MVP/INPUTS/DEVELOPMENT_CALIBRATION/BATCH_01_FIRST_50/rdf_fixtures/TRF-034/trf-034_02_fail.ttl</x:v>
      </x:c>
      <x:c r="H12" s="48" t="str">
        <x:v>bee0978e30a1f8b854ec7daa74e7d601956c6b1e5f881ea563e8f8685ad7eef9</x:v>
      </x:c>
      <x:c r="I12" s="48" t="str">
        <x:v>7330f8b2753cef0f233a1c34daf73d05a694d8e7d30bdb237d6f30a8ead9dc2d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13</x:v>
      </x:c>
      <x:c r="P12" s="64" t="n">
        <x:v>348.447</x:v>
      </x:c>
      <x:c r="Q12" s="49" t="str"/>
      <x:c r="R12" s="48" t="str">
        <x:v>Conforms: false | A member not normal to the plating requires classification-society section-property calculation evidence.</x:v>
      </x:c>
    </x:row>
    <x:row r="13">
      <x:c r="A13" s="48" t="str">
        <x:v>BATCH01-R6-ACCEPTED-SHAPES</x:v>
      </x:c>
      <x:c r="B13" s="48" t="str">
        <x:v>B01-TRF-034-BOUNDARY</x:v>
      </x:c>
      <x:c r="C13" s="48" t="str">
        <x:v>BOUNDARY</x:v>
      </x:c>
      <x:c r="D13" s="48" t="str">
        <x:v>r6-requirement-development-calibration</x:v>
      </x:c>
      <x:c r="E13" s="48" t="str">
        <x:v>TRF-034</x:v>
      </x:c>
      <x:c r="F13" s="48" t="str">
        <x:v>/Users/sadisfaction570/Desktop/Journal 1/NLTL_v2/MVP/SHACL_GENERATION_PIPELINE/outputs/development_batch01/runs/RUN-TRF-034-20260812T220456052212Z/final/final_shape.ttl</x:v>
      </x:c>
      <x:c r="G13" s="48" t="str">
        <x:v>/Users/sadisfaction570/Desktop/Journal 1/NLTL_v2/MVP/INPUTS/DEVELOPMENT_CALIBRATION/BATCH_01_FIRST_50/rdf_fixtures/TRF-034/trf-034_03_boundary.ttl</x:v>
      </x:c>
      <x:c r="H13" s="48" t="str">
        <x:v>bee0978e30a1f8b854ec7daa74e7d601956c6b1e5f881ea563e8f8685ad7eef9</x:v>
      </x:c>
      <x:c r="I13" s="48" t="str">
        <x:v>777ffd693642762004027c97e9fe41791916c74501d0e11e13454d4f3fd876bd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TRUE</x:v>
      </x:c>
      <x:c r="N13" s="48" t="str">
        <x:v>TRUE</x:v>
      </x:c>
      <x:c r="O13" s="65" t="n">
        <x:v>2</x:v>
      </x:c>
      <x:c r="P13" s="64" t="n">
        <x:v>382.05</x:v>
      </x:c>
      <x:c r="Q13" s="49" t="str"/>
      <x:c r="R13" s="48" t="str">
        <x:v>Conforms: true</x:v>
      </x:c>
    </x:row>
    <x:row r="14">
      <x:c r="A14" s="48" t="str">
        <x:v>BATCH01-R6-ACCEPTED-SHAPES</x:v>
      </x:c>
      <x:c r="B14" s="48" t="str">
        <x:v>B01-TRF-041-PASS</x:v>
      </x:c>
      <x:c r="C14" s="48" t="str">
        <x:v>PASS</x:v>
      </x:c>
      <x:c r="D14" s="48" t="str">
        <x:v>r6-requirement-development-calibration</x:v>
      </x:c>
      <x:c r="E14" s="48" t="str">
        <x:v>TRF-041</x:v>
      </x:c>
      <x:c r="F14" s="48" t="str">
        <x:v>/Users/sadisfaction570/Desktop/Journal 1/NLTL_v2/MVP/SHACL_GENERATION_PIPELINE/outputs/development_batch01/runs/RUN-TRF-041-20260812T220923782665Z/final/final_shape.ttl</x:v>
      </x:c>
      <x:c r="G14" s="48" t="str">
        <x:v>/Users/sadisfaction570/Desktop/Journal 1/NLTL_v2/MVP/INPUTS/DEVELOPMENT_CALIBRATION/BATCH_01_FIRST_50/rdf_fixtures/TRF-041/trf-041_01_pass.ttl</x:v>
      </x:c>
      <x:c r="H14" s="48" t="str">
        <x:v>e52d3d7e73d6831a2e877820ab2cf87994a007100120d4d16643f0809d111668</x:v>
      </x:c>
      <x:c r="I14" s="48" t="str">
        <x:v>b403945094bf4fb14ff68d7130e0984a2a545eb8fdc60010cb590ecb6a68f818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467.264</x:v>
      </x:c>
      <x:c r="Q14" s="49" t="str"/>
      <x:c r="R14" s="48" t="str">
        <x:v>Conforms: true</x:v>
      </x:c>
    </x:row>
    <x:row r="15">
      <x:c r="A15" s="48" t="str">
        <x:v>BATCH01-R6-ACCEPTED-SHAPES</x:v>
      </x:c>
      <x:c r="B15" s="48" t="str">
        <x:v>B01-TRF-041-FAIL</x:v>
      </x:c>
      <x:c r="C15" s="48" t="str">
        <x:v>FAIL</x:v>
      </x:c>
      <x:c r="D15" s="48" t="str">
        <x:v>r6-requirement-development-calibration</x:v>
      </x:c>
      <x:c r="E15" s="48" t="str">
        <x:v>TRF-041</x:v>
      </x:c>
      <x:c r="F15" s="48" t="str">
        <x:v>/Users/sadisfaction570/Desktop/Journal 1/NLTL_v2/MVP/SHACL_GENERATION_PIPELINE/outputs/development_batch01/runs/RUN-TRF-041-20260812T220923782665Z/final/final_shape.ttl</x:v>
      </x:c>
      <x:c r="G15" s="48" t="str">
        <x:v>/Users/sadisfaction570/Desktop/Journal 1/NLTL_v2/MVP/INPUTS/DEVELOPMENT_CALIBRATION/BATCH_01_FIRST_50/rdf_fixtures/TRF-041/trf-041_02_fail.ttl</x:v>
      </x:c>
      <x:c r="H15" s="48" t="str">
        <x:v>e52d3d7e73d6831a2e877820ab2cf87994a007100120d4d16643f0809d111668</x:v>
      </x:c>
      <x:c r="I15" s="48" t="str">
        <x:v>ec7be9f25847feb273e8e978089371273eab7349ca17f7307024c5ff953a6bdc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13</x:v>
      </x:c>
      <x:c r="P15" s="64" t="n">
        <x:v>473.351</x:v>
      </x:c>
      <x:c r="Q15" s="49" t="str"/>
      <x:c r="R15" s="48" t="str">
        <x:v>Conforms: false | Required shell plating thickness does not satisfy the applicable formula within relative tolerance 1e-6 and absolute fallback 1e-12, or the formula domain is invalid.</x:v>
      </x:c>
    </x:row>
    <x:row r="16">
      <x:c r="A16" s="48" t="str">
        <x:v>BATCH01-R6-ACCEPTED-SHAPES</x:v>
      </x:c>
      <x:c r="B16" s="48" t="str">
        <x:v>B01-TRF-041-BOUNDARY</x:v>
      </x:c>
      <x:c r="C16" s="48" t="str">
        <x:v>BOUNDARY</x:v>
      </x:c>
      <x:c r="D16" s="48" t="str">
        <x:v>r6-requirement-development-calibration</x:v>
      </x:c>
      <x:c r="E16" s="48" t="str">
        <x:v>TRF-041</x:v>
      </x:c>
      <x:c r="F16" s="48" t="str">
        <x:v>/Users/sadisfaction570/Desktop/Journal 1/NLTL_v2/MVP/SHACL_GENERATION_PIPELINE/outputs/development_batch01/runs/RUN-TRF-041-20260812T220923782665Z/final/final_shape.ttl</x:v>
      </x:c>
      <x:c r="G16" s="48" t="str">
        <x:v>/Users/sadisfaction570/Desktop/Journal 1/NLTL_v2/MVP/INPUTS/DEVELOPMENT_CALIBRATION/BATCH_01_FIRST_50/rdf_fixtures/TRF-041/trf-041_03_boundary.ttl</x:v>
      </x:c>
      <x:c r="H16" s="48" t="str">
        <x:v>e52d3d7e73d6831a2e877820ab2cf87994a007100120d4d16643f0809d111668</x:v>
      </x:c>
      <x:c r="I16" s="48" t="str">
        <x:v>b4069b898c585378ac3fdfd6d2a8cb1ff816fcf3077bdbfb24a94a4d6f396c1e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470.902</x:v>
      </x:c>
      <x:c r="Q16" s="49" t="str"/>
      <x:c r="R16" s="48" t="str">
        <x:v>Conforms: true</x:v>
      </x:c>
    </x:row>
    <x:row r="17">
      <x:c r="A17" s="48" t="str">
        <x:v>BATCH01-R6-ACCEPTED-SHAPES</x:v>
      </x:c>
      <x:c r="B17" s="48" t="str">
        <x:v>B01-TRF-043-PASS</x:v>
      </x:c>
      <x:c r="C17" s="48" t="str">
        <x:v>PASS</x:v>
      </x:c>
      <x:c r="D17" s="48" t="str">
        <x:v>r6-requirement-development-calibration</x:v>
      </x:c>
      <x:c r="E17" s="48" t="str">
        <x:v>TRF-043</x:v>
      </x:c>
      <x:c r="F17" s="48" t="str">
        <x:v>/Users/sadisfaction570/Desktop/Journal 1/NLTL_v2/MVP/SHACL_GENERATION_PIPELINE/outputs/development_batch01/runs/RUN-TRF-043-20260812T221750424850Z/final/final_shape.ttl</x:v>
      </x:c>
      <x:c r="G17" s="48" t="str">
        <x:v>/Users/sadisfaction570/Desktop/Journal 1/NLTL_v2/MVP/INPUTS/DEVELOPMENT_CALIBRATION/BATCH_01_FIRST_50/rdf_fixtures/TRF-043/trf-043_01_pass.ttl</x:v>
      </x:c>
      <x:c r="H17" s="48" t="str">
        <x:v>303c847ec85a2b21563f5dfbe6923614272cd9af2188789158285db2421a7818</x:v>
      </x:c>
      <x:c r="I17" s="48" t="str">
        <x:v>5a4df31449ecf584b2088ffe6fa94c6ebcd552d07a0a2345e4cb3dd59faabb00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TRUE</x:v>
      </x:c>
      <x:c r="N17" s="48" t="str">
        <x:v>TRUE</x:v>
      </x:c>
      <x:c r="O17" s="65" t="n">
        <x:v>2</x:v>
      </x:c>
      <x:c r="P17" s="64" t="n">
        <x:v>560.891</x:v>
      </x:c>
      <x:c r="Q17" s="49" t="str"/>
      <x:c r="R17" s="48" t="str">
        <x:v>Conforms: true</x:v>
      </x:c>
    </x:row>
    <x:row r="18">
      <x:c r="A18" s="48" t="str">
        <x:v>BATCH01-R6-ACCEPTED-SHAPES</x:v>
      </x:c>
      <x:c r="B18" s="48" t="str">
        <x:v>B01-TRF-043-FAIL</x:v>
      </x:c>
      <x:c r="C18" s="48" t="str">
        <x:v>FAIL</x:v>
      </x:c>
      <x:c r="D18" s="48" t="str">
        <x:v>r6-requirement-development-calibration</x:v>
      </x:c>
      <x:c r="E18" s="48" t="str">
        <x:v>TRF-043</x:v>
      </x:c>
      <x:c r="F18" s="48" t="str">
        <x:v>/Users/sadisfaction570/Desktop/Journal 1/NLTL_v2/MVP/SHACL_GENERATION_PIPELINE/outputs/development_batch01/runs/RUN-TRF-043-20260812T221750424850Z/final/final_shape.ttl</x:v>
      </x:c>
      <x:c r="G18" s="48" t="str">
        <x:v>/Users/sadisfaction570/Desktop/Journal 1/NLTL_v2/MVP/INPUTS/DEVELOPMENT_CALIBRATION/BATCH_01_FIRST_50/rdf_fixtures/TRF-043/trf-043_02_fail.ttl</x:v>
      </x:c>
      <x:c r="H18" s="48" t="str">
        <x:v>303c847ec85a2b21563f5dfbe6923614272cd9af2188789158285db2421a7818</x:v>
      </x:c>
      <x:c r="I18" s="48" t="str">
        <x:v>5396dafb8874d40b66349173d3ed1296e00d4141b36a6890d6c26957f5867d30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601.36</x:v>
      </x:c>
      <x:c r="Q18" s="49" t="str"/>
      <x:c r="R18" s="48" t="str">
        <x:v>Conforms: false | Node &lt;urn:nltl:batch01-fixture:TRF-043:fail:component&gt; must conform to one or more shapes in ([ sh:not gen:IceClassIaSuperCondition ] , gen:AboveAtLeast1_2MetreRequirement) and ([ sh:not gen:IceClassIaIbIcCondition ] , gen:AboveAtLeast1_0MetreRequirement) and ([ sh:not [ sh:and ( gen:IceClassIaSuperCondition gen:BowRegionCondition ) ] ] , gen:ReachesTankTopRequirement) and ([ sh:not [ sh:and ( gen:IceClassIaSuperCondition gen:MidbodyRegionCondition ) ] ] , gen:BelowAtLeast2_0MetreRequirement) and ([ sh:not [ sh:and ( gen:IceClassIaSuperCondition gen:SternRegionCondition ) ] ] , gen:BelowAtLeast1_6MetreRequirement) and ([ sh:not [ sh:and ( gen:IceClassIaIbIcCondition gen:BowRegionCondition ) ] ] , gen:BelowAtLeast1_6MetreRequirement) and ([ sh:not [ sh:and ( gen:IceClassIaIbIcCondition gen:MidbodyRegionCondition ) ] ] , gen:BelowAtLeast1_3MetreRequirement) and ([ sh:not [ sh:and ( gen:IceClassIaIbIcCondition gen:SternRegionCondition ) ] ] , gen:BelowAtLeast1_0MetreRequirement) and ([ sh:not [ sh:property [ sh:hasValue Literal("true" = True, datatype=xsd:boolean) ; sh:path nltl:upperBowIceBeltRequired ] ] ] , gen:ReachesUpperBowIceBeltTopRequirement)</x:v>
      </x:c>
    </x:row>
    <x:row r="19">
      <x:c r="A19" s="48" t="str">
        <x:v>BATCH01-R6-ACCEPTED-SHAPES</x:v>
      </x:c>
      <x:c r="B19" s="48" t="str">
        <x:v>B01-TRF-043-BOUNDARY</x:v>
      </x:c>
      <x:c r="C19" s="48" t="str">
        <x:v>BOUNDARY</x:v>
      </x:c>
      <x:c r="D19" s="48" t="str">
        <x:v>r6-requirement-development-calibration</x:v>
      </x:c>
      <x:c r="E19" s="48" t="str">
        <x:v>TRF-043</x:v>
      </x:c>
      <x:c r="F19" s="48" t="str">
        <x:v>/Users/sadisfaction570/Desktop/Journal 1/NLTL_v2/MVP/SHACL_GENERATION_PIPELINE/outputs/development_batch01/runs/RUN-TRF-043-20260812T221750424850Z/final/final_shape.ttl</x:v>
      </x:c>
      <x:c r="G19" s="48" t="str">
        <x:v>/Users/sadisfaction570/Desktop/Journal 1/NLTL_v2/MVP/INPUTS/DEVELOPMENT_CALIBRATION/BATCH_01_FIRST_50/rdf_fixtures/TRF-043/trf-043_03_boundary.ttl</x:v>
      </x:c>
      <x:c r="H19" s="48" t="str">
        <x:v>303c847ec85a2b21563f5dfbe6923614272cd9af2188789158285db2421a7818</x:v>
      </x:c>
      <x:c r="I19" s="48" t="str">
        <x:v>8d91b8c61a5bb922e8da728b2c623c0bc2abf4520ac805b40031363820e44d1d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TRUE</x:v>
      </x:c>
      <x:c r="N19" s="48" t="str">
        <x:v>TRUE</x:v>
      </x:c>
      <x:c r="O19" s="65" t="n">
        <x:v>2</x:v>
      </x:c>
      <x:c r="P19" s="64" t="n">
        <x:v>564.449</x:v>
      </x:c>
      <x:c r="Q19" s="49" t="str"/>
      <x:c r="R19" s="48" t="str">
        <x:v>Conforms: true</x:v>
      </x:c>
    </x:row>
    <x:row r="20">
      <x:c r="A20" s="48" t="str">
        <x:v>BATCH01-R6-ACCEPTED-SHAPES</x:v>
      </x:c>
      <x:c r="B20" s="48" t="str">
        <x:v>B01-TRF-044-PASS</x:v>
      </x:c>
      <x:c r="C20" s="48" t="str">
        <x:v>PASS</x:v>
      </x:c>
      <x:c r="D20" s="48" t="str">
        <x:v>r6-requirement-development-calibration</x:v>
      </x:c>
      <x:c r="E20" s="48" t="str">
        <x:v>TRF-044</x:v>
      </x:c>
      <x:c r="F20" s="48" t="str">
        <x:v>/Users/sadisfaction570/Desktop/Journal 1/NLTL_v2/MVP/SHACL_GENERATION_PIPELINE/outputs/development_batch01/runs/RUN-TRF-044-20260812T221922490961Z/final/final_shape.ttl</x:v>
      </x:c>
      <x:c r="G20" s="48" t="str">
        <x:v>/Users/sadisfaction570/Desktop/Journal 1/NLTL_v2/MVP/INPUTS/DEVELOPMENT_CALIBRATION/BATCH_01_FIRST_50/rdf_fixtures/TRF-044/trf-044_01_pass.ttl</x:v>
      </x:c>
      <x:c r="H20" s="48" t="str">
        <x:v>6d115f3789c54e4b34490963a43abe28cd497530572c37f573bd8d4eafb4c417</x:v>
      </x:c>
      <x:c r="I20" s="48" t="str">
        <x:v>74dc7326f9b9edd0002775359afb9c7fef2b1344bf814b5fe2a9d7fd6611ebd2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TRUE</x:v>
      </x:c>
      <x:c r="N20" s="48" t="str">
        <x:v>TRUE</x:v>
      </x:c>
      <x:c r="O20" s="65" t="n">
        <x:v>2</x:v>
      </x:c>
      <x:c r="P20" s="64" t="n">
        <x:v>470.169</x:v>
      </x:c>
      <x:c r="Q20" s="49" t="str"/>
      <x:c r="R20" s="48" t="str">
        <x:v>Conforms: true</x:v>
      </x:c>
    </x:row>
    <x:row r="21">
      <x:c r="A21" s="48" t="str">
        <x:v>BATCH01-R6-ACCEPTED-SHAPES</x:v>
      </x:c>
      <x:c r="B21" s="48" t="str">
        <x:v>B01-TRF-044-FAIL</x:v>
      </x:c>
      <x:c r="C21" s="48" t="str">
        <x:v>FAIL</x:v>
      </x:c>
      <x:c r="D21" s="48" t="str">
        <x:v>r6-requirement-development-calibration</x:v>
      </x:c>
      <x:c r="E21" s="48" t="str">
        <x:v>TRF-044</x:v>
      </x:c>
      <x:c r="F21" s="48" t="str">
        <x:v>/Users/sadisfaction570/Desktop/Journal 1/NLTL_v2/MVP/SHACL_GENERATION_PIPELINE/outputs/development_batch01/runs/RUN-TRF-044-20260812T221922490961Z/final/final_shape.ttl</x:v>
      </x:c>
      <x:c r="G21" s="48" t="str">
        <x:v>/Users/sadisfaction570/Desktop/Journal 1/NLTL_v2/MVP/INPUTS/DEVELOPMENT_CALIBRATION/BATCH_01_FIRST_50/rdf_fixtures/TRF-044/trf-044_02_fail.ttl</x:v>
      </x:c>
      <x:c r="H21" s="48" t="str">
        <x:v>6d115f3789c54e4b34490963a43abe28cd497530572c37f573bd8d4eafb4c417</x:v>
      </x:c>
      <x:c r="I21" s="48" t="str">
        <x:v>4c269748035fef79d4eeb0a7c50540d2c05920c9276d34a9a941e35e6fc8c1e8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13</x:v>
      </x:c>
      <x:c r="P21" s="64" t="n">
        <x:v>467.243</x:v>
      </x:c>
      <x:c r="Q21" s="49" t="str"/>
      <x:c r="R21" s="48" t="str">
        <x:v>Conforms: false | The boundary-condition factor, moment factor, shear factor, section modulus, or required shear area is inconsistent with clause 4.4.2.1.</x:v>
      </x:c>
    </x:row>
    <x:row r="22">
      <x:c r="A22" s="48" t="str">
        <x:v>BATCH01-R6-ACCEPTED-SHAPES</x:v>
      </x:c>
      <x:c r="B22" s="48" t="str">
        <x:v>B01-TRF-044-BOUNDARY</x:v>
      </x:c>
      <x:c r="C22" s="48" t="str">
        <x:v>BOUNDARY</x:v>
      </x:c>
      <x:c r="D22" s="48" t="str">
        <x:v>r6-requirement-development-calibration</x:v>
      </x:c>
      <x:c r="E22" s="48" t="str">
        <x:v>TRF-044</x:v>
      </x:c>
      <x:c r="F22" s="48" t="str">
        <x:v>/Users/sadisfaction570/Desktop/Journal 1/NLTL_v2/MVP/SHACL_GENERATION_PIPELINE/outputs/development_batch01/runs/RUN-TRF-044-20260812T221922490961Z/final/final_shape.ttl</x:v>
      </x:c>
      <x:c r="G22" s="48" t="str">
        <x:v>/Users/sadisfaction570/Desktop/Journal 1/NLTL_v2/MVP/INPUTS/DEVELOPMENT_CALIBRATION/BATCH_01_FIRST_50/rdf_fixtures/TRF-044/trf-044_03_boundary.ttl</x:v>
      </x:c>
      <x:c r="H22" s="48" t="str">
        <x:v>6d115f3789c54e4b34490963a43abe28cd497530572c37f573bd8d4eafb4c417</x:v>
      </x:c>
      <x:c r="I22" s="48" t="str">
        <x:v>f7c6aa3ebda4ffb280dafadb60bf93717fc8c83e18d4ff7c0af8867b1b06b485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TRUE</x:v>
      </x:c>
      <x:c r="N22" s="48" t="str">
        <x:v>TRUE</x:v>
      </x:c>
      <x:c r="O22" s="65" t="n">
        <x:v>2</x:v>
      </x:c>
      <x:c r="P22" s="64" t="n">
        <x:v>471.722</x:v>
      </x:c>
      <x:c r="Q22" s="49" t="str"/>
      <x:c r="R22" s="48" t="str">
        <x:v>Conforms: true</x:v>
      </x:c>
    </x:row>
    <x:row r="23">
      <x:c r="A23" s="48" t="str">
        <x:v>BATCH01-R6-ACCEPTED-SHAPES</x:v>
      </x:c>
      <x:c r="B23" s="48" t="str">
        <x:v>B01-TRF-047-PASS</x:v>
      </x:c>
      <x:c r="C23" s="48" t="str">
        <x:v>PASS</x:v>
      </x:c>
      <x:c r="D23" s="48" t="str">
        <x:v>r6-requirement-development-calibration</x:v>
      </x:c>
      <x:c r="E23" s="48" t="str">
        <x:v>TRF-047</x:v>
      </x:c>
      <x:c r="F23" s="48" t="str">
        <x:v>/Users/sadisfaction570/Desktop/Journal 1/NLTL_v2/MVP/SHACL_GENERATION_PIPELINE/outputs/development_batch01/runs/RUN-TRF-047-20260812T222623140411Z/final/final_shape.ttl</x:v>
      </x:c>
      <x:c r="G23" s="48" t="str">
        <x:v>/Users/sadisfaction570/Desktop/Journal 1/NLTL_v2/MVP/INPUTS/DEVELOPMENT_CALIBRATION/BATCH_01_FIRST_50/rdf_fixtures/TRF-047/trf-047_01_pass.ttl</x:v>
      </x:c>
      <x:c r="H23" s="48" t="str">
        <x:v>74e9a26b6850317f136486f1608a549e961957d780dea28b3d7ec09062f9bbd3</x:v>
      </x:c>
      <x:c r="I23" s="48" t="str">
        <x:v>2a40d0367a8f91951cb45db479c6e7687fd51d76bde7f78982c73caeec827428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383.044</x:v>
      </x:c>
      <x:c r="Q23" s="49" t="str"/>
      <x:c r="R23" s="48" t="str">
        <x:v>Conforms: true</x:v>
      </x:c>
    </x:row>
    <x:row r="24">
      <x:c r="A24" s="48" t="str">
        <x:v>BATCH01-R6-ACCEPTED-SHAPES</x:v>
      </x:c>
      <x:c r="B24" s="48" t="str">
        <x:v>B01-TRF-047-FAIL</x:v>
      </x:c>
      <x:c r="C24" s="48" t="str">
        <x:v>FAIL</x:v>
      </x:c>
      <x:c r="D24" s="48" t="str">
        <x:v>r6-requirement-development-calibration</x:v>
      </x:c>
      <x:c r="E24" s="48" t="str">
        <x:v>TRF-047</x:v>
      </x:c>
      <x:c r="F24" s="48" t="str">
        <x:v>/Users/sadisfaction570/Desktop/Journal 1/NLTL_v2/MVP/SHACL_GENERATION_PIPELINE/outputs/development_batch01/runs/RUN-TRF-047-20260812T222623140411Z/final/final_shape.ttl</x:v>
      </x:c>
      <x:c r="G24" s="48" t="str">
        <x:v>/Users/sadisfaction570/Desktop/Journal 1/NLTL_v2/MVP/INPUTS/DEVELOPMENT_CALIBRATION/BATCH_01_FIRST_50/rdf_fixtures/TRF-047/trf-047_02_fail.ttl</x:v>
      </x:c>
      <x:c r="H24" s="48" t="str">
        <x:v>74e9a26b6850317f136486f1608a549e961957d780dea28b3d7ec09062f9bbd3</x:v>
      </x:c>
      <x:c r="I24" s="48" t="str">
        <x:v>ff6d523901d9d4c52afc607088f66e6d31414026aac11bf824c11e52d28b9ac3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23</x:v>
      </x:c>
      <x:c r="P24" s="64" t="n">
        <x:v>351.392</x:v>
      </x:c>
      <x:c r="Q24" s="49" t="str"/>
      <x:c r="R24" s="48" t="str">
        <x:v>Conforms: false | The strengthened lower end must use an approved direct attachment or, for an eligible intermediate ice frame, a compliant horizontal connection to two distinct strengthened adjacent main frames.</x:v>
      </x:c>
    </x:row>
    <x:row r="25">
      <x:c r="A25" s="48" t="str">
        <x:v>BATCH01-R6-ACCEPTED-SHAPES</x:v>
      </x:c>
      <x:c r="B25" s="48" t="str">
        <x:v>B01-TRF-047-BOUNDARY</x:v>
      </x:c>
      <x:c r="C25" s="48" t="str">
        <x:v>BOUNDARY</x:v>
      </x:c>
      <x:c r="D25" s="48" t="str">
        <x:v>r6-requirement-development-calibration</x:v>
      </x:c>
      <x:c r="E25" s="48" t="str">
        <x:v>TRF-047</x:v>
      </x:c>
      <x:c r="F25" s="48" t="str">
        <x:v>/Users/sadisfaction570/Desktop/Journal 1/NLTL_v2/MVP/SHACL_GENERATION_PIPELINE/outputs/development_batch01/runs/RUN-TRF-047-20260812T222623140411Z/final/final_shape.ttl</x:v>
      </x:c>
      <x:c r="G25" s="48" t="str">
        <x:v>/Users/sadisfaction570/Desktop/Journal 1/NLTL_v2/MVP/INPUTS/DEVELOPMENT_CALIBRATION/BATCH_01_FIRST_50/rdf_fixtures/TRF-047/trf-047_03_boundary.ttl</x:v>
      </x:c>
      <x:c r="H25" s="48" t="str">
        <x:v>74e9a26b6850317f136486f1608a549e961957d780dea28b3d7ec09062f9bbd3</x:v>
      </x:c>
      <x:c r="I25" s="48" t="str">
        <x:v>4b68dfc4a09366a837f5f590cd5ab9adf26bb5f25b4d39d545f959f2f59ec356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350.755</x:v>
      </x:c>
      <x:c r="Q25" s="49" t="str"/>
      <x:c r="R25" s="48" t="str">
        <x:v>Conforms: true</x:v>
      </x:c>
    </x:row>
    <x:row r="26">
      <x:c r="A26" s="48" t="str">
        <x:v>BATCH01-R6-ACCEPTED-SHAPES</x:v>
      </x:c>
      <x:c r="B26" s="48" t="str">
        <x:v>B01-TRF-051-PASS</x:v>
      </x:c>
      <x:c r="C26" s="48" t="str">
        <x:v>PASS</x:v>
      </x:c>
      <x:c r="D26" s="48" t="str">
        <x:v>r6-requirement-development-calibration</x:v>
      </x:c>
      <x:c r="E26" s="48" t="str">
        <x:v>TRF-051</x:v>
      </x:c>
      <x:c r="F26" s="48" t="str">
        <x:v>/Users/sadisfaction570/Desktop/Journal 1/NLTL_v2/MVP/SHACL_GENERATION_PIPELINE/outputs/development_batch01/runs/RUN-TRF-051-20260812T223323169745Z/final/final_shape.ttl</x:v>
      </x:c>
      <x:c r="G26" s="48" t="str">
        <x:v>/Users/sadisfaction570/Desktop/Journal 1/NLTL_v2/MVP/INPUTS/DEVELOPMENT_CALIBRATION/BATCH_01_FIRST_50/rdf_fixtures/TRF-051/trf-051_01_pass.ttl</x:v>
      </x:c>
      <x:c r="H26" s="48" t="str">
        <x:v>b8ee66f904af82f66e1e1dba0649f0f302a1bdb4f6163bb695fe6a85ee3e55f5</x:v>
      </x:c>
      <x:c r="I26" s="48" t="str">
        <x:v>8792ff61bd86e39a1088dc411281b32bb14f4dc389941ca9e8b6ea330af4cbbc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455.205</x:v>
      </x:c>
      <x:c r="Q26" s="49" t="str"/>
      <x:c r="R26" s="48" t="str">
        <x:v>Conforms: true</x:v>
      </x:c>
    </x:row>
    <x:row r="27">
      <x:c r="A27" s="48" t="str">
        <x:v>BATCH01-R6-ACCEPTED-SHAPES</x:v>
      </x:c>
      <x:c r="B27" s="48" t="str">
        <x:v>B01-TRF-051-FAIL</x:v>
      </x:c>
      <x:c r="C27" s="48" t="str">
        <x:v>FAIL</x:v>
      </x:c>
      <x:c r="D27" s="48" t="str">
        <x:v>r6-requirement-development-calibration</x:v>
      </x:c>
      <x:c r="E27" s="48" t="str">
        <x:v>TRF-051</x:v>
      </x:c>
      <x:c r="F27" s="48" t="str">
        <x:v>/Users/sadisfaction570/Desktop/Journal 1/NLTL_v2/MVP/SHACL_GENERATION_PIPELINE/outputs/development_batch01/runs/RUN-TRF-051-20260812T223323169745Z/final/final_shape.ttl</x:v>
      </x:c>
      <x:c r="G27" s="48" t="str">
        <x:v>/Users/sadisfaction570/Desktop/Journal 1/NLTL_v2/MVP/INPUTS/DEVELOPMENT_CALIBRATION/BATCH_01_FIRST_50/rdf_fixtures/TRF-051/trf-051_02_fail.ttl</x:v>
      </x:c>
      <x:c r="H27" s="48" t="str">
        <x:v>b8ee66f904af82f66e1e1dba0649f0f302a1bdb4f6163bb695fe6a85ee3e55f5</x:v>
      </x:c>
      <x:c r="I27" s="48" t="str">
        <x:v>1d1d4f517ae733ad844c7bd79520df0eaaf0ce9627b418a1be46397c2e6b8ad0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13</x:v>
      </x:c>
      <x:c r="P27" s="64" t="n">
        <x:v>455.611</x:v>
      </x:c>
      <x:c r="Q27" s="49" t="str"/>
      <x:c r="R27" s="48" t="str">
        <x:v>Conforms: false | The frame web or in-lieu plate thickness is below one or more required lower bounds.</x:v>
      </x:c>
    </x:row>
    <x:row r="28">
      <x:c r="A28" s="48" t="str">
        <x:v>BATCH01-R6-ACCEPTED-SHAPES</x:v>
      </x:c>
      <x:c r="B28" s="48" t="str">
        <x:v>B01-TRF-051-BOUNDARY</x:v>
      </x:c>
      <x:c r="C28" s="48" t="str">
        <x:v>BOUNDARY</x:v>
      </x:c>
      <x:c r="D28" s="48" t="str">
        <x:v>r6-requirement-development-calibration</x:v>
      </x:c>
      <x:c r="E28" s="48" t="str">
        <x:v>TRF-051</x:v>
      </x:c>
      <x:c r="F28" s="48" t="str">
        <x:v>/Users/sadisfaction570/Desktop/Journal 1/NLTL_v2/MVP/SHACL_GENERATION_PIPELINE/outputs/development_batch01/runs/RUN-TRF-051-20260812T223323169745Z/final/final_shape.ttl</x:v>
      </x:c>
      <x:c r="G28" s="48" t="str">
        <x:v>/Users/sadisfaction570/Desktop/Journal 1/NLTL_v2/MVP/INPUTS/DEVELOPMENT_CALIBRATION/BATCH_01_FIRST_50/rdf_fixtures/TRF-051/trf-051_03_boundary.ttl</x:v>
      </x:c>
      <x:c r="H28" s="48" t="str">
        <x:v>b8ee66f904af82f66e1e1dba0649f0f302a1bdb4f6163bb695fe6a85ee3e55f5</x:v>
      </x:c>
      <x:c r="I28" s="48" t="str">
        <x:v>dd8b879d6194d4f1cc5b2ff26f31825c4b572dc6f07f8010e65962ad6c4d742e</x:v>
      </x:c>
      <x:c r="J28" s="48" t="str">
        <x:v>TRUE</x:v>
      </x:c>
      <x:c r="K28" s="64" t="str">
        <x:v>TRUE</x:v>
      </x:c>
      <x:c r="L28" s="48" t="str">
        <x:v>TRUE</x:v>
      </x:c>
      <x:c r="M28" s="64" t="str">
        <x:v>TRUE</x:v>
      </x:c>
      <x:c r="N28" s="48" t="str">
        <x:v>TRUE</x:v>
      </x:c>
      <x:c r="O28" s="65" t="n">
        <x:v>2</x:v>
      </x:c>
      <x:c r="P28" s="64" t="n">
        <x:v>495.165</x:v>
      </x:c>
      <x:c r="Q28" s="49" t="str"/>
      <x:c r="R28" s="48" t="str">
        <x:v>Conforms: true</x:v>
      </x:c>
    </x:row>
    <x:row r="29">
      <x:c r="A29" s="48" t="str">
        <x:v>BATCH01-R6-ACCEPTED-SHAPES</x:v>
      </x:c>
      <x:c r="B29" s="48" t="str">
        <x:v>B01-TRF-054-PASS</x:v>
      </x:c>
      <x:c r="C29" s="48" t="str">
        <x:v>PASS</x:v>
      </x:c>
      <x:c r="D29" s="48" t="str">
        <x:v>r6-requirement-development-calibration</x:v>
      </x:c>
      <x:c r="E29" s="48" t="str">
        <x:v>TRF-054</x:v>
      </x:c>
      <x:c r="F29" s="48" t="str">
        <x:v>/Users/sadisfaction570/Desktop/Journal 1/NLTL_v2/MVP/SHACL_GENERATION_PIPELINE/outputs/development_batch01/runs/RUN-TRF-054-20260812T223624561285Z/final/final_shape.ttl</x:v>
      </x:c>
      <x:c r="G29" s="48" t="str">
        <x:v>/Users/sadisfaction570/Desktop/Journal 1/NLTL_v2/MVP/INPUTS/DEVELOPMENT_CALIBRATION/BATCH_01_FIRST_50/rdf_fixtures/TRF-054/trf-054_01_pass.ttl</x:v>
      </x:c>
      <x:c r="H29" s="48" t="str">
        <x:v>a30964e71134ed7ca70d7045e2fb1c3974b51249345bab1c0fe840c89ab4024c</x:v>
      </x:c>
      <x:c r="I29" s="48" t="str">
        <x:v>416578a006e67ecf56b9f76be8f81960667c49d2e192471dda06e19d86e35756</x:v>
      </x:c>
      <x:c r="J29" s="48" t="str">
        <x:v>TRUE</x:v>
      </x:c>
      <x:c r="K29" s="64" t="str">
        <x:v>TRUE</x:v>
      </x:c>
      <x:c r="L29" s="48" t="str">
        <x:v>TRUE</x:v>
      </x:c>
      <x:c r="M29" s="64" t="str">
        <x:v>TRUE</x:v>
      </x:c>
      <x:c r="N29" s="48" t="str">
        <x:v>TRUE</x:v>
      </x:c>
      <x:c r="O29" s="65" t="n">
        <x:v>2</x:v>
      </x:c>
      <x:c r="P29" s="64" t="n">
        <x:v>540.946</x:v>
      </x:c>
      <x:c r="Q29" s="49" t="str"/>
      <x:c r="R29" s="48" t="str">
        <x:v>Conforms: true</x:v>
      </x:c>
    </x:row>
    <x:row r="30">
      <x:c r="A30" s="48" t="str">
        <x:v>BATCH01-R6-ACCEPTED-SHAPES</x:v>
      </x:c>
      <x:c r="B30" s="48" t="str">
        <x:v>B01-TRF-054-FAIL</x:v>
      </x:c>
      <x:c r="C30" s="48" t="str">
        <x:v>FAIL</x:v>
      </x:c>
      <x:c r="D30" s="48" t="str">
        <x:v>r6-requirement-development-calibration</x:v>
      </x:c>
      <x:c r="E30" s="48" t="str">
        <x:v>TRF-054</x:v>
      </x:c>
      <x:c r="F30" s="48" t="str">
        <x:v>/Users/sadisfaction570/Desktop/Journal 1/NLTL_v2/MVP/SHACL_GENERATION_PIPELINE/outputs/development_batch01/runs/RUN-TRF-054-20260812T223624561285Z/final/final_shape.ttl</x:v>
      </x:c>
      <x:c r="G30" s="48" t="str">
        <x:v>/Users/sadisfaction570/Desktop/Journal 1/NLTL_v2/MVP/INPUTS/DEVELOPMENT_CALIBRATION/BATCH_01_FIRST_50/rdf_fixtures/TRF-054/trf-054_02_fail.ttl</x:v>
      </x:c>
      <x:c r="H30" s="48" t="str">
        <x:v>a30964e71134ed7ca70d7045e2fb1c3974b51249345bab1c0fe840c89ab4024c</x:v>
      </x:c>
      <x:c r="I30" s="48" t="str">
        <x:v>22d732d6138861cc374ed49753f3d64c692fb45a5b5932761643e8c108341bcb</x:v>
      </x:c>
      <x:c r="J30" s="48" t="str">
        <x:v>TRUE</x:v>
      </x:c>
      <x:c r="K30" s="64" t="str">
        <x:v>FALSE</x:v>
      </x:c>
      <x:c r="L30" s="48" t="str">
        <x:v>TRUE</x:v>
      </x:c>
      <x:c r="M30" s="64" t="str">
        <x:v>FALSE</x:v>
      </x:c>
      <x:c r="N30" s="48" t="str">
        <x:v>TRUE</x:v>
      </x:c>
      <x:c r="O30" s="65" t="n">
        <x:v>13</x:v>
      </x:c>
      <x:c r="P30" s="64" t="n">
        <x:v>533.592</x:v>
      </x:c>
      <x:c r="Q30" s="49" t="str"/>
      <x:c r="R30" s="48" t="str">
        <x:v>Conforms: false | For an outside-belt stringer supporting ice-strengthened frames, design line load, outside-ice-belt factor, section modulus, and required shear area must satisfy clauses 4.13 and 4.14 within relative tolerance 1e-6 or absolute tolerance 1e-9.</x:v>
      </x:c>
    </x:row>
    <x:row r="31">
      <x:c r="A31" s="48" t="str">
        <x:v>BATCH01-R6-ACCEPTED-SHAPES</x:v>
      </x:c>
      <x:c r="B31" s="48" t="str">
        <x:v>B01-TRF-054-BOUNDARY</x:v>
      </x:c>
      <x:c r="C31" s="48" t="str">
        <x:v>BOUNDARY</x:v>
      </x:c>
      <x:c r="D31" s="48" t="str">
        <x:v>r6-requirement-development-calibration</x:v>
      </x:c>
      <x:c r="E31" s="48" t="str">
        <x:v>TRF-054</x:v>
      </x:c>
      <x:c r="F31" s="48" t="str">
        <x:v>/Users/sadisfaction570/Desktop/Journal 1/NLTL_v2/MVP/SHACL_GENERATION_PIPELINE/outputs/development_batch01/runs/RUN-TRF-054-20260812T223624561285Z/final/final_shape.ttl</x:v>
      </x:c>
      <x:c r="G31" s="48" t="str">
        <x:v>/Users/sadisfaction570/Desktop/Journal 1/NLTL_v2/MVP/INPUTS/DEVELOPMENT_CALIBRATION/BATCH_01_FIRST_50/rdf_fixtures/TRF-054/trf-054_03_boundary.ttl</x:v>
      </x:c>
      <x:c r="H31" s="48" t="str">
        <x:v>a30964e71134ed7ca70d7045e2fb1c3974b51249345bab1c0fe840c89ab4024c</x:v>
      </x:c>
      <x:c r="I31" s="48" t="str">
        <x:v>f5232b03552145f6ccfc688a7b08ec1eafa4fcdc91d2457095dfdae903d0d7ba</x:v>
      </x:c>
      <x:c r="J31" s="48" t="str">
        <x:v>TRUE</x:v>
      </x:c>
      <x:c r="K31" s="64" t="str">
        <x:v>TRUE</x:v>
      </x:c>
      <x:c r="L31" s="48" t="str">
        <x:v>TRUE</x:v>
      </x:c>
      <x:c r="M31" s="64" t="str">
        <x:v>TRUE</x:v>
      </x:c>
      <x:c r="N31" s="48" t="str">
        <x:v>TRUE</x:v>
      </x:c>
      <x:c r="O31" s="65" t="n">
        <x:v>2</x:v>
      </x:c>
      <x:c r="P31" s="64" t="n">
        <x:v>542.315</x:v>
      </x:c>
      <x:c r="Q31" s="49" t="str"/>
      <x:c r="R31" s="48" t="str">
        <x:v>Conforms: true</x:v>
      </x:c>
    </x:row>
    <x:row r="32">
      <x:c r="A32" s="48" t="str">
        <x:v>BATCH01-R6-ACCEPTED-SHAPES</x:v>
      </x:c>
      <x:c r="B32" s="48" t="str">
        <x:v>B01-TRF-055-PASS</x:v>
      </x:c>
      <x:c r="C32" s="48" t="str">
        <x:v>PASS</x:v>
      </x:c>
      <x:c r="D32" s="48" t="str">
        <x:v>r6-requirement-development-calibration</x:v>
      </x:c>
      <x:c r="E32" s="48" t="str">
        <x:v>TRF-055</x:v>
      </x:c>
      <x:c r="F32" s="48" t="str">
        <x:v>/Users/sadisfaction570/Desktop/Journal 1/NLTL_v2/MVP/SHACL_GENERATION_PIPELINE/outputs/development_batch01/runs/RUN-TRF-055-20260812T223758367888Z/final/final_shape.ttl</x:v>
      </x:c>
      <x:c r="G32" s="48" t="str">
        <x:v>/Users/sadisfaction570/Desktop/Journal 1/NLTL_v2/MVP/INPUTS/DEVELOPMENT_CALIBRATION/BATCH_01_FIRST_50/rdf_fixtures/TRF-055/trf-055_01_pass.ttl</x:v>
      </x:c>
      <x:c r="H32" s="48" t="str">
        <x:v>1822e30e59a28b863061752235c08cfab0aa11ad693106522b72c111c2fd4e19</x:v>
      </x:c>
      <x:c r="I32" s="48" t="str">
        <x:v>dbbe8a2982861c8a36016c4d62c917cf0fb66dde044cb6dd073d7ad1d2b4ba07</x:v>
      </x:c>
      <x:c r="J32" s="48" t="str">
        <x:v>TRUE</x:v>
      </x:c>
      <x:c r="K32" s="64" t="str">
        <x:v>TRUE</x:v>
      </x:c>
      <x:c r="L32" s="48" t="str">
        <x:v>TRUE</x:v>
      </x:c>
      <x:c r="M32" s="64" t="str">
        <x:v>TRUE</x:v>
      </x:c>
      <x:c r="N32" s="48" t="str">
        <x:v>TRUE</x:v>
      </x:c>
      <x:c r="O32" s="65" t="n">
        <x:v>2</x:v>
      </x:c>
      <x:c r="P32" s="64" t="n">
        <x:v>381.079</x:v>
      </x:c>
      <x:c r="Q32" s="49" t="str"/>
      <x:c r="R32" s="48" t="str">
        <x:v>Conforms: true</x:v>
      </x:c>
    </x:row>
    <x:row r="33">
      <x:c r="A33" s="48" t="str">
        <x:v>BATCH01-R6-ACCEPTED-SHAPES</x:v>
      </x:c>
      <x:c r="B33" s="48" t="str">
        <x:v>B01-TRF-055-FAIL</x:v>
      </x:c>
      <x:c r="C33" s="48" t="str">
        <x:v>FAIL</x:v>
      </x:c>
      <x:c r="D33" s="48" t="str">
        <x:v>r6-requirement-development-calibration</x:v>
      </x:c>
      <x:c r="E33" s="48" t="str">
        <x:v>TRF-055</x:v>
      </x:c>
      <x:c r="F33" s="48" t="str">
        <x:v>/Users/sadisfaction570/Desktop/Journal 1/NLTL_v2/MVP/SHACL_GENERATION_PIPELINE/outputs/development_batch01/runs/RUN-TRF-055-20260812T223758367888Z/final/final_shape.ttl</x:v>
      </x:c>
      <x:c r="G33" s="48" t="str">
        <x:v>/Users/sadisfaction570/Desktop/Journal 1/NLTL_v2/MVP/INPUTS/DEVELOPMENT_CALIBRATION/BATCH_01_FIRST_50/rdf_fixtures/TRF-055/trf-055_02_fail.ttl</x:v>
      </x:c>
      <x:c r="H33" s="48" t="str">
        <x:v>1822e30e59a28b863061752235c08cfab0aa11ad693106522b72c111c2fd4e19</x:v>
      </x:c>
      <x:c r="I33" s="48" t="str">
        <x:v>2deeba7d7c0e1c0f0269b3f1037346ba019c27e69e60243e30f58199c3bca41c</x:v>
      </x:c>
      <x:c r="J33" s="48" t="str">
        <x:v>TRUE</x:v>
      </x:c>
      <x:c r="K33" s="64" t="str">
        <x:v>FALSE</x:v>
      </x:c>
      <x:c r="L33" s="48" t="str">
        <x:v>TRUE</x:v>
      </x:c>
      <x:c r="M33" s="64" t="str">
        <x:v>FALSE</x:v>
      </x:c>
      <x:c r="N33" s="48" t="str">
        <x:v>TRUE</x:v>
      </x:c>
      <x:c r="O33" s="65" t="n">
        <x:v>29</x:v>
      </x:c>
      <x:c r="P33" s="64" t="n">
        <x:v>412.523</x:v>
      </x:c>
      <x:c r="Q33" s="49" t="str"/>
      <x:c r="R33" s="48" t="str">
        <x:v>Conforms: false | Value is not &gt;= Literal("100.0", datatype=xsd:decimal)</x:v>
      </x:c>
    </x:row>
    <x:row r="34">
      <x:c r="A34" s="50" t="str">
        <x:v>BATCH01-R6-ACCEPTED-SHAPES</x:v>
      </x:c>
      <x:c r="B34" s="50" t="str">
        <x:v>B01-TRF-055-BOUNDARY</x:v>
      </x:c>
      <x:c r="C34" s="50" t="str">
        <x:v>BOUNDARY</x:v>
      </x:c>
      <x:c r="D34" s="50" t="str">
        <x:v>r6-requirement-development-calibration</x:v>
      </x:c>
      <x:c r="E34" s="50" t="str">
        <x:v>TRF-055</x:v>
      </x:c>
      <x:c r="F34" s="50" t="str">
        <x:v>/Users/sadisfaction570/Desktop/Journal 1/NLTL_v2/MVP/SHACL_GENERATION_PIPELINE/outputs/development_batch01/runs/RUN-TRF-055-20260812T223758367888Z/final/final_shape.ttl</x:v>
      </x:c>
      <x:c r="G34" s="50" t="str">
        <x:v>/Users/sadisfaction570/Desktop/Journal 1/NLTL_v2/MVP/INPUTS/DEVELOPMENT_CALIBRATION/BATCH_01_FIRST_50/rdf_fixtures/TRF-055/trf-055_03_boundary.ttl</x:v>
      </x:c>
      <x:c r="H34" s="50" t="str">
        <x:v>1822e30e59a28b863061752235c08cfab0aa11ad693106522b72c111c2fd4e19</x:v>
      </x:c>
      <x:c r="I34" s="50" t="str">
        <x:v>4e4fe4e612edfc0587d0fcca5b94aac6f810488734d1e9c672739eacc4537f9c</x:v>
      </x:c>
      <x:c r="J34" s="50" t="str">
        <x:v>TRUE</x:v>
      </x:c>
      <x:c r="K34" s="66" t="str">
        <x:v>TRUE</x:v>
      </x:c>
      <x:c r="L34" s="50" t="str">
        <x:v>TRUE</x:v>
      </x:c>
      <x:c r="M34" s="66" t="str">
        <x:v>TRUE</x:v>
      </x:c>
      <x:c r="N34" s="50" t="str">
        <x:v>TRUE</x:v>
      </x:c>
      <x:c r="O34" s="67" t="n">
        <x:v>2</x:v>
      </x:c>
      <x:c r="P34" s="66" t="n">
        <x:v>377.377</x:v>
      </x:c>
      <x:c r="Q34" s="51" t="str"/>
      <x:c r="R34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612de0aad0174e9f"/>
  </x:tableParts>
</x:worksheet>
</file>