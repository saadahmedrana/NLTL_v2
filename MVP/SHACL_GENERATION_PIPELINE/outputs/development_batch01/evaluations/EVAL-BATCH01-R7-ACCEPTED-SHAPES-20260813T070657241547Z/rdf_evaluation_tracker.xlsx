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da68093c61485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3a912131b474ff9"/>
    <x:sheet xmlns:r="http://schemas.openxmlformats.org/officeDocument/2006/relationships" name="README" sheetId="2" r:id="R3c36d835a49d47a2"/>
    <x:sheet xmlns:r="http://schemas.openxmlformats.org/officeDocument/2006/relationships" name="EVALUATION_RESULTS" sheetId="3" r:id="R5e4ccd9027ce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#,##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201" fontId="6" fillId="0" borderId="2" xfId="0" applyNumberFormat="1" applyFont="1" applyFill="1" applyBorder="1"/>
    <x:xf numFmtId="0" fontId="9" fillId="0" borderId="3" xfId="0" applyNumberFormat="1" applyFont="1" applyFill="1" applyBorder="1"/>
    <x:xf numFmtId="0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top"/>
    </x:xf>
    <x:xf numFmtId="200" fontId="6" fillId="0" borderId="1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b172b38cfe4a74" /><Relationship Type="http://schemas.openxmlformats.org/officeDocument/2006/relationships/theme" Target="/xl/theme/theme1.xml" Id="R342b262b855c444f" /><Relationship Type="http://schemas.openxmlformats.org/officeDocument/2006/relationships/sharedStrings" Target="/xl/sharedStrings.xml" Id="Rf2d15e812b2a49ce" /><Relationship Type="http://schemas.openxmlformats.org/officeDocument/2006/relationships/worksheet" Target="/xl/worksheets/sheet1.xml" Id="R63a912131b474ff9" /><Relationship Type="http://schemas.openxmlformats.org/officeDocument/2006/relationships/worksheet" Target="/xl/worksheets/sheet2.xml" Id="R3c36d835a49d47a2" /><Relationship Type="http://schemas.openxmlformats.org/officeDocument/2006/relationships/worksheet" Target="/xl/worksheets/sheet3.xml" Id="R5e4ccd9027ce4af7" /></Relationship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EVALUATIONRESULTS" displayName="T2_EVALUATIONRESULTS" ref="A4:R28" headerRowCount="1" totalsRowCount="0" totalsRowShown="0">
  <x:tableColumns count="18">
    <x:tableColumn id="1" name="EVALUATION_ID"/>
    <x:tableColumn id="2" name="CASE_ID"/>
    <x:tableColumn id="3" name="VARIANT_ID"/>
    <x:tableColumn id="4" name="CASE_LEVEL"/>
    <x:tableColumn id="5" name="REQUIREMENT_IDS"/>
    <x:tableColumn id="6" name="SHAPE_FILE"/>
    <x:tableColumn id="7" name="DATA_FILE"/>
    <x:tableColumn id="8" name="SHAPE_SHA256"/>
    <x:tableColumn id="9" name="DATA_SHA256"/>
    <x:tableColumn id="10" name="FILE_INTEGRITY_OK"/>
    <x:tableColumn id="11" name="EXPECTED_CONFORMS"/>
    <x:tableColumn id="12" name="EXECUTION_OK"/>
    <x:tableColumn id="13" name="ACTUAL_CONFORMS"/>
    <x:tableColumn id="14" name="EXPECTED_MATCH"/>
    <x:tableColumn id="15" name="REPORT_TRIPLES"/>
    <x:tableColumn id="16" name="ELAPSED_MS"/>
    <x:tableColumn id="17" name="ERROR"/>
    <x:tableColumn id="18" name="REPORT_SUMMAR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7737ac581f481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ecab31d4d545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Bulk RDF Evaluation Tracker</x:v>
      </x:c>
      <x:c r="B1" s="19"/>
      <x:c r="C1" s="19"/>
      <x:c r="D1" s="19"/>
    </x:row>
    <x:row r="2">
      <x:c r="A2" s="20" t="str">
        <x:v>Evaluation: BATCH01-R7-ACCEPTED-SHAPES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Evaluation records</x:v>
      </x:c>
      <x:c r="B5" s="24" t="n">
        <x:f>COUNTA('EVALUATION_RESULTS'!$A$5:$A$28)</x:f>
        <x:v>24</x:v>
      </x:c>
      <x:c r="C5" s="21"/>
      <x:c r="D5" s="21"/>
    </x:row>
    <x:row r="6">
      <x:c r="A6" s="25" t="str">
        <x:v>Executed successfully</x:v>
      </x:c>
      <x:c r="B6" s="26" t="n">
        <x:f>COUNTIF('EVALUATION_RESULTS'!$L$5:$L$28,"TRUE")</x:f>
        <x:v>24</x:v>
      </x:c>
      <x:c r="C6" s="21"/>
      <x:c r="D6" s="21"/>
    </x:row>
    <x:row r="7">
      <x:c r="A7" s="25" t="str">
        <x:v>Expected outcomes matched</x:v>
      </x:c>
      <x:c r="B7" s="26" t="n">
        <x:f>COUNTIF('EVALUATION_RESULTS'!$N$5:$N$28,"TRUE")</x:f>
        <x:v>18</x:v>
      </x:c>
      <x:c r="C7" s="21"/>
      <x:c r="D7" s="21"/>
    </x:row>
    <x:row r="8">
      <x:c r="A8" s="25" t="str">
        <x:v>Expected outcomes mismatched</x:v>
      </x:c>
      <x:c r="B8" s="26" t="n">
        <x:f>COUNTIF('EVALUATION_RESULTS'!$N$5:$N$28,"FALSE")</x:f>
        <x:v>6</x:v>
      </x:c>
      <x:c r="C8" s="21"/>
      <x:c r="D8" s="21"/>
    </x:row>
    <x:row r="9">
      <x:c r="A9" s="25" t="str">
        <x:v>Mean evaluation elapsed ms</x:v>
      </x:c>
      <x:c r="B9" s="27" t="n">
        <x:f>IFERROR(AVERAGE('EVALUATION_RESULTS'!$P$5:$P$28),0)</x:f>
        <x:v>546.6892916666667</x:v>
      </x:c>
      <x:c r="C9" s="21"/>
      <x:c r="D9" s="21"/>
    </x:row>
    <x:row r="10">
      <x:c r="A10" s="28"/>
      <x:c r="B10" s="29"/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30" t="str">
        <x:v>INTERPRETATION</x:v>
      </x:c>
      <x:c r="B12" s="31" t="str">
        <x:v>EXPECTED_MATCH = TRUE means the SHACL result matched the independently declared pass/fail expectation.</x:v>
      </x:c>
      <x:c r="C12" s="31" t="str"/>
      <x:c r="D12" s="31" t="str"/>
    </x:row>
    <x:row r="13" ht="38" customHeight="1">
      <x:c r="A13" s="30" t="str">
        <x:v>RESULT DETAIL</x:v>
      </x:c>
      <x:c r="B13" s="31" t="str">
        <x:v>The workbook contains concise messages; evaluation_results.csv and evaluation_results.jsonl retain complete SHACL reports.</x:v>
      </x:c>
      <x:c r="C13" s="31" t="str"/>
      <x:c r="D13" s="31" t="str"/>
    </x:row>
    <x:row r="14" ht="38" customHeight="1">
      <x:c r="A14" s="30" t="str">
        <x:v>BOUNDARY</x:v>
      </x:c>
      <x:c r="B14" s="31" t="str">
        <x:v>This evaluator makes no LLM or API calls and never repairs a generated shape.</x:v>
      </x:c>
      <x:c r="C14" s="31" t="str"/>
      <x:c r="D14" s="31" t="str"/>
    </x:row>
    <x:row r="15" ht="38" customHeight="1">
      <x:c r="A15" s="30" t="str">
        <x:v>REPRODUCIBILITY</x:v>
      </x:c>
      <x:c r="B15" s="31" t="str">
        <x:v>The manifest links every RDF variant to the exact frozen generated SHACL file.</x:v>
      </x:c>
      <x:c r="C15" s="31" t="str"/>
      <x:c r="D15" s="3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Bulk RDF Evaluation Tracker</x:v>
      </x:c>
      <x:c r="B1" s="19"/>
    </x:row>
    <x:row r="2">
      <x:c r="A2" s="20" t="str">
        <x:v>README | Evaluation: BATCH01-R7-ACCEPTED-SHAPES</x:v>
      </x:c>
      <x:c r="B2" s="20"/>
    </x:row>
    <x:row r="3">
      <x:c r="A3" s="21"/>
      <x:c r="B3" s="21"/>
    </x:row>
    <x:row r="4" ht="30" customHeight="1">
      <x:c r="A4" s="44" t="str">
        <x:v>SECTION</x:v>
      </x:c>
      <x:c r="B4" s="45" t="str">
        <x:v>DETAIL</x:v>
      </x:c>
    </x:row>
    <x:row r="5">
      <x:c r="A5" s="46" t="str">
        <x:v>PURPOSE</x:v>
      </x:c>
      <x:c r="B5" s="47" t="str">
        <x:v>Separate bulk RDF/ship-graph execution of frozen SHACL shapes.</x:v>
      </x:c>
    </x:row>
    <x:row r="6">
      <x:c r="A6" s="48" t="str">
        <x:v>BOUNDARY</x:v>
      </x:c>
      <x:c r="B6" s="49" t="str">
        <x:v>This evaluator never calls an LLM and is not part of the generation repair loop.</x:v>
      </x:c>
    </x:row>
    <x:row r="7">
      <x:c r="A7" s="48" t="str">
        <x:v>VOCABULARY_LOCK</x:v>
      </x:c>
      <x:c r="B7" s="49" t="str">
        <x:v>VOCAB-DEV-2026-08-13-BATCH01-R7</x:v>
      </x:c>
    </x:row>
    <x:row r="8">
      <x:c r="A8" s="48" t="str">
        <x:v>ONTOLOGY_SHA256</x:v>
      </x:c>
      <x:c r="B8" s="49" t="str">
        <x:v>7ebbc5163af2a7f5de592e1be02185f024d0a2f5c1dee1e4685ccc917153f466</x:v>
      </x:c>
    </x:row>
    <x:row r="9">
      <x:c r="A9" s="48" t="str">
        <x:v>MANIFEST</x:v>
      </x:c>
      <x:c r="B9" s="49" t="str">
        <x:v>/Users/sadisfaction570/Desktop/Journal 1/NLTL_v2/MVP/INPUTS/DEVELOPMENT_CALIBRATION/BATCH_01_FIRST_50/r7_generated_shape_evaluation_manifest.json</x:v>
      </x:c>
    </x:row>
    <x:row r="10">
      <x:c r="A10" s="50" t="str">
        <x:v>MANIFEST_SHA256</x:v>
      </x:c>
      <x:c r="B10" s="51" t="str">
        <x:v>f0193732688af7ba593599552d0efcb74cf1a6d6b01013ab98777aca49571480</x:v>
      </x:c>
    </x:row>
  </x:sheetData>
  <x:pageMargins left="0.7" right="0.7" top="0.75" bottom="0.75" header="0.3" footer="0.3"/>
  <x:tableParts count="1">
    <x:tablePart xmlns:r="http://schemas.openxmlformats.org/officeDocument/2006/relationships" r:id="Ra57737ac581f481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3" max="3" width="12" hidden="0" customWidth="1"/>
    <x:col min="4" max="4" width="24" hidden="0" customWidth="1"/>
    <x:col min="5" max="5" width="17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19" hidden="0" customWidth="1"/>
    <x:col min="11" max="11" width="19" hidden="0" customWidth="1"/>
    <x:col min="12" max="12" width="14" hidden="0" customWidth="1"/>
    <x:col min="13" max="13" width="17" hidden="0" customWidth="1"/>
    <x:col min="14" max="14" width="16" hidden="0" customWidth="1"/>
    <x:col min="15" max="15" width="16" hidden="0" customWidth="1"/>
    <x:col min="16" max="16" width="12" hidden="0" customWidth="1"/>
    <x:col min="17" max="17" width="20" hidden="0" customWidth="1"/>
    <x:col min="18" max="18" width="24" hidden="0" customWidth="1"/>
  </x:cols>
  <x:sheetData>
    <x:row r="1">
      <x:c r="A1" s="18" t="str">
        <x:v>NLTL Bulk RDF Evaluation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  <x:c r="R1" s="19"/>
    </x:row>
    <x:row r="2">
      <x:c r="A2" s="20" t="str">
        <x:v>EVALUATION_RESULTS | Evaluation: BATCH01-R7-ACCEPTED-SHAPES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  <x:c r="R3" s="21"/>
    </x:row>
    <x:row r="4" ht="30" customHeight="1">
      <x:c r="A4" s="44" t="str">
        <x:v>EVALUATION_ID</x:v>
      </x:c>
      <x:c r="B4" s="61" t="str">
        <x:v>CASE_ID</x:v>
      </x:c>
      <x:c r="C4" s="61" t="str">
        <x:v>VARIANT_ID</x:v>
      </x:c>
      <x:c r="D4" s="61" t="str">
        <x:v>CASE_LEVEL</x:v>
      </x:c>
      <x:c r="E4" s="61" t="str">
        <x:v>REQUIREMENT_IDS</x:v>
      </x:c>
      <x:c r="F4" s="61" t="str">
        <x:v>SHAPE_FILE</x:v>
      </x:c>
      <x:c r="G4" s="61" t="str">
        <x:v>DATA_FILE</x:v>
      </x:c>
      <x:c r="H4" s="61" t="str">
        <x:v>SHAPE_SHA256</x:v>
      </x:c>
      <x:c r="I4" s="61" t="str">
        <x:v>DATA_SHA256</x:v>
      </x:c>
      <x:c r="J4" s="61" t="str">
        <x:v>FILE_INTEGRITY_OK</x:v>
      </x:c>
      <x:c r="K4" s="61" t="str">
        <x:v>EXPECTED_CONFORMS</x:v>
      </x:c>
      <x:c r="L4" s="61" t="str">
        <x:v>EXECUTION_OK</x:v>
      </x:c>
      <x:c r="M4" s="61" t="str">
        <x:v>ACTUAL_CONFORMS</x:v>
      </x:c>
      <x:c r="N4" s="61" t="str">
        <x:v>EXPECTED_MATCH</x:v>
      </x:c>
      <x:c r="O4" s="61" t="str">
        <x:v>REPORT_TRIPLES</x:v>
      </x:c>
      <x:c r="P4" s="61" t="str">
        <x:v>ELAPSED_MS</x:v>
      </x:c>
      <x:c r="Q4" s="61" t="str">
        <x:v>ERROR</x:v>
      </x:c>
      <x:c r="R4" s="45" t="str">
        <x:v>REPORT_SUMMARY</x:v>
      </x:c>
    </x:row>
    <x:row r="5">
      <x:c r="A5" s="46" t="str">
        <x:v>BATCH01-R7-ACCEPTED-SHAPES</x:v>
      </x:c>
      <x:c r="B5" s="46" t="str">
        <x:v>B01-TRF-014-PASS</x:v>
      </x:c>
      <x:c r="C5" s="46" t="str">
        <x:v>PASS</x:v>
      </x:c>
      <x:c r="D5" s="46" t="str">
        <x:v>r7-requirement-development-calibration</x:v>
      </x:c>
      <x:c r="E5" s="46" t="str">
        <x:v>TRF-014</x:v>
      </x:c>
      <x:c r="F5" s="46" t="str">
        <x:v>/Users/sadisfaction570/Desktop/Journal 1/NLTL_v2/MVP/SHACL_GENERATION_PIPELINE/outputs/development_batch01/runs/RUN-TRF-014-20260813T044005541702Z/final/final_shape.ttl</x:v>
      </x:c>
      <x:c r="G5" s="46" t="str">
        <x:v>/Users/sadisfaction570/Desktop/Journal 1/NLTL_v2/MVP/INPUTS/DEVELOPMENT_CALIBRATION/BATCH_01_FIRST_50/rdf_fixtures/TRF-014/trf-014_01_pass.ttl</x:v>
      </x:c>
      <x:c r="H5" s="46" t="str">
        <x:v>f0454e4b058766e66d847172b821ab62211ff2fb44a913bbde6af7569a7f486c</x:v>
      </x:c>
      <x:c r="I5" s="46" t="str">
        <x:v>f3d2de6dc3986c026dd917686cd86715d49ab515aa22be73ba890e01eed9ba4f</x:v>
      </x:c>
      <x:c r="J5" s="46" t="str">
        <x:v>TRUE</x:v>
      </x:c>
      <x:c r="K5" s="62" t="str">
        <x:v>TRUE</x:v>
      </x:c>
      <x:c r="L5" s="46" t="str">
        <x:v>TRUE</x:v>
      </x:c>
      <x:c r="M5" s="62" t="str">
        <x:v>TRUE</x:v>
      </x:c>
      <x:c r="N5" s="46" t="str">
        <x:v>TRUE</x:v>
      </x:c>
      <x:c r="O5" s="63" t="n">
        <x:v>2</x:v>
      </x:c>
      <x:c r="P5" s="62" t="n">
        <x:v>428.722</x:v>
      </x:c>
      <x:c r="Q5" s="47" t="str"/>
      <x:c r="R5" s="46" t="str">
        <x:v>Conforms: true</x:v>
      </x:c>
    </x:row>
    <x:row r="6">
      <x:c r="A6" s="48" t="str">
        <x:v>BATCH01-R7-ACCEPTED-SHAPES</x:v>
      </x:c>
      <x:c r="B6" s="48" t="str">
        <x:v>B01-TRF-014-FAIL</x:v>
      </x:c>
      <x:c r="C6" s="48" t="str">
        <x:v>FAIL</x:v>
      </x:c>
      <x:c r="D6" s="48" t="str">
        <x:v>r7-requirement-development-calibration</x:v>
      </x:c>
      <x:c r="E6" s="48" t="str">
        <x:v>TRF-014</x:v>
      </x:c>
      <x:c r="F6" s="48" t="str">
        <x:v>/Users/sadisfaction570/Desktop/Journal 1/NLTL_v2/MVP/SHACL_GENERATION_PIPELINE/outputs/development_batch01/runs/RUN-TRF-014-20260813T044005541702Z/final/final_shape.ttl</x:v>
      </x:c>
      <x:c r="G6" s="48" t="str">
        <x:v>/Users/sadisfaction570/Desktop/Journal 1/NLTL_v2/MVP/INPUTS/DEVELOPMENT_CALIBRATION/BATCH_01_FIRST_50/rdf_fixtures/TRF-014/trf-014_02_fail.ttl</x:v>
      </x:c>
      <x:c r="H6" s="48" t="str">
        <x:v>f0454e4b058766e66d847172b821ab62211ff2fb44a913bbde6af7569a7f486c</x:v>
      </x:c>
      <x:c r="I6" s="48" t="str">
        <x:v>591812a338511848234c15115c51cd921069418c4e8a095628edf498d96a2137</x:v>
      </x:c>
      <x:c r="J6" s="48" t="str">
        <x:v>TRUE</x:v>
      </x:c>
      <x:c r="K6" s="64" t="str">
        <x:v>FALSE</x:v>
      </x:c>
      <x:c r="L6" s="48" t="str">
        <x:v>TRUE</x:v>
      </x:c>
      <x:c r="M6" s="64" t="str">
        <x:v>FALSE</x:v>
      </x:c>
      <x:c r="N6" s="48" t="str">
        <x:v>TRUE</x:v>
      </x:c>
      <x:c r="O6" s="65" t="n">
        <x:v>14</x:v>
      </x:c>
      <x:c r="P6" s="64" t="n">
        <x:v>431.238</x:v>
      </x:c>
      <x:c r="Q6" s="49" t="str"/>
      <x:c r="R6" s="48" t="str">
        <x:v>Conforms: false | Where the fresh-water summer load line is above the UIWL, a warning triangle and an ice class draught mark at the maximum permissible ice class draught amidships are required; a pre-1 July 2007 ship also requires its first scheduled dry-docking date after that date.</x:v>
      </x:c>
    </x:row>
    <x:row r="7">
      <x:c r="A7" s="48" t="str">
        <x:v>BATCH01-R7-ACCEPTED-SHAPES</x:v>
      </x:c>
      <x:c r="B7" s="48" t="str">
        <x:v>B01-TRF-014-BOUNDARY</x:v>
      </x:c>
      <x:c r="C7" s="48" t="str">
        <x:v>BOUNDARY</x:v>
      </x:c>
      <x:c r="D7" s="48" t="str">
        <x:v>r7-requirement-development-calibration</x:v>
      </x:c>
      <x:c r="E7" s="48" t="str">
        <x:v>TRF-014</x:v>
      </x:c>
      <x:c r="F7" s="48" t="str">
        <x:v>/Users/sadisfaction570/Desktop/Journal 1/NLTL_v2/MVP/SHACL_GENERATION_PIPELINE/outputs/development_batch01/runs/RUN-TRF-014-20260813T044005541702Z/final/final_shape.ttl</x:v>
      </x:c>
      <x:c r="G7" s="48" t="str">
        <x:v>/Users/sadisfaction570/Desktop/Journal 1/NLTL_v2/MVP/INPUTS/DEVELOPMENT_CALIBRATION/BATCH_01_FIRST_50/rdf_fixtures/TRF-014/trf-014_03_boundary.ttl</x:v>
      </x:c>
      <x:c r="H7" s="48" t="str">
        <x:v>f0454e4b058766e66d847172b821ab62211ff2fb44a913bbde6af7569a7f486c</x:v>
      </x:c>
      <x:c r="I7" s="48" t="str">
        <x:v>fbef226fa410328c6544106829bc8351b6e082419f59c064fd455db09c80763e</x:v>
      </x:c>
      <x:c r="J7" s="48" t="str">
        <x:v>TRUE</x:v>
      </x:c>
      <x:c r="K7" s="64" t="str">
        <x:v>TRUE</x:v>
      </x:c>
      <x:c r="L7" s="48" t="str">
        <x:v>TRUE</x:v>
      </x:c>
      <x:c r="M7" s="64" t="str">
        <x:v>TRUE</x:v>
      </x:c>
      <x:c r="N7" s="48" t="str">
        <x:v>TRUE</x:v>
      </x:c>
      <x:c r="O7" s="65" t="n">
        <x:v>2</x:v>
      </x:c>
      <x:c r="P7" s="64" t="n">
        <x:v>413.574</x:v>
      </x:c>
      <x:c r="Q7" s="49" t="str"/>
      <x:c r="R7" s="48" t="str">
        <x:v>Conforms: true</x:v>
      </x:c>
    </x:row>
    <x:row r="8">
      <x:c r="A8" s="48" t="str">
        <x:v>BATCH01-R7-ACCEPTED-SHAPES</x:v>
      </x:c>
      <x:c r="B8" s="48" t="str">
        <x:v>B01-TRF-020-PASS</x:v>
      </x:c>
      <x:c r="C8" s="48" t="str">
        <x:v>PASS</x:v>
      </x:c>
      <x:c r="D8" s="48" t="str">
        <x:v>r7-requirement-development-calibration</x:v>
      </x:c>
      <x:c r="E8" s="48" t="str">
        <x:v>TRF-020</x:v>
      </x:c>
      <x:c r="F8" s="48" t="str">
        <x:v>/Users/sadisfaction570/Desktop/Journal 1/NLTL_v2/MVP/SHACL_GENERATION_PIPELINE/outputs/development_batch01/runs/RUN-TRF-020-20260813T044200588649Z/final/final_shape.ttl</x:v>
      </x:c>
      <x:c r="G8" s="48" t="str">
        <x:v>/Users/sadisfaction570/Desktop/Journal 1/NLTL_v2/MVP/INPUTS/DEVELOPMENT_CALIBRATION/BATCH_01_FIRST_50/rdf_fixtures/TRF-020/trf-020_01_pass.ttl</x:v>
      </x:c>
      <x:c r="H8" s="48" t="str">
        <x:v>06a8b8d9cc1bcee20e4790403fad7a812703cc7f1f472b2a27a67b16e0350d02</x:v>
      </x:c>
      <x:c r="I8" s="48" t="str">
        <x:v>e14bbd94d77b24022d2a8e6de26cc8c4f1c47c5110f58c02f283173738cbc139</x:v>
      </x:c>
      <x:c r="J8" s="48" t="str">
        <x:v>TRUE</x:v>
      </x:c>
      <x:c r="K8" s="64" t="str">
        <x:v>TRUE</x:v>
      </x:c>
      <x:c r="L8" s="48" t="str">
        <x:v>TRUE</x:v>
      </x:c>
      <x:c r="M8" s="64" t="str">
        <x:v>TRUE</x:v>
      </x:c>
      <x:c r="N8" s="48" t="str">
        <x:v>TRUE</x:v>
      </x:c>
      <x:c r="O8" s="65" t="n">
        <x:v>2</x:v>
      </x:c>
      <x:c r="P8" s="64" t="n">
        <x:v>605.221</x:v>
      </x:c>
      <x:c r="Q8" s="49" t="str"/>
      <x:c r="R8" s="48" t="str">
        <x:v>Conforms: true</x:v>
      </x:c>
    </x:row>
    <x:row r="9">
      <x:c r="A9" s="48" t="str">
        <x:v>BATCH01-R7-ACCEPTED-SHAPES</x:v>
      </x:c>
      <x:c r="B9" s="48" t="str">
        <x:v>B01-TRF-020-FAIL</x:v>
      </x:c>
      <x:c r="C9" s="48" t="str">
        <x:v>FAIL</x:v>
      </x:c>
      <x:c r="D9" s="48" t="str">
        <x:v>r7-requirement-development-calibration</x:v>
      </x:c>
      <x:c r="E9" s="48" t="str">
        <x:v>TRF-020</x:v>
      </x:c>
      <x:c r="F9" s="48" t="str">
        <x:v>/Users/sadisfaction570/Desktop/Journal 1/NLTL_v2/MVP/SHACL_GENERATION_PIPELINE/outputs/development_batch01/runs/RUN-TRF-020-20260813T044200588649Z/final/final_shape.ttl</x:v>
      </x:c>
      <x:c r="G9" s="48" t="str">
        <x:v>/Users/sadisfaction570/Desktop/Journal 1/NLTL_v2/MVP/INPUTS/DEVELOPMENT_CALIBRATION/BATCH_01_FIRST_50/rdf_fixtures/TRF-020/trf-020_02_fail.ttl</x:v>
      </x:c>
      <x:c r="H9" s="48" t="str">
        <x:v>06a8b8d9cc1bcee20e4790403fad7a812703cc7f1f472b2a27a67b16e0350d02</x:v>
      </x:c>
      <x:c r="I9" s="48" t="str">
        <x:v>1f0af195efb9f23f350035adf6f1278b57da496e566e8657af8225e4b565a336</x:v>
      </x:c>
      <x:c r="J9" s="48" t="str">
        <x:v>TRUE</x:v>
      </x:c>
      <x:c r="K9" s="64" t="str">
        <x:v>FALSE</x:v>
      </x:c>
      <x:c r="L9" s="48" t="str">
        <x:v>TRUE</x:v>
      </x:c>
      <x:c r="M9" s="64" t="str">
        <x:v>FALSE</x:v>
      </x:c>
      <x:c r="N9" s="48" t="str">
        <x:v>TRUE</x:v>
      </x:c>
      <x:c r="O9" s="65" t="n">
        <x:v>10</x:v>
      </x:c>
      <x:c r="P9" s="64" t="n">
        <x:v>592.4</x:v>
      </x:c>
      <x:c r="Q9" s="49" t="str"/>
      <x:c r="R9" s="48" t="str">
        <x:v>Conforms: false | Node &lt;urn:nltl:batch01-fixture:TRF-020:fail:ship&gt;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sh:in ( nltl:iceClassIi nltl:iceClassIii ) ; sh:maxCount Literal("1", datatype=xsd:integer) ; sh:minCount Literal("1", datatype=xsd:integer) ; sh:path nltl:iceClass ] ] , gs:ApplicableShipShape</x:v>
      </x:c>
    </x:row>
    <x:row r="10">
      <x:c r="A10" s="48" t="str">
        <x:v>BATCH01-R7-ACCEPTED-SHAPES</x:v>
      </x:c>
      <x:c r="B10" s="48" t="str">
        <x:v>B01-TRF-020-BOUNDARY</x:v>
      </x:c>
      <x:c r="C10" s="48" t="str">
        <x:v>BOUNDARY</x:v>
      </x:c>
      <x:c r="D10" s="48" t="str">
        <x:v>r7-requirement-development-calibration</x:v>
      </x:c>
      <x:c r="E10" s="48" t="str">
        <x:v>TRF-020</x:v>
      </x:c>
      <x:c r="F10" s="48" t="str">
        <x:v>/Users/sadisfaction570/Desktop/Journal 1/NLTL_v2/MVP/SHACL_GENERATION_PIPELINE/outputs/development_batch01/runs/RUN-TRF-020-20260813T044200588649Z/final/final_shape.ttl</x:v>
      </x:c>
      <x:c r="G10" s="48" t="str">
        <x:v>/Users/sadisfaction570/Desktop/Journal 1/NLTL_v2/MVP/INPUTS/DEVELOPMENT_CALIBRATION/BATCH_01_FIRST_50/rdf_fixtures/TRF-020/trf-020_03_boundary.ttl</x:v>
      </x:c>
      <x:c r="H10" s="48" t="str">
        <x:v>06a8b8d9cc1bcee20e4790403fad7a812703cc7f1f472b2a27a67b16e0350d02</x:v>
      </x:c>
      <x:c r="I10" s="48" t="str">
        <x:v>9f4902e9ee984a1f5c0ebe5a3e37ae5c84352ff96662b2f3645baa1c3cc174b1</x:v>
      </x:c>
      <x:c r="J10" s="48" t="str">
        <x:v>TRUE</x:v>
      </x:c>
      <x:c r="K10" s="64" t="str">
        <x:v>TRUE</x:v>
      </x:c>
      <x:c r="L10" s="48" t="str">
        <x:v>TRUE</x:v>
      </x:c>
      <x:c r="M10" s="64" t="str">
        <x:v>TRUE</x:v>
      </x:c>
      <x:c r="N10" s="48" t="str">
        <x:v>TRUE</x:v>
      </x:c>
      <x:c r="O10" s="65" t="n">
        <x:v>2</x:v>
      </x:c>
      <x:c r="P10" s="64" t="n">
        <x:v>600.059</x:v>
      </x:c>
      <x:c r="Q10" s="49" t="str"/>
      <x:c r="R10" s="48" t="str">
        <x:v>Conforms: true</x:v>
      </x:c>
    </x:row>
    <x:row r="11">
      <x:c r="A11" s="48" t="str">
        <x:v>BATCH01-R7-ACCEPTED-SHAPES</x:v>
      </x:c>
      <x:c r="B11" s="48" t="str">
        <x:v>B01-TRF-022-PASS</x:v>
      </x:c>
      <x:c r="C11" s="48" t="str">
        <x:v>PASS</x:v>
      </x:c>
      <x:c r="D11" s="48" t="str">
        <x:v>r7-requirement-development-calibration</x:v>
      </x:c>
      <x:c r="E11" s="48" t="str">
        <x:v>TRF-022</x:v>
      </x:c>
      <x:c r="F11" s="48" t="str">
        <x:v>/Users/sadisfaction570/Desktop/Journal 1/NLTL_v2/MVP/SHACL_GENERATION_PIPELINE/outputs/development_batch01/runs/RUN-TRF-022-20260813T044343321929Z/final/final_shape.ttl</x:v>
      </x:c>
      <x:c r="G11" s="48" t="str">
        <x:v>/Users/sadisfaction570/Desktop/Journal 1/NLTL_v2/MVP/INPUTS/DEVELOPMENT_CALIBRATION/BATCH_01_FIRST_50/rdf_fixtures/TRF-022/trf-022_01_pass.ttl</x:v>
      </x:c>
      <x:c r="H11" s="48" t="str">
        <x:v>7def97a0d6092ac1e2716730cc81d1abc47f6418a74a9fc2c86ca2bbb95f18ee</x:v>
      </x:c>
      <x:c r="I11" s="48" t="str">
        <x:v>fd1979d8add8fa73070e1b390baaa8ea3292a4f8817481db06eccbb43e7c59bc</x:v>
      </x:c>
      <x:c r="J11" s="48" t="str">
        <x:v>TRUE</x:v>
      </x:c>
      <x:c r="K11" s="64" t="str">
        <x:v>TRUE</x:v>
      </x:c>
      <x:c r="L11" s="48" t="str">
        <x:v>TRUE</x:v>
      </x:c>
      <x:c r="M11" s="64" t="str">
        <x:v>FALSE</x:v>
      </x:c>
      <x:c r="N11" s="48" t="str">
        <x:v>FALSE</x:v>
      </x:c>
      <x:c r="O11" s="65" t="n">
        <x:v>10</x:v>
      </x:c>
      <x:c r="P11" s="64" t="n">
        <x:v>592.399</x:v>
      </x:c>
      <x:c r="Q11" s="49" t="str"/>
      <x:c r="R11" s="48" t="str">
        <x:v>Conforms: false | Node &lt;urn:nltl:batch01-fixture:TRF-022:pass:ship&gt;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2">
      <x:c r="A12" s="48" t="str">
        <x:v>BATCH01-R7-ACCEPTED-SHAPES</x:v>
      </x:c>
      <x:c r="B12" s="48" t="str">
        <x:v>B01-TRF-022-FAIL</x:v>
      </x:c>
      <x:c r="C12" s="48" t="str">
        <x:v>FAIL</x:v>
      </x:c>
      <x:c r="D12" s="48" t="str">
        <x:v>r7-requirement-development-calibration</x:v>
      </x:c>
      <x:c r="E12" s="48" t="str">
        <x:v>TRF-022</x:v>
      </x:c>
      <x:c r="F12" s="48" t="str">
        <x:v>/Users/sadisfaction570/Desktop/Journal 1/NLTL_v2/MVP/SHACL_GENERATION_PIPELINE/outputs/development_batch01/runs/RUN-TRF-022-20260813T044343321929Z/final/final_shape.ttl</x:v>
      </x:c>
      <x:c r="G12" s="48" t="str">
        <x:v>/Users/sadisfaction570/Desktop/Journal 1/NLTL_v2/MVP/INPUTS/DEVELOPMENT_CALIBRATION/BATCH_01_FIRST_50/rdf_fixtures/TRF-022/trf-022_02_fail.ttl</x:v>
      </x:c>
      <x:c r="H12" s="48" t="str">
        <x:v>7def97a0d6092ac1e2716730cc81d1abc47f6418a74a9fc2c86ca2bbb95f18ee</x:v>
      </x:c>
      <x:c r="I12" s="48" t="str">
        <x:v>d617b6e6de457ff6b0506160cbf9391f2134901b75d89fab651178614ad7422e</x:v>
      </x:c>
      <x:c r="J12" s="48" t="str">
        <x:v>TRUE</x:v>
      </x:c>
      <x:c r="K12" s="64" t="str">
        <x:v>FALSE</x:v>
      </x:c>
      <x:c r="L12" s="48" t="str">
        <x:v>TRUE</x:v>
      </x:c>
      <x:c r="M12" s="64" t="str">
        <x:v>FALSE</x:v>
      </x:c>
      <x:c r="N12" s="48" t="str">
        <x:v>TRUE</x:v>
      </x:c>
      <x:c r="O12" s="65" t="n">
        <x:v>10</x:v>
      </x:c>
      <x:c r="P12" s="64" t="n">
        <x:v>563.779</x:v>
      </x:c>
      <x:c r="Q12" s="49" t="str"/>
      <x:c r="R12" s="48" t="str">
        <x:v>Conforms: false | Node &lt;urn:nltl:batch01-fixture:TRF-022:fail:ship&gt;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3">
      <x:c r="A13" s="48" t="str">
        <x:v>BATCH01-R7-ACCEPTED-SHAPES</x:v>
      </x:c>
      <x:c r="B13" s="48" t="str">
        <x:v>B01-TRF-022-BOUNDARY</x:v>
      </x:c>
      <x:c r="C13" s="48" t="str">
        <x:v>BOUNDARY</x:v>
      </x:c>
      <x:c r="D13" s="48" t="str">
        <x:v>r7-requirement-development-calibration</x:v>
      </x:c>
      <x:c r="E13" s="48" t="str">
        <x:v>TRF-022</x:v>
      </x:c>
      <x:c r="F13" s="48" t="str">
        <x:v>/Users/sadisfaction570/Desktop/Journal 1/NLTL_v2/MVP/SHACL_GENERATION_PIPELINE/outputs/development_batch01/runs/RUN-TRF-022-20260813T044343321929Z/final/final_shape.ttl</x:v>
      </x:c>
      <x:c r="G13" s="48" t="str">
        <x:v>/Users/sadisfaction570/Desktop/Journal 1/NLTL_v2/MVP/INPUTS/DEVELOPMENT_CALIBRATION/BATCH_01_FIRST_50/rdf_fixtures/TRF-022/trf-022_03_boundary.ttl</x:v>
      </x:c>
      <x:c r="H13" s="48" t="str">
        <x:v>7def97a0d6092ac1e2716730cc81d1abc47f6418a74a9fc2c86ca2bbb95f18ee</x:v>
      </x:c>
      <x:c r="I13" s="48" t="str">
        <x:v>187d2b1c7fd85648eec6fd627d49d8adf7b71e6f94c3877463a049bfee4c182c</x:v>
      </x:c>
      <x:c r="J13" s="48" t="str">
        <x:v>TRUE</x:v>
      </x:c>
      <x:c r="K13" s="64" t="str">
        <x:v>TRUE</x:v>
      </x:c>
      <x:c r="L13" s="48" t="str">
        <x:v>TRUE</x:v>
      </x:c>
      <x:c r="M13" s="64" t="str">
        <x:v>FALSE</x:v>
      </x:c>
      <x:c r="N13" s="48" t="str">
        <x:v>FALSE</x:v>
      </x:c>
      <x:c r="O13" s="65" t="n">
        <x:v>10</x:v>
      </x:c>
      <x:c r="P13" s="64" t="n">
        <x:v>566.075</x:v>
      </x:c>
      <x:c r="Q13" s="49" t="str"/>
      <x:c r="R13" s="48" t="str">
        <x:v>Conforms: false | Node &lt;urn:nltl:batch01-fixture:TRF-022:boundary:ship&gt; must conform to one or more shapes in [ sh:property [ sh:datatype xsd:date ; sh:maxCount Literal("1", datatype=xsd:integer) ; sh:maxExclusive Literal("2003-09-01", datatype=xsd:date) ; sh:minCount Literal("1", datatype=xsd:integer) ; sh:path nltl:constructionStageDate ] ] , [ sh:property [ sh:datatype xsd:date ; sh:maxCount Literal("1", datatype=xsd:integer) ; sh:minCount Literal("1", datatype=xsd:integer) ; sh:minInclusive Literal("2003-09-01", datatype=xsd:date) ; sh:path nltl:constructionStageDate ], [ sh:maxCount Literal("1", datatype=xsd:integer) ; sh:minCount Literal("1", datatype=xsd:integer) ; sh:node gs:C3ValueShape ; sh:path nltl:coefficientC3 ], [ sh:maxCount Literal("1", datatype=xsd:integer) ; sh:minCount Literal("1", datatype=xsd:integer) ; sh:node gs:C4ValueShape ; sh:path nltl:coefficientC4 ], [ sh:maxCount Literal("1", datatype=xsd:integer) ; sh:minCount Literal("1", datatype=xsd:integer) ; sh:node gs:C5ValueShape ; sh:path nltl:coefficientC5 ], [ sh:maxCount Literal("1", datatype=xsd:integer) ; sh:minCount Literal("1", datatype=xsd:integer) ; sh:node gs:ClampedTermShape ; sh:path nltl:clampedHullGeometryTerm ], [ sh:maxCount Literal("1", datatype=xsd:integer) ; sh:minCount Literal("1", datatype=xsd:integer) ; sh:node gs:DegreeOperandShape ; sh:path nltl:bowRakeAtQuarterBreadth ], [ sh:maxCount Literal("1", datatype=xsd:integer) ; sh:minCount Literal("1", datatype=xsd:integer) ; sh:node gs:DegreeOperandShape ; sh:path nltl:flareAngle ], [ sh:maxCount Literal("1", datatype=xsd:integer) ; sh:minCount Literal("1", datatype=xsd:integer) ; sh:node gs:DegreeOperandShape ; sh:path nltl:waterlineAngleAtQuarterBreadth ], [ sh:maxCount Literal("1", datatype=xsd:integer) ; sh:minCount Literal("1", datatype=xsd:integer) ; sh:node gs:F1ValueShape ; sh:path nltl:coefficientF1 ], [ sh:maxCount Literal("1", datatype=xsd:integer) ; sh:minCount Literal("1", datatype=xsd:integer) ; sh:node gs:F2ValueShape ; sh:path nltl:coefficientF2 ], [ sh:maxCount Literal("1", datatype=xsd:integer) ; sh:minCount Literal("1", datatype=xsd:integer) ; sh:node gs:F3ValueShape ; sh:path nltl:coefficientF3 ], [ sh:maxCount Literal("1", datatype=xsd:integer) ; sh:minCount Literal("1", datatype=xsd:integer) ; sh:node gs:F4ValueShape ; sh:path nltl:coefficientF4 ], [ sh:maxCount Literal("1", datatype=xsd:integer) ; sh:minCount Literal("1", datatype=xsd:integer) ; sh:node gs:G1ValueShape ; sh:path nltl:coefficientG1 ], [ sh:maxCount Literal("1", datatype=xsd:integer) ; sh:minCount Literal("1", datatype=xsd:integer) ; sh:node gs:G2ValueShape ; sh:path nltl:coefficientG2 ], [ sh:maxCount Literal("1", datatype=xsd:integer) ; sh:minCount Literal("1", datatype=xsd:integer) ; sh:node gs:G3ValueShape ; sh:path nltl:coefficientG3 ], [ sh:maxCount Literal("1", datatype=xsd:integer) ; sh:minCount Literal("1", datatype=xsd:integer) ; sh:node gs:MetreOperandShape ; sh:path nltl:iceClassDraught ], [ sh:maxCount Literal("1", datatype=xsd:integer) ; sh:minCount Literal("1", datatype=xsd:integer) ; sh:node gs:MetreOperandShape ; sh:path nltl:shipBreadth ], [ sh:maxCount Literal("1", datatype=xsd:integer) ; sh:minCount Literal("1", datatype=xsd:integer) ; sh:node gs:MetreOperandShape ; sh:path nltl:shipLength ] ; sh:sparql [ sh:message Literal("Flare angle must equal atan(tan(bow rake at quarter breadth) / sin(waterline angle at quarter breadth)) within the specified numerical tolerance.") ; sh:select Literal("</x:v>
      </x:c>
    </x:row>
    <x:row r="14">
      <x:c r="A14" s="48" t="str">
        <x:v>BATCH01-R7-ACCEPTED-SHAPES</x:v>
      </x:c>
      <x:c r="B14" s="48" t="str">
        <x:v>B01-TRF-026-PASS</x:v>
      </x:c>
      <x:c r="C14" s="48" t="str">
        <x:v>PASS</x:v>
      </x:c>
      <x:c r="D14" s="48" t="str">
        <x:v>r7-requirement-development-calibration</x:v>
      </x:c>
      <x:c r="E14" s="48" t="str">
        <x:v>TRF-026</x:v>
      </x:c>
      <x:c r="F14" s="48" t="str">
        <x:v>/Users/sadisfaction570/Desktop/Journal 1/NLTL_v2/MVP/SHACL_GENERATION_PIPELINE/outputs/development_batch01/runs/RUN-TRF-026-20260813T045058131183Z/final/final_shape.ttl</x:v>
      </x:c>
      <x:c r="G14" s="48" t="str">
        <x:v>/Users/sadisfaction570/Desktop/Journal 1/NLTL_v2/MVP/INPUTS/DEVELOPMENT_CALIBRATION/BATCH_01_FIRST_50/rdf_fixtures/TRF-026/trf-026_01_pass.ttl</x:v>
      </x:c>
      <x:c r="H14" s="48" t="str">
        <x:v>ab45665a54671d6247a0d5a71d09a8a5f65c84ab891f73cc9d8a6f810878a2da</x:v>
      </x:c>
      <x:c r="I14" s="48" t="str">
        <x:v>458de456baab5f69c0a56b4c75f73d18b41c38c1e1632ac816195dd9a9776f63</x:v>
      </x:c>
      <x:c r="J14" s="48" t="str">
        <x:v>TRUE</x:v>
      </x:c>
      <x:c r="K14" s="64" t="str">
        <x:v>TRUE</x:v>
      </x:c>
      <x:c r="L14" s="48" t="str">
        <x:v>TRUE</x:v>
      </x:c>
      <x:c r="M14" s="64" t="str">
        <x:v>TRUE</x:v>
      </x:c>
      <x:c r="N14" s="48" t="str">
        <x:v>TRUE</x:v>
      </x:c>
      <x:c r="O14" s="65" t="n">
        <x:v>2</x:v>
      </x:c>
      <x:c r="P14" s="64" t="n">
        <x:v>483.439</x:v>
      </x:c>
      <x:c r="Q14" s="49" t="str"/>
      <x:c r="R14" s="48" t="str">
        <x:v>Conforms: true</x:v>
      </x:c>
    </x:row>
    <x:row r="15">
      <x:c r="A15" s="48" t="str">
        <x:v>BATCH01-R7-ACCEPTED-SHAPES</x:v>
      </x:c>
      <x:c r="B15" s="48" t="str">
        <x:v>B01-TRF-026-FAIL</x:v>
      </x:c>
      <x:c r="C15" s="48" t="str">
        <x:v>FAIL</x:v>
      </x:c>
      <x:c r="D15" s="48" t="str">
        <x:v>r7-requirement-development-calibration</x:v>
      </x:c>
      <x:c r="E15" s="48" t="str">
        <x:v>TRF-026</x:v>
      </x:c>
      <x:c r="F15" s="48" t="str">
        <x:v>/Users/sadisfaction570/Desktop/Journal 1/NLTL_v2/MVP/SHACL_GENERATION_PIPELINE/outputs/development_batch01/runs/RUN-TRF-026-20260813T045058131183Z/final/final_shape.ttl</x:v>
      </x:c>
      <x:c r="G15" s="48" t="str">
        <x:v>/Users/sadisfaction570/Desktop/Journal 1/NLTL_v2/MVP/INPUTS/DEVELOPMENT_CALIBRATION/BATCH_01_FIRST_50/rdf_fixtures/TRF-026/trf-026_02_fail.ttl</x:v>
      </x:c>
      <x:c r="H15" s="48" t="str">
        <x:v>ab45665a54671d6247a0d5a71d09a8a5f65c84ab891f73cc9d8a6f810878a2da</x:v>
      </x:c>
      <x:c r="I15" s="48" t="str">
        <x:v>841a02bf7c613cb2994345554a660272a7c85cfdec232809015930198e2af594</x:v>
      </x:c>
      <x:c r="J15" s="48" t="str">
        <x:v>TRUE</x:v>
      </x:c>
      <x:c r="K15" s="64" t="str">
        <x:v>FALSE</x:v>
      </x:c>
      <x:c r="L15" s="48" t="str">
        <x:v>TRUE</x:v>
      </x:c>
      <x:c r="M15" s="64" t="str">
        <x:v>FALSE</x:v>
      </x:c>
      <x:c r="N15" s="48" t="str">
        <x:v>TRUE</x:v>
      </x:c>
      <x:c r="O15" s="65" t="n">
        <x:v>10</x:v>
      </x:c>
      <x:c r="P15" s="64" t="n">
        <x:v>481.79</x:v>
      </x:c>
      <x:c r="Q15" s="49" t="str"/>
      <x:c r="R15" s="48" t="str">
        <x:v>Conforms: false | Node &lt;urn:nltl:batch01-fixture:TRF-026:fail:ship&gt; must conform to one or more shapes in [ sh:property [ sh:in ( nltl:iceClassIa nltl:iceClassIb nltl:iceClassIc nltl:iceClassIi nltl:iceClassIii ) ; sh:maxCount Literal("1", datatype=xsd:integer) ; sh:minCount Literal("1", datatype=xsd:integer) ; sh:path nltl:iceClass ] ] , [ sh:property [ sh:datatype xsd:boolean ; sh:hasValue Literal("false" = False,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 ] , [ sh:property [ sh:datatype xsd:boolean ; sh:hasValue Literal("true" = True, datatype=xsd:boolean) ; sh:maxCount Literal("1", datatype=xsd:integer) ; sh:minCount Literal("1", datatype=xsd:integer) ; sh:path nltl:bulbousBowPresent ], [ sh:hasValue nltl:iceClassIaSuper ; sh:maxCount Literal("1", datatype=xsd:integer) ; sh:minCount Literal("1", datatype=xsd:integer) ; sh:path nltl:iceClass ], [ sh:maxCount Literal("1", datatype=xsd:integer) ; sh:minCount Literal("1", datatype=xsd:integer) ; sh:node gen:DecimalQuantity ; sh:path nltl:brashIceResistanceCoefficientC1 ], [ sh:maxCount Literal("1", datatype=xsd:integer) ; sh:minCount Literal("1", datatype=xsd:integer) ; sh:node gen:DecimalQuantity ; sh:path nltl:brashIceResistanceCoefficientC2 ], [ sh:maxCount Literal("1", datatype=xsd:integer) ; sh:minCount Literal("1", datatype=xsd:integer) ; sh:node gen:NewtonPerMetrePowerOnePointFiveQuantity ; sh:path nltl:coefficientG3 ], [ sh:maxCount Literal("1", datatype=xsd:integer) ; sh:minCount Literal("1", datatype=xsd:integer) ; sh:node gen:NewtonPerMetreQuantity ; sh:path nltl:coefficientF2 ], [ sh:maxCount Literal("1", datatype=xsd:integer) ; sh:minCount Literal("1", datatype=xsd:integer) ; sh:node gen:NewtonPerMetreQuantity ; sh:path nltl:coefficientF3 ], [ sh:maxCount Literal("1", datatype=xsd:integer) ; sh:minCount Literal("1", datatype=xsd:integer) ; sh:node gen:NewtonPerMetreQuantity ; sh:path nltl:coefficientG2 ], [ sh:maxCount Literal("1", datatype=xsd:integer) ; sh:minCount Literal("1", datatype=xsd:integer) ; sh:node gen:NewtonPerSquareMetreQuantity ; sh:path nltl:coefficientF1 ], [ sh:maxCount Literal("1", datatype=xsd:integer) ; sh:minCount Literal("1", datatype=xsd:integer) ; sh:node gen:NewtonPerSquareMetreQuantity ; sh:path nltl:coefficientF4 ], [ sh:maxCount Literal("1", datatype=xsd:integer) ; sh:minCount Literal("1", datatype=xsd:integer) ; sh:node gen:NewtonQuantity ; sh:path nltl:coefficientG1 ], [ sh:maxCount Literal("1", datatype=xsd:integer) ; sh:minCount Literal("1", datatype=xsd:integer) ; sh:node gen:PositiveMetreQuantity ; sh:path nltl:iceClassDraught ], [ sh:maxCount Literal("1", datatype=xsd:integer) ; sh:minCount Literal("1", datatype=xsd:integer) ; sh:node gen:PositiveMetreQuantity ; sh:path nltl:shipBreadth ], [ sh:maxCount Literal("1", datatype=xsd:integer) ; sh:minCount Literal("1", datatype=xsd:integer) ; sh:node gen:PositiveMetreQuantity ; sh:path nltl:shipLength ] ; sh:sparql [ sh:message Literal("For an IA Super ship with a bulb, C1 and C2 must satisfy the prescribed formulas within a relative tolerance of 1e-6 and a small absolute fallback near zero.") ; sh:select Literal("</x:v>
      </x:c>
    </x:row>
    <x:row r="16">
      <x:c r="A16" s="48" t="str">
        <x:v>BATCH01-R7-ACCEPTED-SHAPES</x:v>
      </x:c>
      <x:c r="B16" s="48" t="str">
        <x:v>B01-TRF-026-BOUNDARY</x:v>
      </x:c>
      <x:c r="C16" s="48" t="str">
        <x:v>BOUNDARY</x:v>
      </x:c>
      <x:c r="D16" s="48" t="str">
        <x:v>r7-requirement-development-calibration</x:v>
      </x:c>
      <x:c r="E16" s="48" t="str">
        <x:v>TRF-026</x:v>
      </x:c>
      <x:c r="F16" s="48" t="str">
        <x:v>/Users/sadisfaction570/Desktop/Journal 1/NLTL_v2/MVP/SHACL_GENERATION_PIPELINE/outputs/development_batch01/runs/RUN-TRF-026-20260813T045058131183Z/final/final_shape.ttl</x:v>
      </x:c>
      <x:c r="G16" s="48" t="str">
        <x:v>/Users/sadisfaction570/Desktop/Journal 1/NLTL_v2/MVP/INPUTS/DEVELOPMENT_CALIBRATION/BATCH_01_FIRST_50/rdf_fixtures/TRF-026/trf-026_03_boundary.ttl</x:v>
      </x:c>
      <x:c r="H16" s="48" t="str">
        <x:v>ab45665a54671d6247a0d5a71d09a8a5f65c84ab891f73cc9d8a6f810878a2da</x:v>
      </x:c>
      <x:c r="I16" s="48" t="str">
        <x:v>464e177b804a7bf85739ff641582b66ed11e40a30f5964080866d6648cb0b5ee</x:v>
      </x:c>
      <x:c r="J16" s="48" t="str">
        <x:v>TRUE</x:v>
      </x:c>
      <x:c r="K16" s="64" t="str">
        <x:v>TRUE</x:v>
      </x:c>
      <x:c r="L16" s="48" t="str">
        <x:v>TRUE</x:v>
      </x:c>
      <x:c r="M16" s="64" t="str">
        <x:v>TRUE</x:v>
      </x:c>
      <x:c r="N16" s="48" t="str">
        <x:v>TRUE</x:v>
      </x:c>
      <x:c r="O16" s="65" t="n">
        <x:v>2</x:v>
      </x:c>
      <x:c r="P16" s="64" t="n">
        <x:v>514.875</x:v>
      </x:c>
      <x:c r="Q16" s="49" t="str"/>
      <x:c r="R16" s="48" t="str">
        <x:v>Conforms: true</x:v>
      </x:c>
    </x:row>
    <x:row r="17">
      <x:c r="A17" s="48" t="str">
        <x:v>BATCH01-R7-ACCEPTED-SHAPES</x:v>
      </x:c>
      <x:c r="B17" s="48" t="str">
        <x:v>B01-TRF-027-PASS</x:v>
      </x:c>
      <x:c r="C17" s="48" t="str">
        <x:v>PASS</x:v>
      </x:c>
      <x:c r="D17" s="48" t="str">
        <x:v>r7-requirement-development-calibration</x:v>
      </x:c>
      <x:c r="E17" s="48" t="str">
        <x:v>TRF-027</x:v>
      </x:c>
      <x:c r="F17" s="48" t="str">
        <x:v>/Users/sadisfaction570/Desktop/Journal 1/NLTL_v2/MVP/SHACL_GENERATION_PIPELINE/outputs/development_batch01/runs/RUN-TRF-027-20260813T045351885205Z/final/final_shape.ttl</x:v>
      </x:c>
      <x:c r="G17" s="48" t="str">
        <x:v>/Users/sadisfaction570/Desktop/Journal 1/NLTL_v2/MVP/INPUTS/DEVELOPMENT_CALIBRATION/BATCH_01_FIRST_50/rdf_fixtures/TRF-027/trf-027_01_pass.ttl</x:v>
      </x:c>
      <x:c r="H17" s="48" t="str">
        <x:v>65e761af547807df8fce066c58ee7d726cd0d91f9499aaeac3a6ad6fce163620</x:v>
      </x:c>
      <x:c r="I17" s="48" t="str">
        <x:v>d30e3c034527b7b717fd013cc55c0f61e56413b3b8953086648c4f2b8df404a7</x:v>
      </x:c>
      <x:c r="J17" s="48" t="str">
        <x:v>TRUE</x:v>
      </x:c>
      <x:c r="K17" s="64" t="str">
        <x:v>TRUE</x:v>
      </x:c>
      <x:c r="L17" s="48" t="str">
        <x:v>TRUE</x:v>
      </x:c>
      <x:c r="M17" s="64" t="str">
        <x:v>FALSE</x:v>
      </x:c>
      <x:c r="N17" s="48" t="str">
        <x:v>FALSE</x:v>
      </x:c>
      <x:c r="O17" s="65" t="n">
        <x:v>10</x:v>
      </x:c>
      <x:c r="P17" s="64" t="n">
        <x:v>531.997</x:v>
      </x:c>
      <x:c r="Q17" s="49" t="str"/>
      <x:c r="R17" s="48" t="str">
        <x:v>Conforms: false | The ship must establish either non-applicability or compliance with section 3.2.4.</x:v>
      </x:c>
    </x:row>
    <x:row r="18">
      <x:c r="A18" s="48" t="str">
        <x:v>BATCH01-R7-ACCEPTED-SHAPES</x:v>
      </x:c>
      <x:c r="B18" s="48" t="str">
        <x:v>B01-TRF-027-FAIL</x:v>
      </x:c>
      <x:c r="C18" s="48" t="str">
        <x:v>FAIL</x:v>
      </x:c>
      <x:c r="D18" s="48" t="str">
        <x:v>r7-requirement-development-calibration</x:v>
      </x:c>
      <x:c r="E18" s="48" t="str">
        <x:v>TRF-027</x:v>
      </x:c>
      <x:c r="F18" s="48" t="str">
        <x:v>/Users/sadisfaction570/Desktop/Journal 1/NLTL_v2/MVP/SHACL_GENERATION_PIPELINE/outputs/development_batch01/runs/RUN-TRF-027-20260813T045351885205Z/final/final_shape.ttl</x:v>
      </x:c>
      <x:c r="G18" s="48" t="str">
        <x:v>/Users/sadisfaction570/Desktop/Journal 1/NLTL_v2/MVP/INPUTS/DEVELOPMENT_CALIBRATION/BATCH_01_FIRST_50/rdf_fixtures/TRF-027/trf-027_02_fail.ttl</x:v>
      </x:c>
      <x:c r="H18" s="48" t="str">
        <x:v>65e761af547807df8fce066c58ee7d726cd0d91f9499aaeac3a6ad6fce163620</x:v>
      </x:c>
      <x:c r="I18" s="48" t="str">
        <x:v>ccb1a1855e071946ec957d94f3f4c3906cbe196b630d16a3e45ce64c344f5ba0</x:v>
      </x:c>
      <x:c r="J18" s="48" t="str">
        <x:v>TRUE</x:v>
      </x:c>
      <x:c r="K18" s="64" t="str">
        <x:v>FALSE</x:v>
      </x:c>
      <x:c r="L18" s="48" t="str">
        <x:v>TRUE</x:v>
      </x:c>
      <x:c r="M18" s="64" t="str">
        <x:v>FALSE</x:v>
      </x:c>
      <x:c r="N18" s="48" t="str">
        <x:v>TRUE</x:v>
      </x:c>
      <x:c r="O18" s="65" t="n">
        <x:v>10</x:v>
      </x:c>
      <x:c r="P18" s="64" t="n">
        <x:v>529.671</x:v>
      </x:c>
      <x:c r="Q18" s="49" t="str"/>
      <x:c r="R18" s="48" t="str">
        <x:v>Conforms: false | The ship must establish either non-applicability or compliance with section 3.2.4.</x:v>
      </x:c>
    </x:row>
    <x:row r="19">
      <x:c r="A19" s="48" t="str">
        <x:v>BATCH01-R7-ACCEPTED-SHAPES</x:v>
      </x:c>
      <x:c r="B19" s="48" t="str">
        <x:v>B01-TRF-027-BOUNDARY</x:v>
      </x:c>
      <x:c r="C19" s="48" t="str">
        <x:v>BOUNDARY</x:v>
      </x:c>
      <x:c r="D19" s="48" t="str">
        <x:v>r7-requirement-development-calibration</x:v>
      </x:c>
      <x:c r="E19" s="48" t="str">
        <x:v>TRF-027</x:v>
      </x:c>
      <x:c r="F19" s="48" t="str">
        <x:v>/Users/sadisfaction570/Desktop/Journal 1/NLTL_v2/MVP/SHACL_GENERATION_PIPELINE/outputs/development_batch01/runs/RUN-TRF-027-20260813T045351885205Z/final/final_shape.ttl</x:v>
      </x:c>
      <x:c r="G19" s="48" t="str">
        <x:v>/Users/sadisfaction570/Desktop/Journal 1/NLTL_v2/MVP/INPUTS/DEVELOPMENT_CALIBRATION/BATCH_01_FIRST_50/rdf_fixtures/TRF-027/trf-027_03_boundary.ttl</x:v>
      </x:c>
      <x:c r="H19" s="48" t="str">
        <x:v>65e761af547807df8fce066c58ee7d726cd0d91f9499aaeac3a6ad6fce163620</x:v>
      </x:c>
      <x:c r="I19" s="48" t="str">
        <x:v>e234bd32ac747ba4869ed716e914525ac36490ab3cdaee0d66e49b002e191f14</x:v>
      </x:c>
      <x:c r="J19" s="48" t="str">
        <x:v>TRUE</x:v>
      </x:c>
      <x:c r="K19" s="64" t="str">
        <x:v>TRUE</x:v>
      </x:c>
      <x:c r="L19" s="48" t="str">
        <x:v>TRUE</x:v>
      </x:c>
      <x:c r="M19" s="64" t="str">
        <x:v>FALSE</x:v>
      </x:c>
      <x:c r="N19" s="48" t="str">
        <x:v>FALSE</x:v>
      </x:c>
      <x:c r="O19" s="65" t="n">
        <x:v>10</x:v>
      </x:c>
      <x:c r="P19" s="64" t="n">
        <x:v>528.774</x:v>
      </x:c>
      <x:c r="Q19" s="49" t="str"/>
      <x:c r="R19" s="48" t="str">
        <x:v>Conforms: false | The ship must establish either non-applicability or compliance with section 3.2.4.</x:v>
      </x:c>
    </x:row>
    <x:row r="20">
      <x:c r="A20" s="48" t="str">
        <x:v>BATCH01-R7-ACCEPTED-SHAPES</x:v>
      </x:c>
      <x:c r="B20" s="48" t="str">
        <x:v>B01-TRF-030-PASS</x:v>
      </x:c>
      <x:c r="C20" s="48" t="str">
        <x:v>PASS</x:v>
      </x:c>
      <x:c r="D20" s="48" t="str">
        <x:v>r7-requirement-development-calibration</x:v>
      </x:c>
      <x:c r="E20" s="48" t="str">
        <x:v>TRF-030</x:v>
      </x:c>
      <x:c r="F20" s="48" t="str">
        <x:v>/Users/sadisfaction570/Desktop/Journal 1/NLTL_v2/MVP/SHACL_GENERATION_PIPELINE/outputs/development_batch01/runs/RUN-TRF-030-20260813T045555431640Z/final/final_shape.ttl</x:v>
      </x:c>
      <x:c r="G20" s="48" t="str">
        <x:v>/Users/sadisfaction570/Desktop/Journal 1/NLTL_v2/MVP/INPUTS/DEVELOPMENT_CALIBRATION/BATCH_01_FIRST_50/rdf_fixtures/TRF-030/trf-030_01_pass.ttl</x:v>
      </x:c>
      <x:c r="H20" s="48" t="str">
        <x:v>25575d6d5595aa287e96c13d4cf2a928a31a704bba3d77dce93d9bd9daaff3a8</x:v>
      </x:c>
      <x:c r="I20" s="48" t="str">
        <x:v>0d8ca9cd1f3fde2f7340c35cdc7d98bd7e784c2e5078a685357b16ea41884c8a</x:v>
      </x:c>
      <x:c r="J20" s="48" t="str">
        <x:v>TRUE</x:v>
      </x:c>
      <x:c r="K20" s="64" t="str">
        <x:v>TRUE</x:v>
      </x:c>
      <x:c r="L20" s="48" t="str">
        <x:v>TRUE</x:v>
      </x:c>
      <x:c r="M20" s="64" t="str">
        <x:v>FALSE</x:v>
      </x:c>
      <x:c r="N20" s="48" t="str">
        <x:v>FALSE</x:v>
      </x:c>
      <x:c r="O20" s="65" t="n">
        <x:v>314</x:v>
      </x:c>
      <x:c r="P20" s="64" t="n">
        <x:v>811.226</x:v>
      </x:c>
      <x:c r="Q20" s="49" t="str"/>
      <x:c r="R20" s="48" t="str">
        <x:v>Conforms: false | Node &lt;urn:nltl:batch01-fixture:TRF-030:pass:ship&gt;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1">
      <x:c r="A21" s="48" t="str">
        <x:v>BATCH01-R7-ACCEPTED-SHAPES</x:v>
      </x:c>
      <x:c r="B21" s="48" t="str">
        <x:v>B01-TRF-030-FAIL</x:v>
      </x:c>
      <x:c r="C21" s="48" t="str">
        <x:v>FAIL</x:v>
      </x:c>
      <x:c r="D21" s="48" t="str">
        <x:v>r7-requirement-development-calibration</x:v>
      </x:c>
      <x:c r="E21" s="48" t="str">
        <x:v>TRF-030</x:v>
      </x:c>
      <x:c r="F21" s="48" t="str">
        <x:v>/Users/sadisfaction570/Desktop/Journal 1/NLTL_v2/MVP/SHACL_GENERATION_PIPELINE/outputs/development_batch01/runs/RUN-TRF-030-20260813T045555431640Z/final/final_shape.ttl</x:v>
      </x:c>
      <x:c r="G21" s="48" t="str">
        <x:v>/Users/sadisfaction570/Desktop/Journal 1/NLTL_v2/MVP/INPUTS/DEVELOPMENT_CALIBRATION/BATCH_01_FIRST_50/rdf_fixtures/TRF-030/trf-030_02_fail.ttl</x:v>
      </x:c>
      <x:c r="H21" s="48" t="str">
        <x:v>25575d6d5595aa287e96c13d4cf2a928a31a704bba3d77dce93d9bd9daaff3a8</x:v>
      </x:c>
      <x:c r="I21" s="48" t="str">
        <x:v>0afa32feb0d855d4c075c15c97a3b23b2d1d165c77e9c09adb3ed665ceefd2e4</x:v>
      </x:c>
      <x:c r="J21" s="48" t="str">
        <x:v>TRUE</x:v>
      </x:c>
      <x:c r="K21" s="64" t="str">
        <x:v>FALSE</x:v>
      </x:c>
      <x:c r="L21" s="48" t="str">
        <x:v>TRUE</x:v>
      </x:c>
      <x:c r="M21" s="64" t="str">
        <x:v>FALSE</x:v>
      </x:c>
      <x:c r="N21" s="48" t="str">
        <x:v>TRUE</x:v>
      </x:c>
      <x:c r="O21" s="65" t="n">
        <x:v>386</x:v>
      </x:c>
      <x:c r="P21" s="64" t="n">
        <x:v>793.501</x:v>
      </x:c>
      <x:c r="Q21" s="49" t="str"/>
      <x:c r="R21" s="48" t="str">
        <x:v>Conforms: false | Applied ice pressure must equal 1.8 times p within relative tolerance 1e-6.</x:v>
      </x:c>
    </x:row>
    <x:row r="22">
      <x:c r="A22" s="48" t="str">
        <x:v>BATCH01-R7-ACCEPTED-SHAPES</x:v>
      </x:c>
      <x:c r="B22" s="48" t="str">
        <x:v>B01-TRF-030-BOUNDARY</x:v>
      </x:c>
      <x:c r="C22" s="48" t="str">
        <x:v>BOUNDARY</x:v>
      </x:c>
      <x:c r="D22" s="48" t="str">
        <x:v>r7-requirement-development-calibration</x:v>
      </x:c>
      <x:c r="E22" s="48" t="str">
        <x:v>TRF-030</x:v>
      </x:c>
      <x:c r="F22" s="48" t="str">
        <x:v>/Users/sadisfaction570/Desktop/Journal 1/NLTL_v2/MVP/SHACL_GENERATION_PIPELINE/outputs/development_batch01/runs/RUN-TRF-030-20260813T045555431640Z/final/final_shape.ttl</x:v>
      </x:c>
      <x:c r="G22" s="48" t="str">
        <x:v>/Users/sadisfaction570/Desktop/Journal 1/NLTL_v2/MVP/INPUTS/DEVELOPMENT_CALIBRATION/BATCH_01_FIRST_50/rdf_fixtures/TRF-030/trf-030_03_boundary.ttl</x:v>
      </x:c>
      <x:c r="H22" s="48" t="str">
        <x:v>25575d6d5595aa287e96c13d4cf2a928a31a704bba3d77dce93d9bd9daaff3a8</x:v>
      </x:c>
      <x:c r="I22" s="48" t="str">
        <x:v>4add150a4bdc1e71783c13a185840f162e20d1353046dbfd38f8b774f34f552e</x:v>
      </x:c>
      <x:c r="J22" s="48" t="str">
        <x:v>TRUE</x:v>
      </x:c>
      <x:c r="K22" s="64" t="str">
        <x:v>TRUE</x:v>
      </x:c>
      <x:c r="L22" s="48" t="str">
        <x:v>TRUE</x:v>
      </x:c>
      <x:c r="M22" s="64" t="str">
        <x:v>FALSE</x:v>
      </x:c>
      <x:c r="N22" s="48" t="str">
        <x:v>FALSE</x:v>
      </x:c>
      <x:c r="O22" s="65" t="n">
        <x:v>314</x:v>
      </x:c>
      <x:c r="P22" s="64" t="n">
        <x:v>816.772</x:v>
      </x:c>
      <x:c r="Q22" s="49" t="str"/>
      <x:c r="R22" s="48" t="str">
        <x:v>Conforms: false | Node &lt;urn:nltl:batch01-fixture:TRF-030:boundary:ship&gt; must conform to one or more shapes in [ sh:property [ sh:hasValue Literal("true" = True, datatype=xsd:boolean) ; sh:path nltl:loadLengthDeterminedFromArrangement ] ] , [ sh:property [ sh:hasValue Literal("false" = False, datatype=xsd:boolean) ; sh:path nltl:loadLengthDeterminedFromArrangement ], [ sh:minCount Literal("1", datatype=xsd:integer) ; sh:node gen:DirectAnalysisCaseWithCaShape ; sh:path nltl:hasDirectAnalysisCase ] ]</x:v>
      </x:c>
    </x:row>
    <x:row r="23">
      <x:c r="A23" s="48" t="str">
        <x:v>BATCH01-R7-ACCEPTED-SHAPES</x:v>
      </x:c>
      <x:c r="B23" s="48" t="str">
        <x:v>B01-TRF-046-PASS</x:v>
      </x:c>
      <x:c r="C23" s="48" t="str">
        <x:v>PASS</x:v>
      </x:c>
      <x:c r="D23" s="48" t="str">
        <x:v>r7-requirement-development-calibration</x:v>
      </x:c>
      <x:c r="E23" s="48" t="str">
        <x:v>TRF-046</x:v>
      </x:c>
      <x:c r="F23" s="48" t="str">
        <x:v>/Users/sadisfaction570/Desktop/Journal 1/NLTL_v2/MVP/SHACL_GENERATION_PIPELINE/outputs/development_batch01/runs/RUN-TRF-046-20260813T050548711269Z/final/final_shape.ttl</x:v>
      </x:c>
      <x:c r="G23" s="48" t="str">
        <x:v>/Users/sadisfaction570/Desktop/Journal 1/NLTL_v2/MVP/INPUTS/DEVELOPMENT_CALIBRATION/BATCH_01_FIRST_50/rdf_fixtures/TRF-046/trf-046_01_pass.ttl</x:v>
      </x:c>
      <x:c r="H23" s="48" t="str">
        <x:v>c08a752300113f310de893e22f2fc3548bc590df38db3e1eb9e3d20750e1b9cf</x:v>
      </x:c>
      <x:c r="I23" s="48" t="str">
        <x:v>80757be279d78ac9c3b46ef3481318d509ae1c6b177ccb43b202f81445e0d02c</x:v>
      </x:c>
      <x:c r="J23" s="48" t="str">
        <x:v>TRUE</x:v>
      </x:c>
      <x:c r="K23" s="64" t="str">
        <x:v>TRUE</x:v>
      </x:c>
      <x:c r="L23" s="48" t="str">
        <x:v>TRUE</x:v>
      </x:c>
      <x:c r="M23" s="64" t="str">
        <x:v>TRUE</x:v>
      </x:c>
      <x:c r="N23" s="48" t="str">
        <x:v>TRUE</x:v>
      </x:c>
      <x:c r="O23" s="65" t="n">
        <x:v>2</x:v>
      </x:c>
      <x:c r="P23" s="64" t="n">
        <x:v>408.515</x:v>
      </x:c>
      <x:c r="Q23" s="49" t="str"/>
      <x:c r="R23" s="48" t="str">
        <x:v>Conforms: true</x:v>
      </x:c>
    </x:row>
    <x:row r="24">
      <x:c r="A24" s="48" t="str">
        <x:v>BATCH01-R7-ACCEPTED-SHAPES</x:v>
      </x:c>
      <x:c r="B24" s="48" t="str">
        <x:v>B01-TRF-046-FAIL</x:v>
      </x:c>
      <x:c r="C24" s="48" t="str">
        <x:v>FAIL</x:v>
      </x:c>
      <x:c r="D24" s="48" t="str">
        <x:v>r7-requirement-development-calibration</x:v>
      </x:c>
      <x:c r="E24" s="48" t="str">
        <x:v>TRF-046</x:v>
      </x:c>
      <x:c r="F24" s="48" t="str">
        <x:v>/Users/sadisfaction570/Desktop/Journal 1/NLTL_v2/MVP/SHACL_GENERATION_PIPELINE/outputs/development_batch01/runs/RUN-TRF-046-20260813T050548711269Z/final/final_shape.ttl</x:v>
      </x:c>
      <x:c r="G24" s="48" t="str">
        <x:v>/Users/sadisfaction570/Desktop/Journal 1/NLTL_v2/MVP/INPUTS/DEVELOPMENT_CALIBRATION/BATCH_01_FIRST_50/rdf_fixtures/TRF-046/trf-046_02_fail.ttl</x:v>
      </x:c>
      <x:c r="H24" s="48" t="str">
        <x:v>c08a752300113f310de893e22f2fc3548bc590df38db3e1eb9e3d20750e1b9cf</x:v>
      </x:c>
      <x:c r="I24" s="48" t="str">
        <x:v>b54218e8a68293f3dc558689f0b7d8bac4d105a323902e682e22ab3887d0d486</x:v>
      </x:c>
      <x:c r="J24" s="48" t="str">
        <x:v>TRUE</x:v>
      </x:c>
      <x:c r="K24" s="64" t="str">
        <x:v>FALSE</x:v>
      </x:c>
      <x:c r="L24" s="48" t="str">
        <x:v>TRUE</x:v>
      </x:c>
      <x:c r="M24" s="64" t="str">
        <x:v>FALSE</x:v>
      </x:c>
      <x:c r="N24" s="48" t="str">
        <x:v>TRUE</x:v>
      </x:c>
      <x:c r="O24" s="65" t="n">
        <x:v>23</x:v>
      </x:c>
      <x:c r="P24" s="64" t="n">
        <x:v>384.533</x:v>
      </x:c>
      <x:c r="Q24" s="49" t="str"/>
      <x:c r="R24" s="48" t="str">
        <x:v>Conforms: false | The upper end must be attached to an allowed supporting structure or satisfy the permitted intermediate-frame connection alternative.</x:v>
      </x:c>
    </x:row>
    <x:row r="25">
      <x:c r="A25" s="48" t="str">
        <x:v>BATCH01-R7-ACCEPTED-SHAPES</x:v>
      </x:c>
      <x:c r="B25" s="48" t="str">
        <x:v>B01-TRF-046-BOUNDARY</x:v>
      </x:c>
      <x:c r="C25" s="48" t="str">
        <x:v>BOUNDARY</x:v>
      </x:c>
      <x:c r="D25" s="48" t="str">
        <x:v>r7-requirement-development-calibration</x:v>
      </x:c>
      <x:c r="E25" s="48" t="str">
        <x:v>TRF-046</x:v>
      </x:c>
      <x:c r="F25" s="48" t="str">
        <x:v>/Users/sadisfaction570/Desktop/Journal 1/NLTL_v2/MVP/SHACL_GENERATION_PIPELINE/outputs/development_batch01/runs/RUN-TRF-046-20260813T050548711269Z/final/final_shape.ttl</x:v>
      </x:c>
      <x:c r="G25" s="48" t="str">
        <x:v>/Users/sadisfaction570/Desktop/Journal 1/NLTL_v2/MVP/INPUTS/DEVELOPMENT_CALIBRATION/BATCH_01_FIRST_50/rdf_fixtures/TRF-046/trf-046_03_boundary.ttl</x:v>
      </x:c>
      <x:c r="H25" s="48" t="str">
        <x:v>c08a752300113f310de893e22f2fc3548bc590df38db3e1eb9e3d20750e1b9cf</x:v>
      </x:c>
      <x:c r="I25" s="48" t="str">
        <x:v>6e9ed2c25dd13d123c1eaf161d81d066e43c424c8e9fb186ace8e602102235bb</x:v>
      </x:c>
      <x:c r="J25" s="48" t="str">
        <x:v>TRUE</x:v>
      </x:c>
      <x:c r="K25" s="64" t="str">
        <x:v>TRUE</x:v>
      </x:c>
      <x:c r="L25" s="48" t="str">
        <x:v>TRUE</x:v>
      </x:c>
      <x:c r="M25" s="64" t="str">
        <x:v>TRUE</x:v>
      </x:c>
      <x:c r="N25" s="48" t="str">
        <x:v>TRUE</x:v>
      </x:c>
      <x:c r="O25" s="65" t="n">
        <x:v>2</x:v>
      </x:c>
      <x:c r="P25" s="64" t="n">
        <x:v>385.016</x:v>
      </x:c>
      <x:c r="Q25" s="49" t="str"/>
      <x:c r="R25" s="48" t="str">
        <x:v>Conforms: true</x:v>
      </x:c>
    </x:row>
    <x:row r="26">
      <x:c r="A26" s="48" t="str">
        <x:v>BATCH01-R7-ACCEPTED-SHAPES</x:v>
      </x:c>
      <x:c r="B26" s="48" t="str">
        <x:v>B01-TRF-049-PASS</x:v>
      </x:c>
      <x:c r="C26" s="48" t="str">
        <x:v>PASS</x:v>
      </x:c>
      <x:c r="D26" s="48" t="str">
        <x:v>r7-requirement-development-calibration</x:v>
      </x:c>
      <x:c r="E26" s="48" t="str">
        <x:v>TRF-049</x:v>
      </x:c>
      <x:c r="F26" s="48" t="str">
        <x:v>/Users/sadisfaction570/Desktop/Journal 1/NLTL_v2/MVP/SHACL_GENERATION_PIPELINE/outputs/development_batch01/runs/RUN-TRF-049-20260813T050910131858Z/final/final_shape.ttl</x:v>
      </x:c>
      <x:c r="G26" s="48" t="str">
        <x:v>/Users/sadisfaction570/Desktop/Journal 1/NLTL_v2/MVP/INPUTS/DEVELOPMENT_CALIBRATION/BATCH_01_FIRST_50/rdf_fixtures/TRF-049/trf-049_01_pass.ttl</x:v>
      </x:c>
      <x:c r="H26" s="48" t="str">
        <x:v>4276057d59a3f276f7d4d14e34f855605ca4372443b4bdc351e8fa52f97a1cd1</x:v>
      </x:c>
      <x:c r="I26" s="48" t="str">
        <x:v>4f6dad5d523ad402fa234f31847000d3c2aba40e25d18b84f96685d9b4ddd037</x:v>
      </x:c>
      <x:c r="J26" s="48" t="str">
        <x:v>TRUE</x:v>
      </x:c>
      <x:c r="K26" s="64" t="str">
        <x:v>TRUE</x:v>
      </x:c>
      <x:c r="L26" s="48" t="str">
        <x:v>TRUE</x:v>
      </x:c>
      <x:c r="M26" s="64" t="str">
        <x:v>TRUE</x:v>
      </x:c>
      <x:c r="N26" s="48" t="str">
        <x:v>TRUE</x:v>
      </x:c>
      <x:c r="O26" s="65" t="n">
        <x:v>2</x:v>
      </x:c>
      <x:c r="P26" s="64" t="n">
        <x:v>542.707</x:v>
      </x:c>
      <x:c r="Q26" s="49" t="str"/>
      <x:c r="R26" s="48" t="str">
        <x:v>Conforms: true</x:v>
      </x:c>
    </x:row>
    <x:row r="27">
      <x:c r="A27" s="48" t="str">
        <x:v>BATCH01-R7-ACCEPTED-SHAPES</x:v>
      </x:c>
      <x:c r="B27" s="48" t="str">
        <x:v>B01-TRF-049-FAIL</x:v>
      </x:c>
      <x:c r="C27" s="48" t="str">
        <x:v>FAIL</x:v>
      </x:c>
      <x:c r="D27" s="48" t="str">
        <x:v>r7-requirement-development-calibration</x:v>
      </x:c>
      <x:c r="E27" s="48" t="str">
        <x:v>TRF-049</x:v>
      </x:c>
      <x:c r="F27" s="48" t="str">
        <x:v>/Users/sadisfaction570/Desktop/Journal 1/NLTL_v2/MVP/SHACL_GENERATION_PIPELINE/outputs/development_batch01/runs/RUN-TRF-049-20260813T050910131858Z/final/final_shape.ttl</x:v>
      </x:c>
      <x:c r="G27" s="48" t="str">
        <x:v>/Users/sadisfaction570/Desktop/Journal 1/NLTL_v2/MVP/INPUTS/DEVELOPMENT_CALIBRATION/BATCH_01_FIRST_50/rdf_fixtures/TRF-049/trf-049_02_fail.ttl</x:v>
      </x:c>
      <x:c r="H27" s="48" t="str">
        <x:v>4276057d59a3f276f7d4d14e34f855605ca4372443b4bdc351e8fa52f97a1cd1</x:v>
      </x:c>
      <x:c r="I27" s="48" t="str">
        <x:v>0b9c20950a59c7c81e1a77bc841721a7cccf884a1eb86b8248789f957d063631</x:v>
      </x:c>
      <x:c r="J27" s="48" t="str">
        <x:v>TRUE</x:v>
      </x:c>
      <x:c r="K27" s="64" t="str">
        <x:v>FALSE</x:v>
      </x:c>
      <x:c r="L27" s="48" t="str">
        <x:v>TRUE</x:v>
      </x:c>
      <x:c r="M27" s="64" t="str">
        <x:v>FALSE</x:v>
      </x:c>
      <x:c r="N27" s="48" t="str">
        <x:v>TRUE</x:v>
      </x:c>
      <x:c r="O27" s="65" t="n">
        <x:v>18</x:v>
      </x:c>
      <x:c r="P27" s="64" t="n">
        <x:v>571.103</x:v>
      </x:c>
      <x:c r="Q27" s="49" t="str"/>
      <x:c r="R27" s="48" t="str">
        <x:v>Conforms: false | Node &lt;urn:nltl:batch01-fixture:TRF-049:fail:frame&gt; must conform to one or more shapes in [ sh:property [ sh:hasValue Literal("false" = False, datatype=xsd:boolean) ; sh:path nltl:withinIceStrengthenedArea ] ] , [ sh:node gen:FrameBracketRequirementsShape, gen:InAreaFrameShape, gen:LongitudinalBracketAttachmentShape ; sh:property [ sh:hasValue Literal("true" = True, datatype=xsd:boolean) ; sh:path nltl:withinIceStrengthenedArea ] ]</x:v>
      </x:c>
    </x:row>
    <x:row r="28">
      <x:c r="A28" s="50" t="str">
        <x:v>BATCH01-R7-ACCEPTED-SHAPES</x:v>
      </x:c>
      <x:c r="B28" s="50" t="str">
        <x:v>B01-TRF-049-BOUNDARY</x:v>
      </x:c>
      <x:c r="C28" s="50" t="str">
        <x:v>BOUNDARY</x:v>
      </x:c>
      <x:c r="D28" s="50" t="str">
        <x:v>r7-requirement-development-calibration</x:v>
      </x:c>
      <x:c r="E28" s="50" t="str">
        <x:v>TRF-049</x:v>
      </x:c>
      <x:c r="F28" s="50" t="str">
        <x:v>/Users/sadisfaction570/Desktop/Journal 1/NLTL_v2/MVP/SHACL_GENERATION_PIPELINE/outputs/development_batch01/runs/RUN-TRF-049-20260813T050910131858Z/final/final_shape.ttl</x:v>
      </x:c>
      <x:c r="G28" s="50" t="str">
        <x:v>/Users/sadisfaction570/Desktop/Journal 1/NLTL_v2/MVP/INPUTS/DEVELOPMENT_CALIBRATION/BATCH_01_FIRST_50/rdf_fixtures/TRF-049/trf-049_03_boundary.ttl</x:v>
      </x:c>
      <x:c r="H28" s="50" t="str">
        <x:v>4276057d59a3f276f7d4d14e34f855605ca4372443b4bdc351e8fa52f97a1cd1</x:v>
      </x:c>
      <x:c r="I28" s="50" t="str">
        <x:v>208d4b4d8d1b0286bd826aa09ef38ff268549ad03f29c3ae08caef2088b03657</x:v>
      </x:c>
      <x:c r="J28" s="50" t="str">
        <x:v>TRUE</x:v>
      </x:c>
      <x:c r="K28" s="66" t="str">
        <x:v>TRUE</x:v>
      </x:c>
      <x:c r="L28" s="50" t="str">
        <x:v>TRUE</x:v>
      </x:c>
      <x:c r="M28" s="66" t="str">
        <x:v>TRUE</x:v>
      </x:c>
      <x:c r="N28" s="50" t="str">
        <x:v>TRUE</x:v>
      </x:c>
      <x:c r="O28" s="67" t="n">
        <x:v>2</x:v>
      </x:c>
      <x:c r="P28" s="66" t="n">
        <x:v>543.157</x:v>
      </x:c>
      <x:c r="Q28" s="51" t="str"/>
      <x:c r="R28" s="50" t="str">
        <x:v>Conforms: true</x:v>
      </x:c>
    </x:row>
  </x:sheetData>
  <x:pageMargins left="0.7" right="0.7" top="0.75" bottom="0.75" header="0.3" footer="0.3"/>
  <x:tableParts count="1">
    <x:tablePart xmlns:r="http://schemas.openxmlformats.org/officeDocument/2006/relationships" r:id="R63ecab31d4d545f3"/>
  </x:tableParts>
</x:worksheet>
</file>