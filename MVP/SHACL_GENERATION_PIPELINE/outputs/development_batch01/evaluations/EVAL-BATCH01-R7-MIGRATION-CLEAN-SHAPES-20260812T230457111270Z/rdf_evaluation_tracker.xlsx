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35e3839cd641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d5598bd7f194fda"/>
    <x:sheet xmlns:r="http://schemas.openxmlformats.org/officeDocument/2006/relationships" name="README" sheetId="2" r:id="R9d47ab1f174447d7"/>
    <x:sheet xmlns:r="http://schemas.openxmlformats.org/officeDocument/2006/relationships" name="EVALUATION_RESULTS" sheetId="3" r:id="R2eaa6e4f07fd48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#,##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6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2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201" fontId="6" fillId="0" borderId="2" xfId="0" applyNumberFormat="1" applyFont="1" applyFill="1" applyBorder="1"/>
    <x:xf numFmtId="0" fontId="9" fillId="0" borderId="3" xfId="0" applyNumberFormat="1" applyFont="1" applyFill="1" applyBorder="1"/>
    <x:xf numFmtId="0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1" fontId="6" fillId="0" borderId="1" xfId="0" applyNumberFormat="1" applyFont="1" applyFill="1" applyBorder="1" applyAlignment="1">
      <x:alignment vertical="top"/>
    </x:xf>
    <x:xf numFmtId="200" fontId="6" fillId="0" borderId="1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f5666864d94fe0" /><Relationship Type="http://schemas.openxmlformats.org/officeDocument/2006/relationships/theme" Target="/xl/theme/theme1.xml" Id="R76b125876e9c4ae1" /><Relationship Type="http://schemas.openxmlformats.org/officeDocument/2006/relationships/sharedStrings" Target="/xl/sharedStrings.xml" Id="R24c3476cb73a4912" /><Relationship Type="http://schemas.openxmlformats.org/officeDocument/2006/relationships/worksheet" Target="/xl/worksheets/sheet1.xml" Id="R0d5598bd7f194fda" /><Relationship Type="http://schemas.openxmlformats.org/officeDocument/2006/relationships/worksheet" Target="/xl/worksheets/sheet2.xml" Id="R9d47ab1f174447d7" /><Relationship Type="http://schemas.openxmlformats.org/officeDocument/2006/relationships/worksheet" Target="/xl/worksheets/sheet3.xml" Id="R2eaa6e4f07fd4805" /></Relationship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EVALUATIONRESULTS" displayName="T2_EVALUATIONRESULTS" ref="A4:R64" headerRowCount="1" totalsRowCount="0" totalsRowShown="0">
  <x:tableColumns count="18">
    <x:tableColumn id="1" name="EVALUATION_ID"/>
    <x:tableColumn id="2" name="CASE_ID"/>
    <x:tableColumn id="3" name="VARIANT_ID"/>
    <x:tableColumn id="4" name="CASE_LEVEL"/>
    <x:tableColumn id="5" name="REQUIREMENT_IDS"/>
    <x:tableColumn id="6" name="SHAPE_FILE"/>
    <x:tableColumn id="7" name="DATA_FILE"/>
    <x:tableColumn id="8" name="SHAPE_SHA256"/>
    <x:tableColumn id="9" name="DATA_SHA256"/>
    <x:tableColumn id="10" name="FILE_INTEGRITY_OK"/>
    <x:tableColumn id="11" name="EXPECTED_CONFORMS"/>
    <x:tableColumn id="12" name="EXECUTION_OK"/>
    <x:tableColumn id="13" name="ACTUAL_CONFORMS"/>
    <x:tableColumn id="14" name="EXPECTED_MATCH"/>
    <x:tableColumn id="15" name="REPORT_TRIPLES"/>
    <x:tableColumn id="16" name="ELAPSED_MS"/>
    <x:tableColumn id="17" name="ERROR"/>
    <x:tableColumn id="18" name="REPORT_SUMMAR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3a011a08a1a4e1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45631a12e7a42c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Bulk RDF Evaluation Tracker</x:v>
      </x:c>
      <x:c r="B1" s="19"/>
      <x:c r="C1" s="19"/>
      <x:c r="D1" s="19"/>
    </x:row>
    <x:row r="2">
      <x:c r="A2" s="20" t="str">
        <x:v>Evaluation: BATCH01-R7-MIGRATION-CLEAN-SHAPES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Evaluation records</x:v>
      </x:c>
      <x:c r="B5" s="24" t="n">
        <x:f>COUNTA('EVALUATION_RESULTS'!$A$5:$A$64)</x:f>
        <x:v>60</x:v>
      </x:c>
      <x:c r="C5" s="21"/>
      <x:c r="D5" s="21"/>
    </x:row>
    <x:row r="6">
      <x:c r="A6" s="25" t="str">
        <x:v>Executed successfully</x:v>
      </x:c>
      <x:c r="B6" s="26" t="n">
        <x:f>COUNTIF('EVALUATION_RESULTS'!$L$5:$L$64,"TRUE")</x:f>
        <x:v>60</x:v>
      </x:c>
      <x:c r="C6" s="21"/>
      <x:c r="D6" s="21"/>
    </x:row>
    <x:row r="7">
      <x:c r="A7" s="25" t="str">
        <x:v>Expected outcomes matched</x:v>
      </x:c>
      <x:c r="B7" s="26" t="n">
        <x:f>COUNTIF('EVALUATION_RESULTS'!$N$5:$N$64,"TRUE")</x:f>
        <x:v>60</x:v>
      </x:c>
      <x:c r="C7" s="21"/>
      <x:c r="D7" s="21"/>
    </x:row>
    <x:row r="8">
      <x:c r="A8" s="25" t="str">
        <x:v>Expected outcomes mismatched</x:v>
      </x:c>
      <x:c r="B8" s="26" t="n">
        <x:f>COUNTIF('EVALUATION_RESULTS'!$N$5:$N$64,"FALSE")</x:f>
        <x:v>0</x:v>
      </x:c>
      <x:c r="C8" s="21"/>
      <x:c r="D8" s="21"/>
    </x:row>
    <x:row r="9">
      <x:c r="A9" s="25" t="str">
        <x:v>Mean evaluation elapsed ms</x:v>
      </x:c>
      <x:c r="B9" s="27" t="n">
        <x:f>IFERROR(AVERAGE('EVALUATION_RESULTS'!$P$5:$P$64),0)</x:f>
        <x:v>441.8856333333332</x:v>
      </x:c>
      <x:c r="C9" s="21"/>
      <x:c r="D9" s="21"/>
    </x:row>
    <x:row r="10">
      <x:c r="A10" s="28"/>
      <x:c r="B10" s="29"/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30" t="str">
        <x:v>INTERPRETATION</x:v>
      </x:c>
      <x:c r="B12" s="31" t="str">
        <x:v>EXPECTED_MATCH = TRUE means the SHACL result matched the independently declared pass/fail expectation.</x:v>
      </x:c>
      <x:c r="C12" s="31" t="str"/>
      <x:c r="D12" s="31" t="str"/>
    </x:row>
    <x:row r="13" ht="38" customHeight="1">
      <x:c r="A13" s="30" t="str">
        <x:v>RESULT DETAIL</x:v>
      </x:c>
      <x:c r="B13" s="31" t="str">
        <x:v>The workbook contains concise messages; evaluation_results.csv and evaluation_results.jsonl retain complete SHACL reports.</x:v>
      </x:c>
      <x:c r="C13" s="31" t="str"/>
      <x:c r="D13" s="31" t="str"/>
    </x:row>
    <x:row r="14" ht="38" customHeight="1">
      <x:c r="A14" s="30" t="str">
        <x:v>BOUNDARY</x:v>
      </x:c>
      <x:c r="B14" s="31" t="str">
        <x:v>This evaluator makes no LLM or API calls and never repairs a generated shape.</x:v>
      </x:c>
      <x:c r="C14" s="31" t="str"/>
      <x:c r="D14" s="31" t="str"/>
    </x:row>
    <x:row r="15" ht="38" customHeight="1">
      <x:c r="A15" s="30" t="str">
        <x:v>REPRODUCIBILITY</x:v>
      </x:c>
      <x:c r="B15" s="31" t="str">
        <x:v>The manifest links every RDF variant to the exact frozen generated SHACL file.</x:v>
      </x:c>
      <x:c r="C15" s="31" t="str"/>
      <x:c r="D15" s="31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Bulk RDF Evaluation Tracker</x:v>
      </x:c>
      <x:c r="B1" s="19"/>
    </x:row>
    <x:row r="2">
      <x:c r="A2" s="20" t="str">
        <x:v>README | Evaluation: BATCH01-R7-MIGRATION-CLEAN-SHAPES</x:v>
      </x:c>
      <x:c r="B2" s="20"/>
    </x:row>
    <x:row r="3">
      <x:c r="A3" s="21"/>
      <x:c r="B3" s="21"/>
    </x:row>
    <x:row r="4" ht="30" customHeight="1">
      <x:c r="A4" s="44" t="str">
        <x:v>SECTION</x:v>
      </x:c>
      <x:c r="B4" s="45" t="str">
        <x:v>DETAIL</x:v>
      </x:c>
    </x:row>
    <x:row r="5">
      <x:c r="A5" s="46" t="str">
        <x:v>PURPOSE</x:v>
      </x:c>
      <x:c r="B5" s="47" t="str">
        <x:v>Separate bulk RDF/ship-graph execution of frozen SHACL shapes.</x:v>
      </x:c>
    </x:row>
    <x:row r="6">
      <x:c r="A6" s="48" t="str">
        <x:v>BOUNDARY</x:v>
      </x:c>
      <x:c r="B6" s="49" t="str">
        <x:v>This evaluator never calls an LLM and is not part of the generation repair loop.</x:v>
      </x:c>
    </x:row>
    <x:row r="7">
      <x:c r="A7" s="48" t="str">
        <x:v>VOCABULARY_LOCK</x:v>
      </x:c>
      <x:c r="B7" s="49" t="str">
        <x:v>VOCAB-DEV-2026-08-13-BATCH01-R7</x:v>
      </x:c>
    </x:row>
    <x:row r="8">
      <x:c r="A8" s="48" t="str">
        <x:v>ONTOLOGY_SHA256</x:v>
      </x:c>
      <x:c r="B8" s="49" t="str">
        <x:v>7ebbc5163af2a7f5de592e1be02185f024d0a2f5c1dee1e4685ccc917153f466</x:v>
      </x:c>
    </x:row>
    <x:row r="9">
      <x:c r="A9" s="48" t="str">
        <x:v>MANIFEST</x:v>
      </x:c>
      <x:c r="B9" s="49" t="str">
        <x:v>/Users/sadisfaction570/Desktop/Journal 1/NLTL_v2/MVP/INPUTS/DEVELOPMENT_CALIBRATION/BATCH_01_FIRST_50/r7_migration_evaluation_manifest.json</x:v>
      </x:c>
    </x:row>
    <x:row r="10">
      <x:c r="A10" s="50" t="str">
        <x:v>MANIFEST_SHA256</x:v>
      </x:c>
      <x:c r="B10" s="51" t="str">
        <x:v>24d6e5333006493ce878182a3a4482b6d1b10a8844669dbbfbfd8eab2efdee82</x:v>
      </x:c>
    </x:row>
  </x:sheetData>
  <x:pageMargins left="0.7" right="0.7" top="0.75" bottom="0.75" header="0.3" footer="0.3"/>
  <x:tableParts count="1">
    <x:tablePart xmlns:r="http://schemas.openxmlformats.org/officeDocument/2006/relationships" r:id="R93a011a08a1a4e1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2" hidden="0" customWidth="1"/>
    <x:col min="3" max="3" width="12" hidden="0" customWidth="1"/>
    <x:col min="4" max="4" width="24" hidden="0" customWidth="1"/>
    <x:col min="5" max="5" width="17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19" hidden="0" customWidth="1"/>
    <x:col min="11" max="11" width="19" hidden="0" customWidth="1"/>
    <x:col min="12" max="12" width="14" hidden="0" customWidth="1"/>
    <x:col min="13" max="13" width="17" hidden="0" customWidth="1"/>
    <x:col min="14" max="14" width="16" hidden="0" customWidth="1"/>
    <x:col min="15" max="15" width="16" hidden="0" customWidth="1"/>
    <x:col min="16" max="16" width="12" hidden="0" customWidth="1"/>
    <x:col min="17" max="17" width="20" hidden="0" customWidth="1"/>
    <x:col min="18" max="18" width="24" hidden="0" customWidth="1"/>
  </x:cols>
  <x:sheetData>
    <x:row r="1">
      <x:c r="A1" s="18" t="str">
        <x:v>NLTL Bulk RDF Evaluation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</x:row>
    <x:row r="2">
      <x:c r="A2" s="20" t="str">
        <x:v>EVALUATION_RESULTS | Evaluation: BATCH01-R7-MIGRATION-CLEAN-SHAPES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</x:row>
    <x:row r="4" ht="30" customHeight="1">
      <x:c r="A4" s="44" t="str">
        <x:v>EVALUATION_ID</x:v>
      </x:c>
      <x:c r="B4" s="61" t="str">
        <x:v>CASE_ID</x:v>
      </x:c>
      <x:c r="C4" s="61" t="str">
        <x:v>VARIANT_ID</x:v>
      </x:c>
      <x:c r="D4" s="61" t="str">
        <x:v>CASE_LEVEL</x:v>
      </x:c>
      <x:c r="E4" s="61" t="str">
        <x:v>REQUIREMENT_IDS</x:v>
      </x:c>
      <x:c r="F4" s="61" t="str">
        <x:v>SHAPE_FILE</x:v>
      </x:c>
      <x:c r="G4" s="61" t="str">
        <x:v>DATA_FILE</x:v>
      </x:c>
      <x:c r="H4" s="61" t="str">
        <x:v>SHAPE_SHA256</x:v>
      </x:c>
      <x:c r="I4" s="61" t="str">
        <x:v>DATA_SHA256</x:v>
      </x:c>
      <x:c r="J4" s="61" t="str">
        <x:v>FILE_INTEGRITY_OK</x:v>
      </x:c>
      <x:c r="K4" s="61" t="str">
        <x:v>EXPECTED_CONFORMS</x:v>
      </x:c>
      <x:c r="L4" s="61" t="str">
        <x:v>EXECUTION_OK</x:v>
      </x:c>
      <x:c r="M4" s="61" t="str">
        <x:v>ACTUAL_CONFORMS</x:v>
      </x:c>
      <x:c r="N4" s="61" t="str">
        <x:v>EXPECTED_MATCH</x:v>
      </x:c>
      <x:c r="O4" s="61" t="str">
        <x:v>REPORT_TRIPLES</x:v>
      </x:c>
      <x:c r="P4" s="61" t="str">
        <x:v>ELAPSED_MS</x:v>
      </x:c>
      <x:c r="Q4" s="61" t="str">
        <x:v>ERROR</x:v>
      </x:c>
      <x:c r="R4" s="45" t="str">
        <x:v>REPORT_SUMMARY</x:v>
      </x:c>
    </x:row>
    <x:row r="5">
      <x:c r="A5" s="46" t="str">
        <x:v>BATCH01-R7-MIGRATION-CLEAN-SHAPES</x:v>
      </x:c>
      <x:c r="B5" s="46" t="str">
        <x:v>B01-TRF-007-PASS</x:v>
      </x:c>
      <x:c r="C5" s="46" t="str">
        <x:v>PASS</x:v>
      </x:c>
      <x:c r="D5" s="46" t="str">
        <x:v>r5-r6-shape-r7-fixture-migration-diagnostic</x:v>
      </x:c>
      <x:c r="E5" s="46" t="str">
        <x:v>TRF-007</x:v>
      </x:c>
      <x:c r="F5" s="46" t="str">
        <x:v>/Users/sadisfaction570/Desktop/Journal 1/NLTL_v2/MVP/SHACL_GENERATION_PIPELINE/outputs/development_batch01/runs/RUN-TRF-007-20260812T192923087002Z/final/final_shape.ttl</x:v>
      </x:c>
      <x:c r="G5" s="46" t="str">
        <x:v>/Users/sadisfaction570/Desktop/Journal 1/NLTL_v2/MVP/INPUTS/DEVELOPMENT_CALIBRATION/BATCH_01_FIRST_50/rdf_fixtures/TRF-007/trf-007_01_pass.ttl</x:v>
      </x:c>
      <x:c r="H5" s="46" t="str">
        <x:v>afe5e696bbc37b3bfeebc47e93d63c785a93a23aaa46e9468aa73987cc47f14e</x:v>
      </x:c>
      <x:c r="I5" s="46" t="str">
        <x:v>1eaa142a1ed3b5f70394cad933a3a4d4f5d4f69a04ca50277dc2a39c33484189</x:v>
      </x:c>
      <x:c r="J5" s="46" t="str">
        <x:v>TRUE</x:v>
      </x:c>
      <x:c r="K5" s="62" t="str">
        <x:v>TRUE</x:v>
      </x:c>
      <x:c r="L5" s="46" t="str">
        <x:v>TRUE</x:v>
      </x:c>
      <x:c r="M5" s="62" t="str">
        <x:v>TRUE</x:v>
      </x:c>
      <x:c r="N5" s="46" t="str">
        <x:v>TRUE</x:v>
      </x:c>
      <x:c r="O5" s="63" t="n">
        <x:v>2</x:v>
      </x:c>
      <x:c r="P5" s="62" t="n">
        <x:v>349.825</x:v>
      </x:c>
      <x:c r="Q5" s="47" t="str"/>
      <x:c r="R5" s="46" t="str">
        <x:v>Conforms: true</x:v>
      </x:c>
    </x:row>
    <x:row r="6">
      <x:c r="A6" s="48" t="str">
        <x:v>BATCH01-R7-MIGRATION-CLEAN-SHAPES</x:v>
      </x:c>
      <x:c r="B6" s="48" t="str">
        <x:v>B01-TRF-007-FAIL</x:v>
      </x:c>
      <x:c r="C6" s="48" t="str">
        <x:v>FAIL</x:v>
      </x:c>
      <x:c r="D6" s="48" t="str">
        <x:v>r5-r6-shape-r7-fixture-migration-diagnostic</x:v>
      </x:c>
      <x:c r="E6" s="48" t="str">
        <x:v>TRF-007</x:v>
      </x:c>
      <x:c r="F6" s="48" t="str">
        <x:v>/Users/sadisfaction570/Desktop/Journal 1/NLTL_v2/MVP/SHACL_GENERATION_PIPELINE/outputs/development_batch01/runs/RUN-TRF-007-20260812T192923087002Z/final/final_shape.ttl</x:v>
      </x:c>
      <x:c r="G6" s="48" t="str">
        <x:v>/Users/sadisfaction570/Desktop/Journal 1/NLTL_v2/MVP/INPUTS/DEVELOPMENT_CALIBRATION/BATCH_01_FIRST_50/rdf_fixtures/TRF-007/trf-007_02_fail.ttl</x:v>
      </x:c>
      <x:c r="H6" s="48" t="str">
        <x:v>afe5e696bbc37b3bfeebc47e93d63c785a93a23aaa46e9468aa73987cc47f14e</x:v>
      </x:c>
      <x:c r="I6" s="48" t="str">
        <x:v>8f6ddb9fc911375960c619225c4f9f039bea66e1730092f7b4589d4905231c54</x:v>
      </x:c>
      <x:c r="J6" s="48" t="str">
        <x:v>TRUE</x:v>
      </x:c>
      <x:c r="K6" s="64" t="str">
        <x:v>FALSE</x:v>
      </x:c>
      <x:c r="L6" s="48" t="str">
        <x:v>TRUE</x:v>
      </x:c>
      <x:c r="M6" s="64" t="str">
        <x:v>FALSE</x:v>
      </x:c>
      <x:c r="N6" s="48" t="str">
        <x:v>TRUE</x:v>
      </x:c>
      <x:c r="O6" s="65" t="n">
        <x:v>14</x:v>
      </x:c>
      <x:c r="P6" s="64" t="n">
        <x:v>357.391</x:v>
      </x:c>
      <x:c r="Q6" s="49" t="str"/>
      <x:c r="R6" s="48" t="str">
        <x:v>Conforms: false | After the applicable deadline, the ship must use the 2017 section 3.2.2 or section 3.2.4 engine-output compliance method.</x:v>
      </x:c>
    </x:row>
    <x:row r="7">
      <x:c r="A7" s="48" t="str">
        <x:v>BATCH01-R7-MIGRATION-CLEAN-SHAPES</x:v>
      </x:c>
      <x:c r="B7" s="48" t="str">
        <x:v>B01-TRF-007-BOUNDARY</x:v>
      </x:c>
      <x:c r="C7" s="48" t="str">
        <x:v>BOUNDARY</x:v>
      </x:c>
      <x:c r="D7" s="48" t="str">
        <x:v>r5-r6-shape-r7-fixture-migration-diagnostic</x:v>
      </x:c>
      <x:c r="E7" s="48" t="str">
        <x:v>TRF-007</x:v>
      </x:c>
      <x:c r="F7" s="48" t="str">
        <x:v>/Users/sadisfaction570/Desktop/Journal 1/NLTL_v2/MVP/SHACL_GENERATION_PIPELINE/outputs/development_batch01/runs/RUN-TRF-007-20260812T192923087002Z/final/final_shape.ttl</x:v>
      </x:c>
      <x:c r="G7" s="48" t="str">
        <x:v>/Users/sadisfaction570/Desktop/Journal 1/NLTL_v2/MVP/INPUTS/DEVELOPMENT_CALIBRATION/BATCH_01_FIRST_50/rdf_fixtures/TRF-007/trf-007_03_boundary.ttl</x:v>
      </x:c>
      <x:c r="H7" s="48" t="str">
        <x:v>afe5e696bbc37b3bfeebc47e93d63c785a93a23aaa46e9468aa73987cc47f14e</x:v>
      </x:c>
      <x:c r="I7" s="48" t="str">
        <x:v>3a613fe7fef58e67f713ee8ce7e2666eb2824c32bf39f32792f9241d0c14557c</x:v>
      </x:c>
      <x:c r="J7" s="48" t="str">
        <x:v>TRUE</x:v>
      </x:c>
      <x:c r="K7" s="64" t="str">
        <x:v>TRUE</x:v>
      </x:c>
      <x:c r="L7" s="48" t="str">
        <x:v>TRUE</x:v>
      </x:c>
      <x:c r="M7" s="64" t="str">
        <x:v>TRUE</x:v>
      </x:c>
      <x:c r="N7" s="48" t="str">
        <x:v>TRUE</x:v>
      </x:c>
      <x:c r="O7" s="65" t="n">
        <x:v>2</x:v>
      </x:c>
      <x:c r="P7" s="64" t="n">
        <x:v>340.968</x:v>
      </x:c>
      <x:c r="Q7" s="49" t="str"/>
      <x:c r="R7" s="48" t="str">
        <x:v>Conforms: true</x:v>
      </x:c>
    </x:row>
    <x:row r="8">
      <x:c r="A8" s="48" t="str">
        <x:v>BATCH01-R7-MIGRATION-CLEAN-SHAPES</x:v>
      </x:c>
      <x:c r="B8" s="48" t="str">
        <x:v>B01-TRF-009-PASS</x:v>
      </x:c>
      <x:c r="C8" s="48" t="str">
        <x:v>PASS</x:v>
      </x:c>
      <x:c r="D8" s="48" t="str">
        <x:v>r5-r6-shape-r7-fixture-migration-diagnostic</x:v>
      </x:c>
      <x:c r="E8" s="48" t="str">
        <x:v>TRF-009</x:v>
      </x:c>
      <x:c r="F8" s="48" t="str">
        <x:v>/Users/sadisfaction570/Desktop/Journal 1/NLTL_v2/MVP/SHACL_GENERATION_PIPELINE/outputs/development_batch01/runs/RUN-TRF-009-20260812T193033292257Z/final/final_shape.ttl</x:v>
      </x:c>
      <x:c r="G8" s="48" t="str">
        <x:v>/Users/sadisfaction570/Desktop/Journal 1/NLTL_v2/MVP/INPUTS/DEVELOPMENT_CALIBRATION/BATCH_01_FIRST_50/rdf_fixtures/TRF-009/trf-009_01_pass.ttl</x:v>
      </x:c>
      <x:c r="H8" s="48" t="str">
        <x:v>bd1af633df594f9c711de06dba22b3a8b2f4c54099efe09c39021b8b4eaeb1e9</x:v>
      </x:c>
      <x:c r="I8" s="48" t="str">
        <x:v>30194060bca8153a105a1de8122cb8dc25dbde2d9737a5f4614b7f59ecf296d6</x:v>
      </x:c>
      <x:c r="J8" s="48" t="str">
        <x:v>TRUE</x:v>
      </x:c>
      <x:c r="K8" s="64" t="str">
        <x:v>TRUE</x:v>
      </x:c>
      <x:c r="L8" s="48" t="str">
        <x:v>TRUE</x:v>
      </x:c>
      <x:c r="M8" s="64" t="str">
        <x:v>TRUE</x:v>
      </x:c>
      <x:c r="N8" s="48" t="str">
        <x:v>TRUE</x:v>
      </x:c>
      <x:c r="O8" s="65" t="n">
        <x:v>2</x:v>
      </x:c>
      <x:c r="P8" s="64" t="n">
        <x:v>364.252</x:v>
      </x:c>
      <x:c r="Q8" s="49" t="str"/>
      <x:c r="R8" s="48" t="str">
        <x:v>Conforms: true</x:v>
      </x:c>
    </x:row>
    <x:row r="9">
      <x:c r="A9" s="48" t="str">
        <x:v>BATCH01-R7-MIGRATION-CLEAN-SHAPES</x:v>
      </x:c>
      <x:c r="B9" s="48" t="str">
        <x:v>B01-TRF-009-FAIL</x:v>
      </x:c>
      <x:c r="C9" s="48" t="str">
        <x:v>FAIL</x:v>
      </x:c>
      <x:c r="D9" s="48" t="str">
        <x:v>r5-r6-shape-r7-fixture-migration-diagnostic</x:v>
      </x:c>
      <x:c r="E9" s="48" t="str">
        <x:v>TRF-009</x:v>
      </x:c>
      <x:c r="F9" s="48" t="str">
        <x:v>/Users/sadisfaction570/Desktop/Journal 1/NLTL_v2/MVP/SHACL_GENERATION_PIPELINE/outputs/development_batch01/runs/RUN-TRF-009-20260812T193033292257Z/final/final_shape.ttl</x:v>
      </x:c>
      <x:c r="G9" s="48" t="str">
        <x:v>/Users/sadisfaction570/Desktop/Journal 1/NLTL_v2/MVP/INPUTS/DEVELOPMENT_CALIBRATION/BATCH_01_FIRST_50/rdf_fixtures/TRF-009/trf-009_02_fail.ttl</x:v>
      </x:c>
      <x:c r="H9" s="48" t="str">
        <x:v>bd1af633df594f9c711de06dba22b3a8b2f4c54099efe09c39021b8b4eaeb1e9</x:v>
      </x:c>
      <x:c r="I9" s="48" t="str">
        <x:v>bdfdf096ecca3c65685b8c636fdb382387cbeea4373a6b7eed8ea976fafeab96</x:v>
      </x:c>
      <x:c r="J9" s="48" t="str">
        <x:v>TRUE</x:v>
      </x:c>
      <x:c r="K9" s="64" t="str">
        <x:v>FALSE</x:v>
      </x:c>
      <x:c r="L9" s="48" t="str">
        <x:v>TRUE</x:v>
      </x:c>
      <x:c r="M9" s="64" t="str">
        <x:v>FALSE</x:v>
      </x:c>
      <x:c r="N9" s="48" t="str">
        <x:v>TRUE</x:v>
      </x:c>
      <x:c r="O9" s="65" t="n">
        <x:v>15</x:v>
      </x:c>
      <x:c r="P9" s="64" t="n">
        <x:v>357.975</x:v>
      </x:c>
      <x:c r="Q9" s="49" t="str"/>
      <x:c r="R9" s="48" t="str">
        <x:v>Conforms: false | Applicable ships require valid delivery and assessment dates to evaluate the compliance deadline.</x:v>
      </x:c>
    </x:row>
    <x:row r="10">
      <x:c r="A10" s="48" t="str">
        <x:v>BATCH01-R7-MIGRATION-CLEAN-SHAPES</x:v>
      </x:c>
      <x:c r="B10" s="48" t="str">
        <x:v>B01-TRF-009-BOUNDARY</x:v>
      </x:c>
      <x:c r="C10" s="48" t="str">
        <x:v>BOUNDARY</x:v>
      </x:c>
      <x:c r="D10" s="48" t="str">
        <x:v>r5-r6-shape-r7-fixture-migration-diagnostic</x:v>
      </x:c>
      <x:c r="E10" s="48" t="str">
        <x:v>TRF-009</x:v>
      </x:c>
      <x:c r="F10" s="48" t="str">
        <x:v>/Users/sadisfaction570/Desktop/Journal 1/NLTL_v2/MVP/SHACL_GENERATION_PIPELINE/outputs/development_batch01/runs/RUN-TRF-009-20260812T193033292257Z/final/final_shape.ttl</x:v>
      </x:c>
      <x:c r="G10" s="48" t="str">
        <x:v>/Users/sadisfaction570/Desktop/Journal 1/NLTL_v2/MVP/INPUTS/DEVELOPMENT_CALIBRATION/BATCH_01_FIRST_50/rdf_fixtures/TRF-009/trf-009_03_boundary.ttl</x:v>
      </x:c>
      <x:c r="H10" s="48" t="str">
        <x:v>bd1af633df594f9c711de06dba22b3a8b2f4c54099efe09c39021b8b4eaeb1e9</x:v>
      </x:c>
      <x:c r="I10" s="48" t="str">
        <x:v>fabda3d543d8a08456f6c049a806d38d0d00b20beb00c6bc0386dc81aa85443f</x:v>
      </x:c>
      <x:c r="J10" s="48" t="str">
        <x:v>TRUE</x:v>
      </x:c>
      <x:c r="K10" s="64" t="str">
        <x:v>TRUE</x:v>
      </x:c>
      <x:c r="L10" s="48" t="str">
        <x:v>TRUE</x:v>
      </x:c>
      <x:c r="M10" s="64" t="str">
        <x:v>TRUE</x:v>
      </x:c>
      <x:c r="N10" s="48" t="str">
        <x:v>TRUE</x:v>
      </x:c>
      <x:c r="O10" s="65" t="n">
        <x:v>2</x:v>
      </x:c>
      <x:c r="P10" s="64" t="n">
        <x:v>361.744</x:v>
      </x:c>
      <x:c r="Q10" s="49" t="str"/>
      <x:c r="R10" s="48" t="str">
        <x:v>Conforms: true</x:v>
      </x:c>
    </x:row>
    <x:row r="11">
      <x:c r="A11" s="48" t="str">
        <x:v>BATCH01-R7-MIGRATION-CLEAN-SHAPES</x:v>
      </x:c>
      <x:c r="B11" s="48" t="str">
        <x:v>B01-TRF-012-PASS</x:v>
      </x:c>
      <x:c r="C11" s="48" t="str">
        <x:v>PASS</x:v>
      </x:c>
      <x:c r="D11" s="48" t="str">
        <x:v>r5-r6-shape-r7-fixture-migration-diagnostic</x:v>
      </x:c>
      <x:c r="E11" s="48" t="str">
        <x:v>TRF-012</x:v>
      </x:c>
      <x:c r="F11" s="48" t="str">
        <x:v>/Users/sadisfaction570/Desktop/Journal 1/NLTL_v2/MVP/SHACL_GENERATION_PIPELINE/outputs/development_batch01/runs/RUN-TRF-012-20260812T213326263009Z/final/final_shape.ttl</x:v>
      </x:c>
      <x:c r="G11" s="48" t="str">
        <x:v>/Users/sadisfaction570/Desktop/Journal 1/NLTL_v2/MVP/INPUTS/DEVELOPMENT_CALIBRATION/BATCH_01_FIRST_50/rdf_fixtures/TRF-012/trf-012_01_pass.ttl</x:v>
      </x:c>
      <x:c r="H11" s="48" t="str">
        <x:v>83a38015b6165d0579dfa54ce190ec709dc3c089c2821bf4e6b1d83df6f34bc5</x:v>
      </x:c>
      <x:c r="I11" s="48" t="str">
        <x:v>59e5f2bd2268688682ba85b0699b961c7376874f46b12724fcfd3ca6e2a0c3b4</x:v>
      </x:c>
      <x:c r="J11" s="48" t="str">
        <x:v>TRUE</x:v>
      </x:c>
      <x:c r="K11" s="64" t="str">
        <x:v>TRUE</x:v>
      </x:c>
      <x:c r="L11" s="48" t="str">
        <x:v>TRUE</x:v>
      </x:c>
      <x:c r="M11" s="64" t="str">
        <x:v>TRUE</x:v>
      </x:c>
      <x:c r="N11" s="48" t="str">
        <x:v>TRUE</x:v>
      </x:c>
      <x:c r="O11" s="65" t="n">
        <x:v>2</x:v>
      </x:c>
      <x:c r="P11" s="64" t="n">
        <x:v>407.566</x:v>
      </x:c>
      <x:c r="Q11" s="49" t="str"/>
      <x:c r="R11" s="48" t="str">
        <x:v>Conforms: true</x:v>
      </x:c>
    </x:row>
    <x:row r="12">
      <x:c r="A12" s="48" t="str">
        <x:v>BATCH01-R7-MIGRATION-CLEAN-SHAPES</x:v>
      </x:c>
      <x:c r="B12" s="48" t="str">
        <x:v>B01-TRF-012-FAIL</x:v>
      </x:c>
      <x:c r="C12" s="48" t="str">
        <x:v>FAIL</x:v>
      </x:c>
      <x:c r="D12" s="48" t="str">
        <x:v>r5-r6-shape-r7-fixture-migration-diagnostic</x:v>
      </x:c>
      <x:c r="E12" s="48" t="str">
        <x:v>TRF-012</x:v>
      </x:c>
      <x:c r="F12" s="48" t="str">
        <x:v>/Users/sadisfaction570/Desktop/Journal 1/NLTL_v2/MVP/SHACL_GENERATION_PIPELINE/outputs/development_batch01/runs/RUN-TRF-012-20260812T213326263009Z/final/final_shape.ttl</x:v>
      </x:c>
      <x:c r="G12" s="48" t="str">
        <x:v>/Users/sadisfaction570/Desktop/Journal 1/NLTL_v2/MVP/INPUTS/DEVELOPMENT_CALIBRATION/BATCH_01_FIRST_50/rdf_fixtures/TRF-012/trf-012_02_fail.ttl</x:v>
      </x:c>
      <x:c r="H12" s="48" t="str">
        <x:v>83a38015b6165d0579dfa54ce190ec709dc3c089c2821bf4e6b1d83df6f34bc5</x:v>
      </x:c>
      <x:c r="I12" s="48" t="str">
        <x:v>75aeaf606dfe772d873094e90ec191730a6de3c5674a5bf3394b0339f6e8c758</x:v>
      </x:c>
      <x:c r="J12" s="48" t="str">
        <x:v>TRUE</x:v>
      </x:c>
      <x:c r="K12" s="64" t="str">
        <x:v>FALSE</x:v>
      </x:c>
      <x:c r="L12" s="48" t="str">
        <x:v>TRUE</x:v>
      </x:c>
      <x:c r="M12" s="64" t="str">
        <x:v>FALSE</x:v>
      </x:c>
      <x:c r="N12" s="48" t="str">
        <x:v>TRUE</x:v>
      </x:c>
      <x:c r="O12" s="65" t="n">
        <x:v>14</x:v>
      </x:c>
      <x:c r="P12" s="64" t="n">
        <x:v>384.903</x:v>
      </x:c>
      <x:c r="Q12" s="49" t="str"/>
      <x:c r="R12" s="48" t="str">
        <x:v>Conforms: false | The lower ice waterline must contain exactly the minimum intended vertical envelope and no non-envelope profile points.</x:v>
      </x:c>
    </x:row>
    <x:row r="13">
      <x:c r="A13" s="48" t="str">
        <x:v>BATCH01-R7-MIGRATION-CLEAN-SHAPES</x:v>
      </x:c>
      <x:c r="B13" s="48" t="str">
        <x:v>B01-TRF-012-BOUNDARY</x:v>
      </x:c>
      <x:c r="C13" s="48" t="str">
        <x:v>BOUNDARY</x:v>
      </x:c>
      <x:c r="D13" s="48" t="str">
        <x:v>r5-r6-shape-r7-fixture-migration-diagnostic</x:v>
      </x:c>
      <x:c r="E13" s="48" t="str">
        <x:v>TRF-012</x:v>
      </x:c>
      <x:c r="F13" s="48" t="str">
        <x:v>/Users/sadisfaction570/Desktop/Journal 1/NLTL_v2/MVP/SHACL_GENERATION_PIPELINE/outputs/development_batch01/runs/RUN-TRF-012-20260812T213326263009Z/final/final_shape.ttl</x:v>
      </x:c>
      <x:c r="G13" s="48" t="str">
        <x:v>/Users/sadisfaction570/Desktop/Journal 1/NLTL_v2/MVP/INPUTS/DEVELOPMENT_CALIBRATION/BATCH_01_FIRST_50/rdf_fixtures/TRF-012/trf-012_03_boundary.ttl</x:v>
      </x:c>
      <x:c r="H13" s="48" t="str">
        <x:v>83a38015b6165d0579dfa54ce190ec709dc3c089c2821bf4e6b1d83df6f34bc5</x:v>
      </x:c>
      <x:c r="I13" s="48" t="str">
        <x:v>0282845d30058df89f497659cb2e24ad37a23196d60ca4c809f58afe880bd017</x:v>
      </x:c>
      <x:c r="J13" s="48" t="str">
        <x:v>TRUE</x:v>
      </x:c>
      <x:c r="K13" s="64" t="str">
        <x:v>TRUE</x:v>
      </x:c>
      <x:c r="L13" s="48" t="str">
        <x:v>TRUE</x:v>
      </x:c>
      <x:c r="M13" s="64" t="str">
        <x:v>TRUE</x:v>
      </x:c>
      <x:c r="N13" s="48" t="str">
        <x:v>TRUE</x:v>
      </x:c>
      <x:c r="O13" s="65" t="n">
        <x:v>2</x:v>
      </x:c>
      <x:c r="P13" s="64" t="n">
        <x:v>385.613</x:v>
      </x:c>
      <x:c r="Q13" s="49" t="str"/>
      <x:c r="R13" s="48" t="str">
        <x:v>Conforms: true</x:v>
      </x:c>
    </x:row>
    <x:row r="14">
      <x:c r="A14" s="48" t="str">
        <x:v>BATCH01-R7-MIGRATION-CLEAN-SHAPES</x:v>
      </x:c>
      <x:c r="B14" s="48" t="str">
        <x:v>B01-TRF-013-PASS</x:v>
      </x:c>
      <x:c r="C14" s="48" t="str">
        <x:v>PASS</x:v>
      </x:c>
      <x:c r="D14" s="48" t="str">
        <x:v>r5-r6-shape-r7-fixture-migration-diagnostic</x:v>
      </x:c>
      <x:c r="E14" s="48" t="str">
        <x:v>TRF-013</x:v>
      </x:c>
      <x:c r="F14" s="48" t="str">
        <x:v>/Users/sadisfaction570/Desktop/Journal 1/NLTL_v2/MVP/SHACL_GENERATION_PIPELINE/outputs/development_batch01/runs/RUN-TRF-013-20260812T193935953658Z/final/final_shape.ttl</x:v>
      </x:c>
      <x:c r="G14" s="48" t="str">
        <x:v>/Users/sadisfaction570/Desktop/Journal 1/NLTL_v2/MVP/INPUTS/DEVELOPMENT_CALIBRATION/BATCH_01_FIRST_50/rdf_fixtures/TRF-013/trf-013_01_pass.ttl</x:v>
      </x:c>
      <x:c r="H14" s="48" t="str">
        <x:v>14bd5041c9f2a4b6e9205ab6f3cb0133999da72fe3564b85ca0353346bd38d16</x:v>
      </x:c>
      <x:c r="I14" s="48" t="str">
        <x:v>d8b1148df6f677abecb8bacac32c43b350f01730c5e385d052e0bd7b16287bc4</x:v>
      </x:c>
      <x:c r="J14" s="48" t="str">
        <x:v>TRUE</x:v>
      </x:c>
      <x:c r="K14" s="64" t="str">
        <x:v>TRUE</x:v>
      </x:c>
      <x:c r="L14" s="48" t="str">
        <x:v>TRUE</x:v>
      </x:c>
      <x:c r="M14" s="64" t="str">
        <x:v>TRUE</x:v>
      </x:c>
      <x:c r="N14" s="48" t="str">
        <x:v>TRUE</x:v>
      </x:c>
      <x:c r="O14" s="65" t="n">
        <x:v>2</x:v>
      </x:c>
      <x:c r="P14" s="64" t="n">
        <x:v>392.324</x:v>
      </x:c>
      <x:c r="Q14" s="49" t="str"/>
      <x:c r="R14" s="48" t="str">
        <x:v>Conforms: true</x:v>
      </x:c>
    </x:row>
    <x:row r="15">
      <x:c r="A15" s="48" t="str">
        <x:v>BATCH01-R7-MIGRATION-CLEAN-SHAPES</x:v>
      </x:c>
      <x:c r="B15" s="48" t="str">
        <x:v>B01-TRF-013-FAIL</x:v>
      </x:c>
      <x:c r="C15" s="48" t="str">
        <x:v>FAIL</x:v>
      </x:c>
      <x:c r="D15" s="48" t="str">
        <x:v>r5-r6-shape-r7-fixture-migration-diagnostic</x:v>
      </x:c>
      <x:c r="E15" s="48" t="str">
        <x:v>TRF-013</x:v>
      </x:c>
      <x:c r="F15" s="48" t="str">
        <x:v>/Users/sadisfaction570/Desktop/Journal 1/NLTL_v2/MVP/SHACL_GENERATION_PIPELINE/outputs/development_batch01/runs/RUN-TRF-013-20260812T193935953658Z/final/final_shape.ttl</x:v>
      </x:c>
      <x:c r="G15" s="48" t="str">
        <x:v>/Users/sadisfaction570/Desktop/Journal 1/NLTL_v2/MVP/INPUTS/DEVELOPMENT_CALIBRATION/BATCH_01_FIRST_50/rdf_fixtures/TRF-013/trf-013_02_fail.ttl</x:v>
      </x:c>
      <x:c r="H15" s="48" t="str">
        <x:v>14bd5041c9f2a4b6e9205ab6f3cb0133999da72fe3564b85ca0353346bd38d16</x:v>
      </x:c>
      <x:c r="I15" s="48" t="str">
        <x:v>f07081a620730906656cc33ce1e203888238427eabba00dce67d4eaf9e0e7690</x:v>
      </x:c>
      <x:c r="J15" s="48" t="str">
        <x:v>TRUE</x:v>
      </x:c>
      <x:c r="K15" s="64" t="str">
        <x:v>FALSE</x:v>
      </x:c>
      <x:c r="L15" s="48" t="str">
        <x:v>TRUE</x:v>
      </x:c>
      <x:c r="M15" s="64" t="str">
        <x:v>FALSE</x:v>
      </x:c>
      <x:c r="N15" s="48" t="str">
        <x:v>TRUE</x:v>
      </x:c>
      <x:c r="O15" s="65" t="n">
        <x:v>10</x:v>
      </x:c>
      <x:c r="P15" s="64" t="n">
        <x:v>390.854</x:v>
      </x:c>
      <x:c r="Q15" s="49" t="str"/>
      <x:c r="R15" s="48" t="str">
        <x:v>Conforms: false | Node &lt;urn:nltl:batch01-fixture:TRF-013:fail:ship&gt; must conform to one or more shapes in [ sh:property [ sh:in ( nltl:iceClassIi nltl:iceClassIii ) ; sh:path nltl:iceClass ] ] , [ sh:property [ sh:in ( nltl:iceClassIaSuper nltl:iceClassIa nltl:iceClassIb nltl:iceClassIc ) ; sh:path nltl:iceClass ], [ sh:maxCount Literal("1", datatype=xsd:integer) ; sh:minCount Literal("1", datatype=xsd:integer) ; sh:node gen:IceWaterlineDraughtShape ; sh:path nltl:hasLowerIceWaterline ], [ sh:maxCount Literal("1", datatype=xsd:integer) ; sh:minCount Literal("1", datatype=xsd:integer) ; sh:node gen:IceWaterlineDraughtShape ; sh:path nltl:hasUpperIceWaterline ], [ sh:maxCount Literal("1", datatype=xsd:integer) ; sh:minCount Literal("1", datatype=xsd:integer) ; sh:node gen:LengthQuantityValueShape ; sh:path nltl:operatingAftDraught ], [ sh:maxCount Literal("1", datatype=xsd:integer) ; sh:minCount Literal("1", datatype=xsd:integer) ; sh:node gen:LengthQuantityValueShape ; sh:path nltl:operatingForeDraught ] ; sh:sparql [ rdf:type sh:SPARQLConstraint ; sh:message Literal("The operating fore and aft draughts must be between the corresponding lower and upper ice-waterline draughts.") ; sh:select Literal("</x:v>
      </x:c>
    </x:row>
    <x:row r="16">
      <x:c r="A16" s="48" t="str">
        <x:v>BATCH01-R7-MIGRATION-CLEAN-SHAPES</x:v>
      </x:c>
      <x:c r="B16" s="48" t="str">
        <x:v>B01-TRF-013-BOUNDARY</x:v>
      </x:c>
      <x:c r="C16" s="48" t="str">
        <x:v>BOUNDARY</x:v>
      </x:c>
      <x:c r="D16" s="48" t="str">
        <x:v>r5-r6-shape-r7-fixture-migration-diagnostic</x:v>
      </x:c>
      <x:c r="E16" s="48" t="str">
        <x:v>TRF-013</x:v>
      </x:c>
      <x:c r="F16" s="48" t="str">
        <x:v>/Users/sadisfaction570/Desktop/Journal 1/NLTL_v2/MVP/SHACL_GENERATION_PIPELINE/outputs/development_batch01/runs/RUN-TRF-013-20260812T193935953658Z/final/final_shape.ttl</x:v>
      </x:c>
      <x:c r="G16" s="48" t="str">
        <x:v>/Users/sadisfaction570/Desktop/Journal 1/NLTL_v2/MVP/INPUTS/DEVELOPMENT_CALIBRATION/BATCH_01_FIRST_50/rdf_fixtures/TRF-013/trf-013_03_boundary.ttl</x:v>
      </x:c>
      <x:c r="H16" s="48" t="str">
        <x:v>14bd5041c9f2a4b6e9205ab6f3cb0133999da72fe3564b85ca0353346bd38d16</x:v>
      </x:c>
      <x:c r="I16" s="48" t="str">
        <x:v>19fcefb2b14f67a248b20c5c0c9c6ec7ad47fb17a566cf887f543a3a61406ac6</x:v>
      </x:c>
      <x:c r="J16" s="48" t="str">
        <x:v>TRUE</x:v>
      </x:c>
      <x:c r="K16" s="64" t="str">
        <x:v>TRUE</x:v>
      </x:c>
      <x:c r="L16" s="48" t="str">
        <x:v>TRUE</x:v>
      </x:c>
      <x:c r="M16" s="64" t="str">
        <x:v>TRUE</x:v>
      </x:c>
      <x:c r="N16" s="48" t="str">
        <x:v>TRUE</x:v>
      </x:c>
      <x:c r="O16" s="65" t="n">
        <x:v>2</x:v>
      </x:c>
      <x:c r="P16" s="64" t="n">
        <x:v>397.454</x:v>
      </x:c>
      <x:c r="Q16" s="49" t="str"/>
      <x:c r="R16" s="48" t="str">
        <x:v>Conforms: true</x:v>
      </x:c>
    </x:row>
    <x:row r="17">
      <x:c r="A17" s="48" t="str">
        <x:v>BATCH01-R7-MIGRATION-CLEAN-SHAPES</x:v>
      </x:c>
      <x:c r="B17" s="48" t="str">
        <x:v>B01-TRF-015-PASS</x:v>
      </x:c>
      <x:c r="C17" s="48" t="str">
        <x:v>PASS</x:v>
      </x:c>
      <x:c r="D17" s="48" t="str">
        <x:v>r5-r6-shape-r7-fixture-migration-diagnostic</x:v>
      </x:c>
      <x:c r="E17" s="48" t="str">
        <x:v>TRF-015</x:v>
      </x:c>
      <x:c r="F17" s="48" t="str">
        <x:v>/Users/sadisfaction570/Desktop/Journal 1/NLTL_v2/MVP/SHACL_GENERATION_PIPELINE/outputs/development_batch01/runs/RUN-TRF-015-20260812T214231852616Z/final/final_shape.ttl</x:v>
      </x:c>
      <x:c r="G17" s="48" t="str">
        <x:v>/Users/sadisfaction570/Desktop/Journal 1/NLTL_v2/MVP/INPUTS/DEVELOPMENT_CALIBRATION/BATCH_01_FIRST_50/rdf_fixtures/TRF-015/trf-015_01_pass.ttl</x:v>
      </x:c>
      <x:c r="H17" s="48" t="str">
        <x:v>b8d143cc5ee3c2874be92e409f5cf403be98096a33e33ec903b80d81a5969be9</x:v>
      </x:c>
      <x:c r="I17" s="48" t="str">
        <x:v>a9f519dbf5bf6177951bffc2759b2776ae6abdeea6b5458fc27ced40c6f0747a</x:v>
      </x:c>
      <x:c r="J17" s="48" t="str">
        <x:v>TRUE</x:v>
      </x:c>
      <x:c r="K17" s="64" t="str">
        <x:v>TRUE</x:v>
      </x:c>
      <x:c r="L17" s="48" t="str">
        <x:v>TRUE</x:v>
      </x:c>
      <x:c r="M17" s="64" t="str">
        <x:v>TRUE</x:v>
      </x:c>
      <x:c r="N17" s="48" t="str">
        <x:v>TRUE</x:v>
      </x:c>
      <x:c r="O17" s="65" t="n">
        <x:v>2</x:v>
      </x:c>
      <x:c r="P17" s="64" t="n">
        <x:v>413.066</x:v>
      </x:c>
      <x:c r="Q17" s="49" t="str"/>
      <x:c r="R17" s="48" t="str">
        <x:v>Conforms: true</x:v>
      </x:c>
    </x:row>
    <x:row r="18">
      <x:c r="A18" s="48" t="str">
        <x:v>BATCH01-R7-MIGRATION-CLEAN-SHAPES</x:v>
      </x:c>
      <x:c r="B18" s="48" t="str">
        <x:v>B01-TRF-015-FAIL</x:v>
      </x:c>
      <x:c r="C18" s="48" t="str">
        <x:v>FAIL</x:v>
      </x:c>
      <x:c r="D18" s="48" t="str">
        <x:v>r5-r6-shape-r7-fixture-migration-diagnostic</x:v>
      </x:c>
      <x:c r="E18" s="48" t="str">
        <x:v>TRF-015</x:v>
      </x:c>
      <x:c r="F18" s="48" t="str">
        <x:v>/Users/sadisfaction570/Desktop/Journal 1/NLTL_v2/MVP/SHACL_GENERATION_PIPELINE/outputs/development_batch01/runs/RUN-TRF-015-20260812T214231852616Z/final/final_shape.ttl</x:v>
      </x:c>
      <x:c r="G18" s="48" t="str">
        <x:v>/Users/sadisfaction570/Desktop/Journal 1/NLTL_v2/MVP/INPUTS/DEVELOPMENT_CALIBRATION/BATCH_01_FIRST_50/rdf_fixtures/TRF-015/trf-015_02_fail.ttl</x:v>
      </x:c>
      <x:c r="H18" s="48" t="str">
        <x:v>b8d143cc5ee3c2874be92e409f5cf403be98096a33e33ec903b80d81a5969be9</x:v>
      </x:c>
      <x:c r="I18" s="48" t="str">
        <x:v>cb31de3188d73104ae103f8a3ab1c1133c9e9b48cb53a94bed0510acfc5a83b5</x:v>
      </x:c>
      <x:c r="J18" s="48" t="str">
        <x:v>TRUE</x:v>
      </x:c>
      <x:c r="K18" s="64" t="str">
        <x:v>FALSE</x:v>
      </x:c>
      <x:c r="L18" s="48" t="str">
        <x:v>TRUE</x:v>
      </x:c>
      <x:c r="M18" s="64" t="str">
        <x:v>FALSE</x:v>
      </x:c>
      <x:c r="N18" s="48" t="str">
        <x:v>TRUE</x:v>
      </x:c>
      <x:c r="O18" s="65" t="n">
        <x:v>10</x:v>
      </x:c>
      <x:c r="P18" s="64" t="n">
        <x:v>372.867</x:v>
      </x:c>
      <x:c r="Q18" s="49" t="str"/>
      <x:c r="R18" s="48" t="str">
        <x:v>Conforms: false | Node &lt;urn:nltl:batch01-fixture:TRF-015:fail:ship&gt; must conform to one or more shapes in [ sh:property [ sh:hasValue Literal("false" = False, datatype=xsd:boolean) ; sh:path nltl:navigatingInIce ] ] , [ sh:property [ sh:hasValue Literal("true" = True, datatype=xsd:boolean) ; sh:path nltl:navigatingInIce ], [ sh:message Literal("Intended-route sea-water salinity in grams per kilogram is required when navigating in ice.") ; sh:minCount Literal("1", datatype=xsd:integer) ; sh:node gs:SalinityQuantityShape ; sh:path nltl:intendedRouteSeaWaterSalinity ], [ sh:message Literal("Loading-calculation sea-water salinity in grams per kilogram is required when navigating in ice.") ; sh:minCount Literal("1", datatype=xsd:integer) ; sh:node gs:SalinityQuantityShape ; sh:path nltl:loadingCalculationSeaWaterSalinity ], [ sh:message Literal("Maximum permitted ice trim in metres is required when navigating in ice.") ; sh:minCount Literal("1", datatype=xsd:integer) ; sh:node gs:MetreQuantityShape ; sh:path nltl:maximumPermittedIceTrim ], [ sh:message Literal("Operating draught in metres is required when navigating in ice.") ; sh:minCount Literal("1", datatype=xsd:integer) ; sh:node gs:MetreQuantityShape ; sh:path nltl:operatingDraught ], [ sh:message Literal("Operating trim in metres is required when navigating in ice.") ; sh:minCount Literal("1", datatype=xsd:integer) ; sh:node gs:MetreQuantityShape ; sh:path nltl:operatingTrim ], [ sh:message Literal("Upper ice waterline draught in metres is required when navigating in ice.") ; sh:minCount Literal("1", datatype=xsd:integer) ; sh:node gs:MetreQuantityShape ; sh:path nltl:upperIceWaterlineDraught ] ; sh:sparql [ rdf:type sh:SPARQLConstraint ; sh:message Literal("When navigating in ice, operating draught and trim must not exceed their permitted limits, and the loading calculation must use the intended-route sea-water salinity.") ; sh:select Literal("</x:v>
      </x:c>
    </x:row>
    <x:row r="19">
      <x:c r="A19" s="48" t="str">
        <x:v>BATCH01-R7-MIGRATION-CLEAN-SHAPES</x:v>
      </x:c>
      <x:c r="B19" s="48" t="str">
        <x:v>B01-TRF-015-BOUNDARY</x:v>
      </x:c>
      <x:c r="C19" s="48" t="str">
        <x:v>BOUNDARY</x:v>
      </x:c>
      <x:c r="D19" s="48" t="str">
        <x:v>r5-r6-shape-r7-fixture-migration-diagnostic</x:v>
      </x:c>
      <x:c r="E19" s="48" t="str">
        <x:v>TRF-015</x:v>
      </x:c>
      <x:c r="F19" s="48" t="str">
        <x:v>/Users/sadisfaction570/Desktop/Journal 1/NLTL_v2/MVP/SHACL_GENERATION_PIPELINE/outputs/development_batch01/runs/RUN-TRF-015-20260812T214231852616Z/final/final_shape.ttl</x:v>
      </x:c>
      <x:c r="G19" s="48" t="str">
        <x:v>/Users/sadisfaction570/Desktop/Journal 1/NLTL_v2/MVP/INPUTS/DEVELOPMENT_CALIBRATION/BATCH_01_FIRST_50/rdf_fixtures/TRF-015/trf-015_03_boundary.ttl</x:v>
      </x:c>
      <x:c r="H19" s="48" t="str">
        <x:v>b8d143cc5ee3c2874be92e409f5cf403be98096a33e33ec903b80d81a5969be9</x:v>
      </x:c>
      <x:c r="I19" s="48" t="str">
        <x:v>15643e43e237e89447f3ed73fc13f3f85f2a897c51127c866f121654d2b9e871</x:v>
      </x:c>
      <x:c r="J19" s="48" t="str">
        <x:v>TRUE</x:v>
      </x:c>
      <x:c r="K19" s="64" t="str">
        <x:v>TRUE</x:v>
      </x:c>
      <x:c r="L19" s="48" t="str">
        <x:v>TRUE</x:v>
      </x:c>
      <x:c r="M19" s="64" t="str">
        <x:v>TRUE</x:v>
      </x:c>
      <x:c r="N19" s="48" t="str">
        <x:v>TRUE</x:v>
      </x:c>
      <x:c r="O19" s="65" t="n">
        <x:v>2</x:v>
      </x:c>
      <x:c r="P19" s="64" t="n">
        <x:v>381.318</x:v>
      </x:c>
      <x:c r="Q19" s="49" t="str"/>
      <x:c r="R19" s="48" t="str">
        <x:v>Conforms: true</x:v>
      </x:c>
    </x:row>
    <x:row r="20">
      <x:c r="A20" s="48" t="str">
        <x:v>BATCH01-R7-MIGRATION-CLEAN-SHAPES</x:v>
      </x:c>
      <x:c r="B20" s="48" t="str">
        <x:v>B01-TRF-016-PASS</x:v>
      </x:c>
      <x:c r="C20" s="48" t="str">
        <x:v>PASS</x:v>
      </x:c>
      <x:c r="D20" s="48" t="str">
        <x:v>r5-r6-shape-r7-fixture-migration-diagnostic</x:v>
      </x:c>
      <x:c r="E20" s="48" t="str">
        <x:v>TRF-016</x:v>
      </x:c>
      <x:c r="F20" s="48" t="str">
        <x:v>/Users/sadisfaction570/Desktop/Journal 1/NLTL_v2/MVP/SHACL_GENERATION_PIPELINE/outputs/development_batch01/runs/RUN-TRF-016-20260812T194820484537Z/final/final_shape.ttl</x:v>
      </x:c>
      <x:c r="G20" s="48" t="str">
        <x:v>/Users/sadisfaction570/Desktop/Journal 1/NLTL_v2/MVP/INPUTS/DEVELOPMENT_CALIBRATION/BATCH_01_FIRST_50/rdf_fixtures/TRF-016/trf-016_01_pass.ttl</x:v>
      </x:c>
      <x:c r="H20" s="48" t="str">
        <x:v>9566e0c24bef31f19c51fe3421ef4976d4a069114f2e4d87f78877074b124689</x:v>
      </x:c>
      <x:c r="I20" s="48" t="str">
        <x:v>44cf5972e76145b4f6a519bce5c1f136be4888f5e59643f933f10c4dd6eaf4b6</x:v>
      </x:c>
      <x:c r="J20" s="48" t="str">
        <x:v>TRUE</x:v>
      </x:c>
      <x:c r="K20" s="64" t="str">
        <x:v>TRUE</x:v>
      </x:c>
      <x:c r="L20" s="48" t="str">
        <x:v>TRUE</x:v>
      </x:c>
      <x:c r="M20" s="64" t="str">
        <x:v>TRUE</x:v>
      </x:c>
      <x:c r="N20" s="48" t="str">
        <x:v>TRUE</x:v>
      </x:c>
      <x:c r="O20" s="65" t="n">
        <x:v>2</x:v>
      </x:c>
      <x:c r="P20" s="64" t="n">
        <x:v>412.795</x:v>
      </x:c>
      <x:c r="Q20" s="49" t="str"/>
      <x:c r="R20" s="48" t="str">
        <x:v>Conforms: true</x:v>
      </x:c>
    </x:row>
    <x:row r="21">
      <x:c r="A21" s="48" t="str">
        <x:v>BATCH01-R7-MIGRATION-CLEAN-SHAPES</x:v>
      </x:c>
      <x:c r="B21" s="48" t="str">
        <x:v>B01-TRF-016-FAIL</x:v>
      </x:c>
      <x:c r="C21" s="48" t="str">
        <x:v>FAIL</x:v>
      </x:c>
      <x:c r="D21" s="48" t="str">
        <x:v>r5-r6-shape-r7-fixture-migration-diagnostic</x:v>
      </x:c>
      <x:c r="E21" s="48" t="str">
        <x:v>TRF-016</x:v>
      </x:c>
      <x:c r="F21" s="48" t="str">
        <x:v>/Users/sadisfaction570/Desktop/Journal 1/NLTL_v2/MVP/SHACL_GENERATION_PIPELINE/outputs/development_batch01/runs/RUN-TRF-016-20260812T194820484537Z/final/final_shape.ttl</x:v>
      </x:c>
      <x:c r="G21" s="48" t="str">
        <x:v>/Users/sadisfaction570/Desktop/Journal 1/NLTL_v2/MVP/INPUTS/DEVELOPMENT_CALIBRATION/BATCH_01_FIRST_50/rdf_fixtures/TRF-016/trf-016_02_fail.ttl</x:v>
      </x:c>
      <x:c r="H21" s="48" t="str">
        <x:v>9566e0c24bef31f19c51fe3421ef4976d4a069114f2e4d87f78877074b124689</x:v>
      </x:c>
      <x:c r="I21" s="48" t="str">
        <x:v>13589fb43df2f18c880ba3990847885e01f003c131867fdf72ce8049ea7e3f17</x:v>
      </x:c>
      <x:c r="J21" s="48" t="str">
        <x:v>TRUE</x:v>
      </x:c>
      <x:c r="K21" s="64" t="str">
        <x:v>FALSE</x:v>
      </x:c>
      <x:c r="L21" s="48" t="str">
        <x:v>TRUE</x:v>
      </x:c>
      <x:c r="M21" s="64" t="str">
        <x:v>FALSE</x:v>
      </x:c>
      <x:c r="N21" s="48" t="str">
        <x:v>TRUE</x:v>
      </x:c>
      <x:c r="O21" s="65" t="n">
        <x:v>13</x:v>
      </x:c>
      <x:c r="P21" s="64" t="n">
        <x:v>408.617</x:v>
      </x:c>
      <x:c r="Q21" s="49" t="str"/>
      <x:c r="R21" s="48" t="str">
        <x:v>Conforms: false | A ballast tank above the LIWL and used to reach the LIWL must have freezing prevention.</x:v>
      </x:c>
    </x:row>
    <x:row r="22">
      <x:c r="A22" s="48" t="str">
        <x:v>BATCH01-R7-MIGRATION-CLEAN-SHAPES</x:v>
      </x:c>
      <x:c r="B22" s="48" t="str">
        <x:v>B01-TRF-016-BOUNDARY</x:v>
      </x:c>
      <x:c r="C22" s="48" t="str">
        <x:v>BOUNDARY</x:v>
      </x:c>
      <x:c r="D22" s="48" t="str">
        <x:v>r5-r6-shape-r7-fixture-migration-diagnostic</x:v>
      </x:c>
      <x:c r="E22" s="48" t="str">
        <x:v>TRF-016</x:v>
      </x:c>
      <x:c r="F22" s="48" t="str">
        <x:v>/Users/sadisfaction570/Desktop/Journal 1/NLTL_v2/MVP/SHACL_GENERATION_PIPELINE/outputs/development_batch01/runs/RUN-TRF-016-20260812T194820484537Z/final/final_shape.ttl</x:v>
      </x:c>
      <x:c r="G22" s="48" t="str">
        <x:v>/Users/sadisfaction570/Desktop/Journal 1/NLTL_v2/MVP/INPUTS/DEVELOPMENT_CALIBRATION/BATCH_01_FIRST_50/rdf_fixtures/TRF-016/trf-016_03_boundary.ttl</x:v>
      </x:c>
      <x:c r="H22" s="48" t="str">
        <x:v>9566e0c24bef31f19c51fe3421ef4976d4a069114f2e4d87f78877074b124689</x:v>
      </x:c>
      <x:c r="I22" s="48" t="str">
        <x:v>3b24b98131653cf973d9d2a2b8a8549b528d0d850719c77e9abb079eb4f385c9</x:v>
      </x:c>
      <x:c r="J22" s="48" t="str">
        <x:v>TRUE</x:v>
      </x:c>
      <x:c r="K22" s="64" t="str">
        <x:v>TRUE</x:v>
      </x:c>
      <x:c r="L22" s="48" t="str">
        <x:v>TRUE</x:v>
      </x:c>
      <x:c r="M22" s="64" t="str">
        <x:v>TRUE</x:v>
      </x:c>
      <x:c r="N22" s="48" t="str">
        <x:v>TRUE</x:v>
      </x:c>
      <x:c r="O22" s="65" t="n">
        <x:v>2</x:v>
      </x:c>
      <x:c r="P22" s="64" t="n">
        <x:v>415.497</x:v>
      </x:c>
      <x:c r="Q22" s="49" t="str"/>
      <x:c r="R22" s="48" t="str">
        <x:v>Conforms: true</x:v>
      </x:c>
    </x:row>
    <x:row r="23">
      <x:c r="A23" s="48" t="str">
        <x:v>BATCH01-R7-MIGRATION-CLEAN-SHAPES</x:v>
      </x:c>
      <x:c r="B23" s="48" t="str">
        <x:v>B01-TRF-024-PASS</x:v>
      </x:c>
      <x:c r="C23" s="48" t="str">
        <x:v>PASS</x:v>
      </x:c>
      <x:c r="D23" s="48" t="str">
        <x:v>r5-r6-shape-r7-fixture-migration-diagnostic</x:v>
      </x:c>
      <x:c r="E23" s="48" t="str">
        <x:v>TRF-024</x:v>
      </x:c>
      <x:c r="F23" s="48" t="str">
        <x:v>/Users/sadisfaction570/Desktop/Journal 1/NLTL_v2/MVP/SHACL_GENERATION_PIPELINE/outputs/development_batch01/runs/RUN-TRF-024-20260812T195757273238Z/final/final_shape.ttl</x:v>
      </x:c>
      <x:c r="G23" s="48" t="str">
        <x:v>/Users/sadisfaction570/Desktop/Journal 1/NLTL_v2/MVP/INPUTS/DEVELOPMENT_CALIBRATION/BATCH_01_FIRST_50/rdf_fixtures/TRF-024/trf-024_01_pass.ttl</x:v>
      </x:c>
      <x:c r="H23" s="48" t="str">
        <x:v>03721331b81ee8b11a59d823e4d910d6698fb82afee3796b9c6945f670619f40</x:v>
      </x:c>
      <x:c r="I23" s="48" t="str">
        <x:v>d4ab9b95f6541e57ddf4505ca9d7ea421b9aa93fd0ee52212bf7b8c03b92da63</x:v>
      </x:c>
      <x:c r="J23" s="48" t="str">
        <x:v>TRUE</x:v>
      </x:c>
      <x:c r="K23" s="64" t="str">
        <x:v>TRUE</x:v>
      </x:c>
      <x:c r="L23" s="48" t="str">
        <x:v>TRUE</x:v>
      </x:c>
      <x:c r="M23" s="64" t="str">
        <x:v>TRUE</x:v>
      </x:c>
      <x:c r="N23" s="48" t="str">
        <x:v>TRUE</x:v>
      </x:c>
      <x:c r="O23" s="65" t="n">
        <x:v>2</x:v>
      </x:c>
      <x:c r="P23" s="64" t="n">
        <x:v>382.399</x:v>
      </x:c>
      <x:c r="Q23" s="49" t="str"/>
      <x:c r="R23" s="48" t="str">
        <x:v>Conforms: true</x:v>
      </x:c>
    </x:row>
    <x:row r="24">
      <x:c r="A24" s="48" t="str">
        <x:v>BATCH01-R7-MIGRATION-CLEAN-SHAPES</x:v>
      </x:c>
      <x:c r="B24" s="48" t="str">
        <x:v>B01-TRF-024-FAIL</x:v>
      </x:c>
      <x:c r="C24" s="48" t="str">
        <x:v>FAIL</x:v>
      </x:c>
      <x:c r="D24" s="48" t="str">
        <x:v>r5-r6-shape-r7-fixture-migration-diagnostic</x:v>
      </x:c>
      <x:c r="E24" s="48" t="str">
        <x:v>TRF-024</x:v>
      </x:c>
      <x:c r="F24" s="48" t="str">
        <x:v>/Users/sadisfaction570/Desktop/Journal 1/NLTL_v2/MVP/SHACL_GENERATION_PIPELINE/outputs/development_batch01/runs/RUN-TRF-024-20260812T195757273238Z/final/final_shape.ttl</x:v>
      </x:c>
      <x:c r="G24" s="48" t="str">
        <x:v>/Users/sadisfaction570/Desktop/Journal 1/NLTL_v2/MVP/INPUTS/DEVELOPMENT_CALIBRATION/BATCH_01_FIRST_50/rdf_fixtures/TRF-024/trf-024_02_fail.ttl</x:v>
      </x:c>
      <x:c r="H24" s="48" t="str">
        <x:v>03721331b81ee8b11a59d823e4d910d6698fb82afee3796b9c6945f670619f40</x:v>
      </x:c>
      <x:c r="I24" s="48" t="str">
        <x:v>7d2fed32a5e9c75b2948882da10097edf56197036aa1b5f14d249b5766a2ab30</x:v>
      </x:c>
      <x:c r="J24" s="48" t="str">
        <x:v>TRUE</x:v>
      </x:c>
      <x:c r="K24" s="64" t="str">
        <x:v>FALSE</x:v>
      </x:c>
      <x:c r="L24" s="48" t="str">
        <x:v>TRUE</x:v>
      </x:c>
      <x:c r="M24" s="64" t="str">
        <x:v>FALSE</x:v>
      </x:c>
      <x:c r="N24" s="48" t="str">
        <x:v>TRUE</x:v>
      </x:c>
      <x:c r="O24" s="65" t="n">
        <x:v>14</x:v>
      </x:c>
      <x:c r="P24" s="64" t="n">
        <x:v>334.075</x:v>
      </x:c>
      <x:c r="Q24" s="49" t="str"/>
      <x:c r="R24" s="48" t="str">
        <x:v>Conforms: false | For an IA Super or IA ship whose construction stage was before 1 September 2003, delivery and assessment dates are required; from 1 January of the delivery year plus twenty years, the section 3.2.2 compliance method is required.</x:v>
      </x:c>
    </x:row>
    <x:row r="25">
      <x:c r="A25" s="48" t="str">
        <x:v>BATCH01-R7-MIGRATION-CLEAN-SHAPES</x:v>
      </x:c>
      <x:c r="B25" s="48" t="str">
        <x:v>B01-TRF-024-BOUNDARY</x:v>
      </x:c>
      <x:c r="C25" s="48" t="str">
        <x:v>BOUNDARY</x:v>
      </x:c>
      <x:c r="D25" s="48" t="str">
        <x:v>r5-r6-shape-r7-fixture-migration-diagnostic</x:v>
      </x:c>
      <x:c r="E25" s="48" t="str">
        <x:v>TRF-024</x:v>
      </x:c>
      <x:c r="F25" s="48" t="str">
        <x:v>/Users/sadisfaction570/Desktop/Journal 1/NLTL_v2/MVP/SHACL_GENERATION_PIPELINE/outputs/development_batch01/runs/RUN-TRF-024-20260812T195757273238Z/final/final_shape.ttl</x:v>
      </x:c>
      <x:c r="G25" s="48" t="str">
        <x:v>/Users/sadisfaction570/Desktop/Journal 1/NLTL_v2/MVP/INPUTS/DEVELOPMENT_CALIBRATION/BATCH_01_FIRST_50/rdf_fixtures/TRF-024/trf-024_03_boundary.ttl</x:v>
      </x:c>
      <x:c r="H25" s="48" t="str">
        <x:v>03721331b81ee8b11a59d823e4d910d6698fb82afee3796b9c6945f670619f40</x:v>
      </x:c>
      <x:c r="I25" s="48" t="str">
        <x:v>244a6a999c3f44c03c6ea34b226ebe01e9355d2d17e0b4b563548710f56b04b6</x:v>
      </x:c>
      <x:c r="J25" s="48" t="str">
        <x:v>TRUE</x:v>
      </x:c>
      <x:c r="K25" s="64" t="str">
        <x:v>TRUE</x:v>
      </x:c>
      <x:c r="L25" s="48" t="str">
        <x:v>TRUE</x:v>
      </x:c>
      <x:c r="M25" s="64" t="str">
        <x:v>TRUE</x:v>
      </x:c>
      <x:c r="N25" s="48" t="str">
        <x:v>TRUE</x:v>
      </x:c>
      <x:c r="O25" s="65" t="n">
        <x:v>2</x:v>
      </x:c>
      <x:c r="P25" s="64" t="n">
        <x:v>332.892</x:v>
      </x:c>
      <x:c r="Q25" s="49" t="str"/>
      <x:c r="R25" s="48" t="str">
        <x:v>Conforms: true</x:v>
      </x:c>
    </x:row>
    <x:row r="26">
      <x:c r="A26" s="48" t="str">
        <x:v>BATCH01-R7-MIGRATION-CLEAN-SHAPES</x:v>
      </x:c>
      <x:c r="B26" s="48" t="str">
        <x:v>B01-TRF-032-PASS</x:v>
      </x:c>
      <x:c r="C26" s="48" t="str">
        <x:v>PASS</x:v>
      </x:c>
      <x:c r="D26" s="48" t="str">
        <x:v>r5-r6-shape-r7-fixture-migration-diagnostic</x:v>
      </x:c>
      <x:c r="E26" s="48" t="str">
        <x:v>TRF-032</x:v>
      </x:c>
      <x:c r="F26" s="48" t="str">
        <x:v>/Users/sadisfaction570/Desktop/Journal 1/NLTL_v2/MVP/SHACL_GENERATION_PIPELINE/outputs/development_batch01/runs/RUN-TRF-032-20260812T201202185826Z/final/final_shape.ttl</x:v>
      </x:c>
      <x:c r="G26" s="48" t="str">
        <x:v>/Users/sadisfaction570/Desktop/Journal 1/NLTL_v2/MVP/INPUTS/DEVELOPMENT_CALIBRATION/BATCH_01_FIRST_50/rdf_fixtures/TRF-032/trf-032_01_pass.ttl</x:v>
      </x:c>
      <x:c r="H26" s="48" t="str">
        <x:v>bd73f9316dcd0974b66f7026404a25c560576e6bca06d519d9ee1005aa02df9b</x:v>
      </x:c>
      <x:c r="I26" s="48" t="str">
        <x:v>1ddd9d669c00d06d4c2d53da07719ab599524e9ced88ecf91350ab5b0e4cbd71</x:v>
      </x:c>
      <x:c r="J26" s="48" t="str">
        <x:v>TRUE</x:v>
      </x:c>
      <x:c r="K26" s="64" t="str">
        <x:v>TRUE</x:v>
      </x:c>
      <x:c r="L26" s="48" t="str">
        <x:v>TRUE</x:v>
      </x:c>
      <x:c r="M26" s="64" t="str">
        <x:v>TRUE</x:v>
      </x:c>
      <x:c r="N26" s="48" t="str">
        <x:v>TRUE</x:v>
      </x:c>
      <x:c r="O26" s="65" t="n">
        <x:v>2</x:v>
      </x:c>
      <x:c r="P26" s="64" t="n">
        <x:v>370.953</x:v>
      </x:c>
      <x:c r="Q26" s="49" t="str"/>
      <x:c r="R26" s="48" t="str">
        <x:v>Conforms: true</x:v>
      </x:c>
    </x:row>
    <x:row r="27">
      <x:c r="A27" s="48" t="str">
        <x:v>BATCH01-R7-MIGRATION-CLEAN-SHAPES</x:v>
      </x:c>
      <x:c r="B27" s="48" t="str">
        <x:v>B01-TRF-032-FAIL</x:v>
      </x:c>
      <x:c r="C27" s="48" t="str">
        <x:v>FAIL</x:v>
      </x:c>
      <x:c r="D27" s="48" t="str">
        <x:v>r5-r6-shape-r7-fixture-migration-diagnostic</x:v>
      </x:c>
      <x:c r="E27" s="48" t="str">
        <x:v>TRF-032</x:v>
      </x:c>
      <x:c r="F27" s="48" t="str">
        <x:v>/Users/sadisfaction570/Desktop/Journal 1/NLTL_v2/MVP/SHACL_GENERATION_PIPELINE/outputs/development_batch01/runs/RUN-TRF-032-20260812T201202185826Z/final/final_shape.ttl</x:v>
      </x:c>
      <x:c r="G27" s="48" t="str">
        <x:v>/Users/sadisfaction570/Desktop/Journal 1/NLTL_v2/MVP/INPUTS/DEVELOPMENT_CALIBRATION/BATCH_01_FIRST_50/rdf_fixtures/TRF-032/trf-032_02_fail.ttl</x:v>
      </x:c>
      <x:c r="H27" s="48" t="str">
        <x:v>bd73f9316dcd0974b66f7026404a25c560576e6bca06d519d9ee1005aa02df9b</x:v>
      </x:c>
      <x:c r="I27" s="48" t="str">
        <x:v>0079487ab766d4d9b3b0cdd0b6ef226c775698637daa7dde64e92d17cd05cf94</x:v>
      </x:c>
      <x:c r="J27" s="48" t="str">
        <x:v>TRUE</x:v>
      </x:c>
      <x:c r="K27" s="64" t="str">
        <x:v>FALSE</x:v>
      </x:c>
      <x:c r="L27" s="48" t="str">
        <x:v>TRUE</x:v>
      </x:c>
      <x:c r="M27" s="64" t="str">
        <x:v>FALSE</x:v>
      </x:c>
      <x:c r="N27" s="48" t="str">
        <x:v>TRUE</x:v>
      </x:c>
      <x:c r="O27" s="65" t="n">
        <x:v>14</x:v>
      </x:c>
      <x:c r="P27" s="64" t="n">
        <x:v>376.037</x:v>
      </x:c>
      <x:c r="Q27" s="49" t="str"/>
      <x:c r="R27" s="48" t="str">
        <x:v>Conforms: false | For a ship without ice strengthening, regulation and classification scantlings must be comparable; when the regulation value is lower, the selected scantling must be at least the classification value in the same unit.</x:v>
      </x:c>
    </x:row>
    <x:row r="28">
      <x:c r="A28" s="48" t="str">
        <x:v>BATCH01-R7-MIGRATION-CLEAN-SHAPES</x:v>
      </x:c>
      <x:c r="B28" s="48" t="str">
        <x:v>B01-TRF-032-BOUNDARY</x:v>
      </x:c>
      <x:c r="C28" s="48" t="str">
        <x:v>BOUNDARY</x:v>
      </x:c>
      <x:c r="D28" s="48" t="str">
        <x:v>r5-r6-shape-r7-fixture-migration-diagnostic</x:v>
      </x:c>
      <x:c r="E28" s="48" t="str">
        <x:v>TRF-032</x:v>
      </x:c>
      <x:c r="F28" s="48" t="str">
        <x:v>/Users/sadisfaction570/Desktop/Journal 1/NLTL_v2/MVP/SHACL_GENERATION_PIPELINE/outputs/development_batch01/runs/RUN-TRF-032-20260812T201202185826Z/final/final_shape.ttl</x:v>
      </x:c>
      <x:c r="G28" s="48" t="str">
        <x:v>/Users/sadisfaction570/Desktop/Journal 1/NLTL_v2/MVP/INPUTS/DEVELOPMENT_CALIBRATION/BATCH_01_FIRST_50/rdf_fixtures/TRF-032/trf-032_03_boundary.ttl</x:v>
      </x:c>
      <x:c r="H28" s="48" t="str">
        <x:v>bd73f9316dcd0974b66f7026404a25c560576e6bca06d519d9ee1005aa02df9b</x:v>
      </x:c>
      <x:c r="I28" s="48" t="str">
        <x:v>f72525feb7da7690346b5d555273252c216852c036f9c967ff6725055760df7f</x:v>
      </x:c>
      <x:c r="J28" s="48" t="str">
        <x:v>TRUE</x:v>
      </x:c>
      <x:c r="K28" s="64" t="str">
        <x:v>TRUE</x:v>
      </x:c>
      <x:c r="L28" s="48" t="str">
        <x:v>TRUE</x:v>
      </x:c>
      <x:c r="M28" s="64" t="str">
        <x:v>TRUE</x:v>
      </x:c>
      <x:c r="N28" s="48" t="str">
        <x:v>TRUE</x:v>
      </x:c>
      <x:c r="O28" s="65" t="n">
        <x:v>2</x:v>
      </x:c>
      <x:c r="P28" s="64" t="n">
        <x:v>371.073</x:v>
      </x:c>
      <x:c r="Q28" s="49" t="str"/>
      <x:c r="R28" s="48" t="str">
        <x:v>Conforms: true</x:v>
      </x:c>
    </x:row>
    <x:row r="29">
      <x:c r="A29" s="48" t="str">
        <x:v>BATCH01-R7-MIGRATION-CLEAN-SHAPES</x:v>
      </x:c>
      <x:c r="B29" s="48" t="str">
        <x:v>B01-TRF-034-PASS</x:v>
      </x:c>
      <x:c r="C29" s="48" t="str">
        <x:v>PASS</x:v>
      </x:c>
      <x:c r="D29" s="48" t="str">
        <x:v>r5-r6-shape-r7-fixture-migration-diagnostic</x:v>
      </x:c>
      <x:c r="E29" s="48" t="str">
        <x:v>TRF-034</x:v>
      </x:c>
      <x:c r="F29" s="48" t="str">
        <x:v>/Users/sadisfaction570/Desktop/Journal 1/NLTL_v2/MVP/SHACL_GENERATION_PIPELINE/outputs/development_batch01/runs/RUN-TRF-034-20260812T220456052212Z/final/final_shape.ttl</x:v>
      </x:c>
      <x:c r="G29" s="48" t="str">
        <x:v>/Users/sadisfaction570/Desktop/Journal 1/NLTL_v2/MVP/INPUTS/DEVELOPMENT_CALIBRATION/BATCH_01_FIRST_50/rdf_fixtures/TRF-034/trf-034_01_pass.ttl</x:v>
      </x:c>
      <x:c r="H29" s="48" t="str">
        <x:v>bee0978e30a1f8b854ec7daa74e7d601956c6b1e5f881ea563e8f8685ad7eef9</x:v>
      </x:c>
      <x:c r="I29" s="48" t="str">
        <x:v>906941be7c0080cb28b83456b2352be310bf9e0a8d295f91b752c30b5eb01c28</x:v>
      </x:c>
      <x:c r="J29" s="48" t="str">
        <x:v>TRUE</x:v>
      </x:c>
      <x:c r="K29" s="64" t="str">
        <x:v>TRUE</x:v>
      </x:c>
      <x:c r="L29" s="48" t="str">
        <x:v>TRUE</x:v>
      </x:c>
      <x:c r="M29" s="64" t="str">
        <x:v>TRUE</x:v>
      </x:c>
      <x:c r="N29" s="48" t="str">
        <x:v>TRUE</x:v>
      </x:c>
      <x:c r="O29" s="65" t="n">
        <x:v>2</x:v>
      </x:c>
      <x:c r="P29" s="64" t="n">
        <x:v>397.958</x:v>
      </x:c>
      <x:c r="Q29" s="49" t="str"/>
      <x:c r="R29" s="48" t="str">
        <x:v>Conforms: true</x:v>
      </x:c>
    </x:row>
    <x:row r="30">
      <x:c r="A30" s="48" t="str">
        <x:v>BATCH01-R7-MIGRATION-CLEAN-SHAPES</x:v>
      </x:c>
      <x:c r="B30" s="48" t="str">
        <x:v>B01-TRF-034-FAIL</x:v>
      </x:c>
      <x:c r="C30" s="48" t="str">
        <x:v>FAIL</x:v>
      </x:c>
      <x:c r="D30" s="48" t="str">
        <x:v>r5-r6-shape-r7-fixture-migration-diagnostic</x:v>
      </x:c>
      <x:c r="E30" s="48" t="str">
        <x:v>TRF-034</x:v>
      </x:c>
      <x:c r="F30" s="48" t="str">
        <x:v>/Users/sadisfaction570/Desktop/Journal 1/NLTL_v2/MVP/SHACL_GENERATION_PIPELINE/outputs/development_batch01/runs/RUN-TRF-034-20260812T220456052212Z/final/final_shape.ttl</x:v>
      </x:c>
      <x:c r="G30" s="48" t="str">
        <x:v>/Users/sadisfaction570/Desktop/Journal 1/NLTL_v2/MVP/INPUTS/DEVELOPMENT_CALIBRATION/BATCH_01_FIRST_50/rdf_fixtures/TRF-034/trf-034_02_fail.ttl</x:v>
      </x:c>
      <x:c r="H30" s="48" t="str">
        <x:v>bee0978e30a1f8b854ec7daa74e7d601956c6b1e5f881ea563e8f8685ad7eef9</x:v>
      </x:c>
      <x:c r="I30" s="48" t="str">
        <x:v>7330f8b2753cef0f233a1c34daf73d05a694d8e7d30bdb237d6f30a8ead9dc2d</x:v>
      </x:c>
      <x:c r="J30" s="48" t="str">
        <x:v>TRUE</x:v>
      </x:c>
      <x:c r="K30" s="64" t="str">
        <x:v>FALSE</x:v>
      </x:c>
      <x:c r="L30" s="48" t="str">
        <x:v>TRUE</x:v>
      </x:c>
      <x:c r="M30" s="64" t="str">
        <x:v>FALSE</x:v>
      </x:c>
      <x:c r="N30" s="48" t="str">
        <x:v>TRUE</x:v>
      </x:c>
      <x:c r="O30" s="65" t="n">
        <x:v>13</x:v>
      </x:c>
      <x:c r="P30" s="64" t="n">
        <x:v>356.993</x:v>
      </x:c>
      <x:c r="Q30" s="49" t="str"/>
      <x:c r="R30" s="48" t="str">
        <x:v>Conforms: false | A member not normal to the plating requires classification-society section-property calculation evidence.</x:v>
      </x:c>
    </x:row>
    <x:row r="31">
      <x:c r="A31" s="48" t="str">
        <x:v>BATCH01-R7-MIGRATION-CLEAN-SHAPES</x:v>
      </x:c>
      <x:c r="B31" s="48" t="str">
        <x:v>B01-TRF-034-BOUNDARY</x:v>
      </x:c>
      <x:c r="C31" s="48" t="str">
        <x:v>BOUNDARY</x:v>
      </x:c>
      <x:c r="D31" s="48" t="str">
        <x:v>r5-r6-shape-r7-fixture-migration-diagnostic</x:v>
      </x:c>
      <x:c r="E31" s="48" t="str">
        <x:v>TRF-034</x:v>
      </x:c>
      <x:c r="F31" s="48" t="str">
        <x:v>/Users/sadisfaction570/Desktop/Journal 1/NLTL_v2/MVP/SHACL_GENERATION_PIPELINE/outputs/development_batch01/runs/RUN-TRF-034-20260812T220456052212Z/final/final_shape.ttl</x:v>
      </x:c>
      <x:c r="G31" s="48" t="str">
        <x:v>/Users/sadisfaction570/Desktop/Journal 1/NLTL_v2/MVP/INPUTS/DEVELOPMENT_CALIBRATION/BATCH_01_FIRST_50/rdf_fixtures/TRF-034/trf-034_03_boundary.ttl</x:v>
      </x:c>
      <x:c r="H31" s="48" t="str">
        <x:v>bee0978e30a1f8b854ec7daa74e7d601956c6b1e5f881ea563e8f8685ad7eef9</x:v>
      </x:c>
      <x:c r="I31" s="48" t="str">
        <x:v>777ffd693642762004027c97e9fe41791916c74501d0e11e13454d4f3fd876bd</x:v>
      </x:c>
      <x:c r="J31" s="48" t="str">
        <x:v>TRUE</x:v>
      </x:c>
      <x:c r="K31" s="64" t="str">
        <x:v>TRUE</x:v>
      </x:c>
      <x:c r="L31" s="48" t="str">
        <x:v>TRUE</x:v>
      </x:c>
      <x:c r="M31" s="64" t="str">
        <x:v>TRUE</x:v>
      </x:c>
      <x:c r="N31" s="48" t="str">
        <x:v>TRUE</x:v>
      </x:c>
      <x:c r="O31" s="65" t="n">
        <x:v>2</x:v>
      </x:c>
      <x:c r="P31" s="64" t="n">
        <x:v>358.231</x:v>
      </x:c>
      <x:c r="Q31" s="49" t="str"/>
      <x:c r="R31" s="48" t="str">
        <x:v>Conforms: true</x:v>
      </x:c>
    </x:row>
    <x:row r="32">
      <x:c r="A32" s="48" t="str">
        <x:v>BATCH01-R7-MIGRATION-CLEAN-SHAPES</x:v>
      </x:c>
      <x:c r="B32" s="48" t="str">
        <x:v>B01-TRF-036-PASS</x:v>
      </x:c>
      <x:c r="C32" s="48" t="str">
        <x:v>PASS</x:v>
      </x:c>
      <x:c r="D32" s="48" t="str">
        <x:v>r5-r6-shape-r7-fixture-migration-diagnostic</x:v>
      </x:c>
      <x:c r="E32" s="48" t="str">
        <x:v>TRF-036</x:v>
      </x:c>
      <x:c r="F32" s="48" t="str">
        <x:v>/Users/sadisfaction570/Desktop/Journal 1/NLTL_v2/MVP/SHACL_GENERATION_PIPELINE/outputs/development_batch01/runs/RUN-TRF-036-20260812T201707816677Z/final/final_shape.ttl</x:v>
      </x:c>
      <x:c r="G32" s="48" t="str">
        <x:v>/Users/sadisfaction570/Desktop/Journal 1/NLTL_v2/MVP/INPUTS/DEVELOPMENT_CALIBRATION/BATCH_01_FIRST_50/rdf_fixtures/TRF-036/trf-036_01_pass.ttl</x:v>
      </x:c>
      <x:c r="H32" s="48" t="str">
        <x:v>34a1b1ff664b1dfcf2aafabdf522b347bbc706420307b556cf3c87a18a82bc89</x:v>
      </x:c>
      <x:c r="I32" s="48" t="str">
        <x:v>9b32e0fcddcf432d7f557fa640c25c39a49f2d6bac15ba28cbbcb291f1cff5f1</x:v>
      </x:c>
      <x:c r="J32" s="48" t="str">
        <x:v>TRUE</x:v>
      </x:c>
      <x:c r="K32" s="64" t="str">
        <x:v>TRUE</x:v>
      </x:c>
      <x:c r="L32" s="48" t="str">
        <x:v>TRUE</x:v>
      </x:c>
      <x:c r="M32" s="64" t="str">
        <x:v>TRUE</x:v>
      </x:c>
      <x:c r="N32" s="48" t="str">
        <x:v>TRUE</x:v>
      </x:c>
      <x:c r="O32" s="65" t="n">
        <x:v>2</x:v>
      </x:c>
      <x:c r="P32" s="64" t="n">
        <x:v>341.093</x:v>
      </x:c>
      <x:c r="Q32" s="49" t="str"/>
      <x:c r="R32" s="48" t="str">
        <x:v>Conforms: true</x:v>
      </x:c>
    </x:row>
    <x:row r="33">
      <x:c r="A33" s="48" t="str">
        <x:v>BATCH01-R7-MIGRATION-CLEAN-SHAPES</x:v>
      </x:c>
      <x:c r="B33" s="48" t="str">
        <x:v>B01-TRF-036-FAIL</x:v>
      </x:c>
      <x:c r="C33" s="48" t="str">
        <x:v>FAIL</x:v>
      </x:c>
      <x:c r="D33" s="48" t="str">
        <x:v>r5-r6-shape-r7-fixture-migration-diagnostic</x:v>
      </x:c>
      <x:c r="E33" s="48" t="str">
        <x:v>TRF-036</x:v>
      </x:c>
      <x:c r="F33" s="48" t="str">
        <x:v>/Users/sadisfaction570/Desktop/Journal 1/NLTL_v2/MVP/SHACL_GENERATION_PIPELINE/outputs/development_batch01/runs/RUN-TRF-036-20260812T201707816677Z/final/final_shape.ttl</x:v>
      </x:c>
      <x:c r="G33" s="48" t="str">
        <x:v>/Users/sadisfaction570/Desktop/Journal 1/NLTL_v2/MVP/INPUTS/DEVELOPMENT_CALIBRATION/BATCH_01_FIRST_50/rdf_fixtures/TRF-036/trf-036_02_fail.ttl</x:v>
      </x:c>
      <x:c r="H33" s="48" t="str">
        <x:v>34a1b1ff664b1dfcf2aafabdf522b347bbc706420307b556cf3c87a18a82bc89</x:v>
      </x:c>
      <x:c r="I33" s="48" t="str">
        <x:v>b8aeb784e6c1e010c161c5f7139a763824f6e29bfc35b941580fc7d5b33139cc</x:v>
      </x:c>
      <x:c r="J33" s="48" t="str">
        <x:v>TRUE</x:v>
      </x:c>
      <x:c r="K33" s="64" t="str">
        <x:v>FALSE</x:v>
      </x:c>
      <x:c r="L33" s="48" t="str">
        <x:v>TRUE</x:v>
      </x:c>
      <x:c r="M33" s="64" t="str">
        <x:v>FALSE</x:v>
      </x:c>
      <x:c r="N33" s="48" t="str">
        <x:v>TRUE</x:v>
      </x:c>
      <x:c r="O33" s="65" t="n">
        <x:v>13</x:v>
      </x:c>
      <x:c r="P33" s="64" t="n">
        <x:v>337.309</x:v>
      </x:c>
      <x:c r="Q33" s="49" t="str"/>
      <x:c r="R33" s="48" t="str">
        <x:v>Conforms: false | The ice-class design parameter set must provide the prescribed level ice thickness and design ice load height in metres.</x:v>
      </x:c>
    </x:row>
    <x:row r="34">
      <x:c r="A34" s="48" t="str">
        <x:v>BATCH01-R7-MIGRATION-CLEAN-SHAPES</x:v>
      </x:c>
      <x:c r="B34" s="48" t="str">
        <x:v>B01-TRF-036-BOUNDARY</x:v>
      </x:c>
      <x:c r="C34" s="48" t="str">
        <x:v>BOUNDARY</x:v>
      </x:c>
      <x:c r="D34" s="48" t="str">
        <x:v>r5-r6-shape-r7-fixture-migration-diagnostic</x:v>
      </x:c>
      <x:c r="E34" s="48" t="str">
        <x:v>TRF-036</x:v>
      </x:c>
      <x:c r="F34" s="48" t="str">
        <x:v>/Users/sadisfaction570/Desktop/Journal 1/NLTL_v2/MVP/SHACL_GENERATION_PIPELINE/outputs/development_batch01/runs/RUN-TRF-036-20260812T201707816677Z/final/final_shape.ttl</x:v>
      </x:c>
      <x:c r="G34" s="48" t="str">
        <x:v>/Users/sadisfaction570/Desktop/Journal 1/NLTL_v2/MVP/INPUTS/DEVELOPMENT_CALIBRATION/BATCH_01_FIRST_50/rdf_fixtures/TRF-036/trf-036_03_boundary.ttl</x:v>
      </x:c>
      <x:c r="H34" s="48" t="str">
        <x:v>34a1b1ff664b1dfcf2aafabdf522b347bbc706420307b556cf3c87a18a82bc89</x:v>
      </x:c>
      <x:c r="I34" s="48" t="str">
        <x:v>bc4bb0230101ebc4787cc1b1ef1a86888705365e7786ebda17fa29c3278b12ad</x:v>
      </x:c>
      <x:c r="J34" s="48" t="str">
        <x:v>TRUE</x:v>
      </x:c>
      <x:c r="K34" s="64" t="str">
        <x:v>TRUE</x:v>
      </x:c>
      <x:c r="L34" s="48" t="str">
        <x:v>TRUE</x:v>
      </x:c>
      <x:c r="M34" s="64" t="str">
        <x:v>TRUE</x:v>
      </x:c>
      <x:c r="N34" s="48" t="str">
        <x:v>TRUE</x:v>
      </x:c>
      <x:c r="O34" s="65" t="n">
        <x:v>2</x:v>
      </x:c>
      <x:c r="P34" s="64" t="n">
        <x:v>339.969</x:v>
      </x:c>
      <x:c r="Q34" s="49" t="str"/>
      <x:c r="R34" s="48" t="str">
        <x:v>Conforms: true</x:v>
      </x:c>
    </x:row>
    <x:row r="35">
      <x:c r="A35" s="48" t="str">
        <x:v>BATCH01-R7-MIGRATION-CLEAN-SHAPES</x:v>
      </x:c>
      <x:c r="B35" s="48" t="str">
        <x:v>B01-TRF-041-PASS</x:v>
      </x:c>
      <x:c r="C35" s="48" t="str">
        <x:v>PASS</x:v>
      </x:c>
      <x:c r="D35" s="48" t="str">
        <x:v>r5-r6-shape-r7-fixture-migration-diagnostic</x:v>
      </x:c>
      <x:c r="E35" s="48" t="str">
        <x:v>TRF-041</x:v>
      </x:c>
      <x:c r="F35" s="48" t="str">
        <x:v>/Users/sadisfaction570/Desktop/Journal 1/NLTL_v2/MVP/SHACL_GENERATION_PIPELINE/outputs/development_batch01/runs/RUN-TRF-041-20260812T220923782665Z/final/final_shape.ttl</x:v>
      </x:c>
      <x:c r="G35" s="48" t="str">
        <x:v>/Users/sadisfaction570/Desktop/Journal 1/NLTL_v2/MVP/INPUTS/DEVELOPMENT_CALIBRATION/BATCH_01_FIRST_50/rdf_fixtures/TRF-041/trf-041_01_pass.ttl</x:v>
      </x:c>
      <x:c r="H35" s="48" t="str">
        <x:v>e52d3d7e73d6831a2e877820ab2cf87994a007100120d4d16643f0809d111668</x:v>
      </x:c>
      <x:c r="I35" s="48" t="str">
        <x:v>b403945094bf4fb14ff68d7130e0984a2a545eb8fdc60010cb590ecb6a68f818</x:v>
      </x:c>
      <x:c r="J35" s="48" t="str">
        <x:v>TRUE</x:v>
      </x:c>
      <x:c r="K35" s="64" t="str">
        <x:v>TRUE</x:v>
      </x:c>
      <x:c r="L35" s="48" t="str">
        <x:v>TRUE</x:v>
      </x:c>
      <x:c r="M35" s="64" t="str">
        <x:v>TRUE</x:v>
      </x:c>
      <x:c r="N35" s="48" t="str">
        <x:v>TRUE</x:v>
      </x:c>
      <x:c r="O35" s="65" t="n">
        <x:v>2</x:v>
      </x:c>
      <x:c r="P35" s="64" t="n">
        <x:v>523.815</x:v>
      </x:c>
      <x:c r="Q35" s="49" t="str"/>
      <x:c r="R35" s="48" t="str">
        <x:v>Conforms: true</x:v>
      </x:c>
    </x:row>
    <x:row r="36">
      <x:c r="A36" s="48" t="str">
        <x:v>BATCH01-R7-MIGRATION-CLEAN-SHAPES</x:v>
      </x:c>
      <x:c r="B36" s="48" t="str">
        <x:v>B01-TRF-041-FAIL</x:v>
      </x:c>
      <x:c r="C36" s="48" t="str">
        <x:v>FAIL</x:v>
      </x:c>
      <x:c r="D36" s="48" t="str">
        <x:v>r5-r6-shape-r7-fixture-migration-diagnostic</x:v>
      </x:c>
      <x:c r="E36" s="48" t="str">
        <x:v>TRF-041</x:v>
      </x:c>
      <x:c r="F36" s="48" t="str">
        <x:v>/Users/sadisfaction570/Desktop/Journal 1/NLTL_v2/MVP/SHACL_GENERATION_PIPELINE/outputs/development_batch01/runs/RUN-TRF-041-20260812T220923782665Z/final/final_shape.ttl</x:v>
      </x:c>
      <x:c r="G36" s="48" t="str">
        <x:v>/Users/sadisfaction570/Desktop/Journal 1/NLTL_v2/MVP/INPUTS/DEVELOPMENT_CALIBRATION/BATCH_01_FIRST_50/rdf_fixtures/TRF-041/trf-041_02_fail.ttl</x:v>
      </x:c>
      <x:c r="H36" s="48" t="str">
        <x:v>e52d3d7e73d6831a2e877820ab2cf87994a007100120d4d16643f0809d111668</x:v>
      </x:c>
      <x:c r="I36" s="48" t="str">
        <x:v>ec7be9f25847feb273e8e978089371273eab7349ca17f7307024c5ff953a6bdc</x:v>
      </x:c>
      <x:c r="J36" s="48" t="str">
        <x:v>TRUE</x:v>
      </x:c>
      <x:c r="K36" s="64" t="str">
        <x:v>FALSE</x:v>
      </x:c>
      <x:c r="L36" s="48" t="str">
        <x:v>TRUE</x:v>
      </x:c>
      <x:c r="M36" s="64" t="str">
        <x:v>FALSE</x:v>
      </x:c>
      <x:c r="N36" s="48" t="str">
        <x:v>TRUE</x:v>
      </x:c>
      <x:c r="O36" s="65" t="n">
        <x:v>13</x:v>
      </x:c>
      <x:c r="P36" s="64" t="n">
        <x:v>487.351</x:v>
      </x:c>
      <x:c r="Q36" s="49" t="str"/>
      <x:c r="R36" s="48" t="str">
        <x:v>Conforms: false | Required shell plating thickness does not satisfy the applicable formula within relative tolerance 1e-6 and absolute fallback 1e-12, or the formula domain is invalid.</x:v>
      </x:c>
    </x:row>
    <x:row r="37">
      <x:c r="A37" s="48" t="str">
        <x:v>BATCH01-R7-MIGRATION-CLEAN-SHAPES</x:v>
      </x:c>
      <x:c r="B37" s="48" t="str">
        <x:v>B01-TRF-041-BOUNDARY</x:v>
      </x:c>
      <x:c r="C37" s="48" t="str">
        <x:v>BOUNDARY</x:v>
      </x:c>
      <x:c r="D37" s="48" t="str">
        <x:v>r5-r6-shape-r7-fixture-migration-diagnostic</x:v>
      </x:c>
      <x:c r="E37" s="48" t="str">
        <x:v>TRF-041</x:v>
      </x:c>
      <x:c r="F37" s="48" t="str">
        <x:v>/Users/sadisfaction570/Desktop/Journal 1/NLTL_v2/MVP/SHACL_GENERATION_PIPELINE/outputs/development_batch01/runs/RUN-TRF-041-20260812T220923782665Z/final/final_shape.ttl</x:v>
      </x:c>
      <x:c r="G37" s="48" t="str">
        <x:v>/Users/sadisfaction570/Desktop/Journal 1/NLTL_v2/MVP/INPUTS/DEVELOPMENT_CALIBRATION/BATCH_01_FIRST_50/rdf_fixtures/TRF-041/trf-041_03_boundary.ttl</x:v>
      </x:c>
      <x:c r="H37" s="48" t="str">
        <x:v>e52d3d7e73d6831a2e877820ab2cf87994a007100120d4d16643f0809d111668</x:v>
      </x:c>
      <x:c r="I37" s="48" t="str">
        <x:v>b4069b898c585378ac3fdfd6d2a8cb1ff816fcf3077bdbfb24a94a4d6f396c1e</x:v>
      </x:c>
      <x:c r="J37" s="48" t="str">
        <x:v>TRUE</x:v>
      </x:c>
      <x:c r="K37" s="64" t="str">
        <x:v>TRUE</x:v>
      </x:c>
      <x:c r="L37" s="48" t="str">
        <x:v>TRUE</x:v>
      </x:c>
      <x:c r="M37" s="64" t="str">
        <x:v>TRUE</x:v>
      </x:c>
      <x:c r="N37" s="48" t="str">
        <x:v>TRUE</x:v>
      </x:c>
      <x:c r="O37" s="65" t="n">
        <x:v>2</x:v>
      </x:c>
      <x:c r="P37" s="64" t="n">
        <x:v>492.362</x:v>
      </x:c>
      <x:c r="Q37" s="49" t="str"/>
      <x:c r="R37" s="48" t="str">
        <x:v>Conforms: true</x:v>
      </x:c>
    </x:row>
    <x:row r="38">
      <x:c r="A38" s="48" t="str">
        <x:v>BATCH01-R7-MIGRATION-CLEAN-SHAPES</x:v>
      </x:c>
      <x:c r="B38" s="48" t="str">
        <x:v>B01-TRF-043-PASS</x:v>
      </x:c>
      <x:c r="C38" s="48" t="str">
        <x:v>PASS</x:v>
      </x:c>
      <x:c r="D38" s="48" t="str">
        <x:v>r5-r6-shape-r7-fixture-migration-diagnostic</x:v>
      </x:c>
      <x:c r="E38" s="48" t="str">
        <x:v>TRF-043</x:v>
      </x:c>
      <x:c r="F38" s="48" t="str">
        <x:v>/Users/sadisfaction570/Desktop/Journal 1/NLTL_v2/MVP/SHACL_GENERATION_PIPELINE/outputs/development_batch01/runs/RUN-TRF-043-20260812T221750424850Z/final/final_shape.ttl</x:v>
      </x:c>
      <x:c r="G38" s="48" t="str">
        <x:v>/Users/sadisfaction570/Desktop/Journal 1/NLTL_v2/MVP/INPUTS/DEVELOPMENT_CALIBRATION/BATCH_01_FIRST_50/rdf_fixtures/TRF-043/trf-043_01_pass.ttl</x:v>
      </x:c>
      <x:c r="H38" s="48" t="str">
        <x:v>303c847ec85a2b21563f5dfbe6923614272cd9af2188789158285db2421a7818</x:v>
      </x:c>
      <x:c r="I38" s="48" t="str">
        <x:v>5a4df31449ecf584b2088ffe6fa94c6ebcd552d07a0a2345e4cb3dd59faabb00</x:v>
      </x:c>
      <x:c r="J38" s="48" t="str">
        <x:v>TRUE</x:v>
      </x:c>
      <x:c r="K38" s="64" t="str">
        <x:v>TRUE</x:v>
      </x:c>
      <x:c r="L38" s="48" t="str">
        <x:v>TRUE</x:v>
      </x:c>
      <x:c r="M38" s="64" t="str">
        <x:v>TRUE</x:v>
      </x:c>
      <x:c r="N38" s="48" t="str">
        <x:v>TRUE</x:v>
      </x:c>
      <x:c r="O38" s="65" t="n">
        <x:v>2</x:v>
      </x:c>
      <x:c r="P38" s="64" t="n">
        <x:v>584.799</x:v>
      </x:c>
      <x:c r="Q38" s="49" t="str"/>
      <x:c r="R38" s="48" t="str">
        <x:v>Conforms: true</x:v>
      </x:c>
    </x:row>
    <x:row r="39">
      <x:c r="A39" s="48" t="str">
        <x:v>BATCH01-R7-MIGRATION-CLEAN-SHAPES</x:v>
      </x:c>
      <x:c r="B39" s="48" t="str">
        <x:v>B01-TRF-043-FAIL</x:v>
      </x:c>
      <x:c r="C39" s="48" t="str">
        <x:v>FAIL</x:v>
      </x:c>
      <x:c r="D39" s="48" t="str">
        <x:v>r5-r6-shape-r7-fixture-migration-diagnostic</x:v>
      </x:c>
      <x:c r="E39" s="48" t="str">
        <x:v>TRF-043</x:v>
      </x:c>
      <x:c r="F39" s="48" t="str">
        <x:v>/Users/sadisfaction570/Desktop/Journal 1/NLTL_v2/MVP/SHACL_GENERATION_PIPELINE/outputs/development_batch01/runs/RUN-TRF-043-20260812T221750424850Z/final/final_shape.ttl</x:v>
      </x:c>
      <x:c r="G39" s="48" t="str">
        <x:v>/Users/sadisfaction570/Desktop/Journal 1/NLTL_v2/MVP/INPUTS/DEVELOPMENT_CALIBRATION/BATCH_01_FIRST_50/rdf_fixtures/TRF-043/trf-043_02_fail.ttl</x:v>
      </x:c>
      <x:c r="H39" s="48" t="str">
        <x:v>303c847ec85a2b21563f5dfbe6923614272cd9af2188789158285db2421a7818</x:v>
      </x:c>
      <x:c r="I39" s="48" t="str">
        <x:v>5396dafb8874d40b66349173d3ed1296e00d4141b36a6890d6c26957f5867d30</x:v>
      </x:c>
      <x:c r="J39" s="48" t="str">
        <x:v>TRUE</x:v>
      </x:c>
      <x:c r="K39" s="64" t="str">
        <x:v>FALSE</x:v>
      </x:c>
      <x:c r="L39" s="48" t="str">
        <x:v>TRUE</x:v>
      </x:c>
      <x:c r="M39" s="64" t="str">
        <x:v>FALSE</x:v>
      </x:c>
      <x:c r="N39" s="48" t="str">
        <x:v>TRUE</x:v>
      </x:c>
      <x:c r="O39" s="65" t="n">
        <x:v>10</x:v>
      </x:c>
      <x:c r="P39" s="64" t="n">
        <x:v>584.983</x:v>
      </x:c>
      <x:c r="Q39" s="49" t="str"/>
      <x:c r="R39" s="48" t="str">
        <x:v>Conforms: false | Node &lt;urn:nltl:batch01-fixture:TRF-043:fail:component&gt; must conform to one or more shapes in ([ sh:not gen:IceClassIaSuperCondition ] , gen:AboveAtLeast1_2MetreRequirement) and ([ sh:not gen:IceClassIaIbIcCondition ] , gen:AboveAtLeast1_0MetreRequirement) and ([ sh:not [ sh:and ( gen:IceClassIaSuperCondition gen:BowRegionCondition ) ] ] , gen:ReachesTankTopRequirement) and ([ sh:not [ sh:and ( gen:IceClassIaSuperCondition gen:MidbodyRegionCondition ) ] ] , gen:BelowAtLeast2_0MetreRequirement) and ([ sh:not [ sh:and ( gen:IceClassIaSuperCondition gen:SternRegionCondition ) ] ] , gen:BelowAtLeast1_6MetreRequirement) and ([ sh:not [ sh:and ( gen:IceClassIaIbIcCondition gen:BowRegionCondition ) ] ] , gen:BelowAtLeast1_6MetreRequirement) and ([ sh:not [ sh:and ( gen:IceClassIaIbIcCondition gen:MidbodyRegionCondition ) ] ] , gen:BelowAtLeast1_3MetreRequirement) and ([ sh:not [ sh:and ( gen:IceClassIaIbIcCondition gen:SternRegionCondition ) ] ] , gen:BelowAtLeast1_0MetreRequirement) and ([ sh:not [ sh:property [ sh:hasValue Literal("true" = True, datatype=xsd:boolean) ; sh:path nltl:upperBowIceBeltRequired ] ] ] , gen:ReachesUpperBowIceBeltTopRequirement)</x:v>
      </x:c>
    </x:row>
    <x:row r="40">
      <x:c r="A40" s="48" t="str">
        <x:v>BATCH01-R7-MIGRATION-CLEAN-SHAPES</x:v>
      </x:c>
      <x:c r="B40" s="48" t="str">
        <x:v>B01-TRF-043-BOUNDARY</x:v>
      </x:c>
      <x:c r="C40" s="48" t="str">
        <x:v>BOUNDARY</x:v>
      </x:c>
      <x:c r="D40" s="48" t="str">
        <x:v>r5-r6-shape-r7-fixture-migration-diagnostic</x:v>
      </x:c>
      <x:c r="E40" s="48" t="str">
        <x:v>TRF-043</x:v>
      </x:c>
      <x:c r="F40" s="48" t="str">
        <x:v>/Users/sadisfaction570/Desktop/Journal 1/NLTL_v2/MVP/SHACL_GENERATION_PIPELINE/outputs/development_batch01/runs/RUN-TRF-043-20260812T221750424850Z/final/final_shape.ttl</x:v>
      </x:c>
      <x:c r="G40" s="48" t="str">
        <x:v>/Users/sadisfaction570/Desktop/Journal 1/NLTL_v2/MVP/INPUTS/DEVELOPMENT_CALIBRATION/BATCH_01_FIRST_50/rdf_fixtures/TRF-043/trf-043_03_boundary.ttl</x:v>
      </x:c>
      <x:c r="H40" s="48" t="str">
        <x:v>303c847ec85a2b21563f5dfbe6923614272cd9af2188789158285db2421a7818</x:v>
      </x:c>
      <x:c r="I40" s="48" t="str">
        <x:v>8d91b8c61a5bb922e8da728b2c623c0bc2abf4520ac805b40031363820e44d1d</x:v>
      </x:c>
      <x:c r="J40" s="48" t="str">
        <x:v>TRUE</x:v>
      </x:c>
      <x:c r="K40" s="64" t="str">
        <x:v>TRUE</x:v>
      </x:c>
      <x:c r="L40" s="48" t="str">
        <x:v>TRUE</x:v>
      </x:c>
      <x:c r="M40" s="64" t="str">
        <x:v>TRUE</x:v>
      </x:c>
      <x:c r="N40" s="48" t="str">
        <x:v>TRUE</x:v>
      </x:c>
      <x:c r="O40" s="65" t="n">
        <x:v>2</x:v>
      </x:c>
      <x:c r="P40" s="64" t="n">
        <x:v>576.648</x:v>
      </x:c>
      <x:c r="Q40" s="49" t="str"/>
      <x:c r="R40" s="48" t="str">
        <x:v>Conforms: true</x:v>
      </x:c>
    </x:row>
    <x:row r="41">
      <x:c r="A41" s="48" t="str">
        <x:v>BATCH01-R7-MIGRATION-CLEAN-SHAPES</x:v>
      </x:c>
      <x:c r="B41" s="48" t="str">
        <x:v>B01-TRF-044-PASS</x:v>
      </x:c>
      <x:c r="C41" s="48" t="str">
        <x:v>PASS</x:v>
      </x:c>
      <x:c r="D41" s="48" t="str">
        <x:v>r5-r6-shape-r7-fixture-migration-diagnostic</x:v>
      </x:c>
      <x:c r="E41" s="48" t="str">
        <x:v>TRF-044</x:v>
      </x:c>
      <x:c r="F41" s="48" t="str">
        <x:v>/Users/sadisfaction570/Desktop/Journal 1/NLTL_v2/MVP/SHACL_GENERATION_PIPELINE/outputs/development_batch01/runs/RUN-TRF-044-20260812T221922490961Z/final/final_shape.ttl</x:v>
      </x:c>
      <x:c r="G41" s="48" t="str">
        <x:v>/Users/sadisfaction570/Desktop/Journal 1/NLTL_v2/MVP/INPUTS/DEVELOPMENT_CALIBRATION/BATCH_01_FIRST_50/rdf_fixtures/TRF-044/trf-044_01_pass.ttl</x:v>
      </x:c>
      <x:c r="H41" s="48" t="str">
        <x:v>6d115f3789c54e4b34490963a43abe28cd497530572c37f573bd8d4eafb4c417</x:v>
      </x:c>
      <x:c r="I41" s="48" t="str">
        <x:v>74dc7326f9b9edd0002775359afb9c7fef2b1344bf814b5fe2a9d7fd6611ebd2</x:v>
      </x:c>
      <x:c r="J41" s="48" t="str">
        <x:v>TRUE</x:v>
      </x:c>
      <x:c r="K41" s="64" t="str">
        <x:v>TRUE</x:v>
      </x:c>
      <x:c r="L41" s="48" t="str">
        <x:v>TRUE</x:v>
      </x:c>
      <x:c r="M41" s="64" t="str">
        <x:v>TRUE</x:v>
      </x:c>
      <x:c r="N41" s="48" t="str">
        <x:v>TRUE</x:v>
      </x:c>
      <x:c r="O41" s="65" t="n">
        <x:v>2</x:v>
      </x:c>
      <x:c r="P41" s="64" t="n">
        <x:v>518.366</x:v>
      </x:c>
      <x:c r="Q41" s="49" t="str"/>
      <x:c r="R41" s="48" t="str">
        <x:v>Conforms: true</x:v>
      </x:c>
    </x:row>
    <x:row r="42">
      <x:c r="A42" s="48" t="str">
        <x:v>BATCH01-R7-MIGRATION-CLEAN-SHAPES</x:v>
      </x:c>
      <x:c r="B42" s="48" t="str">
        <x:v>B01-TRF-044-FAIL</x:v>
      </x:c>
      <x:c r="C42" s="48" t="str">
        <x:v>FAIL</x:v>
      </x:c>
      <x:c r="D42" s="48" t="str">
        <x:v>r5-r6-shape-r7-fixture-migration-diagnostic</x:v>
      </x:c>
      <x:c r="E42" s="48" t="str">
        <x:v>TRF-044</x:v>
      </x:c>
      <x:c r="F42" s="48" t="str">
        <x:v>/Users/sadisfaction570/Desktop/Journal 1/NLTL_v2/MVP/SHACL_GENERATION_PIPELINE/outputs/development_batch01/runs/RUN-TRF-044-20260812T221922490961Z/final/final_shape.ttl</x:v>
      </x:c>
      <x:c r="G42" s="48" t="str">
        <x:v>/Users/sadisfaction570/Desktop/Journal 1/NLTL_v2/MVP/INPUTS/DEVELOPMENT_CALIBRATION/BATCH_01_FIRST_50/rdf_fixtures/TRF-044/trf-044_02_fail.ttl</x:v>
      </x:c>
      <x:c r="H42" s="48" t="str">
        <x:v>6d115f3789c54e4b34490963a43abe28cd497530572c37f573bd8d4eafb4c417</x:v>
      </x:c>
      <x:c r="I42" s="48" t="str">
        <x:v>4c269748035fef79d4eeb0a7c50540d2c05920c9276d34a9a941e35e6fc8c1e8</x:v>
      </x:c>
      <x:c r="J42" s="48" t="str">
        <x:v>TRUE</x:v>
      </x:c>
      <x:c r="K42" s="64" t="str">
        <x:v>FALSE</x:v>
      </x:c>
      <x:c r="L42" s="48" t="str">
        <x:v>TRUE</x:v>
      </x:c>
      <x:c r="M42" s="64" t="str">
        <x:v>FALSE</x:v>
      </x:c>
      <x:c r="N42" s="48" t="str">
        <x:v>TRUE</x:v>
      </x:c>
      <x:c r="O42" s="65" t="n">
        <x:v>13</x:v>
      </x:c>
      <x:c r="P42" s="64" t="n">
        <x:v>480.842</x:v>
      </x:c>
      <x:c r="Q42" s="49" t="str"/>
      <x:c r="R42" s="48" t="str">
        <x:v>Conforms: false | The boundary-condition factor, moment factor, shear factor, section modulus, or required shear area is inconsistent with clause 4.4.2.1.</x:v>
      </x:c>
    </x:row>
    <x:row r="43">
      <x:c r="A43" s="48" t="str">
        <x:v>BATCH01-R7-MIGRATION-CLEAN-SHAPES</x:v>
      </x:c>
      <x:c r="B43" s="48" t="str">
        <x:v>B01-TRF-044-BOUNDARY</x:v>
      </x:c>
      <x:c r="C43" s="48" t="str">
        <x:v>BOUNDARY</x:v>
      </x:c>
      <x:c r="D43" s="48" t="str">
        <x:v>r5-r6-shape-r7-fixture-migration-diagnostic</x:v>
      </x:c>
      <x:c r="E43" s="48" t="str">
        <x:v>TRF-044</x:v>
      </x:c>
      <x:c r="F43" s="48" t="str">
        <x:v>/Users/sadisfaction570/Desktop/Journal 1/NLTL_v2/MVP/SHACL_GENERATION_PIPELINE/outputs/development_batch01/runs/RUN-TRF-044-20260812T221922490961Z/final/final_shape.ttl</x:v>
      </x:c>
      <x:c r="G43" s="48" t="str">
        <x:v>/Users/sadisfaction570/Desktop/Journal 1/NLTL_v2/MVP/INPUTS/DEVELOPMENT_CALIBRATION/BATCH_01_FIRST_50/rdf_fixtures/TRF-044/trf-044_03_boundary.ttl</x:v>
      </x:c>
      <x:c r="H43" s="48" t="str">
        <x:v>6d115f3789c54e4b34490963a43abe28cd497530572c37f573bd8d4eafb4c417</x:v>
      </x:c>
      <x:c r="I43" s="48" t="str">
        <x:v>f7c6aa3ebda4ffb280dafadb60bf93717fc8c83e18d4ff7c0af8867b1b06b485</x:v>
      </x:c>
      <x:c r="J43" s="48" t="str">
        <x:v>TRUE</x:v>
      </x:c>
      <x:c r="K43" s="64" t="str">
        <x:v>TRUE</x:v>
      </x:c>
      <x:c r="L43" s="48" t="str">
        <x:v>TRUE</x:v>
      </x:c>
      <x:c r="M43" s="64" t="str">
        <x:v>TRUE</x:v>
      </x:c>
      <x:c r="N43" s="48" t="str">
        <x:v>TRUE</x:v>
      </x:c>
      <x:c r="O43" s="65" t="n">
        <x:v>2</x:v>
      </x:c>
      <x:c r="P43" s="64" t="n">
        <x:v>491.005</x:v>
      </x:c>
      <x:c r="Q43" s="49" t="str"/>
      <x:c r="R43" s="48" t="str">
        <x:v>Conforms: true</x:v>
      </x:c>
    </x:row>
    <x:row r="44">
      <x:c r="A44" s="48" t="str">
        <x:v>BATCH01-R7-MIGRATION-CLEAN-SHAPES</x:v>
      </x:c>
      <x:c r="B44" s="48" t="str">
        <x:v>B01-TRF-047-PASS</x:v>
      </x:c>
      <x:c r="C44" s="48" t="str">
        <x:v>PASS</x:v>
      </x:c>
      <x:c r="D44" s="48" t="str">
        <x:v>r5-r6-shape-r7-fixture-migration-diagnostic</x:v>
      </x:c>
      <x:c r="E44" s="48" t="str">
        <x:v>TRF-047</x:v>
      </x:c>
      <x:c r="F44" s="48" t="str">
        <x:v>/Users/sadisfaction570/Desktop/Journal 1/NLTL_v2/MVP/SHACL_GENERATION_PIPELINE/outputs/development_batch01/runs/RUN-TRF-047-20260812T222623140411Z/final/final_shape.ttl</x:v>
      </x:c>
      <x:c r="G44" s="48" t="str">
        <x:v>/Users/sadisfaction570/Desktop/Journal 1/NLTL_v2/MVP/INPUTS/DEVELOPMENT_CALIBRATION/BATCH_01_FIRST_50/rdf_fixtures/TRF-047/trf-047_01_pass.ttl</x:v>
      </x:c>
      <x:c r="H44" s="48" t="str">
        <x:v>74e9a26b6850317f136486f1608a549e961957d780dea28b3d7ec09062f9bbd3</x:v>
      </x:c>
      <x:c r="I44" s="48" t="str">
        <x:v>2a40d0367a8f91951cb45db479c6e7687fd51d76bde7f78982c73caeec827428</x:v>
      </x:c>
      <x:c r="J44" s="48" t="str">
        <x:v>TRUE</x:v>
      </x:c>
      <x:c r="K44" s="64" t="str">
        <x:v>TRUE</x:v>
      </x:c>
      <x:c r="L44" s="48" t="str">
        <x:v>TRUE</x:v>
      </x:c>
      <x:c r="M44" s="64" t="str">
        <x:v>TRUE</x:v>
      </x:c>
      <x:c r="N44" s="48" t="str">
        <x:v>TRUE</x:v>
      </x:c>
      <x:c r="O44" s="65" t="n">
        <x:v>2</x:v>
      </x:c>
      <x:c r="P44" s="64" t="n">
        <x:v>365.322</x:v>
      </x:c>
      <x:c r="Q44" s="49" t="str"/>
      <x:c r="R44" s="48" t="str">
        <x:v>Conforms: true</x:v>
      </x:c>
    </x:row>
    <x:row r="45">
      <x:c r="A45" s="48" t="str">
        <x:v>BATCH01-R7-MIGRATION-CLEAN-SHAPES</x:v>
      </x:c>
      <x:c r="B45" s="48" t="str">
        <x:v>B01-TRF-047-FAIL</x:v>
      </x:c>
      <x:c r="C45" s="48" t="str">
        <x:v>FAIL</x:v>
      </x:c>
      <x:c r="D45" s="48" t="str">
        <x:v>r5-r6-shape-r7-fixture-migration-diagnostic</x:v>
      </x:c>
      <x:c r="E45" s="48" t="str">
        <x:v>TRF-047</x:v>
      </x:c>
      <x:c r="F45" s="48" t="str">
        <x:v>/Users/sadisfaction570/Desktop/Journal 1/NLTL_v2/MVP/SHACL_GENERATION_PIPELINE/outputs/development_batch01/runs/RUN-TRF-047-20260812T222623140411Z/final/final_shape.ttl</x:v>
      </x:c>
      <x:c r="G45" s="48" t="str">
        <x:v>/Users/sadisfaction570/Desktop/Journal 1/NLTL_v2/MVP/INPUTS/DEVELOPMENT_CALIBRATION/BATCH_01_FIRST_50/rdf_fixtures/TRF-047/trf-047_02_fail.ttl</x:v>
      </x:c>
      <x:c r="H45" s="48" t="str">
        <x:v>74e9a26b6850317f136486f1608a549e961957d780dea28b3d7ec09062f9bbd3</x:v>
      </x:c>
      <x:c r="I45" s="48" t="str">
        <x:v>ff6d523901d9d4c52afc607088f66e6d31414026aac11bf824c11e52d28b9ac3</x:v>
      </x:c>
      <x:c r="J45" s="48" t="str">
        <x:v>TRUE</x:v>
      </x:c>
      <x:c r="K45" s="64" t="str">
        <x:v>FALSE</x:v>
      </x:c>
      <x:c r="L45" s="48" t="str">
        <x:v>TRUE</x:v>
      </x:c>
      <x:c r="M45" s="64" t="str">
        <x:v>FALSE</x:v>
      </x:c>
      <x:c r="N45" s="48" t="str">
        <x:v>TRUE</x:v>
      </x:c>
      <x:c r="O45" s="65" t="n">
        <x:v>23</x:v>
      </x:c>
      <x:c r="P45" s="64" t="n">
        <x:v>386.233</x:v>
      </x:c>
      <x:c r="Q45" s="49" t="str"/>
      <x:c r="R45" s="48" t="str">
        <x:v>Conforms: false | The strengthened lower end must use an approved direct attachment or, for an eligible intermediate ice frame, a compliant horizontal connection to two distinct strengthened adjacent main frames.</x:v>
      </x:c>
    </x:row>
    <x:row r="46">
      <x:c r="A46" s="48" t="str">
        <x:v>BATCH01-R7-MIGRATION-CLEAN-SHAPES</x:v>
      </x:c>
      <x:c r="B46" s="48" t="str">
        <x:v>B01-TRF-047-BOUNDARY</x:v>
      </x:c>
      <x:c r="C46" s="48" t="str">
        <x:v>BOUNDARY</x:v>
      </x:c>
      <x:c r="D46" s="48" t="str">
        <x:v>r5-r6-shape-r7-fixture-migration-diagnostic</x:v>
      </x:c>
      <x:c r="E46" s="48" t="str">
        <x:v>TRF-047</x:v>
      </x:c>
      <x:c r="F46" s="48" t="str">
        <x:v>/Users/sadisfaction570/Desktop/Journal 1/NLTL_v2/MVP/SHACL_GENERATION_PIPELINE/outputs/development_batch01/runs/RUN-TRF-047-20260812T222623140411Z/final/final_shape.ttl</x:v>
      </x:c>
      <x:c r="G46" s="48" t="str">
        <x:v>/Users/sadisfaction570/Desktop/Journal 1/NLTL_v2/MVP/INPUTS/DEVELOPMENT_CALIBRATION/BATCH_01_FIRST_50/rdf_fixtures/TRF-047/trf-047_03_boundary.ttl</x:v>
      </x:c>
      <x:c r="H46" s="48" t="str">
        <x:v>74e9a26b6850317f136486f1608a549e961957d780dea28b3d7ec09062f9bbd3</x:v>
      </x:c>
      <x:c r="I46" s="48" t="str">
        <x:v>4b68dfc4a09366a837f5f590cd5ab9adf26bb5f25b4d39d545f959f2f59ec356</x:v>
      </x:c>
      <x:c r="J46" s="48" t="str">
        <x:v>TRUE</x:v>
      </x:c>
      <x:c r="K46" s="64" t="str">
        <x:v>TRUE</x:v>
      </x:c>
      <x:c r="L46" s="48" t="str">
        <x:v>TRUE</x:v>
      </x:c>
      <x:c r="M46" s="64" t="str">
        <x:v>TRUE</x:v>
      </x:c>
      <x:c r="N46" s="48" t="str">
        <x:v>TRUE</x:v>
      </x:c>
      <x:c r="O46" s="65" t="n">
        <x:v>2</x:v>
      </x:c>
      <x:c r="P46" s="64" t="n">
        <x:v>365.284</x:v>
      </x:c>
      <x:c r="Q46" s="49" t="str"/>
      <x:c r="R46" s="48" t="str">
        <x:v>Conforms: true</x:v>
      </x:c>
    </x:row>
    <x:row r="47">
      <x:c r="A47" s="48" t="str">
        <x:v>BATCH01-R7-MIGRATION-CLEAN-SHAPES</x:v>
      </x:c>
      <x:c r="B47" s="48" t="str">
        <x:v>B01-TRF-048-PASS</x:v>
      </x:c>
      <x:c r="C47" s="48" t="str">
        <x:v>PASS</x:v>
      </x:c>
      <x:c r="D47" s="48" t="str">
        <x:v>r5-r6-shape-r7-fixture-migration-diagnostic</x:v>
      </x:c>
      <x:c r="E47" s="48" t="str">
        <x:v>TRF-048</x:v>
      </x:c>
      <x:c r="F47" s="48" t="str">
        <x:v>/Users/sadisfaction570/Desktop/Journal 1/NLTL_v2/MVP/SHACL_GENERATION_PIPELINE/outputs/development_batch01/runs/RUN-TRF-048-20260812T203937175391Z/final/final_shape.ttl</x:v>
      </x:c>
      <x:c r="G47" s="48" t="str">
        <x:v>/Users/sadisfaction570/Desktop/Journal 1/NLTL_v2/MVP/INPUTS/DEVELOPMENT_CALIBRATION/BATCH_01_FIRST_50/rdf_fixtures/TRF-048/trf-048_01_pass.ttl</x:v>
      </x:c>
      <x:c r="H47" s="48" t="str">
        <x:v>07d3ffd06032d6d1bd0ba29696e4de09abb5a628f2e8af61a7be2309d76c1839</x:v>
      </x:c>
      <x:c r="I47" s="48" t="str">
        <x:v>e808e0a6213f757580f465536fa33e8224aac3ff10aaeb78d2b3c921a940de2c</x:v>
      </x:c>
      <x:c r="J47" s="48" t="str">
        <x:v>TRUE</x:v>
      </x:c>
      <x:c r="K47" s="64" t="str">
        <x:v>TRUE</x:v>
      </x:c>
      <x:c r="L47" s="48" t="str">
        <x:v>TRUE</x:v>
      </x:c>
      <x:c r="M47" s="64" t="str">
        <x:v>TRUE</x:v>
      </x:c>
      <x:c r="N47" s="48" t="str">
        <x:v>TRUE</x:v>
      </x:c>
      <x:c r="O47" s="65" t="n">
        <x:v>2</x:v>
      </x:c>
      <x:c r="P47" s="64" t="n">
        <x:v>477.408</x:v>
      </x:c>
      <x:c r="Q47" s="49" t="str"/>
      <x:c r="R47" s="48" t="str">
        <x:v>Conforms: true</x:v>
      </x:c>
    </x:row>
    <x:row r="48">
      <x:c r="A48" s="48" t="str">
        <x:v>BATCH01-R7-MIGRATION-CLEAN-SHAPES</x:v>
      </x:c>
      <x:c r="B48" s="48" t="str">
        <x:v>B01-TRF-048-FAIL</x:v>
      </x:c>
      <x:c r="C48" s="48" t="str">
        <x:v>FAIL</x:v>
      </x:c>
      <x:c r="D48" s="48" t="str">
        <x:v>r5-r6-shape-r7-fixture-migration-diagnostic</x:v>
      </x:c>
      <x:c r="E48" s="48" t="str">
        <x:v>TRF-048</x:v>
      </x:c>
      <x:c r="F48" s="48" t="str">
        <x:v>/Users/sadisfaction570/Desktop/Journal 1/NLTL_v2/MVP/SHACL_GENERATION_PIPELINE/outputs/development_batch01/runs/RUN-TRF-048-20260812T203937175391Z/final/final_shape.ttl</x:v>
      </x:c>
      <x:c r="G48" s="48" t="str">
        <x:v>/Users/sadisfaction570/Desktop/Journal 1/NLTL_v2/MVP/INPUTS/DEVELOPMENT_CALIBRATION/BATCH_01_FIRST_50/rdf_fixtures/TRF-048/trf-048_02_fail.ttl</x:v>
      </x:c>
      <x:c r="H48" s="48" t="str">
        <x:v>07d3ffd06032d6d1bd0ba29696e4de09abb5a628f2e8af61a7be2309d76c1839</x:v>
      </x:c>
      <x:c r="I48" s="48" t="str">
        <x:v>174cbf85ffb1a6ec07eef83f5afbb58875a68421e06bc633bdbc14301ffd42a9</x:v>
      </x:c>
      <x:c r="J48" s="48" t="str">
        <x:v>TRUE</x:v>
      </x:c>
      <x:c r="K48" s="64" t="str">
        <x:v>FALSE</x:v>
      </x:c>
      <x:c r="L48" s="48" t="str">
        <x:v>TRUE</x:v>
      </x:c>
      <x:c r="M48" s="64" t="str">
        <x:v>FALSE</x:v>
      </x:c>
      <x:c r="N48" s="48" t="str">
        <x:v>TRUE</x:v>
      </x:c>
      <x:c r="O48" s="65" t="n">
        <x:v>13</x:v>
      </x:c>
      <x:c r="P48" s="64" t="n">
        <x:v>469.334</x:v>
      </x:c>
      <x:c r="Q48" s="49" t="str"/>
      <x:c r="R48" s="48" t="str">
        <x:v>Conforms: false | The frame inputs, factors, minimum section modulus, effective shear area, boundary-condition evidence, or bracket-exclusion calculation do not satisfy clause 4.4.3.</x:v>
      </x:c>
    </x:row>
    <x:row r="49">
      <x:c r="A49" s="48" t="str">
        <x:v>BATCH01-R7-MIGRATION-CLEAN-SHAPES</x:v>
      </x:c>
      <x:c r="B49" s="48" t="str">
        <x:v>B01-TRF-048-BOUNDARY</x:v>
      </x:c>
      <x:c r="C49" s="48" t="str">
        <x:v>BOUNDARY</x:v>
      </x:c>
      <x:c r="D49" s="48" t="str">
        <x:v>r5-r6-shape-r7-fixture-migration-diagnostic</x:v>
      </x:c>
      <x:c r="E49" s="48" t="str">
        <x:v>TRF-048</x:v>
      </x:c>
      <x:c r="F49" s="48" t="str">
        <x:v>/Users/sadisfaction570/Desktop/Journal 1/NLTL_v2/MVP/SHACL_GENERATION_PIPELINE/outputs/development_batch01/runs/RUN-TRF-048-20260812T203937175391Z/final/final_shape.ttl</x:v>
      </x:c>
      <x:c r="G49" s="48" t="str">
        <x:v>/Users/sadisfaction570/Desktop/Journal 1/NLTL_v2/MVP/INPUTS/DEVELOPMENT_CALIBRATION/BATCH_01_FIRST_50/rdf_fixtures/TRF-048/trf-048_03_boundary.ttl</x:v>
      </x:c>
      <x:c r="H49" s="48" t="str">
        <x:v>07d3ffd06032d6d1bd0ba29696e4de09abb5a628f2e8af61a7be2309d76c1839</x:v>
      </x:c>
      <x:c r="I49" s="48" t="str">
        <x:v>9e93e95517b2b4a6f65beba8de23532e959b3f8fba43d3102e8ce4214b8cfd2c</x:v>
      </x:c>
      <x:c r="J49" s="48" t="str">
        <x:v>TRUE</x:v>
      </x:c>
      <x:c r="K49" s="64" t="str">
        <x:v>TRUE</x:v>
      </x:c>
      <x:c r="L49" s="48" t="str">
        <x:v>TRUE</x:v>
      </x:c>
      <x:c r="M49" s="64" t="str">
        <x:v>TRUE</x:v>
      </x:c>
      <x:c r="N49" s="48" t="str">
        <x:v>TRUE</x:v>
      </x:c>
      <x:c r="O49" s="65" t="n">
        <x:v>2</x:v>
      </x:c>
      <x:c r="P49" s="64" t="n">
        <x:v>475.511</x:v>
      </x:c>
      <x:c r="Q49" s="49" t="str"/>
      <x:c r="R49" s="48" t="str">
        <x:v>Conforms: true</x:v>
      </x:c>
    </x:row>
    <x:row r="50">
      <x:c r="A50" s="48" t="str">
        <x:v>BATCH01-R7-MIGRATION-CLEAN-SHAPES</x:v>
      </x:c>
      <x:c r="B50" s="48" t="str">
        <x:v>B01-TRF-051-PASS</x:v>
      </x:c>
      <x:c r="C50" s="48" t="str">
        <x:v>PASS</x:v>
      </x:c>
      <x:c r="D50" s="48" t="str">
        <x:v>r5-r6-shape-r7-fixture-migration-diagnostic</x:v>
      </x:c>
      <x:c r="E50" s="48" t="str">
        <x:v>TRF-051</x:v>
      </x:c>
      <x:c r="F50" s="48" t="str">
        <x:v>/Users/sadisfaction570/Desktop/Journal 1/NLTL_v2/MVP/SHACL_GENERATION_PIPELINE/outputs/development_batch01/runs/RUN-TRF-051-20260812T223323169745Z/final/final_shape.ttl</x:v>
      </x:c>
      <x:c r="G50" s="48" t="str">
        <x:v>/Users/sadisfaction570/Desktop/Journal 1/NLTL_v2/MVP/INPUTS/DEVELOPMENT_CALIBRATION/BATCH_01_FIRST_50/rdf_fixtures/TRF-051/trf-051_01_pass.ttl</x:v>
      </x:c>
      <x:c r="H50" s="48" t="str">
        <x:v>b8ee66f904af82f66e1e1dba0649f0f302a1bdb4f6163bb695fe6a85ee3e55f5</x:v>
      </x:c>
      <x:c r="I50" s="48" t="str">
        <x:v>8792ff61bd86e39a1088dc411281b32bb14f4dc389941ca9e8b6ea330af4cbbc</x:v>
      </x:c>
      <x:c r="J50" s="48" t="str">
        <x:v>TRUE</x:v>
      </x:c>
      <x:c r="K50" s="64" t="str">
        <x:v>TRUE</x:v>
      </x:c>
      <x:c r="L50" s="48" t="str">
        <x:v>TRUE</x:v>
      </x:c>
      <x:c r="M50" s="64" t="str">
        <x:v>TRUE</x:v>
      </x:c>
      <x:c r="N50" s="48" t="str">
        <x:v>TRUE</x:v>
      </x:c>
      <x:c r="O50" s="65" t="n">
        <x:v>2</x:v>
      </x:c>
      <x:c r="P50" s="64" t="n">
        <x:v>503.914</x:v>
      </x:c>
      <x:c r="Q50" s="49" t="str"/>
      <x:c r="R50" s="48" t="str">
        <x:v>Conforms: true</x:v>
      </x:c>
    </x:row>
    <x:row r="51">
      <x:c r="A51" s="48" t="str">
        <x:v>BATCH01-R7-MIGRATION-CLEAN-SHAPES</x:v>
      </x:c>
      <x:c r="B51" s="48" t="str">
        <x:v>B01-TRF-051-FAIL</x:v>
      </x:c>
      <x:c r="C51" s="48" t="str">
        <x:v>FAIL</x:v>
      </x:c>
      <x:c r="D51" s="48" t="str">
        <x:v>r5-r6-shape-r7-fixture-migration-diagnostic</x:v>
      </x:c>
      <x:c r="E51" s="48" t="str">
        <x:v>TRF-051</x:v>
      </x:c>
      <x:c r="F51" s="48" t="str">
        <x:v>/Users/sadisfaction570/Desktop/Journal 1/NLTL_v2/MVP/SHACL_GENERATION_PIPELINE/outputs/development_batch01/runs/RUN-TRF-051-20260812T223323169745Z/final/final_shape.ttl</x:v>
      </x:c>
      <x:c r="G51" s="48" t="str">
        <x:v>/Users/sadisfaction570/Desktop/Journal 1/NLTL_v2/MVP/INPUTS/DEVELOPMENT_CALIBRATION/BATCH_01_FIRST_50/rdf_fixtures/TRF-051/trf-051_02_fail.ttl</x:v>
      </x:c>
      <x:c r="H51" s="48" t="str">
        <x:v>b8ee66f904af82f66e1e1dba0649f0f302a1bdb4f6163bb695fe6a85ee3e55f5</x:v>
      </x:c>
      <x:c r="I51" s="48" t="str">
        <x:v>1d1d4f517ae733ad844c7bd79520df0eaaf0ce9627b418a1be46397c2e6b8ad0</x:v>
      </x:c>
      <x:c r="J51" s="48" t="str">
        <x:v>TRUE</x:v>
      </x:c>
      <x:c r="K51" s="64" t="str">
        <x:v>FALSE</x:v>
      </x:c>
      <x:c r="L51" s="48" t="str">
        <x:v>TRUE</x:v>
      </x:c>
      <x:c r="M51" s="64" t="str">
        <x:v>FALSE</x:v>
      </x:c>
      <x:c r="N51" s="48" t="str">
        <x:v>TRUE</x:v>
      </x:c>
      <x:c r="O51" s="65" t="n">
        <x:v>13</x:v>
      </x:c>
      <x:c r="P51" s="64" t="n">
        <x:v>474.161</x:v>
      </x:c>
      <x:c r="Q51" s="49" t="str"/>
      <x:c r="R51" s="48" t="str">
        <x:v>Conforms: false | The frame web or in-lieu plate thickness is below one or more required lower bounds.</x:v>
      </x:c>
    </x:row>
    <x:row r="52">
      <x:c r="A52" s="48" t="str">
        <x:v>BATCH01-R7-MIGRATION-CLEAN-SHAPES</x:v>
      </x:c>
      <x:c r="B52" s="48" t="str">
        <x:v>B01-TRF-051-BOUNDARY</x:v>
      </x:c>
      <x:c r="C52" s="48" t="str">
        <x:v>BOUNDARY</x:v>
      </x:c>
      <x:c r="D52" s="48" t="str">
        <x:v>r5-r6-shape-r7-fixture-migration-diagnostic</x:v>
      </x:c>
      <x:c r="E52" s="48" t="str">
        <x:v>TRF-051</x:v>
      </x:c>
      <x:c r="F52" s="48" t="str">
        <x:v>/Users/sadisfaction570/Desktop/Journal 1/NLTL_v2/MVP/SHACL_GENERATION_PIPELINE/outputs/development_batch01/runs/RUN-TRF-051-20260812T223323169745Z/final/final_shape.ttl</x:v>
      </x:c>
      <x:c r="G52" s="48" t="str">
        <x:v>/Users/sadisfaction570/Desktop/Journal 1/NLTL_v2/MVP/INPUTS/DEVELOPMENT_CALIBRATION/BATCH_01_FIRST_50/rdf_fixtures/TRF-051/trf-051_03_boundary.ttl</x:v>
      </x:c>
      <x:c r="H52" s="48" t="str">
        <x:v>b8ee66f904af82f66e1e1dba0649f0f302a1bdb4f6163bb695fe6a85ee3e55f5</x:v>
      </x:c>
      <x:c r="I52" s="48" t="str">
        <x:v>dd8b879d6194d4f1cc5b2ff26f31825c4b572dc6f07f8010e65962ad6c4d742e</x:v>
      </x:c>
      <x:c r="J52" s="48" t="str">
        <x:v>TRUE</x:v>
      </x:c>
      <x:c r="K52" s="64" t="str">
        <x:v>TRUE</x:v>
      </x:c>
      <x:c r="L52" s="48" t="str">
        <x:v>TRUE</x:v>
      </x:c>
      <x:c r="M52" s="64" t="str">
        <x:v>TRUE</x:v>
      </x:c>
      <x:c r="N52" s="48" t="str">
        <x:v>TRUE</x:v>
      </x:c>
      <x:c r="O52" s="65" t="n">
        <x:v>2</x:v>
      </x:c>
      <x:c r="P52" s="64" t="n">
        <x:v>466.275</x:v>
      </x:c>
      <x:c r="Q52" s="49" t="str"/>
      <x:c r="R52" s="48" t="str">
        <x:v>Conforms: true</x:v>
      </x:c>
    </x:row>
    <x:row r="53">
      <x:c r="A53" s="48" t="str">
        <x:v>BATCH01-R7-MIGRATION-CLEAN-SHAPES</x:v>
      </x:c>
      <x:c r="B53" s="48" t="str">
        <x:v>B01-TRF-053-PASS</x:v>
      </x:c>
      <x:c r="C53" s="48" t="str">
        <x:v>PASS</x:v>
      </x:c>
      <x:c r="D53" s="48" t="str">
        <x:v>r5-r6-shape-r7-fixture-migration-diagnostic</x:v>
      </x:c>
      <x:c r="E53" s="48" t="str">
        <x:v>TRF-053</x:v>
      </x:c>
      <x:c r="F53" s="48" t="str">
        <x:v>/Users/sadisfaction570/Desktop/Journal 1/NLTL_v2/MVP/SHACL_GENERATION_PIPELINE/outputs/development_batch01/runs/RUN-TRF-053-20260812T205021199954Z/final/final_shape.ttl</x:v>
      </x:c>
      <x:c r="G53" s="48" t="str">
        <x:v>/Users/sadisfaction570/Desktop/Journal 1/NLTL_v2/MVP/INPUTS/DEVELOPMENT_CALIBRATION/BATCH_01_FIRST_50/rdf_fixtures/TRF-053/trf-053_01_pass.ttl</x:v>
      </x:c>
      <x:c r="H53" s="48" t="str">
        <x:v>22b7e80944c626df74e07e46eff7b4a50e35ce7370f54c39a7dd98fd2fe6e59d</x:v>
      </x:c>
      <x:c r="I53" s="48" t="str">
        <x:v>210206cce231faa0ccf7b7d56252febe60b69388a1460a69bb152818e5324c70</x:v>
      </x:c>
      <x:c r="J53" s="48" t="str">
        <x:v>TRUE</x:v>
      </x:c>
      <x:c r="K53" s="64" t="str">
        <x:v>TRUE</x:v>
      </x:c>
      <x:c r="L53" s="48" t="str">
        <x:v>TRUE</x:v>
      </x:c>
      <x:c r="M53" s="64" t="str">
        <x:v>TRUE</x:v>
      </x:c>
      <x:c r="N53" s="48" t="str">
        <x:v>TRUE</x:v>
      </x:c>
      <x:c r="O53" s="65" t="n">
        <x:v>2</x:v>
      </x:c>
      <x:c r="P53" s="64" t="n">
        <x:v>488.563</x:v>
      </x:c>
      <x:c r="Q53" s="49" t="str"/>
      <x:c r="R53" s="48" t="str">
        <x:v>Conforms: true</x:v>
      </x:c>
    </x:row>
    <x:row r="54">
      <x:c r="A54" s="48" t="str">
        <x:v>BATCH01-R7-MIGRATION-CLEAN-SHAPES</x:v>
      </x:c>
      <x:c r="B54" s="48" t="str">
        <x:v>B01-TRF-053-FAIL</x:v>
      </x:c>
      <x:c r="C54" s="48" t="str">
        <x:v>FAIL</x:v>
      </x:c>
      <x:c r="D54" s="48" t="str">
        <x:v>r5-r6-shape-r7-fixture-migration-diagnostic</x:v>
      </x:c>
      <x:c r="E54" s="48" t="str">
        <x:v>TRF-053</x:v>
      </x:c>
      <x:c r="F54" s="48" t="str">
        <x:v>/Users/sadisfaction570/Desktop/Journal 1/NLTL_v2/MVP/SHACL_GENERATION_PIPELINE/outputs/development_batch01/runs/RUN-TRF-053-20260812T205021199954Z/final/final_shape.ttl</x:v>
      </x:c>
      <x:c r="G54" s="48" t="str">
        <x:v>/Users/sadisfaction570/Desktop/Journal 1/NLTL_v2/MVP/INPUTS/DEVELOPMENT_CALIBRATION/BATCH_01_FIRST_50/rdf_fixtures/TRF-053/trf-053_02_fail.ttl</x:v>
      </x:c>
      <x:c r="H54" s="48" t="str">
        <x:v>22b7e80944c626df74e07e46eff7b4a50e35ce7370f54c39a7dd98fd2fe6e59d</x:v>
      </x:c>
      <x:c r="I54" s="48" t="str">
        <x:v>38d6ab12dbf5263bacc900d96cb4ae7c7ac98fde79dbc6960c84622a1e263f49</x:v>
      </x:c>
      <x:c r="J54" s="48" t="str">
        <x:v>TRUE</x:v>
      </x:c>
      <x:c r="K54" s="64" t="str">
        <x:v>FALSE</x:v>
      </x:c>
      <x:c r="L54" s="48" t="str">
        <x:v>TRUE</x:v>
      </x:c>
      <x:c r="M54" s="64" t="str">
        <x:v>FALSE</x:v>
      </x:c>
      <x:c r="N54" s="48" t="str">
        <x:v>TRUE</x:v>
      </x:c>
      <x:c r="O54" s="65" t="n">
        <x:v>10</x:v>
      </x:c>
      <x:c r="P54" s="64" t="n">
        <x:v>488.017</x:v>
      </x:c>
      <x:c r="Q54" s="49" t="str"/>
      <x:c r="R54" s="48" t="str">
        <x:v>Conforms: false | Node &lt;urn:nltl:batch01-fixture:TRF-053:fail:component&gt; must conform to one or more shapes in [ sh:property [ sh:hasValue Literal("false" = False, datatype=xsd:boolean) ; sh:path nltl:locatedWithinIceBelt ] ] , [ sh:node gen:IceStringerCalculationShape ; sh:property [ sh:hasValue Literal("true" = True, datatype=xsd:boolean) ; sh:path nltl:locatedWithinIceBelt ] ]</x:v>
      </x:c>
    </x:row>
    <x:row r="55">
      <x:c r="A55" s="48" t="str">
        <x:v>BATCH01-R7-MIGRATION-CLEAN-SHAPES</x:v>
      </x:c>
      <x:c r="B55" s="48" t="str">
        <x:v>B01-TRF-053-BOUNDARY</x:v>
      </x:c>
      <x:c r="C55" s="48" t="str">
        <x:v>BOUNDARY</x:v>
      </x:c>
      <x:c r="D55" s="48" t="str">
        <x:v>r5-r6-shape-r7-fixture-migration-diagnostic</x:v>
      </x:c>
      <x:c r="E55" s="48" t="str">
        <x:v>TRF-053</x:v>
      </x:c>
      <x:c r="F55" s="48" t="str">
        <x:v>/Users/sadisfaction570/Desktop/Journal 1/NLTL_v2/MVP/SHACL_GENERATION_PIPELINE/outputs/development_batch01/runs/RUN-TRF-053-20260812T205021199954Z/final/final_shape.ttl</x:v>
      </x:c>
      <x:c r="G55" s="48" t="str">
        <x:v>/Users/sadisfaction570/Desktop/Journal 1/NLTL_v2/MVP/INPUTS/DEVELOPMENT_CALIBRATION/BATCH_01_FIRST_50/rdf_fixtures/TRF-053/trf-053_03_boundary.ttl</x:v>
      </x:c>
      <x:c r="H55" s="48" t="str">
        <x:v>22b7e80944c626df74e07e46eff7b4a50e35ce7370f54c39a7dd98fd2fe6e59d</x:v>
      </x:c>
      <x:c r="I55" s="48" t="str">
        <x:v>fba09ee86c657a0739cff85b626253d3a172e2fcfb96c50d9cf28619e59f523e</x:v>
      </x:c>
      <x:c r="J55" s="48" t="str">
        <x:v>TRUE</x:v>
      </x:c>
      <x:c r="K55" s="64" t="str">
        <x:v>TRUE</x:v>
      </x:c>
      <x:c r="L55" s="48" t="str">
        <x:v>TRUE</x:v>
      </x:c>
      <x:c r="M55" s="64" t="str">
        <x:v>TRUE</x:v>
      </x:c>
      <x:c r="N55" s="48" t="str">
        <x:v>TRUE</x:v>
      </x:c>
      <x:c r="O55" s="65" t="n">
        <x:v>2</x:v>
      </x:c>
      <x:c r="P55" s="64" t="n">
        <x:v>527.426</x:v>
      </x:c>
      <x:c r="Q55" s="49" t="str"/>
      <x:c r="R55" s="48" t="str">
        <x:v>Conforms: true</x:v>
      </x:c>
    </x:row>
    <x:row r="56">
      <x:c r="A56" s="48" t="str">
        <x:v>BATCH01-R7-MIGRATION-CLEAN-SHAPES</x:v>
      </x:c>
      <x:c r="B56" s="48" t="str">
        <x:v>B01-TRF-054-PASS</x:v>
      </x:c>
      <x:c r="C56" s="48" t="str">
        <x:v>PASS</x:v>
      </x:c>
      <x:c r="D56" s="48" t="str">
        <x:v>r5-r6-shape-r7-fixture-migration-diagnostic</x:v>
      </x:c>
      <x:c r="E56" s="48" t="str">
        <x:v>TRF-054</x:v>
      </x:c>
      <x:c r="F56" s="48" t="str">
        <x:v>/Users/sadisfaction570/Desktop/Journal 1/NLTL_v2/MVP/SHACL_GENERATION_PIPELINE/outputs/development_batch01/runs/RUN-TRF-054-20260812T223624561285Z/final/final_shape.ttl</x:v>
      </x:c>
      <x:c r="G56" s="48" t="str">
        <x:v>/Users/sadisfaction570/Desktop/Journal 1/NLTL_v2/MVP/INPUTS/DEVELOPMENT_CALIBRATION/BATCH_01_FIRST_50/rdf_fixtures/TRF-054/trf-054_01_pass.ttl</x:v>
      </x:c>
      <x:c r="H56" s="48" t="str">
        <x:v>a30964e71134ed7ca70d7045e2fb1c3974b51249345bab1c0fe840c89ab4024c</x:v>
      </x:c>
      <x:c r="I56" s="48" t="str">
        <x:v>416578a006e67ecf56b9f76be8f81960667c49d2e192471dda06e19d86e35756</x:v>
      </x:c>
      <x:c r="J56" s="48" t="str">
        <x:v>TRUE</x:v>
      </x:c>
      <x:c r="K56" s="64" t="str">
        <x:v>TRUE</x:v>
      </x:c>
      <x:c r="L56" s="48" t="str">
        <x:v>TRUE</x:v>
      </x:c>
      <x:c r="M56" s="64" t="str">
        <x:v>TRUE</x:v>
      </x:c>
      <x:c r="N56" s="48" t="str">
        <x:v>TRUE</x:v>
      </x:c>
      <x:c r="O56" s="65" t="n">
        <x:v>2</x:v>
      </x:c>
      <x:c r="P56" s="64" t="n">
        <x:v>551.464</x:v>
      </x:c>
      <x:c r="Q56" s="49" t="str"/>
      <x:c r="R56" s="48" t="str">
        <x:v>Conforms: true</x:v>
      </x:c>
    </x:row>
    <x:row r="57">
      <x:c r="A57" s="48" t="str">
        <x:v>BATCH01-R7-MIGRATION-CLEAN-SHAPES</x:v>
      </x:c>
      <x:c r="B57" s="48" t="str">
        <x:v>B01-TRF-054-FAIL</x:v>
      </x:c>
      <x:c r="C57" s="48" t="str">
        <x:v>FAIL</x:v>
      </x:c>
      <x:c r="D57" s="48" t="str">
        <x:v>r5-r6-shape-r7-fixture-migration-diagnostic</x:v>
      </x:c>
      <x:c r="E57" s="48" t="str">
        <x:v>TRF-054</x:v>
      </x:c>
      <x:c r="F57" s="48" t="str">
        <x:v>/Users/sadisfaction570/Desktop/Journal 1/NLTL_v2/MVP/SHACL_GENERATION_PIPELINE/outputs/development_batch01/runs/RUN-TRF-054-20260812T223624561285Z/final/final_shape.ttl</x:v>
      </x:c>
      <x:c r="G57" s="48" t="str">
        <x:v>/Users/sadisfaction570/Desktop/Journal 1/NLTL_v2/MVP/INPUTS/DEVELOPMENT_CALIBRATION/BATCH_01_FIRST_50/rdf_fixtures/TRF-054/trf-054_02_fail.ttl</x:v>
      </x:c>
      <x:c r="H57" s="48" t="str">
        <x:v>a30964e71134ed7ca70d7045e2fb1c3974b51249345bab1c0fe840c89ab4024c</x:v>
      </x:c>
      <x:c r="I57" s="48" t="str">
        <x:v>22d732d6138861cc374ed49753f3d64c692fb45a5b5932761643e8c108341bcb</x:v>
      </x:c>
      <x:c r="J57" s="48" t="str">
        <x:v>TRUE</x:v>
      </x:c>
      <x:c r="K57" s="64" t="str">
        <x:v>FALSE</x:v>
      </x:c>
      <x:c r="L57" s="48" t="str">
        <x:v>TRUE</x:v>
      </x:c>
      <x:c r="M57" s="64" t="str">
        <x:v>FALSE</x:v>
      </x:c>
      <x:c r="N57" s="48" t="str">
        <x:v>TRUE</x:v>
      </x:c>
      <x:c r="O57" s="65" t="n">
        <x:v>13</x:v>
      </x:c>
      <x:c r="P57" s="64" t="n">
        <x:v>558.663</x:v>
      </x:c>
      <x:c r="Q57" s="49" t="str"/>
      <x:c r="R57" s="48" t="str">
        <x:v>Conforms: false | For an outside-belt stringer supporting ice-strengthened frames, design line load, outside-ice-belt factor, section modulus, and required shear area must satisfy clauses 4.13 and 4.14 within relative tolerance 1e-6 or absolute tolerance 1e-9.</x:v>
      </x:c>
    </x:row>
    <x:row r="58">
      <x:c r="A58" s="48" t="str">
        <x:v>BATCH01-R7-MIGRATION-CLEAN-SHAPES</x:v>
      </x:c>
      <x:c r="B58" s="48" t="str">
        <x:v>B01-TRF-054-BOUNDARY</x:v>
      </x:c>
      <x:c r="C58" s="48" t="str">
        <x:v>BOUNDARY</x:v>
      </x:c>
      <x:c r="D58" s="48" t="str">
        <x:v>r5-r6-shape-r7-fixture-migration-diagnostic</x:v>
      </x:c>
      <x:c r="E58" s="48" t="str">
        <x:v>TRF-054</x:v>
      </x:c>
      <x:c r="F58" s="48" t="str">
        <x:v>/Users/sadisfaction570/Desktop/Journal 1/NLTL_v2/MVP/SHACL_GENERATION_PIPELINE/outputs/development_batch01/runs/RUN-TRF-054-20260812T223624561285Z/final/final_shape.ttl</x:v>
      </x:c>
      <x:c r="G58" s="48" t="str">
        <x:v>/Users/sadisfaction570/Desktop/Journal 1/NLTL_v2/MVP/INPUTS/DEVELOPMENT_CALIBRATION/BATCH_01_FIRST_50/rdf_fixtures/TRF-054/trf-054_03_boundary.ttl</x:v>
      </x:c>
      <x:c r="H58" s="48" t="str">
        <x:v>a30964e71134ed7ca70d7045e2fb1c3974b51249345bab1c0fe840c89ab4024c</x:v>
      </x:c>
      <x:c r="I58" s="48" t="str">
        <x:v>f5232b03552145f6ccfc688a7b08ec1eafa4fcdc91d2457095dfdae903d0d7ba</x:v>
      </x:c>
      <x:c r="J58" s="48" t="str">
        <x:v>TRUE</x:v>
      </x:c>
      <x:c r="K58" s="64" t="str">
        <x:v>TRUE</x:v>
      </x:c>
      <x:c r="L58" s="48" t="str">
        <x:v>TRUE</x:v>
      </x:c>
      <x:c r="M58" s="64" t="str">
        <x:v>TRUE</x:v>
      </x:c>
      <x:c r="N58" s="48" t="str">
        <x:v>TRUE</x:v>
      </x:c>
      <x:c r="O58" s="65" t="n">
        <x:v>2</x:v>
      </x:c>
      <x:c r="P58" s="64" t="n">
        <x:v>557.86</x:v>
      </x:c>
      <x:c r="Q58" s="49" t="str"/>
      <x:c r="R58" s="48" t="str">
        <x:v>Conforms: true</x:v>
      </x:c>
    </x:row>
    <x:row r="59">
      <x:c r="A59" s="48" t="str">
        <x:v>BATCH01-R7-MIGRATION-CLEAN-SHAPES</x:v>
      </x:c>
      <x:c r="B59" s="48" t="str">
        <x:v>B01-TRF-055-PASS</x:v>
      </x:c>
      <x:c r="C59" s="48" t="str">
        <x:v>PASS</x:v>
      </x:c>
      <x:c r="D59" s="48" t="str">
        <x:v>r5-r6-shape-r7-fixture-migration-diagnostic</x:v>
      </x:c>
      <x:c r="E59" s="48" t="str">
        <x:v>TRF-055</x:v>
      </x:c>
      <x:c r="F59" s="48" t="str">
        <x:v>/Users/sadisfaction570/Desktop/Journal 1/NLTL_v2/MVP/SHACL_GENERATION_PIPELINE/outputs/development_batch01/runs/RUN-TRF-055-20260812T223758367888Z/final/final_shape.ttl</x:v>
      </x:c>
      <x:c r="G59" s="48" t="str">
        <x:v>/Users/sadisfaction570/Desktop/Journal 1/NLTL_v2/MVP/INPUTS/DEVELOPMENT_CALIBRATION/BATCH_01_FIRST_50/rdf_fixtures/TRF-055/trf-055_01_pass.ttl</x:v>
      </x:c>
      <x:c r="H59" s="48" t="str">
        <x:v>1822e30e59a28b863061752235c08cfab0aa11ad693106522b72c111c2fd4e19</x:v>
      </x:c>
      <x:c r="I59" s="48" t="str">
        <x:v>dbbe8a2982861c8a36016c4d62c917cf0fb66dde044cb6dd073d7ad1d2b4ba07</x:v>
      </x:c>
      <x:c r="J59" s="48" t="str">
        <x:v>TRUE</x:v>
      </x:c>
      <x:c r="K59" s="64" t="str">
        <x:v>TRUE</x:v>
      </x:c>
      <x:c r="L59" s="48" t="str">
        <x:v>TRUE</x:v>
      </x:c>
      <x:c r="M59" s="64" t="str">
        <x:v>TRUE</x:v>
      </x:c>
      <x:c r="N59" s="48" t="str">
        <x:v>TRUE</x:v>
      </x:c>
      <x:c r="O59" s="65" t="n">
        <x:v>2</x:v>
      </x:c>
      <x:c r="P59" s="64" t="n">
        <x:v>388.61</x:v>
      </x:c>
      <x:c r="Q59" s="49" t="str"/>
      <x:c r="R59" s="48" t="str">
        <x:v>Conforms: true</x:v>
      </x:c>
    </x:row>
    <x:row r="60">
      <x:c r="A60" s="48" t="str">
        <x:v>BATCH01-R7-MIGRATION-CLEAN-SHAPES</x:v>
      </x:c>
      <x:c r="B60" s="48" t="str">
        <x:v>B01-TRF-055-FAIL</x:v>
      </x:c>
      <x:c r="C60" s="48" t="str">
        <x:v>FAIL</x:v>
      </x:c>
      <x:c r="D60" s="48" t="str">
        <x:v>r5-r6-shape-r7-fixture-migration-diagnostic</x:v>
      </x:c>
      <x:c r="E60" s="48" t="str">
        <x:v>TRF-055</x:v>
      </x:c>
      <x:c r="F60" s="48" t="str">
        <x:v>/Users/sadisfaction570/Desktop/Journal 1/NLTL_v2/MVP/SHACL_GENERATION_PIPELINE/outputs/development_batch01/runs/RUN-TRF-055-20260812T223758367888Z/final/final_shape.ttl</x:v>
      </x:c>
      <x:c r="G60" s="48" t="str">
        <x:v>/Users/sadisfaction570/Desktop/Journal 1/NLTL_v2/MVP/INPUTS/DEVELOPMENT_CALIBRATION/BATCH_01_FIRST_50/rdf_fixtures/TRF-055/trf-055_02_fail.ttl</x:v>
      </x:c>
      <x:c r="H60" s="48" t="str">
        <x:v>1822e30e59a28b863061752235c08cfab0aa11ad693106522b72c111c2fd4e19</x:v>
      </x:c>
      <x:c r="I60" s="48" t="str">
        <x:v>2deeba7d7c0e1c0f0269b3f1037346ba019c27e69e60243e30f58199c3bca41c</x:v>
      </x:c>
      <x:c r="J60" s="48" t="str">
        <x:v>TRUE</x:v>
      </x:c>
      <x:c r="K60" s="64" t="str">
        <x:v>FALSE</x:v>
      </x:c>
      <x:c r="L60" s="48" t="str">
        <x:v>TRUE</x:v>
      </x:c>
      <x:c r="M60" s="64" t="str">
        <x:v>FALSE</x:v>
      </x:c>
      <x:c r="N60" s="48" t="str">
        <x:v>TRUE</x:v>
      </x:c>
      <x:c r="O60" s="65" t="n">
        <x:v>29</x:v>
      </x:c>
      <x:c r="P60" s="64" t="n">
        <x:v>429.059</x:v>
      </x:c>
      <x:c r="Q60" s="49" t="str"/>
      <x:c r="R60" s="48" t="str">
        <x:v>Conforms: false | Value is not &gt;= Literal("100.0", datatype=xsd:decimal)</x:v>
      </x:c>
    </x:row>
    <x:row r="61">
      <x:c r="A61" s="48" t="str">
        <x:v>BATCH01-R7-MIGRATION-CLEAN-SHAPES</x:v>
      </x:c>
      <x:c r="B61" s="48" t="str">
        <x:v>B01-TRF-055-BOUNDARY</x:v>
      </x:c>
      <x:c r="C61" s="48" t="str">
        <x:v>BOUNDARY</x:v>
      </x:c>
      <x:c r="D61" s="48" t="str">
        <x:v>r5-r6-shape-r7-fixture-migration-diagnostic</x:v>
      </x:c>
      <x:c r="E61" s="48" t="str">
        <x:v>TRF-055</x:v>
      </x:c>
      <x:c r="F61" s="48" t="str">
        <x:v>/Users/sadisfaction570/Desktop/Journal 1/NLTL_v2/MVP/SHACL_GENERATION_PIPELINE/outputs/development_batch01/runs/RUN-TRF-055-20260812T223758367888Z/final/final_shape.ttl</x:v>
      </x:c>
      <x:c r="G61" s="48" t="str">
        <x:v>/Users/sadisfaction570/Desktop/Journal 1/NLTL_v2/MVP/INPUTS/DEVELOPMENT_CALIBRATION/BATCH_01_FIRST_50/rdf_fixtures/TRF-055/trf-055_03_boundary.ttl</x:v>
      </x:c>
      <x:c r="H61" s="48" t="str">
        <x:v>1822e30e59a28b863061752235c08cfab0aa11ad693106522b72c111c2fd4e19</x:v>
      </x:c>
      <x:c r="I61" s="48" t="str">
        <x:v>4e4fe4e612edfc0587d0fcca5b94aac6f810488734d1e9c672739eacc4537f9c</x:v>
      </x:c>
      <x:c r="J61" s="48" t="str">
        <x:v>TRUE</x:v>
      </x:c>
      <x:c r="K61" s="64" t="str">
        <x:v>TRUE</x:v>
      </x:c>
      <x:c r="L61" s="48" t="str">
        <x:v>TRUE</x:v>
      </x:c>
      <x:c r="M61" s="64" t="str">
        <x:v>TRUE</x:v>
      </x:c>
      <x:c r="N61" s="48" t="str">
        <x:v>TRUE</x:v>
      </x:c>
      <x:c r="O61" s="65" t="n">
        <x:v>2</x:v>
      </x:c>
      <x:c r="P61" s="64" t="n">
        <x:v>397.698</x:v>
      </x:c>
      <x:c r="Q61" s="49" t="str"/>
      <x:c r="R61" s="48" t="str">
        <x:v>Conforms: true</x:v>
      </x:c>
    </x:row>
    <x:row r="62">
      <x:c r="A62" s="48" t="str">
        <x:v>BATCH01-R7-MIGRATION-CLEAN-SHAPES</x:v>
      </x:c>
      <x:c r="B62" s="48" t="str">
        <x:v>B01-TRF-059-PASS</x:v>
      </x:c>
      <x:c r="C62" s="48" t="str">
        <x:v>PASS</x:v>
      </x:c>
      <x:c r="D62" s="48" t="str">
        <x:v>r5-r6-shape-r7-fixture-migration-diagnostic</x:v>
      </x:c>
      <x:c r="E62" s="48" t="str">
        <x:v>TRF-059</x:v>
      </x:c>
      <x:c r="F62" s="48" t="str">
        <x:v>/Users/sadisfaction570/Desktop/Journal 1/NLTL_v2/MVP/SHACL_GENERATION_PIPELINE/outputs/development_batch01/runs/RUN-TRF-059-20260812T205930291755Z/final/final_shape.ttl</x:v>
      </x:c>
      <x:c r="G62" s="48" t="str">
        <x:v>/Users/sadisfaction570/Desktop/Journal 1/NLTL_v2/MVP/INPUTS/DEVELOPMENT_CALIBRATION/BATCH_01_FIRST_50/rdf_fixtures/TRF-059/trf-059_01_pass.ttl</x:v>
      </x:c>
      <x:c r="H62" s="48" t="str">
        <x:v>0abafc746eb93b805374fe48ddfe307563e2794b920e02eca1a54f04ba4503ff</x:v>
      </x:c>
      <x:c r="I62" s="48" t="str">
        <x:v>32c0e0d4193c283db4a749d922fd7c48f7fb4ec15ed3c0db6194b6ae6eba8b18</x:v>
      </x:c>
      <x:c r="J62" s="48" t="str">
        <x:v>TRUE</x:v>
      </x:c>
      <x:c r="K62" s="64" t="str">
        <x:v>TRUE</x:v>
      </x:c>
      <x:c r="L62" s="48" t="str">
        <x:v>TRUE</x:v>
      </x:c>
      <x:c r="M62" s="64" t="str">
        <x:v>TRUE</x:v>
      </x:c>
      <x:c r="N62" s="48" t="str">
        <x:v>TRUE</x:v>
      </x:c>
      <x:c r="O62" s="65" t="n">
        <x:v>2</x:v>
      </x:c>
      <x:c r="P62" s="64" t="n">
        <x:v>735.546</x:v>
      </x:c>
      <x:c r="Q62" s="49" t="str"/>
      <x:c r="R62" s="48" t="str">
        <x:v>Conforms: true</x:v>
      </x:c>
    </x:row>
    <x:row r="63">
      <x:c r="A63" s="48" t="str">
        <x:v>BATCH01-R7-MIGRATION-CLEAN-SHAPES</x:v>
      </x:c>
      <x:c r="B63" s="48" t="str">
        <x:v>B01-TRF-059-FAIL</x:v>
      </x:c>
      <x:c r="C63" s="48" t="str">
        <x:v>FAIL</x:v>
      </x:c>
      <x:c r="D63" s="48" t="str">
        <x:v>r5-r6-shape-r7-fixture-migration-diagnostic</x:v>
      </x:c>
      <x:c r="E63" s="48" t="str">
        <x:v>TRF-059</x:v>
      </x:c>
      <x:c r="F63" s="48" t="str">
        <x:v>/Users/sadisfaction570/Desktop/Journal 1/NLTL_v2/MVP/SHACL_GENERATION_PIPELINE/outputs/development_batch01/runs/RUN-TRF-059-20260812T205930291755Z/final/final_shape.ttl</x:v>
      </x:c>
      <x:c r="G63" s="48" t="str">
        <x:v>/Users/sadisfaction570/Desktop/Journal 1/NLTL_v2/MVP/INPUTS/DEVELOPMENT_CALIBRATION/BATCH_01_FIRST_50/rdf_fixtures/TRF-059/trf-059_02_fail.ttl</x:v>
      </x:c>
      <x:c r="H63" s="48" t="str">
        <x:v>0abafc746eb93b805374fe48ddfe307563e2794b920e02eca1a54f04ba4503ff</x:v>
      </x:c>
      <x:c r="I63" s="48" t="str">
        <x:v>b9f9e1e719fe803702edf75ec2fb40862cc81c26ef62ad0b7a5917688bb3fbe2</x:v>
      </x:c>
      <x:c r="J63" s="48" t="str">
        <x:v>TRUE</x:v>
      </x:c>
      <x:c r="K63" s="64" t="str">
        <x:v>FALSE</x:v>
      </x:c>
      <x:c r="L63" s="48" t="str">
        <x:v>TRUE</x:v>
      </x:c>
      <x:c r="M63" s="64" t="str">
        <x:v>FALSE</x:v>
      </x:c>
      <x:c r="N63" s="48" t="str">
        <x:v>TRUE</x:v>
      </x:c>
      <x:c r="O63" s="65" t="n">
        <x:v>13</x:v>
      </x:c>
      <x:c r="P63" s="64" t="n">
        <x:v>733.67</x:v>
      </x:c>
      <x:c r="Q63" s="49" t="str"/>
      <x:c r="R63" s="48" t="str">
        <x:v>Conforms: false | Required shear area must match sqrt(3) times alpha times f13 times shear force divided by yield strength, within relative tolerance 1e-6 or absolute tolerance 1e-9 cm2.</x:v>
      </x:c>
    </x:row>
    <x:row r="64">
      <x:c r="A64" s="50" t="str">
        <x:v>BATCH01-R7-MIGRATION-CLEAN-SHAPES</x:v>
      </x:c>
      <x:c r="B64" s="50" t="str">
        <x:v>B01-TRF-059-BOUNDARY</x:v>
      </x:c>
      <x:c r="C64" s="50" t="str">
        <x:v>BOUNDARY</x:v>
      </x:c>
      <x:c r="D64" s="50" t="str">
        <x:v>r5-r6-shape-r7-fixture-migration-diagnostic</x:v>
      </x:c>
      <x:c r="E64" s="50" t="str">
        <x:v>TRF-059</x:v>
      </x:c>
      <x:c r="F64" s="50" t="str">
        <x:v>/Users/sadisfaction570/Desktop/Journal 1/NLTL_v2/MVP/SHACL_GENERATION_PIPELINE/outputs/development_batch01/runs/RUN-TRF-059-20260812T205930291755Z/final/final_shape.ttl</x:v>
      </x:c>
      <x:c r="G64" s="50" t="str">
        <x:v>/Users/sadisfaction570/Desktop/Journal 1/NLTL_v2/MVP/INPUTS/DEVELOPMENT_CALIBRATION/BATCH_01_FIRST_50/rdf_fixtures/TRF-059/trf-059_03_boundary.ttl</x:v>
      </x:c>
      <x:c r="H64" s="50" t="str">
        <x:v>0abafc746eb93b805374fe48ddfe307563e2794b920e02eca1a54f04ba4503ff</x:v>
      </x:c>
      <x:c r="I64" s="50" t="str">
        <x:v>ff1fcc6515eb5af0eae5894ddd0bcf142336919bfed0f23d195e27d2d1e163a8</x:v>
      </x:c>
      <x:c r="J64" s="50" t="str">
        <x:v>TRUE</x:v>
      </x:c>
      <x:c r="K64" s="66" t="str">
        <x:v>TRUE</x:v>
      </x:c>
      <x:c r="L64" s="50" t="str">
        <x:v>TRUE</x:v>
      </x:c>
      <x:c r="M64" s="66" t="str">
        <x:v>TRUE</x:v>
      </x:c>
      <x:c r="N64" s="50" t="str">
        <x:v>TRUE</x:v>
      </x:c>
      <x:c r="O64" s="67" t="n">
        <x:v>2</x:v>
      </x:c>
      <x:c r="P64" s="66" t="n">
        <x:v>738.938</x:v>
      </x:c>
      <x:c r="Q64" s="51" t="str"/>
      <x:c r="R64" s="50" t="str">
        <x:v>Conforms: true</x:v>
      </x:c>
    </x:row>
  </x:sheetData>
  <x:pageMargins left="0.7" right="0.7" top="0.75" bottom="0.75" header="0.3" footer="0.3"/>
  <x:tableParts count="1">
    <x:tablePart xmlns:r="http://schemas.openxmlformats.org/officeDocument/2006/relationships" r:id="R145631a12e7a42c2"/>
  </x:tableParts>
</x:worksheet>
</file>