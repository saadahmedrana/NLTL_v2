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9e7978331684b9f" /></Relationships>
</file>

<file path=xl/workbook.xml><?xml version="1.0" encoding="utf-8"?>
<x:workbook xmlns:x="http://schemas.openxmlformats.org/spreadsheetml/2006/main">
  <x:sheets>
    <x:sheet xmlns:r="http://schemas.openxmlformats.org/officeDocument/2006/relationships" name="SUMMARY" sheetId="1" r:id="R2cec3d21a83c4cf6"/>
    <x:sheet xmlns:r="http://schemas.openxmlformats.org/officeDocument/2006/relationships" name="README" sheetId="2" r:id="Rf85d577a76524983"/>
    <x:sheet xmlns:r="http://schemas.openxmlformats.org/officeDocument/2006/relationships" name="REGULATION_QUEUE" sheetId="3" r:id="R67c8d7d55be74e4d"/>
    <x:sheet xmlns:r="http://schemas.openxmlformats.org/officeDocument/2006/relationships" name="RUNS" sheetId="4" r:id="R8269117cb8b349d4"/>
    <x:sheet xmlns:r="http://schemas.openxmlformats.org/officeDocument/2006/relationships" name="ITERATIONS" sheetId="5" r:id="Rd44c809a43b64dfc"/>
    <x:sheet xmlns:r="http://schemas.openxmlformats.org/officeDocument/2006/relationships" name="API_CALLS" sheetId="6" r:id="R7a9c82f65d6e4891"/>
    <x:sheet xmlns:r="http://schemas.openxmlformats.org/officeDocument/2006/relationships" name="TERM_RETRIEVAL" sheetId="7" r:id="Ra709b7cb164c4cc0"/>
    <x:sheet xmlns:r="http://schemas.openxmlformats.org/officeDocument/2006/relationships" name="FEW_SHOT_SELECTION" sheetId="8" r:id="R9d51018d50f145e2"/>
    <x:sheet xmlns:r="http://schemas.openxmlformats.org/officeDocument/2006/relationships" name="VALIDATION" sheetId="9" r:id="R930a584d1cdf42ce"/>
    <x:sheet xmlns:r="http://schemas.openxmlformats.org/officeDocument/2006/relationships" name="VOCAB_MATCHES" sheetId="10" r:id="Rd76379cf5bbd4620"/>
    <x:sheet xmlns:r="http://schemas.openxmlformats.org/officeDocument/2006/relationships" name="ARTIFACTS" sheetId="11" r:id="R61014e0661714953"/>
    <x:sheet xmlns:r="http://schemas.openxmlformats.org/officeDocument/2006/relationships" name="UNRESOLVED" sheetId="12" r:id="Rfb718b3b34b14a61"/>
    <x:sheet xmlns:r="http://schemas.openxmlformats.org/officeDocument/2006/relationships" name="RDF_TEST_QUEUE" sheetId="13" r:id="Rec6ab906762c44fb"/>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c7f189bf79b476e" /><Relationship Type="http://schemas.openxmlformats.org/officeDocument/2006/relationships/theme" Target="/xl/theme/theme1.xml" Id="Rda07f3a10efc46bc" /><Relationship Type="http://schemas.microsoft.com/office/2022/11/relationships/FeaturePropertyBag" Target="/xl/featurePropertyBag/featurePropertyBag.xml" Id="R6b7eaf7354fa4314" /><Relationship Type="http://schemas.openxmlformats.org/officeDocument/2006/relationships/sharedStrings" Target="/xl/sharedStrings.xml" Id="R50d4148ec6ef4472" /><Relationship Type="http://schemas.openxmlformats.org/officeDocument/2006/relationships/worksheet" Target="/xl/worksheets/sheet1.xml" Id="R2cec3d21a83c4cf6" /><Relationship Type="http://schemas.openxmlformats.org/officeDocument/2006/relationships/worksheet" Target="/xl/worksheets/sheet2.xml" Id="Rf85d577a76524983" /><Relationship Type="http://schemas.openxmlformats.org/officeDocument/2006/relationships/worksheet" Target="/xl/worksheets/sheet3.xml" Id="R67c8d7d55be74e4d" /><Relationship Type="http://schemas.openxmlformats.org/officeDocument/2006/relationships/worksheet" Target="/xl/worksheets/sheet4.xml" Id="R8269117cb8b349d4" /><Relationship Type="http://schemas.openxmlformats.org/officeDocument/2006/relationships/worksheet" Target="/xl/worksheets/sheet5.xml" Id="Rd44c809a43b64dfc" /><Relationship Type="http://schemas.openxmlformats.org/officeDocument/2006/relationships/worksheet" Target="/xl/worksheets/sheet6.xml" Id="R7a9c82f65d6e4891" /><Relationship Type="http://schemas.openxmlformats.org/officeDocument/2006/relationships/worksheet" Target="/xl/worksheets/sheet7.xml" Id="Ra709b7cb164c4cc0" /><Relationship Type="http://schemas.openxmlformats.org/officeDocument/2006/relationships/worksheet" Target="/xl/worksheets/sheet8.xml" Id="R9d51018d50f145e2" /><Relationship Type="http://schemas.openxmlformats.org/officeDocument/2006/relationships/worksheet" Target="/xl/worksheets/sheet9.xml" Id="R930a584d1cdf42ce" /><Relationship Type="http://schemas.openxmlformats.org/officeDocument/2006/relationships/worksheet" Target="/xl/worksheets/sheet10.xml" Id="Rd76379cf5bbd4620" /><Relationship Type="http://schemas.openxmlformats.org/officeDocument/2006/relationships/worksheet" Target="/xl/worksheets/sheet11.xml" Id="R61014e0661714953" /><Relationship Type="http://schemas.openxmlformats.org/officeDocument/2006/relationships/worksheet" Target="/xl/worksheets/sheet12.xml" Id="Rfb718b3b34b14a61" /><Relationship Type="http://schemas.openxmlformats.org/officeDocument/2006/relationships/worksheet" Target="/xl/worksheets/sheet13.xml" Id="Rec6ab906762c44f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1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ad319bce2314c6a" /></Relationships>
</file>

<file path=xl/worksheets/_rels/sheet3.xml.rels>&#65279;<?xml version="1.0" encoding="utf-8"?><Relationships xmlns="http://schemas.openxmlformats.org/package/2006/relationships"><Relationship Type="http://schemas.openxmlformats.org/officeDocument/2006/relationships/table" Target="/xl/tables/table2.xml" Id="R92774d5c19a2409c" /></Relationships>
</file>

<file path=xl/worksheets/_rels/sheet4.xml.rels>&#65279;<?xml version="1.0" encoding="utf-8"?><Relationships xmlns="http://schemas.openxmlformats.org/package/2006/relationships"><Relationship Type="http://schemas.openxmlformats.org/officeDocument/2006/relationships/table" Target="/xl/tables/table3.xml" Id="Rc8c2699abfa74435" /></Relationships>
</file>

<file path=xl/worksheets/_rels/sheet5.xml.rels>&#65279;<?xml version="1.0" encoding="utf-8"?><Relationships xmlns="http://schemas.openxmlformats.org/package/2006/relationships"><Relationship Type="http://schemas.openxmlformats.org/officeDocument/2006/relationships/table" Target="/xl/tables/table4.xml" Id="Ra7f6b2d225354083" /></Relationships>
</file>

<file path=xl/worksheets/_rels/sheet6.xml.rels>&#65279;<?xml version="1.0" encoding="utf-8"?><Relationships xmlns="http://schemas.openxmlformats.org/package/2006/relationships"><Relationship Type="http://schemas.openxmlformats.org/officeDocument/2006/relationships/table" Target="/xl/tables/table5.xml" Id="R3f5e0da703f74c02" /></Relationships>
</file>

<file path=xl/worksheets/_rels/sheet7.xml.rels>&#65279;<?xml version="1.0" encoding="utf-8"?><Relationships xmlns="http://schemas.openxmlformats.org/package/2006/relationships"><Relationship Type="http://schemas.openxmlformats.org/officeDocument/2006/relationships/table" Target="/xl/tables/table6.xml" Id="R947e3811d68a47dc" /></Relationships>
</file>

<file path=xl/worksheets/_rels/sheet8.xml.rels>&#65279;<?xml version="1.0" encoding="utf-8"?><Relationships xmlns="http://schemas.openxmlformats.org/package/2006/relationships"><Relationship Type="http://schemas.openxmlformats.org/officeDocument/2006/relationships/table" Target="/xl/tables/table7.xml" Id="R58031390e19f42eb" /></Relationships>
</file>

<file path=xl/worksheets/_rels/sheet9.xml.rels>&#65279;<?xml version="1.0" encoding="utf-8"?><Relationships xmlns="http://schemas.openxmlformats.org/package/2006/relationships"><Relationship Type="http://schemas.openxmlformats.org/officeDocument/2006/relationships/table" Target="/xl/tables/table8.xml" Id="R0f2d1439c07b413c" /></Relationships>
</file>

<file path=xl/worksheets/_rels/sheet10.xml.rels>&#65279;<?xml version="1.0" encoding="utf-8"?><Relationships xmlns="http://schemas.openxmlformats.org/package/2006/relationships"><Relationship Type="http://schemas.openxmlformats.org/officeDocument/2006/relationships/table" Target="/xl/tables/table9.xml" Id="R1a5219342ad146e1" /></Relationships>
</file>

<file path=xl/worksheets/_rels/sheet11.xml.rels>&#65279;<?xml version="1.0" encoding="utf-8"?><Relationships xmlns="http://schemas.openxmlformats.org/package/2006/relationships"><Relationship Type="http://schemas.openxmlformats.org/officeDocument/2006/relationships/table" Target="/xl/tables/table10.xml" Id="Rc55b0552d1234c21" /></Relationships>
</file>

<file path=xl/worksheets/_rels/sheet12.xml.rels>&#65279;<?xml version="1.0" encoding="utf-8"?><Relationships xmlns="http://schemas.openxmlformats.org/package/2006/relationships"><Relationship Type="http://schemas.openxmlformats.org/officeDocument/2006/relationships/table" Target="/xl/tables/table11.xml" Id="R1a3013fefa214b79"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RUN-I2-011-20260813T102143567243Z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240</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COUNTA('API_CALLS'!$A$5:$A$10)</x:f>
        <x:v>6</x:v>
      </x:c>
      <x:c r="C9" s="21"/>
      <x:c r="D9" s="21"/>
    </x:row>
    <x:row r="10">
      <x:c r="A10" s="27" t="str">
        <x:v>Mean API/LLM elapsed ms</x:v>
      </x:c>
      <x:c r="B10" s="28" t="n">
        <x:f>IFERROR(AVERAGE('API_CALLS'!$K$5:$K$10),0)</x:f>
        <x:v>11851.739166666668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RUN-I2-011-20260813T102143567243Z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bad319bce2314c6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RUN-I2-011-20260813T102143567243Z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TERM_RESOLUTION_UNRESOLVED</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Stage 2 candidate - direct/deterministic</x:v>
      </x:c>
      <x:c r="H43" s="47" t="str">
        <x:v>High</x:v>
      </x:c>
      <x:c r="I43" s="47" t="str">
        <x:v>No</x:v>
      </x:c>
      <x:c r="J43" s="47" t="str">
        <x:v>ELIGIBLE</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92774d5c19a2409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RUN-I2-011-20260813T102143567243Z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SESSION-BATCH-20260813T091540611845Z</x:v>
      </x:c>
      <x:c r="B5" s="69" t="str">
        <x:v>RUN-I2-011-20260813T102143567243Z</x:v>
      </x:c>
      <x:c r="C5" s="69" t="str">
        <x:v>I2-011</x:v>
      </x:c>
      <x:c r="D5" s="70" t="n">
        <x:v>46247.431754247686</x:v>
      </x:c>
      <x:c r="E5" s="70" t="n">
        <x:v>46247.432176875</x:v>
      </x:c>
      <x:c r="F5" s="69" t="str">
        <x:v>0.8.1-dev-batch01-postconfirmation</x:v>
      </x:c>
      <x:c r="G5" s="69" t="str">
        <x:v>VOCAB-DEV-2026-08-13-BATCH01-R8.1-POSTCONFIRMATION</x:v>
      </x:c>
      <x:c r="H5" s="71" t="n">
        <x:v>1</x:v>
      </x:c>
      <x:c r="I5" s="69" t="str">
        <x:v>TERM_RESOLUTION_UNRESOLVED</x:v>
      </x:c>
      <x:c r="J5" s="72" t="b">
        <x:v>0</x:v>
      </x:c>
      <x:c r="K5" s="69" t="str"/>
      <x:c r="L5" s="73" t="str">
        <x:v>No exact term is verified because bowDesignForce does not distinguish the I2.3.2.1(iv) result from the I2.3.2.1(iii) minimum-force result, and no canonical formula-operand properties are supplied.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8c2699abfa7443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RUN-I2-011-20260813T102143567243Z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RUN-I2-011-20260813T102143567243Z</x:v>
      </x:c>
      <x:c r="B5" s="69" t="str">
        <x:v>I2-011</x:v>
      </x:c>
      <x:c r="C5" s="71" t="n">
        <x:v>1</x:v>
      </x:c>
      <x:c r="D5" s="72" t="b">
        <x:v>1</x:v>
      </x:c>
      <x:c r="E5" s="72" t="b">
        <x:v>0</x:v>
      </x:c>
      <x:c r="F5" s="72" t="b">
        <x:v>1</x:v>
      </x:c>
      <x:c r="G5" s="69" t="str">
        <x:v>STOP_TERM_RESOLUTION</x:v>
      </x:c>
      <x:c r="H5" s="73" t="str">
        <x:v>Replace the presence-only bowDesignForce check with the required formula-derived validation: for PC6/PC7 ships with bulbousBowPresent=true, validate the bow design force determined under I2.3.2.1(iv) and enforce that it is greater than or equal to the force calculated under I2.3.2.1(iii) using fa=0.6 and AR=1.3. Locate canonical properties for the two calculation results and any required formula operands; use exact inclusive bounds only for the regulatory constants and tolerance scaled from the expected result for derived decimal equality, while preserving the ship target and conditional applicability without allowing missing selector evidence to pass.</x:v>
      </x:c>
      <x:c r="I5" s="75" t="n">
        <x:v>21048.223</x:v>
      </x:c>
      <x:c r="J5" s="75" t="n">
        <x:v>8536.484</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a7f6b2d22535408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RUN-I2-011-20260813T102143567243Z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EVT-000025</x:v>
      </x:c>
      <x:c r="B5" s="45" t="str">
        <x:v>RUN-I2-011-20260813T102143567243Z</x:v>
      </x:c>
      <x:c r="C5" s="45" t="str">
        <x:v>I2-011</x:v>
      </x:c>
      <x:c r="D5" s="88" t="n">
        <x:v>46247.43199787037</x:v>
      </x:c>
      <x:c r="E5" s="45" t="str">
        <x:v>generator</x:v>
      </x:c>
      <x:c r="F5" s="45" t="str">
        <x:v>gpt-5.6-sol-2026-07-09</x:v>
      </x:c>
      <x:c r="G5" s="45" t="n">
        <x:v>1</x:v>
      </x:c>
      <x:c r="H5" s="45" t="n">
        <x:v>200</x:v>
      </x:c>
      <x:c r="I5" s="45" t="str">
        <x:v>Ocp-Apim-Subscription-Key</x:v>
      </x:c>
      <x:c r="J5" s="89" t="n">
        <x:v>0</x:v>
      </x:c>
      <x:c r="K5" s="89" t="n">
        <x:v>21046.306</x:v>
      </x:c>
      <x:c r="L5" s="90" t="b">
        <x:v>0</x:v>
      </x:c>
      <x:c r="M5" s="45" t="str"/>
      <x:c r="N5" s="58" t="str"/>
      <x:c r="O5" s="58" t="str"/>
      <x:c r="P5" s="58" t="str"/>
    </x:row>
    <x:row r="6">
      <x:c r="A6" s="47" t="str">
        <x:v>EVT-000026</x:v>
      </x:c>
      <x:c r="B6" s="47" t="str">
        <x:v>RUN-I2-011-20260813T102143567243Z</x:v>
      </x:c>
      <x:c r="C6" s="47" t="str">
        <x:v>I2-011</x:v>
      </x:c>
      <x:c r="D6" s="91" t="n">
        <x:v>46247.43199789352</x:v>
      </x:c>
      <x:c r="E6" s="47" t="str">
        <x:v>generator</x:v>
      </x:c>
      <x:c r="F6" s="47" t="str">
        <x:v>gpt-5.6-sol-2026-07-09</x:v>
      </x:c>
      <x:c r="G6" s="47" t="n">
        <x:v>1</x:v>
      </x:c>
      <x:c r="H6" s="47" t="str">
        <x:v>COMPLETED</x:v>
      </x:c>
      <x:c r="I6" s="47" t="str"/>
      <x:c r="J6" s="92" t="n">
        <x:v>0</x:v>
      </x:c>
      <x:c r="K6" s="92" t="n">
        <x:v>21048.223</x:v>
      </x:c>
      <x:c r="L6" s="93" t="b">
        <x:v>0</x:v>
      </x:c>
      <x:c r="M6" s="47" t="str">
        <x:v>resp_0657fd6d43823705006a7d9ab7b9d88195af97bbec094d4c7f</x:v>
      </x:c>
      <x:c r="N6" s="59" t="n">
        <x:v>7231</x:v>
      </x:c>
      <x:c r="O6" s="59" t="n">
        <x:v>1807</x:v>
      </x:c>
      <x:c r="P6" s="59" t="n">
        <x:v>9038</x:v>
      </x:c>
    </x:row>
    <x:row r="7">
      <x:c r="A7" s="47" t="str">
        <x:v>EVT-000033</x:v>
      </x:c>
      <x:c r="B7" s="47" t="str">
        <x:v>RUN-I2-011-20260813T102143567243Z</x:v>
      </x:c>
      <x:c r="C7" s="47" t="str">
        <x:v>I2-011</x:v>
      </x:c>
      <x:c r="D7" s="91" t="n">
        <x:v>46247.43209862269</x:v>
      </x:c>
      <x:c r="E7" s="47" t="str">
        <x:v>validator</x:v>
      </x:c>
      <x:c r="F7" s="47" t="str">
        <x:v>gpt-5.6-sol-2026-07-09</x:v>
      </x:c>
      <x:c r="G7" s="47" t="n">
        <x:v>1</x:v>
      </x:c>
      <x:c r="H7" s="47" t="n">
        <x:v>200</x:v>
      </x:c>
      <x:c r="I7" s="47" t="str">
        <x:v>Ocp-Apim-Subscription-Key</x:v>
      </x:c>
      <x:c r="J7" s="92" t="n">
        <x:v>0</x:v>
      </x:c>
      <x:c r="K7" s="92" t="n">
        <x:v>8534.83</x:v>
      </x:c>
      <x:c r="L7" s="93" t="b">
        <x:v>0</x:v>
      </x:c>
      <x:c r="M7" s="47" t="str"/>
      <x:c r="N7" s="59" t="str"/>
      <x:c r="O7" s="59" t="str"/>
      <x:c r="P7" s="59" t="str"/>
    </x:row>
    <x:row r="8">
      <x:c r="A8" s="47" t="str">
        <x:v>EVT-000034</x:v>
      </x:c>
      <x:c r="B8" s="47" t="str">
        <x:v>RUN-I2-011-20260813T102143567243Z</x:v>
      </x:c>
      <x:c r="C8" s="47" t="str">
        <x:v>I2-011</x:v>
      </x:c>
      <x:c r="D8" s="91" t="n">
        <x:v>46247.43209863426</x:v>
      </x:c>
      <x:c r="E8" s="47" t="str">
        <x:v>validator</x:v>
      </x:c>
      <x:c r="F8" s="47" t="str">
        <x:v>gpt-5.6-sol-2026-07-09</x:v>
      </x:c>
      <x:c r="G8" s="47" t="n">
        <x:v>1</x:v>
      </x:c>
      <x:c r="H8" s="47" t="str">
        <x:v>COMPLETED</x:v>
      </x:c>
      <x:c r="I8" s="47" t="str"/>
      <x:c r="J8" s="92" t="n">
        <x:v>0</x:v>
      </x:c>
      <x:c r="K8" s="92" t="n">
        <x:v>8536.484</x:v>
      </x:c>
      <x:c r="L8" s="93" t="b">
        <x:v>0</x:v>
      </x:c>
      <x:c r="M8" s="47" t="str">
        <x:v>resp_038f4ae6780cd39f006a7d9accfaf88194b48772905e9949b4</x:v>
      </x:c>
      <x:c r="N8" s="59" t="n">
        <x:v>7922</x:v>
      </x:c>
      <x:c r="O8" s="59" t="n">
        <x:v>493</x:v>
      </x:c>
      <x:c r="P8" s="59" t="n">
        <x:v>8415</x:v>
      </x:c>
    </x:row>
    <x:row r="9">
      <x:c r="A9" s="47" t="str">
        <x:v>EVT-000040</x:v>
      </x:c>
      <x:c r="B9" s="47" t="str">
        <x:v>RUN-I2-011-20260813T102143567243Z</x:v>
      </x:c>
      <x:c r="C9" s="47" t="str">
        <x:v>I2-011</x:v>
      </x:c>
      <x:c r="D9" s="91" t="n">
        <x:v>46247.432176828705</x:v>
      </x:c>
      <x:c r="E9" s="47" t="str">
        <x:v>vocabulary_matcher</x:v>
      </x:c>
      <x:c r="F9" s="47" t="str">
        <x:v>gpt-5.6-sol-2026-07-09</x:v>
      </x:c>
      <x:c r="G9" s="47" t="n">
        <x:v>1</x:v>
      </x:c>
      <x:c r="H9" s="47" t="n">
        <x:v>200</x:v>
      </x:c>
      <x:c r="I9" s="47" t="str">
        <x:v>Ocp-Apim-Subscription-Key</x:v>
      </x:c>
      <x:c r="J9" s="92" t="n">
        <x:v>0</x:v>
      </x:c>
      <x:c r="K9" s="92" t="n">
        <x:v>5971.566</x:v>
      </x:c>
      <x:c r="L9" s="93" t="b">
        <x:v>0</x:v>
      </x:c>
      <x:c r="M9" s="47" t="str"/>
      <x:c r="N9" s="59" t="str"/>
      <x:c r="O9" s="59" t="str"/>
      <x:c r="P9" s="59" t="str"/>
    </x:row>
    <x:row r="10">
      <x:c r="A10" s="49" t="str">
        <x:v>EVT-000041</x:v>
      </x:c>
      <x:c r="B10" s="49" t="str">
        <x:v>RUN-I2-011-20260813T102143567243Z</x:v>
      </x:c>
      <x:c r="C10" s="49" t="str">
        <x:v>I2-011</x:v>
      </x:c>
      <x:c r="D10" s="94" t="n">
        <x:v>46247.43217685185</x:v>
      </x:c>
      <x:c r="E10" s="49" t="str">
        <x:v>vocabulary_matcher</x:v>
      </x:c>
      <x:c r="F10" s="49" t="str">
        <x:v>gpt-5.6-sol-2026-07-09</x:v>
      </x:c>
      <x:c r="G10" s="49" t="n">
        <x:v>1</x:v>
      </x:c>
      <x:c r="H10" s="49" t="str">
        <x:v>COMPLETED</x:v>
      </x:c>
      <x:c r="I10" s="49" t="str"/>
      <x:c r="J10" s="95" t="n">
        <x:v>0</x:v>
      </x:c>
      <x:c r="K10" s="95" t="n">
        <x:v>5973.026</x:v>
      </x:c>
      <x:c r="L10" s="96" t="b">
        <x:v>0</x:v>
      </x:c>
      <x:c r="M10" s="49" t="str">
        <x:v>resp_090ffe36c85a51fe006a7d9ad6420881909ec11696bd4c8b6f</x:v>
      </x:c>
      <x:c r="N10" s="60" t="n">
        <x:v>1331</x:v>
      </x:c>
      <x:c r="O10" s="60" t="n">
        <x:v>268</x:v>
      </x:c>
      <x:c r="P10" s="60" t="n">
        <x:v>1599</x:v>
      </x:c>
    </x:row>
  </x:sheetData>
  <x:conditionalFormatting sqref="H5:H1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3f5e0da703f74c0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RUN-I2-011-20260813T102143567243Z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RUN-I2-011-20260813T102143567243Z</x:v>
      </x:c>
      <x:c r="B5" s="45" t="str">
        <x:v>I2-011</x:v>
      </x:c>
      <x:c r="C5" s="45" t="str">
        <x:v>benchmarkEntity</x:v>
      </x:c>
      <x:c r="D5" s="46" t="str">
        <x:v>https://w3id.org/nltl-benchmark/vocab#benchmarkEntity</x:v>
      </x:c>
      <x:c r="E5" s="45" t="str">
        <x:v>Class</x:v>
      </x:c>
      <x:c r="F5" s="45" t="str"/>
      <x:c r="G5" s="45" t="str"/>
      <x:c r="H5" s="45" t="str"/>
      <x:c r="I5" s="46" t="str">
        <x:v>baseline target infrastructure; domain dependency of bowDesignForce; domain dependency of bulbousBowPresent; domain dependency of loadPatchAspectRatio; domain dependency of polarClass; domain dependency of shapeCoefficient</x:v>
      </x:c>
      <x:c r="J5" s="45" t="n">
        <x:v>0</x:v>
      </x:c>
    </x:row>
    <x:row r="6">
      <x:c r="A6" s="47" t="str">
        <x:v>RUN-I2-011-20260813T102143567243Z</x:v>
      </x:c>
      <x:c r="B6" s="47" t="str">
        <x:v>I2-011</x:v>
      </x:c>
      <x:c r="C6" s="47" t="str">
        <x:v>bowDesignForce</x:v>
      </x:c>
      <x:c r="D6" s="48" t="str">
        <x:v>https://w3id.org/nltl-benchmark/vocab#bowDesignForce</x:v>
      </x:c>
      <x:c r="E6" s="47" t="str">
        <x:v>QuantityProperty</x:v>
      </x:c>
      <x:c r="F6" s="47" t="str"/>
      <x:c r="G6" s="47" t="str">
        <x:v>http://qudt.org/schema/qudt/QuantityValue</x:v>
      </x:c>
      <x:c r="H6" s="47" t="str">
        <x:v>http://qudt.org/vocab/unit/KiloN</x:v>
      </x:c>
      <x:c r="I6" s="48" t="str">
        <x:v>linked by the locked 313-requirement index</x:v>
      </x:c>
      <x:c r="J6" s="47" t="n">
        <x:v>0</x:v>
      </x:c>
    </x:row>
    <x:row r="7">
      <x:c r="A7" s="47" t="str">
        <x:v>RUN-I2-011-20260813T102143567243Z</x:v>
      </x:c>
      <x:c r="B7" s="47" t="str">
        <x:v>I2-011</x:v>
      </x:c>
      <x:c r="C7" s="47" t="str">
        <x:v>bulbousBowPresent</x:v>
      </x:c>
      <x:c r="D7" s="48" t="str">
        <x:v>https://w3id.org/nltl-benchmark/vocab#bulbousBowPresent</x:v>
      </x:c>
      <x:c r="E7" s="47" t="str">
        <x:v>DatatypeProperty</x:v>
      </x:c>
      <x:c r="F7" s="47" t="str">
        <x:v>xsd:boolean</x:v>
      </x:c>
      <x:c r="G7" s="47" t="str">
        <x:v>http://www.w3.org/2001/XMLSchema#boolean</x:v>
      </x:c>
      <x:c r="H7" s="47" t="str"/>
      <x:c r="I7" s="48" t="str">
        <x:v>linked by the locked 313-requirement index</x:v>
      </x:c>
      <x:c r="J7" s="47" t="n">
        <x:v>0</x:v>
      </x:c>
    </x:row>
    <x:row r="8">
      <x:c r="A8" s="47" t="str">
        <x:v>RUN-I2-011-20260813T102143567243Z</x:v>
      </x:c>
      <x:c r="B8" s="47" t="str">
        <x:v>I2-011</x:v>
      </x:c>
      <x:c r="C8" s="47" t="str">
        <x:v>hasComponent</x:v>
      </x:c>
      <x:c r="D8" s="48" t="str">
        <x:v>https://w3id.org/nltl-benchmark/vocab#hasComponent</x:v>
      </x:c>
      <x:c r="E8" s="47" t="str">
        <x:v>ObjectProperty</x:v>
      </x:c>
      <x:c r="F8" s="47" t="str"/>
      <x:c r="G8" s="47" t="str">
        <x:v>https://w3id.org/nltl-benchmark/vocab#shipComponent</x:v>
      </x:c>
      <x:c r="H8" s="47" t="str"/>
      <x:c r="I8" s="48" t="str">
        <x:v>component-path dependency inferred from the linked term module</x:v>
      </x:c>
      <x:c r="J8" s="47" t="n">
        <x:v>0</x:v>
      </x:c>
    </x:row>
    <x:row r="9">
      <x:c r="A9" s="47" t="str">
        <x:v>RUN-I2-011-20260813T102143567243Z</x:v>
      </x:c>
      <x:c r="B9" s="47" t="str">
        <x:v>I2-011</x:v>
      </x:c>
      <x:c r="C9" s="47" t="str">
        <x:v>loadPatchAspectRatio</x:v>
      </x:c>
      <x:c r="D9" s="48" t="str">
        <x:v>https://w3id.org/nltl-benchmark/vocab#loadPatchAspectRatio</x:v>
      </x:c>
      <x:c r="E9" s="47" t="str">
        <x:v>QuantityProperty</x:v>
      </x:c>
      <x:c r="F9" s="47" t="str"/>
      <x:c r="G9" s="47" t="str">
        <x:v>http://qudt.org/schema/qudt/QuantityValue</x:v>
      </x:c>
      <x:c r="H9" s="47" t="str">
        <x:v>http://qudt.org/vocab/unit/UNITLESS</x:v>
      </x:c>
      <x:c r="I9" s="48" t="str">
        <x:v>linked by the locked 313-requirement index</x:v>
      </x:c>
      <x:c r="J9" s="47" t="n">
        <x:v>0</x:v>
      </x:c>
    </x:row>
    <x:row r="10">
      <x:c r="A10" s="47" t="str">
        <x:v>RUN-I2-011-20260813T102143567243Z</x:v>
      </x:c>
      <x:c r="B10" s="47" t="str">
        <x:v>I2-011</x:v>
      </x:c>
      <x:c r="C10" s="47" t="str">
        <x:v>polarClass</x:v>
      </x:c>
      <x:c r="D10" s="48" t="str">
        <x:v>https://w3id.org/nltl-benchmark/vocab#polarClass</x:v>
      </x:c>
      <x:c r="E10" s="47" t="str">
        <x:v>ObjectProperty</x:v>
      </x:c>
      <x:c r="F10" s="47" t="str"/>
      <x:c r="G10" s="47" t="str">
        <x:v>https://w3id.org/nltl-benchmark/vocab#polarClassValue</x:v>
      </x:c>
      <x:c r="H10" s="47" t="str"/>
      <x:c r="I10" s="48" t="str">
        <x:v>linked by the locked 313-requirement index</x:v>
      </x:c>
      <x:c r="J10" s="47" t="n">
        <x:v>0</x:v>
      </x:c>
    </x:row>
    <x:row r="11">
      <x:c r="A11" s="47" t="str">
        <x:v>RUN-I2-011-20260813T102143567243Z</x:v>
      </x:c>
      <x:c r="B11" s="47" t="str">
        <x:v>I2-011</x:v>
      </x:c>
      <x:c r="C11" s="47" t="str">
        <x:v>polarClassPc1</x:v>
      </x:c>
      <x:c r="D11" s="48" t="str">
        <x:v>https://w3id.org/nltl-benchmark/vocab#polarClassPc1</x:v>
      </x:c>
      <x:c r="E11" s="47" t="str">
        <x:v>NamedIndividual</x:v>
      </x:c>
      <x:c r="F11" s="47" t="str"/>
      <x:c r="G11" s="47" t="str">
        <x:v>https://w3id.org/nltl-benchmark/vocab#polarClassValue</x:v>
      </x:c>
      <x:c r="H11" s="47" t="str"/>
      <x:c r="I11" s="48" t="str">
        <x:v>controlled value permitted by the range of polarClass</x:v>
      </x:c>
      <x:c r="J11" s="47" t="n">
        <x:v>0</x:v>
      </x:c>
    </x:row>
    <x:row r="12">
      <x:c r="A12" s="47" t="str">
        <x:v>RUN-I2-011-20260813T102143567243Z</x:v>
      </x:c>
      <x:c r="B12" s="47" t="str">
        <x:v>I2-011</x:v>
      </x:c>
      <x:c r="C12" s="47" t="str">
        <x:v>polarClassPc2</x:v>
      </x:c>
      <x:c r="D12" s="48" t="str">
        <x:v>https://w3id.org/nltl-benchmark/vocab#polarClassPc2</x:v>
      </x:c>
      <x:c r="E12" s="47" t="str">
        <x:v>NamedIndividual</x:v>
      </x:c>
      <x:c r="F12" s="47" t="str"/>
      <x:c r="G12" s="47" t="str">
        <x:v>https://w3id.org/nltl-benchmark/vocab#polarClassValue</x:v>
      </x:c>
      <x:c r="H12" s="47" t="str"/>
      <x:c r="I12" s="48" t="str">
        <x:v>controlled value permitted by the range of polarClass</x:v>
      </x:c>
      <x:c r="J12" s="47" t="n">
        <x:v>0</x:v>
      </x:c>
    </x:row>
    <x:row r="13">
      <x:c r="A13" s="47" t="str">
        <x:v>RUN-I2-011-20260813T102143567243Z</x:v>
      </x:c>
      <x:c r="B13" s="47" t="str">
        <x:v>I2-011</x:v>
      </x:c>
      <x:c r="C13" s="47" t="str">
        <x:v>polarClassPc3</x:v>
      </x:c>
      <x:c r="D13" s="48" t="str">
        <x:v>https://w3id.org/nltl-benchmark/vocab#polarClassPc3</x:v>
      </x:c>
      <x:c r="E13" s="47" t="str">
        <x:v>NamedIndividual</x:v>
      </x:c>
      <x:c r="F13" s="47" t="str"/>
      <x:c r="G13" s="47" t="str">
        <x:v>https://w3id.org/nltl-benchmark/vocab#polarClassValue</x:v>
      </x:c>
      <x:c r="H13" s="47" t="str"/>
      <x:c r="I13" s="48" t="str">
        <x:v>controlled value permitted by the range of polarClass</x:v>
      </x:c>
      <x:c r="J13" s="47" t="n">
        <x:v>0</x:v>
      </x:c>
    </x:row>
    <x:row r="14">
      <x:c r="A14" s="47" t="str">
        <x:v>RUN-I2-011-20260813T102143567243Z</x:v>
      </x:c>
      <x:c r="B14" s="47" t="str">
        <x:v>I2-011</x:v>
      </x:c>
      <x:c r="C14" s="47" t="str">
        <x:v>polarClassPc4</x:v>
      </x:c>
      <x:c r="D14" s="48" t="str">
        <x:v>https://w3id.org/nltl-benchmark/vocab#polarClassPc4</x:v>
      </x:c>
      <x:c r="E14" s="47" t="str">
        <x:v>NamedIndividual</x:v>
      </x:c>
      <x:c r="F14" s="47" t="str"/>
      <x:c r="G14" s="47" t="str">
        <x:v>https://w3id.org/nltl-benchmark/vocab#polarClassValue</x:v>
      </x:c>
      <x:c r="H14" s="47" t="str"/>
      <x:c r="I14" s="48" t="str">
        <x:v>controlled value permitted by the range of polarClass</x:v>
      </x:c>
      <x:c r="J14" s="47" t="n">
        <x:v>0</x:v>
      </x:c>
    </x:row>
    <x:row r="15">
      <x:c r="A15" s="47" t="str">
        <x:v>RUN-I2-011-20260813T102143567243Z</x:v>
      </x:c>
      <x:c r="B15" s="47" t="str">
        <x:v>I2-011</x:v>
      </x:c>
      <x:c r="C15" s="47" t="str">
        <x:v>polarClassPc5</x:v>
      </x:c>
      <x:c r="D15" s="48" t="str">
        <x:v>https://w3id.org/nltl-benchmark/vocab#polarClassPc5</x:v>
      </x:c>
      <x:c r="E15" s="47" t="str">
        <x:v>NamedIndividual</x:v>
      </x:c>
      <x:c r="F15" s="47" t="str"/>
      <x:c r="G15" s="47" t="str">
        <x:v>https://w3id.org/nltl-benchmark/vocab#polarClassValue</x:v>
      </x:c>
      <x:c r="H15" s="47" t="str"/>
      <x:c r="I15" s="48" t="str">
        <x:v>controlled value permitted by the range of polarClass</x:v>
      </x:c>
      <x:c r="J15" s="47" t="n">
        <x:v>0</x:v>
      </x:c>
    </x:row>
    <x:row r="16">
      <x:c r="A16" s="47" t="str">
        <x:v>RUN-I2-011-20260813T102143567243Z</x:v>
      </x:c>
      <x:c r="B16" s="47" t="str">
        <x:v>I2-011</x:v>
      </x:c>
      <x:c r="C16" s="47" t="str">
        <x:v>polarClassPc6</x:v>
      </x:c>
      <x:c r="D16" s="48" t="str">
        <x:v>https://w3id.org/nltl-benchmark/vocab#polarClassPc6</x:v>
      </x:c>
      <x:c r="E16" s="47" t="str">
        <x:v>NamedIndividual</x:v>
      </x:c>
      <x:c r="F16" s="47" t="str"/>
      <x:c r="G16" s="47" t="str">
        <x:v>https://w3id.org/nltl-benchmark/vocab#polarClassValue</x:v>
      </x:c>
      <x:c r="H16" s="47" t="str"/>
      <x:c r="I16" s="48" t="str">
        <x:v>controlled value permitted by the range of polarClass</x:v>
      </x:c>
      <x:c r="J16" s="47" t="n">
        <x:v>0</x:v>
      </x:c>
    </x:row>
    <x:row r="17">
      <x:c r="A17" s="47" t="str">
        <x:v>RUN-I2-011-20260813T102143567243Z</x:v>
      </x:c>
      <x:c r="B17" s="47" t="str">
        <x:v>I2-011</x:v>
      </x:c>
      <x:c r="C17" s="47" t="str">
        <x:v>polarClassPc7</x:v>
      </x:c>
      <x:c r="D17" s="48" t="str">
        <x:v>https://w3id.org/nltl-benchmark/vocab#polarClassPc7</x:v>
      </x:c>
      <x:c r="E17" s="47" t="str">
        <x:v>NamedIndividual</x:v>
      </x:c>
      <x:c r="F17" s="47" t="str"/>
      <x:c r="G17" s="47" t="str">
        <x:v>https://w3id.org/nltl-benchmark/vocab#polarClassValue</x:v>
      </x:c>
      <x:c r="H17" s="47" t="str"/>
      <x:c r="I17" s="48" t="str">
        <x:v>controlled value permitted by the range of polarClass</x:v>
      </x:c>
      <x:c r="J17" s="47" t="n">
        <x:v>0</x:v>
      </x:c>
    </x:row>
    <x:row r="18">
      <x:c r="A18" s="47" t="str">
        <x:v>RUN-I2-011-20260813T102143567243Z</x:v>
      </x:c>
      <x:c r="B18" s="47" t="str">
        <x:v>I2-011</x:v>
      </x:c>
      <x:c r="C18" s="47" t="str">
        <x:v>polarClassValue</x:v>
      </x:c>
      <x:c r="D18" s="48" t="str">
        <x:v>https://w3id.org/nltl-benchmark/vocab#polarClassValue</x:v>
      </x:c>
      <x:c r="E18" s="47" t="str">
        <x:v>Class</x:v>
      </x:c>
      <x:c r="F18" s="47" t="str"/>
      <x:c r="G18" s="47" t="str"/>
      <x:c r="H18" s="47" t="str"/>
      <x:c r="I18" s="48" t="str">
        <x:v>range dependency of polarClass</x:v>
      </x:c>
      <x:c r="J18" s="47" t="n">
        <x:v>0</x:v>
      </x:c>
    </x:row>
    <x:row r="19">
      <x:c r="A19" s="47" t="str">
        <x:v>RUN-I2-011-20260813T102143567243Z</x:v>
      </x:c>
      <x:c r="B19" s="47" t="str">
        <x:v>I2-011</x:v>
      </x:c>
      <x:c r="C19" s="47" t="str">
        <x:v>shapeCoefficient</x:v>
      </x:c>
      <x:c r="D19" s="48" t="str">
        <x:v>https://w3id.org/nltl-benchmark/vocab#shapeCoefficient</x:v>
      </x:c>
      <x:c r="E19" s="47" t="str">
        <x:v>QuantityProperty</x:v>
      </x:c>
      <x:c r="F19" s="47" t="str"/>
      <x:c r="G19" s="47" t="str">
        <x:v>http://qudt.org/schema/qudt/QuantityValue</x:v>
      </x:c>
      <x:c r="H19" s="47" t="str">
        <x:v>http://qudt.org/vocab/unit/UNITLESS</x:v>
      </x:c>
      <x:c r="I19" s="48" t="str">
        <x:v>linked by the locked 313-requirement index</x:v>
      </x:c>
      <x:c r="J19" s="47" t="n">
        <x:v>0</x:v>
      </x:c>
    </x:row>
    <x:row r="20">
      <x:c r="A20" s="47" t="str">
        <x:v>RUN-I2-011-20260813T102143567243Z</x:v>
      </x:c>
      <x:c r="B20" s="47" t="str">
        <x:v>I2-011</x:v>
      </x:c>
      <x:c r="C20" s="47" t="str">
        <x:v>ship</x:v>
      </x:c>
      <x:c r="D20" s="48" t="str">
        <x:v>https://w3id.org/nltl-benchmark/vocab#ship</x:v>
      </x:c>
      <x:c r="E20" s="47" t="str">
        <x:v>Class</x:v>
      </x:c>
      <x:c r="F20" s="47" t="str"/>
      <x:c r="G20" s="47" t="str"/>
      <x:c r="H20" s="47" t="str"/>
      <x:c r="I20" s="48" t="str">
        <x:v>authoritative required owner class; authoritative requirement target owner; baseline target infrastructure</x:v>
      </x:c>
      <x:c r="J20" s="47" t="n">
        <x:v>0</x:v>
      </x:c>
    </x:row>
    <x:row r="21">
      <x:c r="A21" s="49" t="str">
        <x:v>RUN-I2-011-20260813T102143567243Z</x:v>
      </x:c>
      <x:c r="B21" s="49" t="str">
        <x:v>I2-011</x:v>
      </x:c>
      <x:c r="C21" s="49" t="str">
        <x:v>shipComponent</x:v>
      </x:c>
      <x:c r="D21" s="50" t="str">
        <x:v>https://w3id.org/nltl-benchmark/vocab#shipComponent</x:v>
      </x:c>
      <x:c r="E21" s="49" t="str">
        <x:v>Class</x:v>
      </x:c>
      <x:c r="F21" s="49" t="str"/>
      <x:c r="G21" s="49" t="str"/>
      <x:c r="H21" s="49" t="str"/>
      <x:c r="I21" s="50" t="str">
        <x:v>component-path dependency inferred from the linked term module</x:v>
      </x:c>
      <x:c r="J21" s="49" t="n">
        <x:v>0</x:v>
      </x:c>
    </x:row>
  </x:sheetData>
  <x:pageMargins left="0.7" right="0.7" top="0.75" bottom="0.75" header="0.3" footer="0.3"/>
  <x:tableParts count="1">
    <x:tablePart xmlns:r="http://schemas.openxmlformats.org/officeDocument/2006/relationships" r:id="R947e3811d68a47d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RUN-I2-011-20260813T102143567243Z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RUN-I2-011-20260813T102143567243Z</x:v>
      </x:c>
      <x:c r="B5" s="45" t="str">
        <x:v>I2-011</x:v>
      </x:c>
      <x:c r="C5" s="45" t="str">
        <x:v>FS-CALC-02</x:v>
      </x:c>
      <x:c r="D5" s="45" t="str">
        <x:v>comparison_calculation</x:v>
      </x:c>
      <x:c r="E5" s="99" t="n">
        <x:v>0.065574</x:v>
      </x:c>
      <x:c r="F5" s="45" t="str">
        <x:v>calculation | comparison | formula | sparql</x:v>
      </x:c>
      <x:c r="G5" s="45" t="str">
        <x:v>synthetic-few-shot-not-benchmark-ground-truth</x:v>
      </x:c>
    </x:row>
    <x:row r="6">
      <x:c r="A6" s="49" t="str">
        <x:v>RUN-I2-011-20260813T102143567243Z</x:v>
      </x:c>
      <x:c r="B6" s="49" t="str">
        <x:v>I2-011</x:v>
      </x:c>
      <x:c r="C6" s="49" t="str">
        <x:v>FS-BOOL-01</x:v>
      </x:c>
      <x:c r="D6" s="49" t="str">
        <x:v>boolean_state</x:v>
      </x:c>
      <x:c r="E6" s="100" t="n">
        <x:v>0.048387</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58031390e19f42eb"/>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RUN-I2-011-20260813T102143567243Z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RUN-I2-011-20260813T102143567243Z</x:v>
      </x:c>
      <x:c r="B5" s="69" t="str">
        <x:v>I2-011</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https://w3id.org/nltl-benchmark/vocab#bowDesignForce | https://w3id.org/nltl-benchmark/vocab#bulbousBowPresent | https://w3id.org/nltl-benchmark/vocab#loadPatchAspectRatio | https://w3id.org/nltl-benchmark/vocab#polarClass | https://w3id.org/nltl-benchmark/vocab#polarClassPc1 | https://w3id.org/nltl-benchmark/vocab#polarClassPc2 | https://w3id.org/nltl-benchmark/vocab#polarClassPc3 | https://w3id.org/nltl-benchmark/vocab#polarClassPc4 | https://w3id.org/nltl-benchmark/vocab#polarClassPc5 | https://w3id.org/nltl-benchmark/vocab#polarClassPc6 | https://w3id.org/nltl-benchmark/vocab#polarClassPc7 | https://w3id.org/nltl-benchmark/vocab#shapeCoefficient | https://w3id.org/nltl-benchmark/vocab#ship</x:v>
      </x:c>
      <x:c r="O5" s="73" t="str"/>
      <x:c r="P5" s="73" t="str"/>
      <x:c r="Q5" s="73" t="str"/>
    </x:row>
  </x:sheetData>
  <x:pageMargins left="0.7" right="0.7" top="0.75" bottom="0.75" header="0.3" footer="0.3"/>
  <x:tableParts count="1">
    <x:tablePart xmlns:r="http://schemas.openxmlformats.org/officeDocument/2006/relationships" r:id="R0f2d1439c07b413c"/>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RUN-I2-011-20260813T102143567243Z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RUN-I2-011-20260813T102143567243Z</x:v>
      </x:c>
      <x:c r="B5" s="45" t="str">
        <x:v>I2-011</x:v>
      </x:c>
      <x:c r="C5" s="58" t="n">
        <x:v>1</x:v>
      </x:c>
      <x:c r="D5" s="45" t="str">
        <x:v>matcher_search</x:v>
      </x:c>
      <x:c r="E5" s="46" t="str">
        <x:v>Replace the presence-only bowDesignForce check with the required formula-derived validation: for PC6/PC7 ships with bulbousBowPresent=true, validate the bow design force determined under I2.3.2.1(iv) and enforce that it is greater than or equal to the force calculated under I2.3.2.1(iii) using fa=0.6 and AR=1.3. Locate canonical properties for the two calculation results and any required formula operands; use exact inclusive bounds only for the regulatory constants and tolerance scaled from the expected result for derived decimal equality, while preserving the ship target and conditional applicability without allowing missing selector evidence to pass.</x:v>
      </x:c>
      <x:c r="F5" s="58" t="n">
        <x:v>3</x:v>
      </x:c>
      <x:c r="G5" s="45" t="str"/>
      <x:c r="H5" s="45" t="str"/>
      <x:c r="I5" s="46" t="str"/>
      <x:c r="J5" s="46" t="str"/>
    </x:row>
    <x:row r="6">
      <x:c r="A6" s="49" t="str">
        <x:v>RUN-I2-011-20260813T102143567243Z</x:v>
      </x:c>
      <x:c r="B6" s="49" t="str">
        <x:v>I2-011</x:v>
      </x:c>
      <x:c r="C6" s="60" t="n">
        <x:v>1</x:v>
      </x:c>
      <x:c r="D6" s="49" t="str">
        <x:v>matcher_decision</x:v>
      </x:c>
      <x:c r="E6" s="50" t="str"/>
      <x:c r="F6" s="60" t="str"/>
      <x:c r="G6" s="96" t="b">
        <x:v>0</x:v>
      </x:c>
      <x:c r="H6" s="49" t="str"/>
      <x:c r="I6" s="50" t="str"/>
      <x:c r="J6" s="50" t="str">
        <x:v>No exact term is verified because bowDesignForce does not distinguish the I2.3.2.1(iv) result from the I2.3.2.1(iii) minimum-force result, and no canonical formula-operand properties are supplied.</x:v>
      </x:c>
    </x:row>
  </x:sheetData>
  <x:pageMargins left="0.7" right="0.7" top="0.75" bottom="0.75" header="0.3" footer="0.3"/>
  <x:tableParts count="1">
    <x:tablePart xmlns:r="http://schemas.openxmlformats.org/officeDocument/2006/relationships" r:id="R1a5219342ad146e1"/>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RUN-I2-011-20260813T102143567243Z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RUN-I2-011-20260813T102143567243Z</x:v>
      </x:c>
      <x:c r="B5" s="45" t="str">
        <x:v>I2-011</x:v>
      </x:c>
      <x:c r="C5" s="58"/>
      <x:c r="D5" s="45" t="str">
        <x:v>initial_context_pack</x:v>
      </x:c>
      <x:c r="E5" s="46" t="str">
        <x:v>artifacts/context_pack_initial.json</x:v>
      </x:c>
      <x:c r="F5" s="45" t="str">
        <x:v>53bd3f92368d0ccb61c444c69869eb809db85f375e708d8d47799e9fbefe89a8</x:v>
      </x:c>
      <x:c r="G5" s="58" t="n">
        <x:v>18180</x:v>
      </x:c>
    </x:row>
    <x:row r="6">
      <x:c r="A6" s="47" t="str">
        <x:v>RUN-I2-011-20260813T102143567243Z</x:v>
      </x:c>
      <x:c r="B6" s="47" t="str">
        <x:v>I2-011</x:v>
      </x:c>
      <x:c r="C6" s="59"/>
      <x:c r="D6" s="47" t="str">
        <x:v>few_shot_selection</x:v>
      </x:c>
      <x:c r="E6" s="48" t="str">
        <x:v>artifacts/few_shots_selected.json</x:v>
      </x:c>
      <x:c r="F6" s="47" t="str">
        <x:v>f305dc10020ce5673685f238b29d63ab4d0e1e43e2de36805c9214a6b5e5af57</x:v>
      </x:c>
      <x:c r="G6" s="59" t="n">
        <x:v>4859</x:v>
      </x:c>
    </x:row>
    <x:row r="7">
      <x:c r="A7" s="47" t="str">
        <x:v>RUN-I2-011-20260813T102143567243Z</x:v>
      </x:c>
      <x:c r="B7" s="47" t="str">
        <x:v>I2-011</x:v>
      </x:c>
      <x:c r="C7" s="59" t="n">
        <x:v>1</x:v>
      </x:c>
      <x:c r="D7" s="47" t="str">
        <x:v>generator_prompt</x:v>
      </x:c>
      <x:c r="E7" s="48" t="str">
        <x:v>artifacts/attempt_01/generator_prompt.txt</x:v>
      </x:c>
      <x:c r="F7" s="47" t="str">
        <x:v>697cadae30b8217206abf6128ef1ebb86d29ab34a1736c005aed47940f160d70</x:v>
      </x:c>
      <x:c r="G7" s="59" t="n">
        <x:v>28923</x:v>
      </x:c>
    </x:row>
    <x:row r="8">
      <x:c r="A8" s="47" t="str">
        <x:v>RUN-I2-011-20260813T102143567243Z</x:v>
      </x:c>
      <x:c r="B8" s="47" t="str">
        <x:v>I2-011</x:v>
      </x:c>
      <x:c r="C8" s="59" t="n">
        <x:v>1</x:v>
      </x:c>
      <x:c r="D8" s="47" t="str">
        <x:v>generator_raw_response</x:v>
      </x:c>
      <x:c r="E8" s="48" t="str">
        <x:v>artifacts/attempt_01/generator_raw.txt</x:v>
      </x:c>
      <x:c r="F8" s="47" t="str">
        <x:v>0b7bf1ee615e708126e9e214034bc6b8e0dd7ff31948e45c5e9090c63e238d33</x:v>
      </x:c>
      <x:c r="G8" s="59" t="n">
        <x:v>3752</x:v>
      </x:c>
    </x:row>
    <x:row r="9">
      <x:c r="A9" s="47" t="str">
        <x:v>RUN-I2-011-20260813T102143567243Z</x:v>
      </x:c>
      <x:c r="B9" s="47" t="str">
        <x:v>I2-011</x:v>
      </x:c>
      <x:c r="C9" s="59" t="n">
        <x:v>1</x:v>
      </x:c>
      <x:c r="D9" s="47" t="str">
        <x:v>candidate_shape</x:v>
      </x:c>
      <x:c r="E9" s="48" t="str">
        <x:v>artifacts/attempt_01/candidate_shape.ttl</x:v>
      </x:c>
      <x:c r="F9" s="47" t="str">
        <x:v>3f3ee160c433c6d6a5df1d9392148da2427ee8ac5ebcd1643bcb37ec8ad589cd</x:v>
      </x:c>
      <x:c r="G9" s="59" t="n">
        <x:v>3727</x:v>
      </x:c>
    </x:row>
    <x:row r="10">
      <x:c r="A10" s="47" t="str">
        <x:v>RUN-I2-011-20260813T102143567243Z</x:v>
      </x:c>
      <x:c r="B10" s="47" t="str">
        <x:v>I2-011</x:v>
      </x:c>
      <x:c r="C10" s="59" t="n">
        <x:v>1</x:v>
      </x:c>
      <x:c r="D10" s="47" t="str">
        <x:v>deterministic_validation</x:v>
      </x:c>
      <x:c r="E10" s="48" t="str">
        <x:v>artifacts/attempt_01/deterministic_validation.json</x:v>
      </x:c>
      <x:c r="F10" s="47" t="str">
        <x:v>41c51d905811cc101550c03865432b32d590df7709bba42c874cd9e76c532d31</x:v>
      </x:c>
      <x:c r="G10" s="59" t="n">
        <x:v>1159</x:v>
      </x:c>
    </x:row>
    <x:row r="11">
      <x:c r="A11" s="47" t="str">
        <x:v>RUN-I2-011-20260813T102143567243Z</x:v>
      </x:c>
      <x:c r="B11" s="47" t="str">
        <x:v>I2-011</x:v>
      </x:c>
      <x:c r="C11" s="59" t="n">
        <x:v>1</x:v>
      </x:c>
      <x:c r="D11" s="47" t="str">
        <x:v>validator_prompt</x:v>
      </x:c>
      <x:c r="E11" s="48" t="str">
        <x:v>artifacts/attempt_01/validator_prompt_01.txt</x:v>
      </x:c>
      <x:c r="F11" s="47" t="str">
        <x:v>756f02006e3f59b9f976270c77095d9205bf9515aeebb1c12492957a6ebab45b</x:v>
      </x:c>
      <x:c r="G11" s="59" t="n">
        <x:v>30176</x:v>
      </x:c>
    </x:row>
    <x:row r="12">
      <x:c r="A12" s="47" t="str">
        <x:v>RUN-I2-011-20260813T102143567243Z</x:v>
      </x:c>
      <x:c r="B12" s="47" t="str">
        <x:v>I2-011</x:v>
      </x:c>
      <x:c r="C12" s="59" t="n">
        <x:v>1</x:v>
      </x:c>
      <x:c r="D12" s="47" t="str">
        <x:v>validator_raw_response</x:v>
      </x:c>
      <x:c r="E12" s="48" t="str">
        <x:v>artifacts/attempt_01/validator_raw_01.txt</x:v>
      </x:c>
      <x:c r="F12" s="47" t="str">
        <x:v>bb7765e9d29026407197b2cf9cca0f68629c90548182a06dd1aed09b1b859393</x:v>
      </x:c>
      <x:c r="G12" s="59" t="n">
        <x:v>723</x:v>
      </x:c>
    </x:row>
    <x:row r="13">
      <x:c r="A13" s="47" t="str">
        <x:v>RUN-I2-011-20260813T102143567243Z</x:v>
      </x:c>
      <x:c r="B13" s="47" t="str">
        <x:v>I2-011</x:v>
      </x:c>
      <x:c r="C13" s="59" t="n">
        <x:v>1</x:v>
      </x:c>
      <x:c r="D13" s="47" t="str">
        <x:v>matcher_candidates</x:v>
      </x:c>
      <x:c r="E13" s="48" t="str">
        <x:v>artifacts/attempt_01/matcher_candidates.json</x:v>
      </x:c>
      <x:c r="F13" s="47" t="str">
        <x:v>c8c01620e68d3012554a6b850ea1bd95178c26a5f5348e11c4d7b3c2610f8854</x:v>
      </x:c>
      <x:c r="G13" s="59" t="n">
        <x:v>1804</x:v>
      </x:c>
    </x:row>
    <x:row r="14">
      <x:c r="A14" s="47" t="str">
        <x:v>RUN-I2-011-20260813T102143567243Z</x:v>
      </x:c>
      <x:c r="B14" s="47" t="str">
        <x:v>I2-011</x:v>
      </x:c>
      <x:c r="C14" s="59" t="n">
        <x:v>1</x:v>
      </x:c>
      <x:c r="D14" s="47" t="str">
        <x:v>vocabulary_matcher_prompt</x:v>
      </x:c>
      <x:c r="E14" s="48" t="str">
        <x:v>artifacts/attempt_01/vocabulary_matcher_prompt_01.txt</x:v>
      </x:c>
      <x:c r="F14" s="47" t="str">
        <x:v>286fb47a2d0209164aaff3f422d9a38d3aa37416af86574a7d88c261ebe901c3</x:v>
      </x:c>
      <x:c r="G14" s="59" t="n">
        <x:v>5084</x:v>
      </x:c>
    </x:row>
    <x:row r="15">
      <x:c r="A15" s="49" t="str">
        <x:v>RUN-I2-011-20260813T102143567243Z</x:v>
      </x:c>
      <x:c r="B15" s="49" t="str">
        <x:v>I2-011</x:v>
      </x:c>
      <x:c r="C15" s="60" t="n">
        <x:v>1</x:v>
      </x:c>
      <x:c r="D15" s="49" t="str">
        <x:v>vocabulary_matcher_raw_response</x:v>
      </x:c>
      <x:c r="E15" s="50" t="str">
        <x:v>artifacts/attempt_01/vocabulary_matcher_raw_01.txt</x:v>
      </x:c>
      <x:c r="F15" s="49" t="str">
        <x:v>0e0c584476d19c2691ab6c2c41671a1c63c1d1f4459a0f4e01c178f661e693d8</x:v>
      </x:c>
      <x:c r="G15" s="60" t="n">
        <x:v>285</x:v>
      </x:c>
    </x:row>
  </x:sheetData>
  <x:pageMargins left="0.7" right="0.7" top="0.75" bottom="0.75" header="0.3" footer="0.3"/>
  <x:tableParts count="1">
    <x:tablePart xmlns:r="http://schemas.openxmlformats.org/officeDocument/2006/relationships" r:id="Rc55b0552d1234c21"/>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RUN-I2-011-20260813T102143567243Z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RUN-I2-011-20260813T102143567243Z</x:v>
      </x:c>
      <x:c r="B5" s="69" t="str">
        <x:v>I2-011</x:v>
      </x:c>
      <x:c r="C5" s="71" t="n">
        <x:v>1</x:v>
      </x:c>
      <x:c r="D5" s="69" t="str">
        <x:v>TERM_RESOLUTION_UNRESOLVED</x:v>
      </x:c>
      <x:c r="E5" s="73" t="str">
        <x:v>No exact term is verified because bowDesignForce does not distinguish the I2.3.2.1(iv) result from the I2.3.2.1(iii) minimum-force result, and no canonical formula-operand properties are supplied.</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1a3013fefa214b79"/>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RUN-I2-011-20260813T102143567243Z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