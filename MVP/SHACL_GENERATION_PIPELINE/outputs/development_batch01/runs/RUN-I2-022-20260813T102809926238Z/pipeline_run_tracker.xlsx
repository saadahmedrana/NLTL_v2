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e794d138c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45e1bf16bb4889"/>
    <x:sheet xmlns:r="http://schemas.openxmlformats.org/officeDocument/2006/relationships" name="README" sheetId="2" r:id="R1d5ea41e021e4128"/>
    <x:sheet xmlns:r="http://schemas.openxmlformats.org/officeDocument/2006/relationships" name="REGULATION_QUEUE" sheetId="3" r:id="Rd5e776d562754e02"/>
    <x:sheet xmlns:r="http://schemas.openxmlformats.org/officeDocument/2006/relationships" name="RUNS" sheetId="4" r:id="Ra4065d8865f743a5"/>
    <x:sheet xmlns:r="http://schemas.openxmlformats.org/officeDocument/2006/relationships" name="ITERATIONS" sheetId="5" r:id="Rc922abbf53c3418f"/>
    <x:sheet xmlns:r="http://schemas.openxmlformats.org/officeDocument/2006/relationships" name="API_CALLS" sheetId="6" r:id="R48518bcbbc8d4e89"/>
    <x:sheet xmlns:r="http://schemas.openxmlformats.org/officeDocument/2006/relationships" name="TERM_RETRIEVAL" sheetId="7" r:id="Re7a7b27adf0043d6"/>
    <x:sheet xmlns:r="http://schemas.openxmlformats.org/officeDocument/2006/relationships" name="FEW_SHOT_SELECTION" sheetId="8" r:id="Re205c033e2784951"/>
    <x:sheet xmlns:r="http://schemas.openxmlformats.org/officeDocument/2006/relationships" name="VALIDATION" sheetId="9" r:id="R49dc0af3b63b4414"/>
    <x:sheet xmlns:r="http://schemas.openxmlformats.org/officeDocument/2006/relationships" name="VOCAB_MATCHES" sheetId="10" r:id="Ra7eb4af438464fbb"/>
    <x:sheet xmlns:r="http://schemas.openxmlformats.org/officeDocument/2006/relationships" name="ARTIFACTS" sheetId="11" r:id="Readf697136d641b3"/>
    <x:sheet xmlns:r="http://schemas.openxmlformats.org/officeDocument/2006/relationships" name="UNRESOLVED" sheetId="12" r:id="R478b83fe99e24e2c"/>
    <x:sheet xmlns:r="http://schemas.openxmlformats.org/officeDocument/2006/relationships" name="RDF_TEST_QUEUE" sheetId="13" r:id="R0ab04b683d2e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c4c7abe084df0" /><Relationship Type="http://schemas.openxmlformats.org/officeDocument/2006/relationships/theme" Target="/xl/theme/theme1.xml" Id="R9207c0da6e8a46df" /><Relationship Type="http://schemas.microsoft.com/office/2022/11/relationships/FeaturePropertyBag" Target="/xl/featurePropertyBag/featurePropertyBag.xml" Id="R2b25d95a7c6d4ac6" /><Relationship Type="http://schemas.openxmlformats.org/officeDocument/2006/relationships/sharedStrings" Target="/xl/sharedStrings.xml" Id="R4f4e87099daf4f20" /><Relationship Type="http://schemas.openxmlformats.org/officeDocument/2006/relationships/worksheet" Target="/xl/worksheets/sheet1.xml" Id="Raa45e1bf16bb4889" /><Relationship Type="http://schemas.openxmlformats.org/officeDocument/2006/relationships/worksheet" Target="/xl/worksheets/sheet2.xml" Id="R1d5ea41e021e4128" /><Relationship Type="http://schemas.openxmlformats.org/officeDocument/2006/relationships/worksheet" Target="/xl/worksheets/sheet3.xml" Id="Rd5e776d562754e02" /><Relationship Type="http://schemas.openxmlformats.org/officeDocument/2006/relationships/worksheet" Target="/xl/worksheets/sheet4.xml" Id="Ra4065d8865f743a5" /><Relationship Type="http://schemas.openxmlformats.org/officeDocument/2006/relationships/worksheet" Target="/xl/worksheets/sheet5.xml" Id="Rc922abbf53c3418f" /><Relationship Type="http://schemas.openxmlformats.org/officeDocument/2006/relationships/worksheet" Target="/xl/worksheets/sheet6.xml" Id="R48518bcbbc8d4e89" /><Relationship Type="http://schemas.openxmlformats.org/officeDocument/2006/relationships/worksheet" Target="/xl/worksheets/sheet7.xml" Id="Re7a7b27adf0043d6" /><Relationship Type="http://schemas.openxmlformats.org/officeDocument/2006/relationships/worksheet" Target="/xl/worksheets/sheet8.xml" Id="Re205c033e2784951" /><Relationship Type="http://schemas.openxmlformats.org/officeDocument/2006/relationships/worksheet" Target="/xl/worksheets/sheet9.xml" Id="R49dc0af3b63b4414" /><Relationship Type="http://schemas.openxmlformats.org/officeDocument/2006/relationships/worksheet" Target="/xl/worksheets/sheet10.xml" Id="Ra7eb4af438464fbb" /><Relationship Type="http://schemas.openxmlformats.org/officeDocument/2006/relationships/worksheet" Target="/xl/worksheets/sheet11.xml" Id="Readf697136d641b3" /><Relationship Type="http://schemas.openxmlformats.org/officeDocument/2006/relationships/worksheet" Target="/xl/worksheets/sheet12.xml" Id="R478b83fe99e24e2c" /><Relationship Type="http://schemas.openxmlformats.org/officeDocument/2006/relationships/worksheet" Target="/xl/worksheets/sheet13.xml" Id="R0ab04b683d2e45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22ea97f3c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e6c340823e4c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fa17d1f2c442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687b1bff96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47d6a4186c49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8d0743710648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a3b722e5f243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669216586044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8870776e4f4a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394b2a514648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3bbef4e8ba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RUN-I2-022-20260813T102809926238Z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4362.962833333334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RUN-I2-022-20260813T102809926238Z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022ea97f3c4c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TERM_RESOLUTION_UNRESOLVED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e6c340823e4c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RUN-I2-022-20260813T102809926238Z</x:v>
      </x:c>
      <x:c r="C5" s="69" t="str">
        <x:v>I2-022</x:v>
      </x:c>
      <x:c r="D5" s="70" t="n">
        <x:v>46247.43622599537</x:v>
      </x:c>
      <x:c r="E5" s="70" t="n">
        <x:v>46247.436387037036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yield strength (sigma_y) with a pressure quantity range and MPa unit in the I2.4.2 formula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a17d1f2c442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RUN-I2-022-20260813T102809926238Z</x:v>
      </x:c>
      <x:c r="B5" s="69" t="str">
        <x:v>I2-022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checks with the complete conditional formula constraint. Target ships, apply only to transversely framed plating with Omega &gt;= 70 degrees, including bottom plating in hull areas BI_b, M_b, and S_b, and validate reported net thickness against 500*s*sqrt((AF*PPF_p*P_avg)/sigma_y)/(1+s/(2*b)) in millimetres using tolerance scaled from the expected result rather than exact equality. Add all missing formula operands, applicability evidence, result paths, datatypes, units, and owner-correct constraints. Canonical terms for these missing concepts were not supplied, so run the variable matcher.</x:v>
      </x:c>
      <x:c r="I5" s="75" t="n">
        <x:v>6916.038</x:v>
      </x:c>
      <x:c r="J5" s="75" t="n">
        <x:v>3800.545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87b1bff964e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RUN-I2-022-20260813T102809926238Z</x:v>
      </x:c>
      <x:c r="C5" s="45" t="str">
        <x:v>I2-022</x:v>
      </x:c>
      <x:c r="D5" s="88" t="n">
        <x:v>46247.43630605324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6914.194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RUN-I2-022-20260813T102809926238Z</x:v>
      </x:c>
      <x:c r="C6" s="47" t="str">
        <x:v>I2-022</x:v>
      </x:c>
      <x:c r="D6" s="91" t="n">
        <x:v>46247.436306076386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6916.038</x:v>
      </x:c>
      <x:c r="L6" s="93" t="b">
        <x:v>0</x:v>
      </x:c>
      <x:c r="M6" s="47" t="str">
        <x:v>resp_0f42bc0363e45ffb006a7d9c3a103c8190a863de207ffd5434</x:v>
      </x:c>
      <x:c r="N6" s="59" t="n">
        <x:v>5313</x:v>
      </x:c>
      <x:c r="O6" s="59" t="n">
        <x:v>647</x:v>
      </x:c>
      <x:c r="P6" s="59" t="n">
        <x:v>5960</x:v>
      </x:c>
    </x:row>
    <x:row r="7">
      <x:c r="A7" s="47" t="str">
        <x:v>EVT-000022</x:v>
      </x:c>
      <x:c r="B7" s="47" t="str">
        <x:v>RUN-I2-022-20260813T102809926238Z</x:v>
      </x:c>
      <x:c r="C7" s="47" t="str">
        <x:v>I2-022</x:v>
      </x:c>
      <x:c r="D7" s="91" t="n">
        <x:v>46247.436351041666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3798.731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RUN-I2-022-20260813T102809926238Z</x:v>
      </x:c>
      <x:c r="C8" s="47" t="str">
        <x:v>I2-022</x:v>
      </x:c>
      <x:c r="D8" s="91" t="n">
        <x:v>46247.43635106482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3800.545</x:v>
      </x:c>
      <x:c r="L8" s="93" t="b">
        <x:v>0</x:v>
      </x:c>
      <x:c r="M8" s="47" t="str">
        <x:v>resp_0d178d8caf4ec6b4006a7d9c41110081939ca2490a3f14e926</x:v>
      </x:c>
      <x:c r="N8" s="59" t="n">
        <x:v>4039</x:v>
      </x:c>
      <x:c r="O8" s="59" t="n">
        <x:v>256</x:v>
      </x:c>
      <x:c r="P8" s="59" t="n">
        <x:v>4295</x:v>
      </x:c>
    </x:row>
    <x:row r="9">
      <x:c r="A9" s="47" t="str">
        <x:v>EVT-000029</x:v>
      </x:c>
      <x:c r="B9" s="47" t="str">
        <x:v>RUN-I2-022-20260813T102809926238Z</x:v>
      </x:c>
      <x:c r="C9" s="47" t="str">
        <x:v>I2-022</x:v>
      </x:c>
      <x:c r="D9" s="91" t="n">
        <x:v>46247.43638697916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2373.353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RUN-I2-022-20260813T102809926238Z</x:v>
      </x:c>
      <x:c r="C10" s="49" t="str">
        <x:v>I2-022</x:v>
      </x:c>
      <x:c r="D10" s="94" t="n">
        <x:v>46247.436387002315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2374.916</x:v>
      </x:c>
      <x:c r="L10" s="96" t="b">
        <x:v>0</x:v>
      </x:c>
      <x:c r="M10" s="49" t="str">
        <x:v>resp_0852d1da193bcea2006a7d9c459a0081968662dd5620a1221c</x:v>
      </x:c>
      <x:c r="N10" s="60" t="n">
        <x:v>2284</x:v>
      </x:c>
      <x:c r="O10" s="60" t="n">
        <x:v>107</x:v>
      </x:c>
      <x:c r="P10" s="60" t="n">
        <x:v>2391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7d6a4186c49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RUN-I2-022-20260813T102809926238Z</x:v>
      </x:c>
      <x:c r="B5" s="45" t="str">
        <x:v>I2-022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RUN-I2-022-20260813T102809926238Z</x:v>
      </x:c>
      <x:c r="B6" s="47" t="str">
        <x:v>I2-022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yieldStrength</x:v>
      </x:c>
      <x:c r="J6" s="47" t="n">
        <x:v>0</x:v>
      </x:c>
    </x:row>
    <x:row r="7">
      <x:c r="A7" s="47" t="str">
        <x:v>RUN-I2-022-20260813T102809926238Z</x:v>
      </x:c>
      <x:c r="B7" s="47" t="str">
        <x:v>I2-022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RUN-I2-022-20260813T102809926238Z</x:v>
      </x:c>
      <x:c r="B8" s="47" t="str">
        <x:v>I2-022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RUN-I2-022-20260813T102809926238Z</x:v>
      </x:c>
      <x:c r="B9" s="47" t="str">
        <x:v>I2-022</x:v>
      </x:c>
      <x:c r="C9" s="47" t="str">
        <x:v>shipComponent</x:v>
      </x:c>
      <x:c r="D9" s="48" t="str">
        <x:v>https://w3id.org/nltl-benchmark/vocab#shipComponent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9" t="str">
        <x:v>RUN-I2-022-20260813T102809926238Z</x:v>
      </x:c>
      <x:c r="B10" s="49" t="str">
        <x:v>I2-022</x:v>
      </x:c>
      <x:c r="C10" s="49" t="str">
        <x:v>yieldStrength</x:v>
      </x:c>
      <x:c r="D10" s="50" t="str">
        <x:v>https://w3id.org/nltl-benchmark/vocab#yieldStrength</x:v>
      </x:c>
      <x:c r="E10" s="49" t="str">
        <x:v>QuantityProperty</x:v>
      </x:c>
      <x:c r="F10" s="49" t="str"/>
      <x:c r="G10" s="49" t="str">
        <x:v>http://qudt.org/schema/qudt/QuantityValue</x:v>
      </x:c>
      <x:c r="H10" s="49" t="str">
        <x:v>http://qudt.org/vocab/unit/MegaPA</x:v>
      </x:c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8d0743710648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RUN-I2-022-20260813T102809926238Z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RUN-I2-022-20260813T102809926238Z</x:v>
      </x:c>
      <x:c r="B5" s="45" t="str">
        <x:v>I2-022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RUN-I2-022-20260813T102809926238Z</x:v>
      </x:c>
      <x:c r="B6" s="49" t="str">
        <x:v>I2-022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3b722e5f243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RUN-I2-022-20260813T102809926238Z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https://w3id.org/nltl-benchmark/vocab#ship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669216586044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RUN-I2-022-20260813T102809926238Z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RUN-I2-022-20260813T102809926238Z</x:v>
      </x:c>
      <x:c r="B5" s="45" t="str">
        <x:v>I2-022</x:v>
      </x:c>
      <x:c r="C5" s="58" t="n">
        <x:v>1</x:v>
      </x:c>
      <x:c r="D5" s="45" t="str">
        <x:v>matcher_search</x:v>
      </x:c>
      <x:c r="E5" s="46" t="str">
        <x:v>Replace the presence-only checks with the complete conditional formula constraint. Target ships, apply only to transversely framed plating with Omega &gt;= 70 degrees, including bottom plating in hull areas BI_b, M_b, and S_b, and validate reported net thickness against 500*s*sqrt((AF*PPF_p*P_avg)/sigma_y)/(1+s/(2*b)) in millimetres using tolerance scaled from the expected result rather than exact equality. Add all missing formula operands, applicability evidence, result paths, datatypes, units, and owner-correct constraints. Canonical terms for these missing concepts were not supplied, so run the variable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RUN-I2-022-20260813T102809926238Z</x:v>
      </x:c>
      <x:c r="B6" s="49" t="str">
        <x:v>I2-022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yield strength (sigma_y) with a pressure quantity range and MPa unit in the I2.4.2 formula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708870776e4f4a2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RUN-I2-022-20260813T102809926238Z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RUN-I2-022-20260813T102809926238Z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5c763b2ab3cba1b1cb2f0d3db650f297546c1c5d92fb66ed82196d6e44ead31b</x:v>
      </x:c>
      <x:c r="G5" s="58" t="n">
        <x:v>9042</x:v>
      </x:c>
    </x:row>
    <x:row r="6">
      <x:c r="A6" s="47" t="str">
        <x:v>RUN-I2-022-20260813T102809926238Z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d64c5ee8857b4b3d213f0ecbfc042e96265adbc1192df8cf1fb1c01574bf7ee6</x:v>
      </x:c>
      <x:c r="G6" s="59" t="n">
        <x:v>5365</x:v>
      </x:c>
    </x:row>
    <x:row r="7">
      <x:c r="A7" s="47" t="str">
        <x:v>RUN-I2-022-20260813T102809926238Z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e66648d31602e680686f8c49afa6dc4bc5bae1b0c37cb452b330ddd24d654830</x:v>
      </x:c>
      <x:c r="G7" s="59" t="n">
        <x:v>20292</x:v>
      </x:c>
    </x:row>
    <x:row r="8">
      <x:c r="A8" s="47" t="str">
        <x:v>RUN-I2-022-20260813T102809926238Z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6331171753215da6ae8bd1255fcf252179e4284d19ef883b8628f1257b373589</x:v>
      </x:c>
      <x:c r="G8" s="59" t="n">
        <x:v>1661</x:v>
      </x:c>
    </x:row>
    <x:row r="9">
      <x:c r="A9" s="47" t="str">
        <x:v>RUN-I2-022-20260813T102809926238Z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97987951bd4ca3d2983311bb970d36557efe84b1f77476cf9d1caf8afe5d579f</x:v>
      </x:c>
      <x:c r="G9" s="59" t="n">
        <x:v>1636</x:v>
      </x:c>
    </x:row>
    <x:row r="10">
      <x:c r="A10" s="47" t="str">
        <x:v>RUN-I2-022-20260813T102809926238Z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489b8602d0a48740674c7aa3ca397718e75b83eb6ed83d9dd2b97072b2020124</x:v>
      </x:c>
      <x:c r="G10" s="59" t="n">
        <x:v>562</x:v>
      </x:c>
    </x:row>
    <x:row r="11">
      <x:c r="A11" s="47" t="str">
        <x:v>RUN-I2-022-20260813T102809926238Z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b70d06df89df7f78064ec1125a4116b1d53da2d0df2404a5e1d8ebc0b797af8b</x:v>
      </x:c>
      <x:c r="G11" s="59" t="n">
        <x:v>15035</x:v>
      </x:c>
    </x:row>
    <x:row r="12">
      <x:c r="A12" s="47" t="str">
        <x:v>RUN-I2-022-20260813T102809926238Z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e305fe4561efadd395e0a5c6ed9d2a94f7e09773d1ac9314bf5e55581313ca68</x:v>
      </x:c>
      <x:c r="G12" s="59" t="n">
        <x:v>682</x:v>
      </x:c>
    </x:row>
    <x:row r="13">
      <x:c r="A13" s="47" t="str">
        <x:v>RUN-I2-022-20260813T102809926238Z</x:v>
      </x:c>
      <x:c r="B13" s="47" t="str">
        <x:v>I2-022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16c2d893e6d4c7e28c65e7ecd0c4dd551f7427f00c482bad1f41e4f6b2851f3d</x:v>
      </x:c>
      <x:c r="G13" s="59" t="n">
        <x:v>4742</x:v>
      </x:c>
    </x:row>
    <x:row r="14">
      <x:c r="A14" s="47" t="str">
        <x:v>RUN-I2-022-20260813T102809926238Z</x:v>
      </x:c>
      <x:c r="B14" s="47" t="str">
        <x:v>I2-022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ea9ea9c1a24e3ed40b048ba12b2724d60825e4b260c18a2d5b1eeed19d8b76c6</x:v>
      </x:c>
      <x:c r="G14" s="59" t="n">
        <x:v>7786</x:v>
      </x:c>
    </x:row>
    <x:row r="15">
      <x:c r="A15" s="49" t="str">
        <x:v>RUN-I2-022-20260813T102809926238Z</x:v>
      </x:c>
      <x:c r="B15" s="49" t="str">
        <x:v>I2-022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b2be2296fc9c53e3e3960b04fd38be1b82c69cebffcce976355453856a4f4643</x:v>
      </x:c>
      <x:c r="G15" s="60" t="n">
        <x:v>221</x:v>
      </x:c>
    </x:row>
  </x:sheetData>
  <x:pageMargins left="0.7" right="0.7" top="0.75" bottom="0.75" header="0.3" footer="0.3"/>
  <x:tableParts count="1">
    <x:tablePart xmlns:r="http://schemas.openxmlformats.org/officeDocument/2006/relationships" r:id="Rc0394b2a514648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RUN-I2-022-20260813T102809926238Z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RUN-I2-022-20260813T102809926238Z</x:v>
      </x:c>
      <x:c r="B5" s="69" t="str">
        <x:v>I2-022</x:v>
      </x:c>
      <x:c r="C5" s="71" t="n">
        <x:v>1</x:v>
      </x:c>
      <x:c r="D5" s="69" t="str">
        <x:v>TERM_RESOLUTION_UNRESOLVED</x:v>
      </x:c>
      <x:c r="E5" s="73" t="str">
        <x:v>No supplied candidate represents yield strength (sigma_y) with a pressure quantity range and MPa unit in the I2.4.2 formula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bbef4e8ba42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RUN-I2-022-20260813T102809926238Z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