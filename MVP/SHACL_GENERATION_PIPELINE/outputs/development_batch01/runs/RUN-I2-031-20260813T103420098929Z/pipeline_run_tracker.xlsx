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932e8ebdf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a9e40d59df4753"/>
    <x:sheet xmlns:r="http://schemas.openxmlformats.org/officeDocument/2006/relationships" name="README" sheetId="2" r:id="R1c5613eefcfe4e4b"/>
    <x:sheet xmlns:r="http://schemas.openxmlformats.org/officeDocument/2006/relationships" name="REGULATION_QUEUE" sheetId="3" r:id="Rc20737e824ef41f3"/>
    <x:sheet xmlns:r="http://schemas.openxmlformats.org/officeDocument/2006/relationships" name="RUNS" sheetId="4" r:id="Rf777984ee5ff416c"/>
    <x:sheet xmlns:r="http://schemas.openxmlformats.org/officeDocument/2006/relationships" name="ITERATIONS" sheetId="5" r:id="R7c376054802a4a2d"/>
    <x:sheet xmlns:r="http://schemas.openxmlformats.org/officeDocument/2006/relationships" name="API_CALLS" sheetId="6" r:id="R861cc11b08f34c7a"/>
    <x:sheet xmlns:r="http://schemas.openxmlformats.org/officeDocument/2006/relationships" name="TERM_RETRIEVAL" sheetId="7" r:id="Re4a14eee4d9a4138"/>
    <x:sheet xmlns:r="http://schemas.openxmlformats.org/officeDocument/2006/relationships" name="FEW_SHOT_SELECTION" sheetId="8" r:id="Reb7d9c3185934984"/>
    <x:sheet xmlns:r="http://schemas.openxmlformats.org/officeDocument/2006/relationships" name="VALIDATION" sheetId="9" r:id="Rf17d7a29d36d4b36"/>
    <x:sheet xmlns:r="http://schemas.openxmlformats.org/officeDocument/2006/relationships" name="VOCAB_MATCHES" sheetId="10" r:id="R9b09257d4f6342b8"/>
    <x:sheet xmlns:r="http://schemas.openxmlformats.org/officeDocument/2006/relationships" name="ARTIFACTS" sheetId="11" r:id="R4376d03dd909467b"/>
    <x:sheet xmlns:r="http://schemas.openxmlformats.org/officeDocument/2006/relationships" name="UNRESOLVED" sheetId="12" r:id="Rcc336891f5b74f22"/>
    <x:sheet xmlns:r="http://schemas.openxmlformats.org/officeDocument/2006/relationships" name="RDF_TEST_QUEUE" sheetId="13" r:id="R243769565a30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fa0f57355421c" /><Relationship Type="http://schemas.openxmlformats.org/officeDocument/2006/relationships/theme" Target="/xl/theme/theme1.xml" Id="R2042ba59b8334c3e" /><Relationship Type="http://schemas.microsoft.com/office/2022/11/relationships/FeaturePropertyBag" Target="/xl/featurePropertyBag/featurePropertyBag.xml" Id="Rb8f301fddef44aa8" /><Relationship Type="http://schemas.openxmlformats.org/officeDocument/2006/relationships/sharedStrings" Target="/xl/sharedStrings.xml" Id="R08bca41ee0934aad" /><Relationship Type="http://schemas.openxmlformats.org/officeDocument/2006/relationships/worksheet" Target="/xl/worksheets/sheet1.xml" Id="R7ba9e40d59df4753" /><Relationship Type="http://schemas.openxmlformats.org/officeDocument/2006/relationships/worksheet" Target="/xl/worksheets/sheet2.xml" Id="R1c5613eefcfe4e4b" /><Relationship Type="http://schemas.openxmlformats.org/officeDocument/2006/relationships/worksheet" Target="/xl/worksheets/sheet3.xml" Id="Rc20737e824ef41f3" /><Relationship Type="http://schemas.openxmlformats.org/officeDocument/2006/relationships/worksheet" Target="/xl/worksheets/sheet4.xml" Id="Rf777984ee5ff416c" /><Relationship Type="http://schemas.openxmlformats.org/officeDocument/2006/relationships/worksheet" Target="/xl/worksheets/sheet5.xml" Id="R7c376054802a4a2d" /><Relationship Type="http://schemas.openxmlformats.org/officeDocument/2006/relationships/worksheet" Target="/xl/worksheets/sheet6.xml" Id="R861cc11b08f34c7a" /><Relationship Type="http://schemas.openxmlformats.org/officeDocument/2006/relationships/worksheet" Target="/xl/worksheets/sheet7.xml" Id="Re4a14eee4d9a4138" /><Relationship Type="http://schemas.openxmlformats.org/officeDocument/2006/relationships/worksheet" Target="/xl/worksheets/sheet8.xml" Id="Reb7d9c3185934984" /><Relationship Type="http://schemas.openxmlformats.org/officeDocument/2006/relationships/worksheet" Target="/xl/worksheets/sheet9.xml" Id="Rf17d7a29d36d4b36" /><Relationship Type="http://schemas.openxmlformats.org/officeDocument/2006/relationships/worksheet" Target="/xl/worksheets/sheet10.xml" Id="R9b09257d4f6342b8" /><Relationship Type="http://schemas.openxmlformats.org/officeDocument/2006/relationships/worksheet" Target="/xl/worksheets/sheet11.xml" Id="R4376d03dd909467b" /><Relationship Type="http://schemas.openxmlformats.org/officeDocument/2006/relationships/worksheet" Target="/xl/worksheets/sheet12.xml" Id="Rcc336891f5b74f22" /><Relationship Type="http://schemas.openxmlformats.org/officeDocument/2006/relationships/worksheet" Target="/xl/worksheets/sheet13.xml" Id="R243769565a304d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76481db9e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a980ed53e841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de1bca175e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c300f4e8ce40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ff900bb3f54e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8b30f91f01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cb23dd25254c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9e0c2c402d41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64255f1fa04c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31c806a7c414d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a0e3aed1d76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RUN-I2-031-20260813T103420098929Z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8888.582416666666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RUN-I2-031-20260813T103420098929Z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876481db9e4d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TERM_RESOLUTION_UNRESOLVED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980ed53e841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RUN-I2-031-20260813T103420098929Z</x:v>
      </x:c>
      <x:c r="C5" s="69" t="str">
        <x:v>I2-031</x:v>
      </x:c>
      <x:c r="D5" s="70" t="n">
        <x:v>46247.44051040509</x:v>
      </x:c>
      <x:c r="E5" s="70" t="n">
        <x:v>46247.44114870371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numeric combined shear-and-bending effect, patch-load orientation, or frame-area/applicability relation; plasticStrength covers only the limiting strength quantity and must not be substituted for those absent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e1bca175e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RUN-I2-031-20260813T103420098929Z</x:v>
      </x:c>
      <x:c r="B5" s="45" t="str">
        <x:v>I2-031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 checks with the actual conditional engineering constraint: on the authoritative ship owner, determine applicability to bottom local frames in BIb/Mb/Sb and transverse side local frames; compare the numeric combined shear-and-bending effect against plastic strength in the correct direction (effect &lt;= strength); and, only for bottom structures, require evidence that patch-load dimension b is parallel to the frame direction. Do not require patchLoad universally. Preserve decimal QUDT values in kN, but locate canonical terms for the missing numeric combined effect, frame/area applicability, midspan-collapse-strength evidence, and patch-dimension orientation rather than using descriptive strings as substitutes.</x:v>
      </x:c>
      <x:c r="I5" s="81" t="n">
        <x:v>21974.336</x:v>
      </x:c>
      <x:c r="J5" s="81" t="n">
        <x:v>6350.739</x:v>
      </x:c>
    </x:row>
    <x:row r="6">
      <x:c r="A6" s="49" t="str">
        <x:v>RUN-I2-031-20260813T103420098929Z</x:v>
      </x:c>
      <x:c r="B6" s="49" t="str">
        <x:v>I2-031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shape only checks the datatype/unit of plasticStrength when present; add sh:minCount 1 and encode the substantive obligations: applicability to the specified bottom/local and transverse side frames, combined shear-and-bending effect &lt;= plastic strength with numeric quantities on the authoritative ship owner, evidence that plastic strength is the midspan load producing a plastic-collapse mechanism, and for bottom structures that patch-load dimension b is parallel to the frame direction. Use the matcher to locate canonical numeric combined-effect and patch-orientation/frame-area terms absent from the scoped vocabulary; do not invent terms or substitute presence-only checks.</x:v>
      </x:c>
      <x:c r="I6" s="83" t="n">
        <x:v>12105.351</x:v>
      </x:c>
      <x:c r="J6" s="83" t="n">
        <x:v>7388.773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300f4e8ce40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RUN-I2-031-20260813T103420098929Z</x:v>
      </x:c>
      <x:c r="C5" s="45" t="str">
        <x:v>I2-031</x:v>
      </x:c>
      <x:c r="D5" s="90" t="n">
        <x:v>46247.440764733794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21972.694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RUN-I2-031-20260813T103420098929Z</x:v>
      </x:c>
      <x:c r="C6" s="47" t="str">
        <x:v>I2-031</x:v>
      </x:c>
      <x:c r="D6" s="91" t="n">
        <x:v>46247.440764756946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21974.336</x:v>
      </x:c>
      <x:c r="L6" s="93" t="b">
        <x:v>0</x:v>
      </x:c>
      <x:c r="M6" s="47" t="str">
        <x:v>resp_0e8dba36f11d47fb006a7d9dada6ac819094ebfc217e4108eb</x:v>
      </x:c>
      <x:c r="N6" s="59" t="n">
        <x:v>5525</x:v>
      </x:c>
      <x:c r="O6" s="59" t="n">
        <x:v>1676</x:v>
      </x:c>
      <x:c r="P6" s="59" t="n">
        <x:v>7201</x:v>
      </x:c>
    </x:row>
    <x:row r="7">
      <x:c r="A7" s="47" t="str">
        <x:v>EVT-000026</x:v>
      </x:c>
      <x:c r="B7" s="47" t="str">
        <x:v>RUN-I2-031-20260813T103420098929Z</x:v>
      </x:c>
      <x:c r="C7" s="47" t="str">
        <x:v>I2-031</x:v>
      </x:c>
      <x:c r="D7" s="91" t="n">
        <x:v>46247.440839375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6349.012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RUN-I2-031-20260813T103420098929Z</x:v>
      </x:c>
      <x:c r="C8" s="47" t="str">
        <x:v>I2-031</x:v>
      </x:c>
      <x:c r="D8" s="91" t="n">
        <x:v>46247.44083939815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6350.739</x:v>
      </x:c>
      <x:c r="L8" s="93" t="b">
        <x:v>0</x:v>
      </x:c>
      <x:c r="M8" s="47" t="str">
        <x:v>resp_0a58d1d0187387fa006a7d9dc2501c8194b4a8709830645bed</x:v>
      </x:c>
      <x:c r="N8" s="59" t="n">
        <x:v>4983</x:v>
      </x:c>
      <x:c r="O8" s="59" t="n">
        <x:v>448</x:v>
      </x:c>
      <x:c r="P8" s="59" t="n">
        <x:v>5431</x:v>
      </x:c>
    </x:row>
    <x:row r="9">
      <x:c r="A9" s="47" t="str">
        <x:v>EVT-000033</x:v>
      </x:c>
      <x:c r="B9" s="47" t="str">
        <x:v>RUN-I2-031-20260813T103420098929Z</x:v>
      </x:c>
      <x:c r="C9" s="47" t="str">
        <x:v>I2-031</x:v>
      </x:c>
      <x:c r="D9" s="91" t="n">
        <x:v>46247.440880856484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2713.015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RUN-I2-031-20260813T103420098929Z</x:v>
      </x:c>
      <x:c r="C10" s="47" t="str">
        <x:v>I2-031</x:v>
      </x:c>
      <x:c r="D10" s="91" t="n">
        <x:v>46247.44088086805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2714.683</x:v>
      </x:c>
      <x:c r="L10" s="93" t="b">
        <x:v>0</x:v>
      </x:c>
      <x:c r="M10" s="47" t="str">
        <x:v>resp_0a64071fdb19280d006a7d9dc986c081948b0aa7e270051df8</x:v>
      </x:c>
      <x:c r="N10" s="59" t="n">
        <x:v>1917</x:v>
      </x:c>
      <x:c r="O10" s="59" t="n">
        <x:v>162</x:v>
      </x:c>
      <x:c r="P10" s="59" t="n">
        <x:v>2079</x:v>
      </x:c>
    </x:row>
    <x:row r="11">
      <x:c r="A11" s="47" t="str">
        <x:v>EVT-000051</x:v>
      </x:c>
      <x:c r="B11" s="47" t="str">
        <x:v>RUN-I2-031-20260813T103420098929Z</x:v>
      </x:c>
      <x:c r="C11" s="47" t="str">
        <x:v>I2-031</x:v>
      </x:c>
      <x:c r="D11" s="91" t="n">
        <x:v>46247.44102104167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12103.63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RUN-I2-031-20260813T103420098929Z</x:v>
      </x:c>
      <x:c r="C12" s="47" t="str">
        <x:v>I2-031</x:v>
      </x:c>
      <x:c r="D12" s="91" t="n">
        <x:v>46247.44102106481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12105.351</x:v>
      </x:c>
      <x:c r="L12" s="93" t="b">
        <x:v>0</x:v>
      </x:c>
      <x:c r="M12" s="47" t="str">
        <x:v>resp_0a1b5f5c2130c37a006a7d9dcc41d08196a6a7188f4f2cf9f6</x:v>
      </x:c>
      <x:c r="N12" s="59" t="n">
        <x:v>5736</x:v>
      </x:c>
      <x:c r="O12" s="59" t="n">
        <x:v>791</x:v>
      </x:c>
      <x:c r="P12" s="59" t="n">
        <x:v>6527</x:v>
      </x:c>
    </x:row>
    <x:row r="13">
      <x:c r="A13" s="47" t="str">
        <x:v>EVT-000059</x:v>
      </x:c>
      <x:c r="B13" s="47" t="str">
        <x:v>RUN-I2-031-20260813T103420098929Z</x:v>
      </x:c>
      <x:c r="C13" s="47" t="str">
        <x:v>I2-031</x:v>
      </x:c>
      <x:c r="D13" s="91" t="n">
        <x:v>46247.4411072338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7387.153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RUN-I2-031-20260813T103420098929Z</x:v>
      </x:c>
      <x:c r="C14" s="47" t="str">
        <x:v>I2-031</x:v>
      </x:c>
      <x:c r="D14" s="91" t="n">
        <x:v>46247.44110725694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7388.773</x:v>
      </x:c>
      <x:c r="L14" s="93" t="b">
        <x:v>0</x:v>
      </x:c>
      <x:c r="M14" s="47" t="str">
        <x:v>resp_0966a00772cfd168006a7d9dd869848190ba01dffaf333c9e1</x:v>
      </x:c>
      <x:c r="N14" s="59" t="n">
        <x:v>4316</x:v>
      </x:c>
      <x:c r="O14" s="59" t="n">
        <x:v>452</x:v>
      </x:c>
      <x:c r="P14" s="59" t="n">
        <x:v>4768</x:v>
      </x:c>
    </x:row>
    <x:row r="15">
      <x:c r="A15" s="47" t="str">
        <x:v>EVT-000066</x:v>
      </x:c>
      <x:c r="B15" s="47" t="str">
        <x:v>RUN-I2-031-20260813T103420098929Z</x:v>
      </x:c>
      <x:c r="C15" s="47" t="str">
        <x:v>I2-031</x:v>
      </x:c>
      <x:c r="D15" s="91" t="n">
        <x:v>46247.44114869213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2801.617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RUN-I2-031-20260813T103420098929Z</x:v>
      </x:c>
      <x:c r="C16" s="49" t="str">
        <x:v>I2-031</x:v>
      </x:c>
      <x:c r="D16" s="94" t="n">
        <x:v>46247.44114869213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2801.986</x:v>
      </x:c>
      <x:c r="L16" s="82" t="b">
        <x:v>0</x:v>
      </x:c>
      <x:c r="M16" s="49" t="str">
        <x:v>resp_08bfb93254aa14c4006a7d9de09d108197a36be7d833535f69</x:v>
      </x:c>
      <x:c r="N16" s="60" t="n">
        <x:v>1529</x:v>
      </x:c>
      <x:c r="O16" s="60" t="n">
        <x:v>171</x:v>
      </x:c>
      <x:c r="P16" s="60" t="n">
        <x:v>1700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f900bb3f54e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RUN-I2-031-20260813T103420098929Z</x:v>
      </x:c>
      <x:c r="B5" s="45" t="str">
        <x:v>I2-031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patchLoad; domain dependency of plasticCollapseMechanism; domain dependency of plasticStrength</x:v>
      </x:c>
      <x:c r="J5" s="45" t="n">
        <x:v>0</x:v>
      </x:c>
    </x:row>
    <x:row r="6">
      <x:c r="A6" s="47" t="str">
        <x:v>RUN-I2-031-20260813T103420098929Z</x:v>
      </x:c>
      <x:c r="B6" s="47" t="str">
        <x:v>I2-031</x:v>
      </x:c>
      <x:c r="C6" s="47" t="str">
        <x:v>combinedShearBendingEffect</x:v>
      </x:c>
      <x:c r="D6" s="48" t="str">
        <x:v>https://w3id.org/nltl-benchmark/vocab#combinedShearBendingEffect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RUN-I2-031-20260813T103420098929Z</x:v>
      </x:c>
      <x:c r="B7" s="47" t="str">
        <x:v>I2-031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RUN-I2-031-20260813T103420098929Z</x:v>
      </x:c>
      <x:c r="B8" s="47" t="str">
        <x:v>I2-031</x:v>
      </x:c>
      <x:c r="C8" s="47" t="str">
        <x:v>hullStructure</x:v>
      </x:c>
      <x:c r="D8" s="48" t="str">
        <x:v>https://w3id.org/nltl-benchmark/vocab#hullStructure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localFrame</x:v>
      </x:c>
      <x:c r="J8" s="47" t="n">
        <x:v>0</x:v>
      </x:c>
    </x:row>
    <x:row r="9">
      <x:c r="A9" s="47" t="str">
        <x:v>RUN-I2-031-20260813T103420098929Z</x:v>
      </x:c>
      <x:c r="B9" s="47" t="str">
        <x:v>I2-031</x:v>
      </x:c>
      <x:c r="C9" s="47" t="str">
        <x:v>localFrame</x:v>
      </x:c>
      <x:c r="D9" s="48" t="str">
        <x:v>https://w3id.org/nltl-benchmark/vocab#localFrame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RUN-I2-031-20260813T103420098929Z</x:v>
      </x:c>
      <x:c r="B10" s="47" t="str">
        <x:v>I2-031</x:v>
      </x:c>
      <x:c r="C10" s="47" t="str">
        <x:v>patchLoad</x:v>
      </x:c>
      <x:c r="D10" s="48" t="str">
        <x:v>https://w3id.org/nltl-benchmark/vocab#patchLoad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RUN-I2-031-20260813T103420098929Z</x:v>
      </x:c>
      <x:c r="B11" s="47" t="str">
        <x:v>I2-031</x:v>
      </x:c>
      <x:c r="C11" s="47" t="str">
        <x:v>plasticCollapseMechanism</x:v>
      </x:c>
      <x:c r="D11" s="48" t="str">
        <x:v>https://w3id.org/nltl-benchmark/vocab#plasticCollapseMechanism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RUN-I2-031-20260813T103420098929Z</x:v>
      </x:c>
      <x:c r="B12" s="47" t="str">
        <x:v>I2-031</x:v>
      </x:c>
      <x:c r="C12" s="47" t="str">
        <x:v>plasticStrength</x:v>
      </x:c>
      <x:c r="D12" s="48" t="str">
        <x:v>https://w3id.org/nltl-benchmark/vocab#plasticStrength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RUN-I2-031-20260813T103420098929Z</x:v>
      </x:c>
      <x:c r="B13" s="47" t="str">
        <x:v>I2-031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RUN-I2-031-20260813T103420098929Z</x:v>
      </x:c>
      <x:c r="B14" s="47" t="str">
        <x:v>I2-031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RUN-I2-031-20260813T103420098929Z</x:v>
      </x:c>
      <x:c r="B15" s="47" t="str">
        <x:v>I2-031</x:v>
      </x:c>
      <x:c r="C15" s="47" t="str">
        <x:v>benchmarkEntity</x:v>
      </x:c>
      <x:c r="D15" s="48" t="str">
        <x:v>https://w3id.org/nltl-benchmark/vocab#benchmarkEntity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combinedShearBendingEffect; domain dependency of patchLoad; domain dependency of plasticCollapseMechanism; domain dependency of plasticStrength</x:v>
      </x:c>
      <x:c r="J15" s="47" t="n">
        <x:v>2</x:v>
      </x:c>
    </x:row>
    <x:row r="16">
      <x:c r="A16" s="47" t="str">
        <x:v>RUN-I2-031-20260813T103420098929Z</x:v>
      </x:c>
      <x:c r="B16" s="47" t="str">
        <x:v>I2-031</x:v>
      </x:c>
      <x:c r="C16" s="47" t="str">
        <x:v>combinedShearBendingEffect</x:v>
      </x:c>
      <x:c r="D16" s="48" t="str">
        <x:v>https://w3id.org/nltl-benchmark/vocab#combinedShearBendingEffect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RUN-I2-031-20260813T103420098929Z</x:v>
      </x:c>
      <x:c r="B17" s="47" t="str">
        <x:v>I2-031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2</x:v>
      </x:c>
    </x:row>
    <x:row r="18">
      <x:c r="A18" s="47" t="str">
        <x:v>RUN-I2-031-20260813T103420098929Z</x:v>
      </x:c>
      <x:c r="B18" s="47" t="str">
        <x:v>I2-031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localFrame</x:v>
      </x:c>
      <x:c r="J18" s="47" t="n">
        <x:v>2</x:v>
      </x:c>
    </x:row>
    <x:row r="19">
      <x:c r="A19" s="47" t="str">
        <x:v>RUN-I2-031-20260813T103420098929Z</x:v>
      </x:c>
      <x:c r="B19" s="47" t="str">
        <x:v>I2-031</x:v>
      </x:c>
      <x:c r="C19" s="47" t="str">
        <x:v>localFrame</x:v>
      </x:c>
      <x:c r="D19" s="48" t="str">
        <x:v>https://w3id.org/nltl-benchmark/vocab#localFrame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RUN-I2-031-20260813T103420098929Z</x:v>
      </x:c>
      <x:c r="B20" s="47" t="str">
        <x:v>I2-031</x:v>
      </x:c>
      <x:c r="C20" s="47" t="str">
        <x:v>patchLoad</x:v>
      </x:c>
      <x:c r="D20" s="48" t="str">
        <x:v>https://w3id.org/nltl-benchmark/vocab#patchLoad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http://qudt.org/vocab/unit/KiloN</x:v>
      </x:c>
      <x:c r="I20" s="48" t="str">
        <x:v>linked by the locked 313-requirement index</x:v>
      </x:c>
      <x:c r="J20" s="47" t="n">
        <x:v>2</x:v>
      </x:c>
    </x:row>
    <x:row r="21">
      <x:c r="A21" s="47" t="str">
        <x:v>RUN-I2-031-20260813T103420098929Z</x:v>
      </x:c>
      <x:c r="B21" s="47" t="str">
        <x:v>I2-031</x:v>
      </x:c>
      <x:c r="C21" s="47" t="str">
        <x:v>plasticCollapseMechanism</x:v>
      </x:c>
      <x:c r="D21" s="48" t="str">
        <x:v>https://w3id.org/nltl-benchmark/vocab#plasticCollapseMechanism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RUN-I2-031-20260813T103420098929Z</x:v>
      </x:c>
      <x:c r="B22" s="47" t="str">
        <x:v>I2-031</x:v>
      </x:c>
      <x:c r="C22" s="47" t="str">
        <x:v>plasticStrength</x:v>
      </x:c>
      <x:c r="D22" s="48" t="str">
        <x:v>https://w3id.org/nltl-benchmark/vocab#plasticStrength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</x:v>
      </x:c>
      <x:c r="I22" s="48" t="str">
        <x:v>linked by the locked 313-requirement index; verified vocabulary-matcher addition</x:v>
      </x:c>
      <x:c r="J22" s="47" t="n">
        <x:v>2</x:v>
      </x:c>
    </x:row>
    <x:row r="23">
      <x:c r="A23" s="47" t="str">
        <x:v>RUN-I2-031-20260813T103420098929Z</x:v>
      </x:c>
      <x:c r="B23" s="47" t="str">
        <x:v>I2-031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</x:v>
      </x:c>
      <x:c r="J23" s="47" t="n">
        <x:v>2</x:v>
      </x:c>
    </x:row>
    <x:row r="24">
      <x:c r="A24" s="49" t="str">
        <x:v>RUN-I2-031-20260813T103420098929Z</x:v>
      </x:c>
      <x:c r="B24" s="49" t="str">
        <x:v>I2-031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d8b30f91f0144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RUN-I2-031-20260813T103420098929Z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RUN-I2-031-20260813T103420098929Z</x:v>
      </x:c>
      <x:c r="B5" s="45" t="str">
        <x:v>I2-031</x:v>
      </x:c>
      <x:c r="C5" s="45" t="str">
        <x:v>FS-REL-01</x:v>
      </x:c>
      <x:c r="D5" s="45" t="str">
        <x:v>entity_relation</x:v>
      </x:c>
      <x:c r="E5" s="97" t="n">
        <x:v>0.044118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RUN-I2-031-20260813T103420098929Z</x:v>
      </x:c>
      <x:c r="B6" s="49" t="str">
        <x:v>I2-031</x:v>
      </x:c>
      <x:c r="C6" s="49" t="str">
        <x:v>FS-REL-02</x:v>
      </x:c>
      <x:c r="D6" s="49" t="str">
        <x:v>entity_relation</x:v>
      </x:c>
      <x:c r="E6" s="98" t="n">
        <x:v>0.044118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b23dd25254c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RUN-I2-031-20260813T103420098929Z</x:v>
      </x:c>
      <x:c r="B5" s="45" t="str">
        <x:v>I2-031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https://w3id.org/nltl-benchmark/vocab#combinedShearBendingEffect | https://w3id.org/nltl-benchmark/vocab#patchLoad | https://w3id.org/nltl-benchmark/vocab#plasticCollapseMechanism | https://w3id.org/nltl-benchmark/vocab#plasticStrength | https://w3id.org/nltl-benchmark/vocab#ship</x:v>
      </x:c>
      <x:c r="O5" s="46" t="str"/>
      <x:c r="P5" s="46" t="str"/>
      <x:c r="Q5" s="46" t="str"/>
    </x:row>
    <x:row r="6">
      <x:c r="A6" s="49" t="str">
        <x:v>RUN-I2-031-20260813T103420098929Z</x:v>
      </x:c>
      <x:c r="B6" s="49" t="str">
        <x:v>I2-031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https://w3id.org/nltl-benchmark/vocab#plasticStrength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d9e0c2c402d41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RUN-I2-031-20260813T103420098929Z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RUN-I2-031-20260813T103420098929Z</x:v>
      </x:c>
      <x:c r="B5" s="45" t="str">
        <x:v>I2-031</x:v>
      </x:c>
      <x:c r="C5" s="58" t="n">
        <x:v>1</x:v>
      </x:c>
      <x:c r="D5" s="45" t="str">
        <x:v>matcher_search</x:v>
      </x:c>
      <x:c r="E5" s="46" t="str">
        <x:v>Replace the presence-only checks with the actual conditional engineering constraint: on the authoritative ship owner, determine applicability to bottom local frames in BIb/Mb/Sb and transverse side local frames; compare the numeric combined shear-and-bending effect against plastic strength in the correct direction (effect &lt;= strength); and, only for bottom structures, require evidence that patch-load dimension b is parallel to the frame direction. Do not require patchLoad universally. Preserve decimal QUDT values in kN, but locate canonical terms for the missing numeric combined effect, frame/area applicability, midspan-collapse-strength evidence, and patch-dimension orientation rather than using descriptive strings as substitutes.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RUN-I2-031-20260813T103420098929Z</x:v>
      </x:c>
      <x:c r="B6" s="47" t="str">
        <x:v>I2-031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plasticStrength</x:v>
      </x:c>
      <x:c r="I6" s="48" t="str">
        <x:v>https://w3id.org/nltl-benchmark/vocab#plasticStrength</x:v>
      </x:c>
      <x:c r="J6" s="48" t="str">
        <x:v>Use this exact term because it is the canonical QuantityProperty for the member’s plastic strength in clause I2.6.1, represented as a QUDT QuantityValue in kN and suitable for the numeric effect &lt;= strength comparison.</x:v>
      </x:c>
    </x:row>
    <x:row r="7">
      <x:c r="A7" s="47" t="str">
        <x:v>RUN-I2-031-20260813T103420098929Z</x:v>
      </x:c>
      <x:c r="B7" s="47" t="str">
        <x:v>I2-031</x:v>
      </x:c>
      <x:c r="C7" s="59" t="n">
        <x:v>2</x:v>
      </x:c>
      <x:c r="D7" s="47" t="str">
        <x:v>matcher_search</x:v>
      </x:c>
      <x:c r="E7" s="48" t="str">
        <x:v>The shape only checks the datatype/unit of plasticStrength when present; add sh:minCount 1 and encode the substantive obligations: applicability to the specified bottom/local and transverse side frames, combined shear-and-bending effect &lt;= plastic strength with numeric quantities on the authoritative ship owner, evidence that plastic strength is the midspan load producing a plastic-collapse mechanism, and for bottom structures that patch-load dimension b is parallel to the frame direction. Use the matcher to locate canonical numeric combined-effect and patch-orientation/frame-area terms absent from the scoped vocabulary; do not invent terms or substitute presence-only checks.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RUN-I2-031-20260813T103420098929Z</x:v>
      </x:c>
      <x:c r="B8" s="49" t="str">
        <x:v>I2-031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the required numeric combined shear-and-bending effect, patch-load orientation, or frame-area/applicability relation; plasticStrength covers only the limiting strength quantity and must not be substituted for those absent terms.</x:v>
      </x:c>
    </x:row>
  </x:sheetData>
  <x:pageMargins left="0.7" right="0.7" top="0.75" bottom="0.75" header="0.3" footer="0.3"/>
  <x:tableParts count="1">
    <x:tablePart xmlns:r="http://schemas.openxmlformats.org/officeDocument/2006/relationships" r:id="R8864255f1fa04c6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RUN-I2-031-20260813T103420098929Z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RUN-I2-031-20260813T103420098929Z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1258cf7c9a8df72c6291e3f6edd5970a3b2f93d788a3a57ce40ca865a1edda86</x:v>
      </x:c>
      <x:c r="G5" s="58" t="n">
        <x:v>12959</x:v>
      </x:c>
    </x:row>
    <x:row r="6">
      <x:c r="A6" s="47" t="str">
        <x:v>RUN-I2-031-20260813T103420098929Z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e3fc275e9010fb5614002efdf83871bd7df7dbb86181e9421bef7437b1069a61</x:v>
      </x:c>
      <x:c r="G6" s="59" t="n">
        <x:v>3926</x:v>
      </x:c>
    </x:row>
    <x:row r="7">
      <x:c r="A7" s="47" t="str">
        <x:v>RUN-I2-031-20260813T103420098929Z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cfbf7d734f5b6983933b2d381fbf6a4d2540de3d477085b6bd8a72bb243e6e31</x:v>
      </x:c>
      <x:c r="G7" s="59" t="n">
        <x:v>22769</x:v>
      </x:c>
    </x:row>
    <x:row r="8">
      <x:c r="A8" s="47" t="str">
        <x:v>RUN-I2-031-20260813T103420098929Z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a1a1c89fb45704bb0c5bcd5005edc4369e05c5101ca150e792c64e5af7e07771</x:v>
      </x:c>
      <x:c r="G8" s="59" t="n">
        <x:v>1911</x:v>
      </x:c>
    </x:row>
    <x:row r="9">
      <x:c r="A9" s="47" t="str">
        <x:v>RUN-I2-031-20260813T103420098929Z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0f16f188370915f27d8c8fa7b8362b9542a07b7e2d02a5bb1e74f6eacb2f13b1</x:v>
      </x:c>
      <x:c r="G9" s="59" t="n">
        <x:v>1886</x:v>
      </x:c>
    </x:row>
    <x:row r="10">
      <x:c r="A10" s="47" t="str">
        <x:v>RUN-I2-031-20260813T103420098929Z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54f3b8bb94ea81e5a46d7119d904ffee114ca3a56e86ae85e1317d1ed1045b57</x:v>
      </x:c>
      <x:c r="G10" s="59" t="n">
        <x:v>697</x:v>
      </x:c>
    </x:row>
    <x:row r="11">
      <x:c r="A11" s="47" t="str">
        <x:v>RUN-I2-031-20260813T103420098929Z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8dd4e805d2a785297df934490b6481753985b716b6e33a4c1a0870e06b0be87f</x:v>
      </x:c>
      <x:c r="G11" s="59" t="n">
        <x:v>20024</x:v>
      </x:c>
    </x:row>
    <x:row r="12">
      <x:c r="A12" s="47" t="str">
        <x:v>RUN-I2-031-20260813T103420098929Z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86e8b61ca4a059a209ca9cfb07576159d3dbe23e28f106d16438f046a1c38669</x:v>
      </x:c>
      <x:c r="G12" s="59" t="n">
        <x:v>804</x:v>
      </x:c>
    </x:row>
    <x:row r="13">
      <x:c r="A13" s="47" t="str">
        <x:v>RUN-I2-031-20260813T103420098929Z</x:v>
      </x:c>
      <x:c r="B13" s="47" t="str">
        <x:v>I2-031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336a0c413a4b147bd91c465b831501374d7a84adbf32a37f40eefcb6c2df304d</x:v>
      </x:c>
      <x:c r="G13" s="59" t="n">
        <x:v>3682</x:v>
      </x:c>
    </x:row>
    <x:row r="14">
      <x:c r="A14" s="47" t="str">
        <x:v>RUN-I2-031-20260813T103420098929Z</x:v>
      </x:c>
      <x:c r="B14" s="47" t="str">
        <x:v>I2-031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379ced20e4a715e884783502348a472dbf1b32092e04b1de78b872a497dbc49f</x:v>
      </x:c>
      <x:c r="G14" s="59" t="n">
        <x:v>7575</x:v>
      </x:c>
    </x:row>
    <x:row r="15">
      <x:c r="A15" s="47" t="str">
        <x:v>RUN-I2-031-20260813T103420098929Z</x:v>
      </x:c>
      <x:c r="B15" s="47" t="str">
        <x:v>I2-031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9863d45fa728829066af76d947350a6c0d85b2fd23fa611c686ad70541e00a04</x:v>
      </x:c>
      <x:c r="G15" s="59" t="n">
        <x:v>376</x:v>
      </x:c>
    </x:row>
    <x:row r="16">
      <x:c r="A16" s="47" t="str">
        <x:v>RUN-I2-031-20260813T103420098929Z</x:v>
      </x:c>
      <x:c r="B16" s="47" t="str">
        <x:v>I2-031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7ce5e99f3b297df6045c2f44f312d694a0f17daa1c60c66333b771f46ebbccb5</x:v>
      </x:c>
      <x:c r="G16" s="59" t="n">
        <x:v>12997</x:v>
      </x:c>
    </x:row>
    <x:row r="17">
      <x:c r="A17" s="47" t="str">
        <x:v>RUN-I2-031-20260813T103420098929Z</x:v>
      </x:c>
      <x:c r="B17" s="47" t="str">
        <x:v>I2-031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218dc6fc264a04caa9681fa8b02ba0e5552ad2e93a2f6775beef1cd65da523ed</x:v>
      </x:c>
      <x:c r="G17" s="59" t="n">
        <x:v>23872</x:v>
      </x:c>
    </x:row>
    <x:row r="18">
      <x:c r="A18" s="47" t="str">
        <x:v>RUN-I2-031-20260813T103420098929Z</x:v>
      </x:c>
      <x:c r="B18" s="47" t="str">
        <x:v>I2-031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c32fb65c26aec1aca2d8bd214cd04b8b7a60a72e9fb5aa5989030a4a705aa294</x:v>
      </x:c>
      <x:c r="G18" s="59" t="n">
        <x:v>967</x:v>
      </x:c>
    </x:row>
    <x:row r="19">
      <x:c r="A19" s="47" t="str">
        <x:v>RUN-I2-031-20260813T103420098929Z</x:v>
      </x:c>
      <x:c r="B19" s="47" t="str">
        <x:v>I2-031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db7e6713fd8c3608d2896e283661c4b65d884ad62d3298e1c6c8c1deb8c4b051</x:v>
      </x:c>
      <x:c r="G19" s="59" t="n">
        <x:v>942</x:v>
      </x:c>
    </x:row>
    <x:row r="20">
      <x:c r="A20" s="47" t="str">
        <x:v>RUN-I2-031-20260813T103420098929Z</x:v>
      </x:c>
      <x:c r="B20" s="47" t="str">
        <x:v>I2-031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fe8039e67f2e4ee8d6372e12e9e27d126b7f3508f69eb26687e01b1f92171f51</x:v>
      </x:c>
      <x:c r="G20" s="59" t="n">
        <x:v>500</x:v>
      </x:c>
    </x:row>
    <x:row r="21">
      <x:c r="A21" s="47" t="str">
        <x:v>RUN-I2-031-20260813T103420098929Z</x:v>
      </x:c>
      <x:c r="B21" s="47" t="str">
        <x:v>I2-031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36ff078aad7a30436b01d8337d4f0d91508d59f75494afe04aa39b33a237529c</x:v>
      </x:c>
      <x:c r="G21" s="59" t="n">
        <x:v>17667</x:v>
      </x:c>
    </x:row>
    <x:row r="22">
      <x:c r="A22" s="47" t="str">
        <x:v>RUN-I2-031-20260813T103420098929Z</x:v>
      </x:c>
      <x:c r="B22" s="47" t="str">
        <x:v>I2-031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eb0d47ca53dbc89bede021073cfba7a7eb337f2e9e8feda0c8d3d937859409dd</x:v>
      </x:c>
      <x:c r="G22" s="59" t="n">
        <x:v>747</x:v>
      </x:c>
    </x:row>
    <x:row r="23">
      <x:c r="A23" s="47" t="str">
        <x:v>RUN-I2-031-20260813T103420098929Z</x:v>
      </x:c>
      <x:c r="B23" s="47" t="str">
        <x:v>I2-031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579f19b376dfbff8403c5f2b52e7c87a0d04f2fd87463f81b70c22c5aff9ed2e</x:v>
      </x:c>
      <x:c r="G23" s="59" t="n">
        <x:v>2400</x:v>
      </x:c>
    </x:row>
    <x:row r="24">
      <x:c r="A24" s="47" t="str">
        <x:v>RUN-I2-031-20260813T103420098929Z</x:v>
      </x:c>
      <x:c r="B24" s="47" t="str">
        <x:v>I2-031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7a72b7142176a9df665238c944c2dd9aa08d0b3232d8deaed75f935a8a89b6e6</x:v>
      </x:c>
      <x:c r="G24" s="59" t="n">
        <x:v>6160</x:v>
      </x:c>
    </x:row>
    <x:row r="25">
      <x:c r="A25" s="49" t="str">
        <x:v>RUN-I2-031-20260813T103420098929Z</x:v>
      </x:c>
      <x:c r="B25" s="49" t="str">
        <x:v>I2-031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973cfcd59c23ad049eac07735ae10a70b271addd03442fa79fcd8376be5b0290</x:v>
      </x:c>
      <x:c r="G25" s="60" t="n"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c31c806a7c414d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RUN-I2-031-20260813T103420098929Z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RUN-I2-031-20260813T103420098929Z</x:v>
      </x:c>
      <x:c r="B5" s="69" t="str">
        <x:v>I2-031</x:v>
      </x:c>
      <x:c r="C5" s="71" t="n">
        <x:v>2</x:v>
      </x:c>
      <x:c r="D5" s="69" t="str">
        <x:v>TERM_RESOLUTION_UNRESOLVED</x:v>
      </x:c>
      <x:c r="E5" s="73" t="str">
        <x:v>No supplied candidate represents the required numeric combined shear-and-bending effect, patch-load orientation, or frame-area/applicability relation; plasticStrength covers only the limiting strength quantity and must not be substituted for those absent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e3aed1d7640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RUN-I2-031-20260813T103420098929Z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