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58e790bdc7e4918" /></Relationships>
</file>

<file path=xl/workbook.xml><?xml version="1.0" encoding="utf-8"?>
<x:workbook xmlns:x="http://schemas.openxmlformats.org/spreadsheetml/2006/main">
  <x:sheets>
    <x:sheet xmlns:r="http://schemas.openxmlformats.org/officeDocument/2006/relationships" name="SUMMARY" sheetId="1" r:id="R49fa5e0e36b042e4"/>
    <x:sheet xmlns:r="http://schemas.openxmlformats.org/officeDocument/2006/relationships" name="README" sheetId="2" r:id="R93db8873ad734ca2"/>
    <x:sheet xmlns:r="http://schemas.openxmlformats.org/officeDocument/2006/relationships" name="REGULATION_QUEUE" sheetId="3" r:id="R74ee4a1a34a84f7f"/>
    <x:sheet xmlns:r="http://schemas.openxmlformats.org/officeDocument/2006/relationships" name="RUNS" sheetId="4" r:id="R6bed6fc5bb8840d1"/>
    <x:sheet xmlns:r="http://schemas.openxmlformats.org/officeDocument/2006/relationships" name="ITERATIONS" sheetId="5" r:id="R11f3706f499a4e3c"/>
    <x:sheet xmlns:r="http://schemas.openxmlformats.org/officeDocument/2006/relationships" name="API_CALLS" sheetId="6" r:id="Ra8e1850276e04b71"/>
    <x:sheet xmlns:r="http://schemas.openxmlformats.org/officeDocument/2006/relationships" name="TERM_RETRIEVAL" sheetId="7" r:id="R285109ec65634833"/>
    <x:sheet xmlns:r="http://schemas.openxmlformats.org/officeDocument/2006/relationships" name="FEW_SHOT_SELECTION" sheetId="8" r:id="Rf87da426486b4905"/>
    <x:sheet xmlns:r="http://schemas.openxmlformats.org/officeDocument/2006/relationships" name="VALIDATION" sheetId="9" r:id="Re9dce6c651fd495e"/>
    <x:sheet xmlns:r="http://schemas.openxmlformats.org/officeDocument/2006/relationships" name="VOCAB_MATCHES" sheetId="10" r:id="R902f6bf065fa4350"/>
    <x:sheet xmlns:r="http://schemas.openxmlformats.org/officeDocument/2006/relationships" name="ARTIFACTS" sheetId="11" r:id="R44ce13fd61d544a1"/>
    <x:sheet xmlns:r="http://schemas.openxmlformats.org/officeDocument/2006/relationships" name="UNRESOLVED" sheetId="12" r:id="R2854b9b273524255"/>
    <x:sheet xmlns:r="http://schemas.openxmlformats.org/officeDocument/2006/relationships" name="RDF_TEST_QUEUE" sheetId="13" r:id="Rfe087bd2851a4f7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c668abe0cfc447c" /><Relationship Type="http://schemas.openxmlformats.org/officeDocument/2006/relationships/theme" Target="/xl/theme/theme1.xml" Id="Rd3e07cc44872480a" /><Relationship Type="http://schemas.microsoft.com/office/2022/11/relationships/FeaturePropertyBag" Target="/xl/featurePropertyBag/featurePropertyBag.xml" Id="Rcf29fe18278c466f" /><Relationship Type="http://schemas.openxmlformats.org/officeDocument/2006/relationships/sharedStrings" Target="/xl/sharedStrings.xml" Id="R039f1440e2674eb2" /><Relationship Type="http://schemas.openxmlformats.org/officeDocument/2006/relationships/worksheet" Target="/xl/worksheets/sheet1.xml" Id="R49fa5e0e36b042e4" /><Relationship Type="http://schemas.openxmlformats.org/officeDocument/2006/relationships/worksheet" Target="/xl/worksheets/sheet2.xml" Id="R93db8873ad734ca2" /><Relationship Type="http://schemas.openxmlformats.org/officeDocument/2006/relationships/worksheet" Target="/xl/worksheets/sheet3.xml" Id="R74ee4a1a34a84f7f" /><Relationship Type="http://schemas.openxmlformats.org/officeDocument/2006/relationships/worksheet" Target="/xl/worksheets/sheet4.xml" Id="R6bed6fc5bb8840d1" /><Relationship Type="http://schemas.openxmlformats.org/officeDocument/2006/relationships/worksheet" Target="/xl/worksheets/sheet5.xml" Id="R11f3706f499a4e3c" /><Relationship Type="http://schemas.openxmlformats.org/officeDocument/2006/relationships/worksheet" Target="/xl/worksheets/sheet6.xml" Id="Ra8e1850276e04b71" /><Relationship Type="http://schemas.openxmlformats.org/officeDocument/2006/relationships/worksheet" Target="/xl/worksheets/sheet7.xml" Id="R285109ec65634833" /><Relationship Type="http://schemas.openxmlformats.org/officeDocument/2006/relationships/worksheet" Target="/xl/worksheets/sheet8.xml" Id="Rf87da426486b4905" /><Relationship Type="http://schemas.openxmlformats.org/officeDocument/2006/relationships/worksheet" Target="/xl/worksheets/sheet9.xml" Id="Re9dce6c651fd495e" /><Relationship Type="http://schemas.openxmlformats.org/officeDocument/2006/relationships/worksheet" Target="/xl/worksheets/sheet10.xml" Id="R902f6bf065fa4350" /><Relationship Type="http://schemas.openxmlformats.org/officeDocument/2006/relationships/worksheet" Target="/xl/worksheets/sheet11.xml" Id="R44ce13fd61d544a1" /><Relationship Type="http://schemas.openxmlformats.org/officeDocument/2006/relationships/worksheet" Target="/xl/worksheets/sheet12.xml" Id="R2854b9b273524255" /><Relationship Type="http://schemas.openxmlformats.org/officeDocument/2006/relationships/worksheet" Target="/xl/worksheets/sheet13.xml" Id="Rfe087bd2851a4f7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8a6c16de95a4ec3" /></Relationships>
</file>

<file path=xl/worksheets/_rels/sheet3.xml.rels>&#65279;<?xml version="1.0" encoding="utf-8"?><Relationships xmlns="http://schemas.openxmlformats.org/package/2006/relationships"><Relationship Type="http://schemas.openxmlformats.org/officeDocument/2006/relationships/table" Target="/xl/tables/table2.xml" Id="R50e7f09640d44371" /></Relationships>
</file>

<file path=xl/worksheets/_rels/sheet4.xml.rels>&#65279;<?xml version="1.0" encoding="utf-8"?><Relationships xmlns="http://schemas.openxmlformats.org/package/2006/relationships"><Relationship Type="http://schemas.openxmlformats.org/officeDocument/2006/relationships/table" Target="/xl/tables/table3.xml" Id="R0141b6dd830f407e" /></Relationships>
</file>

<file path=xl/worksheets/_rels/sheet5.xml.rels>&#65279;<?xml version="1.0" encoding="utf-8"?><Relationships xmlns="http://schemas.openxmlformats.org/package/2006/relationships"><Relationship Type="http://schemas.openxmlformats.org/officeDocument/2006/relationships/table" Target="/xl/tables/table4.xml" Id="R02198062c46b4c7f" /></Relationships>
</file>

<file path=xl/worksheets/_rels/sheet6.xml.rels>&#65279;<?xml version="1.0" encoding="utf-8"?><Relationships xmlns="http://schemas.openxmlformats.org/package/2006/relationships"><Relationship Type="http://schemas.openxmlformats.org/officeDocument/2006/relationships/table" Target="/xl/tables/table5.xml" Id="Rb8e2e5ad3e334433" /></Relationships>
</file>

<file path=xl/worksheets/_rels/sheet7.xml.rels>&#65279;<?xml version="1.0" encoding="utf-8"?><Relationships xmlns="http://schemas.openxmlformats.org/package/2006/relationships"><Relationship Type="http://schemas.openxmlformats.org/officeDocument/2006/relationships/table" Target="/xl/tables/table6.xml" Id="Rc5d0432b1c0d4401" /></Relationships>
</file>

<file path=xl/worksheets/_rels/sheet8.xml.rels>&#65279;<?xml version="1.0" encoding="utf-8"?><Relationships xmlns="http://schemas.openxmlformats.org/package/2006/relationships"><Relationship Type="http://schemas.openxmlformats.org/officeDocument/2006/relationships/table" Target="/xl/tables/table7.xml" Id="R60aa30d1a8da4017" /></Relationships>
</file>

<file path=xl/worksheets/_rels/sheet9.xml.rels>&#65279;<?xml version="1.0" encoding="utf-8"?><Relationships xmlns="http://schemas.openxmlformats.org/package/2006/relationships"><Relationship Type="http://schemas.openxmlformats.org/officeDocument/2006/relationships/table" Target="/xl/tables/table8.xml" Id="R93f215a0ddd241ca" /></Relationships>
</file>

<file path=xl/worksheets/_rels/sheet10.xml.rels>&#65279;<?xml version="1.0" encoding="utf-8"?><Relationships xmlns="http://schemas.openxmlformats.org/package/2006/relationships"><Relationship Type="http://schemas.openxmlformats.org/officeDocument/2006/relationships/table" Target="/xl/tables/table9.xml" Id="Rc12f981df67a4914" /></Relationships>
</file>

<file path=xl/worksheets/_rels/sheet11.xml.rels>&#65279;<?xml version="1.0" encoding="utf-8"?><Relationships xmlns="http://schemas.openxmlformats.org/package/2006/relationships"><Relationship Type="http://schemas.openxmlformats.org/officeDocument/2006/relationships/table" Target="/xl/tables/table10.xml" Id="R40fb9044ab8440a0" /></Relationships>
</file>

<file path=xl/worksheets/_rels/sheet12.xml.rels>&#65279;<?xml version="1.0" encoding="utf-8"?><Relationships xmlns="http://schemas.openxmlformats.org/package/2006/relationships"><Relationship Type="http://schemas.openxmlformats.org/officeDocument/2006/relationships/table" Target="/xl/tables/table11.xml" Id="R26185fa2fc62498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RUN-I2-047-20260813T104519077274Z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COUNTA('API_CALLS'!$A$5:$A$10)</x:f>
        <x:v>6</x:v>
      </x:c>
      <x:c r="C9" s="21"/>
      <x:c r="D9" s="21"/>
    </x:row>
    <x:row r="10">
      <x:c r="A10" s="27" t="str">
        <x:v>Mean API/LLM elapsed ms</x:v>
      </x:c>
      <x:c r="B10" s="28" t="n">
        <x:f>IFERROR(AVERAGE('API_CALLS'!$K$5:$K$10),0)</x:f>
        <x:v>13318.595166666668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RUN-I2-047-20260813T104519077274Z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8a6c16de95a4ec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RUN-I2-047-20260813T104519077274Z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TERM_RESOLUTION_UNRESOLVED</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0e7f09640d4437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RUN-I2-047-20260813T104519077274Z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SESSION-BATCH-20260813T091540611845Z</x:v>
      </x:c>
      <x:c r="B5" s="69" t="str">
        <x:v>RUN-I2-047-20260813T104519077274Z</x:v>
      </x:c>
      <x:c r="C5" s="69" t="str">
        <x:v>I2-047</x:v>
      </x:c>
      <x:c r="D5" s="70" t="n">
        <x:v>46247.448137465275</x:v>
      </x:c>
      <x:c r="E5" s="70" t="n">
        <x:v>46247.44860820602</x:v>
      </x:c>
      <x:c r="F5" s="69" t="str">
        <x:v>0.8.1-dev-batch01-postconfirmation</x:v>
      </x:c>
      <x:c r="G5" s="69" t="str">
        <x:v>VOCAB-DEV-2026-08-13-BATCH01-R8.1-POSTCONFIRMATION</x:v>
      </x:c>
      <x:c r="H5" s="71" t="n">
        <x:v>1</x:v>
      </x:c>
      <x:c r="I5" s="69" t="str">
        <x:v>TERM_RESOLUTION_UNRESOLVED</x:v>
      </x:c>
      <x:c r="J5" s="72" t="b">
        <x:v>0</x:v>
      </x:c>
      <x:c r="K5" s="69" t="str"/>
      <x:c r="L5" s="73" t="str">
        <x:v>No supplied candidate represents the required canonical ice-strengthened status or class evidence; nltl:ship is too broad, and the remaining candidates describe thickness or steel-renewal values rather than applicability.</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141b6dd830f407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RUN-I2-047-20260813T104519077274Z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RUN-I2-047-20260813T104519077274Z</x:v>
      </x:c>
      <x:c r="B5" s="69" t="str">
        <x:v>I2-047</x:v>
      </x:c>
      <x:c r="C5" s="71" t="n">
        <x:v>1</x:v>
      </x:c>
      <x:c r="D5" s="72" t="b">
        <x:v>1</x:v>
      </x:c>
      <x:c r="E5" s="72" t="b">
        <x:v>0</x:v>
      </x:c>
      <x:c r="F5" s="72" t="b">
        <x:v>1</x:v>
      </x:c>
      <x:c r="G5" s="69" t="str">
        <x:v>STOP_TERM_RESOLUTION</x:v>
      </x:c>
      <x:c r="H5" s="73" t="str">
        <x:v>Restrict applicability to ships with the canonical ice-strengthened status/class evidence; the current sh:targetClass nltl:ship incorrectly applies the requirement and mandatory thickness inputs to every ship. Locate the missing canonical applicability term via the matcher and encode the condition without component indirection. Also make steelRenewalRequired single-valued (sh:maxCount 1) so contradictory true and false values cannot pass; require the sole value to be true only when gaugedThickness &lt; netThickness + 0.0005 m.</x:v>
      </x:c>
      <x:c r="I5" s="75" t="n">
        <x:v>28385.24</x:v>
      </x:c>
      <x:c r="J5" s="75" t="n">
        <x:v>8949.026</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2198062c46b4c7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RUN-I2-047-20260813T104519077274Z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EVT-000015</x:v>
      </x:c>
      <x:c r="B5" s="45" t="str">
        <x:v>RUN-I2-047-20260813T104519077274Z</x:v>
      </x:c>
      <x:c r="C5" s="45" t="str">
        <x:v>I2-047</x:v>
      </x:c>
      <x:c r="D5" s="88" t="n">
        <x:v>46247.44846599537</x:v>
      </x:c>
      <x:c r="E5" s="45" t="str">
        <x:v>generator</x:v>
      </x:c>
      <x:c r="F5" s="45" t="str">
        <x:v>gpt-5.6-sol-2026-07-09</x:v>
      </x:c>
      <x:c r="G5" s="45" t="n">
        <x:v>1</x:v>
      </x:c>
      <x:c r="H5" s="45" t="n">
        <x:v>200</x:v>
      </x:c>
      <x:c r="I5" s="45" t="str">
        <x:v>Ocp-Apim-Subscription-Key</x:v>
      </x:c>
      <x:c r="J5" s="89" t="n">
        <x:v>0</x:v>
      </x:c>
      <x:c r="K5" s="89" t="n">
        <x:v>28383.38</x:v>
      </x:c>
      <x:c r="L5" s="90" t="b">
        <x:v>0</x:v>
      </x:c>
      <x:c r="M5" s="45" t="str"/>
      <x:c r="N5" s="58" t="str"/>
      <x:c r="O5" s="58" t="str"/>
      <x:c r="P5" s="58" t="str"/>
    </x:row>
    <x:row r="6">
      <x:c r="A6" s="47" t="str">
        <x:v>EVT-000016</x:v>
      </x:c>
      <x:c r="B6" s="47" t="str">
        <x:v>RUN-I2-047-20260813T104519077274Z</x:v>
      </x:c>
      <x:c r="C6" s="47" t="str">
        <x:v>I2-047</x:v>
      </x:c>
      <x:c r="D6" s="91" t="n">
        <x:v>46247.44846601852</x:v>
      </x:c>
      <x:c r="E6" s="47" t="str">
        <x:v>generator</x:v>
      </x:c>
      <x:c r="F6" s="47" t="str">
        <x:v>gpt-5.6-sol-2026-07-09</x:v>
      </x:c>
      <x:c r="G6" s="47" t="n">
        <x:v>1</x:v>
      </x:c>
      <x:c r="H6" s="47" t="str">
        <x:v>COMPLETED</x:v>
      </x:c>
      <x:c r="I6" s="47" t="str"/>
      <x:c r="J6" s="92" t="n">
        <x:v>0</x:v>
      </x:c>
      <x:c r="K6" s="92" t="n">
        <x:v>28385.24</x:v>
      </x:c>
      <x:c r="L6" s="93" t="b">
        <x:v>0</x:v>
      </x:c>
      <x:c r="M6" s="47" t="str">
        <x:v>resp_0b3cde8f2b2b47a8006a7da03f3d008196ac46ed7533bafb07</x:v>
      </x:c>
      <x:c r="N6" s="59" t="n">
        <x:v>4845</x:v>
      </x:c>
      <x:c r="O6" s="59" t="n">
        <x:v>1903</x:v>
      </x:c>
      <x:c r="P6" s="59" t="n">
        <x:v>6748</x:v>
      </x:c>
    </x:row>
    <x:row r="7">
      <x:c r="A7" s="47" t="str">
        <x:v>EVT-000023</x:v>
      </x:c>
      <x:c r="B7" s="47" t="str">
        <x:v>RUN-I2-047-20260813T104519077274Z</x:v>
      </x:c>
      <x:c r="C7" s="47" t="str">
        <x:v>I2-047</x:v>
      </x:c>
      <x:c r="D7" s="91" t="n">
        <x:v>46247.44857059028</x:v>
      </x:c>
      <x:c r="E7" s="47" t="str">
        <x:v>validator</x:v>
      </x:c>
      <x:c r="F7" s="47" t="str">
        <x:v>gpt-5.6-sol-2026-07-09</x:v>
      </x:c>
      <x:c r="G7" s="47" t="n">
        <x:v>1</x:v>
      </x:c>
      <x:c r="H7" s="47" t="n">
        <x:v>200</x:v>
      </x:c>
      <x:c r="I7" s="47" t="str">
        <x:v>Ocp-Apim-Subscription-Key</x:v>
      </x:c>
      <x:c r="J7" s="92" t="n">
        <x:v>0</x:v>
      </x:c>
      <x:c r="K7" s="92" t="n">
        <x:v>8947.397</x:v>
      </x:c>
      <x:c r="L7" s="93" t="b">
        <x:v>0</x:v>
      </x:c>
      <x:c r="M7" s="47" t="str"/>
      <x:c r="N7" s="59" t="str"/>
      <x:c r="O7" s="59" t="str"/>
      <x:c r="P7" s="59" t="str"/>
    </x:row>
    <x:row r="8">
      <x:c r="A8" s="47" t="str">
        <x:v>EVT-000024</x:v>
      </x:c>
      <x:c r="B8" s="47" t="str">
        <x:v>RUN-I2-047-20260813T104519077274Z</x:v>
      </x:c>
      <x:c r="C8" s="47" t="str">
        <x:v>I2-047</x:v>
      </x:c>
      <x:c r="D8" s="91" t="n">
        <x:v>46247.44857060185</x:v>
      </x:c>
      <x:c r="E8" s="47" t="str">
        <x:v>validator</x:v>
      </x:c>
      <x:c r="F8" s="47" t="str">
        <x:v>gpt-5.6-sol-2026-07-09</x:v>
      </x:c>
      <x:c r="G8" s="47" t="n">
        <x:v>1</x:v>
      </x:c>
      <x:c r="H8" s="47" t="str">
        <x:v>COMPLETED</x:v>
      </x:c>
      <x:c r="I8" s="47" t="str"/>
      <x:c r="J8" s="92" t="n">
        <x:v>0</x:v>
      </x:c>
      <x:c r="K8" s="92" t="n">
        <x:v>8949.026</x:v>
      </x:c>
      <x:c r="L8" s="93" t="b">
        <x:v>0</x:v>
      </x:c>
      <x:c r="M8" s="47" t="str">
        <x:v>resp_06bd2d4d2bc9dcd2006a7da05bb6d08196be5074c4c2a3a89b</x:v>
      </x:c>
      <x:c r="N8" s="59" t="n">
        <x:v>3990</x:v>
      </x:c>
      <x:c r="O8" s="59" t="n">
        <x:v>551</x:v>
      </x:c>
      <x:c r="P8" s="59" t="n">
        <x:v>4541</x:v>
      </x:c>
    </x:row>
    <x:row r="9">
      <x:c r="A9" s="47" t="str">
        <x:v>EVT-000030</x:v>
      </x:c>
      <x:c r="B9" s="47" t="str">
        <x:v>RUN-I2-047-20260813T104519077274Z</x:v>
      </x:c>
      <x:c r="C9" s="47" t="str">
        <x:v>I2-047</x:v>
      </x:c>
      <x:c r="D9" s="91" t="n">
        <x:v>46247.44860818287</x:v>
      </x:c>
      <x:c r="E9" s="47" t="str">
        <x:v>vocabulary_matcher</x:v>
      </x:c>
      <x:c r="F9" s="47" t="str">
        <x:v>gpt-5.6-sol-2026-07-09</x:v>
      </x:c>
      <x:c r="G9" s="47" t="n">
        <x:v>1</x:v>
      </x:c>
      <x:c r="H9" s="47" t="n">
        <x:v>200</x:v>
      </x:c>
      <x:c r="I9" s="47" t="str">
        <x:v>Ocp-Apim-Subscription-Key</x:v>
      </x:c>
      <x:c r="J9" s="92" t="n">
        <x:v>0</x:v>
      </x:c>
      <x:c r="K9" s="92" t="n">
        <x:v>2622.88</x:v>
      </x:c>
      <x:c r="L9" s="93" t="b">
        <x:v>0</x:v>
      </x:c>
      <x:c r="M9" s="47" t="str"/>
      <x:c r="N9" s="59" t="str"/>
      <x:c r="O9" s="59" t="str"/>
      <x:c r="P9" s="59" t="str"/>
    </x:row>
    <x:row r="10">
      <x:c r="A10" s="49" t="str">
        <x:v>EVT-000031</x:v>
      </x:c>
      <x:c r="B10" s="49" t="str">
        <x:v>RUN-I2-047-20260813T104519077274Z</x:v>
      </x:c>
      <x:c r="C10" s="49" t="str">
        <x:v>I2-047</x:v>
      </x:c>
      <x:c r="D10" s="94" t="n">
        <x:v>46247.44860819444</x:v>
      </x:c>
      <x:c r="E10" s="49" t="str">
        <x:v>vocabulary_matcher</x:v>
      </x:c>
      <x:c r="F10" s="49" t="str">
        <x:v>gpt-5.6-sol-2026-07-09</x:v>
      </x:c>
      <x:c r="G10" s="49" t="n">
        <x:v>1</x:v>
      </x:c>
      <x:c r="H10" s="49" t="str">
        <x:v>COMPLETED</x:v>
      </x:c>
      <x:c r="I10" s="49" t="str"/>
      <x:c r="J10" s="95" t="n">
        <x:v>0</x:v>
      </x:c>
      <x:c r="K10" s="95" t="n">
        <x:v>2623.648</x:v>
      </x:c>
      <x:c r="L10" s="96" t="b">
        <x:v>0</x:v>
      </x:c>
      <x:c r="M10" s="49" t="str">
        <x:v>resp_00589e1a423af330006a7da06550bc819385fff765564acfbf</x:v>
      </x:c>
      <x:c r="N10" s="60" t="n">
        <x:v>1687</x:v>
      </x:c>
      <x:c r="O10" s="60" t="n">
        <x:v>106</x:v>
      </x:c>
      <x:c r="P10" s="60" t="n">
        <x:v>1793</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8e2e5ad3e33443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RUN-I2-047-20260813T104519077274Z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RUN-I2-047-20260813T104519077274Z</x:v>
      </x:c>
      <x:c r="B5" s="45" t="str">
        <x:v>I2-047</x:v>
      </x:c>
      <x:c r="C5" s="45" t="str">
        <x:v>benchmarkEntity</x:v>
      </x:c>
      <x:c r="D5" s="46" t="str">
        <x:v>https://w3id.org/nltl-benchmark/vocab#benchmarkEntity</x:v>
      </x:c>
      <x:c r="E5" s="45" t="str">
        <x:v>Class</x:v>
      </x:c>
      <x:c r="F5" s="45" t="str"/>
      <x:c r="G5" s="45" t="str"/>
      <x:c r="H5" s="45" t="str"/>
      <x:c r="I5" s="46" t="str">
        <x:v>baseline target infrastructure; domain dependency of gaugedThickness; domain dependency of netThickness; domain dependency of steelRenewalRequired</x:v>
      </x:c>
      <x:c r="J5" s="45" t="n">
        <x:v>0</x:v>
      </x:c>
    </x:row>
    <x:row r="6">
      <x:c r="A6" s="47" t="str">
        <x:v>RUN-I2-047-20260813T104519077274Z</x:v>
      </x:c>
      <x:c r="B6" s="47" t="str">
        <x:v>I2-047</x:v>
      </x:c>
      <x:c r="C6" s="47" t="str">
        <x:v>gaugedThickness</x:v>
      </x:c>
      <x:c r="D6" s="48" t="str">
        <x:v>https://w3id.org/nltl-benchmark/vocab#gaugedThickness</x:v>
      </x:c>
      <x:c r="E6" s="47" t="str">
        <x:v>QuantityProperty</x:v>
      </x:c>
      <x:c r="F6" s="47" t="str"/>
      <x:c r="G6" s="47" t="str">
        <x:v>http://qudt.org/schema/qudt/QuantityValue</x:v>
      </x:c>
      <x:c r="H6" s="47" t="str">
        <x:v>http://qudt.org/vocab/unit/M</x:v>
      </x:c>
      <x:c r="I6" s="48" t="str">
        <x:v>linked by the locked 313-requirement index</x:v>
      </x:c>
      <x:c r="J6" s="47" t="n">
        <x:v>0</x:v>
      </x:c>
    </x:row>
    <x:row r="7">
      <x:c r="A7" s="47" t="str">
        <x:v>RUN-I2-047-20260813T104519077274Z</x:v>
      </x:c>
      <x:c r="B7" s="47" t="str">
        <x:v>I2-047</x:v>
      </x:c>
      <x:c r="C7" s="47" t="str">
        <x:v>hasComponent</x:v>
      </x:c>
      <x:c r="D7" s="48" t="str">
        <x:v>https://w3id.org/nltl-benchmark/vocab#hasComponent</x:v>
      </x:c>
      <x:c r="E7" s="47" t="str">
        <x:v>ObjectProperty</x:v>
      </x:c>
      <x:c r="F7" s="47" t="str"/>
      <x:c r="G7" s="47" t="str">
        <x:v>https://w3id.org/nltl-benchmark/vocab#shipComponent</x:v>
      </x:c>
      <x:c r="H7" s="47" t="str"/>
      <x:c r="I7" s="48" t="str">
        <x:v>component-path dependency inferred from the linked term module</x:v>
      </x:c>
      <x:c r="J7" s="47" t="n">
        <x:v>0</x:v>
      </x:c>
    </x:row>
    <x:row r="8">
      <x:c r="A8" s="47" t="str">
        <x:v>RUN-I2-047-20260813T104519077274Z</x:v>
      </x:c>
      <x:c r="B8" s="47" t="str">
        <x:v>I2-047</x:v>
      </x:c>
      <x:c r="C8" s="47" t="str">
        <x:v>netThickness</x:v>
      </x:c>
      <x:c r="D8" s="48" t="str">
        <x:v>https://w3id.org/nltl-benchmark/vocab#netThickness</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RUN-I2-047-20260813T104519077274Z</x:v>
      </x:c>
      <x:c r="B9" s="47" t="str">
        <x:v>I2-047</x:v>
      </x:c>
      <x:c r="C9" s="47" t="str">
        <x:v>ship</x:v>
      </x:c>
      <x:c r="D9" s="48" t="str">
        <x:v>https://w3id.org/nltl-benchmark/vocab#ship</x:v>
      </x:c>
      <x:c r="E9" s="47" t="str">
        <x:v>Class</x:v>
      </x:c>
      <x:c r="F9" s="47" t="str"/>
      <x:c r="G9" s="47" t="str"/>
      <x:c r="H9" s="47" t="str"/>
      <x:c r="I9" s="48" t="str">
        <x:v>authoritative required owner class; authoritative requirement target owner; baseline target infrastructure</x:v>
      </x:c>
      <x:c r="J9" s="47" t="n">
        <x:v>0</x:v>
      </x:c>
    </x:row>
    <x:row r="10">
      <x:c r="A10" s="47" t="str">
        <x:v>RUN-I2-047-20260813T104519077274Z</x:v>
      </x:c>
      <x:c r="B10" s="47" t="str">
        <x:v>I2-047</x:v>
      </x:c>
      <x:c r="C10" s="47" t="str">
        <x:v>shipComponent</x:v>
      </x:c>
      <x:c r="D10" s="48" t="str">
        <x:v>https://w3id.org/nltl-benchmark/vocab#shipComponent</x:v>
      </x:c>
      <x:c r="E10" s="47" t="str">
        <x:v>Class</x:v>
      </x:c>
      <x:c r="F10" s="47" t="str"/>
      <x:c r="G10" s="47" t="str"/>
      <x:c r="H10" s="47" t="str"/>
      <x:c r="I10" s="48" t="str">
        <x:v>component-path dependency inferred from the linked term module</x:v>
      </x:c>
      <x:c r="J10" s="47" t="n">
        <x:v>0</x:v>
      </x:c>
    </x:row>
    <x:row r="11">
      <x:c r="A11" s="49" t="str">
        <x:v>RUN-I2-047-20260813T104519077274Z</x:v>
      </x:c>
      <x:c r="B11" s="49" t="str">
        <x:v>I2-047</x:v>
      </x:c>
      <x:c r="C11" s="49" t="str">
        <x:v>steelRenewalRequired</x:v>
      </x:c>
      <x:c r="D11" s="50" t="str">
        <x:v>https://w3id.org/nltl-benchmark/vocab#steelRenewalRequired</x:v>
      </x:c>
      <x:c r="E11" s="49" t="str">
        <x:v>DatatypeProperty</x:v>
      </x:c>
      <x:c r="F11" s="49" t="str">
        <x:v>xsd:boolean</x:v>
      </x:c>
      <x:c r="G11" s="49" t="str">
        <x:v>http://www.w3.org/2001/XMLSchema#boolean</x:v>
      </x:c>
      <x:c r="H11" s="49" t="str"/>
      <x:c r="I11" s="50" t="str">
        <x:v>linked by the locked 313-requirement index</x:v>
      </x:c>
      <x:c r="J11" s="49" t="n">
        <x:v>0</x:v>
      </x:c>
    </x:row>
  </x:sheetData>
  <x:pageMargins left="0.7" right="0.7" top="0.75" bottom="0.75" header="0.3" footer="0.3"/>
  <x:tableParts count="1">
    <x:tablePart xmlns:r="http://schemas.openxmlformats.org/officeDocument/2006/relationships" r:id="Rc5d0432b1c0d440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RUN-I2-047-20260813T104519077274Z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RUN-I2-047-20260813T104519077274Z</x:v>
      </x:c>
      <x:c r="B5" s="45" t="str">
        <x:v>I2-047</x:v>
      </x:c>
      <x:c r="C5" s="45" t="str">
        <x:v>FS-CALC-02</x:v>
      </x:c>
      <x:c r="D5" s="45" t="str">
        <x:v>comparison_calculation</x:v>
      </x:c>
      <x:c r="E5" s="99" t="n">
        <x:v>0.121212</x:v>
      </x:c>
      <x:c r="F5" s="45" t="str">
        <x:v>calculation | comparison | formula | sparql</x:v>
      </x:c>
      <x:c r="G5" s="45" t="str">
        <x:v>synthetic-few-shot-not-benchmark-ground-truth</x:v>
      </x:c>
    </x:row>
    <x:row r="6">
      <x:c r="A6" s="49" t="str">
        <x:v>RUN-I2-047-20260813T104519077274Z</x:v>
      </x:c>
      <x:c r="B6" s="49" t="str">
        <x:v>I2-047</x:v>
      </x:c>
      <x:c r="C6" s="49" t="str">
        <x:v>FS-BOOL-01</x:v>
      </x:c>
      <x:c r="D6" s="49" t="str">
        <x:v>boolean_state</x:v>
      </x:c>
      <x:c r="E6" s="100" t="n">
        <x:v>0.088235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0aa30d1a8da401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RUN-I2-047-20260813T104519077274Z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RUN-I2-047-20260813T104519077274Z</x:v>
      </x:c>
      <x:c r="B5" s="69" t="str">
        <x:v>I2-047</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https://w3id.org/nltl-benchmark/vocab#gaugedThickness | https://w3id.org/nltl-benchmark/vocab#netThickness | https://w3id.org/nltl-benchmark/vocab#ship | https://w3id.org/nltl-benchmark/vocab#steelRenewalRequired</x:v>
      </x:c>
      <x:c r="O5" s="73" t="str"/>
      <x:c r="P5" s="73" t="str"/>
      <x:c r="Q5" s="73" t="str"/>
    </x:row>
  </x:sheetData>
  <x:pageMargins left="0.7" right="0.7" top="0.75" bottom="0.75" header="0.3" footer="0.3"/>
  <x:tableParts count="1">
    <x:tablePart xmlns:r="http://schemas.openxmlformats.org/officeDocument/2006/relationships" r:id="R93f215a0ddd241ca"/>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RUN-I2-047-20260813T104519077274Z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RUN-I2-047-20260813T104519077274Z</x:v>
      </x:c>
      <x:c r="B5" s="45" t="str">
        <x:v>I2-047</x:v>
      </x:c>
      <x:c r="C5" s="58" t="n">
        <x:v>1</x:v>
      </x:c>
      <x:c r="D5" s="45" t="str">
        <x:v>matcher_search</x:v>
      </x:c>
      <x:c r="E5" s="46" t="str">
        <x:v>Restrict applicability to ships with the canonical ice-strengthened status/class evidence; the current sh:targetClass nltl:ship incorrectly applies the requirement and mandatory thickness inputs to every ship. Locate the missing canonical applicability term via the matcher and encode the condition without component indirection. Also make steelRenewalRequired single-valued (sh:maxCount 1) so contradictory true and false values cannot pass; require the sole value to be true only when gaugedThickness &lt; netThickness + 0.0005 m.</x:v>
      </x:c>
      <x:c r="F5" s="58" t="n">
        <x:v>5</x:v>
      </x:c>
      <x:c r="G5" s="45" t="str"/>
      <x:c r="H5" s="45" t="str"/>
      <x:c r="I5" s="46" t="str"/>
      <x:c r="J5" s="46" t="str"/>
    </x:row>
    <x:row r="6">
      <x:c r="A6" s="49" t="str">
        <x:v>RUN-I2-047-20260813T104519077274Z</x:v>
      </x:c>
      <x:c r="B6" s="49" t="str">
        <x:v>I2-047</x:v>
      </x:c>
      <x:c r="C6" s="60" t="n">
        <x:v>1</x:v>
      </x:c>
      <x:c r="D6" s="49" t="str">
        <x:v>matcher_decision</x:v>
      </x:c>
      <x:c r="E6" s="50" t="str"/>
      <x:c r="F6" s="60" t="str"/>
      <x:c r="G6" s="96" t="b">
        <x:v>0</x:v>
      </x:c>
      <x:c r="H6" s="49" t="str"/>
      <x:c r="I6" s="50" t="str"/>
      <x:c r="J6" s="50" t="str">
        <x:v>No supplied candidate represents the required canonical ice-strengthened status or class evidence; nltl:ship is too broad, and the remaining candidates describe thickness or steel-renewal values rather than applicability.</x:v>
      </x:c>
    </x:row>
  </x:sheetData>
  <x:pageMargins left="0.7" right="0.7" top="0.75" bottom="0.75" header="0.3" footer="0.3"/>
  <x:tableParts count="1">
    <x:tablePart xmlns:r="http://schemas.openxmlformats.org/officeDocument/2006/relationships" r:id="Rc12f981df67a4914"/>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RUN-I2-047-20260813T104519077274Z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RUN-I2-047-20260813T104519077274Z</x:v>
      </x:c>
      <x:c r="B5" s="45" t="str">
        <x:v>I2-047</x:v>
      </x:c>
      <x:c r="C5" s="58"/>
      <x:c r="D5" s="45" t="str">
        <x:v>initial_context_pack</x:v>
      </x:c>
      <x:c r="E5" s="46" t="str">
        <x:v>artifacts/context_pack_initial.json</x:v>
      </x:c>
      <x:c r="F5" s="45" t="str">
        <x:v>65fd283bcfac15f1e5a1dc127a3e9787128e32b7134b50b90b0e69b7caecf1e5</x:v>
      </x:c>
      <x:c r="G5" s="58" t="n">
        <x:v>9236</x:v>
      </x:c>
    </x:row>
    <x:row r="6">
      <x:c r="A6" s="47" t="str">
        <x:v>RUN-I2-047-20260813T104519077274Z</x:v>
      </x:c>
      <x:c r="B6" s="47" t="str">
        <x:v>I2-047</x:v>
      </x:c>
      <x:c r="C6" s="59"/>
      <x:c r="D6" s="47" t="str">
        <x:v>few_shot_selection</x:v>
      </x:c>
      <x:c r="E6" s="48" t="str">
        <x:v>artifacts/few_shots_selected.json</x:v>
      </x:c>
      <x:c r="F6" s="47" t="str">
        <x:v>72356414bf2293e6d00b063b10e58e5e2d92177e7fc43c4f45838565a2d54d4e</x:v>
      </x:c>
      <x:c r="G6" s="59" t="n">
        <x:v>4859</x:v>
      </x:c>
    </x:row>
    <x:row r="7">
      <x:c r="A7" s="47" t="str">
        <x:v>RUN-I2-047-20260813T104519077274Z</x:v>
      </x:c>
      <x:c r="B7" s="47" t="str">
        <x:v>I2-047</x:v>
      </x:c>
      <x:c r="C7" s="59" t="n">
        <x:v>1</x:v>
      </x:c>
      <x:c r="D7" s="47" t="str">
        <x:v>generator_prompt</x:v>
      </x:c>
      <x:c r="E7" s="48" t="str">
        <x:v>artifacts/attempt_01/generator_prompt.txt</x:v>
      </x:c>
      <x:c r="F7" s="47" t="str">
        <x:v>1888576ca33042ef4c84c6478b10cd05712e49db98abcefa8317c50bb9043d1f</x:v>
      </x:c>
      <x:c r="G7" s="59" t="n">
        <x:v>19980</x:v>
      </x:c>
    </x:row>
    <x:row r="8">
      <x:c r="A8" s="47" t="str">
        <x:v>RUN-I2-047-20260813T104519077274Z</x:v>
      </x:c>
      <x:c r="B8" s="47" t="str">
        <x:v>I2-047</x:v>
      </x:c>
      <x:c r="C8" s="59" t="n">
        <x:v>1</x:v>
      </x:c>
      <x:c r="D8" s="47" t="str">
        <x:v>generator_raw_response</x:v>
      </x:c>
      <x:c r="E8" s="48" t="str">
        <x:v>artifacts/attempt_01/generator_raw.txt</x:v>
      </x:c>
      <x:c r="F8" s="47" t="str">
        <x:v>35be3ee061842ab54fd6099c5bf6d4778d7b0f3bd2aea40c93288247ba119569</x:v>
      </x:c>
      <x:c r="G8" s="59" t="n">
        <x:v>2142</x:v>
      </x:c>
    </x:row>
    <x:row r="9">
      <x:c r="A9" s="47" t="str">
        <x:v>RUN-I2-047-20260813T104519077274Z</x:v>
      </x:c>
      <x:c r="B9" s="47" t="str">
        <x:v>I2-047</x:v>
      </x:c>
      <x:c r="C9" s="59" t="n">
        <x:v>1</x:v>
      </x:c>
      <x:c r="D9" s="47" t="str">
        <x:v>candidate_shape</x:v>
      </x:c>
      <x:c r="E9" s="48" t="str">
        <x:v>artifacts/attempt_01/candidate_shape.ttl</x:v>
      </x:c>
      <x:c r="F9" s="47" t="str">
        <x:v>2fcf7c8effe9290ddcca26f40608a20195b1f270bf3adf2b620e139bfea43773</x:v>
      </x:c>
      <x:c r="G9" s="59" t="n">
        <x:v>2117</x:v>
      </x:c>
    </x:row>
    <x:row r="10">
      <x:c r="A10" s="47" t="str">
        <x:v>RUN-I2-047-20260813T104519077274Z</x:v>
      </x:c>
      <x:c r="B10" s="47" t="str">
        <x:v>I2-047</x:v>
      </x:c>
      <x:c r="C10" s="59" t="n">
        <x:v>1</x:v>
      </x:c>
      <x:c r="D10" s="47" t="str">
        <x:v>deterministic_validation</x:v>
      </x:c>
      <x:c r="E10" s="48" t="str">
        <x:v>artifacts/attempt_01/deterministic_validation.json</x:v>
      </x:c>
      <x:c r="F10" s="47" t="str">
        <x:v>b0f4865cc1f1fcd210601dfd010fcb832040fbf0d8500c96f69dc36905558943</x:v>
      </x:c>
      <x:c r="G10" s="59" t="n">
        <x:v>624</x:v>
      </x:c>
    </x:row>
    <x:row r="11">
      <x:c r="A11" s="47" t="str">
        <x:v>RUN-I2-047-20260813T104519077274Z</x:v>
      </x:c>
      <x:c r="B11" s="47" t="str">
        <x:v>I2-047</x:v>
      </x:c>
      <x:c r="C11" s="59" t="n">
        <x:v>1</x:v>
      </x:c>
      <x:c r="D11" s="47" t="str">
        <x:v>validator_prompt</x:v>
      </x:c>
      <x:c r="E11" s="48" t="str">
        <x:v>artifacts/attempt_01/validator_prompt_01.txt</x:v>
      </x:c>
      <x:c r="F11" s="47" t="str">
        <x:v>a06ebe786fecf121d0ed66994b7b3c939f0886130313739625885d2d3bc958d4</x:v>
      </x:c>
      <x:c r="G11" s="59" t="n">
        <x:v>16011</x:v>
      </x:c>
    </x:row>
    <x:row r="12">
      <x:c r="A12" s="47" t="str">
        <x:v>RUN-I2-047-20260813T104519077274Z</x:v>
      </x:c>
      <x:c r="B12" s="47" t="str">
        <x:v>I2-047</x:v>
      </x:c>
      <x:c r="C12" s="59" t="n">
        <x:v>1</x:v>
      </x:c>
      <x:c r="D12" s="47" t="str">
        <x:v>validator_raw_response</x:v>
      </x:c>
      <x:c r="E12" s="48" t="str">
        <x:v>artifacts/attempt_01/validator_raw_01.txt</x:v>
      </x:c>
      <x:c r="F12" s="47" t="str">
        <x:v>dac387a1de14d2fbd8f958dba6308b63efcf1725eb426a80adfe3bfaa2a85ca7</x:v>
      </x:c>
      <x:c r="G12" s="59" t="n">
        <x:v>592</x:v>
      </x:c>
    </x:row>
    <x:row r="13">
      <x:c r="A13" s="47" t="str">
        <x:v>RUN-I2-047-20260813T104519077274Z</x:v>
      </x:c>
      <x:c r="B13" s="47" t="str">
        <x:v>I2-047</x:v>
      </x:c>
      <x:c r="C13" s="59" t="n">
        <x:v>1</x:v>
      </x:c>
      <x:c r="D13" s="47" t="str">
        <x:v>matcher_candidates</x:v>
      </x:c>
      <x:c r="E13" s="48" t="str">
        <x:v>artifacts/attempt_01/matcher_candidates.json</x:v>
      </x:c>
      <x:c r="F13" s="47" t="str">
        <x:v>d3b0bb2b89e2dfcee18c214827a66e4b5f3bc612e96b5669c6554a54975cc608</x:v>
      </x:c>
      <x:c r="G13" s="59" t="n">
        <x:v>3384</x:v>
      </x:c>
    </x:row>
    <x:row r="14">
      <x:c r="A14" s="47" t="str">
        <x:v>RUN-I2-047-20260813T104519077274Z</x:v>
      </x:c>
      <x:c r="B14" s="47" t="str">
        <x:v>I2-047</x:v>
      </x:c>
      <x:c r="C14" s="59" t="n">
        <x:v>1</x:v>
      </x:c>
      <x:c r="D14" s="47" t="str">
        <x:v>vocabulary_matcher_prompt</x:v>
      </x:c>
      <x:c r="E14" s="48" t="str">
        <x:v>artifacts/attempt_01/vocabulary_matcher_prompt_01.txt</x:v>
      </x:c>
      <x:c r="F14" s="47" t="str">
        <x:v>6418343e82962b1de5ec71cb667964cabb78a8e769fe3e5751e77443860b2cf6</x:v>
      </x:c>
      <x:c r="G14" s="59" t="n">
        <x:v>6235</x:v>
      </x:c>
    </x:row>
    <x:row r="15">
      <x:c r="A15" s="49" t="str">
        <x:v>RUN-I2-047-20260813T104519077274Z</x:v>
      </x:c>
      <x:c r="B15" s="49" t="str">
        <x:v>I2-047</x:v>
      </x:c>
      <x:c r="C15" s="60" t="n">
        <x:v>1</x:v>
      </x:c>
      <x:c r="D15" s="49" t="str">
        <x:v>vocabulary_matcher_raw_response</x:v>
      </x:c>
      <x:c r="E15" s="50" t="str">
        <x:v>artifacts/attempt_01/vocabulary_matcher_raw_01.txt</x:v>
      </x:c>
      <x:c r="F15" s="49" t="str">
        <x:v>a973eb3e89771542e420e113771124ab4442ee220cb71bca75df8b0e6b95c308</x:v>
      </x:c>
      <x:c r="G15" s="60" t="n">
        <x:v>310</x:v>
      </x:c>
    </x:row>
  </x:sheetData>
  <x:pageMargins left="0.7" right="0.7" top="0.75" bottom="0.75" header="0.3" footer="0.3"/>
  <x:tableParts count="1">
    <x:tablePart xmlns:r="http://schemas.openxmlformats.org/officeDocument/2006/relationships" r:id="R40fb9044ab8440a0"/>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RUN-I2-047-20260813T104519077274Z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RUN-I2-047-20260813T104519077274Z</x:v>
      </x:c>
      <x:c r="B5" s="69" t="str">
        <x:v>I2-047</x:v>
      </x:c>
      <x:c r="C5" s="71" t="n">
        <x:v>1</x:v>
      </x:c>
      <x:c r="D5" s="69" t="str">
        <x:v>TERM_RESOLUTION_UNRESOLVED</x:v>
      </x:c>
      <x:c r="E5" s="73" t="str">
        <x:v>No supplied candidate represents the required canonical ice-strengthened status or class evidence; nltl:ship is too broad, and the remaining candidates describe thickness or steel-renewal values rather than applicability.</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26185fa2fc624982"/>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RUN-I2-047-20260813T104519077274Z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