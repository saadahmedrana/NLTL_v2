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00dff8b792b47a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480e69c5174f4bcf"/>
    <x:sheet xmlns:r="http://schemas.openxmlformats.org/officeDocument/2006/relationships" name="README" sheetId="2" r:id="Re4a6b706cf4b4dae"/>
    <x:sheet xmlns:r="http://schemas.openxmlformats.org/officeDocument/2006/relationships" name="REGULATION_QUEUE" sheetId="3" r:id="R9dc53c7e76a84f1d"/>
    <x:sheet xmlns:r="http://schemas.openxmlformats.org/officeDocument/2006/relationships" name="RUNS" sheetId="4" r:id="R037e05bb7e594fe6"/>
    <x:sheet xmlns:r="http://schemas.openxmlformats.org/officeDocument/2006/relationships" name="ITERATIONS" sheetId="5" r:id="R58879b3a63614916"/>
    <x:sheet xmlns:r="http://schemas.openxmlformats.org/officeDocument/2006/relationships" name="API_CALLS" sheetId="6" r:id="R29c3a7c26ff8455e"/>
    <x:sheet xmlns:r="http://schemas.openxmlformats.org/officeDocument/2006/relationships" name="TERM_RETRIEVAL" sheetId="7" r:id="Rd498dcd0c95d488b"/>
    <x:sheet xmlns:r="http://schemas.openxmlformats.org/officeDocument/2006/relationships" name="FEW_SHOT_SELECTION" sheetId="8" r:id="Ra37e409974944c73"/>
    <x:sheet xmlns:r="http://schemas.openxmlformats.org/officeDocument/2006/relationships" name="VALIDATION" sheetId="9" r:id="Rb47ada00593543a9"/>
    <x:sheet xmlns:r="http://schemas.openxmlformats.org/officeDocument/2006/relationships" name="VOCAB_MATCHES" sheetId="10" r:id="R6b835118aed7477e"/>
    <x:sheet xmlns:r="http://schemas.openxmlformats.org/officeDocument/2006/relationships" name="ARTIFACTS" sheetId="11" r:id="R3b2e8d98f5e84145"/>
    <x:sheet xmlns:r="http://schemas.openxmlformats.org/officeDocument/2006/relationships" name="UNRESOLVED" sheetId="12" r:id="R5595c9d0886a4e7f"/>
    <x:sheet xmlns:r="http://schemas.openxmlformats.org/officeDocument/2006/relationships" name="RDF_TEST_QUEUE" sheetId="13" r:id="Rbf668e013aa6412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0cfd4a63a474176" /><Relationship Type="http://schemas.openxmlformats.org/officeDocument/2006/relationships/theme" Target="/xl/theme/theme1.xml" Id="Rc0359b67ceb9402b" /><Relationship Type="http://schemas.microsoft.com/office/2022/11/relationships/FeaturePropertyBag" Target="/xl/featurePropertyBag/featurePropertyBag.xml" Id="Rd217579d761d42ba" /><Relationship Type="http://schemas.openxmlformats.org/officeDocument/2006/relationships/sharedStrings" Target="/xl/sharedStrings.xml" Id="R761fa485e39547ca" /><Relationship Type="http://schemas.openxmlformats.org/officeDocument/2006/relationships/worksheet" Target="/xl/worksheets/sheet1.xml" Id="R480e69c5174f4bcf" /><Relationship Type="http://schemas.openxmlformats.org/officeDocument/2006/relationships/worksheet" Target="/xl/worksheets/sheet2.xml" Id="Re4a6b706cf4b4dae" /><Relationship Type="http://schemas.openxmlformats.org/officeDocument/2006/relationships/worksheet" Target="/xl/worksheets/sheet3.xml" Id="R9dc53c7e76a84f1d" /><Relationship Type="http://schemas.openxmlformats.org/officeDocument/2006/relationships/worksheet" Target="/xl/worksheets/sheet4.xml" Id="R037e05bb7e594fe6" /><Relationship Type="http://schemas.openxmlformats.org/officeDocument/2006/relationships/worksheet" Target="/xl/worksheets/sheet5.xml" Id="R58879b3a63614916" /><Relationship Type="http://schemas.openxmlformats.org/officeDocument/2006/relationships/worksheet" Target="/xl/worksheets/sheet6.xml" Id="R29c3a7c26ff8455e" /><Relationship Type="http://schemas.openxmlformats.org/officeDocument/2006/relationships/worksheet" Target="/xl/worksheets/sheet7.xml" Id="Rd498dcd0c95d488b" /><Relationship Type="http://schemas.openxmlformats.org/officeDocument/2006/relationships/worksheet" Target="/xl/worksheets/sheet8.xml" Id="Ra37e409974944c73" /><Relationship Type="http://schemas.openxmlformats.org/officeDocument/2006/relationships/worksheet" Target="/xl/worksheets/sheet9.xml" Id="Rb47ada00593543a9" /><Relationship Type="http://schemas.openxmlformats.org/officeDocument/2006/relationships/worksheet" Target="/xl/worksheets/sheet10.xml" Id="R6b835118aed7477e" /><Relationship Type="http://schemas.openxmlformats.org/officeDocument/2006/relationships/worksheet" Target="/xl/worksheets/sheet11.xml" Id="R3b2e8d98f5e84145" /><Relationship Type="http://schemas.openxmlformats.org/officeDocument/2006/relationships/worksheet" Target="/xl/worksheets/sheet12.xml" Id="R5595c9d0886a4e7f" /><Relationship Type="http://schemas.openxmlformats.org/officeDocument/2006/relationships/worksheet" Target="/xl/worksheets/sheet13.xml" Id="Rbf668e013aa6412f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8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23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3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8719e0bcdd5d4af9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e94fa5aefc6a4c1d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4c9077e5444f40bc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57c37b2f6af648ba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b2f7577cde794792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eff7dfdbcd744692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56716d4e11f84886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dae7d717512d42b2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b9f5d67fd88d4067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3c86b34956844259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RUN-TRF-009-20260812T150523068293Z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240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COUNTA('API_CALLS'!$A$5:$A$8)</x:f>
        <x:v>4</x:v>
      </x:c>
      <x:c r="C9" s="21"/>
      <x:c r="D9" s="21"/>
    </x:row>
    <x:row r="10">
      <x:c r="A10" s="27" t="str">
        <x:v>Mean API/LLM elapsed ms</x:v>
      </x:c>
      <x:c r="B10" s="28" t="n">
        <x:f>IFERROR(AVERAGE('API_CALLS'!$K$5:$K$8),0)</x:f>
        <x:v>18951.447249999997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RUN-TRF-009-20260812T150523068293Z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8719e0bcdd5d4af9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12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RUN-TRF-009-20260812T150523068293Z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Stage 2 candidate - direct/deterministic</x:v>
      </x:c>
      <x:c r="H6" s="47" t="str">
        <x:v>High</x:v>
      </x:c>
      <x:c r="I6" s="47" t="str">
        <x:v>No</x:v>
      </x:c>
      <x:c r="J6" s="47" t="str">
        <x:v>ELIGIBLE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Complex</x:v>
      </x:c>
      <x:c r="G7" s="48" t="str">
        <x:v>Deferred - composite/evidence workflow review</x:v>
      </x:c>
      <x:c r="H7" s="47" t="str">
        <x:v>Medium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Static Calculation</x:v>
      </x:c>
      <x:c r="G11" s="48" t="str">
        <x:v>Stage 2 candidate - direct/deterministic</x:v>
      </x:c>
      <x:c r="H11" s="47" t="str">
        <x:v>High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 Calculation</x:v>
      </x:c>
      <x:c r="G12" s="48" t="str">
        <x:v>Stage 2 candidate - direct/deterministic</x:v>
      </x:c>
      <x:c r="H12" s="47" t="str">
        <x:v>High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 Calculation</x:v>
      </x:c>
      <x:c r="G13" s="48" t="str">
        <x:v>Stage 2 candidate - direct/deterministic</x:v>
      </x:c>
      <x:c r="H13" s="47" t="str">
        <x:v>High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Static</x:v>
      </x:c>
      <x:c r="G15" s="48" t="str">
        <x:v>Stage 2 candidate - direct/deterministic</x:v>
      </x:c>
      <x:c r="H15" s="47" t="str">
        <x:v>Medium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Static Calculation</x:v>
      </x:c>
      <x:c r="G17" s="48" t="str">
        <x:v>Stage 2 candidate - direct/deterministic</x:v>
      </x:c>
      <x:c r="H17" s="47" t="str">
        <x:v>High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Static Calculation</x:v>
      </x:c>
      <x:c r="G18" s="48" t="str">
        <x:v>Stage 2 candidate - direct/deterministic</x:v>
      </x:c>
      <x:c r="H18" s="47" t="str">
        <x:v>High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Static Calculation</x:v>
      </x:c>
      <x:c r="G22" s="48" t="str">
        <x:v>Stage 2 candidate - direct/deterministic</x:v>
      </x:c>
      <x:c r="H22" s="47" t="str">
        <x:v>High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Static Calculation</x:v>
      </x:c>
      <x:c r="G23" s="48" t="str">
        <x:v>Stage 2 candidate - direct/deterministic</x:v>
      </x:c>
      <x:c r="H23" s="47" t="str">
        <x:v>Medium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Static Calculation</x:v>
      </x:c>
      <x:c r="G24" s="48" t="str">
        <x:v>Stage 2 candidate - direct/deterministic</x:v>
      </x:c>
      <x:c r="H24" s="47" t="str">
        <x:v>High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 Calculation</x:v>
      </x:c>
      <x:c r="G26" s="48" t="str">
        <x:v>Stage 2 candidate - direct/deterministic</x:v>
      </x:c>
      <x:c r="H26" s="47" t="str">
        <x:v>Medium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Static Calculation</x:v>
      </x:c>
      <x:c r="G27" s="48" t="str">
        <x:v>Stage 2 candidate - direct/deterministic</x:v>
      </x:c>
      <x:c r="H27" s="47" t="str">
        <x:v>Medium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Static Calculation</x:v>
      </x:c>
      <x:c r="G33" s="48" t="str">
        <x:v>Stage 2 candidate - direct/deterministic</x:v>
      </x:c>
      <x:c r="H33" s="47" t="str">
        <x:v>Medium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Static Calculation</x:v>
      </x:c>
      <x:c r="G34" s="48" t="str">
        <x:v>Stage 2 candidate - direct/deterministic</x:v>
      </x:c>
      <x:c r="H34" s="47" t="str">
        <x:v>Medium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Static Calculation</x:v>
      </x:c>
      <x:c r="G36" s="48" t="str">
        <x:v>Stage 2 candidate - direct/deterministic</x:v>
      </x:c>
      <x:c r="H36" s="47" t="str">
        <x:v>Medium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 Calculation</x:v>
      </x:c>
      <x:c r="G39" s="48" t="str">
        <x:v>Stage 2 candidate - direct/deterministic</x:v>
      </x:c>
      <x:c r="H39" s="47" t="str">
        <x:v>Medium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Static Calculation</x:v>
      </x:c>
      <x:c r="G40" s="48" t="str">
        <x:v>Stage 2 candidate - direct/deterministic</x:v>
      </x:c>
      <x:c r="H40" s="47" t="str">
        <x:v>High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Static</x:v>
      </x:c>
      <x:c r="G42" s="48" t="str">
        <x:v>Stage 2 candidate - direct/deterministic</x:v>
      </x:c>
      <x:c r="H42" s="47" t="str">
        <x:v>High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Static Calculation</x:v>
      </x:c>
      <x:c r="G43" s="48" t="str">
        <x:v>Stage 2 candidate - direct/deterministic</x:v>
      </x:c>
      <x:c r="H43" s="47" t="str">
        <x:v>High</x:v>
      </x:c>
      <x:c r="I43" s="47" t="str">
        <x:v>No</x:v>
      </x:c>
      <x:c r="J43" s="47" t="str">
        <x:v>ELIGIBLE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Static Calculation</x:v>
      </x:c>
      <x:c r="G44" s="48" t="str">
        <x:v>Stage 2 candidate - direct/deterministic</x:v>
      </x:c>
      <x:c r="H44" s="47" t="str">
        <x:v>High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 Calculation</x:v>
      </x:c>
      <x:c r="G45" s="48" t="str">
        <x:v>Stage 2 candidate - direct/deterministic</x:v>
      </x:c>
      <x:c r="H45" s="47" t="str">
        <x:v>Medium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Static</x:v>
      </x:c>
      <x:c r="G48" s="48" t="str">
        <x:v>Stage 2 candidate - direct/deterministic</x:v>
      </x:c>
      <x:c r="H48" s="47" t="str">
        <x:v>High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Static Calculation</x:v>
      </x:c>
      <x:c r="G49" s="48" t="str">
        <x:v>Stage 2 candidate - direct/deterministic</x:v>
      </x:c>
      <x:c r="H49" s="47" t="str">
        <x:v>High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Static Calculation</x:v>
      </x:c>
      <x:c r="G50" s="48" t="str">
        <x:v>Stage 2 candidate - direct/deterministic</x:v>
      </x:c>
      <x:c r="H50" s="47" t="str">
        <x:v>Medium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Static Calculation</x:v>
      </x:c>
      <x:c r="G63" s="48" t="str">
        <x:v>Stage 2 candidate - direct/deterministic</x:v>
      </x:c>
      <x:c r="H63" s="47" t="str">
        <x:v>High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Complex</x:v>
      </x:c>
      <x:c r="G70" s="48" t="str">
        <x:v>Deferred - composite/evidence workflow review</x:v>
      </x:c>
      <x:c r="H70" s="47" t="str">
        <x:v>Medium</x:v>
      </x:c>
      <x:c r="I70" s="47" t="str">
        <x:v>No</x:v>
      </x:c>
      <x:c r="J70" s="47" t="str">
        <x:v>DEFERRED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Complex</x:v>
      </x:c>
      <x:c r="G73" s="48" t="str">
        <x:v>Deferred - composite/evidence workflow review</x:v>
      </x:c>
      <x:c r="H73" s="47" t="str">
        <x:v>Medium</x:v>
      </x:c>
      <x:c r="I73" s="47" t="str">
        <x:v>No</x:v>
      </x:c>
      <x:c r="J73" s="47" t="str">
        <x:v>DEFERRED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Complex</x:v>
      </x:c>
      <x:c r="G79" s="48" t="str">
        <x:v>Deferred - composite/evidence workflow review</x:v>
      </x:c>
      <x:c r="H79" s="47" t="str">
        <x:v>Medium</x:v>
      </x:c>
      <x:c r="I79" s="47" t="str">
        <x:v>No</x:v>
      </x:c>
      <x:c r="J79" s="47" t="str">
        <x:v>DEFERRED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Complex</x:v>
      </x:c>
      <x:c r="G80" s="48" t="str">
        <x:v>Deferred - composite/evidence workflow review</x:v>
      </x:c>
      <x:c r="H80" s="47" t="str">
        <x:v>Medium</x:v>
      </x:c>
      <x:c r="I80" s="47" t="str">
        <x:v>No</x:v>
      </x:c>
      <x:c r="J80" s="47" t="str">
        <x:v>DEFERRED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Complex</x:v>
      </x:c>
      <x:c r="G82" s="48" t="str">
        <x:v>Deferred - composite/evidence workflow review</x:v>
      </x:c>
      <x:c r="H82" s="47" t="str">
        <x:v>Medium</x:v>
      </x:c>
      <x:c r="I82" s="47" t="str">
        <x:v>No</x:v>
      </x:c>
      <x:c r="J82" s="47" t="str">
        <x:v>DEFERRED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Complex</x:v>
      </x:c>
      <x:c r="G83" s="48" t="str">
        <x:v>Deferred - composite/evidence workflow review</x:v>
      </x:c>
      <x:c r="H83" s="47" t="str">
        <x:v>Medium</x:v>
      </x:c>
      <x:c r="I83" s="47" t="str">
        <x:v>No</x:v>
      </x:c>
      <x:c r="J83" s="47" t="str">
        <x:v>DEFERRED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Complex</x:v>
      </x:c>
      <x:c r="G84" s="48" t="str">
        <x:v>Deferred - composite/evidence workflow review</x:v>
      </x:c>
      <x:c r="H84" s="47" t="str">
        <x:v>Medium</x:v>
      </x:c>
      <x:c r="I84" s="47" t="str">
        <x:v>No</x:v>
      </x:c>
      <x:c r="J84" s="47" t="str">
        <x:v>DEFERRED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Complex</x:v>
      </x:c>
      <x:c r="G86" s="48" t="str">
        <x:v>Deferred - composite/evidence workflow review</x:v>
      </x:c>
      <x:c r="H86" s="47" t="str">
        <x:v>Medium</x:v>
      </x:c>
      <x:c r="I86" s="47" t="str">
        <x:v>No</x:v>
      </x:c>
      <x:c r="J86" s="47" t="str">
        <x:v>DEFERRED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Static Calculation</x:v>
      </x:c>
      <x:c r="G89" s="48" t="str">
        <x:v>Stage 2 candidate - direct/deterministic</x:v>
      </x:c>
      <x:c r="H89" s="47" t="str">
        <x:v>High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Complex</x:v>
      </x:c>
      <x:c r="G100" s="48" t="str">
        <x:v>Deferred - composite/evidence workflow review</x:v>
      </x:c>
      <x:c r="H100" s="47" t="str">
        <x:v>Medium</x:v>
      </x:c>
      <x:c r="I100" s="47" t="str">
        <x:v>No</x:v>
      </x:c>
      <x:c r="J100" s="47" t="str">
        <x:v>DEFERRED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Complex</x:v>
      </x:c>
      <x:c r="G101" s="48" t="str">
        <x:v>Deferred - composite/evidence workflow review</x:v>
      </x:c>
      <x:c r="H101" s="47" t="str">
        <x:v>Medium</x:v>
      </x:c>
      <x:c r="I101" s="47" t="str">
        <x:v>No</x:v>
      </x:c>
      <x:c r="J101" s="47" t="str">
        <x:v>DEFERRED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Complex</x:v>
      </x:c>
      <x:c r="G117" s="48" t="str">
        <x:v>Deferred - composite/evidence workflow review</x:v>
      </x:c>
      <x:c r="H117" s="47" t="str">
        <x:v>Medium</x:v>
      </x:c>
      <x:c r="I117" s="47" t="str">
        <x:v>No</x:v>
      </x:c>
      <x:c r="J117" s="47" t="str">
        <x:v>DEFERRED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Complex</x:v>
      </x:c>
      <x:c r="G120" s="48" t="str">
        <x:v>Deferred - composite/evidence workflow review</x:v>
      </x:c>
      <x:c r="H120" s="47" t="str">
        <x:v>Medium</x:v>
      </x:c>
      <x:c r="I120" s="47" t="str">
        <x:v>No</x:v>
      </x:c>
      <x:c r="J120" s="47" t="str">
        <x:v>DEFERRED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Complex</x:v>
      </x:c>
      <x:c r="G151" s="48" t="str">
        <x:v>Deferred - composite/evidence workflow review</x:v>
      </x:c>
      <x:c r="H151" s="47" t="str">
        <x:v>Medium</x:v>
      </x:c>
      <x:c r="I151" s="47" t="str">
        <x:v>No</x:v>
      </x:c>
      <x:c r="J151" s="47" t="str">
        <x:v>DEFERRED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Complex</x:v>
      </x:c>
      <x:c r="G152" s="48" t="str">
        <x:v>Deferred - composite/evidence workflow review</x:v>
      </x:c>
      <x:c r="H152" s="47" t="str">
        <x:v>Medium</x:v>
      </x:c>
      <x:c r="I152" s="47" t="str">
        <x:v>No</x:v>
      </x:c>
      <x:c r="J152" s="47" t="str">
        <x:v>DEFERRED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Complex</x:v>
      </x:c>
      <x:c r="G153" s="48" t="str">
        <x:v>Deferred - composite/evidence workflow review</x:v>
      </x:c>
      <x:c r="H153" s="47" t="str">
        <x:v>Medium</x:v>
      </x:c>
      <x:c r="I153" s="47" t="str">
        <x:v>No</x:v>
      </x:c>
      <x:c r="J153" s="47" t="str">
        <x:v>DEFERRED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Complex</x:v>
      </x:c>
      <x:c r="G155" s="48" t="str">
        <x:v>Deferred - composite/evidence workflow review</x:v>
      </x:c>
      <x:c r="H155" s="47" t="str">
        <x:v>Medium</x:v>
      </x:c>
      <x:c r="I155" s="47" t="str">
        <x:v>No</x:v>
      </x:c>
      <x:c r="J155" s="47" t="str">
        <x:v>DEFERRED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 Calculation</x:v>
      </x:c>
      <x:c r="G160" s="48" t="str">
        <x:v>Stage 2 candidate - direct/deterministic</x:v>
      </x:c>
      <x:c r="H160" s="47" t="str">
        <x:v>High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 Calculation</x:v>
      </x:c>
      <x:c r="G161" s="48" t="str">
        <x:v>Stage 2 candidate - direct/deterministic</x:v>
      </x:c>
      <x:c r="H161" s="47" t="str">
        <x:v>High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Complex</x:v>
      </x:c>
      <x:c r="G162" s="48" t="str">
        <x:v>Deferred - composite/evidence workflow review</x:v>
      </x:c>
      <x:c r="H162" s="47" t="str">
        <x:v>Medium</x:v>
      </x:c>
      <x:c r="I162" s="47" t="str">
        <x:v>No</x:v>
      </x:c>
      <x:c r="J162" s="47" t="str">
        <x:v>DEFERRED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 Calculation</x:v>
      </x:c>
      <x:c r="G163" s="48" t="str">
        <x:v>Stage 2 candidate - direct/deterministic</x:v>
      </x:c>
      <x:c r="H163" s="47" t="str">
        <x:v>High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Complex</x:v>
      </x:c>
      <x:c r="G166" s="48" t="str">
        <x:v>Deferred - composite/evidence workflow review</x:v>
      </x:c>
      <x:c r="H166" s="47" t="str">
        <x:v>Medium</x:v>
      </x:c>
      <x:c r="I166" s="47" t="str">
        <x:v>No</x:v>
      </x:c>
      <x:c r="J166" s="47" t="str">
        <x:v>DEFERRED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 Calculation</x:v>
      </x:c>
      <x:c r="G167" s="48" t="str">
        <x:v>Stage 2 candidate - direct/deterministic</x:v>
      </x:c>
      <x:c r="H167" s="47" t="str">
        <x:v>High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 Calculation</x:v>
      </x:c>
      <x:c r="G168" s="48" t="str">
        <x:v>Stage 2 candidate - direct/deterministic</x:v>
      </x:c>
      <x:c r="H168" s="47" t="str">
        <x:v>High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Complex</x:v>
      </x:c>
      <x:c r="G169" s="48" t="str">
        <x:v>Deferred - composite/evidence workflow review</x:v>
      </x:c>
      <x:c r="H169" s="47" t="str">
        <x:v>Medium</x:v>
      </x:c>
      <x:c r="I169" s="47" t="str">
        <x:v>No</x:v>
      </x:c>
      <x:c r="J169" s="47" t="str">
        <x:v>DEFERRED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Complex</x:v>
      </x:c>
      <x:c r="G171" s="48" t="str">
        <x:v>Deferred - composite/evidence workflow review</x:v>
      </x:c>
      <x:c r="H171" s="47" t="str">
        <x:v>Medium</x:v>
      </x:c>
      <x:c r="I171" s="47" t="str">
        <x:v>No</x:v>
      </x:c>
      <x:c r="J171" s="47" t="str">
        <x:v>DEFERRED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 Calculation</x:v>
      </x:c>
      <x:c r="G172" s="48" t="str">
        <x:v>Stage 2 candidate - direct/deterministic</x:v>
      </x:c>
      <x:c r="H172" s="47" t="str">
        <x:v>High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Complex</x:v>
      </x:c>
      <x:c r="G175" s="48" t="str">
        <x:v>Deferred - composite/evidence workflow review</x:v>
      </x:c>
      <x:c r="H175" s="47" t="str">
        <x:v>Medium</x:v>
      </x:c>
      <x:c r="I175" s="47" t="str">
        <x:v>No</x:v>
      </x:c>
      <x:c r="J175" s="47" t="str">
        <x:v>DEFERRED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 Calculation</x:v>
      </x:c>
      <x:c r="G176" s="48" t="str">
        <x:v>Stage 2 candidate - direct/deterministic</x:v>
      </x:c>
      <x:c r="H176" s="47" t="str">
        <x:v>High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Complex</x:v>
      </x:c>
      <x:c r="G184" s="48" t="str">
        <x:v>Deferred - composite/evidence workflow review</x:v>
      </x:c>
      <x:c r="H184" s="47" t="str">
        <x:v>High</x:v>
      </x:c>
      <x:c r="I184" s="47" t="str">
        <x:v>No</x:v>
      </x:c>
      <x:c r="J184" s="47" t="str">
        <x:v>DEFERRED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Complex</x:v>
      </x:c>
      <x:c r="G185" s="48" t="str">
        <x:v>Deferred - composite/evidence workflow review</x:v>
      </x:c>
      <x:c r="H185" s="47" t="str">
        <x:v>Medium</x:v>
      </x:c>
      <x:c r="I185" s="47" t="str">
        <x:v>No</x:v>
      </x:c>
      <x:c r="J185" s="47" t="str">
        <x:v>DEFERRED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Complex</x:v>
      </x:c>
      <x:c r="G188" s="48" t="str">
        <x:v>Deferred - composite/evidence workflow review</x:v>
      </x:c>
      <x:c r="H188" s="47" t="str">
        <x:v>High</x:v>
      </x:c>
      <x:c r="I188" s="47" t="str">
        <x:v>No</x:v>
      </x:c>
      <x:c r="J188" s="47" t="str">
        <x:v>DEFERRED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Complex</x:v>
      </x:c>
      <x:c r="G194" s="48" t="str">
        <x:v>Deferred - composite/evidence workflow review</x:v>
      </x:c>
      <x:c r="H194" s="47" t="str">
        <x:v>Medium</x:v>
      </x:c>
      <x:c r="I194" s="47" t="str">
        <x:v>No</x:v>
      </x:c>
      <x:c r="J194" s="47" t="str">
        <x:v>DEFERRED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Complex</x:v>
      </x:c>
      <x:c r="G195" s="48" t="str">
        <x:v>Deferred - composite/evidence workflow review</x:v>
      </x:c>
      <x:c r="H195" s="47" t="str">
        <x:v>Medium</x:v>
      </x:c>
      <x:c r="I195" s="47" t="str">
        <x:v>No</x:v>
      </x:c>
      <x:c r="J195" s="47" t="str">
        <x:v>DEFERRED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GENERATION_ACCEPTED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Static</x:v>
      </x:c>
      <x:c r="G206" s="48" t="str">
        <x:v>Stage 2 candidate - direct/deterministic</x:v>
      </x:c>
      <x:c r="H206" s="47" t="str">
        <x:v>High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Static Calculation</x:v>
      </x:c>
      <x:c r="G213" s="48" t="str">
        <x:v>Stage 2 candidate - direct/deterministic</x:v>
      </x:c>
      <x:c r="H213" s="47" t="str">
        <x:v>Medium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Static Calculation</x:v>
      </x:c>
      <x:c r="G214" s="48" t="str">
        <x:v>Stage 2 candidate - direct/deterministic</x:v>
      </x:c>
      <x:c r="H214" s="47" t="str">
        <x:v>Medium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Static Calculation</x:v>
      </x:c>
      <x:c r="G217" s="48" t="str">
        <x:v>Stage 2 candidate - direct/deterministic</x:v>
      </x:c>
      <x:c r="H217" s="47" t="str">
        <x:v>High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Static Calculation</x:v>
      </x:c>
      <x:c r="G218" s="48" t="str">
        <x:v>Stage 2 candidate - direct/deterministic</x:v>
      </x:c>
      <x:c r="H218" s="47" t="str">
        <x:v>High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Physical Test</x:v>
      </x:c>
      <x:c r="G220" s="48" t="str">
        <x:v>Evidence-only - physical result not inferred by SHACL</x:v>
      </x:c>
      <x:c r="H220" s="47" t="str">
        <x:v>Medium</x:v>
      </x:c>
      <x:c r="I220" s="47" t="str">
        <x:v>No</x:v>
      </x:c>
      <x:c r="J220" s="47" t="str">
        <x:v>DEFERRED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Complex</x:v>
      </x:c>
      <x:c r="G221" s="48" t="str">
        <x:v>Deferred - composite/evidence workflow review</x:v>
      </x:c>
      <x:c r="H221" s="47" t="str">
        <x:v>Medium</x:v>
      </x:c>
      <x:c r="I221" s="47" t="str">
        <x:v>No</x:v>
      </x:c>
      <x:c r="J221" s="47" t="str">
        <x:v>DEFERRED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Static Calculation</x:v>
      </x:c>
      <x:c r="G222" s="48" t="str">
        <x:v>Stage 2 candidate - direct/deterministic</x:v>
      </x:c>
      <x:c r="H222" s="47" t="str">
        <x:v>High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Static Calculation</x:v>
      </x:c>
      <x:c r="G225" s="48" t="str">
        <x:v>Stage 2 candidate - direct/deterministic</x:v>
      </x:c>
      <x:c r="H225" s="47" t="str">
        <x:v>Medium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 Calculation</x:v>
      </x:c>
      <x:c r="G227" s="48" t="str">
        <x:v>Stage 2 candidate - direct/deterministic</x:v>
      </x:c>
      <x:c r="H227" s="47" t="str">
        <x:v>Medium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Complex</x:v>
      </x:c>
      <x:c r="G229" s="48" t="str">
        <x:v>Deferred - composite/evidence workflow review</x:v>
      </x:c>
      <x:c r="H229" s="47" t="str">
        <x:v>Medium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Complex</x:v>
      </x:c>
      <x:c r="G230" s="48" t="str">
        <x:v>Deferred - composite/evidence workflow review</x:v>
      </x:c>
      <x:c r="H230" s="47" t="str">
        <x:v>Medium</x:v>
      </x:c>
      <x:c r="I230" s="47" t="str">
        <x:v>No</x:v>
      </x:c>
      <x:c r="J230" s="47" t="str">
        <x:v>DEFERRED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Static Calculation</x:v>
      </x:c>
      <x:c r="G231" s="48" t="str">
        <x:v>Stage 2 candidate - direct/deterministic</x:v>
      </x:c>
      <x:c r="H231" s="47" t="str">
        <x:v>High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 Calculation</x:v>
      </x:c>
      <x:c r="G239" s="48" t="str">
        <x:v>Stage 2 candidate - direct/deterministic</x:v>
      </x:c>
      <x:c r="H239" s="47" t="str">
        <x:v>High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Static Calculation</x:v>
      </x:c>
      <x:c r="G241" s="48" t="str">
        <x:v>Stage 2 candidate - direct/deterministic</x:v>
      </x:c>
      <x:c r="H241" s="47" t="str">
        <x:v>Medium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 Calculation</x:v>
      </x:c>
      <x:c r="G245" s="48" t="str">
        <x:v>Stage 2 candidate - direct/deterministic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 Calculation</x:v>
      </x:c>
      <x:c r="G246" s="48" t="str">
        <x:v>Stage 2 candidate - direct/deterministic</x:v>
      </x:c>
      <x:c r="H246" s="47" t="str">
        <x:v>High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Static Calculation</x:v>
      </x:c>
      <x:c r="G250" s="48" t="str">
        <x:v>Stage 2 candidate - direct/deterministic</x:v>
      </x:c>
      <x:c r="H250" s="47" t="str">
        <x:v>Medium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Static Calculation</x:v>
      </x:c>
      <x:c r="G260" s="48" t="str">
        <x:v>Stage 2 candidate - direct/deterministic</x:v>
      </x:c>
      <x:c r="H260" s="47" t="str">
        <x:v>High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Complex</x:v>
      </x:c>
      <x:c r="G264" s="48" t="str">
        <x:v>Deferred - composite/evidence workflow review</x:v>
      </x:c>
      <x:c r="H264" s="47" t="str">
        <x:v>Medium</x:v>
      </x:c>
      <x:c r="I264" s="47" t="str">
        <x:v>No</x:v>
      </x:c>
      <x:c r="J264" s="47" t="str">
        <x:v>DEFERRED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 Calculation</x:v>
      </x:c>
      <x:c r="G266" s="48" t="str">
        <x:v>Stage 2 candidate - direct/deterministic</x:v>
      </x:c>
      <x:c r="H266" s="47" t="str">
        <x:v>High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</x:v>
      </x:c>
      <x:c r="G269" s="48" t="str">
        <x:v>Stage 2 candidate - direct/deterministic</x:v>
      </x:c>
      <x:c r="H269" s="47" t="str">
        <x:v>High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</x:v>
      </x:c>
      <x:c r="G273" s="48" t="str">
        <x:v>Stage 2 candidate - direct/deterministic</x:v>
      </x:c>
      <x:c r="H273" s="47" t="str">
        <x:v>High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</x:v>
      </x:c>
      <x:c r="G275" s="48" t="str">
        <x:v>Stage 2 candidate - direct/deterministic</x:v>
      </x:c>
      <x:c r="H275" s="47" t="str">
        <x:v>High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 Calculation</x:v>
      </x:c>
      <x:c r="G277" s="48" t="str">
        <x:v>Stage 2 candidate - direct/deterministic</x:v>
      </x:c>
      <x:c r="H277" s="47" t="str">
        <x:v>Medium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Complex</x:v>
      </x:c>
      <x:c r="G281" s="48" t="str">
        <x:v>Deferred - composite/evidence workflow review</x:v>
      </x:c>
      <x:c r="H281" s="47" t="str">
        <x:v>Medium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Static Calculation</x:v>
      </x:c>
      <x:c r="G285" s="48" t="str">
        <x:v>Stage 2 candidate - direct/deterministic</x:v>
      </x:c>
      <x:c r="H285" s="47" t="str">
        <x:v>High</x:v>
      </x:c>
      <x:c r="I285" s="47" t="str">
        <x:v>No</x:v>
      </x:c>
      <x:c r="J285" s="47" t="str">
        <x:v>ELIGIBLE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Complex</x:v>
      </x:c>
      <x:c r="G292" s="48" t="str">
        <x:v>Deferred - composite/evidence workflow review</x:v>
      </x:c>
      <x:c r="H292" s="47" t="str">
        <x:v>Medium</x:v>
      </x:c>
      <x:c r="I292" s="47" t="str">
        <x:v>No</x:v>
      </x:c>
      <x:c r="J292" s="47" t="str">
        <x:v>DEFERRED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Static Calculation</x:v>
      </x:c>
      <x:c r="G299" s="48" t="str">
        <x:v>Stage 2 candidate - direct/deterministic</x:v>
      </x:c>
      <x:c r="H299" s="47" t="str">
        <x:v>High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Static Calculation</x:v>
      </x:c>
      <x:c r="G300" s="48" t="str">
        <x:v>Stage 2 candidate - direct/deterministic</x:v>
      </x:c>
      <x:c r="H300" s="47" t="str">
        <x:v>High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Static</x:v>
      </x:c>
      <x:c r="G302" s="48" t="str">
        <x:v>Stage 2 candidate - direct/deterministic</x:v>
      </x:c>
      <x:c r="H302" s="47" t="str">
        <x:v>Medium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Static Calculation</x:v>
      </x:c>
      <x:c r="G303" s="48" t="str">
        <x:v>Stage 2 candidate - direct/deterministic</x:v>
      </x:c>
      <x:c r="H303" s="47" t="str">
        <x:v>High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Static Calculation</x:v>
      </x:c>
      <x:c r="G304" s="48" t="str">
        <x:v>Stage 2 candidate - direct/deterministic</x:v>
      </x:c>
      <x:c r="H304" s="47" t="str">
        <x:v>High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Static Calculation</x:v>
      </x:c>
      <x:c r="G308" s="48" t="str">
        <x:v>Stage 2 candidate - direct/deterministic</x:v>
      </x:c>
      <x:c r="H308" s="47" t="str">
        <x:v>Medium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 Calculation</x:v>
      </x:c>
      <x:c r="G312" s="48" t="str">
        <x:v>Stage 2 candidate - direct/deterministic</x:v>
      </x:c>
      <x:c r="H312" s="47" t="str">
        <x:v>High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</x:v>
      </x:c>
      <x:c r="G314" s="48" t="str">
        <x:v>Stage 2 candidate - direct/deterministic</x:v>
      </x:c>
      <x:c r="H314" s="47" t="str">
        <x:v>High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e94fa5aefc6a4c1d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19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RUN-TRF-009-20260812T150523068293Z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SESSION-BATCH-20260812T150310676130Z</x:v>
      </x:c>
      <x:c r="B5" s="69" t="str">
        <x:v>RUN-TRF-009-20260812T150523068293Z</x:v>
      </x:c>
      <x:c r="C5" s="69" t="str">
        <x:v>TRF-009</x:v>
      </x:c>
      <x:c r="D5" s="70" t="n">
        <x:v>46246.628739224536</x:v>
      </x:c>
      <x:c r="E5" s="70" t="n">
        <x:v>46246.629178958334</x:v>
      </x:c>
      <x:c r="F5" s="69" t="str">
        <x:v>0.4.1-dev-batch01</x:v>
      </x:c>
      <x:c r="G5" s="69" t="str">
        <x:v>VOCAB-DEV-2026-08-12-BATCH01-R4</x:v>
      </x:c>
      <x:c r="H5" s="71" t="n">
        <x:v>1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Candidate faithfully encodes the ship applicability conditions, permitted alternative compliance methods, delivery-year-plus-20 deadline formula, inclusive latest-date comparison, canonical datatypes, and ship-level target.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c9077e5444f40bc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RUN-TRF-009-20260812T150523068293Z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RUN-TRF-009-20260812T150523068293Z</x:v>
      </x:c>
      <x:c r="B5" s="69" t="str">
        <x:v>TRF-009</x:v>
      </x:c>
      <x:c r="C5" s="71" t="n">
        <x:v>1</x:v>
      </x:c>
      <x:c r="D5" s="72" t="b">
        <x:v>1</x:v>
      </x:c>
      <x:c r="E5" s="72" t="b">
        <x:v>1</x:v>
      </x:c>
      <x:c r="F5" s="72" t="b">
        <x:v>0</x:v>
      </x:c>
      <x:c r="G5" s="69" t="str">
        <x:v>ACCEPT</x:v>
      </x:c>
      <x:c r="H5" s="73" t="str">
        <x:v>Candidate faithfully encodes the ship applicability conditions, permitted alternative compliance methods, delivery-year-plus-20 deadline formula, inclusive latest-date comparison, canonical datatypes, and ship-level target.</x:v>
      </x:c>
      <x:c r="I5" s="75" t="n">
        <x:v>27911.968</x:v>
      </x:c>
      <x:c r="J5" s="75" t="n">
        <x:v>9992.68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7c37b2f6af648ba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RUN-TRF-009-20260812T150523068293Z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EVT-000027</x:v>
      </x:c>
      <x:c r="B5" s="45" t="str">
        <x:v>RUN-TRF-009-20260812T150523068293Z</x:v>
      </x:c>
      <x:c r="C5" s="45" t="str">
        <x:v>TRF-009</x:v>
      </x:c>
      <x:c r="D5" s="88" t="n">
        <x:v>46246.629062291664</x:v>
      </x:c>
      <x:c r="E5" s="45" t="str">
        <x:v>generator</x:v>
      </x:c>
      <x:c r="F5" s="45" t="str">
        <x:v>gpt-5.6-sol-2026-07-09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27910.155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EVT-000028</x:v>
      </x:c>
      <x:c r="B6" s="47" t="str">
        <x:v>RUN-TRF-009-20260812T150523068293Z</x:v>
      </x:c>
      <x:c r="C6" s="47" t="str">
        <x:v>TRF-009</x:v>
      </x:c>
      <x:c r="D6" s="91" t="n">
        <x:v>46246.629062314816</x:v>
      </x:c>
      <x:c r="E6" s="47" t="str">
        <x:v>generator</x:v>
      </x:c>
      <x:c r="F6" s="47" t="str">
        <x:v>gpt-5.6-sol-2026-07-09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27911.968</x:v>
      </x:c>
      <x:c r="L6" s="93" t="b">
        <x:v>0</x:v>
      </x:c>
      <x:c r="M6" s="47" t="str">
        <x:v>resp_00f537e9cfe0ecfa006a7c8bb32a7081958a67a9efd7671951</x:v>
      </x:c>
      <x:c r="N6" s="59" t="n">
        <x:v>7052</x:v>
      </x:c>
      <x:c r="O6" s="59" t="n">
        <x:v>2231</x:v>
      </x:c>
      <x:c r="P6" s="59" t="n">
        <x:v>9283</x:v>
      </x:c>
    </x:row>
    <x:row r="7">
      <x:c r="A7" s="47" t="str">
        <x:v>EVT-000035</x:v>
      </x:c>
      <x:c r="B7" s="47" t="str">
        <x:v>RUN-TRF-009-20260812T150523068293Z</x:v>
      </x:c>
      <x:c r="C7" s="47" t="str">
        <x:v>TRF-009</x:v>
      </x:c>
      <x:c r="D7" s="91" t="n">
        <x:v>46246.62917888889</x:v>
      </x:c>
      <x:c r="E7" s="47" t="str">
        <x:v>validator</x:v>
      </x:c>
      <x:c r="F7" s="47" t="str">
        <x:v>gpt-5.6-sol-2026-07-09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9990.986</x:v>
      </x:c>
      <x:c r="L7" s="93" t="b">
        <x:v>0</x:v>
      </x:c>
      <x:c r="M7" s="47" t="str"/>
      <x:c r="N7" s="59" t="str"/>
      <x:c r="O7" s="59" t="str"/>
      <x:c r="P7" s="59" t="str"/>
    </x:row>
    <x:row r="8">
      <x:c r="A8" s="49" t="str">
        <x:v>EVT-000036</x:v>
      </x:c>
      <x:c r="B8" s="49" t="str">
        <x:v>RUN-TRF-009-20260812T150523068293Z</x:v>
      </x:c>
      <x:c r="C8" s="49" t="str">
        <x:v>TRF-009</x:v>
      </x:c>
      <x:c r="D8" s="94" t="n">
        <x:v>46246.62917891204</x:v>
      </x:c>
      <x:c r="E8" s="49" t="str">
        <x:v>validator</x:v>
      </x:c>
      <x:c r="F8" s="49" t="str">
        <x:v>gpt-5.6-sol-2026-07-09</x:v>
      </x:c>
      <x:c r="G8" s="49" t="n">
        <x:v>1</x:v>
      </x:c>
      <x:c r="H8" s="49" t="str">
        <x:v>COMPLETED</x:v>
      </x:c>
      <x:c r="I8" s="49" t="str"/>
      <x:c r="J8" s="95" t="n">
        <x:v>0</x:v>
      </x:c>
      <x:c r="K8" s="95" t="n">
        <x:v>9992.68</x:v>
      </x:c>
      <x:c r="L8" s="96" t="b">
        <x:v>0</x:v>
      </x:c>
      <x:c r="M8" s="49" t="str">
        <x:v>resp_0a0cf09c72de8b09006a7c8bcf3bec8196b5bc85a4e2ef1109</x:v>
      </x:c>
      <x:c r="N8" s="60" t="n">
        <x:v>7921</x:v>
      </x:c>
      <x:c r="O8" s="60" t="n">
        <x:v>573</x:v>
      </x:c>
      <x:c r="P8" s="60" t="n">
        <x:v>8494</x:v>
      </x:c>
    </x:row>
  </x:sheetData>
  <x:conditionalFormatting sqref="H5:H8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2f7577cde794792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1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RUN-TRF-009-20260812T150523068293Z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RUN-TRF-009-20260812T150523068293Z</x:v>
      </x:c>
      <x:c r="B5" s="45" t="str">
        <x:v>TRF-009</x:v>
      </x:c>
      <x:c r="C5" s="45" t="str">
        <x:v>assessmentDate</x:v>
      </x:c>
      <x:c r="D5" s="46" t="str">
        <x:v>https://w3id.org/nltl-benchmark/vocab#assessmentDate</x:v>
      </x:c>
      <x:c r="E5" s="45" t="str">
        <x:v>DatatypeProperty</x:v>
      </x:c>
      <x:c r="F5" s="45" t="str">
        <x:v>xsd:date</x:v>
      </x:c>
      <x:c r="G5" s="45" t="str">
        <x:v>http://www.w3.org/2001/XMLSchema#date</x:v>
      </x:c>
      <x:c r="H5" s="45" t="str"/>
      <x:c r="I5" s="46" t="str">
        <x:v>linked by the locked 313-requirement index</x:v>
      </x:c>
      <x:c r="J5" s="45" t="n">
        <x:v>0</x:v>
      </x:c>
    </x:row>
    <x:row r="6">
      <x:c r="A6" s="47" t="str">
        <x:v>RUN-TRF-009-20260812T150523068293Z</x:v>
      </x:c>
      <x:c r="B6" s="47" t="str">
        <x:v>TRF-009</x:v>
      </x:c>
      <x:c r="C6" s="47" t="str">
        <x:v>benchmarkEntity</x:v>
      </x:c>
      <x:c r="D6" s="48" t="str">
        <x:v>https://w3id.org/nltl-benchmark/vocab#benchmarkEntity</x:v>
      </x:c>
      <x:c r="E6" s="47" t="str">
        <x:v>Class</x:v>
      </x:c>
      <x:c r="F6" s="47" t="str"/>
      <x:c r="G6" s="47" t="str"/>
      <x:c r="H6" s="47" t="str"/>
      <x:c r="I6" s="48" t="str">
        <x:v>baseline target infrastructure</x:v>
      </x:c>
      <x:c r="J6" s="47" t="n">
        <x:v>0</x:v>
      </x:c>
    </x:row>
    <x:row r="7">
      <x:c r="A7" s="47" t="str">
        <x:v>RUN-TRF-009-20260812T150523068293Z</x:v>
      </x:c>
      <x:c r="B7" s="47" t="str">
        <x:v>TRF-009</x:v>
      </x:c>
      <x:c r="C7" s="47" t="str">
        <x:v>constructionStageDate</x:v>
      </x:c>
      <x:c r="D7" s="48" t="str">
        <x:v>https://w3id.org/nltl-benchmark/vocab#constructionStageDate</x:v>
      </x:c>
      <x:c r="E7" s="47" t="str">
        <x:v>DatatypeProperty</x:v>
      </x:c>
      <x:c r="F7" s="47" t="str">
        <x:v>xsd:date</x:v>
      </x:c>
      <x:c r="G7" s="47" t="str">
        <x:v>http://www.w3.org/2001/XMLSchema#date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RUN-TRF-009-20260812T150523068293Z</x:v>
      </x:c>
      <x:c r="B8" s="47" t="str">
        <x:v>TRF-009</x:v>
      </x:c>
      <x:c r="C8" s="47" t="str">
        <x:v>deliveryDate</x:v>
      </x:c>
      <x:c r="D8" s="48" t="str">
        <x:v>https://w3id.org/nltl-benchmark/vocab#deliveryDate</x:v>
      </x:c>
      <x:c r="E8" s="47" t="str">
        <x:v>DatatypeProperty</x:v>
      </x:c>
      <x:c r="F8" s="47" t="str">
        <x:v>xsd:date</x:v>
      </x:c>
      <x:c r="G8" s="47" t="str">
        <x:v>http://www.w3.org/2001/XMLSchema#date</x:v>
      </x:c>
      <x:c r="H8" s="47" t="str"/>
      <x:c r="I8" s="48" t="str">
        <x:v>linked by the locked 313-requirement index</x:v>
      </x:c>
      <x:c r="J8" s="47" t="n">
        <x:v>0</x:v>
      </x:c>
    </x:row>
    <x:row r="9">
      <x:c r="A9" s="47" t="str">
        <x:v>RUN-TRF-009-20260812T150523068293Z</x:v>
      </x:c>
      <x:c r="B9" s="47" t="str">
        <x:v>TRF-009</x:v>
      </x:c>
      <x:c r="C9" s="47" t="str">
        <x:v>engineOutputComplianceMethod</x:v>
      </x:c>
      <x:c r="D9" s="48" t="str">
        <x:v>https://w3id.org/nltl-benchmark/vocab#engineOutputComplianceMethod</x:v>
      </x:c>
      <x:c r="E9" s="47" t="str">
        <x:v>ObjectProperty</x:v>
      </x:c>
      <x:c r="F9" s="47" t="str"/>
      <x:c r="G9" s="47" t="str">
        <x:v>https://w3id.org/nltl-benchmark/vocab#engineOutputComplianceMethodValue</x:v>
      </x:c>
      <x:c r="H9" s="47" t="str"/>
      <x:c r="I9" s="48" t="str">
        <x:v>linked by the locked 313-requirement index</x:v>
      </x:c>
      <x:c r="J9" s="47" t="n">
        <x:v>0</x:v>
      </x:c>
    </x:row>
    <x:row r="10">
      <x:c r="A10" s="47" t="str">
        <x:v>RUN-TRF-009-20260812T150523068293Z</x:v>
      </x:c>
      <x:c r="B10" s="47" t="str">
        <x:v>TRF-009</x:v>
      </x:c>
      <x:c r="C10" s="47" t="str">
        <x:v>engineOutputComplianceMethodValue</x:v>
      </x:c>
      <x:c r="D10" s="48" t="str">
        <x:v>https://w3id.org/nltl-benchmark/vocab#engineOutputComplianceMethodValue</x:v>
      </x:c>
      <x:c r="E10" s="47" t="str">
        <x:v>Class</x:v>
      </x:c>
      <x:c r="F10" s="47" t="str"/>
      <x:c r="G10" s="47" t="str">
        <x:v>https://w3id.org/nltl-benchmark/vocab#benchmarkEntity</x:v>
      </x:c>
      <x:c r="H10" s="47" t="str"/>
      <x:c r="I10" s="48" t="str">
        <x:v>range dependency of engineOutputComplianceMethod; range dependency of traficom2017Section3Point2Point2Method; range dependency of traficom2017Section3Point2Point4Method</x:v>
      </x:c>
      <x:c r="J10" s="47" t="n">
        <x:v>0</x:v>
      </x:c>
    </x:row>
    <x:row r="11">
      <x:c r="A11" s="47" t="str">
        <x:v>RUN-TRF-009-20260812T150523068293Z</x:v>
      </x:c>
      <x:c r="B11" s="47" t="str">
        <x:v>TRF-009</x:v>
      </x:c>
      <x:c r="C11" s="47" t="str">
        <x:v>hasComponent</x:v>
      </x:c>
      <x:c r="D11" s="48" t="str">
        <x:v>https://w3id.org/nltl-benchmark/vocab#hasComponent</x:v>
      </x:c>
      <x:c r="E11" s="47" t="str">
        <x:v>ObjectProperty</x:v>
      </x:c>
      <x:c r="F11" s="47" t="str"/>
      <x:c r="G11" s="47" t="str">
        <x:v>https://w3id.org/nltl-benchmark/vocab#shipComponent</x:v>
      </x:c>
      <x:c r="H11" s="47" t="str"/>
      <x:c r="I11" s="48" t="str">
        <x:v>component-path dependency inferred from the linked term module</x:v>
      </x:c>
      <x:c r="J11" s="47" t="n">
        <x:v>0</x:v>
      </x:c>
    </x:row>
    <x:row r="12">
      <x:c r="A12" s="47" t="str">
        <x:v>RUN-TRF-009-20260812T150523068293Z</x:v>
      </x:c>
      <x:c r="B12" s="47" t="str">
        <x:v>TRF-009</x:v>
      </x:c>
      <x:c r="C12" s="47" t="str">
        <x:v>iceClass</x:v>
      </x:c>
      <x:c r="D12" s="48" t="str">
        <x:v>https://w3id.org/nltl-benchmark/vocab#iceClass</x:v>
      </x:c>
      <x:c r="E12" s="47" t="str">
        <x:v>ObjectProperty</x:v>
      </x:c>
      <x:c r="F12" s="47" t="str"/>
      <x:c r="G12" s="47" t="str">
        <x:v>https://w3id.org/nltl-benchmark/vocab#iceClassValue</x:v>
      </x:c>
      <x:c r="H12" s="47" t="str"/>
      <x:c r="I12" s="48" t="str">
        <x:v>linked by the locked 313-requirement index</x:v>
      </x:c>
      <x:c r="J12" s="47" t="n">
        <x:v>0</x:v>
      </x:c>
    </x:row>
    <x:row r="13">
      <x:c r="A13" s="47" t="str">
        <x:v>RUN-TRF-009-20260812T150523068293Z</x:v>
      </x:c>
      <x:c r="B13" s="47" t="str">
        <x:v>TRF-009</x:v>
      </x:c>
      <x:c r="C13" s="47" t="str">
        <x:v>iceClassIa</x:v>
      </x:c>
      <x:c r="D13" s="48" t="str">
        <x:v>https://w3id.org/nltl-benchmark/vocab#iceClassIa</x:v>
      </x:c>
      <x:c r="E13" s="47" t="str">
        <x:v>NamedIndividual</x:v>
      </x:c>
      <x:c r="F13" s="47" t="str"/>
      <x:c r="G13" s="47" t="str">
        <x:v>https://w3id.org/nltl-benchmark/vocab#iceClassValue</x:v>
      </x:c>
      <x:c r="H13" s="47" t="str"/>
      <x:c r="I13" s="48" t="str">
        <x:v>controlled value permitted by the range of iceClass</x:v>
      </x:c>
      <x:c r="J13" s="47" t="n">
        <x:v>0</x:v>
      </x:c>
    </x:row>
    <x:row r="14">
      <x:c r="A14" s="47" t="str">
        <x:v>RUN-TRF-009-20260812T150523068293Z</x:v>
      </x:c>
      <x:c r="B14" s="47" t="str">
        <x:v>TRF-009</x:v>
      </x:c>
      <x:c r="C14" s="47" t="str">
        <x:v>iceClassIaSuper</x:v>
      </x:c>
      <x:c r="D14" s="48" t="str">
        <x:v>https://w3id.org/nltl-benchmark/vocab#iceClassIaSuper</x:v>
      </x:c>
      <x:c r="E14" s="47" t="str">
        <x:v>NamedIndividual</x:v>
      </x:c>
      <x:c r="F14" s="47" t="str"/>
      <x:c r="G14" s="47" t="str">
        <x:v>https://w3id.org/nltl-benchmark/vocab#iceClassValue</x:v>
      </x:c>
      <x:c r="H14" s="47" t="str"/>
      <x:c r="I14" s="48" t="str">
        <x:v>controlled value permitted by the range of iceClass</x:v>
      </x:c>
      <x:c r="J14" s="47" t="n">
        <x:v>0</x:v>
      </x:c>
    </x:row>
    <x:row r="15">
      <x:c r="A15" s="47" t="str">
        <x:v>RUN-TRF-009-20260812T150523068293Z</x:v>
      </x:c>
      <x:c r="B15" s="47" t="str">
        <x:v>TRF-009</x:v>
      </x:c>
      <x:c r="C15" s="47" t="str">
        <x:v>iceClassIb</x:v>
      </x:c>
      <x:c r="D15" s="48" t="str">
        <x:v>https://w3id.org/nltl-benchmark/vocab#iceClassIb</x:v>
      </x:c>
      <x:c r="E15" s="47" t="str">
        <x:v>NamedIndividual</x:v>
      </x:c>
      <x:c r="F15" s="47" t="str"/>
      <x:c r="G15" s="47" t="str">
        <x:v>https://w3id.org/nltl-benchmark/vocab#iceClassValue</x:v>
      </x:c>
      <x:c r="H15" s="47" t="str"/>
      <x:c r="I15" s="48" t="str">
        <x:v>controlled value permitted by the range of iceClass</x:v>
      </x:c>
      <x:c r="J15" s="47" t="n">
        <x:v>0</x:v>
      </x:c>
    </x:row>
    <x:row r="16">
      <x:c r="A16" s="47" t="str">
        <x:v>RUN-TRF-009-20260812T150523068293Z</x:v>
      </x:c>
      <x:c r="B16" s="47" t="str">
        <x:v>TRF-009</x:v>
      </x:c>
      <x:c r="C16" s="47" t="str">
        <x:v>iceClassIc</x:v>
      </x:c>
      <x:c r="D16" s="48" t="str">
        <x:v>https://w3id.org/nltl-benchmark/vocab#iceClassIc</x:v>
      </x:c>
      <x:c r="E16" s="47" t="str">
        <x:v>NamedIndividual</x:v>
      </x:c>
      <x:c r="F16" s="47" t="str"/>
      <x:c r="G16" s="47" t="str">
        <x:v>https://w3id.org/nltl-benchmark/vocab#iceClassValue</x:v>
      </x:c>
      <x:c r="H16" s="47" t="str"/>
      <x:c r="I16" s="48" t="str">
        <x:v>controlled value permitted by the range of iceClass</x:v>
      </x:c>
      <x:c r="J16" s="47" t="n">
        <x:v>0</x:v>
      </x:c>
    </x:row>
    <x:row r="17">
      <x:c r="A17" s="47" t="str">
        <x:v>RUN-TRF-009-20260812T150523068293Z</x:v>
      </x:c>
      <x:c r="B17" s="47" t="str">
        <x:v>TRF-009</x:v>
      </x:c>
      <x:c r="C17" s="47" t="str">
        <x:v>iceClassIi</x:v>
      </x:c>
      <x:c r="D17" s="48" t="str">
        <x:v>https://w3id.org/nltl-benchmark/vocab#iceClassIi</x:v>
      </x:c>
      <x:c r="E17" s="47" t="str">
        <x:v>NamedIndividual</x:v>
      </x:c>
      <x:c r="F17" s="47" t="str"/>
      <x:c r="G17" s="47" t="str">
        <x:v>https://w3id.org/nltl-benchmark/vocab#iceClassValue</x:v>
      </x:c>
      <x:c r="H17" s="47" t="str"/>
      <x:c r="I17" s="48" t="str">
        <x:v>controlled value permitted by the range of iceClass</x:v>
      </x:c>
      <x:c r="J17" s="47" t="n">
        <x:v>0</x:v>
      </x:c>
    </x:row>
    <x:row r="18">
      <x:c r="A18" s="47" t="str">
        <x:v>RUN-TRF-009-20260812T150523068293Z</x:v>
      </x:c>
      <x:c r="B18" s="47" t="str">
        <x:v>TRF-009</x:v>
      </x:c>
      <x:c r="C18" s="47" t="str">
        <x:v>iceClassIii</x:v>
      </x:c>
      <x:c r="D18" s="48" t="str">
        <x:v>https://w3id.org/nltl-benchmark/vocab#iceClassIii</x:v>
      </x:c>
      <x:c r="E18" s="47" t="str">
        <x:v>NamedIndividual</x:v>
      </x:c>
      <x:c r="F18" s="47" t="str"/>
      <x:c r="G18" s="47" t="str">
        <x:v>https://w3id.org/nltl-benchmark/vocab#iceClassValue</x:v>
      </x:c>
      <x:c r="H18" s="47" t="str"/>
      <x:c r="I18" s="48" t="str">
        <x:v>controlled value permitted by the range of iceClass</x:v>
      </x:c>
      <x:c r="J18" s="47" t="n">
        <x:v>0</x:v>
      </x:c>
    </x:row>
    <x:row r="19">
      <x:c r="A19" s="47" t="str">
        <x:v>RUN-TRF-009-20260812T150523068293Z</x:v>
      </x:c>
      <x:c r="B19" s="47" t="str">
        <x:v>TRF-009</x:v>
      </x:c>
      <x:c r="C19" s="47" t="str">
        <x:v>iceClassValue</x:v>
      </x:c>
      <x:c r="D19" s="48" t="str">
        <x:v>https://w3id.org/nltl-benchmark/vocab#iceClassValue</x:v>
      </x:c>
      <x:c r="E19" s="47" t="str">
        <x:v>Class</x:v>
      </x:c>
      <x:c r="F19" s="47" t="str"/>
      <x:c r="G19" s="47" t="str"/>
      <x:c r="H19" s="47" t="str"/>
      <x:c r="I19" s="48" t="str">
        <x:v>range dependency of iceClass</x:v>
      </x:c>
      <x:c r="J19" s="47" t="n">
        <x:v>0</x:v>
      </x:c>
    </x:row>
    <x:row r="20">
      <x:c r="A20" s="47" t="str">
        <x:v>RUN-TRF-009-20260812T150523068293Z</x:v>
      </x:c>
      <x:c r="B20" s="47" t="str">
        <x:v>TRF-009</x:v>
      </x:c>
      <x:c r="C20" s="47" t="str">
        <x:v>ship</x:v>
      </x:c>
      <x:c r="D20" s="48" t="str">
        <x:v>https://w3id.org/nltl-benchmark/vocab#ship</x:v>
      </x:c>
      <x:c r="E20" s="47" t="str">
        <x:v>Class</x:v>
      </x:c>
      <x:c r="F20" s="47" t="str"/>
      <x:c r="G20" s="47" t="str"/>
      <x:c r="H20" s="47" t="str"/>
      <x:c r="I20" s="48" t="str">
        <x:v>baseline target infrastructure</x:v>
      </x:c>
      <x:c r="J20" s="47" t="n">
        <x:v>0</x:v>
      </x:c>
    </x:row>
    <x:row r="21">
      <x:c r="A21" s="47" t="str">
        <x:v>RUN-TRF-009-20260812T150523068293Z</x:v>
      </x:c>
      <x:c r="B21" s="47" t="str">
        <x:v>TRF-009</x:v>
      </x:c>
      <x:c r="C21" s="47" t="str">
        <x:v>shipComponent</x:v>
      </x:c>
      <x:c r="D21" s="48" t="str">
        <x:v>https://w3id.org/nltl-benchmark/vocab#shipComponent</x:v>
      </x:c>
      <x:c r="E21" s="47" t="str">
        <x:v>Class</x:v>
      </x:c>
      <x:c r="F21" s="47" t="str"/>
      <x:c r="G21" s="47" t="str"/>
      <x:c r="H21" s="47" t="str"/>
      <x:c r="I21" s="48" t="str">
        <x:v>component-path dependency inferred from the linked term module</x:v>
      </x:c>
      <x:c r="J21" s="47" t="n">
        <x:v>0</x:v>
      </x:c>
    </x:row>
    <x:row r="22">
      <x:c r="A22" s="47" t="str">
        <x:v>RUN-TRF-009-20260812T150523068293Z</x:v>
      </x:c>
      <x:c r="B22" s="47" t="str">
        <x:v>TRF-009</x:v>
      </x:c>
      <x:c r="C22" s="47" t="str">
        <x:v>traficom2017Section3Point2Point2Method</x:v>
      </x:c>
      <x:c r="D22" s="48" t="str">
        <x:v>https://w3id.org/nltl-benchmark/vocab#traficom2017Section3Point2Point2Method</x:v>
      </x:c>
      <x:c r="E22" s="47" t="str">
        <x:v>NamedIndividual</x:v>
      </x:c>
      <x:c r="F22" s="47" t="str"/>
      <x:c r="G22" s="47" t="str">
        <x:v>https://w3id.org/nltl-benchmark/vocab#engineOutputComplianceMethodValue</x:v>
      </x:c>
      <x:c r="H22" s="47" t="str"/>
      <x:c r="I22" s="48" t="str">
        <x:v>controlled value permitted by the range of engineOutputComplianceMethod; controlled value permitted by the range of traficom2017Section3Point2Point2Method; controlled value permitted by the range of traficom2017Section3Point2Point4Method; linked by the locked 313-requirement index</x:v>
      </x:c>
      <x:c r="J22" s="47" t="n">
        <x:v>0</x:v>
      </x:c>
    </x:row>
    <x:row r="23">
      <x:c r="A23" s="49" t="str">
        <x:v>RUN-TRF-009-20260812T150523068293Z</x:v>
      </x:c>
      <x:c r="B23" s="49" t="str">
        <x:v>TRF-009</x:v>
      </x:c>
      <x:c r="C23" s="49" t="str">
        <x:v>traficom2017Section3Point2Point4Method</x:v>
      </x:c>
      <x:c r="D23" s="50" t="str">
        <x:v>https://w3id.org/nltl-benchmark/vocab#traficom2017Section3Point2Point4Method</x:v>
      </x:c>
      <x:c r="E23" s="49" t="str">
        <x:v>NamedIndividual</x:v>
      </x:c>
      <x:c r="F23" s="49" t="str"/>
      <x:c r="G23" s="49" t="str">
        <x:v>https://w3id.org/nltl-benchmark/vocab#engineOutputComplianceMethodValue</x:v>
      </x:c>
      <x:c r="H23" s="49" t="str"/>
      <x:c r="I23" s="50" t="str">
        <x:v>controlled value permitted by the range of engineOutputComplianceMethod; controlled value permitted by the range of traficom2017Section3Point2Point2Method; controlled value permitted by the range of traficom2017Section3Point2Point4Method; linked by the locked 313-requirement index</x:v>
      </x:c>
      <x:c r="J23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eff7dfdbcd744692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7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RUN-TRF-009-20260812T150523068293Z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RUN-TRF-009-20260812T150523068293Z</x:v>
      </x:c>
      <x:c r="B5" s="45" t="str">
        <x:v>TRF-009</x:v>
      </x:c>
      <x:c r="C5" s="45" t="str">
        <x:v>FS-REL-01</x:v>
      </x:c>
      <x:c r="D5" s="45" t="str">
        <x:v>entity_relation</x:v>
      </x:c>
      <x:c r="E5" s="99" t="n">
        <x:v>0.053571</x:v>
      </x:c>
      <x:c r="F5" s="45" t="str">
        <x:v>class | entity | relation</x:v>
      </x:c>
      <x:c r="G5" s="45" t="str">
        <x:v>synthetic-few-shot-not-benchmark-ground-truth</x:v>
      </x:c>
    </x:row>
    <x:row r="6">
      <x:c r="A6" s="49" t="str">
        <x:v>RUN-TRF-009-20260812T150523068293Z</x:v>
      </x:c>
      <x:c r="B6" s="49" t="str">
        <x:v>TRF-009</x:v>
      </x:c>
      <x:c r="C6" s="49" t="str">
        <x:v>FS-REL-02</x:v>
      </x:c>
      <x:c r="D6" s="49" t="str">
        <x:v>entity_relation</x:v>
      </x:c>
      <x:c r="E6" s="100" t="n">
        <x:v>0.053571</x:v>
      </x:c>
      <x:c r="F6" s="49" t="str">
        <x:v>class | entity | relation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6716d4e11f84886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RUN-TRF-009-20260812T150523068293Z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RUN-TRF-009-20260812T150523068293Z</x:v>
      </x:c>
      <x:c r="B5" s="69" t="str">
        <x:v>TRF-009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73" t="str"/>
      <x:c r="M5" s="73" t="str"/>
      <x:c r="N5" s="73" t="str">
        <x:v>https://w3id.org/nltl-benchmark/vocab#assessmentDate | https://w3id.org/nltl-benchmark/vocab#constructionStageDate | https://w3id.org/nltl-benchmark/vocab#deliveryDate | https://w3id.org/nltl-benchmark/vocab#engineOutputComplianceMethod | https://w3id.org/nltl-benchmark/vocab#iceClass | https://w3id.org/nltl-benchmark/vocab#iceClassIa | https://w3id.org/nltl-benchmark/vocab#iceClassIaSuper | https://w3id.org/nltl-benchmark/vocab#ship | https://w3id.org/nltl-benchmark/vocab#traficom2017Section3Point2Point2Method | https://w3id.org/nltl-benchmark/vocab#traficom2017Section3Point2Point4Method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dae7d717512d42b2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RUN-TRF-009-20260812T150523068293Z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RUN-TRF-009-20260812T150523068293Z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RUN-TRF-009-20260812T150523068293Z</x:v>
      </x:c>
      <x:c r="B5" s="45" t="str">
        <x:v>TRF-009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7b2af2bcb7c54314ac706fd200b977f333632fa7a5530911a3a0fb0abacaecaa</x:v>
      </x:c>
      <x:c r="G5" s="58" t="n">
        <x:v>20666</x:v>
      </x:c>
    </x:row>
    <x:row r="6">
      <x:c r="A6" s="47" t="str">
        <x:v>RUN-TRF-009-20260812T150523068293Z</x:v>
      </x:c>
      <x:c r="B6" s="47" t="str">
        <x:v>TRF-009</x:v>
      </x:c>
      <x:c r="C6" s="59"/>
      <x:c r="D6" s="47" t="str">
        <x:v>few_shot_selection</x:v>
      </x:c>
      <x:c r="E6" s="48" t="str">
        <x:v>artifacts/few_shots_selected.json</x:v>
      </x:c>
      <x:c r="F6" s="47" t="str">
        <x:v>a7af66225b82b223aec5635cf261a7435e603f15cf887f0e6230080dda5568b8</x:v>
      </x:c>
      <x:c r="G6" s="59" t="n">
        <x:v>3920</x:v>
      </x:c>
    </x:row>
    <x:row r="7">
      <x:c r="A7" s="47" t="str">
        <x:v>RUN-TRF-009-20260812T150523068293Z</x:v>
      </x:c>
      <x:c r="B7" s="47" t="str">
        <x:v>TRF-009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8dd11f4717aeddf07ddb782100df7d84eeb986e822d217c028adf5acf53327f8</x:v>
      </x:c>
      <x:c r="G7" s="59" t="n">
        <x:v>27114</x:v>
      </x:c>
    </x:row>
    <x:row r="8">
      <x:c r="A8" s="47" t="str">
        <x:v>RUN-TRF-009-20260812T150523068293Z</x:v>
      </x:c>
      <x:c r="B8" s="47" t="str">
        <x:v>TRF-009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2df721d3c3cb8786c3d098940da1be4dcae33a74484014345076c7bf2c89c3d5</x:v>
      </x:c>
      <x:c r="G8" s="59" t="n">
        <x:v>2883</x:v>
      </x:c>
    </x:row>
    <x:row r="9">
      <x:c r="A9" s="47" t="str">
        <x:v>RUN-TRF-009-20260812T150523068293Z</x:v>
      </x:c>
      <x:c r="B9" s="47" t="str">
        <x:v>TRF-009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3f8c05da2a2e900077b8d0bf879069c687c053cd56ea7c230aa22afdb3a4d07e</x:v>
      </x:c>
      <x:c r="G9" s="59" t="n">
        <x:v>2858</x:v>
      </x:c>
    </x:row>
    <x:row r="10">
      <x:c r="A10" s="47" t="str">
        <x:v>RUN-TRF-009-20260812T150523068293Z</x:v>
      </x:c>
      <x:c r="B10" s="47" t="str">
        <x:v>TRF-009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aba32eff9fb25eacb451d032862df1041e29c825a5057ece889d7a1c99aaf53f</x:v>
      </x:c>
      <x:c r="G10" s="59" t="n">
        <x:v>1037</x:v>
      </x:c>
    </x:row>
    <x:row r="11">
      <x:c r="A11" s="47" t="str">
        <x:v>RUN-TRF-009-20260812T150523068293Z</x:v>
      </x:c>
      <x:c r="B11" s="47" t="str">
        <x:v>TRF-009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0b9df59fbf1a8634ab86bfd8f01535dbb49a8fa41ae8674e55240c3f5cd8a98e</x:v>
      </x:c>
      <x:c r="G11" s="59" t="n">
        <x:v>29512</x:v>
      </x:c>
    </x:row>
    <x:row r="12">
      <x:c r="A12" s="47" t="str">
        <x:v>RUN-TRF-009-20260812T150523068293Z</x:v>
      </x:c>
      <x:c r="B12" s="47" t="str">
        <x:v>TRF-009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44c28fafa9b51311701441b9268e7992b1bb1c4f99b9b15b1df747e41ebcc5a1</x:v>
      </x:c>
      <x:c r="G12" s="59" t="n">
        <x:v>286</x:v>
      </x:c>
    </x:row>
    <x:row r="13">
      <x:c r="A13" s="49" t="str">
        <x:v>RUN-TRF-009-20260812T150523068293Z</x:v>
      </x:c>
      <x:c r="B13" s="49" t="str">
        <x:v>TRF-009</x:v>
      </x:c>
      <x:c r="C13" s="60" t="n">
        <x:v>1</x:v>
      </x:c>
      <x:c r="D13" s="49" t="str">
        <x:v>final_accepted_shape</x:v>
      </x:c>
      <x:c r="E13" s="50" t="str">
        <x:v>final/final_shape.ttl</x:v>
      </x:c>
      <x:c r="F13" s="49" t="str">
        <x:v>3f8c05da2a2e900077b8d0bf879069c687c053cd56ea7c230aa22afdb3a4d07e</x:v>
      </x:c>
      <x:c r="G13" s="60" t="n">
        <x:v>2858</x:v>
      </x:c>
    </x:row>
  </x:sheetData>
  <x:pageMargins left="0.7" right="0.7" top="0.75" bottom="0.75" header="0.3" footer="0.3"/>
  <x:tableParts count="1">
    <x:tablePart xmlns:r="http://schemas.openxmlformats.org/officeDocument/2006/relationships" r:id="Rb9f5d67fd88d4067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RUN-TRF-009-20260812T150523068293Z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RUN-TRF-009-20260812T150523068293Z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RUN-TRF-009-20260812T150523068293Z</x:v>
      </x:c>
      <x:c r="B5" s="69" t="str">
        <x:v>TRF-009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c86b34956844259"/>
  </x:tableParts>
</x:worksheet>
</file>