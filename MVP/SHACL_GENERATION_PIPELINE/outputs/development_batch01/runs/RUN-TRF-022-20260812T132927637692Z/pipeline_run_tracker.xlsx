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217d237b5f48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05894c4f9794ded"/>
    <x:sheet xmlns:r="http://schemas.openxmlformats.org/officeDocument/2006/relationships" name="README" sheetId="2" r:id="R8181272600884b5c"/>
    <x:sheet xmlns:r="http://schemas.openxmlformats.org/officeDocument/2006/relationships" name="REGULATION_QUEUE" sheetId="3" r:id="R9aede97ecd3e4d19"/>
    <x:sheet xmlns:r="http://schemas.openxmlformats.org/officeDocument/2006/relationships" name="RUNS" sheetId="4" r:id="R11b2cd03d4b642d0"/>
    <x:sheet xmlns:r="http://schemas.openxmlformats.org/officeDocument/2006/relationships" name="ITERATIONS" sheetId="5" r:id="Re40c340f559c4652"/>
    <x:sheet xmlns:r="http://schemas.openxmlformats.org/officeDocument/2006/relationships" name="API_CALLS" sheetId="6" r:id="R62ceb405c82d4963"/>
    <x:sheet xmlns:r="http://schemas.openxmlformats.org/officeDocument/2006/relationships" name="TERM_RETRIEVAL" sheetId="7" r:id="R4e3f8645b28c4a0f"/>
    <x:sheet xmlns:r="http://schemas.openxmlformats.org/officeDocument/2006/relationships" name="FEW_SHOT_SELECTION" sheetId="8" r:id="Rf1a3ce2d5d34466b"/>
    <x:sheet xmlns:r="http://schemas.openxmlformats.org/officeDocument/2006/relationships" name="VALIDATION" sheetId="9" r:id="R3d3bf4b0e0054519"/>
    <x:sheet xmlns:r="http://schemas.openxmlformats.org/officeDocument/2006/relationships" name="VOCAB_MATCHES" sheetId="10" r:id="R319e1f0cb9dc4745"/>
    <x:sheet xmlns:r="http://schemas.openxmlformats.org/officeDocument/2006/relationships" name="ARTIFACTS" sheetId="11" r:id="R5bbc0288e65b46a2"/>
    <x:sheet xmlns:r="http://schemas.openxmlformats.org/officeDocument/2006/relationships" name="UNRESOLVED" sheetId="12" r:id="Rf7e2757756bf43f7"/>
    <x:sheet xmlns:r="http://schemas.openxmlformats.org/officeDocument/2006/relationships" name="RDF_TEST_QUEUE" sheetId="13" r:id="R971632599d034f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38a9755fec40f3" /><Relationship Type="http://schemas.openxmlformats.org/officeDocument/2006/relationships/theme" Target="/xl/theme/theme1.xml" Id="R26961b86f4c64c6d" /><Relationship Type="http://schemas.microsoft.com/office/2022/11/relationships/FeaturePropertyBag" Target="/xl/featurePropertyBag/featurePropertyBag.xml" Id="Rbc78e7aac3c546f6" /><Relationship Type="http://schemas.openxmlformats.org/officeDocument/2006/relationships/sharedStrings" Target="/xl/sharedStrings.xml" Id="R489f5f5c54d84e2d" /><Relationship Type="http://schemas.openxmlformats.org/officeDocument/2006/relationships/worksheet" Target="/xl/worksheets/sheet1.xml" Id="R505894c4f9794ded" /><Relationship Type="http://schemas.openxmlformats.org/officeDocument/2006/relationships/worksheet" Target="/xl/worksheets/sheet2.xml" Id="R8181272600884b5c" /><Relationship Type="http://schemas.openxmlformats.org/officeDocument/2006/relationships/worksheet" Target="/xl/worksheets/sheet3.xml" Id="R9aede97ecd3e4d19" /><Relationship Type="http://schemas.openxmlformats.org/officeDocument/2006/relationships/worksheet" Target="/xl/worksheets/sheet4.xml" Id="R11b2cd03d4b642d0" /><Relationship Type="http://schemas.openxmlformats.org/officeDocument/2006/relationships/worksheet" Target="/xl/worksheets/sheet5.xml" Id="Re40c340f559c4652" /><Relationship Type="http://schemas.openxmlformats.org/officeDocument/2006/relationships/worksheet" Target="/xl/worksheets/sheet6.xml" Id="R62ceb405c82d4963" /><Relationship Type="http://schemas.openxmlformats.org/officeDocument/2006/relationships/worksheet" Target="/xl/worksheets/sheet7.xml" Id="R4e3f8645b28c4a0f" /><Relationship Type="http://schemas.openxmlformats.org/officeDocument/2006/relationships/worksheet" Target="/xl/worksheets/sheet8.xml" Id="Rf1a3ce2d5d34466b" /><Relationship Type="http://schemas.openxmlformats.org/officeDocument/2006/relationships/worksheet" Target="/xl/worksheets/sheet9.xml" Id="R3d3bf4b0e0054519" /><Relationship Type="http://schemas.openxmlformats.org/officeDocument/2006/relationships/worksheet" Target="/xl/worksheets/sheet10.xml" Id="R319e1f0cb9dc4745" /><Relationship Type="http://schemas.openxmlformats.org/officeDocument/2006/relationships/worksheet" Target="/xl/worksheets/sheet11.xml" Id="R5bbc0288e65b46a2" /><Relationship Type="http://schemas.openxmlformats.org/officeDocument/2006/relationships/worksheet" Target="/xl/worksheets/sheet12.xml" Id="Rf7e2757756bf43f7" /><Relationship Type="http://schemas.openxmlformats.org/officeDocument/2006/relationships/worksheet" Target="/xl/worksheets/sheet13.xml" Id="R971632599d034fb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4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f01344088ea4f9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79f336ecb00449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b2f24d1b0e4f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c1db709699b4bd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3f703aa913d4f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3078f9dfde74c4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2d262da47d4fe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6e90ed590f34c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b2038a29a1984b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e9d80527e2444a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f9b4bcb8ec5e46b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RUN-TRF-022-20260812T132927637692Z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23581.464666666663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RUN-TRF-022-20260812T132927637692Z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f01344088ea4f9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1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VOCABULARY_GAP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79f336ecb00449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16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RUN-TRF-022-20260812T132927637692Z</x:v>
      </x:c>
      <x:c r="C5" s="69" t="str">
        <x:v>TRF-022</x:v>
      </x:c>
      <x:c r="D5" s="70" t="n">
        <x:v>46246.562125439814</x:v>
      </x:c>
      <x:c r="E5" s="70" t="n">
        <x:v>46246.56378762732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VOCABULARY_GAP</x:v>
      </x:c>
      <x:c r="J5" s="72" t="b">
        <x:v>0</x:v>
      </x:c>
      <x:c r="K5" s="69" t="str"/>
      <x:c r="L5" s="73" t="str">
        <x:v>No supplied candidate represents applicability to new ships, the required calculation variables, or the controlled units kg/(m^2*s^2) and kg/s^2.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b2f24d1b0e4f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RUN-TRF-022-20260812T132927637692Z</x:v>
      </x:c>
      <x:c r="B5" s="45" t="str">
        <x:v>TRF-022</x:v>
      </x:c>
      <x:c r="C5" s="58" t="n">
        <x:v>1</x:v>
      </x:c>
      <x:c r="D5" s="80" t="b">
        <x:v>0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Deterministic validation prevents acceptance. Fix: Unapproved external/generated IRI(s):  "5"^^xsd:decimal,
                            "5"^^xsd:decimal,
                            IF(
                                ?unclamped 
Semantic validator feedback: Repair the graph before freezing: deterministic validation is invalid because the nested IF expression is mis-extracted as an unapproved IRI, so rewrite the clamp check in parser-safe SPARQL (for example, explicit conditional branches) and revalidate. Restrict applicability to New ships rather than targeting every nltl:ship; locate the canonical applicability term/value. Enforce psi = atan(tan(phi_2)/sin(alpha)) using bowRakeAtQuarterBreadth and waterlineAngleAtQuarterBreadth from the same component, with explicit degree/radian handling; the current query checks only input availability and never compares psi with the formula result. Keep the clamped value equal to max(5,min(20,((L*T)/(B*B))^3)) with inclusive boundaries and consistent ship/component paths. Also encode and verify C_3 = 845 kg/(m^2*s^2), C_4 = 42 kg/(m^2*s^2), and C_5 = 825 kg/s^2 using the supplied coefficient properties and approved canonical units.</x:v>
      </x:c>
      <x:c r="I5" s="81" t="n">
        <x:v>53840.467</x:v>
      </x:c>
      <x:c r="J5" s="81" t="n">
        <x:v>12506.065</x:v>
      </x:c>
    </x:row>
    <x:row r="6">
      <x:c r="A6" s="49" t="str">
        <x:v>RUN-TRF-022-20260812T132927637692Z</x:v>
      </x:c>
      <x:c r="B6" s="49" t="str">
        <x:v>TRF-022</x:v>
      </x:c>
      <x:c r="C6" s="60" t="n">
        <x:v>2</x:v>
      </x:c>
      <x:c r="D6" s="82" t="b">
        <x:v>0</x:v>
      </x:c>
      <x:c r="E6" s="82" t="b">
        <x:v>0</x:v>
      </x:c>
      <x:c r="F6" s="82" t="b">
        <x:v>1</x:v>
      </x:c>
      <x:c r="G6" s="49" t="str">
        <x:v>STOP_VOCABULARY_GAP</x:v>
      </x:c>
      <x:c r="H6" s="50" t="str">
        <x:v>Deterministic validation prevents acceptance. Fix: No declared shape has an explicit SHACL target | Unapproved external/generated IRI(s):  5 &amp;&amp; ?clampedValue != 5)
                }
                UNION
                {
                    FILTER(?unclamped , = 20 &amp;&amp; ?clampedValue != ?unclamped)
                }
                UNION
                {
                    FILTER(?unclamped  | QUDT unit not permitted by the scoped term metadata: http://qudt.org/vocab/unit/KiloGM-PER-M2-SEC2, http://qudt.org/vocab/unit/KiloGM-PER-SEC2
Semantic validator feedback: Add an explicit SHACL target and encode applicability specifically to new ships using the canonical applicability term/value returned by the matcher. Enforce psi = atan(tan(phi_2)/sin(alpha)) on the same component, including correct degree/radian conversion and decimal/unit checks; the current graph only requires the operands to exist. Retain the inclusive [5,20] clamp but rewrite its SPARQL comparisons to avoid raw '&lt;' tokens that the deterministic vocabulary scan misreads, while preserving the low, in-range, and high branches. Replace the unapproved C3/C4 and C5 unit IRIs with matcher-confirmed canonical controlled units equivalent to kg/(m^2*s^2) and kg/s^2, respectively. Ensure all calculation checks cannot pass merely because a formula pattern is absent.</x:v>
      </x:c>
      <x:c r="I6" s="83" t="n">
        <x:v>50340.936</x:v>
      </x:c>
      <x:c r="J6" s="83" t="n">
        <x:v>17951.111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c1db709699b4bd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RUN-TRF-022-20260812T132927637692Z</x:v>
      </x:c>
      <x:c r="C5" s="45" t="str">
        <x:v>TRF-022</x:v>
      </x:c>
      <x:c r="D5" s="90" t="n">
        <x:v>46246.56274861111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53839.899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RUN-TRF-022-20260812T132927637692Z</x:v>
      </x:c>
      <x:c r="C6" s="47" t="str">
        <x:v>TRF-022</x:v>
      </x:c>
      <x:c r="D6" s="91" t="n">
        <x:v>46246.56274862269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53840.467</x:v>
      </x:c>
      <x:c r="L6" s="93" t="b">
        <x:v>0</x:v>
      </x:c>
      <x:c r="M6" s="47" t="str">
        <x:v>resp_050d946370b8890e006a7c7537d8048196a35b2b0273f8257a</x:v>
      </x:c>
      <x:c r="N6" s="59" t="n">
        <x:v>7560</x:v>
      </x:c>
      <x:c r="O6" s="59" t="n">
        <x:v>4471</x:v>
      </x:c>
      <x:c r="P6" s="59" t="n">
        <x:v>12031</x:v>
      </x:c>
    </x:row>
    <x:row r="7">
      <x:c r="A7" s="47" t="str">
        <x:v>EVT-000037</x:v>
      </x:c>
      <x:c r="B7" s="47" t="str">
        <x:v>RUN-TRF-022-20260812T132927637692Z</x:v>
      </x:c>
      <x:c r="C7" s="47" t="str">
        <x:v>TRF-022</x:v>
      </x:c>
      <x:c r="D7" s="91" t="n">
        <x:v>46246.56289515046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12504.458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EVT-000038</x:v>
      </x:c>
      <x:c r="B8" s="47" t="str">
        <x:v>RUN-TRF-022-20260812T132927637692Z</x:v>
      </x:c>
      <x:c r="C8" s="47" t="str">
        <x:v>TRF-022</x:v>
      </x:c>
      <x:c r="D8" s="91" t="n">
        <x:v>46246.562895173614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12506.065</x:v>
      </x:c>
      <x:c r="L8" s="93" t="b">
        <x:v>0</x:v>
      </x:c>
      <x:c r="M8" s="47" t="str">
        <x:v>resp_0db6f75bff3d77b0006a7c756dc8048197af2b50b6284a164e</x:v>
      </x:c>
      <x:c r="N8" s="59" t="n">
        <x:v>9149</x:v>
      </x:c>
      <x:c r="O8" s="59" t="n">
        <x:v>756</x:v>
      </x:c>
      <x:c r="P8" s="59" t="n">
        <x:v>9905</x:v>
      </x:c>
    </x:row>
    <x:row r="9">
      <x:c r="A9" s="47" t="str">
        <x:v>EVT-000044</x:v>
      </x:c>
      <x:c r="B9" s="47" t="str">
        <x:v>RUN-TRF-022-20260812T132927637692Z</x:v>
      </x:c>
      <x:c r="C9" s="47" t="str">
        <x:v>TRF-022</x:v>
      </x:c>
      <x:c r="D9" s="91" t="n">
        <x:v>46246.5629606713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4663.099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RUN-TRF-022-20260812T132927637692Z</x:v>
      </x:c>
      <x:c r="C10" s="47" t="str">
        <x:v>TRF-022</x:v>
      </x:c>
      <x:c r="D10" s="91" t="n">
        <x:v>46246.56296068287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4664.612</x:v>
      </x:c>
      <x:c r="L10" s="93" t="b">
        <x:v>0</x:v>
      </x:c>
      <x:c r="M10" s="47" t="str">
        <x:v>resp_0a127875b3149764006a7c757b45848196a903e063977e5d9f</x:v>
      </x:c>
      <x:c r="N10" s="59" t="n">
        <x:v>1570</x:v>
      </x:c>
      <x:c r="O10" s="59" t="n">
        <x:v>291</x:v>
      </x:c>
      <x:c r="P10" s="59" t="n">
        <x:v>1861</x:v>
      </x:c>
    </x:row>
    <x:row r="11">
      <x:c r="A11" s="47" t="str">
        <x:v>EVT-000073</x:v>
      </x:c>
      <x:c r="B11" s="47" t="str">
        <x:v>RUN-TRF-022-20260812T132927637692Z</x:v>
      </x:c>
      <x:c r="C11" s="47" t="str">
        <x:v>TRF-022</x:v>
      </x:c>
      <x:c r="D11" s="91" t="n">
        <x:v>46246.56354340278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50339.039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EVT-000074</x:v>
      </x:c>
      <x:c r="B12" s="47" t="str">
        <x:v>RUN-TRF-022-20260812T132927637692Z</x:v>
      </x:c>
      <x:c r="C12" s="47" t="str">
        <x:v>TRF-022</x:v>
      </x:c>
      <x:c r="D12" s="91" t="n">
        <x:v>46246.563543425924</x:v>
      </x:c>
      <x:c r="E12" s="47" t="str">
        <x:v>generator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50340.936</x:v>
      </x:c>
      <x:c r="L12" s="93" t="b">
        <x:v>0</x:v>
      </x:c>
      <x:c r="M12" s="47" t="str">
        <x:v>resp_03895bf54ef1758f006a7c757feeb08194a820ded5046f9bbb</x:v>
      </x:c>
      <x:c r="N12" s="59" t="n">
        <x:v>7910</x:v>
      </x:c>
      <x:c r="O12" s="59" t="n">
        <x:v>3982</x:v>
      </x:c>
      <x:c r="P12" s="59" t="n">
        <x:v>11892</x:v>
      </x:c>
    </x:row>
    <x:row r="13">
      <x:c r="A13" s="47" t="str">
        <x:v>EVT-000081</x:v>
      </x:c>
      <x:c r="B13" s="47" t="str">
        <x:v>RUN-TRF-022-20260812T132927637692Z</x:v>
      </x:c>
      <x:c r="C13" s="47" t="str">
        <x:v>TRF-022</x:v>
      </x:c>
      <x:c r="D13" s="91" t="n">
        <x:v>46246.56375202546</x:v>
      </x:c>
      <x:c r="E13" s="47" t="str">
        <x:v>validator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17949.303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EVT-000082</x:v>
      </x:c>
      <x:c r="B14" s="47" t="str">
        <x:v>RUN-TRF-022-20260812T132927637692Z</x:v>
      </x:c>
      <x:c r="C14" s="47" t="str">
        <x:v>TRF-022</x:v>
      </x:c>
      <x:c r="D14" s="91" t="n">
        <x:v>46246.56375204861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17951.111</x:v>
      </x:c>
      <x:c r="L14" s="93" t="b">
        <x:v>0</x:v>
      </x:c>
      <x:c r="M14" s="47" t="str">
        <x:v>resp_0a1d39e23ed4ade6006a7c75b25a848194997e6677ca2edf1a</x:v>
      </x:c>
      <x:c r="N14" s="59" t="n">
        <x:v>9481</x:v>
      </x:c>
      <x:c r="O14" s="59" t="n">
        <x:v>1105</x:v>
      </x:c>
      <x:c r="P14" s="59" t="n">
        <x:v>10586</x:v>
      </x:c>
    </x:row>
    <x:row r="15">
      <x:c r="A15" s="47" t="str">
        <x:v>EVT-000088</x:v>
      </x:c>
      <x:c r="B15" s="47" t="str">
        <x:v>RUN-TRF-022-20260812T132927637692Z</x:v>
      </x:c>
      <x:c r="C15" s="47" t="str">
        <x:v>TRF-022</x:v>
      </x:c>
      <x:c r="D15" s="91" t="n">
        <x:v>46246.56378755787</x:v>
      </x:c>
      <x:c r="E15" s="47" t="str">
        <x:v>vocabulary_matcher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2188.525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EVT-000089</x:v>
      </x:c>
      <x:c r="B16" s="49" t="str">
        <x:v>RUN-TRF-022-20260812T132927637692Z</x:v>
      </x:c>
      <x:c r="C16" s="49" t="str">
        <x:v>TRF-022</x:v>
      </x:c>
      <x:c r="D16" s="94" t="n">
        <x:v>46246.56378758102</x:v>
      </x:c>
      <x:c r="E16" s="49" t="str">
        <x:v>vocabulary_matcher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3" t="n">
        <x:v>0</x:v>
      </x:c>
      <x:c r="K16" s="83" t="n">
        <x:v>2190.062</x:v>
      </x:c>
      <x:c r="L16" s="82" t="b">
        <x:v>0</x:v>
      </x:c>
      <x:c r="M16" s="49" t="str">
        <x:v>resp_03b734a22a0adc44006a7c75c52f0c8196aa72c2a9f98c5133</x:v>
      </x:c>
      <x:c r="N16" s="60" t="n">
        <x:v>1082</x:v>
      </x:c>
      <x:c r="O16" s="60" t="n">
        <x:v>114</x:v>
      </x:c>
      <x:c r="P16" s="60" t="n">
        <x:v>1196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703aa913d4f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RUN-TRF-022-20260812T132927637692Z</x:v>
      </x:c>
      <x:c r="B5" s="45" t="str">
        <x:v>TRF-022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</x:v>
      </x:c>
      <x:c r="J5" s="45" t="n">
        <x:v>0</x:v>
      </x:c>
    </x:row>
    <x:row r="6">
      <x:c r="A6" s="47" t="str">
        <x:v>RUN-TRF-022-20260812T132927637692Z</x:v>
      </x:c>
      <x:c r="B6" s="47" t="str">
        <x:v>TRF-022</x:v>
      </x:c>
      <x:c r="C6" s="47" t="str">
        <x:v>bowRakeAtQuarterBreadth</x:v>
      </x:c>
      <x:c r="D6" s="48" t="str">
        <x:v>https://w3id.org/nltl-benchmark/vocab#bowRakeAtQuarterBreadth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RUN-TRF-022-20260812T132927637692Z</x:v>
      </x:c>
      <x:c r="B7" s="47" t="str">
        <x:v>TRF-022</x:v>
      </x:c>
      <x:c r="C7" s="47" t="str">
        <x:v>clampedHullGeometryTerm</x:v>
      </x:c>
      <x:c r="D7" s="48" t="str">
        <x:v>https://w3id.org/nltl-benchmark/vocab#clampedHullGeometryTerm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RUN-TRF-022-20260812T132927637692Z</x:v>
      </x:c>
      <x:c r="B8" s="47" t="str">
        <x:v>TRF-022</x:v>
      </x:c>
      <x:c r="C8" s="47" t="str">
        <x:v>coefficientC3</x:v>
      </x:c>
      <x:c r="D8" s="48" t="str">
        <x:v>https://w3id.org/nltl-benchmark/vocab#coefficientC3</x:v>
      </x:c>
      <x:c r="E8" s="47" t="str">
        <x:v>QuantityProperty</x:v>
      </x:c>
      <x:c r="F8" s="47" t="str"/>
      <x:c r="G8" s="47" t="str">
        <x:v>http://qudt.org/schema/qudt/QuantityValue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RUN-TRF-022-20260812T132927637692Z</x:v>
      </x:c>
      <x:c r="B9" s="47" t="str">
        <x:v>TRF-022</x:v>
      </x:c>
      <x:c r="C9" s="47" t="str">
        <x:v>coefficientC4</x:v>
      </x:c>
      <x:c r="D9" s="48" t="str">
        <x:v>https://w3id.org/nltl-benchmark/vocab#coefficientC4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RUN-TRF-022-20260812T132927637692Z</x:v>
      </x:c>
      <x:c r="B10" s="47" t="str">
        <x:v>TRF-022</x:v>
      </x:c>
      <x:c r="C10" s="47" t="str">
        <x:v>coefficientC5</x:v>
      </x:c>
      <x:c r="D10" s="48" t="str">
        <x:v>https://w3id.org/nltl-benchmark/vocab#coefficientC5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RUN-TRF-022-20260812T132927637692Z</x:v>
      </x:c>
      <x:c r="B11" s="47" t="str">
        <x:v>TRF-022</x:v>
      </x:c>
      <x:c r="C11" s="47" t="str">
        <x:v>coefficientF1</x:v>
      </x:c>
      <x:c r="D11" s="48" t="str">
        <x:v>https://w3id.org/nltl-benchmark/vocab#coefficientF1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http://qudt.org/vocab/unit/N-PER-M2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RUN-TRF-022-20260812T132927637692Z</x:v>
      </x:c>
      <x:c r="B12" s="47" t="str">
        <x:v>TRF-022</x:v>
      </x:c>
      <x:c r="C12" s="47" t="str">
        <x:v>coefficientF2</x:v>
      </x:c>
      <x:c r="D12" s="48" t="str">
        <x:v>https://w3id.org/nltl-benchmark/vocab#coefficientF2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RUN-TRF-022-20260812T132927637692Z</x:v>
      </x:c>
      <x:c r="B13" s="47" t="str">
        <x:v>TRF-022</x:v>
      </x:c>
      <x:c r="C13" s="47" t="str">
        <x:v>coefficientF3</x:v>
      </x:c>
      <x:c r="D13" s="48" t="str">
        <x:v>https://w3id.org/nltl-benchmark/vocab#coefficientF3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RUN-TRF-022-20260812T132927637692Z</x:v>
      </x:c>
      <x:c r="B14" s="47" t="str">
        <x:v>TRF-022</x:v>
      </x:c>
      <x:c r="C14" s="47" t="str">
        <x:v>coefficientF4</x:v>
      </x:c>
      <x:c r="D14" s="48" t="str">
        <x:v>https://w3id.org/nltl-benchmark/vocab#coefficientF4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http://qudt.org/vocab/unit/N-PER-M2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RUN-TRF-022-20260812T132927637692Z</x:v>
      </x:c>
      <x:c r="B15" s="47" t="str">
        <x:v>TRF-022</x:v>
      </x:c>
      <x:c r="C15" s="47" t="str">
        <x:v>coefficientG1</x:v>
      </x:c>
      <x:c r="D15" s="48" t="str">
        <x:v>https://w3id.org/nltl-benchmark/vocab#coefficientG1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RUN-TRF-022-20260812T132927637692Z</x:v>
      </x:c>
      <x:c r="B16" s="47" t="str">
        <x:v>TRF-022</x:v>
      </x:c>
      <x:c r="C16" s="47" t="str">
        <x:v>coefficientG2</x:v>
      </x:c>
      <x:c r="D16" s="48" t="str">
        <x:v>https://w3id.org/nltl-benchmark/vocab#coefficientG2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http://qudt.org/vocab/unit/N-PER-M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RUN-TRF-022-20260812T132927637692Z</x:v>
      </x:c>
      <x:c r="B17" s="47" t="str">
        <x:v>TRF-022</x:v>
      </x:c>
      <x:c r="C17" s="47" t="str">
        <x:v>coefficientG3</x:v>
      </x:c>
      <x:c r="D17" s="48" t="str">
        <x:v>https://w3id.org/nltl-benchmark/vocab#coefficientG3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RUN-TRF-022-20260812T132927637692Z</x:v>
      </x:c>
      <x:c r="B18" s="47" t="str">
        <x:v>TRF-022</x:v>
      </x:c>
      <x:c r="C18" s="47" t="str">
        <x:v>flareAngle</x:v>
      </x:c>
      <x:c r="D18" s="48" t="str">
        <x:v>https://w3id.org/nltl-benchmark/vocab#flareAngle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http://qudt.org/vocab/unit/DEG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RUN-TRF-022-20260812T132927637692Z</x:v>
      </x:c>
      <x:c r="B19" s="47" t="str">
        <x:v>TRF-022</x:v>
      </x:c>
      <x:c r="C19" s="47" t="str">
        <x:v>hasComponent</x:v>
      </x:c>
      <x:c r="D19" s="48" t="str">
        <x:v>https://w3id.org/nltl-benchmark/vocab#hasComponent</x:v>
      </x:c>
      <x:c r="E19" s="47" t="str">
        <x:v>ObjectProperty</x:v>
      </x:c>
      <x:c r="F19" s="47" t="str"/>
      <x:c r="G19" s="47" t="str">
        <x:v>https://w3id.org/nltl-benchmark/vocab#shipComponent</x:v>
      </x:c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RUN-TRF-022-20260812T132927637692Z</x:v>
      </x:c>
      <x:c r="B20" s="47" t="str">
        <x:v>TRF-022</x:v>
      </x:c>
      <x:c r="C20" s="47" t="str">
        <x:v>iceClassDraught</x:v>
      </x:c>
      <x:c r="D20" s="48" t="str">
        <x:v>https://w3id.org/nltl-benchmark/vocab#iceClassDraught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RUN-TRF-022-20260812T132927637692Z</x:v>
      </x:c>
      <x:c r="B21" s="47" t="str">
        <x:v>TRF-022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baseline target infrastructure</x:v>
      </x:c>
      <x:c r="J21" s="47" t="n">
        <x:v>0</x:v>
      </x:c>
    </x:row>
    <x:row r="22">
      <x:c r="A22" s="47" t="str">
        <x:v>RUN-TRF-022-20260812T132927637692Z</x:v>
      </x:c>
      <x:c r="B22" s="47" t="str">
        <x:v>TRF-022</x:v>
      </x:c>
      <x:c r="C22" s="47" t="str">
        <x:v>shipBreadth</x:v>
      </x:c>
      <x:c r="D22" s="48" t="str">
        <x:v>https://w3id.org/nltl-benchmark/vocab#shipBreadth</x:v>
      </x:c>
      <x:c r="E22" s="47" t="str">
        <x:v>QuantityProperty</x:v>
      </x:c>
      <x:c r="F22" s="47" t="str"/>
      <x:c r="G22" s="47" t="str">
        <x:v>http://qudt.org/schema/qudt/QuantityValue</x:v>
      </x:c>
      <x:c r="H22" s="47" t="str">
        <x:v>http://qudt.org/vocab/unit/M</x:v>
      </x:c>
      <x:c r="I22" s="48" t="str">
        <x:v>linked by the locked 313-requirement index</x:v>
      </x:c>
      <x:c r="J22" s="47" t="n">
        <x:v>0</x:v>
      </x:c>
    </x:row>
    <x:row r="23">
      <x:c r="A23" s="47" t="str">
        <x:v>RUN-TRF-022-20260812T132927637692Z</x:v>
      </x:c>
      <x:c r="B23" s="47" t="str">
        <x:v>TRF-022</x:v>
      </x:c>
      <x:c r="C23" s="47" t="str">
        <x:v>shipComponent</x:v>
      </x:c>
      <x:c r="D23" s="48" t="str">
        <x:v>https://w3id.org/nltl-benchmark/vocab#shipComponent</x:v>
      </x:c>
      <x:c r="E23" s="47" t="str">
        <x:v>Class</x:v>
      </x:c>
      <x:c r="F23" s="47" t="str"/>
      <x:c r="G23" s="47" t="str"/>
      <x:c r="H23" s="47" t="str"/>
      <x:c r="I23" s="48" t="str">
        <x:v>component-path dependency inferred from the linked term module</x:v>
      </x:c>
      <x:c r="J23" s="47" t="n">
        <x:v>0</x:v>
      </x:c>
    </x:row>
    <x:row r="24">
      <x:c r="A24" s="47" t="str">
        <x:v>RUN-TRF-022-20260812T132927637692Z</x:v>
      </x:c>
      <x:c r="B24" s="47" t="str">
        <x:v>TRF-022</x:v>
      </x:c>
      <x:c r="C24" s="47" t="str">
        <x:v>shipLength</x:v>
      </x:c>
      <x:c r="D24" s="48" t="str">
        <x:v>https://w3id.org/nltl-benchmark/vocab#shipLength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RUN-TRF-022-20260812T132927637692Z</x:v>
      </x:c>
      <x:c r="B25" s="47" t="str">
        <x:v>TRF-022</x:v>
      </x:c>
      <x:c r="C25" s="47" t="str">
        <x:v>waterlineAngleAtQuarterBreadth</x:v>
      </x:c>
      <x:c r="D25" s="48" t="str">
        <x:v>https://w3id.org/nltl-benchmark/vocab#waterlineAngleAtQuarterBreadth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http://qudt.org/vocab/unit/DEG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RUN-TRF-022-20260812T132927637692Z</x:v>
      </x:c>
      <x:c r="B26" s="47" t="str">
        <x:v>TRF-022</x:v>
      </x:c>
      <x:c r="C26" s="47" t="str">
        <x:v>benchmarkEntity</x:v>
      </x:c>
      <x:c r="D26" s="48" t="str">
        <x:v>https://w3id.org/nltl-benchmark/vocab#benchmarkEntity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2</x:v>
      </x:c>
    </x:row>
    <x:row r="27">
      <x:c r="A27" s="47" t="str">
        <x:v>RUN-TRF-022-20260812T132927637692Z</x:v>
      </x:c>
      <x:c r="B27" s="47" t="str">
        <x:v>TRF-022</x:v>
      </x:c>
      <x:c r="C27" s="47" t="str">
        <x:v>bowRakeAtQuarterBreadth</x:v>
      </x:c>
      <x:c r="D27" s="48" t="str">
        <x:v>https://w3id.org/nltl-benchmark/vocab#bowRakeAtQuarterBreadth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http://qudt.org/vocab/unit/DEG</x:v>
      </x:c>
      <x:c r="I27" s="48" t="str">
        <x:v>linked by the locked 313-requirement index; verified vocabulary-matcher addition</x:v>
      </x:c>
      <x:c r="J27" s="47" t="n">
        <x:v>2</x:v>
      </x:c>
    </x:row>
    <x:row r="28">
      <x:c r="A28" s="47" t="str">
        <x:v>RUN-TRF-022-20260812T132927637692Z</x:v>
      </x:c>
      <x:c r="B28" s="47" t="str">
        <x:v>TRF-022</x:v>
      </x:c>
      <x:c r="C28" s="47" t="str">
        <x:v>clampedHullGeometryTerm</x:v>
      </x:c>
      <x:c r="D28" s="48" t="str">
        <x:v>https://w3id.org/nltl-benchmark/vocab#clampedHullGeometryTerm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http://qudt.org/vocab/unit/UNITLESS</x:v>
      </x:c>
      <x:c r="I28" s="48" t="str">
        <x:v>linked by the locked 313-requirement index</x:v>
      </x:c>
      <x:c r="J28" s="47" t="n">
        <x:v>2</x:v>
      </x:c>
    </x:row>
    <x:row r="29">
      <x:c r="A29" s="47" t="str">
        <x:v>RUN-TRF-022-20260812T132927637692Z</x:v>
      </x:c>
      <x:c r="B29" s="47" t="str">
        <x:v>TRF-022</x:v>
      </x:c>
      <x:c r="C29" s="47" t="str">
        <x:v>coefficientC3</x:v>
      </x:c>
      <x:c r="D29" s="48" t="str">
        <x:v>https://w3id.org/nltl-benchmark/vocab#coefficientC3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/>
      <x:c r="I29" s="48" t="str">
        <x:v>linked by the locked 313-requirement index</x:v>
      </x:c>
      <x:c r="J29" s="47" t="n">
        <x:v>2</x:v>
      </x:c>
    </x:row>
    <x:row r="30">
      <x:c r="A30" s="47" t="str">
        <x:v>RUN-TRF-022-20260812T132927637692Z</x:v>
      </x:c>
      <x:c r="B30" s="47" t="str">
        <x:v>TRF-022</x:v>
      </x:c>
      <x:c r="C30" s="47" t="str">
        <x:v>coefficientC4</x:v>
      </x:c>
      <x:c r="D30" s="48" t="str">
        <x:v>https://w3id.org/nltl-benchmark/vocab#coefficientC4</x:v>
      </x:c>
      <x:c r="E30" s="47" t="str">
        <x:v>QuantityProperty</x:v>
      </x:c>
      <x:c r="F30" s="47" t="str"/>
      <x:c r="G30" s="47" t="str">
        <x:v>http://qudt.org/schema/qudt/QuantityValue</x:v>
      </x:c>
      <x:c r="H30" s="47" t="str"/>
      <x:c r="I30" s="48" t="str">
        <x:v>linked by the locked 313-requirement index</x:v>
      </x:c>
      <x:c r="J30" s="47" t="n">
        <x:v>2</x:v>
      </x:c>
    </x:row>
    <x:row r="31">
      <x:c r="A31" s="47" t="str">
        <x:v>RUN-TRF-022-20260812T132927637692Z</x:v>
      </x:c>
      <x:c r="B31" s="47" t="str">
        <x:v>TRF-022</x:v>
      </x:c>
      <x:c r="C31" s="47" t="str">
        <x:v>coefficientC5</x:v>
      </x:c>
      <x:c r="D31" s="48" t="str">
        <x:v>https://w3id.org/nltl-benchmark/vocab#coefficientC5</x:v>
      </x:c>
      <x:c r="E31" s="47" t="str">
        <x:v>QuantityProperty</x:v>
      </x:c>
      <x:c r="F31" s="47" t="str"/>
      <x:c r="G31" s="47" t="str">
        <x:v>http://qudt.org/schema/qudt/QuantityValue</x:v>
      </x:c>
      <x:c r="H31" s="47" t="str"/>
      <x:c r="I31" s="48" t="str">
        <x:v>linked by the locked 313-requirement index</x:v>
      </x:c>
      <x:c r="J31" s="47" t="n">
        <x:v>2</x:v>
      </x:c>
    </x:row>
    <x:row r="32">
      <x:c r="A32" s="47" t="str">
        <x:v>RUN-TRF-022-20260812T132927637692Z</x:v>
      </x:c>
      <x:c r="B32" s="47" t="str">
        <x:v>TRF-022</x:v>
      </x:c>
      <x:c r="C32" s="47" t="str">
        <x:v>coefficientF1</x:v>
      </x:c>
      <x:c r="D32" s="48" t="str">
        <x:v>https://w3id.org/nltl-benchmark/vocab#coefficientF1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http://qudt.org/vocab/unit/N-PER-M2</x:v>
      </x:c>
      <x:c r="I32" s="48" t="str">
        <x:v>linked by the locked 313-requirement index</x:v>
      </x:c>
      <x:c r="J32" s="47" t="n">
        <x:v>2</x:v>
      </x:c>
    </x:row>
    <x:row r="33">
      <x:c r="A33" s="47" t="str">
        <x:v>RUN-TRF-022-20260812T132927637692Z</x:v>
      </x:c>
      <x:c r="B33" s="47" t="str">
        <x:v>TRF-022</x:v>
      </x:c>
      <x:c r="C33" s="47" t="str">
        <x:v>coefficientF2</x:v>
      </x:c>
      <x:c r="D33" s="48" t="str">
        <x:v>https://w3id.org/nltl-benchmark/vocab#coefficientF2</x:v>
      </x:c>
      <x:c r="E33" s="47" t="str">
        <x:v>QuantityProperty</x:v>
      </x:c>
      <x:c r="F33" s="47" t="str"/>
      <x:c r="G33" s="47" t="str">
        <x:v>http://qudt.org/schema/qudt/QuantityValue</x:v>
      </x:c>
      <x:c r="H33" s="47" t="str">
        <x:v>http://qudt.org/vocab/unit/N-PER-M</x:v>
      </x:c>
      <x:c r="I33" s="48" t="str">
        <x:v>linked by the locked 313-requirement index</x:v>
      </x:c>
      <x:c r="J33" s="47" t="n">
        <x:v>2</x:v>
      </x:c>
    </x:row>
    <x:row r="34">
      <x:c r="A34" s="47" t="str">
        <x:v>RUN-TRF-022-20260812T132927637692Z</x:v>
      </x:c>
      <x:c r="B34" s="47" t="str">
        <x:v>TRF-022</x:v>
      </x:c>
      <x:c r="C34" s="47" t="str">
        <x:v>coefficientF3</x:v>
      </x:c>
      <x:c r="D34" s="48" t="str">
        <x:v>https://w3id.org/nltl-benchmark/vocab#coefficientF3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http://qudt.org/vocab/unit/N-PER-M</x:v>
      </x:c>
      <x:c r="I34" s="48" t="str">
        <x:v>linked by the locked 313-requirement index</x:v>
      </x:c>
      <x:c r="J34" s="47" t="n">
        <x:v>2</x:v>
      </x:c>
    </x:row>
    <x:row r="35">
      <x:c r="A35" s="47" t="str">
        <x:v>RUN-TRF-022-20260812T132927637692Z</x:v>
      </x:c>
      <x:c r="B35" s="47" t="str">
        <x:v>TRF-022</x:v>
      </x:c>
      <x:c r="C35" s="47" t="str">
        <x:v>coefficientF4</x:v>
      </x:c>
      <x:c r="D35" s="48" t="str">
        <x:v>https://w3id.org/nltl-benchmark/vocab#coefficientF4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http://qudt.org/vocab/unit/N-PER-M2</x:v>
      </x:c>
      <x:c r="I35" s="48" t="str">
        <x:v>linked by the locked 313-requirement index</x:v>
      </x:c>
      <x:c r="J35" s="47" t="n">
        <x:v>2</x:v>
      </x:c>
    </x:row>
    <x:row r="36">
      <x:c r="A36" s="47" t="str">
        <x:v>RUN-TRF-022-20260812T132927637692Z</x:v>
      </x:c>
      <x:c r="B36" s="47" t="str">
        <x:v>TRF-022</x:v>
      </x:c>
      <x:c r="C36" s="47" t="str">
        <x:v>coefficientG1</x:v>
      </x:c>
      <x:c r="D36" s="48" t="str">
        <x:v>https://w3id.org/nltl-benchmark/vocab#coefficientG1</x:v>
      </x:c>
      <x:c r="E36" s="47" t="str">
        <x:v>QuantityProperty</x:v>
      </x:c>
      <x:c r="F36" s="47" t="str"/>
      <x:c r="G36" s="47" t="str">
        <x:v>http://qudt.org/schema/qudt/QuantityValue</x:v>
      </x:c>
      <x:c r="H36" s="47" t="str">
        <x:v>http://qudt.org/vocab/unit/N</x:v>
      </x:c>
      <x:c r="I36" s="48" t="str">
        <x:v>linked by the locked 313-requirement index</x:v>
      </x:c>
      <x:c r="J36" s="47" t="n">
        <x:v>2</x:v>
      </x:c>
    </x:row>
    <x:row r="37">
      <x:c r="A37" s="47" t="str">
        <x:v>RUN-TRF-022-20260812T132927637692Z</x:v>
      </x:c>
      <x:c r="B37" s="47" t="str">
        <x:v>TRF-022</x:v>
      </x:c>
      <x:c r="C37" s="47" t="str">
        <x:v>coefficientG2</x:v>
      </x:c>
      <x:c r="D37" s="48" t="str">
        <x:v>https://w3id.org/nltl-benchmark/vocab#coefficientG2</x:v>
      </x:c>
      <x:c r="E37" s="47" t="str">
        <x:v>QuantityProperty</x:v>
      </x:c>
      <x:c r="F37" s="47" t="str"/>
      <x:c r="G37" s="47" t="str">
        <x:v>http://qudt.org/schema/qudt/QuantityValue</x:v>
      </x:c>
      <x:c r="H37" s="47" t="str">
        <x:v>http://qudt.org/vocab/unit/N-PER-M</x:v>
      </x:c>
      <x:c r="I37" s="48" t="str">
        <x:v>linked by the locked 313-requirement index</x:v>
      </x:c>
      <x:c r="J37" s="47" t="n">
        <x:v>2</x:v>
      </x:c>
    </x:row>
    <x:row r="38">
      <x:c r="A38" s="47" t="str">
        <x:v>RUN-TRF-022-20260812T132927637692Z</x:v>
      </x:c>
      <x:c r="B38" s="47" t="str">
        <x:v>TRF-022</x:v>
      </x:c>
      <x:c r="C38" s="47" t="str">
        <x:v>coefficientG3</x:v>
      </x:c>
      <x:c r="D38" s="48" t="str">
        <x:v>https://w3id.org/nltl-benchmark/vocab#coefficientG3</x:v>
      </x:c>
      <x:c r="E38" s="47" t="str">
        <x:v>QuantityProperty</x:v>
      </x:c>
      <x:c r="F38" s="47" t="str"/>
      <x:c r="G38" s="47" t="str">
        <x:v>http://qudt.org/schema/qudt/QuantityValue</x:v>
      </x:c>
      <x:c r="H38" s="47" t="str"/>
      <x:c r="I38" s="48" t="str">
        <x:v>linked by the locked 313-requirement index</x:v>
      </x:c>
      <x:c r="J38" s="47" t="n">
        <x:v>2</x:v>
      </x:c>
    </x:row>
    <x:row r="39">
      <x:c r="A39" s="47" t="str">
        <x:v>RUN-TRF-022-20260812T132927637692Z</x:v>
      </x:c>
      <x:c r="B39" s="47" t="str">
        <x:v>TRF-022</x:v>
      </x:c>
      <x:c r="C39" s="47" t="str">
        <x:v>flareAngle</x:v>
      </x:c>
      <x:c r="D39" s="48" t="str">
        <x:v>https://w3id.org/nltl-benchmark/vocab#flareAngle</x:v>
      </x:c>
      <x:c r="E39" s="47" t="str">
        <x:v>QuantityProperty</x:v>
      </x:c>
      <x:c r="F39" s="47" t="str"/>
      <x:c r="G39" s="47" t="str">
        <x:v>http://qudt.org/schema/qudt/QuantityValue</x:v>
      </x:c>
      <x:c r="H39" s="47" t="str">
        <x:v>http://qudt.org/vocab/unit/DEG</x:v>
      </x:c>
      <x:c r="I39" s="48" t="str">
        <x:v>linked by the locked 313-requirement index</x:v>
      </x:c>
      <x:c r="J39" s="47" t="n">
        <x:v>2</x:v>
      </x:c>
    </x:row>
    <x:row r="40">
      <x:c r="A40" s="47" t="str">
        <x:v>RUN-TRF-022-20260812T132927637692Z</x:v>
      </x:c>
      <x:c r="B40" s="47" t="str">
        <x:v>TRF-022</x:v>
      </x:c>
      <x:c r="C40" s="47" t="str">
        <x:v>hasComponent</x:v>
      </x:c>
      <x:c r="D40" s="48" t="str">
        <x:v>https://w3id.org/nltl-benchmark/vocab#hasComponent</x:v>
      </x:c>
      <x:c r="E40" s="47" t="str">
        <x:v>ObjectProperty</x:v>
      </x:c>
      <x:c r="F40" s="47" t="str"/>
      <x:c r="G40" s="47" t="str">
        <x:v>https://w3id.org/nltl-benchmark/vocab#shipComponent</x:v>
      </x:c>
      <x:c r="H40" s="47" t="str"/>
      <x:c r="I40" s="48" t="str">
        <x:v>component-path dependency inferred from the linked term module</x:v>
      </x:c>
      <x:c r="J40" s="47" t="n">
        <x:v>2</x:v>
      </x:c>
    </x:row>
    <x:row r="41">
      <x:c r="A41" s="47" t="str">
        <x:v>RUN-TRF-022-20260812T132927637692Z</x:v>
      </x:c>
      <x:c r="B41" s="47" t="str">
        <x:v>TRF-022</x:v>
      </x:c>
      <x:c r="C41" s="47" t="str">
        <x:v>iceClassDraught</x:v>
      </x:c>
      <x:c r="D41" s="48" t="str">
        <x:v>https://w3id.org/nltl-benchmark/vocab#iceClassDraught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RUN-TRF-022-20260812T132927637692Z</x:v>
      </x:c>
      <x:c r="B42" s="47" t="str">
        <x:v>TRF-022</x:v>
      </x:c>
      <x:c r="C42" s="47" t="str">
        <x:v>ship</x:v>
      </x:c>
      <x:c r="D42" s="48" t="str">
        <x:v>https://w3id.org/nltl-benchmark/vocab#ship</x:v>
      </x:c>
      <x:c r="E42" s="47" t="str">
        <x:v>Class</x:v>
      </x:c>
      <x:c r="F42" s="47" t="str"/>
      <x:c r="G42" s="47" t="str"/>
      <x:c r="H42" s="47" t="str"/>
      <x:c r="I42" s="48" t="str">
        <x:v>baseline target infrastructure</x:v>
      </x:c>
      <x:c r="J42" s="47" t="n">
        <x:v>2</x:v>
      </x:c>
    </x:row>
    <x:row r="43">
      <x:c r="A43" s="47" t="str">
        <x:v>RUN-TRF-022-20260812T132927637692Z</x:v>
      </x:c>
      <x:c r="B43" s="47" t="str">
        <x:v>TRF-022</x:v>
      </x:c>
      <x:c r="C43" s="47" t="str">
        <x:v>shipBreadth</x:v>
      </x:c>
      <x:c r="D43" s="48" t="str">
        <x:v>https://w3id.org/nltl-benchmark/vocab#shipBreadth</x:v>
      </x:c>
      <x:c r="E43" s="47" t="str">
        <x:v>QuantityProperty</x:v>
      </x:c>
      <x:c r="F43" s="47" t="str"/>
      <x:c r="G43" s="47" t="str">
        <x:v>http://qudt.org/schema/qudt/QuantityValue</x:v>
      </x:c>
      <x:c r="H43" s="47" t="str">
        <x:v>http://qudt.org/vocab/unit/M</x:v>
      </x:c>
      <x:c r="I43" s="48" t="str">
        <x:v>linked by the locked 313-requirement index</x:v>
      </x:c>
      <x:c r="J43" s="47" t="n">
        <x:v>2</x:v>
      </x:c>
    </x:row>
    <x:row r="44">
      <x:c r="A44" s="47" t="str">
        <x:v>RUN-TRF-022-20260812T132927637692Z</x:v>
      </x:c>
      <x:c r="B44" s="47" t="str">
        <x:v>TRF-022</x:v>
      </x:c>
      <x:c r="C44" s="47" t="str">
        <x:v>shipComponent</x:v>
      </x:c>
      <x:c r="D44" s="48" t="str">
        <x:v>https://w3id.org/nltl-benchmark/vocab#shipComponent</x:v>
      </x:c>
      <x:c r="E44" s="47" t="str">
        <x:v>Class</x:v>
      </x:c>
      <x:c r="F44" s="47" t="str"/>
      <x:c r="G44" s="47" t="str"/>
      <x:c r="H44" s="47" t="str"/>
      <x:c r="I44" s="48" t="str">
        <x:v>component-path dependency inferred from the linked term module</x:v>
      </x:c>
      <x:c r="J44" s="47" t="n">
        <x:v>2</x:v>
      </x:c>
    </x:row>
    <x:row r="45">
      <x:c r="A45" s="47" t="str">
        <x:v>RUN-TRF-022-20260812T132927637692Z</x:v>
      </x:c>
      <x:c r="B45" s="47" t="str">
        <x:v>TRF-022</x:v>
      </x:c>
      <x:c r="C45" s="47" t="str">
        <x:v>shipLength</x:v>
      </x:c>
      <x:c r="D45" s="48" t="str">
        <x:v>https://w3id.org/nltl-benchmark/vocab#shipLength</x:v>
      </x:c>
      <x:c r="E45" s="47" t="str">
        <x:v>QuantityProperty</x:v>
      </x:c>
      <x:c r="F45" s="47" t="str"/>
      <x:c r="G45" s="47" t="str">
        <x:v>http://qudt.org/schema/qudt/QuantityValue</x:v>
      </x:c>
      <x:c r="H45" s="47" t="str">
        <x:v>http://qudt.org/vocab/unit/M</x:v>
      </x:c>
      <x:c r="I45" s="48" t="str">
        <x:v>linked by the locked 313-requirement index</x:v>
      </x:c>
      <x:c r="J45" s="47" t="n">
        <x:v>2</x:v>
      </x:c>
    </x:row>
    <x:row r="46">
      <x:c r="A46" s="49" t="str">
        <x:v>RUN-TRF-022-20260812T132927637692Z</x:v>
      </x:c>
      <x:c r="B46" s="49" t="str">
        <x:v>TRF-022</x:v>
      </x:c>
      <x:c r="C46" s="49" t="str">
        <x:v>waterlineAngleAtQuarterBreadth</x:v>
      </x:c>
      <x:c r="D46" s="50" t="str">
        <x:v>https://w3id.org/nltl-benchmark/vocab#waterlineAngleAtQuarterBreadth</x:v>
      </x:c>
      <x:c r="E46" s="49" t="str">
        <x:v>QuantityProperty</x:v>
      </x:c>
      <x:c r="F46" s="49" t="str"/>
      <x:c r="G46" s="49" t="str">
        <x:v>http://qudt.org/schema/qudt/QuantityValue</x:v>
      </x:c>
      <x:c r="H46" s="49" t="str">
        <x:v>http://qudt.org/vocab/unit/DEG</x:v>
      </x:c>
      <x:c r="I46" s="50" t="str">
        <x:v>linked by the locked 313-requirement index</x:v>
      </x:c>
      <x:c r="J46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63078f9dfde74c4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RUN-TRF-022-20260812T132927637692Z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RUN-TRF-022-20260812T132927637692Z</x:v>
      </x:c>
      <x:c r="B5" s="45" t="str">
        <x:v>TRF-022</x:v>
      </x:c>
      <x:c r="C5" s="45" t="str">
        <x:v>FS-CALC-02</x:v>
      </x:c>
      <x:c r="D5" s="45" t="str">
        <x:v>comparison_calculation</x:v>
      </x:c>
      <x:c r="E5" s="97" t="n">
        <x:v>0.04918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RUN-TRF-022-20260812T132927637692Z</x:v>
      </x:c>
      <x:c r="B6" s="49" t="str">
        <x:v>TRF-022</x:v>
      </x:c>
      <x:c r="C6" s="49" t="str">
        <x:v>FS-QTY-01</x:v>
      </x:c>
      <x:c r="D6" s="49" t="str">
        <x:v>qudt_quantity</x:v>
      </x:c>
      <x:c r="E6" s="98" t="n">
        <x:v>0.032787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2d262da47d4fe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RUN-TRF-022-20260812T132927637692Z</x:v>
      </x:c>
      <x:c r="B5" s="45" t="str">
        <x:v>TRF-022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 "5"^^xsd:decimal,
                            "5"^^xsd:decimal,
                            IF(
                                ?unclamped </x:v>
      </x:c>
      <x:c r="M5" s="46" t="str"/>
      <x:c r="N5" s="46" t="str">
        <x:v>https://w3id.org/nltl-benchmark/vocab#bowRakeAtQuarterBreadth | https://w3id.org/nltl-benchmark/vocab#clampedHullGeometryTerm | https://w3id.org/nltl-benchmark/vocab#flareAngle | https://w3id.org/nltl-benchmark/vocab#hasComponent | https://w3id.org/nltl-benchmark/vocab#iceClassDraught | https://w3id.org/nltl-benchmark/vocab#ship | https://w3id.org/nltl-benchmark/vocab#shipBreadth | https://w3id.org/nltl-benchmark/vocab#shipLength | https://w3id.org/nltl-benchmark/vocab#waterlineAngleAtQuarterBreadth</x:v>
      </x:c>
      <x:c r="O5" s="46" t="str"/>
      <x:c r="P5" s="46" t="str"/>
      <x:c r="Q5" s="46" t="str">
        <x:v> "5"^^xsd:decimal,
                            "5"^^xsd:decimal,
                            IF(
                                ?unclamped </x:v>
      </x:c>
    </x:row>
    <x:row r="6">
      <x:c r="A6" s="49" t="str">
        <x:v>RUN-TRF-022-20260812T132927637692Z</x:v>
      </x:c>
      <x:c r="B6" s="49" t="str">
        <x:v>TRF-022</x:v>
      </x:c>
      <x:c r="C6" s="60" t="n">
        <x:v>2</x:v>
      </x:c>
      <x:c r="D6" s="82" t="b">
        <x:v>0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0</x:v>
      </x:c>
      <x:c r="J6" s="82" t="b">
        <x:v>0</x:v>
      </x:c>
      <x:c r="K6" s="102" t="b">
        <x:v>0</x:v>
      </x:c>
      <x:c r="L6" s="50" t="str">
        <x:v>No declared shape has an explicit SHACL target | Unapproved external/generated IRI(s):  5 &amp;&amp; ?clampedValue != 5)
                }
                UNION
                {
                    FILTER(?unclamped , = 20 &amp;&amp; ?clampedValue != ?unclamped)
                }
                UNION
                {
                    FILTER(?unclamped  | QUDT unit not permitted by the scoped term metadata: http://qudt.org/vocab/unit/KiloGM-PER-M2-SEC2, http://qudt.org/vocab/unit/KiloGM-PER-SEC2</x:v>
      </x:c>
      <x:c r="M6" s="50" t="str"/>
      <x:c r="N6" s="50" t="str">
        <x:v>https://w3id.org/nltl-benchmark/vocab#bowRakeAtQuarterBreadth | https://w3id.org/nltl-benchmark/vocab#clampedHullGeometryTerm | https://w3id.org/nltl-benchmark/vocab#coefficientC3 | https://w3id.org/nltl-benchmark/vocab#coefficientC4 | https://w3id.org/nltl-benchmark/vocab#coefficientC5 | https://w3id.org/nltl-benchmark/vocab#flareAngle | https://w3id.org/nltl-benchmark/vocab#hasComponent | https://w3id.org/nltl-benchmark/vocab#iceClassDraught | https://w3id.org/nltl-benchmark/vocab#shipBreadth | https://w3id.org/nltl-benchmark/vocab#shipLength | https://w3id.org/nltl-benchmark/vocab#waterlineAngleAtQuarterBreadth</x:v>
      </x:c>
      <x:c r="O6" s="50" t="str"/>
      <x:c r="P6" s="50" t="str"/>
      <x:c r="Q6" s="50" t="str">
        <x:v> 5 &amp;&amp; ?clampedValue != 5)
                }
                UNION
                {
                    FILTER(?unclamped  | = 20 &amp;&amp; ?clampedValue != ?unclamped)
                }
                UNION
                {
                    FILTER(?unclamped </x:v>
      </x:c>
    </x:row>
  </x:sheetData>
  <x:pageMargins left="0.7" right="0.7" top="0.75" bottom="0.75" header="0.3" footer="0.3"/>
  <x:tableParts count="1">
    <x:tablePart xmlns:r="http://schemas.openxmlformats.org/officeDocument/2006/relationships" r:id="R56e90ed590f34c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RUN-TRF-022-20260812T132927637692Z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RUN-TRF-022-20260812T132927637692Z</x:v>
      </x:c>
      <x:c r="B5" s="45" t="str">
        <x:v>TRF-022</x:v>
      </x:c>
      <x:c r="C5" s="58" t="n">
        <x:v>1</x:v>
      </x:c>
      <x:c r="D5" s="45" t="str">
        <x:v>matcher_search</x:v>
      </x:c>
      <x:c r="E5" s="46" t="str">
        <x:v>Deterministic validation prevents acceptance. Fix: Unapproved external/generated IRI(s):  "5"^^xsd:decimal,
                            "5"^^xsd:decimal,
                            IF(
                                ?unclamped 
Semantic validator feedback: Repair the graph before freezing: deterministic validation is invalid because the nested IF expression is mis-extracted as an unapproved IRI, so rewrite the clamp check in parser-safe SPARQL (for example, explicit conditional branches) and revalidate. Restrict applicability to New ships rather than targeting every nltl:ship; locate the canonical applicability term/value. Enforce psi = atan(tan(phi_2)/sin(alpha)) using bowRakeAtQuarterBreadth and waterlineAngleAtQuarterBreadth from the same component, with explicit degree/radian handling; the current query checks only input availability and never compares psi with the formula result. Keep the clamped value equal to max(5,min(20,((L*T)/(B*B))^3)) with inclusive boundaries and consistent ship/component paths. Also encode and verify C_3 = 845 kg/(m^2*s^2), C_4 = 42 kg/(m^2*s^2), and C_5 = 825 kg/s^2 using the supplied coefficient properties and approved canonical units.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7" t="str">
        <x:v>RUN-TRF-022-20260812T132927637692Z</x:v>
      </x:c>
      <x:c r="B6" s="47" t="str">
        <x:v>TRF-022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bowRakeAtQuarterBreadth</x:v>
      </x:c>
      <x:c r="I6" s="48" t="str">
        <x:v>https://w3id.org/nltl-benchmark/vocab#bowRakeAtQuarterBreadth</x:v>
      </x:c>
      <x:c r="J6" s="48" t="str">
        <x:v>Use this exact term because it is the canonical QuantityProperty for phi2 in TRF-022 clause 3.2.2, with a QUDT QuantityValue range and degrees as the recommended unit.</x:v>
      </x:c>
    </x:row>
    <x:row r="7">
      <x:c r="A7" s="47" t="str">
        <x:v>RUN-TRF-022-20260812T132927637692Z</x:v>
      </x:c>
      <x:c r="B7" s="47" t="str">
        <x:v>TRF-022</x:v>
      </x:c>
      <x:c r="C7" s="59" t="n">
        <x:v>2</x:v>
      </x:c>
      <x:c r="D7" s="47" t="str">
        <x:v>matcher_search</x:v>
      </x:c>
      <x:c r="E7" s="48" t="str">
        <x:v>Deterministic validation prevents acceptance. Fix: No declared shape has an explicit SHACL target | Unapproved external/generated IRI(s):  5 &amp;&amp; ?clampedValue != 5)
                }
                UNION
                {
                    FILTER(?unclamped , = 20 &amp;&amp; ?clampedValue != ?unclamped)
                }
                UNION
                {
                    FILTER(?unclamped  | QUDT unit not permitted by the scoped term metadata: http://qudt.org/vocab/unit/KiloGM-PER-M2-SEC2, http://qudt.org/vocab/unit/KiloGM-PER-SEC2
Semantic validator feedback: Add an explicit SHACL target and encode applicability specifically to new ships using the canonical applicability term/value returned by the matcher. Enforce psi = atan(tan(phi_2)/sin(alpha)) on the same component, including correct degree/radian conversion and decimal/unit checks; the current graph only requires the operands to exist. Retain the inclusive [5,20] clamp but rewrite its SPARQL comparisons to avoid raw '&lt;' tokens that the deterministic vocabulary scan misreads, while preserving the low, in-range, and high branches. Replace the unapproved C3/C4 and C5 unit IRIs with matcher-confirmed canonical controlled units equivalent to kg/(m^2*s^2) and kg/s^2, respectively. Ensure all calculation checks cannot pass merely because a formula pattern is absent.</x:v>
      </x:c>
      <x:c r="F7" s="59" t="n">
        <x:v>2</x:v>
      </x:c>
      <x:c r="G7" s="47" t="str"/>
      <x:c r="H7" s="47" t="str"/>
      <x:c r="I7" s="48" t="str"/>
      <x:c r="J7" s="48" t="str"/>
    </x:row>
    <x:row r="8">
      <x:c r="A8" s="49" t="str">
        <x:v>RUN-TRF-022-20260812T132927637692Z</x:v>
      </x:c>
      <x:c r="B8" s="49" t="str">
        <x:v>TRF-022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supplied candidate represents applicability to new ships, the required calculation variables, or the controlled units kg/(m^2*s^2) and kg/s^2.</x:v>
      </x:c>
    </x:row>
  </x:sheetData>
  <x:pageMargins left="0.7" right="0.7" top="0.75" bottom="0.75" header="0.3" footer="0.3"/>
  <x:tableParts count="1">
    <x:tablePart xmlns:r="http://schemas.openxmlformats.org/officeDocument/2006/relationships" r:id="Rb2038a29a1984b0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RUN-TRF-022-20260812T132927637692Z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RUN-TRF-022-20260812T132927637692Z</x:v>
      </x:c>
      <x:c r="B5" s="45" t="str">
        <x:v>TRF-022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a5368f00b0941e50488706934d664a49df97031fd0f7a4797a7ce85532201eb6</x:v>
      </x:c>
      <x:c r="G5" s="58" t="n">
        <x:v>21393</x:v>
      </x:c>
    </x:row>
    <x:row r="6">
      <x:c r="A6" s="47" t="str">
        <x:v>RUN-TRF-022-20260812T132927637692Z</x:v>
      </x:c>
      <x:c r="B6" s="47" t="str">
        <x:v>TRF-022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b3f0b8442b38fbb8d60a5d87523b7af936a7f6135137d8d96e692b25d68b6949</x:v>
      </x:c>
      <x:c r="G6" s="59" t="n">
        <x:v>5347</x:v>
      </x:c>
    </x:row>
    <x:row r="7">
      <x:c r="A7" s="47" t="str">
        <x:v>RUN-TRF-022-20260812T132927637692Z</x:v>
      </x:c>
      <x:c r="B7" s="47" t="str">
        <x:v>TRF-022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47a1185e0c88fbb38b967cbed0d58a0732e3a5af0b192109f1f8bfb0da2eee6a</x:v>
      </x:c>
      <x:c r="G7" s="59" t="n">
        <x:v>29050</x:v>
      </x:c>
    </x:row>
    <x:row r="8">
      <x:c r="A8" s="47" t="str">
        <x:v>RUN-TRF-022-20260812T132927637692Z</x:v>
      </x:c>
      <x:c r="B8" s="47" t="str">
        <x:v>TRF-022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8f30cefdfebd13ce413ec5f8a0e21f7baa2d24f26abf69f6b2de8138ba88ebe6</x:v>
      </x:c>
      <x:c r="G8" s="59" t="n">
        <x:v>7522</x:v>
      </x:c>
    </x:row>
    <x:row r="9">
      <x:c r="A9" s="47" t="str">
        <x:v>RUN-TRF-022-20260812T132927637692Z</x:v>
      </x:c>
      <x:c r="B9" s="47" t="str">
        <x:v>TRF-022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6635370ebda24746d4ab4f8a4a68d6f29e8ee6ff7719090d8fe83bab8efecdc3</x:v>
      </x:c>
      <x:c r="G9" s="59" t="n">
        <x:v>7497</x:v>
      </x:c>
    </x:row>
    <x:row r="10">
      <x:c r="A10" s="47" t="str">
        <x:v>RUN-TRF-022-20260812T132927637692Z</x:v>
      </x:c>
      <x:c r="B10" s="47" t="str">
        <x:v>TRF-022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01b5f1c5ff7893ac05dfb830452fbcb7d120eec020317f5b6cbe3beca262dd6f</x:v>
      </x:c>
      <x:c r="G10" s="59" t="n">
        <x:v>1295</x:v>
      </x:c>
    </x:row>
    <x:row r="11">
      <x:c r="A11" s="47" t="str">
        <x:v>RUN-TRF-022-20260812T132927637692Z</x:v>
      </x:c>
      <x:c r="B11" s="47" t="str">
        <x:v>TRF-022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89fa510ed6afb06b7228e056527b4aacd4d07c6bb0b59d6b7f9172f79ea49c5e</x:v>
      </x:c>
      <x:c r="G11" s="59" t="n">
        <x:v>34966</x:v>
      </x:c>
    </x:row>
    <x:row r="12">
      <x:c r="A12" s="47" t="str">
        <x:v>RUN-TRF-022-20260812T132927637692Z</x:v>
      </x:c>
      <x:c r="B12" s="47" t="str">
        <x:v>TRF-022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11fac9ccec4de777871b86356e4566eec6573760dcd80a65738fbad2d80b02fd</x:v>
      </x:c>
      <x:c r="G12" s="59" t="n">
        <x:v>992</x:v>
      </x:c>
    </x:row>
    <x:row r="13">
      <x:c r="A13" s="47" t="str">
        <x:v>RUN-TRF-022-20260812T132927637692Z</x:v>
      </x:c>
      <x:c r="B13" s="47" t="str">
        <x:v>TRF-022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c1aeb3fced27024fd7adf7a4916f2a9d3daa2bdb9a8edb280b891faebffd0feb</x:v>
      </x:c>
      <x:c r="G13" s="59" t="n">
        <x:v>2409</x:v>
      </x:c>
    </x:row>
    <x:row r="14">
      <x:c r="A14" s="47" t="str">
        <x:v>RUN-TRF-022-20260812T132927637692Z</x:v>
      </x:c>
      <x:c r="B14" s="47" t="str">
        <x:v>TRF-022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04135bfc5a356612412cd732fb1320b3040ee2d38c85eb321d24aa3c4f74eee0</x:v>
      </x:c>
      <x:c r="G14" s="59" t="n">
        <x:v>5717</x:v>
      </x:c>
    </x:row>
    <x:row r="15">
      <x:c r="A15" s="47" t="str">
        <x:v>RUN-TRF-022-20260812T132927637692Z</x:v>
      </x:c>
      <x:c r="B15" s="47" t="str">
        <x:v>TRF-022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288b62bc3dc1b865be0961b53768abe86678bad4a360f006926ed119ade1648a</x:v>
      </x:c>
      <x:c r="G15" s="59" t="n">
        <x:v>339</x:v>
      </x:c>
    </x:row>
    <x:row r="16">
      <x:c r="A16" s="47" t="str">
        <x:v>RUN-TRF-022-20260812T132927637692Z</x:v>
      </x:c>
      <x:c r="B16" s="47" t="str">
        <x:v>TRF-022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e845c2a59bcdc28517ef3517096144cda83a12e9a8e54b9e133b8470c36a6a90</x:v>
      </x:c>
      <x:c r="G16" s="59" t="n">
        <x:v>21431</x:v>
      </x:c>
    </x:row>
    <x:row r="17">
      <x:c r="A17" s="47" t="str">
        <x:v>RUN-TRF-022-20260812T132927637692Z</x:v>
      </x:c>
      <x:c r="B17" s="47" t="str">
        <x:v>TRF-022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1dc250ba50cd3c62be897a06c8b08f3c6d2de921fba24a0629993390584d3106</x:v>
      </x:c>
      <x:c r="G17" s="59" t="n">
        <x:v>30560</x:v>
      </x:c>
    </x:row>
    <x:row r="18">
      <x:c r="A18" s="47" t="str">
        <x:v>RUN-TRF-022-20260812T132927637692Z</x:v>
      </x:c>
      <x:c r="B18" s="47" t="str">
        <x:v>TRF-022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7b9e405f2e5458bbc251514e0b5a86a39b3d81e01421d084c936787b505193c1</x:v>
      </x:c>
      <x:c r="G18" s="59" t="n">
        <x:v>7058</x:v>
      </x:c>
    </x:row>
    <x:row r="19">
      <x:c r="A19" s="47" t="str">
        <x:v>RUN-TRF-022-20260812T132927637692Z</x:v>
      </x:c>
      <x:c r="B19" s="47" t="str">
        <x:v>TRF-022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fc5852da5c7eec2a7cc3738df2383f0d8f8652403f5608ac77978406c7a6e825</x:v>
      </x:c>
      <x:c r="G19" s="59" t="n">
        <x:v>7033</x:v>
      </x:c>
    </x:row>
    <x:row r="20">
      <x:c r="A20" s="47" t="str">
        <x:v>RUN-TRF-022-20260812T132927637692Z</x:v>
      </x:c>
      <x:c r="B20" s="47" t="str">
        <x:v>TRF-022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e2607d57306a2107ce6db6f92cb4c523270ff7cf193080a9e969f0b029d8db6b</x:v>
      </x:c>
      <x:c r="G20" s="59" t="n">
        <x:v>1870</x:v>
      </x:c>
    </x:row>
    <x:row r="21">
      <x:c r="A21" s="47" t="str">
        <x:v>RUN-TRF-022-20260812T132927637692Z</x:v>
      </x:c>
      <x:c r="B21" s="47" t="str">
        <x:v>TRF-022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942843e0919c1a78fe58285647dcf201b1cb81282245f1112ee0cf9ae2a4b329</x:v>
      </x:c>
      <x:c r="G21" s="59" t="n">
        <x:v>35910</x:v>
      </x:c>
    </x:row>
    <x:row r="22">
      <x:c r="A22" s="47" t="str">
        <x:v>RUN-TRF-022-20260812T132927637692Z</x:v>
      </x:c>
      <x:c r="B22" s="47" t="str">
        <x:v>TRF-022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34228aae9c97b4a4a61f2e6c41e77d9216435597f2b7df7368a4511700262bc7</x:v>
      </x:c>
      <x:c r="G22" s="59" t="n">
        <x:v>832</x:v>
      </x:c>
    </x:row>
    <x:row r="23">
      <x:c r="A23" s="47" t="str">
        <x:v>RUN-TRF-022-20260812T132927637692Z</x:v>
      </x:c>
      <x:c r="B23" s="47" t="str">
        <x:v>TRF-022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322cf75b729fc05952ae9c808296d008e257573256acc948cee69926d8a69300</x:v>
      </x:c>
      <x:c r="G23" s="59" t="n">
        <x:v>868</x:v>
      </x:c>
    </x:row>
    <x:row r="24">
      <x:c r="A24" s="47" t="str">
        <x:v>RUN-TRF-022-20260812T132927637692Z</x:v>
      </x:c>
      <x:c r="B24" s="47" t="str">
        <x:v>TRF-022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38476587a6e8cfde87aa88b990a11da7d368389d747b413bf6c2de55ec8ea2dd</x:v>
      </x:c>
      <x:c r="G24" s="59" t="n">
        <x:v>3940</x:v>
      </x:c>
    </x:row>
    <x:row r="25">
      <x:c r="A25" s="49" t="str">
        <x:v>RUN-TRF-022-20260812T132927637692Z</x:v>
      </x:c>
      <x:c r="B25" s="49" t="str">
        <x:v>TRF-022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1c551a3e473c0915d2007a2b0fa10fe173383e907b71d78195bead00effd3166</x:v>
      </x:c>
      <x:c r="G25" s="60" t="n">
        <x:v>234</x:v>
      </x:c>
    </x:row>
  </x:sheetData>
  <x:pageMargins left="0.7" right="0.7" top="0.75" bottom="0.75" header="0.3" footer="0.3"/>
  <x:tableParts count="1">
    <x:tablePart xmlns:r="http://schemas.openxmlformats.org/officeDocument/2006/relationships" r:id="R0e9d80527e2444a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RUN-TRF-022-20260812T132927637692Z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RUN-TRF-022-20260812T132927637692Z</x:v>
      </x:c>
      <x:c r="B5" s="69" t="str">
        <x:v>TRF-022</x:v>
      </x:c>
      <x:c r="C5" s="71" t="n">
        <x:v>2</x:v>
      </x:c>
      <x:c r="D5" s="69" t="str">
        <x:v>VOCABULARY_GAP</x:v>
      </x:c>
      <x:c r="E5" s="73" t="str">
        <x:v>No supplied candidate represents applicability to new ships, the required calculation variables, or the controlled units kg/(m^2*s^2) and kg/s^2.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9b4bcb8ec5e46bf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RUN-TRF-022-20260812T132927637692Z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