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e5af0305104d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071cbfa5f654c28"/>
    <x:sheet xmlns:r="http://schemas.openxmlformats.org/officeDocument/2006/relationships" name="README" sheetId="2" r:id="R0fa72f0a8805403c"/>
    <x:sheet xmlns:r="http://schemas.openxmlformats.org/officeDocument/2006/relationships" name="REGULATION_QUEUE" sheetId="3" r:id="Ra0e1e3c85acb48ea"/>
    <x:sheet xmlns:r="http://schemas.openxmlformats.org/officeDocument/2006/relationships" name="RUNS" sheetId="4" r:id="Rafedcf3f5e7a4812"/>
    <x:sheet xmlns:r="http://schemas.openxmlformats.org/officeDocument/2006/relationships" name="ITERATIONS" sheetId="5" r:id="Rde9ec56117714ca9"/>
    <x:sheet xmlns:r="http://schemas.openxmlformats.org/officeDocument/2006/relationships" name="API_CALLS" sheetId="6" r:id="Rc857f8e4fba74919"/>
    <x:sheet xmlns:r="http://schemas.openxmlformats.org/officeDocument/2006/relationships" name="TERM_RETRIEVAL" sheetId="7" r:id="R78bda8460da54e6c"/>
    <x:sheet xmlns:r="http://schemas.openxmlformats.org/officeDocument/2006/relationships" name="FEW_SHOT_SELECTION" sheetId="8" r:id="R7b010c72f5c04723"/>
    <x:sheet xmlns:r="http://schemas.openxmlformats.org/officeDocument/2006/relationships" name="VALIDATION" sheetId="9" r:id="R0e8283ff58a04438"/>
    <x:sheet xmlns:r="http://schemas.openxmlformats.org/officeDocument/2006/relationships" name="VOCAB_MATCHES" sheetId="10" r:id="R5459341f3d9847e5"/>
    <x:sheet xmlns:r="http://schemas.openxmlformats.org/officeDocument/2006/relationships" name="ARTIFACTS" sheetId="11" r:id="Ra0553409dbf64b12"/>
    <x:sheet xmlns:r="http://schemas.openxmlformats.org/officeDocument/2006/relationships" name="UNRESOLVED" sheetId="12" r:id="Raac693ea25804a20"/>
    <x:sheet xmlns:r="http://schemas.openxmlformats.org/officeDocument/2006/relationships" name="RDF_TEST_QUEUE" sheetId="13" r:id="R16afbc19c83d4c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c15bed5c604f0e" /><Relationship Type="http://schemas.openxmlformats.org/officeDocument/2006/relationships/theme" Target="/xl/theme/theme1.xml" Id="R1812e753d8ea4b93" /><Relationship Type="http://schemas.microsoft.com/office/2022/11/relationships/FeaturePropertyBag" Target="/xl/featurePropertyBag/featurePropertyBag.xml" Id="R8ec89f42a0554c3e" /><Relationship Type="http://schemas.openxmlformats.org/officeDocument/2006/relationships/sharedStrings" Target="/xl/sharedStrings.xml" Id="R98ba2c0f7016405a" /><Relationship Type="http://schemas.openxmlformats.org/officeDocument/2006/relationships/worksheet" Target="/xl/worksheets/sheet1.xml" Id="R6071cbfa5f654c28" /><Relationship Type="http://schemas.openxmlformats.org/officeDocument/2006/relationships/worksheet" Target="/xl/worksheets/sheet2.xml" Id="R0fa72f0a8805403c" /><Relationship Type="http://schemas.openxmlformats.org/officeDocument/2006/relationships/worksheet" Target="/xl/worksheets/sheet3.xml" Id="Ra0e1e3c85acb48ea" /><Relationship Type="http://schemas.openxmlformats.org/officeDocument/2006/relationships/worksheet" Target="/xl/worksheets/sheet4.xml" Id="Rafedcf3f5e7a4812" /><Relationship Type="http://schemas.openxmlformats.org/officeDocument/2006/relationships/worksheet" Target="/xl/worksheets/sheet5.xml" Id="Rde9ec56117714ca9" /><Relationship Type="http://schemas.openxmlformats.org/officeDocument/2006/relationships/worksheet" Target="/xl/worksheets/sheet6.xml" Id="Rc857f8e4fba74919" /><Relationship Type="http://schemas.openxmlformats.org/officeDocument/2006/relationships/worksheet" Target="/xl/worksheets/sheet7.xml" Id="R78bda8460da54e6c" /><Relationship Type="http://schemas.openxmlformats.org/officeDocument/2006/relationships/worksheet" Target="/xl/worksheets/sheet8.xml" Id="R7b010c72f5c04723" /><Relationship Type="http://schemas.openxmlformats.org/officeDocument/2006/relationships/worksheet" Target="/xl/worksheets/sheet9.xml" Id="R0e8283ff58a04438" /><Relationship Type="http://schemas.openxmlformats.org/officeDocument/2006/relationships/worksheet" Target="/xl/worksheets/sheet10.xml" Id="R5459341f3d9847e5" /><Relationship Type="http://schemas.openxmlformats.org/officeDocument/2006/relationships/worksheet" Target="/xl/worksheets/sheet11.xml" Id="Ra0553409dbf64b12" /><Relationship Type="http://schemas.openxmlformats.org/officeDocument/2006/relationships/worksheet" Target="/xl/worksheets/sheet12.xml" Id="Raac693ea25804a20" /><Relationship Type="http://schemas.openxmlformats.org/officeDocument/2006/relationships/worksheet" Target="/xl/worksheets/sheet13.xml" Id="R16afbc19c83d4cc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e5e32dbd214c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a0d41bfc1e34a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e99ceba566744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a0651ad4bb946e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9e002e0f5ea449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616fed735da4d5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0b0774e1e35417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46f83f1d8ea411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0f8524d13804f5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c4e45d34457a40e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RUN-TRF-022-20260812T152602525244Z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40085.289249999994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RUN-TRF-022-20260812T152602525244Z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be5e32dbd214cd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RUN-TRF-022-20260812T152602525244Z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MAX_ATTEMPTS_REACHED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0d41bfc1e34af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RUN-TRF-022-20260812T152602525244Z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SESSION-BATCH-20260812T150310676130Z</x:v>
      </x:c>
      <x:c r="B5" s="69" t="str">
        <x:v>RUN-TRF-022-20260812T152602525244Z</x:v>
      </x:c>
      <x:c r="C5" s="69" t="str">
        <x:v>TRF-022</x:v>
      </x:c>
      <x:c r="D5" s="70" t="n">
        <x:v>46246.643084780095</x:v>
      </x:c>
      <x:c r="E5" s="70" t="n">
        <x:v>46246.64587814815</x:v>
      </x:c>
      <x:c r="F5" s="69" t="str">
        <x:v>0.4.1-dev-batch01</x:v>
      </x:c>
      <x:c r="G5" s="69" t="str">
        <x:v>VOCAB-DEV-2026-08-12-BATCH01-R4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Add the missing psi constraint: compare flareAngle with atan(tan(bowRakeAtQuarterBreadth)/sin(waterlineAngleAtQuarterBreadth)), including correct degree/radian conversion and handling both sin(alpha)=0 and undefined tan(phi2). Replace the output-presence targets with the proper new-ship applicability/ship target so a relevant ship missing all outputs cannot pass. Retain the correctly encoded C3/C4/C5 constants and inclusive [5,20] clamp.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99ceba566744e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RUN-TRF-022-20260812T152602525244Z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RUN-TRF-022-20260812T152602525244Z</x:v>
      </x:c>
      <x:c r="B5" s="45" t="str">
        <x:v>TRF-022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The shape does not enforce psi = atan(tan(phi2)/sin(alpha)); it only requires the three angle values. Add an executable constraint comparing nltl:flareAngle against the value calculated from nltl:bowRakeAtQuarterBreadth and nltl:waterlineAngleAtQuarterBreadth, with correct degree/radian conversion and explicit handling of an undefined zero denominator. Also make shipBreadth = 0 a violation rather than allowing the clamp SPARQL query to produce no result and pass accidentally.</x:v>
      </x:c>
      <x:c r="I5" s="84" t="n">
        <x:v>63465.621</x:v>
      </x:c>
      <x:c r="J5" s="84" t="n">
        <x:v>11297.326</x:v>
      </x:c>
    </x:row>
    <x:row r="6">
      <x:c r="A6" s="47" t="str">
        <x:v>RUN-TRF-022-20260812T152602525244Z</x:v>
      </x:c>
      <x:c r="B6" s="47" t="str">
        <x:v>TRF-022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Deterministic validation prevents acceptance. Fix: Unapproved external/generated IRI(s): http://www.w3.org/2005/xpath-functions/math#
Semantic validator feedback: Remove the unapproved XPath math namespace and its math:pi/sin/tan/atan calls; use only an approved deterministic calculation mechanism, or explicitly limit the shape to operand/evidence readiness rather than pretending to validate the trigonometric equality. Do not compare the computed irrational angle to an xsd:decimal with exact !=, which will reject ordinary rounded values; apply the benchmark-approved tolerance if one exists. Also restrict applicability to the regulation’s New ships scope instead of targeting every nltl:ship. Preserve C3=845, C4=42, C5=825 with their stated units and the correctly ordered clamp max(5,min(20,((L*T)/(B*B))^3)).</x:v>
      </x:c>
      <x:c r="I6" s="86" t="n">
        <x:v>57221.653</x:v>
      </x:c>
      <x:c r="J6" s="86" t="n">
        <x:v>21543.747</x:v>
      </x:c>
    </x:row>
    <x:row r="7">
      <x:c r="A7" s="49" t="str">
        <x:v>RUN-TRF-022-20260812T152602525244Z</x:v>
      </x:c>
      <x:c r="B7" s="49" t="str">
        <x:v>TRF-022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Add the missing psi constraint: compare flareAngle with atan(tan(bowRakeAtQuarterBreadth)/sin(waterlineAngleAtQuarterBreadth)), including correct degree/radian conversion and handling both sin(alpha)=0 and undefined tan(phi2). Replace the output-presence targets with the proper new-ship applicability/ship target so a relevant ship missing all outputs cannot pass. Retain the correctly encoded C3/C4/C5 constants and inclusive [5,20] clamp.</x:v>
      </x:c>
      <x:c r="I7" s="88" t="n">
        <x:v>63624.158</x:v>
      </x:c>
      <x:c r="J7" s="88" t="n">
        <x:v>23363.969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0651ad4bb946e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RUN-TRF-022-20260812T152602525244Z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RUN-TRF-022-20260812T152602525244Z</x:v>
      </x:c>
      <x:c r="C5" s="45" t="str">
        <x:v>TRF-022</x:v>
      </x:c>
      <x:c r="D5" s="92" t="n">
        <x:v>46246.643819363424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63464.523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RUN-TRF-022-20260812T152602525244Z</x:v>
      </x:c>
      <x:c r="C6" s="47" t="str">
        <x:v>TRF-022</x:v>
      </x:c>
      <x:c r="D6" s="93" t="n">
        <x:v>46246.643819375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63465.621</x:v>
      </x:c>
      <x:c r="L6" s="85" t="b">
        <x:v>0</x:v>
      </x:c>
      <x:c r="M6" s="47" t="str">
        <x:v>resp_0be0d0d4e5000567006a7c908a9dec81909e725bac84df9121</x:v>
      </x:c>
      <x:c r="N6" s="59" t="n">
        <x:v>8800</x:v>
      </x:c>
      <x:c r="O6" s="59" t="n">
        <x:v>5000</x:v>
      </x:c>
      <x:c r="P6" s="59" t="n">
        <x:v>13800</x:v>
      </x:c>
    </x:row>
    <x:row r="7">
      <x:c r="A7" s="47" t="str">
        <x:v>EVT-000041</x:v>
      </x:c>
      <x:c r="B7" s="47" t="str">
        <x:v>RUN-TRF-022-20260812T152602525244Z</x:v>
      </x:c>
      <x:c r="C7" s="47" t="str">
        <x:v>TRF-022</x:v>
      </x:c>
      <x:c r="D7" s="93" t="n">
        <x:v>46246.6439534838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11295.824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RUN-TRF-022-20260812T152602525244Z</x:v>
      </x:c>
      <x:c r="C8" s="47" t="str">
        <x:v>TRF-022</x:v>
      </x:c>
      <x:c r="D8" s="93" t="n">
        <x:v>46246.643953506944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11297.326</x:v>
      </x:c>
      <x:c r="L8" s="85" t="b">
        <x:v>0</x:v>
      </x:c>
      <x:c r="M8" s="47" t="str">
        <x:v>resp_0b81e7419e1ea9dc006a7c90ca5cb88194913dd088819726ee</x:v>
      </x:c>
      <x:c r="N8" s="59" t="n">
        <x:v>10856</x:v>
      </x:c>
      <x:c r="O8" s="59" t="n">
        <x:v>752</x:v>
      </x:c>
      <x:c r="P8" s="59" t="n">
        <x:v>11608</x:v>
      </x:c>
    </x:row>
    <x:row r="9">
      <x:c r="A9" s="47" t="str">
        <x:v>EVT-000047</x:v>
      </x:c>
      <x:c r="B9" s="47" t="str">
        <x:v>RUN-TRF-022-20260812T152602525244Z</x:v>
      </x:c>
      <x:c r="C9" s="47" t="str">
        <x:v>TRF-022</x:v>
      </x:c>
      <x:c r="D9" s="93" t="n">
        <x:v>46246.644615833335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57219.75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RUN-TRF-022-20260812T152602525244Z</x:v>
      </x:c>
      <x:c r="C10" s="47" t="str">
        <x:v>TRF-022</x:v>
      </x:c>
      <x:c r="D10" s="93" t="n">
        <x:v>46246.64461585648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57221.653</x:v>
      </x:c>
      <x:c r="L10" s="85" t="b">
        <x:v>0</x:v>
      </x:c>
      <x:c r="M10" s="47" t="str">
        <x:v>resp_0a309815830fc218006a7c90d5ab74819596eec647ab93e00e</x:v>
      </x:c>
      <x:c r="N10" s="59" t="n">
        <x:v>8906</x:v>
      </x:c>
      <x:c r="O10" s="59" t="n">
        <x:v>5094</x:v>
      </x:c>
      <x:c r="P10" s="59" t="n">
        <x:v>14000</x:v>
      </x:c>
    </x:row>
    <x:row r="11">
      <x:c r="A11" s="47" t="str">
        <x:v>EVT-000055</x:v>
      </x:c>
      <x:c r="B11" s="47" t="str">
        <x:v>RUN-TRF-022-20260812T152602525244Z</x:v>
      </x:c>
      <x:c r="C11" s="47" t="str">
        <x:v>TRF-022</x:v>
      </x:c>
      <x:c r="D11" s="93" t="n">
        <x:v>46246.64486825231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21542.34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EVT-000056</x:v>
      </x:c>
      <x:c r="B12" s="47" t="str">
        <x:v>RUN-TRF-022-20260812T152602525244Z</x:v>
      </x:c>
      <x:c r="C12" s="47" t="str">
        <x:v>TRF-022</x:v>
      </x:c>
      <x:c r="D12" s="93" t="n">
        <x:v>46246.64486826389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21543.747</x:v>
      </x:c>
      <x:c r="L12" s="85" t="b">
        <x:v>0</x:v>
      </x:c>
      <x:c r="M12" s="47" t="str">
        <x:v>resp_053b85b000f6ec9a006a7c910f65008190be8a8b0ddab6b7ce</x:v>
      </x:c>
      <x:c r="N12" s="59" t="n">
        <x:v>11610</x:v>
      </x:c>
      <x:c r="O12" s="59" t="n">
        <x:v>1199</x:v>
      </x:c>
      <x:c r="P12" s="59" t="n">
        <x:v>12809</x:v>
      </x:c>
    </x:row>
    <x:row r="13">
      <x:c r="A13" s="47" t="str">
        <x:v>EVT-000061</x:v>
      </x:c>
      <x:c r="B13" s="47" t="str">
        <x:v>RUN-TRF-022-20260812T152602525244Z</x:v>
      </x:c>
      <x:c r="C13" s="47" t="str">
        <x:v>TRF-022</x:v>
      </x:c>
      <x:c r="D13" s="93" t="n">
        <x:v>46246.64560467593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63622.326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EVT-000062</x:v>
      </x:c>
      <x:c r="B14" s="47" t="str">
        <x:v>RUN-TRF-022-20260812T152602525244Z</x:v>
      </x:c>
      <x:c r="C14" s="47" t="str">
        <x:v>TRF-022</x:v>
      </x:c>
      <x:c r="D14" s="93" t="n">
        <x:v>46246.64560469907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63624.158</x:v>
      </x:c>
      <x:c r="L14" s="85" t="b">
        <x:v>0</x:v>
      </x:c>
      <x:c r="M14" s="47" t="str">
        <x:v>resp_06a6f77a1c6faee5006a7c9124b3148194a5b034d41f535bda</x:v>
      </x:c>
      <x:c r="N14" s="59" t="n">
        <x:v>9095</x:v>
      </x:c>
      <x:c r="O14" s="59" t="n">
        <x:v>4499</x:v>
      </x:c>
      <x:c r="P14" s="59" t="n">
        <x:v>13594</x:v>
      </x:c>
    </x:row>
    <x:row r="15">
      <x:c r="A15" s="47" t="str">
        <x:v>EVT-000069</x:v>
      </x:c>
      <x:c r="B15" s="47" t="str">
        <x:v>RUN-TRF-022-20260812T152602525244Z</x:v>
      </x:c>
      <x:c r="C15" s="47" t="str">
        <x:v>TRF-022</x:v>
      </x:c>
      <x:c r="D15" s="93" t="n">
        <x:v>46246.645878090276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23362.234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EVT-000070</x:v>
      </x:c>
      <x:c r="B16" s="49" t="str">
        <x:v>RUN-TRF-022-20260812T152602525244Z</x:v>
      </x:c>
      <x:c r="C16" s="49" t="str">
        <x:v>TRF-022</x:v>
      </x:c>
      <x:c r="D16" s="94" t="n">
        <x:v>46246.64587810185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23363.969</x:v>
      </x:c>
      <x:c r="L16" s="87" t="b">
        <x:v>0</x:v>
      </x:c>
      <x:c r="M16" s="49" t="str">
        <x:v>resp_09e404345ebf0c53006a7c9166d6c08197a5abe3aac0aedd2c</x:v>
      </x:c>
      <x:c r="N16" s="60" t="n">
        <x:v>10967</x:v>
      </x:c>
      <x:c r="O16" s="60" t="n">
        <x:v>1153</x:v>
      </x:c>
      <x:c r="P16" s="60" t="n">
        <x:v>12120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e002e0f5ea449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RUN-TRF-022-20260812T152602525244Z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RUN-TRF-022-20260812T152602525244Z</x:v>
      </x:c>
      <x:c r="B5" s="45" t="str">
        <x:v>TRF-022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RUN-TRF-022-20260812T152602525244Z</x:v>
      </x:c>
      <x:c r="B6" s="47" t="str">
        <x:v>TRF-022</x:v>
      </x:c>
      <x:c r="C6" s="47" t="str">
        <x:v>bowRakeAtQuarterBreadth</x:v>
      </x:c>
      <x:c r="D6" s="48" t="str">
        <x:v>https://w3id.org/nltl-benchmark/vocab#bowRakeAtQuarterBreadth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RUN-TRF-022-20260812T152602525244Z</x:v>
      </x:c>
      <x:c r="B7" s="47" t="str">
        <x:v>TRF-022</x:v>
      </x:c>
      <x:c r="C7" s="47" t="str">
        <x:v>clampedHullGeometryTerm</x:v>
      </x:c>
      <x:c r="D7" s="48" t="str">
        <x:v>https://w3id.org/nltl-benchmark/vocab#clampedHullGeometryTerm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RUN-TRF-022-20260812T152602525244Z</x:v>
      </x:c>
      <x:c r="B8" s="47" t="str">
        <x:v>TRF-022</x:v>
      </x:c>
      <x:c r="C8" s="47" t="str">
        <x:v>coefficientC3</x:v>
      </x:c>
      <x:c r="D8" s="48" t="str">
        <x:v>https://w3id.org/nltl-benchmark/vocab#coefficientC3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https://w3id.org/nltl-benchmark/vocab#kilogramPerSquareMetreSquareSecondUnit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RUN-TRF-022-20260812T152602525244Z</x:v>
      </x:c>
      <x:c r="B9" s="47" t="str">
        <x:v>TRF-022</x:v>
      </x:c>
      <x:c r="C9" s="47" t="str">
        <x:v>coefficientC4</x:v>
      </x:c>
      <x:c r="D9" s="48" t="str">
        <x:v>https://w3id.org/nltl-benchmark/vocab#coefficientC4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https://w3id.org/nltl-benchmark/vocab#kilogramPerSquareMetreSquareSecondUnit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RUN-TRF-022-20260812T152602525244Z</x:v>
      </x:c>
      <x:c r="B10" s="47" t="str">
        <x:v>TRF-022</x:v>
      </x:c>
      <x:c r="C10" s="47" t="str">
        <x:v>coefficientC5</x:v>
      </x:c>
      <x:c r="D10" s="48" t="str">
        <x:v>https://w3id.org/nltl-benchmark/vocab#coefficientC5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https://w3id.org/nltl-benchmark/vocab#kilogramPerSquareSecondUnit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RUN-TRF-022-20260812T152602525244Z</x:v>
      </x:c>
      <x:c r="B11" s="47" t="str">
        <x:v>TRF-022</x:v>
      </x:c>
      <x:c r="C11" s="47" t="str">
        <x:v>coefficientF1</x:v>
      </x:c>
      <x:c r="D11" s="48" t="str">
        <x:v>https://w3id.org/nltl-benchmark/vocab#coefficientF1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http://qudt.org/vocab/unit/N-PER-M2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RUN-TRF-022-20260812T152602525244Z</x:v>
      </x:c>
      <x:c r="B12" s="47" t="str">
        <x:v>TRF-022</x:v>
      </x:c>
      <x:c r="C12" s="47" t="str">
        <x:v>coefficientF2</x:v>
      </x:c>
      <x:c r="D12" s="48" t="str">
        <x:v>https://w3id.org/nltl-benchmark/vocab#coefficientF2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RUN-TRF-022-20260812T152602525244Z</x:v>
      </x:c>
      <x:c r="B13" s="47" t="str">
        <x:v>TRF-022</x:v>
      </x:c>
      <x:c r="C13" s="47" t="str">
        <x:v>coefficientF3</x:v>
      </x:c>
      <x:c r="D13" s="48" t="str">
        <x:v>https://w3id.org/nltl-benchmark/vocab#coefficientF3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RUN-TRF-022-20260812T152602525244Z</x:v>
      </x:c>
      <x:c r="B14" s="47" t="str">
        <x:v>TRF-022</x:v>
      </x:c>
      <x:c r="C14" s="47" t="str">
        <x:v>coefficientF4</x:v>
      </x:c>
      <x:c r="D14" s="48" t="str">
        <x:v>https://w3id.org/nltl-benchmark/vocab#coefficientF4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http://qudt.org/vocab/unit/N-PER-M2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RUN-TRF-022-20260812T152602525244Z</x:v>
      </x:c>
      <x:c r="B15" s="47" t="str">
        <x:v>TRF-022</x:v>
      </x:c>
      <x:c r="C15" s="47" t="str">
        <x:v>coefficientG1</x:v>
      </x:c>
      <x:c r="D15" s="48" t="str">
        <x:v>https://w3id.org/nltl-benchmark/vocab#coefficientG1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RUN-TRF-022-20260812T152602525244Z</x:v>
      </x:c>
      <x:c r="B16" s="47" t="str">
        <x:v>TRF-022</x:v>
      </x:c>
      <x:c r="C16" s="47" t="str">
        <x:v>coefficientG2</x:v>
      </x:c>
      <x:c r="D16" s="48" t="str">
        <x:v>https://w3id.org/nltl-benchmark/vocab#coefficientG2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http://qudt.org/vocab/unit/N-PER-M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RUN-TRF-022-20260812T152602525244Z</x:v>
      </x:c>
      <x:c r="B17" s="47" t="str">
        <x:v>TRF-022</x:v>
      </x:c>
      <x:c r="C17" s="47" t="str">
        <x:v>coefficientG3</x:v>
      </x:c>
      <x:c r="D17" s="48" t="str">
        <x:v>https://w3id.org/nltl-benchmark/vocab#coefficientG3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https://w3id.org/nltl-benchmark/vocab#newtonPerMetreToPowerOnePointFiveUnit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RUN-TRF-022-20260812T152602525244Z</x:v>
      </x:c>
      <x:c r="B18" s="47" t="str">
        <x:v>TRF-022</x:v>
      </x:c>
      <x:c r="C18" s="47" t="str">
        <x:v>constructionStageDate</x:v>
      </x:c>
      <x:c r="D18" s="48" t="str">
        <x:v>https://w3id.org/nltl-benchmark/vocab#constructionStageDate</x:v>
      </x:c>
      <x:c r="E18" s="47" t="str">
        <x:v>DatatypeProperty</x:v>
      </x:c>
      <x:c r="F18" s="47" t="str">
        <x:v>xsd:date</x:v>
      </x:c>
      <x:c r="G18" s="47" t="str">
        <x:v>http://www.w3.org/2001/XMLSchema#date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RUN-TRF-022-20260812T152602525244Z</x:v>
      </x:c>
      <x:c r="B19" s="47" t="str">
        <x:v>TRF-022</x:v>
      </x:c>
      <x:c r="C19" s="47" t="str">
        <x:v>flareAngle</x:v>
      </x:c>
      <x:c r="D19" s="48" t="str">
        <x:v>https://w3id.org/nltl-benchmark/vocab#flareAngle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http://qudt.org/vocab/unit/DEG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RUN-TRF-022-20260812T152602525244Z</x:v>
      </x:c>
      <x:c r="B20" s="47" t="str">
        <x:v>TRF-022</x:v>
      </x:c>
      <x:c r="C20" s="47" t="str">
        <x:v>hasComponent</x:v>
      </x:c>
      <x:c r="D20" s="48" t="str">
        <x:v>https://w3id.org/nltl-benchmark/vocab#hasComponent</x:v>
      </x:c>
      <x:c r="E20" s="47" t="str">
        <x:v>ObjectProperty</x:v>
      </x:c>
      <x:c r="F20" s="47" t="str"/>
      <x:c r="G20" s="47" t="str">
        <x:v>https://w3id.org/nltl-benchmark/vocab#shipComponent</x:v>
      </x:c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7" t="str">
        <x:v>RUN-TRF-022-20260812T152602525244Z</x:v>
      </x:c>
      <x:c r="B21" s="47" t="str">
        <x:v>TRF-022</x:v>
      </x:c>
      <x:c r="C21" s="47" t="str">
        <x:v>iceClassDraught</x:v>
      </x:c>
      <x:c r="D21" s="48" t="str">
        <x:v>https://w3id.org/nltl-benchmark/vocab#iceClassDraught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RUN-TRF-022-20260812T152602525244Z</x:v>
      </x:c>
      <x:c r="B22" s="47" t="str">
        <x:v>TRF-022</x:v>
      </x:c>
      <x:c r="C22" s="47" t="str">
        <x:v>kilogramPerSquareMetreSquareSecondUnit</x:v>
      </x:c>
      <x:c r="D22" s="48" t="str">
        <x:v>https://w3id.org/nltl-benchmark/vocab#kilogramPerSquareMetreSquareSecondUnit</x:v>
      </x:c>
      <x:c r="E22" s="47" t="str">
        <x:v>NamedIndividual</x:v>
      </x:c>
      <x:c r="F22" s="47" t="str"/>
      <x:c r="G22" s="47" t="str">
        <x:v>http://qudt.org/schema/qudt/Unit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RUN-TRF-022-20260812T152602525244Z</x:v>
      </x:c>
      <x:c r="B23" s="47" t="str">
        <x:v>TRF-022</x:v>
      </x:c>
      <x:c r="C23" s="47" t="str">
        <x:v>kilogramPerSquareSecondUnit</x:v>
      </x:c>
      <x:c r="D23" s="48" t="str">
        <x:v>https://w3id.org/nltl-benchmark/vocab#kilogramPerSquareSecondUnit</x:v>
      </x:c>
      <x:c r="E23" s="47" t="str">
        <x:v>NamedIndividual</x:v>
      </x:c>
      <x:c r="F23" s="47" t="str"/>
      <x:c r="G23" s="47" t="str">
        <x:v>http://qudt.org/schema/qudt/Unit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RUN-TRF-022-20260812T152602525244Z</x:v>
      </x:c>
      <x:c r="B24" s="47" t="str">
        <x:v>TRF-022</x:v>
      </x:c>
      <x:c r="C24" s="47" t="str">
        <x:v>newtonPerMetreToPowerOnePointFiveUnit</x:v>
      </x:c>
      <x:c r="D24" s="48" t="str">
        <x:v>https://w3id.org/nltl-benchmark/vocab#newtonPerMetreToPowerOnePointFiveUnit</x:v>
      </x:c>
      <x:c r="E24" s="47" t="str">
        <x:v>NamedIndividual</x:v>
      </x:c>
      <x:c r="F24" s="47" t="str"/>
      <x:c r="G24" s="47" t="str">
        <x:v>http://qudt.org/schema/qudt/Unit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RUN-TRF-022-20260812T152602525244Z</x:v>
      </x:c>
      <x:c r="B25" s="47" t="str">
        <x:v>TRF-022</x:v>
      </x:c>
      <x:c r="C25" s="47" t="str">
        <x:v>ship</x:v>
      </x:c>
      <x:c r="D25" s="48" t="str">
        <x:v>https://w3id.org/nltl-benchmark/vocab#ship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RUN-TRF-022-20260812T152602525244Z</x:v>
      </x:c>
      <x:c r="B26" s="47" t="str">
        <x:v>TRF-022</x:v>
      </x:c>
      <x:c r="C26" s="47" t="str">
        <x:v>shipBreadth</x:v>
      </x:c>
      <x:c r="D26" s="48" t="str">
        <x:v>https://w3id.org/nltl-benchmark/vocab#shipBreadth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RUN-TRF-022-20260812T152602525244Z</x:v>
      </x:c>
      <x:c r="B27" s="47" t="str">
        <x:v>TRF-022</x:v>
      </x:c>
      <x:c r="C27" s="47" t="str">
        <x:v>shipComponent</x:v>
      </x:c>
      <x:c r="D27" s="48" t="str">
        <x:v>https://w3id.org/nltl-benchmark/vocab#shipComponent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RUN-TRF-022-20260812T152602525244Z</x:v>
      </x:c>
      <x:c r="B28" s="47" t="str">
        <x:v>TRF-022</x:v>
      </x:c>
      <x:c r="C28" s="47" t="str">
        <x:v>shipLength</x:v>
      </x:c>
      <x:c r="D28" s="48" t="str">
        <x:v>https://w3id.org/nltl-benchmark/vocab#shipLength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9" t="str">
        <x:v>RUN-TRF-022-20260812T152602525244Z</x:v>
      </x:c>
      <x:c r="B29" s="49" t="str">
        <x:v>TRF-022</x:v>
      </x:c>
      <x:c r="C29" s="49" t="str">
        <x:v>waterlineAngleAtQuarterBreadth</x:v>
      </x:c>
      <x:c r="D29" s="50" t="str">
        <x:v>https://w3id.org/nltl-benchmark/vocab#waterlineAngleAtQuarterBreadth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http://qudt.org/vocab/unit/DEG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616fed735da4d5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RUN-TRF-022-20260812T152602525244Z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RUN-TRF-022-20260812T152602525244Z</x:v>
      </x:c>
      <x:c r="B5" s="45" t="str">
        <x:v>TRF-022</x:v>
      </x:c>
      <x:c r="C5" s="45" t="str">
        <x:v>FS-CALC-02</x:v>
      </x:c>
      <x:c r="D5" s="45" t="str">
        <x:v>comparison_calculation</x:v>
      </x:c>
      <x:c r="E5" s="97" t="n">
        <x:v>0.04918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RUN-TRF-022-20260812T152602525244Z</x:v>
      </x:c>
      <x:c r="B6" s="49" t="str">
        <x:v>TRF-022</x:v>
      </x:c>
      <x:c r="C6" s="49" t="str">
        <x:v>FS-QTY-01</x:v>
      </x:c>
      <x:c r="D6" s="49" t="str">
        <x:v>qudt_quantity</x:v>
      </x:c>
      <x:c r="E6" s="98" t="n">
        <x:v>0.032787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b0774e1e35417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4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RUN-TRF-022-20260812T152602525244Z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RUN-TRF-022-20260812T152602525244Z</x:v>
      </x:c>
      <x:c r="B5" s="45" t="str">
        <x:v>TRF-022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https://w3id.org/nltl-benchmark/vocab#bowRakeAtQuarterBreadth | https://w3id.org/nltl-benchmark/vocab#clampedHullGeometryTerm | https://w3id.org/nltl-benchmark/vocab#coefficientC3 | https://w3id.org/nltl-benchmark/vocab#coefficientC4 | https://w3id.org/nltl-benchmark/vocab#coefficientC5 | https://w3id.org/nltl-benchmark/vocab#flareAngle | https://w3id.org/nltl-benchmark/vocab#iceClassDraught | https://w3id.org/nltl-benchmark/vocab#kilogramPerSquareMetreSquareSecondUnit | https://w3id.org/nltl-benchmark/vocab#kilogramPerSquareSecondUnit | https://w3id.org/nltl-benchmark/vocab#ship | https://w3id.org/nltl-benchmark/vocab#shipBreadth | https://w3id.org/nltl-benchmark/vocab#shipLength | https://w3id.org/nltl-benchmark/vocab#waterlineAngleAtQuarterBreadth</x:v>
      </x:c>
      <x:c r="O5" s="46" t="str"/>
      <x:c r="P5" s="46" t="str"/>
      <x:c r="Q5" s="46" t="str"/>
    </x:row>
    <x:row r="6">
      <x:c r="A6" s="47" t="str">
        <x:v>RUN-TRF-022-20260812T152602525244Z</x:v>
      </x:c>
      <x:c r="B6" s="47" t="str">
        <x:v>TRF-022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0</x:v>
      </x:c>
      <x:c r="J6" s="85" t="b">
        <x:v>1</x:v>
      </x:c>
      <x:c r="K6" s="103" t="b">
        <x:v>1</x:v>
      </x:c>
      <x:c r="L6" s="48" t="str">
        <x:v>Unapproved external/generated IRI(s): http://www.w3.org/2005/xpath-functions/math#</x:v>
      </x:c>
      <x:c r="M6" s="48" t="str"/>
      <x:c r="N6" s="48" t="str">
        <x:v>https://w3id.org/nltl-benchmark/vocab#bowRakeAtQuarterBreadth | https://w3id.org/nltl-benchmark/vocab#clampedHullGeometryTerm | https://w3id.org/nltl-benchmark/vocab#coefficientC3 | https://w3id.org/nltl-benchmark/vocab#coefficientC4 | https://w3id.org/nltl-benchmark/vocab#coefficientC5 | https://w3id.org/nltl-benchmark/vocab#flareAngle | https://w3id.org/nltl-benchmark/vocab#iceClassDraught | https://w3id.org/nltl-benchmark/vocab#kilogramPerSquareMetreSquareSecondUnit | https://w3id.org/nltl-benchmark/vocab#kilogramPerSquareSecondUnit | https://w3id.org/nltl-benchmark/vocab#ship | https://w3id.org/nltl-benchmark/vocab#shipBreadth | https://w3id.org/nltl-benchmark/vocab#shipLength | https://w3id.org/nltl-benchmark/vocab#waterlineAngleAtQuarterBreadth</x:v>
      </x:c>
      <x:c r="O6" s="48" t="str"/>
      <x:c r="P6" s="48" t="str"/>
      <x:c r="Q6" s="48" t="str">
        <x:v>http://www.w3.org/2005/xpath-functions/math#</x:v>
      </x:c>
    </x:row>
    <x:row r="7">
      <x:c r="A7" s="49" t="str">
        <x:v>RUN-TRF-022-20260812T152602525244Z</x:v>
      </x:c>
      <x:c r="B7" s="49" t="str">
        <x:v>TRF-022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https://w3id.org/nltl-benchmark/vocab#bowRakeAtQuarterBreadth | https://w3id.org/nltl-benchmark/vocab#clampedHullGeometryTerm | https://w3id.org/nltl-benchmark/vocab#coefficientC3 | https://w3id.org/nltl-benchmark/vocab#coefficientC4 | https://w3id.org/nltl-benchmark/vocab#coefficientC5 | https://w3id.org/nltl-benchmark/vocab#flareAngle | https://w3id.org/nltl-benchmark/vocab#iceClassDraught | https://w3id.org/nltl-benchmark/vocab#kilogramPerSquareMetreSquareSecondUnit | https://w3id.org/nltl-benchmark/vocab#kilogramPerSquareSecondUnit | https://w3id.org/nltl-benchmark/vocab#shipBreadth | https://w3id.org/nltl-benchmark/vocab#shipLength | https://w3id.org/nltl-benchmark/vocab#waterlineAngleAtQuarterBreadth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b46f83f1d8ea411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RUN-TRF-022-20260812T152602525244Z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RUN-TRF-022-20260812T152602525244Z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RUN-TRF-022-20260812T152602525244Z</x:v>
      </x:c>
      <x:c r="B5" s="45" t="str">
        <x:v>TRF-022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9aef9393a5b7f7122ebbbcc5d99f655b3e06b6724dee27e02efdc202c73cdac6</x:v>
      </x:c>
      <x:c r="G5" s="58" t="n">
        <x:v>26101</x:v>
      </x:c>
    </x:row>
    <x:row r="6">
      <x:c r="A6" s="47" t="str">
        <x:v>RUN-TRF-022-20260812T152602525244Z</x:v>
      </x:c>
      <x:c r="B6" s="47" t="str">
        <x:v>TRF-022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b3f0b8442b38fbb8d60a5d87523b7af936a7f6135137d8d96e692b25d68b6949</x:v>
      </x:c>
      <x:c r="G6" s="59" t="n">
        <x:v>5347</x:v>
      </x:c>
    </x:row>
    <x:row r="7">
      <x:c r="A7" s="47" t="str">
        <x:v>RUN-TRF-022-20260812T152602525244Z</x:v>
      </x:c>
      <x:c r="B7" s="47" t="str">
        <x:v>TRF-022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00896d67c566939aa12f9880d476c0f2ceb8e48f599478b689a33bb0a4aead2f</x:v>
      </x:c>
      <x:c r="G7" s="59" t="n">
        <x:v>33973</x:v>
      </x:c>
    </x:row>
    <x:row r="8">
      <x:c r="A8" s="47" t="str">
        <x:v>RUN-TRF-022-20260812T152602525244Z</x:v>
      </x:c>
      <x:c r="B8" s="47" t="str">
        <x:v>TRF-022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d599565ef6928b4f0400f603ee92a4708b4e0564a90f562882b3926f67edd9df</x:v>
      </x:c>
      <x:c r="G8" s="59" t="n">
        <x:v>7154</x:v>
      </x:c>
    </x:row>
    <x:row r="9">
      <x:c r="A9" s="47" t="str">
        <x:v>RUN-TRF-022-20260812T152602525244Z</x:v>
      </x:c>
      <x:c r="B9" s="47" t="str">
        <x:v>TRF-022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a9d7b1fc57e43661f4f69ab9c406ac8880f83d761e02d686f7f957fadf6554a2</x:v>
      </x:c>
      <x:c r="G9" s="59" t="n">
        <x:v>7129</x:v>
      </x:c>
    </x:row>
    <x:row r="10">
      <x:c r="A10" s="47" t="str">
        <x:v>RUN-TRF-022-20260812T152602525244Z</x:v>
      </x:c>
      <x:c r="B10" s="47" t="str">
        <x:v>TRF-022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6f29d46ca49e4bcedb9eb335184d1d14d38da63e13667856d06bed1cd569d05b</x:v>
      </x:c>
      <x:c r="G10" s="59" t="n">
        <x:v>1217</x:v>
      </x:c>
    </x:row>
    <x:row r="11">
      <x:c r="A11" s="47" t="str">
        <x:v>RUN-TRF-022-20260812T152602525244Z</x:v>
      </x:c>
      <x:c r="B11" s="47" t="str">
        <x:v>TRF-022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f350d086d67e96f7198ccd392d9fd5db1f487bbfc4cba65c9ec90ace90ccfaed</x:v>
      </x:c>
      <x:c r="G11" s="59" t="n">
        <x:v>40817</x:v>
      </x:c>
    </x:row>
    <x:row r="12">
      <x:c r="A12" s="47" t="str">
        <x:v>RUN-TRF-022-20260812T152602525244Z</x:v>
      </x:c>
      <x:c r="B12" s="47" t="str">
        <x:v>TRF-022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f529f80d291f8487a1829cd021279728b0ef54286a439bdc3171ba6b17ceb609</x:v>
      </x:c>
      <x:c r="G12" s="59" t="n">
        <x:v>544</x:v>
      </x:c>
    </x:row>
    <x:row r="13">
      <x:c r="A13" s="47" t="str">
        <x:v>RUN-TRF-022-20260812T152602525244Z</x:v>
      </x:c>
      <x:c r="B13" s="47" t="str">
        <x:v>TRF-022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bb966a950a0710af0a1af697ac8d691ad68d5142c10fdcb0547f831883fcd437</x:v>
      </x:c>
      <x:c r="G13" s="59" t="n">
        <x:v>34452</x:v>
      </x:c>
    </x:row>
    <x:row r="14">
      <x:c r="A14" s="47" t="str">
        <x:v>RUN-TRF-022-20260812T152602525244Z</x:v>
      </x:c>
      <x:c r="B14" s="47" t="str">
        <x:v>TRF-022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63fd55f9fd184c2a7dd5f15d99795f9bdcb6707f0f90981d9b73cd2f1144522f</x:v>
      </x:c>
      <x:c r="G14" s="59" t="n">
        <x:v>9005</x:v>
      </x:c>
    </x:row>
    <x:row r="15">
      <x:c r="A15" s="47" t="str">
        <x:v>RUN-TRF-022-20260812T152602525244Z</x:v>
      </x:c>
      <x:c r="B15" s="47" t="str">
        <x:v>TRF-022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a004b3b9f9336348fc7f33047dad06acb34cd1fd83db353a7a0d733357a14838</x:v>
      </x:c>
      <x:c r="G15" s="59" t="n">
        <x:v>8980</x:v>
      </x:c>
    </x:row>
    <x:row r="16">
      <x:c r="A16" s="47" t="str">
        <x:v>RUN-TRF-022-20260812T152602525244Z</x:v>
      </x:c>
      <x:c r="B16" s="47" t="str">
        <x:v>TRF-022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cb3cb342ee3f5049d5e53d91dd59a6bcc8524e1b08a7aa014e172ca5cb8a5779</x:v>
      </x:c>
      <x:c r="G16" s="59" t="n">
        <x:v>1365</x:v>
      </x:c>
    </x:row>
    <x:row r="17">
      <x:c r="A17" s="47" t="str">
        <x:v>RUN-TRF-022-20260812T152602525244Z</x:v>
      </x:c>
      <x:c r="B17" s="47" t="str">
        <x:v>TRF-022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ab3ea27dfe00a9a0650fb96ba15ed6510a7daf05a3b27e3d17b3125acc664cf4</x:v>
      </x:c>
      <x:c r="G17" s="59" t="n">
        <x:v>42892</x:v>
      </x:c>
    </x:row>
    <x:row r="18">
      <x:c r="A18" s="47" t="str">
        <x:v>RUN-TRF-022-20260812T152602525244Z</x:v>
      </x:c>
      <x:c r="B18" s="47" t="str">
        <x:v>TRF-022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3eea3ac607b23be6199a65e3f6fffd873b22df2ff5c61eb1fe7ea09e9ca2eb63</x:v>
      </x:c>
      <x:c r="G18" s="59" t="n">
        <x:v>721</x:v>
      </x:c>
    </x:row>
    <x:row r="19">
      <x:c r="A19" s="47" t="str">
        <x:v>RUN-TRF-022-20260812T152602525244Z</x:v>
      </x:c>
      <x:c r="B19" s="47" t="str">
        <x:v>TRF-022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afc07d0045cb2d614fd4111587a6e97dc151cb716cf07e4a40a552dc81b9553e</x:v>
      </x:c>
      <x:c r="G19" s="59" t="n">
        <x:v>35283</x:v>
      </x:c>
    </x:row>
    <x:row r="20">
      <x:c r="A20" s="47" t="str">
        <x:v>RUN-TRF-022-20260812T152602525244Z</x:v>
      </x:c>
      <x:c r="B20" s="47" t="str">
        <x:v>TRF-022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df8974908232246ff73a77886cee915fccc9fae647d00eea337fac455a149e0a</x:v>
      </x:c>
      <x:c r="G20" s="59" t="n">
        <x:v>7350</x:v>
      </x:c>
    </x:row>
    <x:row r="21">
      <x:c r="A21" s="47" t="str">
        <x:v>RUN-TRF-022-20260812T152602525244Z</x:v>
      </x:c>
      <x:c r="B21" s="47" t="str">
        <x:v>TRF-022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7db4e30b38b5df97d11e7f3d807960c14855728b6231f9cb5abe51e070fc5694</x:v>
      </x:c>
      <x:c r="G21" s="59" t="n">
        <x:v>7325</x:v>
      </x:c>
    </x:row>
    <x:row r="22">
      <x:c r="A22" s="47" t="str">
        <x:v>RUN-TRF-022-20260812T152602525244Z</x:v>
      </x:c>
      <x:c r="B22" s="47" t="str">
        <x:v>TRF-022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207562a50c04d62c2b1a967b5f432aea30230224838f81666d39651ea797bebc</x:v>
      </x:c>
      <x:c r="G22" s="59" t="n">
        <x:v>1167</x:v>
      </x:c>
    </x:row>
    <x:row r="23">
      <x:c r="A23" s="47" t="str">
        <x:v>RUN-TRF-022-20260812T152602525244Z</x:v>
      </x:c>
      <x:c r="B23" s="47" t="str">
        <x:v>TRF-022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aa50a740ea73339c3d3caf3e5a7dcdab87c82a9b3480640c1bd2c7a80ad800c4</x:v>
      </x:c>
      <x:c r="G23" s="59" t="n">
        <x:v>40753</x:v>
      </x:c>
    </x:row>
    <x:row r="24">
      <x:c r="A24" s="49" t="str">
        <x:v>RUN-TRF-022-20260812T152602525244Z</x:v>
      </x:c>
      <x:c r="B24" s="49" t="str">
        <x:v>TRF-022</x:v>
      </x:c>
      <x:c r="C24" s="60" t="n">
        <x:v>3</x:v>
      </x:c>
      <x:c r="D24" s="49" t="str">
        <x:v>validator_raw_response</x:v>
      </x:c>
      <x:c r="E24" s="50" t="str">
        <x:v>artifacts/attempt_03/validator_raw_01.txt</x:v>
      </x:c>
      <x:c r="F24" s="49" t="str">
        <x:v>2356b5b7375e0a05c36e7c97cd17ae508d3cdd3c908b8c2ab8bc7d42919498fa</x:v>
      </x:c>
      <x:c r="G24" s="60" t="n">
        <x:v>505</x:v>
      </x:c>
    </x:row>
  </x:sheetData>
  <x:pageMargins left="0.7" right="0.7" top="0.75" bottom="0.75" header="0.3" footer="0.3"/>
  <x:tableParts count="1">
    <x:tablePart xmlns:r="http://schemas.openxmlformats.org/officeDocument/2006/relationships" r:id="Ra0f8524d13804f5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RUN-TRF-022-20260812T152602525244Z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RUN-TRF-022-20260812T152602525244Z</x:v>
      </x:c>
      <x:c r="B5" s="69" t="str">
        <x:v>TRF-022</x:v>
      </x:c>
      <x:c r="C5" s="71" t="n">
        <x:v>3</x:v>
      </x:c>
      <x:c r="D5" s="69" t="str">
        <x:v>MAX_ATTEMPTS_REACHED</x:v>
      </x:c>
      <x:c r="E5" s="73" t="str">
        <x:v>Add the missing psi constraint: compare flareAngle with atan(tan(bowRakeAtQuarterBreadth)/sin(waterlineAngleAtQuarterBreadth)), including correct degree/radian conversion and handling both sin(alpha)=0 and undefined tan(phi2). Replace the output-presence targets with the proper new-ship applicability/ship target so a relevant ship missing all outputs cannot pass. Retain the correctly encoded C3/C4/C5 constants and inclusive [5,20] clamp.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e45d34457a40e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RUN-TRF-022-20260812T152602525244Z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