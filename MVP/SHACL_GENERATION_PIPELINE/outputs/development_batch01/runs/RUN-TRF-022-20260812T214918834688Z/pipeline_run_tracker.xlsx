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6dc7c699040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b4f04933ed4e26"/>
    <x:sheet xmlns:r="http://schemas.openxmlformats.org/officeDocument/2006/relationships" name="README" sheetId="2" r:id="Rb0b5b4c49f704711"/>
    <x:sheet xmlns:r="http://schemas.openxmlformats.org/officeDocument/2006/relationships" name="REGULATION_QUEUE" sheetId="3" r:id="R749293dcdc6e447c"/>
    <x:sheet xmlns:r="http://schemas.openxmlformats.org/officeDocument/2006/relationships" name="RUNS" sheetId="4" r:id="R7deb4387da304e21"/>
    <x:sheet xmlns:r="http://schemas.openxmlformats.org/officeDocument/2006/relationships" name="ITERATIONS" sheetId="5" r:id="R1c720a057e374d29"/>
    <x:sheet xmlns:r="http://schemas.openxmlformats.org/officeDocument/2006/relationships" name="API_CALLS" sheetId="6" r:id="Rff975ecbd60644e5"/>
    <x:sheet xmlns:r="http://schemas.openxmlformats.org/officeDocument/2006/relationships" name="TERM_RETRIEVAL" sheetId="7" r:id="R1d00b328888e404e"/>
    <x:sheet xmlns:r="http://schemas.openxmlformats.org/officeDocument/2006/relationships" name="FEW_SHOT_SELECTION" sheetId="8" r:id="Rf3a417bd75654407"/>
    <x:sheet xmlns:r="http://schemas.openxmlformats.org/officeDocument/2006/relationships" name="VALIDATION" sheetId="9" r:id="Rf0a9a062832f4d3d"/>
    <x:sheet xmlns:r="http://schemas.openxmlformats.org/officeDocument/2006/relationships" name="VOCAB_MATCHES" sheetId="10" r:id="R9c5c0a1d6dae4b65"/>
    <x:sheet xmlns:r="http://schemas.openxmlformats.org/officeDocument/2006/relationships" name="ARTIFACTS" sheetId="11" r:id="R3227be6617f6492f"/>
    <x:sheet xmlns:r="http://schemas.openxmlformats.org/officeDocument/2006/relationships" name="UNRESOLVED" sheetId="12" r:id="R5144c638c8494ae8"/>
    <x:sheet xmlns:r="http://schemas.openxmlformats.org/officeDocument/2006/relationships" name="RDF_TEST_QUEUE" sheetId="13" r:id="Rd086f75eaffc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7e55b7d3584fcd" /><Relationship Type="http://schemas.openxmlformats.org/officeDocument/2006/relationships/theme" Target="/xl/theme/theme1.xml" Id="Rbfdbb50db85047e4" /><Relationship Type="http://schemas.microsoft.com/office/2022/11/relationships/FeaturePropertyBag" Target="/xl/featurePropertyBag/featurePropertyBag.xml" Id="R4f34ef4f92d94d98" /><Relationship Type="http://schemas.openxmlformats.org/officeDocument/2006/relationships/sharedStrings" Target="/xl/sharedStrings.xml" Id="R7c9f58ed74904f19" /><Relationship Type="http://schemas.openxmlformats.org/officeDocument/2006/relationships/worksheet" Target="/xl/worksheets/sheet1.xml" Id="Rf5b4f04933ed4e26" /><Relationship Type="http://schemas.openxmlformats.org/officeDocument/2006/relationships/worksheet" Target="/xl/worksheets/sheet2.xml" Id="Rb0b5b4c49f704711" /><Relationship Type="http://schemas.openxmlformats.org/officeDocument/2006/relationships/worksheet" Target="/xl/worksheets/sheet3.xml" Id="R749293dcdc6e447c" /><Relationship Type="http://schemas.openxmlformats.org/officeDocument/2006/relationships/worksheet" Target="/xl/worksheets/sheet4.xml" Id="R7deb4387da304e21" /><Relationship Type="http://schemas.openxmlformats.org/officeDocument/2006/relationships/worksheet" Target="/xl/worksheets/sheet5.xml" Id="R1c720a057e374d29" /><Relationship Type="http://schemas.openxmlformats.org/officeDocument/2006/relationships/worksheet" Target="/xl/worksheets/sheet6.xml" Id="Rff975ecbd60644e5" /><Relationship Type="http://schemas.openxmlformats.org/officeDocument/2006/relationships/worksheet" Target="/xl/worksheets/sheet7.xml" Id="R1d00b328888e404e" /><Relationship Type="http://schemas.openxmlformats.org/officeDocument/2006/relationships/worksheet" Target="/xl/worksheets/sheet8.xml" Id="Rf3a417bd75654407" /><Relationship Type="http://schemas.openxmlformats.org/officeDocument/2006/relationships/worksheet" Target="/xl/worksheets/sheet9.xml" Id="Rf0a9a062832f4d3d" /><Relationship Type="http://schemas.openxmlformats.org/officeDocument/2006/relationships/worksheet" Target="/xl/worksheets/sheet10.xml" Id="R9c5c0a1d6dae4b65" /><Relationship Type="http://schemas.openxmlformats.org/officeDocument/2006/relationships/worksheet" Target="/xl/worksheets/sheet11.xml" Id="R3227be6617f6492f" /><Relationship Type="http://schemas.openxmlformats.org/officeDocument/2006/relationships/worksheet" Target="/xl/worksheets/sheet12.xml" Id="R5144c638c8494ae8" /><Relationship Type="http://schemas.openxmlformats.org/officeDocument/2006/relationships/worksheet" Target="/xl/worksheets/sheet13.xml" Id="Rd086f75eaffc4b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ba4087b10542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20b0a3fc0146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183b5ace5f4f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21a58c7fb34f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5d6bc7e4ae49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8bba45784b44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1fa454cead46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942f5cd96641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28032f3ac641f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3c68cdd8df84e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RUN-TRF-022-20260812T214918834688Z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34177.95183333333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RUN-TRF-022-20260812T214918834688Z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ba4087b10542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RUN-TRF-022-20260812T214918834688Z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MAX_ATTEMPTS_REACHED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20b0a3fc0146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RUN-TRF-022-20260812T214918834688Z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SESSION-BATCH-20260812T213004809282Z</x:v>
      </x:c>
      <x:c r="B5" s="69" t="str">
        <x:v>RUN-TRF-022-20260812T214918834688Z</x:v>
      </x:c>
      <x:c r="C5" s="69" t="str">
        <x:v>TRF-022</x:v>
      </x:c>
      <x:c r="D5" s="70" t="n">
        <x:v>46246.90924577546</x:v>
      </x:c>
      <x:c r="E5" s="70" t="n">
        <x:v>46246.91163451389</x:v>
      </x:c>
      <x:c r="F5" s="69" t="str">
        <x:v>0.6.0-dev-batch01</x:v>
      </x:c>
      <x:c r="G5" s="69" t="str">
        <x:v>VOCAB-DEV-2026-08-13-BATCH01-R6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Remove the unapproved http://www.w3.org/2005/xpath-functions/math# namespace and math:sin/math:cos/math:tan/math:atan calls. Re-encode the flare-angle equation using only evaluator-approved bounded formula functionality, preserving the degree/radian conversions, singular-input rejection, and tolerance-based decimal comparison; do not replace the equation with presence-only checks. Resubmit only after deterministic vocabulary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183b5ace5f4f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RUN-TRF-022-20260812T214918834688Z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RUN-TRF-022-20260812T214918834688Z</x:v>
      </x:c>
      <x:c r="B5" s="45" t="str">
        <x:v>TRF-022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Do not target every ship unconditionally: encode the verified new-ship applicability from constructionStageDate and its verified cutoff, without inventing an applicability boolean. Also replace the presence-only flareAngle check with a bounded formula constraint that validates psi = atan(tan(phi2)/sin(alpha)), including degree/radian handling, invalid-denominator guards, and a numeric tolerance rather than exact decimal equality. Keep all operands and results on the ship owner; the existing clamped geometry calculation and coefficient constants may remain.</x:v>
      </x:c>
      <x:c r="I5" s="84" t="n">
        <x:v>62580.654</x:v>
      </x:c>
      <x:c r="J5" s="84" t="n">
        <x:v>15682.286</x:v>
      </x:c>
    </x:row>
    <x:row r="6">
      <x:c r="A6" s="47" t="str">
        <x:v>RUN-TRF-022-20260812T214918834688Z</x:v>
      </x:c>
      <x:c r="B6" s="47" t="str">
        <x:v>TRF-022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Embedded SHACL-SPARQL parse error: Expected SelectQuery, found 'BIND'  (at char 849), (line:16, col:17)
Semantic validator feedback: Repair the embedded flare-angle SHACL-SPARQL query: bare SIN, COS, TAN, and ATAN calls are not accepted by the supplied SPARQL parser, causing the reported parse failure at BIND. Re-express the trigonometric calculation using parser-supported function syntax while preserving psi = atan(tan(phi2)/sin(alpha)), degree/radian conversion, singular-input rejection, and tolerance comparison, then rerun deterministic validation.</x:v>
      </x:c>
      <x:c r="I6" s="86" t="n">
        <x:v>51815.033</x:v>
      </x:c>
      <x:c r="J6" s="86" t="n">
        <x:v>14939.075</x:v>
      </x:c>
    </x:row>
    <x:row r="7">
      <x:c r="A7" s="49" t="str">
        <x:v>RUN-TRF-022-20260812T214918834688Z</x:v>
      </x:c>
      <x:c r="B7" s="49" t="str">
        <x:v>TRF-022</x:v>
      </x:c>
      <x:c r="C7" s="60" t="n">
        <x:v>3</x:v>
      </x:c>
      <x:c r="D7" s="87" t="b">
        <x:v>0</x:v>
      </x:c>
      <x:c r="E7" s="87" t="b">
        <x:v>0</x:v>
      </x:c>
      <x:c r="F7" s="87" t="b">
        <x:v>0</x:v>
      </x:c>
      <x:c r="G7" s="49" t="str">
        <x:v>REVISE_STATIC_GATE</x:v>
      </x:c>
      <x:c r="H7" s="50" t="str">
        <x:v>Deterministic validation prevents acceptance. Fix: Unapproved external/generated IRI(s): http://www.w3.org/2005/xpath-functions/math#
Semantic validator feedback: Remove the unapproved http://www.w3.org/2005/xpath-functions/math# namespace and math:sin/math:cos/math:tan/math:atan calls. Re-encode the flare-angle equation using only evaluator-approved bounded formula functionality, preserving the degree/radian conversions, singular-input rejection, and tolerance-based decimal comparison; do not replace the equation with presence-only checks. Resubmit only after deterministic vocabulary validation is valid.</x:v>
      </x:c>
      <x:c r="I7" s="88" t="n">
        <x:v>50876.211</x:v>
      </x:c>
      <x:c r="J7" s="88" t="n">
        <x:v>9179.103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21a58c7fb34f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RUN-TRF-022-20260812T214918834688Z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RUN-TRF-022-20260812T214918834688Z</x:v>
      </x:c>
      <x:c r="C5" s="45" t="str">
        <x:v>TRF-022</x:v>
      </x:c>
      <x:c r="D5" s="92" t="n">
        <x:v>46246.90997010416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62579.32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RUN-TRF-022-20260812T214918834688Z</x:v>
      </x:c>
      <x:c r="C6" s="47" t="str">
        <x:v>TRF-022</x:v>
      </x:c>
      <x:c r="D6" s="93" t="n">
        <x:v>46246.90997011574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62580.654</x:v>
      </x:c>
      <x:c r="L6" s="85" t="b">
        <x:v>0</x:v>
      </x:c>
      <x:c r="M6" s="47" t="str">
        <x:v>resp_0e27eb265c0e4df2006a7cea5f124c81939577be0ac140c896</x:v>
      </x:c>
      <x:c r="N6" s="59" t="n">
        <x:v>10217</x:v>
      </x:c>
      <x:c r="O6" s="59" t="n">
        <x:v>5836</x:v>
      </x:c>
      <x:c r="P6" s="59" t="n">
        <x:v>16053</x:v>
      </x:c>
    </x:row>
    <x:row r="7">
      <x:c r="A7" s="47" t="str">
        <x:v>EVT-000041</x:v>
      </x:c>
      <x:c r="B7" s="47" t="str">
        <x:v>RUN-TRF-022-20260812T214918834688Z</x:v>
      </x:c>
      <x:c r="C7" s="47" t="str">
        <x:v>TRF-022</x:v>
      </x:c>
      <x:c r="D7" s="93" t="n">
        <x:v>46246.91015614583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15681.455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RUN-TRF-022-20260812T214918834688Z</x:v>
      </x:c>
      <x:c r="C8" s="47" t="str">
        <x:v>TRF-022</x:v>
      </x:c>
      <x:c r="D8" s="93" t="n">
        <x:v>46246.910156157406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15682.286</x:v>
      </x:c>
      <x:c r="L8" s="85" t="b">
        <x:v>0</x:v>
      </x:c>
      <x:c r="M8" s="47" t="str">
        <x:v>resp_0484622f390dec80006a7cea9df4c48195b6c1beb5ff470706</x:v>
      </x:c>
      <x:c r="N8" s="59" t="n">
        <x:v>14616</x:v>
      </x:c>
      <x:c r="O8" s="59" t="n">
        <x:v>1120</x:v>
      </x:c>
      <x:c r="P8" s="59" t="n">
        <x:v>15736</x:v>
      </x:c>
    </x:row>
    <x:row r="9">
      <x:c r="A9" s="47" t="str">
        <x:v>EVT-000047</x:v>
      </x:c>
      <x:c r="B9" s="47" t="str">
        <x:v>RUN-TRF-022-20260812T214918834688Z</x:v>
      </x:c>
      <x:c r="C9" s="47" t="str">
        <x:v>TRF-022</x:v>
      </x:c>
      <x:c r="D9" s="93" t="n">
        <x:v>46246.910755868055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51813.018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RUN-TRF-022-20260812T214918834688Z</x:v>
      </x:c>
      <x:c r="C10" s="47" t="str">
        <x:v>TRF-022</x:v>
      </x:c>
      <x:c r="D10" s="93" t="n">
        <x:v>46246.9107558912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51815.033</x:v>
      </x:c>
      <x:c r="L10" s="85" t="b">
        <x:v>0</x:v>
      </x:c>
      <x:c r="M10" s="47" t="str">
        <x:v>resp_0c8f942a7765c088006a7ceaada234819395fdfa1136f66aa2</x:v>
      </x:c>
      <x:c r="N10" s="59" t="n">
        <x:v>10317</x:v>
      </x:c>
      <x:c r="O10" s="59" t="n">
        <x:v>5438</x:v>
      </x:c>
      <x:c r="P10" s="59" t="n">
        <x:v>15755</x:v>
      </x:c>
    </x:row>
    <x:row r="11">
      <x:c r="A11" s="47" t="str">
        <x:v>EVT-000055</x:v>
      </x:c>
      <x:c r="B11" s="47" t="str">
        <x:v>RUN-TRF-022-20260812T214918834688Z</x:v>
      </x:c>
      <x:c r="C11" s="47" t="str">
        <x:v>TRF-022</x:v>
      </x:c>
      <x:c r="D11" s="93" t="n">
        <x:v>46246.91093377315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14937.277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RUN-TRF-022-20260812T214918834688Z</x:v>
      </x:c>
      <x:c r="C12" s="47" t="str">
        <x:v>TRF-022</x:v>
      </x:c>
      <x:c r="D12" s="93" t="n">
        <x:v>46246.910933796295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14939.075</x:v>
      </x:c>
      <x:c r="L12" s="85" t="b">
        <x:v>0</x:v>
      </x:c>
      <x:c r="M12" s="47" t="str">
        <x:v>resp_0e1e5669d778f785006a7ceae1e1e48195a76bbe1d387fec09</x:v>
      </x:c>
      <x:c r="N12" s="59" t="n">
        <x:v>15392</x:v>
      </x:c>
      <x:c r="O12" s="59" t="n">
        <x:v>1057</x:v>
      </x:c>
      <x:c r="P12" s="59" t="n">
        <x:v>16449</x:v>
      </x:c>
    </x:row>
    <x:row r="13">
      <x:c r="A13" s="47" t="str">
        <x:v>EVT-000061</x:v>
      </x:c>
      <x:c r="B13" s="47" t="str">
        <x:v>RUN-TRF-022-20260812T214918834688Z</x:v>
      </x:c>
      <x:c r="C13" s="47" t="str">
        <x:v>TRF-022</x:v>
      </x:c>
      <x:c r="D13" s="93" t="n">
        <x:v>46246.91152267361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50874.568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RUN-TRF-022-20260812T214918834688Z</x:v>
      </x:c>
      <x:c r="C14" s="47" t="str">
        <x:v>TRF-022</x:v>
      </x:c>
      <x:c r="D14" s="93" t="n">
        <x:v>46246.91152269676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50876.211</x:v>
      </x:c>
      <x:c r="L14" s="85" t="b">
        <x:v>0</x:v>
      </x:c>
      <x:c r="M14" s="47" t="str">
        <x:v>resp_0971aa9415ec176c006a7ceaf0d5008197a013b8cb0e3addcf</x:v>
      </x:c>
      <x:c r="N14" s="59" t="n">
        <x:v>10457</x:v>
      </x:c>
      <x:c r="O14" s="59" t="n">
        <x:v>5072</x:v>
      </x:c>
      <x:c r="P14" s="59" t="n">
        <x:v>15529</x:v>
      </x:c>
    </x:row>
    <x:row r="15">
      <x:c r="A15" s="47" t="str">
        <x:v>EVT-000069</x:v>
      </x:c>
      <x:c r="B15" s="47" t="str">
        <x:v>RUN-TRF-022-20260812T214918834688Z</x:v>
      </x:c>
      <x:c r="C15" s="47" t="str">
        <x:v>TRF-022</x:v>
      </x:c>
      <x:c r="D15" s="93" t="n">
        <x:v>46246.91163445602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9177.422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EVT-000070</x:v>
      </x:c>
      <x:c r="B16" s="49" t="str">
        <x:v>RUN-TRF-022-20260812T214918834688Z</x:v>
      </x:c>
      <x:c r="C16" s="49" t="str">
        <x:v>TRF-022</x:v>
      </x:c>
      <x:c r="D16" s="94" t="n">
        <x:v>46246.91163447917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9179.103</x:v>
      </x:c>
      <x:c r="L16" s="87" t="b">
        <x:v>0</x:v>
      </x:c>
      <x:c r="M16" s="49" t="str">
        <x:v>resp_0289eae6ca06b85a006a7ceb2430fc8190880ff9e5c1a60a8d</x:v>
      </x:c>
      <x:c r="N16" s="60" t="n">
        <x:v>15647</x:v>
      </x:c>
      <x:c r="O16" s="60" t="n">
        <x:v>615</x:v>
      </x:c>
      <x:c r="P16" s="60" t="n">
        <x:v>16262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5d6bc7e4ae49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RUN-TRF-022-20260812T214918834688Z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RUN-TRF-022-20260812T214918834688Z</x:v>
      </x:c>
      <x:c r="B5" s="45" t="str">
        <x:v>TRF-022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RUN-TRF-022-20260812T214918834688Z</x:v>
      </x:c>
      <x:c r="B6" s="47" t="str">
        <x:v>TRF-022</x:v>
      </x:c>
      <x:c r="C6" s="47" t="str">
        <x:v>bowRakeAtQuarterBreadth</x:v>
      </x:c>
      <x:c r="D6" s="48" t="str">
        <x:v>https://w3id.org/nltl-benchmark/vocab#bowRakeAtQuarterBreadth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RUN-TRF-022-20260812T214918834688Z</x:v>
      </x:c>
      <x:c r="B7" s="47" t="str">
        <x:v>TRF-022</x:v>
      </x:c>
      <x:c r="C7" s="47" t="str">
        <x:v>clampedHullGeometryTerm</x:v>
      </x:c>
      <x:c r="D7" s="48" t="str">
        <x:v>https://w3id.org/nltl-benchmark/vocab#clampedHullGeometryTerm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RUN-TRF-022-20260812T214918834688Z</x:v>
      </x:c>
      <x:c r="B8" s="47" t="str">
        <x:v>TRF-022</x:v>
      </x:c>
      <x:c r="C8" s="47" t="str">
        <x:v>coefficientC3</x:v>
      </x:c>
      <x:c r="D8" s="48" t="str">
        <x:v>https://w3id.org/nltl-benchmark/vocab#coefficientC3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https://w3id.org/nltl-benchmark/vocab#kilogramPerSquareMetreSquareSecondUnit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RUN-TRF-022-20260812T214918834688Z</x:v>
      </x:c>
      <x:c r="B9" s="47" t="str">
        <x:v>TRF-022</x:v>
      </x:c>
      <x:c r="C9" s="47" t="str">
        <x:v>coefficientC4</x:v>
      </x:c>
      <x:c r="D9" s="48" t="str">
        <x:v>https://w3id.org/nltl-benchmark/vocab#coefficientC4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https://w3id.org/nltl-benchmark/vocab#kilogramPerSquareMetreSquareSecondUnit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RUN-TRF-022-20260812T214918834688Z</x:v>
      </x:c>
      <x:c r="B10" s="47" t="str">
        <x:v>TRF-022</x:v>
      </x:c>
      <x:c r="C10" s="47" t="str">
        <x:v>coefficientC5</x:v>
      </x:c>
      <x:c r="D10" s="48" t="str">
        <x:v>https://w3id.org/nltl-benchmark/vocab#coefficientC5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https://w3id.org/nltl-benchmark/vocab#kilogramPerSquareSecondUnit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RUN-TRF-022-20260812T214918834688Z</x:v>
      </x:c>
      <x:c r="B11" s="47" t="str">
        <x:v>TRF-022</x:v>
      </x:c>
      <x:c r="C11" s="47" t="str">
        <x:v>coefficientF1</x:v>
      </x:c>
      <x:c r="D11" s="48" t="str">
        <x:v>https://w3id.org/nltl-benchmark/vocab#coefficientF1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RUN-TRF-022-20260812T214918834688Z</x:v>
      </x:c>
      <x:c r="B12" s="47" t="str">
        <x:v>TRF-022</x:v>
      </x:c>
      <x:c r="C12" s="47" t="str">
        <x:v>coefficientF2</x:v>
      </x:c>
      <x:c r="D12" s="48" t="str">
        <x:v>https://w3id.org/nltl-benchmark/vocab#coefficientF2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RUN-TRF-022-20260812T214918834688Z</x:v>
      </x:c>
      <x:c r="B13" s="47" t="str">
        <x:v>TRF-022</x:v>
      </x:c>
      <x:c r="C13" s="47" t="str">
        <x:v>coefficientF3</x:v>
      </x:c>
      <x:c r="D13" s="48" t="str">
        <x:v>https://w3id.org/nltl-benchmark/vocab#coefficientF3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RUN-TRF-022-20260812T214918834688Z</x:v>
      </x:c>
      <x:c r="B14" s="47" t="str">
        <x:v>TRF-022</x:v>
      </x:c>
      <x:c r="C14" s="47" t="str">
        <x:v>coefficientF4</x:v>
      </x:c>
      <x:c r="D14" s="48" t="str">
        <x:v>https://w3id.org/nltl-benchmark/vocab#coefficientF4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RUN-TRF-022-20260812T214918834688Z</x:v>
      </x:c>
      <x:c r="B15" s="47" t="str">
        <x:v>TRF-022</x:v>
      </x:c>
      <x:c r="C15" s="47" t="str">
        <x:v>coefficientG1</x:v>
      </x:c>
      <x:c r="D15" s="48" t="str">
        <x:v>https://w3id.org/nltl-benchmark/vocab#coefficientG1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RUN-TRF-022-20260812T214918834688Z</x:v>
      </x:c>
      <x:c r="B16" s="47" t="str">
        <x:v>TRF-022</x:v>
      </x:c>
      <x:c r="C16" s="47" t="str">
        <x:v>coefficientG2</x:v>
      </x:c>
      <x:c r="D16" s="48" t="str">
        <x:v>https://w3id.org/nltl-benchmark/vocab#coefficientG2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RUN-TRF-022-20260812T214918834688Z</x:v>
      </x:c>
      <x:c r="B17" s="47" t="str">
        <x:v>TRF-022</x:v>
      </x:c>
      <x:c r="C17" s="47" t="str">
        <x:v>coefficientG3</x:v>
      </x:c>
      <x:c r="D17" s="48" t="str">
        <x:v>https://w3id.org/nltl-benchmark/vocab#coefficientG3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https://w3id.org/nltl-benchmark/vocab#newtonPerMetreToPowerOnePointFiveUnit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RUN-TRF-022-20260812T214918834688Z</x:v>
      </x:c>
      <x:c r="B18" s="47" t="str">
        <x:v>TRF-022</x:v>
      </x:c>
      <x:c r="C18" s="47" t="str">
        <x:v>constructionStageDate</x:v>
      </x:c>
      <x:c r="D18" s="48" t="str">
        <x:v>https://w3id.org/nltl-benchmark/vocab#constructionStageDate</x:v>
      </x:c>
      <x:c r="E18" s="47" t="str">
        <x:v>DatatypeProperty</x:v>
      </x:c>
      <x:c r="F18" s="47" t="str">
        <x:v>xsd:date</x:v>
      </x:c>
      <x:c r="G18" s="47" t="str">
        <x:v>http://www.w3.org/2001/XMLSchema#date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RUN-TRF-022-20260812T214918834688Z</x:v>
      </x:c>
      <x:c r="B19" s="47" t="str">
        <x:v>TRF-022</x:v>
      </x:c>
      <x:c r="C19" s="47" t="str">
        <x:v>flareAngle</x:v>
      </x:c>
      <x:c r="D19" s="48" t="str">
        <x:v>https://w3id.org/nltl-benchmark/vocab#flareAngle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http://qudt.org/vocab/unit/DEG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RUN-TRF-022-20260812T214918834688Z</x:v>
      </x:c>
      <x:c r="B20" s="47" t="str">
        <x:v>TRF-022</x:v>
      </x:c>
      <x:c r="C20" s="47" t="str">
        <x:v>hasComponent</x:v>
      </x:c>
      <x:c r="D20" s="48" t="str">
        <x:v>https://w3id.org/nltl-benchmark/vocab#hasComponent</x:v>
      </x:c>
      <x:c r="E20" s="47" t="str">
        <x:v>ObjectProperty</x:v>
      </x:c>
      <x:c r="F20" s="47" t="str"/>
      <x:c r="G20" s="47" t="str">
        <x:v>https://w3id.org/nltl-benchmark/vocab#shipComponent</x:v>
      </x:c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RUN-TRF-022-20260812T214918834688Z</x:v>
      </x:c>
      <x:c r="B21" s="47" t="str">
        <x:v>TRF-022</x:v>
      </x:c>
      <x:c r="C21" s="47" t="str">
        <x:v>iceClassDraught</x:v>
      </x:c>
      <x:c r="D21" s="48" t="str">
        <x:v>https://w3id.org/nltl-benchmark/vocab#iceClassDraught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RUN-TRF-022-20260812T214918834688Z</x:v>
      </x:c>
      <x:c r="B22" s="47" t="str">
        <x:v>TRF-022</x:v>
      </x:c>
      <x:c r="C22" s="47" t="str">
        <x:v>kilogramPerSquareMetreSquareSecondUnit</x:v>
      </x:c>
      <x:c r="D22" s="48" t="str">
        <x:v>https://w3id.org/nltl-benchmark/vocab#kilogramPerSquareMetreSquareSecondUnit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RUN-TRF-022-20260812T214918834688Z</x:v>
      </x:c>
      <x:c r="B23" s="47" t="str">
        <x:v>TRF-022</x:v>
      </x:c>
      <x:c r="C23" s="47" t="str">
        <x:v>kilogramPerSquareSecondUnit</x:v>
      </x:c>
      <x:c r="D23" s="48" t="str">
        <x:v>https://w3id.org/nltl-benchmark/vocab#kilogramPerSquareSecondUnit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RUN-TRF-022-20260812T214918834688Z</x:v>
      </x:c>
      <x:c r="B24" s="47" t="str">
        <x:v>TRF-022</x:v>
      </x:c>
      <x:c r="C24" s="47" t="str">
        <x:v>newtonPerMetreToPowerOnePointFiveUnit</x:v>
      </x:c>
      <x:c r="D24" s="48" t="str">
        <x:v>https://w3id.org/nltl-benchmark/vocab#newtonPerMetreToPowerOnePointFiveUnit</x:v>
      </x:c>
      <x:c r="E24" s="47" t="str">
        <x:v>NamedIndividual</x:v>
      </x:c>
      <x:c r="F24" s="47" t="str"/>
      <x:c r="G24" s="47" t="str">
        <x:v>http://qudt.org/schema/qudt/Unit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RUN-TRF-022-20260812T214918834688Z</x:v>
      </x:c>
      <x:c r="B25" s="47" t="str">
        <x:v>TRF-022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RUN-TRF-022-20260812T214918834688Z</x:v>
      </x:c>
      <x:c r="B26" s="47" t="str">
        <x:v>TRF-022</x:v>
      </x:c>
      <x:c r="C26" s="47" t="str">
        <x:v>shipBreadth</x:v>
      </x:c>
      <x:c r="D26" s="48" t="str">
        <x:v>https://w3id.org/nltl-benchmark/vocab#shipBreadth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RUN-TRF-022-20260812T214918834688Z</x:v>
      </x:c>
      <x:c r="B27" s="47" t="str">
        <x:v>TRF-022</x:v>
      </x:c>
      <x:c r="C27" s="47" t="str">
        <x:v>shipComponent</x:v>
      </x:c>
      <x:c r="D27" s="48" t="str">
        <x:v>https://w3id.org/nltl-benchmark/vocab#shipComponent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RUN-TRF-022-20260812T214918834688Z</x:v>
      </x:c>
      <x:c r="B28" s="47" t="str">
        <x:v>TRF-022</x:v>
      </x:c>
      <x:c r="C28" s="47" t="str">
        <x:v>shipLength</x:v>
      </x:c>
      <x:c r="D28" s="48" t="str">
        <x:v>https://w3id.org/nltl-benchmark/vocab#shipLength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9" t="str">
        <x:v>RUN-TRF-022-20260812T214918834688Z</x:v>
      </x:c>
      <x:c r="B29" s="49" t="str">
        <x:v>TRF-022</x:v>
      </x:c>
      <x:c r="C29" s="49" t="str">
        <x:v>waterlineAngleAtQuarterBreadth</x:v>
      </x:c>
      <x:c r="D29" s="50" t="str">
        <x:v>https://w3id.org/nltl-benchmark/vocab#waterlineAngleAtQuarterBreadth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http://qudt.org/vocab/unit/DEG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8bba45784b44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RUN-TRF-022-20260812T214918834688Z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RUN-TRF-022-20260812T214918834688Z</x:v>
      </x:c>
      <x:c r="B5" s="45" t="str">
        <x:v>TRF-022</x:v>
      </x:c>
      <x:c r="C5" s="45" t="str">
        <x:v>FS-CALC-02</x:v>
      </x:c>
      <x:c r="D5" s="45" t="str">
        <x:v>comparison_calculation</x:v>
      </x:c>
      <x:c r="E5" s="97" t="n">
        <x:v>0.037037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RUN-TRF-022-20260812T214918834688Z</x:v>
      </x:c>
      <x:c r="B6" s="49" t="str">
        <x:v>TRF-022</x:v>
      </x:c>
      <x:c r="C6" s="49" t="str">
        <x:v>FS-QTY-01</x:v>
      </x:c>
      <x:c r="D6" s="49" t="str">
        <x:v>qudt_quantity</x:v>
      </x:c>
      <x:c r="E6" s="98" t="n">
        <x:v>0.024691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1fa454cead46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RUN-TRF-022-20260812T214918834688Z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RUN-TRF-022-20260812T214918834688Z</x:v>
      </x:c>
      <x:c r="B5" s="45" t="str">
        <x:v>TRF-022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https://w3id.org/nltl-benchmark/vocab#bowRakeAtQuarterBreadth | https://w3id.org/nltl-benchmark/vocab#clampedHullGeometryTerm | https://w3id.org/nltl-benchmark/vocab#coefficientC3 | https://w3id.org/nltl-benchmark/vocab#coefficientC4 | https://w3id.org/nltl-benchmark/vocab#coefficientC5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https://w3id.org/nltl-benchmark/vocab#flareAngle | https://w3id.org/nltl-benchmark/vocab#iceClassDraught | https://w3id.org/nltl-benchmark/vocab#kilogramPerSquareMetreSquareSecondUnit | https://w3id.org/nltl-benchmark/vocab#kilogramPerSquareSecondUnit | https://w3id.org/nltl-benchmark/vocab#newtonPerMetreToPowerOnePointFiveUnit | https://w3id.org/nltl-benchmark/vocab#ship | https://w3id.org/nltl-benchmark/vocab#shipBreadth | https://w3id.org/nltl-benchmark/vocab#shipLength | https://w3id.org/nltl-benchmark/vocab#waterlineAngleAtQuarterBreadth</x:v>
      </x:c>
      <x:c r="O5" s="46" t="str"/>
      <x:c r="P5" s="46" t="str"/>
      <x:c r="Q5" s="46" t="str"/>
    </x:row>
    <x:row r="6">
      <x:c r="A6" s="47" t="str">
        <x:v>RUN-TRF-022-20260812T214918834688Z</x:v>
      </x:c>
      <x:c r="B6" s="47" t="str">
        <x:v>TRF-022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Embedded SHACL-SPARQL parse error: Expected SelectQuery, found 'BIND'  (at char 849), (line:16, col:17)</x:v>
      </x:c>
      <x:c r="M6" s="48" t="str"/>
      <x:c r="N6" s="48" t="str">
        <x:v>https://w3id.org/nltl-benchmark/vocab#bowRakeAtQuarterBreadth | https://w3id.org/nltl-benchmark/vocab#clampedHullGeometryTerm | https://w3id.org/nltl-benchmark/vocab#coefficientC3 | https://w3id.org/nltl-benchmark/vocab#coefficientC4 | https://w3id.org/nltl-benchmark/vocab#coefficientC5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https://w3id.org/nltl-benchmark/vocab#constructionStageDate | https://w3id.org/nltl-benchmark/vocab#flareAngle | https://w3id.org/nltl-benchmark/vocab#iceClassDraught | https://w3id.org/nltl-benchmark/vocab#kilogramPerSquareMetreSquareSecondUnit | https://w3id.org/nltl-benchmark/vocab#kilogramPerSquareSecondUnit | https://w3id.org/nltl-benchmark/vocab#newtonPerMetreToPowerOnePointFiveUnit | https://w3id.org/nltl-benchmark/vocab#ship | https://w3id.org/nltl-benchmark/vocab#shipBreadth | https://w3id.org/nltl-benchmark/vocab#shipLength | https://w3id.org/nltl-benchmark/vocab#waterlineAngleAtQuarterBreadth</x:v>
      </x:c>
      <x:c r="O6" s="48" t="str"/>
      <x:c r="P6" s="48" t="str"/>
      <x:c r="Q6" s="48" t="str"/>
    </x:row>
    <x:row r="7">
      <x:c r="A7" s="49" t="str">
        <x:v>RUN-TRF-022-20260812T214918834688Z</x:v>
      </x:c>
      <x:c r="B7" s="49" t="str">
        <x:v>TRF-022</x:v>
      </x:c>
      <x:c r="C7" s="60" t="n">
        <x:v>3</x:v>
      </x:c>
      <x:c r="D7" s="87" t="b">
        <x:v>0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0</x:v>
      </x:c>
      <x:c r="J7" s="87" t="b">
        <x:v>1</x:v>
      </x:c>
      <x:c r="K7" s="104" t="b">
        <x:v>1</x:v>
      </x:c>
      <x:c r="L7" s="50" t="str">
        <x:v>Unapproved external/generated IRI(s): http://www.w3.org/2005/xpath-functions/math#</x:v>
      </x:c>
      <x:c r="M7" s="50" t="str"/>
      <x:c r="N7" s="50" t="str">
        <x:v>https://w3id.org/nltl-benchmark/vocab#bowRakeAtQuarterBreadth | https://w3id.org/nltl-benchmark/vocab#clampedHullGeometryTerm | https://w3id.org/nltl-benchmark/vocab#coefficientC3 | https://w3id.org/nltl-benchmark/vocab#coefficientC4 | https://w3id.org/nltl-benchmark/vocab#coefficientC5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https://w3id.org/nltl-benchmark/vocab#constructionStageDate | https://w3id.org/nltl-benchmark/vocab#flareAngle | https://w3id.org/nltl-benchmark/vocab#iceClassDraught | https://w3id.org/nltl-benchmark/vocab#kilogramPerSquareMetreSquareSecondUnit | https://w3id.org/nltl-benchmark/vocab#kilogramPerSquareSecondUnit | https://w3id.org/nltl-benchmark/vocab#newtonPerMetreToPowerOnePointFiveUnit | https://w3id.org/nltl-benchmark/vocab#ship | https://w3id.org/nltl-benchmark/vocab#shipBreadth | https://w3id.org/nltl-benchmark/vocab#shipLength | https://w3id.org/nltl-benchmark/vocab#waterlineAngleAtQuarterBreadth</x:v>
      </x:c>
      <x:c r="O7" s="50" t="str"/>
      <x:c r="P7" s="50" t="str"/>
      <x:c r="Q7" s="50" t="str">
        <x:v>http://www.w3.org/2005/xpath-functions/math#</x:v>
      </x:c>
    </x:row>
  </x:sheetData>
  <x:pageMargins left="0.7" right="0.7" top="0.75" bottom="0.75" header="0.3" footer="0.3"/>
  <x:tableParts count="1">
    <x:tablePart xmlns:r="http://schemas.openxmlformats.org/officeDocument/2006/relationships" r:id="R43942f5cd96641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RUN-TRF-022-20260812T214918834688Z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RUN-TRF-022-20260812T214918834688Z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RUN-TRF-022-20260812T214918834688Z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369daa09d29b8f5726282ac6490de2193e99634903c60322416872e856e719c6</x:v>
      </x:c>
      <x:c r="G5" s="58" t="n">
        <x:v>29916</x:v>
      </x:c>
    </x:row>
    <x:row r="6">
      <x:c r="A6" s="47" t="str">
        <x:v>RUN-TRF-022-20260812T214918834688Z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02ff74648f18cdeae46e21eaa8f59300f2ab2b30f86f0fd833ff60b0742f9aae</x:v>
      </x:c>
      <x:c r="G6" s="59" t="n">
        <x:v>5348</x:v>
      </x:c>
    </x:row>
    <x:row r="7">
      <x:c r="A7" s="47" t="str">
        <x:v>RUN-TRF-022-20260812T214918834688Z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5705fee57d4207b4b2c10f8d4e18e57fbedd3bbed4eec94d8105279cbd03ac0a</x:v>
      </x:c>
      <x:c r="G7" s="59" t="n">
        <x:v>39650</x:v>
      </x:c>
    </x:row>
    <x:row r="8">
      <x:c r="A8" s="47" t="str">
        <x:v>RUN-TRF-022-20260812T214918834688Z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7000a016d73d070978aa0e86d7b5b2c4eda2d96f4b6ac32b10f5d40796f7cfd5</x:v>
      </x:c>
      <x:c r="G8" s="59" t="n">
        <x:v>10430</x:v>
      </x:c>
    </x:row>
    <x:row r="9">
      <x:c r="A9" s="47" t="str">
        <x:v>RUN-TRF-022-20260812T214918834688Z</x:v>
      </x:c>
      <x:c r="B9" s="47" t="str">
        <x:v>TRF-022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7796fcd9ddbfb12b22879bc4ee982f7e7ba85fe4fcc2bbdb18fd6fb77b56eb02</x:v>
      </x:c>
      <x:c r="G9" s="59" t="n">
        <x:v>10405</x:v>
      </x:c>
    </x:row>
    <x:row r="10">
      <x:c r="A10" s="47" t="str">
        <x:v>RUN-TRF-022-20260812T214918834688Z</x:v>
      </x:c>
      <x:c r="B10" s="47" t="str">
        <x:v>TRF-022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119cdfa596948ade94f745557e6acefd6b0a9f1db5c151403f118d95fd0de6a7</x:v>
      </x:c>
      <x:c r="G10" s="59" t="n">
        <x:v>1713</x:v>
      </x:c>
    </x:row>
    <x:row r="11">
      <x:c r="A11" s="47" t="str">
        <x:v>RUN-TRF-022-20260812T214918834688Z</x:v>
      </x:c>
      <x:c r="B11" s="47" t="str">
        <x:v>TRF-022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0a38d6bdd8a9fbefe663739c5f171539b48ea8f04d10ec377f62e324db05765c</x:v>
      </x:c>
      <x:c r="G11" s="59" t="n">
        <x:v>52430</x:v>
      </x:c>
    </x:row>
    <x:row r="12">
      <x:c r="A12" s="47" t="str">
        <x:v>RUN-TRF-022-20260812T214918834688Z</x:v>
      </x:c>
      <x:c r="B12" s="47" t="str">
        <x:v>TRF-022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15e953c7e41198cf4a1d08325bb00246534f4377f8e881cff5392d12803268cf</x:v>
      </x:c>
      <x:c r="G12" s="59" t="n">
        <x:v>626</x:v>
      </x:c>
    </x:row>
    <x:row r="13">
      <x:c r="A13" s="47" t="str">
        <x:v>RUN-TRF-022-20260812T214918834688Z</x:v>
      </x:c>
      <x:c r="B13" s="47" t="str">
        <x:v>TRF-022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f926bd619ac96f102fb19ed0f15a761597a5eeebb122f9f1b94843031e1edf09</x:v>
      </x:c>
      <x:c r="G13" s="59" t="n">
        <x:v>40211</x:v>
      </x:c>
    </x:row>
    <x:row r="14">
      <x:c r="A14" s="47" t="str">
        <x:v>RUN-TRF-022-20260812T214918834688Z</x:v>
      </x:c>
      <x:c r="B14" s="47" t="str">
        <x:v>TRF-022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98f7ee4d52a310cae2753f55c7c275a7c757810f7074f74d6b0aa1eab2d92168</x:v>
      </x:c>
      <x:c r="G14" s="59" t="n">
        <x:v>12424</x:v>
      </x:c>
    </x:row>
    <x:row r="15">
      <x:c r="A15" s="47" t="str">
        <x:v>RUN-TRF-022-20260812T214918834688Z</x:v>
      </x:c>
      <x:c r="B15" s="47" t="str">
        <x:v>TRF-022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dc4d7462e64b6459e2ccd6516ebadf9deddea7fad76b03f1f597b1e6e9e4a6aa</x:v>
      </x:c>
      <x:c r="G15" s="59" t="n">
        <x:v>12399</x:v>
      </x:c>
    </x:row>
    <x:row r="16">
      <x:c r="A16" s="47" t="str">
        <x:v>RUN-TRF-022-20260812T214918834688Z</x:v>
      </x:c>
      <x:c r="B16" s="47" t="str">
        <x:v>TRF-022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226e035becdfc3fdc5cf11ddbe90619d77958194c87725ea2609b7a23c871f58</x:v>
      </x:c>
      <x:c r="G16" s="59" t="n">
        <x:v>1894</x:v>
      </x:c>
    </x:row>
    <x:row r="17">
      <x:c r="A17" s="47" t="str">
        <x:v>RUN-TRF-022-20260812T214918834688Z</x:v>
      </x:c>
      <x:c r="B17" s="47" t="str">
        <x:v>TRF-022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8b728e023db869fe50e2124285fb87fb401944a33bbc892eee7b04a313d1f7d5</x:v>
      </x:c>
      <x:c r="G17" s="59" t="n">
        <x:v>55038</x:v>
      </x:c>
    </x:row>
    <x:row r="18">
      <x:c r="A18" s="47" t="str">
        <x:v>RUN-TRF-022-20260812T214918834688Z</x:v>
      </x:c>
      <x:c r="B18" s="47" t="str">
        <x:v>TRF-022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b4b727812149b2bacc2c376c5704ec157d4190555496202bf817e5088497164e</x:v>
      </x:c>
      <x:c r="G18" s="59" t="n">
        <x:v>488</x:v>
      </x:c>
    </x:row>
    <x:row r="19">
      <x:c r="A19" s="47" t="str">
        <x:v>RUN-TRF-022-20260812T214918834688Z</x:v>
      </x:c>
      <x:c r="B19" s="47" t="str">
        <x:v>TRF-022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3923b466e1c062b60e62bcdf35baf648cafa709d05fab93e803f12e1b181ee4c</x:v>
      </x:c>
      <x:c r="G19" s="59" t="n">
        <x:v>40827</x:v>
      </x:c>
    </x:row>
    <x:row r="20">
      <x:c r="A20" s="47" t="str">
        <x:v>RUN-TRF-022-20260812T214918834688Z</x:v>
      </x:c>
      <x:c r="B20" s="47" t="str">
        <x:v>TRF-022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bce5c59ba18fb4842f9c91e2695e6feb94d840c3e0243a7f7badd71218b4eb58</x:v>
      </x:c>
      <x:c r="G20" s="59" t="n">
        <x:v>15022</x:v>
      </x:c>
    </x:row>
    <x:row r="21">
      <x:c r="A21" s="47" t="str">
        <x:v>RUN-TRF-022-20260812T214918834688Z</x:v>
      </x:c>
      <x:c r="B21" s="47" t="str">
        <x:v>TRF-022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cab96894f6d1480503b821ee11e1827cb0e81dc95ec9b861ce19f35a3ce26e8a</x:v>
      </x:c>
      <x:c r="G21" s="59" t="n">
        <x:v>14997</x:v>
      </x:c>
    </x:row>
    <x:row r="22">
      <x:c r="A22" s="47" t="str">
        <x:v>RUN-TRF-022-20260812T214918834688Z</x:v>
      </x:c>
      <x:c r="B22" s="47" t="str">
        <x:v>TRF-022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e0bec9c8b5d42bd6c375dfe00946712b92a2bb9fa141dd7b5fc025b56f2e5d7c</x:v>
      </x:c>
      <x:c r="G22" s="59" t="n">
        <x:v>1928</x:v>
      </x:c>
    </x:row>
    <x:row r="23">
      <x:c r="A23" s="47" t="str">
        <x:v>RUN-TRF-022-20260812T214918834688Z</x:v>
      </x:c>
      <x:c r="B23" s="47" t="str">
        <x:v>TRF-022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e02cc92cfac2d43775cb01dfea370c0a34366eb2dd2e5cda014ac0509d9fa06b</x:v>
      </x:c>
      <x:c r="G23" s="59" t="n">
        <x:v>57727</x:v>
      </x:c>
    </x:row>
    <x:row r="24">
      <x:c r="A24" s="49" t="str">
        <x:v>RUN-TRF-022-20260812T214918834688Z</x:v>
      </x:c>
      <x:c r="B24" s="49" t="str">
        <x:v>TRF-022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9a0349a22762d95a1187b058c7980874d954dae0b127bda804fc0564b6157f6f</x:v>
      </x:c>
      <x:c r="G24" s="60" t="n">
        <x:v>513</x:v>
      </x:c>
    </x:row>
  </x:sheetData>
  <x:pageMargins left="0.7" right="0.7" top="0.75" bottom="0.75" header="0.3" footer="0.3"/>
  <x:tableParts count="1">
    <x:tablePart xmlns:r="http://schemas.openxmlformats.org/officeDocument/2006/relationships" r:id="R8528032f3ac641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RUN-TRF-022-20260812T214918834688Z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RUN-TRF-022-20260812T214918834688Z</x:v>
      </x:c>
      <x:c r="B5" s="69" t="str">
        <x:v>TRF-022</x:v>
      </x:c>
      <x:c r="C5" s="71" t="n">
        <x:v>3</x:v>
      </x:c>
      <x:c r="D5" s="69" t="str">
        <x:v>MAX_ATTEMPTS_REACHED</x:v>
      </x:c>
      <x:c r="E5" s="73" t="str">
        <x:v>Remove the unapproved http://www.w3.org/2005/xpath-functions/math# namespace and math:sin/math:cos/math:tan/math:atan calls. Re-encode the flare-angle equation using only evaluator-approved bounded formula functionality, preserving the degree/radian conversions, singular-input rejection, and tolerance-based decimal comparison; do not replace the equation with presence-only checks. Resubmit only after deterministic vocabulary validation is valid.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c68cdd8df84e4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RUN-TRF-022-20260812T214918834688Z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