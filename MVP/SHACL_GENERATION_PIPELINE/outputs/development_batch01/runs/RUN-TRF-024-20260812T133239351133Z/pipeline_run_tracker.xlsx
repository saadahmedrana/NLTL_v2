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dbb4e5638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8ff5bf88dc4b12"/>
    <x:sheet xmlns:r="http://schemas.openxmlformats.org/officeDocument/2006/relationships" name="README" sheetId="2" r:id="R85b561158e9e4211"/>
    <x:sheet xmlns:r="http://schemas.openxmlformats.org/officeDocument/2006/relationships" name="REGULATION_QUEUE" sheetId="3" r:id="R2a0908ec1aa44eea"/>
    <x:sheet xmlns:r="http://schemas.openxmlformats.org/officeDocument/2006/relationships" name="RUNS" sheetId="4" r:id="Rab287a6d00a44b1c"/>
    <x:sheet xmlns:r="http://schemas.openxmlformats.org/officeDocument/2006/relationships" name="ITERATIONS" sheetId="5" r:id="Rd11e6fb38a5140a5"/>
    <x:sheet xmlns:r="http://schemas.openxmlformats.org/officeDocument/2006/relationships" name="API_CALLS" sheetId="6" r:id="R292b3512eeb9451f"/>
    <x:sheet xmlns:r="http://schemas.openxmlformats.org/officeDocument/2006/relationships" name="TERM_RETRIEVAL" sheetId="7" r:id="Re4378549be24436e"/>
    <x:sheet xmlns:r="http://schemas.openxmlformats.org/officeDocument/2006/relationships" name="FEW_SHOT_SELECTION" sheetId="8" r:id="Rc437c4a194da4a41"/>
    <x:sheet xmlns:r="http://schemas.openxmlformats.org/officeDocument/2006/relationships" name="VALIDATION" sheetId="9" r:id="R2a7d3851a2f840f8"/>
    <x:sheet xmlns:r="http://schemas.openxmlformats.org/officeDocument/2006/relationships" name="VOCAB_MATCHES" sheetId="10" r:id="R9a10ddf3fe414790"/>
    <x:sheet xmlns:r="http://schemas.openxmlformats.org/officeDocument/2006/relationships" name="ARTIFACTS" sheetId="11" r:id="Rffc2c772a53f427d"/>
    <x:sheet xmlns:r="http://schemas.openxmlformats.org/officeDocument/2006/relationships" name="UNRESOLVED" sheetId="12" r:id="Rfca74f0580c9437a"/>
    <x:sheet xmlns:r="http://schemas.openxmlformats.org/officeDocument/2006/relationships" name="RDF_TEST_QUEUE" sheetId="13" r:id="R6fb825b002a8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3f45a9de34379" /><Relationship Type="http://schemas.openxmlformats.org/officeDocument/2006/relationships/theme" Target="/xl/theme/theme1.xml" Id="R6c06ca6edf844acc" /><Relationship Type="http://schemas.microsoft.com/office/2022/11/relationships/FeaturePropertyBag" Target="/xl/featurePropertyBag/featurePropertyBag.xml" Id="Rcf9fd46ccede47e0" /><Relationship Type="http://schemas.openxmlformats.org/officeDocument/2006/relationships/sharedStrings" Target="/xl/sharedStrings.xml" Id="R9236abaedd414150" /><Relationship Type="http://schemas.openxmlformats.org/officeDocument/2006/relationships/worksheet" Target="/xl/worksheets/sheet1.xml" Id="R898ff5bf88dc4b12" /><Relationship Type="http://schemas.openxmlformats.org/officeDocument/2006/relationships/worksheet" Target="/xl/worksheets/sheet2.xml" Id="R85b561158e9e4211" /><Relationship Type="http://schemas.openxmlformats.org/officeDocument/2006/relationships/worksheet" Target="/xl/worksheets/sheet3.xml" Id="R2a0908ec1aa44eea" /><Relationship Type="http://schemas.openxmlformats.org/officeDocument/2006/relationships/worksheet" Target="/xl/worksheets/sheet4.xml" Id="Rab287a6d00a44b1c" /><Relationship Type="http://schemas.openxmlformats.org/officeDocument/2006/relationships/worksheet" Target="/xl/worksheets/sheet5.xml" Id="Rd11e6fb38a5140a5" /><Relationship Type="http://schemas.openxmlformats.org/officeDocument/2006/relationships/worksheet" Target="/xl/worksheets/sheet6.xml" Id="R292b3512eeb9451f" /><Relationship Type="http://schemas.openxmlformats.org/officeDocument/2006/relationships/worksheet" Target="/xl/worksheets/sheet7.xml" Id="Re4378549be24436e" /><Relationship Type="http://schemas.openxmlformats.org/officeDocument/2006/relationships/worksheet" Target="/xl/worksheets/sheet8.xml" Id="Rc437c4a194da4a41" /><Relationship Type="http://schemas.openxmlformats.org/officeDocument/2006/relationships/worksheet" Target="/xl/worksheets/sheet9.xml" Id="R2a7d3851a2f840f8" /><Relationship Type="http://schemas.openxmlformats.org/officeDocument/2006/relationships/worksheet" Target="/xl/worksheets/sheet10.xml" Id="R9a10ddf3fe414790" /><Relationship Type="http://schemas.openxmlformats.org/officeDocument/2006/relationships/worksheet" Target="/xl/worksheets/sheet11.xml" Id="Rffc2c772a53f427d" /><Relationship Type="http://schemas.openxmlformats.org/officeDocument/2006/relationships/worksheet" Target="/xl/worksheets/sheet12.xml" Id="Rfca74f0580c9437a" /><Relationship Type="http://schemas.openxmlformats.org/officeDocument/2006/relationships/worksheet" Target="/xl/worksheets/sheet13.xml" Id="R6fb825b002a840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26009527c34b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ac1d0ae1474b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d7b1dbb31441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0c9c5004a44f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57dc8bff4841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9f4fa4b641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956910a0e94d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3251ad56534f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e7b0d4468d41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003f45548424f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RUN-TRF-024-20260812T133239351133Z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18400.685250000002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RUN-TRF-024-20260812T133239351133Z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26009527c34b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RUN-TRF-024-20260812T133239351133Z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c1d0ae1474b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RUN-TRF-024-20260812T133239351133Z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RUN-TRF-024-20260812T133239351133Z</x:v>
      </x:c>
      <x:c r="C5" s="69" t="str">
        <x:v>TRF-024</x:v>
      </x:c>
      <x:c r="D5" s="70" t="n">
        <x:v>46246.56434435185</x:v>
      </x:c>
      <x:c r="E5" s="70" t="n">
        <x:v>46246.565196828706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applicability, deadline calculation, assessment boundary, and section 3.2.2 compliance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d7b1dbb31441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RUN-TRF-024-20260812T133239351133Z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RUN-TRF-024-20260812T133239351133Z</x:v>
      </x:c>
      <x:c r="B5" s="45" t="str">
        <x:v>TRF-024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 "2003-09-01"^^xsd:date)
    BIND(
        xsd:date(
            CONCAT(
                STR(xsd:integer(YEAR(?deliveryDate)) + 20),
                "-01-01"
            )
        )
        AS ?complianceDeadline
    )
    FILTER(?assessmentDate 
Semantic validator feedback: Replace `FILTER(?constructionDate &lt; "2003-09-01"^^xsd:date)` with the equivalent `FILTER("2003-09-01"^^xsd:date &gt; ?constructionDate)` so the deterministic vocabulary parser does not misread `&lt;` as the start of an external IRI. Preserve the strict pre-1-September-2003 boundary and rerun deterministic validation; no vocabulary matching is needed.</x:v>
      </x:c>
      <x:c r="I5" s="81" t="n">
        <x:v>19785.215</x:v>
      </x:c>
      <x:c r="J5" s="81" t="n">
        <x:v>9403.851</x:v>
      </x:c>
    </x:row>
    <x:row r="6">
      <x:c r="A6" s="49" t="str">
        <x:v>RUN-TRF-024-20260812T133239351133Z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applicability, deadline calculation, assessment boundary, and section 3.2.2 compliance evidence.</x:v>
      </x:c>
      <x:c r="I6" s="83" t="n">
        <x:v>37627.993</x:v>
      </x:c>
      <x:c r="J6" s="83" t="n">
        <x:v>6789.083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c9c5004a44f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RUN-TRF-024-20260812T133239351133Z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RUN-TRF-024-20260812T133239351133Z</x:v>
      </x:c>
      <x:c r="C5" s="45" t="str">
        <x:v>TRF-024</x:v>
      </x:c>
      <x:c r="D5" s="90" t="n">
        <x:v>46246.56457335648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19783.569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RUN-TRF-024-20260812T133239351133Z</x:v>
      </x:c>
      <x:c r="C6" s="47" t="str">
        <x:v>TRF-024</x:v>
      </x:c>
      <x:c r="D6" s="91" t="n">
        <x:v>46246.56457336806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19785.215</x:v>
      </x:c>
      <x:c r="L6" s="93" t="b">
        <x:v>0</x:v>
      </x:c>
      <x:c r="M6" s="47" t="str">
        <x:v>resp_0c9308e7a43b6eb8006a7c75f779d8819083ba56ddc43238a3</x:v>
      </x:c>
      <x:c r="N6" s="59" t="n">
        <x:v>6977</x:v>
      </x:c>
      <x:c r="O6" s="59" t="n">
        <x:v>1404</x:v>
      </x:c>
      <x:c r="P6" s="59" t="n">
        <x:v>8381</x:v>
      </x:c>
    </x:row>
    <x:row r="7">
      <x:c r="A7" s="47" t="str">
        <x:v>EVT-000035</x:v>
      </x:c>
      <x:c r="B7" s="47" t="str">
        <x:v>RUN-TRF-024-20260812T133239351133Z</x:v>
      </x:c>
      <x:c r="C7" s="47" t="str">
        <x:v>TRF-024</x:v>
      </x:c>
      <x:c r="D7" s="91" t="n">
        <x:v>46246.56468240741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9402.282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RUN-TRF-024-20260812T133239351133Z</x:v>
      </x:c>
      <x:c r="C8" s="47" t="str">
        <x:v>TRF-024</x:v>
      </x:c>
      <x:c r="D8" s="91" t="n">
        <x:v>46246.56468243056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9403.851</x:v>
      </x:c>
      <x:c r="L8" s="93" t="b">
        <x:v>0</x:v>
      </x:c>
      <x:c r="M8" s="47" t="str">
        <x:v>resp_053908e6d6dd7e58006a7c760b4e1c8194b05bfd8ca6465969</x:v>
      </x:c>
      <x:c r="N8" s="59" t="n">
        <x:v>7416</x:v>
      </x:c>
      <x:c r="O8" s="59" t="n">
        <x:v>504</x:v>
      </x:c>
      <x:c r="P8" s="59" t="n">
        <x:v>7920</x:v>
      </x:c>
    </x:row>
    <x:row r="9">
      <x:c r="A9" s="47" t="str">
        <x:v>EVT-000041</x:v>
      </x:c>
      <x:c r="B9" s="47" t="str">
        <x:v>RUN-TRF-024-20260812T133239351133Z</x:v>
      </x:c>
      <x:c r="C9" s="47" t="str">
        <x:v>TRF-024</x:v>
      </x:c>
      <x:c r="D9" s="91" t="n">
        <x:v>46246.565117962964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37626.181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RUN-TRF-024-20260812T133239351133Z</x:v>
      </x:c>
      <x:c r="C10" s="47" t="str">
        <x:v>TRF-024</x:v>
      </x:c>
      <x:c r="D10" s="91" t="n">
        <x:v>46246.56511798611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37627.993</x:v>
      </x:c>
      <x:c r="L10" s="93" t="b">
        <x:v>0</x:v>
      </x:c>
      <x:c r="M10" s="47" t="str">
        <x:v>resp_04bf06789098816b006a7c7614b39c81938a331f2199cbeaf4</x:v>
      </x:c>
      <x:c r="N10" s="59" t="n">
        <x:v>7172</x:v>
      </x:c>
      <x:c r="O10" s="59" t="n">
        <x:v>2456</x:v>
      </x:c>
      <x:c r="P10" s="59" t="n">
        <x:v>9628</x:v>
      </x:c>
    </x:row>
    <x:row r="11">
      <x:c r="A11" s="47" t="str">
        <x:v>EVT-000049</x:v>
      </x:c>
      <x:c r="B11" s="47" t="str">
        <x:v>RUN-TRF-024-20260812T133239351133Z</x:v>
      </x:c>
      <x:c r="C11" s="47" t="str">
        <x:v>TRF-024</x:v>
      </x:c>
      <x:c r="D11" s="91" t="n">
        <x:v>46246.56519674769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6787.308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RUN-TRF-024-20260812T133239351133Z</x:v>
      </x:c>
      <x:c r="C12" s="49" t="str">
        <x:v>TRF-024</x:v>
      </x:c>
      <x:c r="D12" s="94" t="n">
        <x:v>46246.56519677083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6789.083</x:v>
      </x:c>
      <x:c r="L12" s="82" t="b">
        <x:v>0</x:v>
      </x:c>
      <x:c r="M12" s="49" t="str">
        <x:v>resp_0a5d04d3e5fc0575006a7c763a574481909c78234df963548d</x:v>
      </x:c>
      <x:c r="N12" s="60" t="n">
        <x:v>7231</x:v>
      </x:c>
      <x:c r="O12" s="60" t="n">
        <x:v>416</x:v>
      </x:c>
      <x:c r="P12" s="60" t="n">
        <x:v>7647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7dc8bff4841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RUN-TRF-024-20260812T133239351133Z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RUN-TRF-024-20260812T133239351133Z</x:v>
      </x:c>
      <x:c r="B5" s="45" t="str">
        <x:v>TRF-024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RUN-TRF-024-20260812T133239351133Z</x:v>
      </x:c>
      <x:c r="B6" s="47" t="str">
        <x:v>TRF-024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RUN-TRF-024-20260812T133239351133Z</x:v>
      </x:c>
      <x:c r="B7" s="47" t="str">
        <x:v>TRF-024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RUN-TRF-024-20260812T133239351133Z</x:v>
      </x:c>
      <x:c r="B8" s="47" t="str">
        <x:v>TRF-024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RUN-TRF-024-20260812T133239351133Z</x:v>
      </x:c>
      <x:c r="B9" s="47" t="str">
        <x:v>TRF-024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RUN-TRF-024-20260812T133239351133Z</x:v>
      </x:c>
      <x:c r="B10" s="47" t="str">
        <x:v>TRF-024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RUN-TRF-024-20260812T133239351133Z</x:v>
      </x:c>
      <x:c r="B11" s="47" t="str">
        <x:v>TRF-024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RUN-TRF-024-20260812T133239351133Z</x:v>
      </x:c>
      <x:c r="B12" s="47" t="str">
        <x:v>TRF-024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RUN-TRF-024-20260812T133239351133Z</x:v>
      </x:c>
      <x:c r="B13" s="47" t="str">
        <x:v>TRF-024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RUN-TRF-024-20260812T133239351133Z</x:v>
      </x:c>
      <x:c r="B14" s="47" t="str">
        <x:v>TRF-024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RUN-TRF-024-20260812T133239351133Z</x:v>
      </x:c>
      <x:c r="B15" s="47" t="str">
        <x:v>TRF-024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RUN-TRF-024-20260812T133239351133Z</x:v>
      </x:c>
      <x:c r="B16" s="47" t="str">
        <x:v>TRF-024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RUN-TRF-024-20260812T133239351133Z</x:v>
      </x:c>
      <x:c r="B17" s="47" t="str">
        <x:v>TRF-024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RUN-TRF-024-20260812T133239351133Z</x:v>
      </x:c>
      <x:c r="B18" s="47" t="str">
        <x:v>TRF-024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RUN-TRF-024-20260812T133239351133Z</x:v>
      </x:c>
      <x:c r="B19" s="47" t="str">
        <x:v>TRF-024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RUN-TRF-024-20260812T133239351133Z</x:v>
      </x:c>
      <x:c r="B20" s="47" t="str">
        <x:v>TRF-024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RUN-TRF-024-20260812T133239351133Z</x:v>
      </x:c>
      <x:c r="B21" s="47" t="str">
        <x:v>TRF-024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RUN-TRF-024-20260812T133239351133Z</x:v>
      </x:c>
      <x:c r="B22" s="47" t="str">
        <x:v>TRF-024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RUN-TRF-024-20260812T133239351133Z</x:v>
      </x:c>
      <x:c r="B23" s="49" t="str">
        <x:v>TRF-024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9f4fa4b64140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RUN-TRF-024-20260812T133239351133Z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RUN-TRF-024-20260812T133239351133Z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RUN-TRF-024-20260812T133239351133Z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956910a0e94d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RUN-TRF-024-20260812T133239351133Z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RUN-TRF-024-20260812T133239351133Z</x:v>
      </x:c>
      <x:c r="B5" s="45" t="str">
        <x:v>TRF-024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 "2003-09-01"^^xsd:date)
    BIND(
        xsd:date(
            CONCAT(
                STR(xsd:integer(YEAR(?deliveryDate)) + 20),
                "-01-01"
            )
        )
        AS ?complianceDeadline
    )
    FILTER(?assessmentDate </x:v>
      </x:c>
      <x:c r="M5" s="46" t="str"/>
      <x:c r="N5" s="46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</x:v>
      </x:c>
      <x:c r="O5" s="46" t="str"/>
      <x:c r="P5" s="46" t="str"/>
      <x:c r="Q5" s="46" t="str">
        <x:v> "2003-09-01"^^xsd:date)
    BIND(
        xsd:date(
            CONCAT(
                STR(xsd:integer(YEAR(?deliveryDate)) + 20),
                "-01-01"
            )
        )
        AS ?complianceDeadline
    )
    FILTER(?assessmentDate </x:v>
      </x:c>
    </x:row>
    <x:row r="6">
      <x:c r="A6" s="49" t="str">
        <x:v>RUN-TRF-024-20260812T133239351133Z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b3251ad56534f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RUN-TRF-024-20260812T133239351133Z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RUN-TRF-024-20260812T133239351133Z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RUN-TRF-024-20260812T133239351133Z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3391689a09e6b23b59182db08a3f8d09bef666b4a3ddbd047d8e284298b0db3e</x:v>
      </x:c>
      <x:c r="G5" s="58" t="n">
        <x:v>20606</x:v>
      </x:c>
    </x:row>
    <x:row r="6">
      <x:c r="A6" s="47" t="str">
        <x:v>RUN-TRF-024-20260812T133239351133Z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RUN-TRF-024-20260812T133239351133Z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5551946c034da1d78ff5bf89dcff9116a3dc4960d4726f5994a1a4f6e4ba5568</x:v>
      </x:c>
      <x:c r="G7" s="59" t="n">
        <x:v>26839</x:v>
      </x:c>
    </x:row>
    <x:row r="8">
      <x:c r="A8" s="47" t="str">
        <x:v>RUN-TRF-024-20260812T133239351133Z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8a69da230a14e7ab7526b9ec760ce3d58e5ea23b735ace8dcd3e53b293085cb9</x:v>
      </x:c>
      <x:c r="G8" s="59" t="n">
        <x:v>1295</x:v>
      </x:c>
    </x:row>
    <x:row r="9">
      <x:c r="A9" s="47" t="str">
        <x:v>RUN-TRF-024-20260812T133239351133Z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628dbe5439df23020f115416ab1e5e6fbd20ee4fb34b243ebb8b30923f360c48</x:v>
      </x:c>
      <x:c r="G9" s="59" t="n">
        <x:v>1270</x:v>
      </x:c>
    </x:row>
    <x:row r="10">
      <x:c r="A10" s="47" t="str">
        <x:v>RUN-TRF-024-20260812T133239351133Z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66f7f5fe7c298d63004a3ec706ff03a288da583467b6743eb741ac0e2c2a50c5</x:v>
      </x:c>
      <x:c r="G10" s="59" t="n">
        <x:v>1541</x:v>
      </x:c>
    </x:row>
    <x:row r="11">
      <x:c r="A11" s="47" t="str">
        <x:v>RUN-TRF-024-20260812T133239351133Z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8fab320a54e78973017466f3a111ab3ef20c12a112ff9b729985730b3dd7eb1c</x:v>
      </x:c>
      <x:c r="G11" s="59" t="n">
        <x:v>27890</x:v>
      </x:c>
    </x:row>
    <x:row r="12">
      <x:c r="A12" s="47" t="str">
        <x:v>RUN-TRF-024-20260812T133239351133Z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13b66c1f3efd9bbe702575a4197270c8f80da3421ce482875423aa37953e669d</x:v>
      </x:c>
      <x:c r="G12" s="59" t="n">
        <x:v>414</x:v>
      </x:c>
    </x:row>
    <x:row r="13">
      <x:c r="A13" s="47" t="str">
        <x:v>RUN-TRF-024-20260812T133239351133Z</x:v>
      </x:c>
      <x:c r="B13" s="47" t="str">
        <x:v>TRF-024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5686d71d43d73de05f2c8f0b06b9c45912102b7ac15f664c082866cbb6e77f62</x:v>
      </x:c>
      <x:c r="G13" s="59" t="n">
        <x:v>27572</x:v>
      </x:c>
    </x:row>
    <x:row r="14">
      <x:c r="A14" s="47" t="str">
        <x:v>RUN-TRF-024-20260812T133239351133Z</x:v>
      </x:c>
      <x:c r="B14" s="47" t="str">
        <x:v>TRF-024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717d72cc2bbe86fd61c4d9360eddfe8ba67565bca4c2f128bf8ca7ccb3b2ce68</x:v>
      </x:c>
      <x:c r="G14" s="59" t="n">
        <x:v>1293</x:v>
      </x:c>
    </x:row>
    <x:row r="15">
      <x:c r="A15" s="47" t="str">
        <x:v>RUN-TRF-024-20260812T133239351133Z</x:v>
      </x:c>
      <x:c r="B15" s="47" t="str">
        <x:v>TRF-024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f91403158660323cef1215f52781db1fbca1292d794d9fa596be4c8f3f319c1f</x:v>
      </x:c>
      <x:c r="G15" s="59" t="n">
        <x:v>1268</x:v>
      </x:c>
    </x:row>
    <x:row r="16">
      <x:c r="A16" s="47" t="str">
        <x:v>RUN-TRF-024-20260812T133239351133Z</x:v>
      </x:c>
      <x:c r="B16" s="47" t="str">
        <x:v>TRF-024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3de777ce243048505c456aa8b8cfbbbfb045c07ff31ec0de530c32cf2c432f85</x:v>
      </x:c>
      <x:c r="G16" s="59" t="n">
        <x:v>953</x:v>
      </x:c>
    </x:row>
    <x:row r="17">
      <x:c r="A17" s="47" t="str">
        <x:v>RUN-TRF-024-20260812T133239351133Z</x:v>
      </x:c>
      <x:c r="B17" s="47" t="str">
        <x:v>TRF-024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543e1a5b4a843b4c9b687863462190d44926987805b1464adb1f61779e598957</x:v>
      </x:c>
      <x:c r="G17" s="59" t="n">
        <x:v>27292</x:v>
      </x:c>
    </x:row>
    <x:row r="18">
      <x:c r="A18" s="47" t="str">
        <x:v>RUN-TRF-024-20260812T133239351133Z</x:v>
      </x:c>
      <x:c r="B18" s="47" t="str">
        <x:v>TRF-024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aa3fee66228a550a08359f6913866911cb70fb216b670917a53ed420904a1d79</x:v>
      </x:c>
      <x:c r="G18" s="59" t="n">
        <x:v>216</x:v>
      </x:c>
    </x:row>
    <x:row r="19">
      <x:c r="A19" s="49" t="str">
        <x:v>RUN-TRF-024-20260812T133239351133Z</x:v>
      </x:c>
      <x:c r="B19" s="49" t="str">
        <x:v>TRF-024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f91403158660323cef1215f52781db1fbca1292d794d9fa596be4c8f3f319c1f</x:v>
      </x:c>
      <x:c r="G19" s="60" t="n">
        <x:v>1268</x:v>
      </x:c>
    </x:row>
  </x:sheetData>
  <x:pageMargins left="0.7" right="0.7" top="0.75" bottom="0.75" header="0.3" footer="0.3"/>
  <x:tableParts count="1">
    <x:tablePart xmlns:r="http://schemas.openxmlformats.org/officeDocument/2006/relationships" r:id="R17e7b0d4468d41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RUN-TRF-024-20260812T133239351133Z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RUN-TRF-024-20260812T133239351133Z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RUN-TRF-024-20260812T133239351133Z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03f45548424f08"/>
  </x:tableParts>
</x:worksheet>
</file>