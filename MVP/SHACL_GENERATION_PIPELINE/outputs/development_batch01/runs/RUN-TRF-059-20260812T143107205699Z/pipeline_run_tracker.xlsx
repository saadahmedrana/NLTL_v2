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f28d1d9ef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eb128b55fa40f3"/>
    <x:sheet xmlns:r="http://schemas.openxmlformats.org/officeDocument/2006/relationships" name="README" sheetId="2" r:id="R9864c44790984f1d"/>
    <x:sheet xmlns:r="http://schemas.openxmlformats.org/officeDocument/2006/relationships" name="REGULATION_QUEUE" sheetId="3" r:id="R4a46ac025cb04246"/>
    <x:sheet xmlns:r="http://schemas.openxmlformats.org/officeDocument/2006/relationships" name="RUNS" sheetId="4" r:id="R88ccbdda809f4d30"/>
    <x:sheet xmlns:r="http://schemas.openxmlformats.org/officeDocument/2006/relationships" name="ITERATIONS" sheetId="5" r:id="R2db444b1c0894d4f"/>
    <x:sheet xmlns:r="http://schemas.openxmlformats.org/officeDocument/2006/relationships" name="API_CALLS" sheetId="6" r:id="R89fcb3383b2f4e63"/>
    <x:sheet xmlns:r="http://schemas.openxmlformats.org/officeDocument/2006/relationships" name="TERM_RETRIEVAL" sheetId="7" r:id="Re6dc40b9d3994128"/>
    <x:sheet xmlns:r="http://schemas.openxmlformats.org/officeDocument/2006/relationships" name="FEW_SHOT_SELECTION" sheetId="8" r:id="R37e4196cd0144f3f"/>
    <x:sheet xmlns:r="http://schemas.openxmlformats.org/officeDocument/2006/relationships" name="VALIDATION" sheetId="9" r:id="Rffa83d14d9704337"/>
    <x:sheet xmlns:r="http://schemas.openxmlformats.org/officeDocument/2006/relationships" name="VOCAB_MATCHES" sheetId="10" r:id="R677ae9097359487d"/>
    <x:sheet xmlns:r="http://schemas.openxmlformats.org/officeDocument/2006/relationships" name="ARTIFACTS" sheetId="11" r:id="R6f8fcdfe84dc416f"/>
    <x:sheet xmlns:r="http://schemas.openxmlformats.org/officeDocument/2006/relationships" name="UNRESOLVED" sheetId="12" r:id="Ra4cd952ee43a4afc"/>
    <x:sheet xmlns:r="http://schemas.openxmlformats.org/officeDocument/2006/relationships" name="RDF_TEST_QUEUE" sheetId="13" r:id="R047a8b86353a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778d730324f03" /><Relationship Type="http://schemas.openxmlformats.org/officeDocument/2006/relationships/theme" Target="/xl/theme/theme1.xml" Id="R3514cb6b3663442e" /><Relationship Type="http://schemas.microsoft.com/office/2022/11/relationships/FeaturePropertyBag" Target="/xl/featurePropertyBag/featurePropertyBag.xml" Id="R267c141d88614641" /><Relationship Type="http://schemas.openxmlformats.org/officeDocument/2006/relationships/sharedStrings" Target="/xl/sharedStrings.xml" Id="R00e797be26c84d5d" /><Relationship Type="http://schemas.openxmlformats.org/officeDocument/2006/relationships/worksheet" Target="/xl/worksheets/sheet1.xml" Id="R14eb128b55fa40f3" /><Relationship Type="http://schemas.openxmlformats.org/officeDocument/2006/relationships/worksheet" Target="/xl/worksheets/sheet2.xml" Id="R9864c44790984f1d" /><Relationship Type="http://schemas.openxmlformats.org/officeDocument/2006/relationships/worksheet" Target="/xl/worksheets/sheet3.xml" Id="R4a46ac025cb04246" /><Relationship Type="http://schemas.openxmlformats.org/officeDocument/2006/relationships/worksheet" Target="/xl/worksheets/sheet4.xml" Id="R88ccbdda809f4d30" /><Relationship Type="http://schemas.openxmlformats.org/officeDocument/2006/relationships/worksheet" Target="/xl/worksheets/sheet5.xml" Id="R2db444b1c0894d4f" /><Relationship Type="http://schemas.openxmlformats.org/officeDocument/2006/relationships/worksheet" Target="/xl/worksheets/sheet6.xml" Id="R89fcb3383b2f4e63" /><Relationship Type="http://schemas.openxmlformats.org/officeDocument/2006/relationships/worksheet" Target="/xl/worksheets/sheet7.xml" Id="Re6dc40b9d3994128" /><Relationship Type="http://schemas.openxmlformats.org/officeDocument/2006/relationships/worksheet" Target="/xl/worksheets/sheet8.xml" Id="R37e4196cd0144f3f" /><Relationship Type="http://schemas.openxmlformats.org/officeDocument/2006/relationships/worksheet" Target="/xl/worksheets/sheet9.xml" Id="Rffa83d14d9704337" /><Relationship Type="http://schemas.openxmlformats.org/officeDocument/2006/relationships/worksheet" Target="/xl/worksheets/sheet10.xml" Id="R677ae9097359487d" /><Relationship Type="http://schemas.openxmlformats.org/officeDocument/2006/relationships/worksheet" Target="/xl/worksheets/sheet11.xml" Id="R6f8fcdfe84dc416f" /><Relationship Type="http://schemas.openxmlformats.org/officeDocument/2006/relationships/worksheet" Target="/xl/worksheets/sheet12.xml" Id="Ra4cd952ee43a4afc" /><Relationship Type="http://schemas.openxmlformats.org/officeDocument/2006/relationships/worksheet" Target="/xl/worksheets/sheet13.xml" Id="R047a8b86353a45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a969ce003043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9e8058ff124a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54db355cf64b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e2c473c9c84b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9ccc4928c740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dc1b945e3747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7a2aab6dbc41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0e135fa5b341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7fc77a4d6440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69c19b4a1034a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RUN-TRF-059-20260812T143107205699Z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38441.32175000001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RUN-TRF-059-20260812T143107205699Z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a969ce003043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RUN-TRF-059-20260812T143107205699Z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MAX_ATTEMPTS_REACHED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9e8058ff124a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RUN-TRF-059-20260812T143107205699Z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RUN-TRF-059-20260812T143107205699Z</x:v>
      </x:c>
      <x:c r="C5" s="69" t="str">
        <x:v>TRF-059</x:v>
      </x:c>
      <x:c r="D5" s="70" t="n">
        <x:v>46246.60494451389</x:v>
      </x:c>
      <x:c r="E5" s="70" t="n">
        <x:v>46246.607618622686</x:v>
      </x:c>
      <x:c r="F5" s="69" t="str">
        <x:v>0.3.0-dev-batch01</x:v>
      </x:c>
      <x:c r="G5" s="69" t="str">
        <x:v>VOCAB-DEV-2026-08-12-BATCH01-R3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Repair the deterministic vocabulary failure by rewriting the SPARQL comparison so the query text contains no '&lt;' token misread as an external IRI; for example, replace '?ratio &lt;= "0.8"^^xsd:decimal' with '!(?ratio &gt; "0.8"^^xsd:decimal)'. Also avoid accidental pass when requiredShearArea is absent: target the applicable calculation entity via sh:targetSubjectsOf nltl:maximumCalculatedShearForce (rather than targeting only subjects already having nltl:requiredShearArea), while retaining the requiredShearArea minCount and formula constraint. Revalidate until deterministicValidation.valid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54db355cf64b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RUN-TRF-059-20260812T143107205699Z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RUN-TRF-059-20260812T143107205699Z</x:v>
      </x:c>
      <x:c r="B5" s="45" t="str">
        <x:v>TRF-059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Encode and validate the Table 4-8 selection of alpha using the supplied canonical web-frame area/ratio paths and the prescribed alternatives and thresholds; merely requiring an arbitrary alpha is incomplete. Also eliminate existential accidental-pass behavior by making each formula operand/output quantity, numericValue, and unit single-valued (add appropriate sh:maxCount 1 constraints) and then compare that unique area value directly against the formula.</x:v>
      </x:c>
      <x:c r="I5" s="84" t="n">
        <x:v>54827.029</x:v>
      </x:c>
      <x:c r="J5" s="84" t="n">
        <x:v>26381.917</x:v>
      </x:c>
    </x:row>
    <x:row r="6">
      <x:c r="A6" s="47" t="str">
        <x:v>RUN-TRF-059-20260812T143107205699Z</x:v>
      </x:c>
      <x:c r="B6" s="47" t="str">
        <x:v>TRF-059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input-property sh:targetSubjectsOf declarations, especially the generic nltl:yieldStrength target, because their union applies this web-frame formula to any subject carrying any single operand and then incorrectly requires all web-frame evidence. Use nltl:requiredShearArea as the evidence/readiness trigger and retain the operand cardinality, unit, table-selection, and formula checks on that focus node.</x:v>
      </x:c>
      <x:c r="I6" s="86" t="n">
        <x:v>62995.741</x:v>
      </x:c>
      <x:c r="J6" s="86" t="n">
        <x:v>26110.742</x:v>
      </x:c>
    </x:row>
    <x:row r="7">
      <x:c r="A7" s="49" t="str">
        <x:v>RUN-TRF-059-20260812T143107205699Z</x:v>
      </x:c>
      <x:c r="B7" s="49" t="str">
        <x:v>TRF-059</x:v>
      </x:c>
      <x:c r="C7" s="60" t="n">
        <x:v>3</x:v>
      </x:c>
      <x:c r="D7" s="87" t="b">
        <x:v>0</x:v>
      </x:c>
      <x:c r="E7" s="87" t="b">
        <x:v>0</x:v>
      </x:c>
      <x:c r="F7" s="87" t="b">
        <x:v>0</x:v>
      </x:c>
      <x:c r="G7" s="49" t="str">
        <x:v>REVISE_STATIC_GATE</x:v>
      </x:c>
      <x:c r="H7" s="50" t="str">
        <x:v>Deterministic validation prevents acceptance. Fix: Unapproved external/generated IRI(s): = "0.8"^^xsd:decimal &amp;&amp;
                     ?alpha != "1.0"^^xsd:decimal)
                    ||
                    (?ratio 
Semantic validator feedback: Repair the deterministic vocabulary failure by rewriting the SPARQL comparison so the query text contains no '&lt;' token misread as an external IRI; for example, replace '?ratio &lt;= "0.8"^^xsd:decimal' with '!(?ratio &gt; "0.8"^^xsd:decimal)'. Also avoid accidental pass when requiredShearArea is absent: target the applicable calculation entity via sh:targetSubjectsOf nltl:maximumCalculatedShearForce (rather than targeting only subjects already having nltl:requiredShearArea), while retaining the requiredShearArea minCount and formula constraint. Revalidate until deterministicValidation.valid is true.</x:v>
      </x:c>
      <x:c r="I7" s="88" t="n">
        <x:v>49417.207</x:v>
      </x:c>
      <x:c r="J7" s="88" t="n">
        <x:v>10919.635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2c473c9c84b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RUN-TRF-059-20260812T143107205699Z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RUN-TRF-059-20260812T143107205699Z</x:v>
      </x:c>
      <x:c r="C5" s="45" t="str">
        <x:v>TRF-059</x:v>
      </x:c>
      <x:c r="D5" s="92" t="n">
        <x:v>46246.605579097224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54825.267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RUN-TRF-059-20260812T143107205699Z</x:v>
      </x:c>
      <x:c r="C6" s="47" t="str">
        <x:v>TRF-059</x:v>
      </x:c>
      <x:c r="D6" s="93" t="n">
        <x:v>46246.60557912037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54827.029</x:v>
      </x:c>
      <x:c r="L6" s="85" t="b">
        <x:v>0</x:v>
      </x:c>
      <x:c r="M6" s="47" t="str">
        <x:v>resp_0d9020f51fd94a2e006a7c83ab4fec8195b703eee1f72fb1a5</x:v>
      </x:c>
      <x:c r="N6" s="59" t="n">
        <x:v>6273</x:v>
      </x:c>
      <x:c r="O6" s="59" t="n">
        <x:v>4010</x:v>
      </x:c>
      <x:c r="P6" s="59" t="n">
        <x:v>10283</x:v>
      </x:c>
    </x:row>
    <x:row r="7">
      <x:c r="A7" s="47" t="str">
        <x:v>EVT-000029</x:v>
      </x:c>
      <x:c r="B7" s="47" t="str">
        <x:v>RUN-TRF-059-20260812T143107205699Z</x:v>
      </x:c>
      <x:c r="C7" s="47" t="str">
        <x:v>TRF-059</x:v>
      </x:c>
      <x:c r="D7" s="93" t="n">
        <x:v>46246.60588560185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26380.95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RUN-TRF-059-20260812T143107205699Z</x:v>
      </x:c>
      <x:c r="C8" s="47" t="str">
        <x:v>TRF-059</x:v>
      </x:c>
      <x:c r="D8" s="93" t="n">
        <x:v>46246.605885613426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26381.917</x:v>
      </x:c>
      <x:c r="L8" s="85" t="b">
        <x:v>0</x:v>
      </x:c>
      <x:c r="M8" s="47" t="str">
        <x:v>resp_044064ee4be841b9006a7c83e2420c8190bcd0d8b0fde8c217</x:v>
      </x:c>
      <x:c r="N8" s="59" t="n">
        <x:v>6642</x:v>
      </x:c>
      <x:c r="O8" s="59" t="n">
        <x:v>1606</x:v>
      </x:c>
      <x:c r="P8" s="59" t="n">
        <x:v>8248</x:v>
      </x:c>
    </x:row>
    <x:row r="9">
      <x:c r="A9" s="47" t="str">
        <x:v>EVT-000035</x:v>
      </x:c>
      <x:c r="B9" s="47" t="str">
        <x:v>RUN-TRF-059-20260812T143107205699Z</x:v>
      </x:c>
      <x:c r="C9" s="47" t="str">
        <x:v>TRF-059</x:v>
      </x:c>
      <x:c r="D9" s="93" t="n">
        <x:v>46246.6066147338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62994.676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RUN-TRF-059-20260812T143107205699Z</x:v>
      </x:c>
      <x:c r="C10" s="47" t="str">
        <x:v>TRF-059</x:v>
      </x:c>
      <x:c r="D10" s="93" t="n">
        <x:v>46246.60661475694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62995.741</x:v>
      </x:c>
      <x:c r="L10" s="85" t="b">
        <x:v>0</x:v>
      </x:c>
      <x:c r="M10" s="47" t="str">
        <x:v>resp_0ea77157d0bc3c3a006a7c83fc9fa08194ac9a182718e9a895</x:v>
      </x:c>
      <x:c r="N10" s="59" t="n">
        <x:v>6354</x:v>
      </x:c>
      <x:c r="O10" s="59" t="n">
        <x:v>5629</x:v>
      </x:c>
      <x:c r="P10" s="59" t="n">
        <x:v>11983</x:v>
      </x:c>
    </x:row>
    <x:row r="11">
      <x:c r="A11" s="47" t="str">
        <x:v>EVT-000043</x:v>
      </x:c>
      <x:c r="B11" s="47" t="str">
        <x:v>RUN-TRF-059-20260812T143107205699Z</x:v>
      </x:c>
      <x:c r="C11" s="47" t="str">
        <x:v>TRF-059</x:v>
      </x:c>
      <x:c r="D11" s="93" t="n">
        <x:v>46246.606918564816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26109.471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RUN-TRF-059-20260812T143107205699Z</x:v>
      </x:c>
      <x:c r="C12" s="47" t="str">
        <x:v>TRF-059</x:v>
      </x:c>
      <x:c r="D12" s="93" t="n">
        <x:v>46246.60691858796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26110.742</x:v>
      </x:c>
      <x:c r="L12" s="85" t="b">
        <x:v>0</x:v>
      </x:c>
      <x:c r="M12" s="47" t="str">
        <x:v>resp_0809a54e3ea2fd73006a7c843bc2e881978987cae95de6f6be</x:v>
      </x:c>
      <x:c r="N12" s="59" t="n">
        <x:v>8197</x:v>
      </x:c>
      <x:c r="O12" s="59" t="n">
        <x:v>1654</x:v>
      </x:c>
      <x:c r="P12" s="59" t="n">
        <x:v>9851</x:v>
      </x:c>
    </x:row>
    <x:row r="13">
      <x:c r="A13" s="47" t="str">
        <x:v>EVT-000049</x:v>
      </x:c>
      <x:c r="B13" s="47" t="str">
        <x:v>RUN-TRF-059-20260812T143107205699Z</x:v>
      </x:c>
      <x:c r="C13" s="47" t="str">
        <x:v>TRF-059</x:v>
      </x:c>
      <x:c r="D13" s="93" t="n">
        <x:v>46246.6074905787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49415.359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RUN-TRF-059-20260812T143107205699Z</x:v>
      </x:c>
      <x:c r="C14" s="47" t="str">
        <x:v>TRF-059</x:v>
      </x:c>
      <x:c r="D14" s="93" t="n">
        <x:v>46246.607490601855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49417.207</x:v>
      </x:c>
      <x:c r="L14" s="85" t="b">
        <x:v>0</x:v>
      </x:c>
      <x:c r="M14" s="47" t="str">
        <x:v>resp_002dab087b245d02006a7c8455e7ac8197ab36c22db42f75a7</x:v>
      </x:c>
      <x:c r="N14" s="59" t="n">
        <x:v>6439</x:v>
      </x:c>
      <x:c r="O14" s="59" t="n">
        <x:v>3975</x:v>
      </x:c>
      <x:c r="P14" s="59" t="n">
        <x:v>10414</x:v>
      </x:c>
    </x:row>
    <x:row r="15">
      <x:c r="A15" s="47" t="str">
        <x:v>EVT-000057</x:v>
      </x:c>
      <x:c r="B15" s="47" t="str">
        <x:v>RUN-TRF-059-20260812T143107205699Z</x:v>
      </x:c>
      <x:c r="C15" s="47" t="str">
        <x:v>TRF-059</x:v>
      </x:c>
      <x:c r="D15" s="93" t="n">
        <x:v>46246.607618553244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10917.867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RUN-TRF-059-20260812T143107205699Z</x:v>
      </x:c>
      <x:c r="C16" s="49" t="str">
        <x:v>TRF-059</x:v>
      </x:c>
      <x:c r="D16" s="94" t="n">
        <x:v>46246.60761857639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10919.635</x:v>
      </x:c>
      <x:c r="L16" s="87" t="b">
        <x:v>0</x:v>
      </x:c>
      <x:c r="M16" s="49" t="str">
        <x:v>resp_03b911e03c676c8d006a7c848785a481948c3bd39128a202e7</x:v>
      </x:c>
      <x:c r="N16" s="60" t="n">
        <x:v>8315</x:v>
      </x:c>
      <x:c r="O16" s="60" t="n">
        <x:v>673</x:v>
      </x:c>
      <x:c r="P16" s="60" t="n">
        <x:v>8988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9ccc4928c740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RUN-TRF-059-20260812T143107205699Z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RUN-TRF-059-20260812T143107205699Z</x:v>
      </x:c>
      <x:c r="B5" s="45" t="str">
        <x:v>TRF-059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RUN-TRF-059-20260812T143107205699Z</x:v>
      </x:c>
      <x:c r="B6" s="47" t="str">
        <x:v>TRF-059</x:v>
      </x:c>
      <x:c r="C6" s="47" t="str">
        <x:v>freeFlangeArea</x:v>
      </x:c>
      <x:c r="D6" s="48" t="str">
        <x:v>https://w3id.org/nltl-benchmark/vocab#freeFlangeArea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RUN-TRF-059-20260812T143107205699Z</x:v>
      </x:c>
      <x:c r="B7" s="47" t="str">
        <x:v>TRF-059</x:v>
      </x:c>
      <x:c r="C7" s="47" t="str">
        <x:v>freeFlangeToWebAreaRatio</x:v>
      </x:c>
      <x:c r="D7" s="48" t="str">
        <x:v>https://w3id.org/nltl-benchmark/vocab#freeFlangeToWebAreaRatio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RUN-TRF-059-20260812T143107205699Z</x:v>
      </x:c>
      <x:c r="B8" s="47" t="str">
        <x:v>TRF-059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RUN-TRF-059-20260812T143107205699Z</x:v>
      </x:c>
      <x:c r="B9" s="47" t="str">
        <x:v>TRF-059</x:v>
      </x:c>
      <x:c r="C9" s="47" t="str">
        <x:v>maximumCalculatedShearForce</x:v>
      </x:c>
      <x:c r="D9" s="48" t="str">
        <x:v>https://w3id.org/nltl-benchmark/vocab#maximumCalculatedShearForce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RUN-TRF-059-20260812T143107205699Z</x:v>
      </x:c>
      <x:c r="B10" s="47" t="str">
        <x:v>TRF-059</x:v>
      </x:c>
      <x:c r="C10" s="47" t="str">
        <x:v>requiredShearArea</x:v>
      </x:c>
      <x:c r="D10" s="48" t="str">
        <x:v>https://w3id.org/nltl-benchmark/vocab#requiredShearArea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RUN-TRF-059-20260812T143107205699Z</x:v>
      </x:c>
      <x:c r="B11" s="47" t="str">
        <x:v>TRF-059</x:v>
      </x:c>
      <x:c r="C11" s="47" t="str">
        <x:v>sectionModulus</x:v>
      </x:c>
      <x:c r="D11" s="48" t="str">
        <x:v>https://w3id.org/nltl-benchmark/vocab#sectionModulus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http://qudt.org/vocab/unit/CentiM3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RUN-TRF-059-20260812T143107205699Z</x:v>
      </x:c>
      <x:c r="B12" s="47" t="str">
        <x:v>TRF-059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7" t="str">
        <x:v>RUN-TRF-059-20260812T143107205699Z</x:v>
      </x:c>
      <x:c r="B13" s="47" t="str">
        <x:v>TRF-059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RUN-TRF-059-20260812T143107205699Z</x:v>
      </x:c>
      <x:c r="B14" s="47" t="str">
        <x:v>TRF-059</x:v>
      </x:c>
      <x:c r="C14" s="47" t="str">
        <x:v>webFrameShearDistributionFactorF13</x:v>
      </x:c>
      <x:c r="D14" s="48" t="str">
        <x:v>https://w3id.org/nltl-benchmark/vocab#webFrameShearDistributionFactorF13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RUN-TRF-059-20260812T143107205699Z</x:v>
      </x:c>
      <x:c r="B15" s="47" t="str">
        <x:v>TRF-059</x:v>
      </x:c>
      <x:c r="C15" s="47" t="str">
        <x:v>webFrameShearFactorAlpha</x:v>
      </x:c>
      <x:c r="D15" s="48" t="str">
        <x:v>https://w3id.org/nltl-benchmark/vocab#webFrameShearFactorAlpha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RUN-TRF-059-20260812T143107205699Z</x:v>
      </x:c>
      <x:c r="B16" s="47" t="str">
        <x:v>TRF-059</x:v>
      </x:c>
      <x:c r="C16" s="47" t="str">
        <x:v>webPlateArea</x:v>
      </x:c>
      <x:c r="D16" s="48" t="str">
        <x:v>https://w3id.org/nltl-benchmark/vocab#webPlateArea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RUN-TRF-059-20260812T143107205699Z</x:v>
      </x:c>
      <x:c r="B17" s="49" t="str">
        <x:v>TRF-059</x:v>
      </x:c>
      <x:c r="C17" s="49" t="str">
        <x:v>yieldStrength</x:v>
      </x:c>
      <x:c r="D17" s="50" t="str">
        <x:v>https://w3id.org/nltl-benchmark/vocab#yieldStrength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dc1b945e3747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RUN-TRF-059-20260812T143107205699Z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RUN-TRF-059-20260812T143107205699Z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7" t="n">
        <x:v>0.067797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RUN-TRF-059-20260812T143107205699Z</x:v>
      </x:c>
      <x:c r="B6" s="49" t="str">
        <x:v>TRF-059</x:v>
      </x:c>
      <x:c r="C6" s="49" t="str">
        <x:v>FS-QTY-01</x:v>
      </x:c>
      <x:c r="D6" s="49" t="str">
        <x:v>qudt_quantity</x:v>
      </x:c>
      <x:c r="E6" s="98" t="n">
        <x:v>0.033333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a2aab6dbc41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RUN-TRF-059-20260812T143107205699Z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RUN-TRF-059-20260812T143107205699Z</x:v>
      </x:c>
      <x:c r="B5" s="45" t="str">
        <x:v>TRF-059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https://w3id.org/nltl-benchmark/vocab#maximumCalculatedShearForce | https://w3id.org/nltl-benchmark/vocab#requiredShearArea | https://w3id.org/nltl-benchmark/vocab#webFrameShearDistributionFactorF13 | https://w3id.org/nltl-benchmark/vocab#webFrameShearFactorAlpha | https://w3id.org/nltl-benchmark/vocab#yieldStrength</x:v>
      </x:c>
      <x:c r="O5" s="46" t="str"/>
      <x:c r="P5" s="46" t="str"/>
      <x:c r="Q5" s="46" t="str"/>
    </x:row>
    <x:row r="6">
      <x:c r="A6" s="47" t="str">
        <x:v>RUN-TRF-059-20260812T143107205699Z</x:v>
      </x:c>
      <x:c r="B6" s="47" t="str">
        <x:v>TRF-059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https://w3id.org/nltl-benchmark/vocab#freeFlangeArea | https://w3id.org/nltl-benchmark/vocab#freeFlangeToWebAreaRatio | https://w3id.org/nltl-benchmark/vocab#maximumCalculatedShearForce | https://w3id.org/nltl-benchmark/vocab#requiredShearArea | https://w3id.org/nltl-benchmark/vocab#webFrameShearDistributionFactorF13 | https://w3id.org/nltl-benchmark/vocab#webFrameShearFactorAlpha | https://w3id.org/nltl-benchmark/vocab#webPlateArea | https://w3id.org/nltl-benchmark/vocab#yieldStrength</x:v>
      </x:c>
      <x:c r="O6" s="48" t="str"/>
      <x:c r="P6" s="48" t="str"/>
      <x:c r="Q6" s="48" t="str"/>
    </x:row>
    <x:row r="7">
      <x:c r="A7" s="49" t="str">
        <x:v>RUN-TRF-059-20260812T143107205699Z</x:v>
      </x:c>
      <x:c r="B7" s="49" t="str">
        <x:v>TRF-059</x:v>
      </x:c>
      <x:c r="C7" s="60" t="n">
        <x:v>3</x:v>
      </x:c>
      <x:c r="D7" s="87" t="b">
        <x:v>0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0</x:v>
      </x:c>
      <x:c r="J7" s="87" t="b">
        <x:v>1</x:v>
      </x:c>
      <x:c r="K7" s="104" t="b">
        <x:v>1</x:v>
      </x:c>
      <x:c r="L7" s="50" t="str">
        <x:v>Unapproved external/generated IRI(s): = "0.8"^^xsd:decimal &amp;&amp;
                     ?alpha != "1.0"^^xsd:decimal)
                    ||
                    (?ratio </x:v>
      </x:c>
      <x:c r="M7" s="50" t="str"/>
      <x:c r="N7" s="50" t="str">
        <x:v>https://w3id.org/nltl-benchmark/vocab#freeFlangeArea | https://w3id.org/nltl-benchmark/vocab#freeFlangeToWebAreaRatio | https://w3id.org/nltl-benchmark/vocab#maximumCalculatedShearForce | https://w3id.org/nltl-benchmark/vocab#requiredShearArea | https://w3id.org/nltl-benchmark/vocab#webFrameShearDistributionFactorF13 | https://w3id.org/nltl-benchmark/vocab#webFrameShearFactorAlpha | https://w3id.org/nltl-benchmark/vocab#webPlateArea | https://w3id.org/nltl-benchmark/vocab#yieldStrength</x:v>
      </x:c>
      <x:c r="O7" s="50" t="str"/>
      <x:c r="P7" s="50" t="str"/>
      <x:c r="Q7" s="50" t="e">
        <x:f> "0.8"^^xsd:decimal &amp;&amp;
                     ?alpha != "1.0"^^xsd:decimal)
                    ||
                    (?ratio </x:f>
        <x:v>#NAME?</x:v>
      </x:c>
    </x:row>
  </x:sheetData>
  <x:pageMargins left="0.7" right="0.7" top="0.75" bottom="0.75" header="0.3" footer="0.3"/>
  <x:tableParts count="1">
    <x:tablePart xmlns:r="http://schemas.openxmlformats.org/officeDocument/2006/relationships" r:id="Ra40e135fa5b341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RUN-TRF-059-20260812T143107205699Z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RUN-TRF-059-20260812T143107205699Z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RUN-TRF-059-20260812T143107205699Z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5bc91f41439fc810906595e7015e39784f9515aa4bd85571c5c3256a3cd2fc45</x:v>
      </x:c>
      <x:c r="G5" s="58" t="n">
        <x:v>15804</x:v>
      </x:c>
    </x:row>
    <x:row r="6">
      <x:c r="A6" s="47" t="str">
        <x:v>RUN-TRF-059-20260812T143107205699Z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8cccab0c8f07b411d0bedfc1538b029ff8630d03fa1c77324135178eee6dd3fc</x:v>
      </x:c>
      <x:c r="G6" s="59" t="n">
        <x:v>5365</x:v>
      </x:c>
    </x:row>
    <x:row r="7">
      <x:c r="A7" s="47" t="str">
        <x:v>RUN-TRF-059-20260812T143107205699Z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4951566537779daca87dbaa62093b56a12e91fd54d6ff9b231ff72de525fcb32</x:v>
      </x:c>
      <x:c r="G7" s="59" t="n">
        <x:v>23482</x:v>
      </x:c>
    </x:row>
    <x:row r="8">
      <x:c r="A8" s="47" t="str">
        <x:v>RUN-TRF-059-20260812T143107205699Z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31cb3c3b36a144dfb66294038a4d4473e99ee4fe2fd28c56d5f319380e8f8d37</x:v>
      </x:c>
      <x:c r="G8" s="59" t="n">
        <x:v>4889</x:v>
      </x:c>
    </x:row>
    <x:row r="9">
      <x:c r="A9" s="47" t="str">
        <x:v>RUN-TRF-059-20260812T143107205699Z</x:v>
      </x:c>
      <x:c r="B9" s="47" t="str">
        <x:v>TRF-059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f013cd4dc279f697d2f818c6c100fbd30d3c9e2b6f9cd60e9b8465f949e315fb</x:v>
      </x:c>
      <x:c r="G9" s="59" t="n">
        <x:v>4864</x:v>
      </x:c>
    </x:row>
    <x:row r="10">
      <x:c r="A10" s="47" t="str">
        <x:v>RUN-TRF-059-20260812T143107205699Z</x:v>
      </x:c>
      <x:c r="B10" s="47" t="str">
        <x:v>TRF-059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aa3f8b775426d6c102b6eaa76cefa574309f1228e9219d2a90186ec003eaf30a</x:v>
      </x:c>
      <x:c r="G10" s="59" t="n">
        <x:v>734</x:v>
      </x:c>
    </x:row>
    <x:row r="11">
      <x:c r="A11" s="47" t="str">
        <x:v>RUN-TRF-059-20260812T143107205699Z</x:v>
      </x:c>
      <x:c r="B11" s="47" t="str">
        <x:v>TRF-059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13890e50483f34b760373f75fa62e7c6fa832a8cd07dcaca2db18ee75318fdc9</x:v>
      </x:c>
      <x:c r="G11" s="59" t="n">
        <x:v>24826</x:v>
      </x:c>
    </x:row>
    <x:row r="12">
      <x:c r="A12" s="47" t="str">
        <x:v>RUN-TRF-059-20260812T143107205699Z</x:v>
      </x:c>
      <x:c r="B12" s="47" t="str">
        <x:v>TRF-059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7da01bbbc1bf972f3b0c5cb9248fd789640cfc36f3cfcc325d35b974ed117c9e</x:v>
      </x:c>
      <x:c r="G12" s="59" t="n">
        <x:v>522</x:v>
      </x:c>
    </x:row>
    <x:row r="13">
      <x:c r="A13" s="47" t="str">
        <x:v>RUN-TRF-059-20260812T143107205699Z</x:v>
      </x:c>
      <x:c r="B13" s="47" t="str">
        <x:v>TRF-059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e572a0d447f699eaf30b485e4b8add8059403656afdc00211578fe8f0b40a136</x:v>
      </x:c>
      <x:c r="G13" s="59" t="n">
        <x:v>23939</x:v>
      </x:c>
    </x:row>
    <x:row r="14">
      <x:c r="A14" s="47" t="str">
        <x:v>RUN-TRF-059-20260812T143107205699Z</x:v>
      </x:c>
      <x:c r="B14" s="47" t="str">
        <x:v>TRF-059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8aa58d063e2eb37f5359be4580938e76383a20cb313943b4c9681d80ca38f14b</x:v>
      </x:c>
      <x:c r="G14" s="59" t="n">
        <x:v>8558</x:v>
      </x:c>
    </x:row>
    <x:row r="15">
      <x:c r="A15" s="47" t="str">
        <x:v>RUN-TRF-059-20260812T143107205699Z</x:v>
      </x:c>
      <x:c r="B15" s="47" t="str">
        <x:v>TRF-059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20a958d156766ce2c5ec8e61fa9dd16d851493b13f5c95fa56d33c5cfc860357</x:v>
      </x:c>
      <x:c r="G15" s="59" t="n">
        <x:v>8533</x:v>
      </x:c>
    </x:row>
    <x:row r="16">
      <x:c r="A16" s="47" t="str">
        <x:v>RUN-TRF-059-20260812T143107205699Z</x:v>
      </x:c>
      <x:c r="B16" s="47" t="str">
        <x:v>TRF-059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21eb9846899ef48b63736e6e33a5696c75a820771326518f351dd5ff47802ed5</x:v>
      </x:c>
      <x:c r="G16" s="59" t="n">
        <x:v>922</x:v>
      </x:c>
    </x:row>
    <x:row r="17">
      <x:c r="A17" s="47" t="str">
        <x:v>RUN-TRF-059-20260812T143107205699Z</x:v>
      </x:c>
      <x:c r="B17" s="47" t="str">
        <x:v>TRF-059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bff946c8dbf7549e0bb36e935bcf6aa67b2a96d61a63fcbbc3defac4d51c5809</x:v>
      </x:c>
      <x:c r="G17" s="59" t="n">
        <x:v>29975</x:v>
      </x:c>
    </x:row>
    <x:row r="18">
      <x:c r="A18" s="47" t="str">
        <x:v>RUN-TRF-059-20260812T143107205699Z</x:v>
      </x:c>
      <x:c r="B18" s="47" t="str">
        <x:v>TRF-059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a1da82be74d75eaa2bcadf0bdd5dca139d318cd7fee81b3facb7562939a68737</x:v>
      </x:c>
      <x:c r="G18" s="59" t="n">
        <x:v>480</x:v>
      </x:c>
    </x:row>
    <x:row r="19">
      <x:c r="A19" s="47" t="str">
        <x:v>RUN-TRF-059-20260812T143107205699Z</x:v>
      </x:c>
      <x:c r="B19" s="47" t="str">
        <x:v>TRF-059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a19af36b52fbdb821b65c91881efcbfb3345881354a0decba276ab1ab1c895d6</x:v>
      </x:c>
      <x:c r="G19" s="59" t="n">
        <x:v>24362</x:v>
      </x:c>
    </x:row>
    <x:row r="20">
      <x:c r="A20" s="47" t="str">
        <x:v>RUN-TRF-059-20260812T143107205699Z</x:v>
      </x:c>
      <x:c r="B20" s="47" t="str">
        <x:v>TRF-059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e40015a5e73561db51ead6b08a14bb20d3344cbdc2a97b2a1fd81cbe9493e6b8</x:v>
      </x:c>
      <x:c r="G20" s="59" t="n">
        <x:v>8641</x:v>
      </x:c>
    </x:row>
    <x:row r="21">
      <x:c r="A21" s="47" t="str">
        <x:v>RUN-TRF-059-20260812T143107205699Z</x:v>
      </x:c>
      <x:c r="B21" s="47" t="str">
        <x:v>TRF-059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75c8c67fa5b608193f5d6aabd52c8179ce6022d14ce8127d313a6cd42548f55c</x:v>
      </x:c>
      <x:c r="G21" s="59" t="n">
        <x:v>8616</x:v>
      </x:c>
    </x:row>
    <x:row r="22">
      <x:c r="A22" s="47" t="str">
        <x:v>RUN-TRF-059-20260812T143107205699Z</x:v>
      </x:c>
      <x:c r="B22" s="47" t="str">
        <x:v>TRF-059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4d541841aca65a493419849967d32f1a062957a7ed2aca82b174f222fa91e777</x:v>
      </x:c>
      <x:c r="G22" s="59" t="n">
        <x:v>1248</x:v>
      </x:c>
    </x:row>
    <x:row r="23">
      <x:c r="A23" s="47" t="str">
        <x:v>RUN-TRF-059-20260812T143107205699Z</x:v>
      </x:c>
      <x:c r="B23" s="47" t="str">
        <x:v>TRF-059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863cd66039837857cf85e9bd5adb4f8c9d9085cf8aa885c3e3f9cd265532c10e</x:v>
      </x:c>
      <x:c r="G23" s="59" t="n">
        <x:v>30405</x:v>
      </x:c>
    </x:row>
    <x:row r="24">
      <x:c r="A24" s="49" t="str">
        <x:v>RUN-TRF-059-20260812T143107205699Z</x:v>
      </x:c>
      <x:c r="B24" s="49" t="str">
        <x:v>TRF-059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813bb46aaaed762097caeaa5173dc3fbc4f73286f5f1f3fca91f061be8884f25</x:v>
      </x:c>
      <x:c r="G24" s="60" t="n">
        <x:v>668</x:v>
      </x:c>
    </x:row>
  </x:sheetData>
  <x:pageMargins left="0.7" right="0.7" top="0.75" bottom="0.75" header="0.3" footer="0.3"/>
  <x:tableParts count="1">
    <x:tablePart xmlns:r="http://schemas.openxmlformats.org/officeDocument/2006/relationships" r:id="Rdb7fc77a4d6440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RUN-TRF-059-20260812T143107205699Z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RUN-TRF-059-20260812T143107205699Z</x:v>
      </x:c>
      <x:c r="B5" s="69" t="str">
        <x:v>TRF-059</x:v>
      </x:c>
      <x:c r="C5" s="71" t="n">
        <x:v>3</x:v>
      </x:c>
      <x:c r="D5" s="69" t="str">
        <x:v>MAX_ATTEMPTS_REACHED</x:v>
      </x:c>
      <x:c r="E5" s="73" t="str">
        <x:v>Repair the deterministic vocabulary failure by rewriting the SPARQL comparison so the query text contains no '&lt;' token misread as an external IRI; for example, replace '?ratio &lt;= "0.8"^^xsd:decimal' with '!(?ratio &gt; "0.8"^^xsd:decimal)'. Also avoid accidental pass when requiredShearArea is absent: target the applicable calculation entity via sh:targetSubjectsOf nltl:maximumCalculatedShearForce (rather than targeting only subjects already having nltl:requiredShearArea), while retaining the requiredShearArea minCount and formula constraint. Revalidate until deterministicValidation.valid is true.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9c19b4a1034a4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RUN-TRF-059-20260812T143107205699Z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