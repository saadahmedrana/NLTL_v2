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530f2297d4f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bd7fc2ba7864a83"/>
    <x:sheet xmlns:r="http://schemas.openxmlformats.org/officeDocument/2006/relationships" name="README" sheetId="2" r:id="Rc98770d3ed474bdf"/>
    <x:sheet xmlns:r="http://schemas.openxmlformats.org/officeDocument/2006/relationships" name="REGULATION_QUEUE" sheetId="3" r:id="Reeaae90984014251"/>
    <x:sheet xmlns:r="http://schemas.openxmlformats.org/officeDocument/2006/relationships" name="RUNS" sheetId="4" r:id="Rfd3cf9b49bb948bc"/>
    <x:sheet xmlns:r="http://schemas.openxmlformats.org/officeDocument/2006/relationships" name="ITERATIONS" sheetId="5" r:id="R7550d0212a674c9a"/>
    <x:sheet xmlns:r="http://schemas.openxmlformats.org/officeDocument/2006/relationships" name="API_CALLS" sheetId="6" r:id="Rbf6638f3995a4591"/>
    <x:sheet xmlns:r="http://schemas.openxmlformats.org/officeDocument/2006/relationships" name="TERM_RETRIEVAL" sheetId="7" r:id="Rdb617aa28cdf40aa"/>
    <x:sheet xmlns:r="http://schemas.openxmlformats.org/officeDocument/2006/relationships" name="FEW_SHOT_SELECTION" sheetId="8" r:id="Rb4ecb1b1bafb4b40"/>
    <x:sheet xmlns:r="http://schemas.openxmlformats.org/officeDocument/2006/relationships" name="VALIDATION" sheetId="9" r:id="R04e764369860417c"/>
    <x:sheet xmlns:r="http://schemas.openxmlformats.org/officeDocument/2006/relationships" name="VOCAB_MATCHES" sheetId="10" r:id="R6f2fe89e336e411f"/>
    <x:sheet xmlns:r="http://schemas.openxmlformats.org/officeDocument/2006/relationships" name="ARTIFACTS" sheetId="11" r:id="Rf761af60839f4114"/>
    <x:sheet xmlns:r="http://schemas.openxmlformats.org/officeDocument/2006/relationships" name="UNRESOLVED" sheetId="12" r:id="R9833ac0478ce4dbf"/>
    <x:sheet xmlns:r="http://schemas.openxmlformats.org/officeDocument/2006/relationships" name="RDF_TEST_QUEUE" sheetId="13" r:id="Rc61ef2314bf240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a48d2072334c47" /><Relationship Type="http://schemas.openxmlformats.org/officeDocument/2006/relationships/theme" Target="/xl/theme/theme1.xml" Id="Rfbc179cc319747f8" /><Relationship Type="http://schemas.microsoft.com/office/2022/11/relationships/FeaturePropertyBag" Target="/xl/featurePropertyBag/featurePropertyBag.xml" Id="Rd300e36bd5324126" /><Relationship Type="http://schemas.openxmlformats.org/officeDocument/2006/relationships/sharedStrings" Target="/xl/sharedStrings.xml" Id="Re9b65b44e75e460d" /><Relationship Type="http://schemas.openxmlformats.org/officeDocument/2006/relationships/worksheet" Target="/xl/worksheets/sheet1.xml" Id="Rdbd7fc2ba7864a83" /><Relationship Type="http://schemas.openxmlformats.org/officeDocument/2006/relationships/worksheet" Target="/xl/worksheets/sheet2.xml" Id="Rc98770d3ed474bdf" /><Relationship Type="http://schemas.openxmlformats.org/officeDocument/2006/relationships/worksheet" Target="/xl/worksheets/sheet3.xml" Id="Reeaae90984014251" /><Relationship Type="http://schemas.openxmlformats.org/officeDocument/2006/relationships/worksheet" Target="/xl/worksheets/sheet4.xml" Id="Rfd3cf9b49bb948bc" /><Relationship Type="http://schemas.openxmlformats.org/officeDocument/2006/relationships/worksheet" Target="/xl/worksheets/sheet5.xml" Id="R7550d0212a674c9a" /><Relationship Type="http://schemas.openxmlformats.org/officeDocument/2006/relationships/worksheet" Target="/xl/worksheets/sheet6.xml" Id="Rbf6638f3995a4591" /><Relationship Type="http://schemas.openxmlformats.org/officeDocument/2006/relationships/worksheet" Target="/xl/worksheets/sheet7.xml" Id="Rdb617aa28cdf40aa" /><Relationship Type="http://schemas.openxmlformats.org/officeDocument/2006/relationships/worksheet" Target="/xl/worksheets/sheet8.xml" Id="Rb4ecb1b1bafb4b40" /><Relationship Type="http://schemas.openxmlformats.org/officeDocument/2006/relationships/worksheet" Target="/xl/worksheets/sheet9.xml" Id="R04e764369860417c" /><Relationship Type="http://schemas.openxmlformats.org/officeDocument/2006/relationships/worksheet" Target="/xl/worksheets/sheet10.xml" Id="R6f2fe89e336e411f" /><Relationship Type="http://schemas.openxmlformats.org/officeDocument/2006/relationships/worksheet" Target="/xl/worksheets/sheet11.xml" Id="Rf761af60839f4114" /><Relationship Type="http://schemas.openxmlformats.org/officeDocument/2006/relationships/worksheet" Target="/xl/worksheets/sheet12.xml" Id="R9833ac0478ce4dbf" /><Relationship Type="http://schemas.openxmlformats.org/officeDocument/2006/relationships/worksheet" Target="/xl/worksheets/sheet13.xml" Id="Rc61ef2314bf240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434cb001f84d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7c726ad7d64c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4e6bb829e54c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ae867f989a43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570d8b6a4c40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262e5248bb345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53260827e1640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ad313cc2404dd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808e9ff968d4f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b678be6860f421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e5cb4443b2b48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RUN-TRF-078-20260813T092919028804Z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9975.170833333334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RUN-TRF-078-20260813T092919028804Z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6434cb001f84d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RUN-TRF-078-20260813T092919028804Z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TERM_RESOLUTION_UNRESOLVED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7c726ad7d64c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RUN-TRF-078-20260813T092919028804Z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RUN-TRF-078-20260813T092919028804Z</x:v>
      </x:c>
      <x:c r="C5" s="69" t="str">
        <x:v>TRF-078</x:v>
      </x:c>
      <x:c r="D5" s="70" t="n">
        <x:v>46247.395359131944</x:v>
      </x:c>
      <x:c r="E5" s="70" t="n">
        <x:v>46247.39571335648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represents n_n; the only candidate is the Ship class and is not semantically suitable for the required numeric operand.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4e6bb829e54c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RUN-TRF-078-20260813T092919028804Z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RUN-TRF-078-20260813T092919028804Z</x:v>
      </x:c>
      <x:c r="B5" s="69" t="str">
        <x:v>TRF-078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shape only requires presence and datatypes; it does not enforce equation (6.14) or the specified table lookups. Locate the canonical term for n_n, require it on the ship, and add a bounded formula constraint verifying N_ice = k1*k2*k3*N_class*n_n using the QUDT numeric operands and a tolerance scaled from the expected formula result rather than exact derived equality. Also constrain N_class and k1 according to Tables 6-6 and 6-7 with required lookup-selection evidence.</x:v>
      </x:c>
      <x:c r="I5" s="75" t="n">
        <x:v>19850.006</x:v>
      </x:c>
      <x:c r="J5" s="75" t="n">
        <x:v>7431.785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ae867f989a43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RUN-TRF-078-20260813T092919028804Z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RUN-TRF-078-20260813T092919028804Z</x:v>
      </x:c>
      <x:c r="C5" s="45" t="str">
        <x:v>TRF-078</x:v>
      </x:c>
      <x:c r="D5" s="88" t="n">
        <x:v>46247.395588900465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19849.154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RUN-TRF-078-20260813T092919028804Z</x:v>
      </x:c>
      <x:c r="C6" s="47" t="str">
        <x:v>TRF-078</x:v>
      </x:c>
      <x:c r="D6" s="91" t="n">
        <x:v>46247.395588900465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19850.006</x:v>
      </x:c>
      <x:c r="L6" s="93" t="b">
        <x:v>0</x:v>
      </x:c>
      <x:c r="M6" s="47" t="str">
        <x:v>resp_083549b386e04fba006a7d8e6f44b8819497cc4aeeb9a3e803</x:v>
      </x:c>
      <x:c r="N6" s="59" t="n">
        <x:v>5737</x:v>
      </x:c>
      <x:c r="O6" s="59" t="n">
        <x:v>1454</x:v>
      </x:c>
      <x:c r="P6" s="59" t="n">
        <x:v>7191</x:v>
      </x:c>
    </x:row>
    <x:row r="7">
      <x:c r="A7" s="47" t="str">
        <x:v>EVT-000025</x:v>
      </x:c>
      <x:c r="B7" s="47" t="str">
        <x:v>RUN-TRF-078-20260813T092919028804Z</x:v>
      </x:c>
      <x:c r="C7" s="47" t="str">
        <x:v>TRF-078</x:v>
      </x:c>
      <x:c r="D7" s="91" t="n">
        <x:v>46247.39567596065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7429.782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RUN-TRF-078-20260813T092919028804Z</x:v>
      </x:c>
      <x:c r="C8" s="47" t="str">
        <x:v>TRF-078</x:v>
      </x:c>
      <x:c r="D8" s="91" t="n">
        <x:v>46247.39567599537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7431.785</x:v>
      </x:c>
      <x:c r="L8" s="93" t="b">
        <x:v>0</x:v>
      </x:c>
      <x:c r="M8" s="47" t="str">
        <x:v>resp_065189d04469b6d6006a7d8e831a408193968afcdfe0f81489</x:v>
      </x:c>
      <x:c r="N8" s="59" t="n">
        <x:v>5124</x:v>
      </x:c>
      <x:c r="O8" s="59" t="n">
        <x:v>439</x:v>
      </x:c>
      <x:c r="P8" s="59" t="n">
        <x:v>5563</x:v>
      </x:c>
    </x:row>
    <x:row r="9">
      <x:c r="A9" s="47" t="str">
        <x:v>EVT-000032</x:v>
      </x:c>
      <x:c r="B9" s="47" t="str">
        <x:v>RUN-TRF-078-20260813T092919028804Z</x:v>
      </x:c>
      <x:c r="C9" s="47" t="str">
        <x:v>TRF-078</x:v>
      </x:c>
      <x:c r="D9" s="91" t="n">
        <x:v>46247.39571331019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2644.618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EVT-000033</x:v>
      </x:c>
      <x:c r="B10" s="49" t="str">
        <x:v>RUN-TRF-078-20260813T092919028804Z</x:v>
      </x:c>
      <x:c r="C10" s="49" t="str">
        <x:v>TRF-078</x:v>
      </x:c>
      <x:c r="D10" s="94" t="n">
        <x:v>46247.39571332176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2645.68</x:v>
      </x:c>
      <x:c r="L10" s="96" t="b">
        <x:v>0</x:v>
      </x:c>
      <x:c r="M10" s="49" t="str">
        <x:v>resp_07c068383d55731d006a7d8e8b1ed481968e2cf15123e2bd1b</x:v>
      </x:c>
      <x:c r="N10" s="60" t="n">
        <x:v>873</x:v>
      </x:c>
      <x:c r="O10" s="60" t="n">
        <x:v>108</x:v>
      </x:c>
      <x:c r="P10" s="60" t="n">
        <x:v>981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570d8b6a4c40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RUN-TRF-078-20260813T092919028804Z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RUN-TRF-078-20260813T092919028804Z</x:v>
      </x:c>
      <x:c r="B5" s="45" t="str">
        <x:v>TRF-078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classLoadCycleCount; domain dependency of iceLoadCycleCoefficientK1; domain dependency of iceLoadCycleCoefficientK2; domain dependency of iceLoadCycleCoefficientK3; domain dependency of iceLoadCycleCount</x:v>
      </x:c>
      <x:c r="J5" s="45" t="n">
        <x:v>0</x:v>
      </x:c>
    </x:row>
    <x:row r="6">
      <x:c r="A6" s="47" t="str">
        <x:v>RUN-TRF-078-20260813T092919028804Z</x:v>
      </x:c>
      <x:c r="B6" s="47" t="str">
        <x:v>TRF-078</x:v>
      </x:c>
      <x:c r="C6" s="47" t="str">
        <x:v>classLoadCycleCount</x:v>
      </x:c>
      <x:c r="D6" s="48" t="str">
        <x:v>https://w3id.org/nltl-benchmark/vocab#classLoadCycleCount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RUN-TRF-078-20260813T092919028804Z</x:v>
      </x:c>
      <x:c r="B7" s="47" t="str">
        <x:v>TRF-078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RUN-TRF-078-20260813T092919028804Z</x:v>
      </x:c>
      <x:c r="B8" s="47" t="str">
        <x:v>TRF-078</x:v>
      </x:c>
      <x:c r="C8" s="47" t="str">
        <x:v>iceLoadCycleCoefficientK1</x:v>
      </x:c>
      <x:c r="D8" s="48" t="str">
        <x:v>https://w3id.org/nltl-benchmark/vocab#iceLoadCycleCoefficientK1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RUN-TRF-078-20260813T092919028804Z</x:v>
      </x:c>
      <x:c r="B9" s="47" t="str">
        <x:v>TRF-078</x:v>
      </x:c>
      <x:c r="C9" s="47" t="str">
        <x:v>iceLoadCycleCoefficientK2</x:v>
      </x:c>
      <x:c r="D9" s="48" t="str">
        <x:v>https://w3id.org/nltl-benchmark/vocab#iceLoadCycleCoefficientK2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RUN-TRF-078-20260813T092919028804Z</x:v>
      </x:c>
      <x:c r="B10" s="47" t="str">
        <x:v>TRF-078</x:v>
      </x:c>
      <x:c r="C10" s="47" t="str">
        <x:v>iceLoadCycleCoefficientK3</x:v>
      </x:c>
      <x:c r="D10" s="48" t="str">
        <x:v>https://w3id.org/nltl-benchmark/vocab#iceLoadCycleCoefficientK3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RUN-TRF-078-20260813T092919028804Z</x:v>
      </x:c>
      <x:c r="B11" s="47" t="str">
        <x:v>TRF-078</x:v>
      </x:c>
      <x:c r="C11" s="47" t="str">
        <x:v>iceLoadCycleCount</x:v>
      </x:c>
      <x:c r="D11" s="48" t="str">
        <x:v>https://w3id.org/nltl-benchmark/vocab#iceLoadCycleCount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RUN-TRF-078-20260813T092919028804Z</x:v>
      </x:c>
      <x:c r="B12" s="47" t="str">
        <x:v>TRF-078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RUN-TRF-078-20260813T092919028804Z</x:v>
      </x:c>
      <x:c r="B13" s="49" t="str">
        <x:v>TRF-078</x:v>
      </x:c>
      <x:c r="C13" s="49" t="str">
        <x:v>shipComponent</x:v>
      </x:c>
      <x:c r="D13" s="50" t="str">
        <x:v>https://w3id.org/nltl-benchmark/vocab#shipComponent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262e5248bb345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RUN-TRF-078-20260813T092919028804Z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RUN-TRF-078-20260813T092919028804Z</x:v>
      </x:c>
      <x:c r="B5" s="45" t="str">
        <x:v>TRF-078</x:v>
      </x:c>
      <x:c r="C5" s="45" t="str">
        <x:v>FS-CALC-02</x:v>
      </x:c>
      <x:c r="D5" s="45" t="str">
        <x:v>comparison_calculation</x:v>
      </x:c>
      <x:c r="E5" s="99" t="n">
        <x:v>0.069767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RUN-TRF-078-20260813T092919028804Z</x:v>
      </x:c>
      <x:c r="B6" s="49" t="str">
        <x:v>TRF-078</x:v>
      </x:c>
      <x:c r="C6" s="49" t="str">
        <x:v>FS-REL-01</x:v>
      </x:c>
      <x:c r="D6" s="49" t="str">
        <x:v>entity_relation</x:v>
      </x:c>
      <x:c r="E6" s="100" t="n">
        <x:v>0.068182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3260827e1640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RUN-TRF-078-20260813T092919028804Z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RUN-TRF-078-20260813T092919028804Z</x:v>
      </x:c>
      <x:c r="B5" s="69" t="str">
        <x:v>TRF-078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https://w3id.org/nltl-benchmark/vocab#classLoadCycleCount | https://w3id.org/nltl-benchmark/vocab#iceLoadCycleCoefficientK1 | https://w3id.org/nltl-benchmark/vocab#iceLoadCycleCoefficientK2 | https://w3id.org/nltl-benchmark/vocab#iceLoadCycleCoefficientK3 | https://w3id.org/nltl-benchmark/vocab#iceLoadCycleCount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9ad313cc2404dd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RUN-TRF-078-20260813T092919028804Z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RUN-TRF-078-20260813T092919028804Z</x:v>
      </x:c>
      <x:c r="B5" s="45" t="str">
        <x:v>TRF-078</x:v>
      </x:c>
      <x:c r="C5" s="58" t="n">
        <x:v>1</x:v>
      </x:c>
      <x:c r="D5" s="45" t="str">
        <x:v>matcher_search</x:v>
      </x:c>
      <x:c r="E5" s="46" t="str">
        <x:v>The shape only requires presence and datatypes; it does not enforce equation (6.14) or the specified table lookups. Locate the canonical term for n_n, require it on the ship, and add a bounded formula constraint verifying N_ice = k1*k2*k3*N_class*n_n using the QUDT numeric operands and a tolerance scaled from the expected formula result rather than exact derived equality. Also constrain N_class and k1 according to Tables 6-6 and 6-7 with required lookup-selection evidence.</x:v>
      </x:c>
      <x:c r="F5" s="58" t="n">
        <x:v>1</x:v>
      </x:c>
      <x:c r="G5" s="45" t="str"/>
      <x:c r="H5" s="45" t="str"/>
      <x:c r="I5" s="46" t="str"/>
      <x:c r="J5" s="46" t="str"/>
    </x:row>
    <x:row r="6">
      <x:c r="A6" s="49" t="str">
        <x:v>RUN-TRF-078-20260813T092919028804Z</x:v>
      </x:c>
      <x:c r="B6" s="49" t="str">
        <x:v>TRF-078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represents n_n; the only candidate is the Ship class and is not semantically suitable for the required numeric operand.</x:v>
      </x:c>
    </x:row>
  </x:sheetData>
  <x:pageMargins left="0.7" right="0.7" top="0.75" bottom="0.75" header="0.3" footer="0.3"/>
  <x:tableParts count="1">
    <x:tablePart xmlns:r="http://schemas.openxmlformats.org/officeDocument/2006/relationships" r:id="R0808e9ff968d4fd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RUN-TRF-078-20260813T092919028804Z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RUN-TRF-078-20260813T092919028804Z</x:v>
      </x:c>
      <x:c r="B5" s="45" t="str">
        <x:v>TRF-078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f33b8cecbf3b2fc86680baabc6cc045d5651af56b90d84dcc5fff0469b1215d1</x:v>
      </x:c>
      <x:c r="G5" s="58" t="n">
        <x:v>11871</x:v>
      </x:c>
    </x:row>
    <x:row r="6">
      <x:c r="A6" s="47" t="str">
        <x:v>RUN-TRF-078-20260813T092919028804Z</x:v>
      </x:c>
      <x:c r="B6" s="47" t="str">
        <x:v>TRF-078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51c132d8c0d85d2eab58846b92333a7ffb64af53844176b6bdb7cd61a945a50f</x:v>
      </x:c>
      <x:c r="G6" s="59" t="n">
        <x:v>5200</x:v>
      </x:c>
    </x:row>
    <x:row r="7">
      <x:c r="A7" s="47" t="str">
        <x:v>RUN-TRF-078-20260813T092919028804Z</x:v>
      </x:c>
      <x:c r="B7" s="47" t="str">
        <x:v>TRF-078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6e320d25db1484afdbbaf92dd35b6b7fd8d2bc9bb442b3d114589cca735f7ac1</x:v>
      </x:c>
      <x:c r="G7" s="59" t="n">
        <x:v>22973</x:v>
      </x:c>
    </x:row>
    <x:row r="8">
      <x:c r="A8" s="47" t="str">
        <x:v>RUN-TRF-078-20260813T092919028804Z</x:v>
      </x:c>
      <x:c r="B8" s="47" t="str">
        <x:v>TRF-078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d3282bf9ceaa099c4a9bb19799e9fde9a7176587d387bf214cc7c4374cf5bf1b</x:v>
      </x:c>
      <x:c r="G8" s="59" t="n">
        <x:v>2157</x:v>
      </x:c>
    </x:row>
    <x:row r="9">
      <x:c r="A9" s="47" t="str">
        <x:v>RUN-TRF-078-20260813T092919028804Z</x:v>
      </x:c>
      <x:c r="B9" s="47" t="str">
        <x:v>TRF-078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6cdbef5f98d22660c6213a909213fa4879314e8826b46298c34197faa22d3b4e</x:v>
      </x:c>
      <x:c r="G9" s="59" t="n">
        <x:v>2132</x:v>
      </x:c>
    </x:row>
    <x:row r="10">
      <x:c r="A10" s="47" t="str">
        <x:v>RUN-TRF-078-20260813T092919028804Z</x:v>
      </x:c>
      <x:c r="B10" s="47" t="str">
        <x:v>TRF-078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b4e1bb3dd80c15a90c0fa4718da4823a2e26ff97de35c73b85c06a20d8a79c71</x:v>
      </x:c>
      <x:c r="G10" s="59" t="n">
        <x:v>780</x:v>
      </x:c>
    </x:row>
    <x:row r="11">
      <x:c r="A11" s="47" t="str">
        <x:v>RUN-TRF-078-20260813T092919028804Z</x:v>
      </x:c>
      <x:c r="B11" s="47" t="str">
        <x:v>TRF-078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a6812971008efc854b8157521422916a3f3f1b7f3d8681771fca1ac5a60acad2</x:v>
      </x:c>
      <x:c r="G11" s="59" t="n">
        <x:v>19673</x:v>
      </x:c>
    </x:row>
    <x:row r="12">
      <x:c r="A12" s="47" t="str">
        <x:v>RUN-TRF-078-20260813T092919028804Z</x:v>
      </x:c>
      <x:c r="B12" s="47" t="str">
        <x:v>TRF-078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4afc7d750ea8294ac5af9eabe395f17d169bfe2fff678d884cf3c45417f4f512</x:v>
      </x:c>
      <x:c r="G12" s="59" t="n">
        <x:v>540</x:v>
      </x:c>
    </x:row>
    <x:row r="13">
      <x:c r="A13" s="47" t="str">
        <x:v>RUN-TRF-078-20260813T092919028804Z</x:v>
      </x:c>
      <x:c r="B13" s="47" t="str">
        <x:v>TRF-078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b48b46405d755272366538ab632e8e8125004938f9423e12b75f3e555064e5eb</x:v>
      </x:c>
      <x:c r="G13" s="59" t="n">
        <x:v>397</x:v>
      </x:c>
    </x:row>
    <x:row r="14">
      <x:c r="A14" s="47" t="str">
        <x:v>RUN-TRF-078-20260813T092919028804Z</x:v>
      </x:c>
      <x:c r="B14" s="47" t="str">
        <x:v>TRF-078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a5dac56ca81aead088be72e19fb83d5cf9c58f23d014b3a479ce4590e89f3ff2</x:v>
      </x:c>
      <x:c r="G14" s="59" t="n">
        <x:v>3199</x:v>
      </x:c>
    </x:row>
    <x:row r="15">
      <x:c r="A15" s="49" t="str">
        <x:v>RUN-TRF-078-20260813T092919028804Z</x:v>
      </x:c>
      <x:c r="B15" s="49" t="str">
        <x:v>TRF-078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a6dc5a6c563c04ddc63a8d21147e6347d2aa92314fa62b7c9d03011e5d48d0c8</x:v>
      </x:c>
      <x:c r="G15" s="60" t="n">
        <x:v>230</x:v>
      </x:c>
    </x:row>
  </x:sheetData>
  <x:pageMargins left="0.7" right="0.7" top="0.75" bottom="0.75" header="0.3" footer="0.3"/>
  <x:tableParts count="1">
    <x:tablePart xmlns:r="http://schemas.openxmlformats.org/officeDocument/2006/relationships" r:id="Rab678be6860f421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RUN-TRF-078-20260813T092919028804Z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RUN-TRF-078-20260813T092919028804Z</x:v>
      </x:c>
      <x:c r="B5" s="69" t="str">
        <x:v>TRF-078</x:v>
      </x:c>
      <x:c r="C5" s="71" t="n">
        <x:v>1</x:v>
      </x:c>
      <x:c r="D5" s="69" t="str">
        <x:v>TERM_RESOLUTION_UNRESOLVED</x:v>
      </x:c>
      <x:c r="E5" s="73" t="str">
        <x:v>No supplied candidate represents n_n; the only candidate is the Ship class and is not semantically suitable for the required numeric operand.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5cb4443b2b484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RUN-TRF-078-20260813T092919028804Z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