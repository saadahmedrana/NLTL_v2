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7fed58b8e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3940f991fd4bd8"/>
    <x:sheet xmlns:r="http://schemas.openxmlformats.org/officeDocument/2006/relationships" name="README" sheetId="2" r:id="R4bb76c3f7983496b"/>
    <x:sheet xmlns:r="http://schemas.openxmlformats.org/officeDocument/2006/relationships" name="REGULATION_QUEUE" sheetId="3" r:id="Rafb487e0b0e347f2"/>
    <x:sheet xmlns:r="http://schemas.openxmlformats.org/officeDocument/2006/relationships" name="RUNS" sheetId="4" r:id="Rfe88d9e1f04e43f0"/>
    <x:sheet xmlns:r="http://schemas.openxmlformats.org/officeDocument/2006/relationships" name="ITERATIONS" sheetId="5" r:id="R2c5d259502d54d3a"/>
    <x:sheet xmlns:r="http://schemas.openxmlformats.org/officeDocument/2006/relationships" name="API_CALLS" sheetId="6" r:id="R3ac31ce633734249"/>
    <x:sheet xmlns:r="http://schemas.openxmlformats.org/officeDocument/2006/relationships" name="TERM_RETRIEVAL" sheetId="7" r:id="R5a2f791ee9e74061"/>
    <x:sheet xmlns:r="http://schemas.openxmlformats.org/officeDocument/2006/relationships" name="FEW_SHOT_SELECTION" sheetId="8" r:id="R11b63c0e2a054922"/>
    <x:sheet xmlns:r="http://schemas.openxmlformats.org/officeDocument/2006/relationships" name="VALIDATION" sheetId="9" r:id="R65756f84c1914892"/>
    <x:sheet xmlns:r="http://schemas.openxmlformats.org/officeDocument/2006/relationships" name="VOCAB_MATCHES" sheetId="10" r:id="R4ddb754f4ed644f4"/>
    <x:sheet xmlns:r="http://schemas.openxmlformats.org/officeDocument/2006/relationships" name="ARTIFACTS" sheetId="11" r:id="Red9c8cd3b1c7412a"/>
    <x:sheet xmlns:r="http://schemas.openxmlformats.org/officeDocument/2006/relationships" name="UNRESOLVED" sheetId="12" r:id="R39bced8788054756"/>
    <x:sheet xmlns:r="http://schemas.openxmlformats.org/officeDocument/2006/relationships" name="RDF_TEST_QUEUE" sheetId="13" r:id="R6d046a77db08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a9b1ac8524f32" /><Relationship Type="http://schemas.openxmlformats.org/officeDocument/2006/relationships/theme" Target="/xl/theme/theme1.xml" Id="R6d749d8cba0746e6" /><Relationship Type="http://schemas.microsoft.com/office/2022/11/relationships/FeaturePropertyBag" Target="/xl/featurePropertyBag/featurePropertyBag.xml" Id="Rddef9870b4fe48a3" /><Relationship Type="http://schemas.openxmlformats.org/officeDocument/2006/relationships/sharedStrings" Target="/xl/sharedStrings.xml" Id="R6fe06b95d1fa4f30" /><Relationship Type="http://schemas.openxmlformats.org/officeDocument/2006/relationships/worksheet" Target="/xl/worksheets/sheet1.xml" Id="R9d3940f991fd4bd8" /><Relationship Type="http://schemas.openxmlformats.org/officeDocument/2006/relationships/worksheet" Target="/xl/worksheets/sheet2.xml" Id="R4bb76c3f7983496b" /><Relationship Type="http://schemas.openxmlformats.org/officeDocument/2006/relationships/worksheet" Target="/xl/worksheets/sheet3.xml" Id="Rafb487e0b0e347f2" /><Relationship Type="http://schemas.openxmlformats.org/officeDocument/2006/relationships/worksheet" Target="/xl/worksheets/sheet4.xml" Id="Rfe88d9e1f04e43f0" /><Relationship Type="http://schemas.openxmlformats.org/officeDocument/2006/relationships/worksheet" Target="/xl/worksheets/sheet5.xml" Id="R2c5d259502d54d3a" /><Relationship Type="http://schemas.openxmlformats.org/officeDocument/2006/relationships/worksheet" Target="/xl/worksheets/sheet6.xml" Id="R3ac31ce633734249" /><Relationship Type="http://schemas.openxmlformats.org/officeDocument/2006/relationships/worksheet" Target="/xl/worksheets/sheet7.xml" Id="R5a2f791ee9e74061" /><Relationship Type="http://schemas.openxmlformats.org/officeDocument/2006/relationships/worksheet" Target="/xl/worksheets/sheet8.xml" Id="R11b63c0e2a054922" /><Relationship Type="http://schemas.openxmlformats.org/officeDocument/2006/relationships/worksheet" Target="/xl/worksheets/sheet9.xml" Id="R65756f84c1914892" /><Relationship Type="http://schemas.openxmlformats.org/officeDocument/2006/relationships/worksheet" Target="/xl/worksheets/sheet10.xml" Id="R4ddb754f4ed644f4" /><Relationship Type="http://schemas.openxmlformats.org/officeDocument/2006/relationships/worksheet" Target="/xl/worksheets/sheet11.xml" Id="Red9c8cd3b1c7412a" /><Relationship Type="http://schemas.openxmlformats.org/officeDocument/2006/relationships/worksheet" Target="/xl/worksheets/sheet12.xml" Id="R39bced8788054756" /><Relationship Type="http://schemas.openxmlformats.org/officeDocument/2006/relationships/worksheet" Target="/xl/worksheets/sheet13.xml" Id="R6d046a77db08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8fd167e213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d9ab00c51a46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d7fd8c54804a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a161337a23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09d67d3eb34a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f6b31cdac4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96e740684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41895f70d447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879956afb4c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2ce7a606c1542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b2c37c4c5548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RUN-TRF-079-20260813T093000241311Z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9044.377833333334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RUN-TRF-079-20260813T093000241311Z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8fd167e21342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TERM_RESOLUTION_UNRESOLVED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d9ab00c51a46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RUN-TRF-079-20260813T093000241311Z</x:v>
      </x:c>
      <x:c r="C5" s="69" t="str">
        <x:v>TRF-079</x:v>
      </x:c>
      <x:c r="D5" s="70" t="n">
        <x:v>46247.39583612268</x:v>
      </x:c>
      <x:c r="E5" s="70" t="n">
        <x:v>46247.39615898148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exact term is supported because the only candidate is the Ship class, not a canonical property for k2, h_0, H_ice, or 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7fd8c54804a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RUN-TRF-079-20260813T093000241311Z</x:v>
      </x:c>
      <x:c r="B5" s="69" t="str">
        <x:v>TRF-079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k2 &gt;= 0.1 check with a ship-owned, branch-complete formula constraint. Locate canonical properties for h_0, H_ice, and D; compute f = (h_0 - H_ice)/(D/2) - 1; then validate k2 against 0.8-f for f&lt;0, 0.8-0.4*f for 0&lt;=f&lt;=1, 0.6-0.2*f for 1&lt;f&lt;=2.5, and exactly 0.1 via equal inclusive bounds for f&gt;2.5. Require all formula operands and applicable branch evidence, preserve their canonical owners and units, and compare derived branch results using a tolerance scaled from the expected result rather than exact decimal equality or a tolerance based on reported k2.</x:v>
      </x:c>
      <x:c r="I5" s="75" t="n">
        <x:v>15604.618</x:v>
      </x:c>
      <x:c r="J5" s="75" t="n">
        <x:v>6902.831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161337a234e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RUN-TRF-079-20260813T093000241311Z</x:v>
      </x:c>
      <x:c r="C5" s="45" t="str">
        <x:v>TRF-079</x:v>
      </x:c>
      <x:c r="D5" s="88" t="n">
        <x:v>46247.39601672454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15602.811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RUN-TRF-079-20260813T093000241311Z</x:v>
      </x:c>
      <x:c r="C6" s="47" t="str">
        <x:v>TRF-079</x:v>
      </x:c>
      <x:c r="D6" s="91" t="n">
        <x:v>46247.39601674768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15604.618</x:v>
      </x:c>
      <x:c r="L6" s="93" t="b">
        <x:v>0</x:v>
      </x:c>
      <x:c r="M6" s="47" t="str">
        <x:v>resp_0f01948d16bbcaa5006a7d8e98612c8190a4ea12ca7722be15</x:v>
      </x:c>
      <x:c r="N6" s="59" t="n">
        <x:v>4245</x:v>
      </x:c>
      <x:c r="O6" s="59" t="n">
        <x:v>953</x:v>
      </x:c>
      <x:c r="P6" s="59" t="n">
        <x:v>5198</x:v>
      </x:c>
    </x:row>
    <x:row r="7">
      <x:c r="A7" s="47" t="str">
        <x:v>EVT-000019</x:v>
      </x:c>
      <x:c r="B7" s="47" t="str">
        <x:v>RUN-TRF-079-20260813T093000241311Z</x:v>
      </x:c>
      <x:c r="C7" s="47" t="str">
        <x:v>TRF-079</x:v>
      </x:c>
      <x:c r="D7" s="91" t="n">
        <x:v>46247.39609730324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6901.194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RUN-TRF-079-20260813T093000241311Z</x:v>
      </x:c>
      <x:c r="C8" s="47" t="str">
        <x:v>TRF-079</x:v>
      </x:c>
      <x:c r="D8" s="91" t="n">
        <x:v>46247.39609732639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6902.831</x:v>
      </x:c>
      <x:c r="L8" s="93" t="b">
        <x:v>0</x:v>
      </x:c>
      <x:c r="M8" s="47" t="str">
        <x:v>resp_0683a6d15606cf5d006a7d8ea8812c8194a15eac8e27e47e6d</x:v>
      </x:c>
      <x:c r="N8" s="59" t="n">
        <x:v>2757</x:v>
      </x:c>
      <x:c r="O8" s="59" t="n">
        <x:v>343</x:v>
      </x:c>
      <x:c r="P8" s="59" t="n">
        <x:v>3100</x:v>
      </x:c>
    </x:row>
    <x:row r="9">
      <x:c r="A9" s="47" t="str">
        <x:v>EVT-000026</x:v>
      </x:c>
      <x:c r="B9" s="47" t="str">
        <x:v>RUN-TRF-079-20260813T093000241311Z</x:v>
      </x:c>
      <x:c r="C9" s="47" t="str">
        <x:v>TRF-079</x:v>
      </x:c>
      <x:c r="D9" s="91" t="n">
        <x:v>46247.39615893518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4626.671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RUN-TRF-079-20260813T093000241311Z</x:v>
      </x:c>
      <x:c r="C10" s="49" t="str">
        <x:v>TRF-079</x:v>
      </x:c>
      <x:c r="D10" s="94" t="n">
        <x:v>46247.39615894676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4628.142</x:v>
      </x:c>
      <x:c r="L10" s="96" t="b">
        <x:v>0</x:v>
      </x:c>
      <x:c r="M10" s="49" t="str">
        <x:v>resp_00bdbc5ca28ae44a006a7d8eb02c908196b3419ce1b61c1f5e</x:v>
      </x:c>
      <x:c r="N10" s="60" t="n">
        <x:v>998</x:v>
      </x:c>
      <x:c r="O10" s="60" t="n">
        <x:v>143</x:v>
      </x:c>
      <x:c r="P10" s="60" t="n">
        <x:v>1141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9d67d3eb34a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RUN-TRF-079-20260813T093000241311Z</x:v>
      </x:c>
      <x:c r="B5" s="45" t="str">
        <x:v>TRF-079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</x:v>
      </x:c>
      <x:c r="J5" s="45" t="n">
        <x:v>0</x:v>
      </x:c>
    </x:row>
    <x:row r="6">
      <x:c r="A6" s="47" t="str">
        <x:v>RUN-TRF-079-20260813T093000241311Z</x:v>
      </x:c>
      <x:c r="B6" s="47" t="str">
        <x:v>TRF-079</x:v>
      </x:c>
      <x:c r="C6" s="47" t="str">
        <x:v>iceLoadCycleCoefficientK2</x:v>
      </x:c>
      <x:c r="D6" s="48" t="str">
        <x:v>https://w3id.org/nltl-benchmark/vocab#iceLoadCycleCoefficientK2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RUN-TRF-079-20260813T093000241311Z</x:v>
      </x:c>
      <x:c r="B7" s="49" t="str">
        <x:v>TRF-079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f6b31cdac44f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RUN-TRF-079-20260813T093000241311Z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RUN-TRF-079-20260813T093000241311Z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RUN-TRF-079-20260813T093000241311Z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96e7406844e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RUN-TRF-079-20260813T093000241311Z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https://w3id.org/nltl-benchmark/vocab#iceLoadCycleCoefficientK2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41895f70d447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RUN-TRF-079-20260813T093000241311Z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RUN-TRF-079-20260813T093000241311Z</x:v>
      </x:c>
      <x:c r="B5" s="45" t="str">
        <x:v>TRF-079</x:v>
      </x:c>
      <x:c r="C5" s="58" t="n">
        <x:v>1</x:v>
      </x:c>
      <x:c r="D5" s="45" t="str">
        <x:v>matcher_search</x:v>
      </x:c>
      <x:c r="E5" s="46" t="str">
        <x:v>Replace the presence-only k2 &gt;= 0.1 check with a ship-owned, branch-complete formula constraint. Locate canonical properties for h_0, H_ice, and D; compute f = (h_0 - H_ice)/(D/2) - 1; then validate k2 against 0.8-f for f&lt;0, 0.8-0.4*f for 0&lt;=f&lt;=1, 0.6-0.2*f for 1&lt;f&lt;=2.5, and exactly 0.1 via equal inclusive bounds for f&gt;2.5. Require all formula operands and applicable branch evidence, preserve their canonical owners and units, and compare derived branch results using a tolerance scaled from the expected result rather than exact decimal equality or a tolerance based on reported k2.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RUN-TRF-079-20260813T093000241311Z</x:v>
      </x:c>
      <x:c r="B6" s="49" t="str">
        <x:v>TRF-079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is supported because the only candidate is the Ship class, not a canonical property for k2, h_0, H_ice, or D.</x:v>
      </x:c>
    </x:row>
  </x:sheetData>
  <x:pageMargins left="0.7" right="0.7" top="0.75" bottom="0.75" header="0.3" footer="0.3"/>
  <x:tableParts count="1">
    <x:tablePart xmlns:r="http://schemas.openxmlformats.org/officeDocument/2006/relationships" r:id="R6879956afb4c43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RUN-TRF-079-20260813T093000241311Z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RUN-TRF-079-20260813T093000241311Z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114d0b32551d08f537bdf2334de82fdcb1a2159f6fa35bd3033aff90414ace9c</x:v>
      </x:c>
      <x:c r="G5" s="58" t="n">
        <x:v>5523</x:v>
      </x:c>
    </x:row>
    <x:row r="6">
      <x:c r="A6" s="47" t="str">
        <x:v>RUN-TRF-079-20260813T093000241311Z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bbd6f2794f76771b4b573a056001e8159a3639b5d6cd4e9b278b9e8853486773</x:v>
      </x:c>
      <x:c r="G6" s="59" t="n">
        <x:v>5365</x:v>
      </x:c>
    </x:row>
    <x:row r="7">
      <x:c r="A7" s="47" t="str">
        <x:v>RUN-TRF-079-20260813T093000241311Z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25f89906e6329bd7a049e65f31b53523d5fd4412c5a05476c0d9cf1790af59e3</x:v>
      </x:c>
      <x:c r="G7" s="59" t="n">
        <x:v>16772</x:v>
      </x:c>
    </x:row>
    <x:row r="8">
      <x:c r="A8" s="47" t="str">
        <x:v>RUN-TRF-079-20260813T093000241311Z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1f30f2038afed765f253eedde8036d0e2f039d1a4998629eca61fcf0ddbdced9</x:v>
      </x:c>
      <x:c r="G8" s="59" t="n">
        <x:v>1237</x:v>
      </x:c>
    </x:row>
    <x:row r="9">
      <x:c r="A9" s="47" t="str">
        <x:v>RUN-TRF-079-20260813T093000241311Z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ed94752a99d3d6150416f373d6f9d7006c7519f3828d49c5e115bbcf05b99e29</x:v>
      </x:c>
      <x:c r="G9" s="59" t="n">
        <x:v>1212</x:v>
      </x:c>
    </x:row>
    <x:row r="10">
      <x:c r="A10" s="47" t="str">
        <x:v>RUN-TRF-079-20260813T093000241311Z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2ee4b274f790820867469d2f5135485ac281f20a9d23bed67c7dc593e86e3d37</x:v>
      </x:c>
      <x:c r="G10" s="59" t="n">
        <x:v>510</x:v>
      </x:c>
    </x:row>
    <x:row r="11">
      <x:c r="A11" s="47" t="str">
        <x:v>RUN-TRF-079-20260813T093000241311Z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2e6b56a4ee556bbeeed62f30109e45c5897818c71939a035754a462015907ac1</x:v>
      </x:c>
      <x:c r="G11" s="59" t="n">
        <x:v>10699</x:v>
      </x:c>
    </x:row>
    <x:row r="12">
      <x:c r="A12" s="47" t="str">
        <x:v>RUN-TRF-079-20260813T093000241311Z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d3c254b20245174ca1aa072654490ac20075691ef309065c87c987d594bc3be0</x:v>
      </x:c>
      <x:c r="G12" s="59" t="n">
        <x:v>649</x:v>
      </x:c>
    </x:row>
    <x:row r="13">
      <x:c r="A13" s="47" t="str">
        <x:v>RUN-TRF-079-20260813T093000241311Z</x:v>
      </x:c>
      <x:c r="B13" s="47" t="str">
        <x:v>TRF-079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18ee6841196703110b01ace71ddb05c91a88098c55b58705b7a7e609b8c149c9</x:v>
      </x:c>
      <x:c r="G13" s="59" t="n">
        <x:v>397</x:v>
      </x:c>
    </x:row>
    <x:row r="14">
      <x:c r="A14" s="47" t="str">
        <x:v>RUN-TRF-079-20260813T093000241311Z</x:v>
      </x:c>
      <x:c r="B14" s="47" t="str">
        <x:v>TRF-079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449b6b78fe2d6d9c1af8162c17caacecac0aa1651f9ca0c9c9835261e9956379</x:v>
      </x:c>
      <x:c r="G14" s="59" t="n">
        <x:v>3270</x:v>
      </x:c>
    </x:row>
    <x:row r="15">
      <x:c r="A15" s="49" t="str">
        <x:v>RUN-TRF-079-20260813T093000241311Z</x:v>
      </x:c>
      <x:c r="B15" s="49" t="str">
        <x:v>TRF-079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da4f4ff4d0732e4fb9140debaf82cfeabab8e2f6d58869ff0a280ff639d4c717</x:v>
      </x:c>
      <x:c r="G15" s="60" t="n">
        <x:v>212</x:v>
      </x:c>
    </x:row>
  </x:sheetData>
  <x:pageMargins left="0.7" right="0.7" top="0.75" bottom="0.75" header="0.3" footer="0.3"/>
  <x:tableParts count="1">
    <x:tablePart xmlns:r="http://schemas.openxmlformats.org/officeDocument/2006/relationships" r:id="R62ce7a606c1542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RUN-TRF-079-20260813T093000241311Z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RUN-TRF-079-20260813T093000241311Z</x:v>
      </x:c>
      <x:c r="B5" s="69" t="str">
        <x:v>TRF-079</x:v>
      </x:c>
      <x:c r="C5" s="71" t="n">
        <x:v>1</x:v>
      </x:c>
      <x:c r="D5" s="69" t="str">
        <x:v>TERM_RESOLUTION_UNRESOLVED</x:v>
      </x:c>
      <x:c r="E5" s="73" t="str">
        <x:v>No exact term is supported because the only candidate is the Ship class, not a canonical property for k2, h_0, H_ice, or 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2c37c4c5548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RUN-TRF-079-20260813T093000241311Z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