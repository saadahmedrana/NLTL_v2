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84c9aafce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e4b9e792f746ee"/>
    <x:sheet xmlns:r="http://schemas.openxmlformats.org/officeDocument/2006/relationships" name="README" sheetId="2" r:id="R22b062fcd1494053"/>
    <x:sheet xmlns:r="http://schemas.openxmlformats.org/officeDocument/2006/relationships" name="REGULATION_QUEUE" sheetId="3" r:id="R041feaca0a374762"/>
    <x:sheet xmlns:r="http://schemas.openxmlformats.org/officeDocument/2006/relationships" name="RUNS" sheetId="4" r:id="Rc8823fa07e594e24"/>
    <x:sheet xmlns:r="http://schemas.openxmlformats.org/officeDocument/2006/relationships" name="ITERATIONS" sheetId="5" r:id="R3d0a0a8eb9a1421f"/>
    <x:sheet xmlns:r="http://schemas.openxmlformats.org/officeDocument/2006/relationships" name="API_CALLS" sheetId="6" r:id="R950e9cbe7da64e46"/>
    <x:sheet xmlns:r="http://schemas.openxmlformats.org/officeDocument/2006/relationships" name="TERM_RETRIEVAL" sheetId="7" r:id="R90a3a9b11f4240ad"/>
    <x:sheet xmlns:r="http://schemas.openxmlformats.org/officeDocument/2006/relationships" name="FEW_SHOT_SELECTION" sheetId="8" r:id="Rcbb525de0ff44736"/>
    <x:sheet xmlns:r="http://schemas.openxmlformats.org/officeDocument/2006/relationships" name="VALIDATION" sheetId="9" r:id="R5762f99ac6124889"/>
    <x:sheet xmlns:r="http://schemas.openxmlformats.org/officeDocument/2006/relationships" name="VOCAB_MATCHES" sheetId="10" r:id="R6ef3e1b20ce546ae"/>
    <x:sheet xmlns:r="http://schemas.openxmlformats.org/officeDocument/2006/relationships" name="ARTIFACTS" sheetId="11" r:id="R37ff148d4060463e"/>
    <x:sheet xmlns:r="http://schemas.openxmlformats.org/officeDocument/2006/relationships" name="UNRESOLVED" sheetId="12" r:id="Rad65132e79ca4849"/>
    <x:sheet xmlns:r="http://schemas.openxmlformats.org/officeDocument/2006/relationships" name="RDF_TEST_QUEUE" sheetId="13" r:id="Rb9ad339989c0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154dabd2644b3" /><Relationship Type="http://schemas.openxmlformats.org/officeDocument/2006/relationships/theme" Target="/xl/theme/theme1.xml" Id="R8a385917991b4baf" /><Relationship Type="http://schemas.microsoft.com/office/2022/11/relationships/FeaturePropertyBag" Target="/xl/featurePropertyBag/featurePropertyBag.xml" Id="R4df8b28cae8f4d0b" /><Relationship Type="http://schemas.openxmlformats.org/officeDocument/2006/relationships/sharedStrings" Target="/xl/sharedStrings.xml" Id="R28e91a8e315c4dcf" /><Relationship Type="http://schemas.openxmlformats.org/officeDocument/2006/relationships/worksheet" Target="/xl/worksheets/sheet1.xml" Id="Rcee4b9e792f746ee" /><Relationship Type="http://schemas.openxmlformats.org/officeDocument/2006/relationships/worksheet" Target="/xl/worksheets/sheet2.xml" Id="R22b062fcd1494053" /><Relationship Type="http://schemas.openxmlformats.org/officeDocument/2006/relationships/worksheet" Target="/xl/worksheets/sheet3.xml" Id="R041feaca0a374762" /><Relationship Type="http://schemas.openxmlformats.org/officeDocument/2006/relationships/worksheet" Target="/xl/worksheets/sheet4.xml" Id="Rc8823fa07e594e24" /><Relationship Type="http://schemas.openxmlformats.org/officeDocument/2006/relationships/worksheet" Target="/xl/worksheets/sheet5.xml" Id="R3d0a0a8eb9a1421f" /><Relationship Type="http://schemas.openxmlformats.org/officeDocument/2006/relationships/worksheet" Target="/xl/worksheets/sheet6.xml" Id="R950e9cbe7da64e46" /><Relationship Type="http://schemas.openxmlformats.org/officeDocument/2006/relationships/worksheet" Target="/xl/worksheets/sheet7.xml" Id="R90a3a9b11f4240ad" /><Relationship Type="http://schemas.openxmlformats.org/officeDocument/2006/relationships/worksheet" Target="/xl/worksheets/sheet8.xml" Id="Rcbb525de0ff44736" /><Relationship Type="http://schemas.openxmlformats.org/officeDocument/2006/relationships/worksheet" Target="/xl/worksheets/sheet9.xml" Id="R5762f99ac6124889" /><Relationship Type="http://schemas.openxmlformats.org/officeDocument/2006/relationships/worksheet" Target="/xl/worksheets/sheet10.xml" Id="R6ef3e1b20ce546ae" /><Relationship Type="http://schemas.openxmlformats.org/officeDocument/2006/relationships/worksheet" Target="/xl/worksheets/sheet11.xml" Id="R37ff148d4060463e" /><Relationship Type="http://schemas.openxmlformats.org/officeDocument/2006/relationships/worksheet" Target="/xl/worksheets/sheet12.xml" Id="Rad65132e79ca4849" /><Relationship Type="http://schemas.openxmlformats.org/officeDocument/2006/relationships/worksheet" Target="/xl/worksheets/sheet13.xml" Id="Rb9ad339989c04d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b0c6d51a841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ad75601bfd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2f7ac6302342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92ff784e6e4f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44db75b0f54b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d35a6072de44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0be73974054a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8fcd45bed642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b73bf9a5664b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065b636a8ef42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bd109da58ec44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RUN-TRF-080-20260813T093038718809Z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12430.591666666665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RUN-TRF-080-20260813T093038718809Z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3b0c6d51a841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TERM_RESOLUTION_UNRESOLVED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ad75601bfd41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RUN-TRF-080-20260813T093038718809Z</x:v>
      </x:c>
      <x:c r="C5" s="69" t="str">
        <x:v>TRF-080</x:v>
      </x:c>
      <x:c r="D5" s="70" t="n">
        <x:v>46247.396281469904</x:v>
      </x:c>
      <x:c r="E5" s="70" t="n">
        <x:v>46247.39672238426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ship-owned multiplied/effective ice-load-cycle result; iceLoadCycleCount and propellerBladeCount are operands, not the required computed result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f7ac6302342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RUN-TRF-080-20260813T093038718809Z</x:v>
      </x:c>
      <x:c r="B5" s="69" t="str">
        <x:v>TRF-080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only checks presence of Nice and Z and never encodes the required multiplication. Locate the canonical ship-owned property for the multiplied/effective ice-load-cycle result, then add a bounded formula constraint requiring that reported result to equal iceLoadCycleCount × propellerBladeCount within a tolerance scaled from the expected product (not exact decimal equality and not tolerance based on the reported value). Retain the ship target and ship-owned operands, with applicability determined by the presence of a propellerIceInteractionComponent.</x:v>
      </x:c>
      <x:c r="I5" s="75" t="n">
        <x:v>28737.121</x:v>
      </x:c>
      <x:c r="J5" s="75" t="n">
        <x:v>6367.178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2ff784e6e4f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RUN-TRF-080-20260813T093038718809Z</x:v>
      </x:c>
      <x:c r="C5" s="45" t="str">
        <x:v>TRF-080</x:v>
      </x:c>
      <x:c r="D5" s="88" t="n">
        <x:v>46247.396614074074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28735.492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RUN-TRF-080-20260813T093038718809Z</x:v>
      </x:c>
      <x:c r="C6" s="47" t="str">
        <x:v>TRF-080</x:v>
      </x:c>
      <x:c r="D6" s="91" t="n">
        <x:v>46247.39661409722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28737.121</x:v>
      </x:c>
      <x:c r="L6" s="93" t="b">
        <x:v>0</x:v>
      </x:c>
      <x:c r="M6" s="47" t="str">
        <x:v>resp_06d2d41f7f62ea2e006a7d8ebedfc48190b3177e5be4393c17</x:v>
      </x:c>
      <x:c r="N6" s="59" t="n">
        <x:v>4792</x:v>
      </x:c>
      <x:c r="O6" s="59" t="n">
        <x:v>1843</x:v>
      </x:c>
      <x:c r="P6" s="59" t="n">
        <x:v>6635</x:v>
      </x:c>
    </x:row>
    <x:row r="7">
      <x:c r="A7" s="47" t="str">
        <x:v>EVT-000024</x:v>
      </x:c>
      <x:c r="B7" s="47" t="str">
        <x:v>RUN-TRF-080-20260813T093038718809Z</x:v>
      </x:c>
      <x:c r="C7" s="47" t="str">
        <x:v>TRF-080</x:v>
      </x:c>
      <x:c r="D7" s="91" t="n">
        <x:v>46247.39668871528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6366.181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RUN-TRF-080-20260813T093038718809Z</x:v>
      </x:c>
      <x:c r="C8" s="47" t="str">
        <x:v>TRF-080</x:v>
      </x:c>
      <x:c r="D8" s="91" t="n">
        <x:v>46247.396688726854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6367.178</x:v>
      </x:c>
      <x:c r="L8" s="93" t="b">
        <x:v>0</x:v>
      </x:c>
      <x:c r="M8" s="47" t="str">
        <x:v>resp_0104bbabb167a791006a7d8edba9008190b49e0fe44d861434</x:v>
      </x:c>
      <x:c r="N8" s="59" t="n">
        <x:v>4125</x:v>
      </x:c>
      <x:c r="O8" s="59" t="n">
        <x:v>378</x:v>
      </x:c>
      <x:c r="P8" s="59" t="n">
        <x:v>4503</x:v>
      </x:c>
    </x:row>
    <x:row r="9">
      <x:c r="A9" s="47" t="str">
        <x:v>EVT-000031</x:v>
      </x:c>
      <x:c r="B9" s="47" t="str">
        <x:v>RUN-TRF-080-20260813T093038718809Z</x:v>
      </x:c>
      <x:c r="C9" s="47" t="str">
        <x:v>TRF-080</x:v>
      </x:c>
      <x:c r="D9" s="91" t="n">
        <x:v>46247.39672236111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2188.595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RUN-TRF-080-20260813T093038718809Z</x:v>
      </x:c>
      <x:c r="C10" s="49" t="str">
        <x:v>TRF-080</x:v>
      </x:c>
      <x:c r="D10" s="94" t="n">
        <x:v>46247.39672236111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2188.983</x:v>
      </x:c>
      <x:c r="L10" s="96" t="b">
        <x:v>0</x:v>
      </x:c>
      <x:c r="M10" s="49" t="str">
        <x:v>resp_003890aae979ba99006a7d8ee2c6b08197a7bb966e88e7868d</x:v>
      </x:c>
      <x:c r="N10" s="60" t="n">
        <x:v>1831</x:v>
      </x:c>
      <x:c r="O10" s="60" t="n">
        <x:v>90</x:v>
      </x:c>
      <x:c r="P10" s="60" t="n">
        <x:v>1921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4db75b0f54b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RUN-TRF-080-20260813T093038718809Z</x:v>
      </x:c>
      <x:c r="B5" s="45" t="str">
        <x:v>TRF-080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RUN-TRF-080-20260813T093038718809Z</x:v>
      </x:c>
      <x:c r="B6" s="47" t="str">
        <x:v>TRF-080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RUN-TRF-080-20260813T093038718809Z</x:v>
      </x:c>
      <x:c r="B7" s="47" t="str">
        <x:v>TRF-080</x:v>
      </x:c>
      <x:c r="C7" s="47" t="str">
        <x:v>iceLoadCycleCount</x:v>
      </x:c>
      <x:c r="D7" s="48" t="str">
        <x:v>https://w3id.org/nltl-benchmark/vocab#iceLoadCycleCount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RUN-TRF-080-20260813T093038718809Z</x:v>
      </x:c>
      <x:c r="B8" s="47" t="str">
        <x:v>TRF-080</x:v>
      </x:c>
      <x:c r="C8" s="47" t="str">
        <x:v>machineryComponent</x:v>
      </x:c>
      <x:c r="D8" s="48" t="str">
        <x:v>https://w3id.org/nltl-benchmark/vocab#machineryComponent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propellerIceInteractionComponent</x:v>
      </x:c>
      <x:c r="J8" s="47" t="n">
        <x:v>0</x:v>
      </x:c>
    </x:row>
    <x:row r="9">
      <x:c r="A9" s="47" t="str">
        <x:v>RUN-TRF-080-20260813T093038718809Z</x:v>
      </x:c>
      <x:c r="B9" s="47" t="str">
        <x:v>TRF-080</x:v>
      </x:c>
      <x:c r="C9" s="47" t="str">
        <x:v>propellerBladeCount</x:v>
      </x:c>
      <x:c r="D9" s="48" t="str">
        <x:v>https://w3id.org/nltl-benchmark/vocab#propellerBladeCount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RUN-TRF-080-20260813T093038718809Z</x:v>
      </x:c>
      <x:c r="B10" s="47" t="str">
        <x:v>TRF-080</x:v>
      </x:c>
      <x:c r="C10" s="47" t="str">
        <x:v>propellerIceInteractionComponent</x:v>
      </x:c>
      <x:c r="D10" s="48" t="str">
        <x:v>https://w3id.org/nltl-benchmark/vocab#propellerIceInteractionComponent</x:v>
      </x:c>
      <x:c r="E10" s="47" t="str">
        <x:v>Class</x:v>
      </x:c>
      <x:c r="F10" s="47" t="str"/>
      <x:c r="G10" s="47" t="str">
        <x:v>https://w3id.org/nltl-benchmark/vocab#machineryComponent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RUN-TRF-080-20260813T093038718809Z</x:v>
      </x:c>
      <x:c r="B11" s="47" t="str">
        <x:v>TRF-080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RUN-TRF-080-20260813T093038718809Z</x:v>
      </x:c>
      <x:c r="B12" s="49" t="str">
        <x:v>TRF-080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d35a6072de44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RUN-TRF-080-20260813T093038718809Z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RUN-TRF-080-20260813T093038718809Z</x:v>
      </x:c>
      <x:c r="B5" s="45" t="str">
        <x:v>TRF-080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RUN-TRF-080-20260813T093038718809Z</x:v>
      </x:c>
      <x:c r="B6" s="49" t="str">
        <x:v>TRF-080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be73974054a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RUN-TRF-080-20260813T093038718809Z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https://w3id.org/nltl-benchmark/vocab#hasComponent | https://w3id.org/nltl-benchmark/vocab#iceLoadCycleCount | https://w3id.org/nltl-benchmark/vocab#propellerBladeCount | https://w3id.org/nltl-benchmark/vocab#propellerIceInteractionComponent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8fcd45bed642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RUN-TRF-080-20260813T093038718809Z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RUN-TRF-080-20260813T093038718809Z</x:v>
      </x:c>
      <x:c r="B5" s="45" t="str">
        <x:v>TRF-080</x:v>
      </x:c>
      <x:c r="C5" s="58" t="n">
        <x:v>1</x:v>
      </x:c>
      <x:c r="D5" s="45" t="str">
        <x:v>matcher_search</x:v>
      </x:c>
      <x:c r="E5" s="46" t="str">
        <x:v>The candidate only checks presence of Nice and Z and never encodes the required multiplication. Locate the canonical ship-owned property for the multiplied/effective ice-load-cycle result, then add a bounded formula constraint requiring that reported result to equal iceLoadCycleCount × propellerBladeCount within a tolerance scaled from the expected product (not exact decimal equality and not tolerance based on the reported value). Retain the ship target and ship-owned operands, with applicability determined by the presence of a propellerIceInteractionComponent.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RUN-TRF-080-20260813T093038718809Z</x:v>
      </x:c>
      <x:c r="B6" s="49" t="str">
        <x:v>TRF-080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ship-owned multiplied/effective ice-load-cycle result; iceLoadCycleCount and propellerBladeCount are operands, not the required computed result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c4b73bf9a5664ba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RUN-TRF-080-20260813T093038718809Z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RUN-TRF-080-20260813T093038718809Z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1eecf58a491053c2a94d35130f2ff198372954246c926a95f9b4a29f18e3bf2f</x:v>
      </x:c>
      <x:c r="G5" s="58" t="n">
        <x:v>10060</x:v>
      </x:c>
    </x:row>
    <x:row r="6">
      <x:c r="A6" s="47" t="str">
        <x:v>RUN-TRF-080-20260813T093038718809Z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c3b04867f762579edf02fb36e71dc7f9df77f8ec17576f05cdf2c6720392ff31</x:v>
      </x:c>
      <x:c r="G6" s="59" t="n">
        <x:v>3926</x:v>
      </x:c>
    </x:row>
    <x:row r="7">
      <x:c r="A7" s="47" t="str">
        <x:v>RUN-TRF-080-20260813T093038718809Z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8460da7ef1920bf279056ec0af7cd4a70fc2af370abe45c67a7e4ce89d09f547</x:v>
      </x:c>
      <x:c r="G7" s="59" t="n">
        <x:v>19870</x:v>
      </x:c>
    </x:row>
    <x:row r="8">
      <x:c r="A8" s="47" t="str">
        <x:v>RUN-TRF-080-20260813T093038718809Z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5bef469ef1fe267dab4aa4c6288d8e988467760c011cade7e238ca024eee0e7f</x:v>
      </x:c>
      <x:c r="G8" s="59" t="n">
        <x:v>1571</x:v>
      </x:c>
    </x:row>
    <x:row r="9">
      <x:c r="A9" s="47" t="str">
        <x:v>RUN-TRF-080-20260813T093038718809Z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a66bdda05c58ab68f864b049d8f6abc13e6e065ee2a2ea99f4f6d1eecab71d6f</x:v>
      </x:c>
      <x:c r="G9" s="59" t="n">
        <x:v>1546</x:v>
      </x:c>
    </x:row>
    <x:row r="10">
      <x:c r="A10" s="47" t="str">
        <x:v>RUN-TRF-080-20260813T093038718809Z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89372d88132968eb89c3a6c4c13e1e2638955c68665e53ba595ee4974df8858d</x:v>
      </x:c>
      <x:c r="G10" s="59" t="n">
        <x:v>703</x:v>
      </x:c>
    </x:row>
    <x:row r="11">
      <x:c r="A11" s="47" t="str">
        <x:v>RUN-TRF-080-20260813T093038718809Z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29c1dd234c25b97dd9fee01fa8d957cd733042d2b82d8751b413d11400c93a45</x:v>
      </x:c>
      <x:c r="G11" s="59" t="n">
        <x:v>16879</x:v>
      </x:c>
    </x:row>
    <x:row r="12">
      <x:c r="A12" s="47" t="str">
        <x:v>RUN-TRF-080-20260813T093038718809Z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539e54df18b2c79e54f024bf470d4465ff841be090bc105ca3192843929bfb8c</x:v>
      </x:c>
      <x:c r="G12" s="59" t="n">
        <x:v>631</x:v>
      </x:c>
    </x:row>
    <x:row r="13">
      <x:c r="A13" s="47" t="str">
        <x:v>RUN-TRF-080-20260813T093038718809Z</x:v>
      </x:c>
      <x:c r="B13" s="47" t="str">
        <x:v>TRF-080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a753376d4885a04b7dee0da9326a7ffe3d67858edd0444294672643d8928c4b8</x:v>
      </x:c>
      <x:c r="G13" s="59" t="n">
        <x:v>4014</x:v>
      </x:c>
    </x:row>
    <x:row r="14">
      <x:c r="A14" s="47" t="str">
        <x:v>RUN-TRF-080-20260813T093038718809Z</x:v>
      </x:c>
      <x:c r="B14" s="47" t="str">
        <x:v>TRF-080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cae181e32ff16c3c1acf37f56631c695530f6f23f45326c8e9115ab6f766fb5a</x:v>
      </x:c>
      <x:c r="G14" s="59" t="n">
        <x:v>7131</x:v>
      </x:c>
    </x:row>
    <x:row r="15">
      <x:c r="A15" s="49" t="str">
        <x:v>RUN-TRF-080-20260813T093038718809Z</x:v>
      </x:c>
      <x:c r="B15" s="49" t="str">
        <x:v>TRF-080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d089cfe77493446791be889f52728de9130b55bb7fc27b27682ad4fe0440d0c2</x:v>
      </x:c>
      <x:c r="G15" s="60" t="n">
        <x:v>279</x:v>
      </x:c>
    </x:row>
  </x:sheetData>
  <x:pageMargins left="0.7" right="0.7" top="0.75" bottom="0.75" header="0.3" footer="0.3"/>
  <x:tableParts count="1">
    <x:tablePart xmlns:r="http://schemas.openxmlformats.org/officeDocument/2006/relationships" r:id="R3065b636a8ef42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RUN-TRF-080-20260813T093038718809Z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RUN-TRF-080-20260813T093038718809Z</x:v>
      </x:c>
      <x:c r="B5" s="69" t="str">
        <x:v>TRF-080</x:v>
      </x:c>
      <x:c r="C5" s="71" t="n">
        <x:v>1</x:v>
      </x:c>
      <x:c r="D5" s="69" t="str">
        <x:v>TERM_RESOLUTION_UNRESOLVED</x:v>
      </x:c>
      <x:c r="E5" s="73" t="str">
        <x:v>No supplied candidate represents the ship-owned multiplied/effective ice-load-cycle result; iceLoadCycleCount and propellerBladeCount are operands, not the required computed result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109da58ec44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RUN-TRF-080-20260813T093038718809Z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