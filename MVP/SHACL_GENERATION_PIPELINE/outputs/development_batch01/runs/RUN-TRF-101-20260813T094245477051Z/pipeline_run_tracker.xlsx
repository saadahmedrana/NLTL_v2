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c0fe2e4c5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ceff0215b24cb8"/>
    <x:sheet xmlns:r="http://schemas.openxmlformats.org/officeDocument/2006/relationships" name="README" sheetId="2" r:id="R9a167b44675641a8"/>
    <x:sheet xmlns:r="http://schemas.openxmlformats.org/officeDocument/2006/relationships" name="REGULATION_QUEUE" sheetId="3" r:id="Rabf9f8406fc640b6"/>
    <x:sheet xmlns:r="http://schemas.openxmlformats.org/officeDocument/2006/relationships" name="RUNS" sheetId="4" r:id="R432128a22e7d4f21"/>
    <x:sheet xmlns:r="http://schemas.openxmlformats.org/officeDocument/2006/relationships" name="ITERATIONS" sheetId="5" r:id="R863db62597d14dd9"/>
    <x:sheet xmlns:r="http://schemas.openxmlformats.org/officeDocument/2006/relationships" name="API_CALLS" sheetId="6" r:id="R2d1dd77953794728"/>
    <x:sheet xmlns:r="http://schemas.openxmlformats.org/officeDocument/2006/relationships" name="TERM_RETRIEVAL" sheetId="7" r:id="R6e4e399324324c57"/>
    <x:sheet xmlns:r="http://schemas.openxmlformats.org/officeDocument/2006/relationships" name="FEW_SHOT_SELECTION" sheetId="8" r:id="R57bf00751eaa4c48"/>
    <x:sheet xmlns:r="http://schemas.openxmlformats.org/officeDocument/2006/relationships" name="VALIDATION" sheetId="9" r:id="Rb491a38559fb4e62"/>
    <x:sheet xmlns:r="http://schemas.openxmlformats.org/officeDocument/2006/relationships" name="VOCAB_MATCHES" sheetId="10" r:id="R7aea0c3f24724f88"/>
    <x:sheet xmlns:r="http://schemas.openxmlformats.org/officeDocument/2006/relationships" name="ARTIFACTS" sheetId="11" r:id="Rb0daeab0592342a6"/>
    <x:sheet xmlns:r="http://schemas.openxmlformats.org/officeDocument/2006/relationships" name="UNRESOLVED" sheetId="12" r:id="Rbc66b136412c40e3"/>
    <x:sheet xmlns:r="http://schemas.openxmlformats.org/officeDocument/2006/relationships" name="RDF_TEST_QUEUE" sheetId="13" r:id="R4514bd32803f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f65a199614749" /><Relationship Type="http://schemas.openxmlformats.org/officeDocument/2006/relationships/theme" Target="/xl/theme/theme1.xml" Id="R4f7ee874606748e4" /><Relationship Type="http://schemas.microsoft.com/office/2022/11/relationships/FeaturePropertyBag" Target="/xl/featurePropertyBag/featurePropertyBag.xml" Id="R9aee8854882a45ab" /><Relationship Type="http://schemas.openxmlformats.org/officeDocument/2006/relationships/sharedStrings" Target="/xl/sharedStrings.xml" Id="Rf10ebceba70c42e1" /><Relationship Type="http://schemas.openxmlformats.org/officeDocument/2006/relationships/worksheet" Target="/xl/worksheets/sheet1.xml" Id="Rf4ceff0215b24cb8" /><Relationship Type="http://schemas.openxmlformats.org/officeDocument/2006/relationships/worksheet" Target="/xl/worksheets/sheet2.xml" Id="R9a167b44675641a8" /><Relationship Type="http://schemas.openxmlformats.org/officeDocument/2006/relationships/worksheet" Target="/xl/worksheets/sheet3.xml" Id="Rabf9f8406fc640b6" /><Relationship Type="http://schemas.openxmlformats.org/officeDocument/2006/relationships/worksheet" Target="/xl/worksheets/sheet4.xml" Id="R432128a22e7d4f21" /><Relationship Type="http://schemas.openxmlformats.org/officeDocument/2006/relationships/worksheet" Target="/xl/worksheets/sheet5.xml" Id="R863db62597d14dd9" /><Relationship Type="http://schemas.openxmlformats.org/officeDocument/2006/relationships/worksheet" Target="/xl/worksheets/sheet6.xml" Id="R2d1dd77953794728" /><Relationship Type="http://schemas.openxmlformats.org/officeDocument/2006/relationships/worksheet" Target="/xl/worksheets/sheet7.xml" Id="R6e4e399324324c57" /><Relationship Type="http://schemas.openxmlformats.org/officeDocument/2006/relationships/worksheet" Target="/xl/worksheets/sheet8.xml" Id="R57bf00751eaa4c48" /><Relationship Type="http://schemas.openxmlformats.org/officeDocument/2006/relationships/worksheet" Target="/xl/worksheets/sheet9.xml" Id="Rb491a38559fb4e62" /><Relationship Type="http://schemas.openxmlformats.org/officeDocument/2006/relationships/worksheet" Target="/xl/worksheets/sheet10.xml" Id="R7aea0c3f24724f88" /><Relationship Type="http://schemas.openxmlformats.org/officeDocument/2006/relationships/worksheet" Target="/xl/worksheets/sheet11.xml" Id="Rb0daeab0592342a6" /><Relationship Type="http://schemas.openxmlformats.org/officeDocument/2006/relationships/worksheet" Target="/xl/worksheets/sheet12.xml" Id="Rbc66b136412c40e3" /><Relationship Type="http://schemas.openxmlformats.org/officeDocument/2006/relationships/worksheet" Target="/xl/worksheets/sheet13.xml" Id="R4514bd32803f44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719385323442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35a650d4af4b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0c6f67b99044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9f5d5c1d3e4e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4ea9f5e93343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48cadeb1f24c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4878cd669647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39486b763f45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fa5201fa9cd4f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dc5982f908b40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63565c2a37947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RUN-TRF-101-20260813T094245477051Z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17210.022222222222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RUN-TRF-101-20260813T094245477051Z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719385323442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RUN-TRF-101-20260813T094245477051Z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MAX_ATTEMPTS_REACHED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35a650d4af4b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RUN-TRF-101-20260813T094245477051Z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RUN-TRF-101-20260813T094245477051Z</x:v>
      </x:c>
      <x:c r="C5" s="69" t="str">
        <x:v>TRF-101</x:v>
      </x:c>
      <x:c r="D5" s="70" t="n">
        <x:v>46247.404693020835</x:v>
      </x:c>
      <x:c r="E5" s="70" t="n">
        <x:v>46247.40652325231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Encode the full regulatory alternative: either approved non-linear plastic stress-analysis evidence determines bladeFailureUltimateLoad, or verify F_ex = 300*c*t^2*sigma_ref1/(0.8*D - 2*r) using the actual chord length, maximum thickness, cylindrical-root radius, and sigma_ref1 = 0.6*sigma_0.2 + 0.4*sigma_u. Also encode that the load acts at 0.8R in the weakest blade direction. Use formula-result-scaled tolerance for derived decimals and preserve the conditional failed-status rule when tip offset exceeds 0.10D without allowing missing branch-selection evidence to pass. Locate canonical terms for the omitted operands, analysis evidence, and load application/direction semantics; do not approximate them with mere load presence.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0c6f67b99044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RUN-TRF-101-20260813T094245477051Z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RUN-TRF-101-20260813T094245477051Z</x:v>
      </x:c>
      <x:c r="B5" s="45" t="str">
        <x:v>TRF-101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candidate encodes only the blade-tip failure-status implication and omits the principal obligations. Add an exclusive alternative requiring either approved non-linear plastic stress-analysis evidence or bladeFailureUltimateLoad computed as 300*c*t^2*bladeReferenceStrength1/(0.8*D-2*r), with bladeReferenceStrength1 computed as 0.6*sigma_0.2+0.4*sigma_u; validate derived results using tolerance scaled from the expected result. Also encode that the load acts at 0.8R in the weakest blade direction. Keep all supplied ship-owned facts on nltl:ship and preserve the strict offset &gt; 0.10*diameter implication. Canonical terms for the missing operands, analysis evidence, and load application semantics must be located by the matcher.</x:v>
      </x:c>
      <x:c r="I5" s="84" t="n">
        <x:v>24516.683</x:v>
      </x:c>
      <x:c r="J5" s="84" t="n">
        <x:v>7902.34</x:v>
      </x:c>
    </x:row>
    <x:row r="6">
      <x:c r="A6" s="47" t="str">
        <x:v>RUN-TRF-101-20260813T094245477051Z</x:v>
      </x:c>
      <x:c r="B6" s="47" t="str">
        <x:v>TRF-101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The graph encodes only the tip-offset failure condition and presence of the ultimate load; it omits the principal alternative: either approved non-linear stress-analysis evidence or verification of F_ex = 300*c*t^2*sigma_ref1/(0.8*D-2*r), as well as sigma_ref1 = 0.6*sigma_0.2+0.4*sigma_u and evidence that the load acts at 0.8R in the weakest blade direction. Locate canonical terms for the absent operands and analysis/application evidence, then model the two load-determination methods as exclusive alternatives without allowing missing branch-selection evidence to pass. Validate derived decimal results with tolerance scaled from each expected formula result, retain kN/MPa/m units, and make all required operands present in the formula branch. Keep the ship as target. Strengthen the conditional status check so offset &gt; 0.10*diameter requires a single boolean true value and cannot pass with an additional false value.</x:v>
      </x:c>
      <x:c r="I6" s="86" t="n">
        <x:v>37777.117</x:v>
      </x:c>
      <x:c r="J6" s="86" t="n">
        <x:v>10005.545</x:v>
      </x:c>
    </x:row>
    <x:row r="7">
      <x:c r="A7" s="49" t="str">
        <x:v>RUN-TRF-101-20260813T094245477051Z</x:v>
      </x:c>
      <x:c r="B7" s="49" t="str">
        <x:v>TRF-101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Encode the full regulatory alternative: either approved non-linear plastic stress-analysis evidence determines bladeFailureUltimateLoad, or verify F_ex = 300*c*t^2*sigma_ref1/(0.8*D - 2*r) using the actual chord length, maximum thickness, cylindrical-root radius, and sigma_ref1 = 0.6*sigma_0.2 + 0.4*sigma_u. Also encode that the load acts at 0.8R in the weakest blade direction. Use formula-result-scaled tolerance for derived decimals and preserve the conditional failed-status rule when tip offset exceeds 0.10D without allowing missing branch-selection evidence to pass. Locate canonical terms for the omitted operands, analysis evidence, and load application/direction semantics; do not approximate them with mere load presence.</x:v>
      </x:c>
      <x:c r="I7" s="88" t="n">
        <x:v>57753.694</x:v>
      </x:c>
      <x:c r="J7" s="88" t="n">
        <x:v>7519.188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9f5d5c1d3e4e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RUN-TRF-101-20260813T094245477051Z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RUN-TRF-101-20260813T094245477051Z</x:v>
      </x:c>
      <x:c r="C5" s="45" t="str">
        <x:v>TRF-101</x:v>
      </x:c>
      <x:c r="D5" s="92" t="n">
        <x:v>46247.404976770835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24514.862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RUN-TRF-101-20260813T094245477051Z</x:v>
      </x:c>
      <x:c r="C6" s="47" t="str">
        <x:v>TRF-101</x:v>
      </x:c>
      <x:c r="D6" s="93" t="n">
        <x:v>46247.40497679398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24516.683</x:v>
      </x:c>
      <x:c r="L6" s="85" t="b">
        <x:v>0</x:v>
      </x:c>
      <x:c r="M6" s="47" t="str">
        <x:v>resp_083a2c10ce4cd1fb006a7d91959de88196a0f3592492e6fd5b</x:v>
      </x:c>
      <x:c r="N6" s="59" t="n">
        <x:v>5735</x:v>
      </x:c>
      <x:c r="O6" s="59" t="n">
        <x:v>1543</x:v>
      </x:c>
      <x:c r="P6" s="59" t="n">
        <x:v>7278</x:v>
      </x:c>
    </x:row>
    <x:row r="7">
      <x:c r="A7" s="47" t="str">
        <x:v>EVT-000025</x:v>
      </x:c>
      <x:c r="B7" s="47" t="str">
        <x:v>RUN-TRF-101-20260813T094245477051Z</x:v>
      </x:c>
      <x:c r="C7" s="47" t="str">
        <x:v>TRF-101</x:v>
      </x:c>
      <x:c r="D7" s="93" t="n">
        <x:v>46247.40506922454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7900.382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RUN-TRF-101-20260813T094245477051Z</x:v>
      </x:c>
      <x:c r="C8" s="47" t="str">
        <x:v>TRF-101</x:v>
      </x:c>
      <x:c r="D8" s="93" t="n">
        <x:v>46247.40506924769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7902.34</x:v>
      </x:c>
      <x:c r="L8" s="85" t="b">
        <x:v>0</x:v>
      </x:c>
      <x:c r="M8" s="47" t="str">
        <x:v>resp_0bafae8f97d08e2c006a7d91ae34b48193a1d9d61d3554d5ed</x:v>
      </x:c>
      <x:c r="N8" s="59" t="n">
        <x:v>4944</x:v>
      </x:c>
      <x:c r="O8" s="59" t="n">
        <x:v>458</x:v>
      </x:c>
      <x:c r="P8" s="59" t="n">
        <x:v>5402</x:v>
      </x:c>
    </x:row>
    <x:row r="9">
      <x:c r="A9" s="47" t="str">
        <x:v>EVT-000032</x:v>
      </x:c>
      <x:c r="B9" s="47" t="str">
        <x:v>RUN-TRF-101-20260813T094245477051Z</x:v>
      </x:c>
      <x:c r="C9" s="47" t="str">
        <x:v>TRF-101</x:v>
      </x:c>
      <x:c r="D9" s="93" t="n">
        <x:v>46247.40511306713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2934.911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RUN-TRF-101-20260813T094245477051Z</x:v>
      </x:c>
      <x:c r="C10" s="47" t="str">
        <x:v>TRF-101</x:v>
      </x:c>
      <x:c r="D10" s="93" t="n">
        <x:v>46247.40511309028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2936.667</x:v>
      </x:c>
      <x:c r="L10" s="85" t="b">
        <x:v>0</x:v>
      </x:c>
      <x:c r="M10" s="47" t="str">
        <x:v>resp_0f69e04f5fa32fbe006a7d91b709108196b41f17efd01654e5</x:v>
      </x:c>
      <x:c r="N10" s="59" t="n">
        <x:v>1627</x:v>
      </x:c>
      <x:c r="O10" s="59" t="n">
        <x:v>201</x:v>
      </x:c>
      <x:c r="P10" s="59" t="n">
        <x:v>1828</x:v>
      </x:c>
    </x:row>
    <x:row r="11">
      <x:c r="A11" s="47" t="str">
        <x:v>EVT-000049</x:v>
      </x:c>
      <x:c r="B11" s="47" t="str">
        <x:v>RUN-TRF-101-20260813T094245477051Z</x:v>
      </x:c>
      <x:c r="C11" s="47" t="str">
        <x:v>TRF-101</x:v>
      </x:c>
      <x:c r="D11" s="93" t="n">
        <x:v>46247.40555040509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37775.401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RUN-TRF-101-20260813T094245477051Z</x:v>
      </x:c>
      <x:c r="C12" s="47" t="str">
        <x:v>TRF-101</x:v>
      </x:c>
      <x:c r="D12" s="93" t="n">
        <x:v>46247.40555041667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37777.117</x:v>
      </x:c>
      <x:c r="L12" s="85" t="b">
        <x:v>0</x:v>
      </x:c>
      <x:c r="M12" s="47" t="str">
        <x:v>resp_0c525a9feea83531006a7d91ba00008196905e35165602ae63</x:v>
      </x:c>
      <x:c r="N12" s="59" t="n">
        <x:v>5990</x:v>
      </x:c>
      <x:c r="O12" s="59" t="n">
        <x:v>2250</x:v>
      </x:c>
      <x:c r="P12" s="59" t="n">
        <x:v>8240</x:v>
      </x:c>
    </x:row>
    <x:row r="13">
      <x:c r="A13" s="47" t="str">
        <x:v>EVT-000057</x:v>
      </x:c>
      <x:c r="B13" s="47" t="str">
        <x:v>RUN-TRF-101-20260813T094245477051Z</x:v>
      </x:c>
      <x:c r="C13" s="47" t="str">
        <x:v>TRF-101</x:v>
      </x:c>
      <x:c r="D13" s="93" t="n">
        <x:v>46247.405667743056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10003.795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RUN-TRF-101-20260813T094245477051Z</x:v>
      </x:c>
      <x:c r="C14" s="47" t="str">
        <x:v>TRF-101</x:v>
      </x:c>
      <x:c r="D14" s="93" t="n">
        <x:v>46247.4056677662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10005.545</x:v>
      </x:c>
      <x:c r="L14" s="85" t="b">
        <x:v>0</x:v>
      </x:c>
      <x:c r="M14" s="47" t="str">
        <x:v>resp_03dcfe9706824272006a7d91dfd3bc8195a8cfa3f639b4b73e</x:v>
      </x:c>
      <x:c r="N14" s="59" t="n">
        <x:v>5451</x:v>
      </x:c>
      <x:c r="O14" s="59" t="n">
        <x:v>533</x:v>
      </x:c>
      <x:c r="P14" s="59" t="n">
        <x:v>5984</x:v>
      </x:c>
    </x:row>
    <x:row r="15">
      <x:c r="A15" s="47" t="str">
        <x:v>EVT-000064</x:v>
      </x:c>
      <x:c r="B15" s="47" t="str">
        <x:v>RUN-TRF-101-20260813T094245477051Z</x:v>
      </x:c>
      <x:c r="C15" s="47" t="str">
        <x:v>TRF-101</x:v>
      </x:c>
      <x:c r="D15" s="93" t="n">
        <x:v>46247.40571158565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2695.31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RUN-TRF-101-20260813T094245477051Z</x:v>
      </x:c>
      <x:c r="C16" s="47" t="str">
        <x:v>TRF-101</x:v>
      </x:c>
      <x:c r="D16" s="93" t="n">
        <x:v>46247.40571160879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2697.036</x:v>
      </x:c>
      <x:c r="L16" s="85" t="b">
        <x:v>0</x:v>
      </x:c>
      <x:c r="M16" s="47" t="str">
        <x:v>resp_086d534976eedd3d006a7d91eaf03c8196aa7a635aeea1c291</x:v>
      </x:c>
      <x:c r="N16" s="59" t="n">
        <x:v>1418</x:v>
      </x:c>
      <x:c r="O16" s="59" t="n">
        <x:v>159</x:v>
      </x:c>
      <x:c r="P16" s="59" t="n">
        <x:v>1577</x:v>
      </x:c>
    </x:row>
    <x:row r="17">
      <x:c r="A17" s="47" t="str">
        <x:v>EVT-000081</x:v>
      </x:c>
      <x:c r="B17" s="47" t="str">
        <x:v>RUN-TRF-101-20260813T094245477051Z</x:v>
      </x:c>
      <x:c r="C17" s="47" t="str">
        <x:v>TRF-101</x:v>
      </x:c>
      <x:c r="D17" s="93" t="n">
        <x:v>46247.406380127315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57751.869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RUN-TRF-101-20260813T094245477051Z</x:v>
      </x:c>
      <x:c r="C18" s="47" t="str">
        <x:v>TRF-101</x:v>
      </x:c>
      <x:c r="D18" s="93" t="n">
        <x:v>46247.40638015046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57753.694</x:v>
      </x:c>
      <x:c r="L18" s="85" t="b">
        <x:v>0</x:v>
      </x:c>
      <x:c r="M18" s="47" t="str">
        <x:v>resp_0dd588b3c703d2ff006a7d91eda640819783740dd90175067d</x:v>
      </x:c>
      <x:c r="N18" s="59" t="n">
        <x:v>6289</x:v>
      </x:c>
      <x:c r="O18" s="59" t="n">
        <x:v>3574</x:v>
      </x:c>
      <x:c r="P18" s="59" t="n">
        <x:v>9863</x:v>
      </x:c>
    </x:row>
    <x:row r="19">
      <x:c r="A19" s="47" t="str">
        <x:v>EVT-000089</x:v>
      </x:c>
      <x:c r="B19" s="47" t="str">
        <x:v>RUN-TRF-101-20260813T094245477051Z</x:v>
      </x:c>
      <x:c r="C19" s="47" t="str">
        <x:v>TRF-101</x:v>
      </x:c>
      <x:c r="D19" s="93" t="n">
        <x:v>46247.40646892361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7518.16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EVT-000090</x:v>
      </x:c>
      <x:c r="B20" s="47" t="str">
        <x:v>RUN-TRF-101-20260813T094245477051Z</x:v>
      </x:c>
      <x:c r="C20" s="47" t="str">
        <x:v>TRF-101</x:v>
      </x:c>
      <x:c r="D20" s="93" t="n">
        <x:v>46247.40646893519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7519.188</x:v>
      </x:c>
      <x:c r="L20" s="85" t="b">
        <x:v>0</x:v>
      </x:c>
      <x:c r="M20" s="47" t="str">
        <x:v>resp_0b3db6332359ede5006a7d922784188195898bfbd01c6b6115</x:v>
      </x:c>
      <x:c r="N20" s="59" t="n">
        <x:v>5319</x:v>
      </x:c>
      <x:c r="O20" s="59" t="n">
        <x:v>413</x:v>
      </x:c>
      <x:c r="P20" s="59" t="n">
        <x:v>5732</x:v>
      </x:c>
    </x:row>
    <x:row r="21">
      <x:c r="A21" s="47" t="str">
        <x:v>EVT-000096</x:v>
      </x:c>
      <x:c r="B21" s="47" t="str">
        <x:v>RUN-TRF-101-20260813T094245477051Z</x:v>
      </x:c>
      <x:c r="C21" s="47" t="str">
        <x:v>TRF-101</x:v>
      </x:c>
      <x:c r="D21" s="93" t="n">
        <x:v>46247.40652318287</x:v>
      </x:c>
      <x:c r="E21" s="47" t="str">
        <x:v>vocabulary_matcher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3787.76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EVT-000097</x:v>
      </x:c>
      <x:c r="B22" s="49" t="str">
        <x:v>RUN-TRF-101-20260813T094245477051Z</x:v>
      </x:c>
      <x:c r="C22" s="49" t="str">
        <x:v>TRF-101</x:v>
      </x:c>
      <x:c r="D22" s="94" t="n">
        <x:v>46247.40652320602</x:v>
      </x:c>
      <x:c r="E22" s="49" t="str">
        <x:v>vocabulary_matcher</x:v>
      </x:c>
      <x:c r="F22" s="49" t="str">
        <x:v>gpt-5.6-sol-2026-07-09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3789.68</x:v>
      </x:c>
      <x:c r="L22" s="87" t="b">
        <x:v>0</x:v>
      </x:c>
      <x:c r="M22" s="49" t="str">
        <x:v>resp_05c83c188c8bc655006a7d923007308197af01f1b9302dc394</x:v>
      </x:c>
      <x:c r="N22" s="60" t="n">
        <x:v>1860</x:v>
      </x:c>
      <x:c r="O22" s="60" t="n">
        <x:v>232</x:v>
      </x:c>
      <x:c r="P22" s="60" t="n">
        <x:v>2092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ea9f5e93343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RUN-TRF-101-20260813T094245477051Z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RUN-TRF-101-20260813T094245477051Z</x:v>
      </x:c>
      <x:c r="B5" s="45" t="str">
        <x:v>TRF-101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5" s="45" t="n">
        <x:v>0</x:v>
      </x:c>
    </x:row>
    <x:row r="6">
      <x:c r="A6" s="47" t="str">
        <x:v>RUN-TRF-101-20260813T094245477051Z</x:v>
      </x:c>
      <x:c r="B6" s="47" t="str">
        <x:v>TRF-101</x:v>
      </x:c>
      <x:c r="C6" s="47" t="str">
        <x:v>bladeFailureStatus</x:v>
      </x:c>
      <x:c r="D6" s="48" t="str">
        <x:v>https://w3id.org/nltl-benchmark/vocab#bladeFailureStatus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RUN-TRF-101-20260813T094245477051Z</x:v>
      </x:c>
      <x:c r="B7" s="47" t="str">
        <x:v>TRF-101</x:v>
      </x:c>
      <x:c r="C7" s="47" t="str">
        <x:v>bladeFailureUltimateLoad</x:v>
      </x:c>
      <x:c r="D7" s="48" t="str">
        <x:v>https://w3id.org/nltl-benchmark/vocab#bladeFailureUltimateLoad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RUN-TRF-101-20260813T094245477051Z</x:v>
      </x:c>
      <x:c r="B8" s="47" t="str">
        <x:v>TRF-101</x:v>
      </x:c>
      <x:c r="C8" s="47" t="str">
        <x:v>bladeReferenceStrength1</x:v>
      </x:c>
      <x:c r="D8" s="48" t="str">
        <x:v>https://w3id.org/nltl-benchmark/vocab#bladeReferenceStrength1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RUN-TRF-101-20260813T094245477051Z</x:v>
      </x:c>
      <x:c r="B9" s="47" t="str">
        <x:v>TRF-101</x:v>
      </x:c>
      <x:c r="C9" s="47" t="str">
        <x:v>bladeTipOffset</x:v>
      </x:c>
      <x:c r="D9" s="48" t="str">
        <x:v>https://w3id.org/nltl-benchmark/vocab#bladeTipOffset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RUN-TRF-101-20260813T094245477051Z</x:v>
      </x:c>
      <x:c r="B10" s="47" t="str">
        <x:v>TRF-101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RUN-TRF-101-20260813T094245477051Z</x:v>
      </x:c>
      <x:c r="B11" s="47" t="str">
        <x:v>TRF-101</x:v>
      </x:c>
      <x:c r="C11" s="47" t="str">
        <x:v>propellerDiameter</x:v>
      </x:c>
      <x:c r="D11" s="48" t="str">
        <x:v>https://w3id.org/nltl-benchmark/vocab#propellerDiameter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RUN-TRF-101-20260813T094245477051Z</x:v>
      </x:c>
      <x:c r="B12" s="47" t="str">
        <x:v>TRF-101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RUN-TRF-101-20260813T094245477051Z</x:v>
      </x:c>
      <x:c r="B13" s="47" t="str">
        <x:v>TRF-101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RUN-TRF-101-20260813T094245477051Z</x:v>
      </x:c>
      <x:c r="B14" s="47" t="str">
        <x:v>TRF-101</x:v>
      </x:c>
      <x:c r="C14" s="47" t="str">
        <x:v>benchmarkEntity</x:v>
      </x:c>
      <x:c r="D14" s="48" t="str">
        <x:v>https://w3id.org/nltl-benchmark/vocab#benchmarkEntity</x:v>
      </x:c>
      <x:c r="E14" s="47" t="str">
        <x:v>Class</x:v>
      </x:c>
      <x:c r="F14" s="47" t="str"/>
      <x:c r="G14" s="47" t="str"/>
      <x:c r="H14" s="47" t="str"/>
      <x:c r="I14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14" s="47" t="n">
        <x:v>2</x:v>
      </x:c>
    </x:row>
    <x:row r="15">
      <x:c r="A15" s="47" t="str">
        <x:v>RUN-TRF-101-20260813T094245477051Z</x:v>
      </x:c>
      <x:c r="B15" s="47" t="str">
        <x:v>TRF-101</x:v>
      </x:c>
      <x:c r="C15" s="47" t="str">
        <x:v>bladeFailureStatus</x:v>
      </x:c>
      <x:c r="D15" s="48" t="str">
        <x:v>https://w3id.org/nltl-benchmark/vocab#bladeFailureStatus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2</x:v>
      </x:c>
    </x:row>
    <x:row r="16">
      <x:c r="A16" s="47" t="str">
        <x:v>RUN-TRF-101-20260813T094245477051Z</x:v>
      </x:c>
      <x:c r="B16" s="47" t="str">
        <x:v>TRF-101</x:v>
      </x:c>
      <x:c r="C16" s="47" t="str">
        <x:v>bladeFailureUltimateLoad</x:v>
      </x:c>
      <x:c r="D16" s="48" t="str">
        <x:v>https://w3id.org/nltl-benchmark/vocab#bladeFailureUltimateLoad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</x:v>
      </x:c>
      <x:c r="I16" s="48" t="str">
        <x:v>linked by the locked 313-requirement index; verified vocabulary-matcher addition</x:v>
      </x:c>
      <x:c r="J16" s="47" t="n">
        <x:v>2</x:v>
      </x:c>
    </x:row>
    <x:row r="17">
      <x:c r="A17" s="47" t="str">
        <x:v>RUN-TRF-101-20260813T094245477051Z</x:v>
      </x:c>
      <x:c r="B17" s="47" t="str">
        <x:v>TRF-101</x:v>
      </x:c>
      <x:c r="C17" s="47" t="str">
        <x:v>bladeReferenceStrength1</x:v>
      </x:c>
      <x:c r="D17" s="48" t="str">
        <x:v>https://w3id.org/nltl-benchmark/vocab#bladeReferenceStrength1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2</x:v>
      </x:c>
    </x:row>
    <x:row r="18">
      <x:c r="A18" s="47" t="str">
        <x:v>RUN-TRF-101-20260813T094245477051Z</x:v>
      </x:c>
      <x:c r="B18" s="47" t="str">
        <x:v>TRF-101</x:v>
      </x:c>
      <x:c r="C18" s="47" t="str">
        <x:v>bladeTipOffset</x:v>
      </x:c>
      <x:c r="D18" s="48" t="str">
        <x:v>https://w3id.org/nltl-benchmark/vocab#bladeTipOffset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2</x:v>
      </x:c>
    </x:row>
    <x:row r="19">
      <x:c r="A19" s="47" t="str">
        <x:v>RUN-TRF-101-20260813T094245477051Z</x:v>
      </x:c>
      <x:c r="B19" s="47" t="str">
        <x:v>TRF-101</x:v>
      </x:c>
      <x:c r="C19" s="47" t="str">
        <x:v>hasComponent</x:v>
      </x:c>
      <x:c r="D19" s="48" t="str">
        <x:v>https://w3id.org/nltl-benchmark/vocab#hasComponent</x:v>
      </x:c>
      <x:c r="E19" s="47" t="str">
        <x:v>ObjectProperty</x:v>
      </x:c>
      <x:c r="F19" s="47" t="str"/>
      <x:c r="G19" s="47" t="str">
        <x:v>https://w3id.org/nltl-benchmark/vocab#shipComponent</x:v>
      </x:c>
      <x:c r="H19" s="47" t="str"/>
      <x:c r="I19" s="48" t="str">
        <x:v>component-path dependency inferred from the linked term module</x:v>
      </x:c>
      <x:c r="J19" s="47" t="n">
        <x:v>2</x:v>
      </x:c>
    </x:row>
    <x:row r="20">
      <x:c r="A20" s="47" t="str">
        <x:v>RUN-TRF-101-20260813T094245477051Z</x:v>
      </x:c>
      <x:c r="B20" s="47" t="str">
        <x:v>TRF-101</x:v>
      </x:c>
      <x:c r="C20" s="47" t="str">
        <x:v>propellerDiameter</x:v>
      </x:c>
      <x:c r="D20" s="48" t="str">
        <x:v>https://w3id.org/nltl-benchmark/vocab#propellerDiameter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2</x:v>
      </x:c>
    </x:row>
    <x:row r="21">
      <x:c r="A21" s="47" t="str">
        <x:v>RUN-TRF-101-20260813T094245477051Z</x:v>
      </x:c>
      <x:c r="B21" s="47" t="str">
        <x:v>TRF-101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</x:v>
      </x:c>
      <x:c r="J21" s="47" t="n">
        <x:v>2</x:v>
      </x:c>
    </x:row>
    <x:row r="22">
      <x:c r="A22" s="47" t="str">
        <x:v>RUN-TRF-101-20260813T094245477051Z</x:v>
      </x:c>
      <x:c r="B22" s="47" t="str">
        <x:v>TRF-101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2</x:v>
      </x:c>
    </x:row>
    <x:row r="23">
      <x:c r="A23" s="47" t="str">
        <x:v>RUN-TRF-101-20260813T094245477051Z</x:v>
      </x:c>
      <x:c r="B23" s="47" t="str">
        <x:v>TRF-101</x:v>
      </x:c>
      <x:c r="C23" s="47" t="str">
        <x:v>benchmarkEntity</x:v>
      </x:c>
      <x:c r="D23" s="48" t="str">
        <x:v>https://w3id.org/nltl-benchmark/vocab#benchmarkEntity</x:v>
      </x:c>
      <x:c r="E23" s="47" t="str">
        <x:v>Class</x:v>
      </x:c>
      <x:c r="F23" s="47" t="str"/>
      <x:c r="G23" s="47" t="str"/>
      <x:c r="H23" s="47" t="str"/>
      <x:c r="I23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23" s="47" t="n">
        <x:v>3</x:v>
      </x:c>
    </x:row>
    <x:row r="24">
      <x:c r="A24" s="47" t="str">
        <x:v>RUN-TRF-101-20260813T094245477051Z</x:v>
      </x:c>
      <x:c r="B24" s="47" t="str">
        <x:v>TRF-101</x:v>
      </x:c>
      <x:c r="C24" s="47" t="str">
        <x:v>bladeFailureStatus</x:v>
      </x:c>
      <x:c r="D24" s="48" t="str">
        <x:v>https://w3id.org/nltl-benchmark/vocab#bladeFailureStatus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3</x:v>
      </x:c>
    </x:row>
    <x:row r="25">
      <x:c r="A25" s="47" t="str">
        <x:v>RUN-TRF-101-20260813T094245477051Z</x:v>
      </x:c>
      <x:c r="B25" s="47" t="str">
        <x:v>TRF-101</x:v>
      </x:c>
      <x:c r="C25" s="47" t="str">
        <x:v>bladeFailureUltimateLoad</x:v>
      </x:c>
      <x:c r="D25" s="48" t="str">
        <x:v>https://w3id.org/nltl-benchmark/vocab#bladeFailureUltimateLoad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http://qudt.org/vocab/unit/KiloN</x:v>
      </x:c>
      <x:c r="I25" s="48" t="str">
        <x:v>linked by the locked 313-requirement index; verified vocabulary-matcher addition</x:v>
      </x:c>
      <x:c r="J25" s="47" t="n">
        <x:v>3</x:v>
      </x:c>
    </x:row>
    <x:row r="26">
      <x:c r="A26" s="47" t="str">
        <x:v>RUN-TRF-101-20260813T094245477051Z</x:v>
      </x:c>
      <x:c r="B26" s="47" t="str">
        <x:v>TRF-101</x:v>
      </x:c>
      <x:c r="C26" s="47" t="str">
        <x:v>bladeReferenceStrength1</x:v>
      </x:c>
      <x:c r="D26" s="48" t="str">
        <x:v>https://w3id.org/nltl-benchmark/vocab#bladeReferenceStrength1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index; verified vocabulary-matcher addition</x:v>
      </x:c>
      <x:c r="J26" s="47" t="n">
        <x:v>3</x:v>
      </x:c>
    </x:row>
    <x:row r="27">
      <x:c r="A27" s="47" t="str">
        <x:v>RUN-TRF-101-20260813T094245477051Z</x:v>
      </x:c>
      <x:c r="B27" s="47" t="str">
        <x:v>TRF-101</x:v>
      </x:c>
      <x:c r="C27" s="47" t="str">
        <x:v>bladeTipOffset</x:v>
      </x:c>
      <x:c r="D27" s="48" t="str">
        <x:v>https://w3id.org/nltl-benchmark/vocab#bladeTipOffset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3</x:v>
      </x:c>
    </x:row>
    <x:row r="28">
      <x:c r="A28" s="47" t="str">
        <x:v>RUN-TRF-101-20260813T094245477051Z</x:v>
      </x:c>
      <x:c r="B28" s="47" t="str">
        <x:v>TRF-101</x:v>
      </x:c>
      <x:c r="C28" s="47" t="str">
        <x:v>hasComponent</x:v>
      </x:c>
      <x:c r="D28" s="48" t="str">
        <x:v>https://w3id.org/nltl-benchmark/vocab#hasComponent</x:v>
      </x:c>
      <x:c r="E28" s="47" t="str">
        <x:v>ObjectProperty</x:v>
      </x:c>
      <x:c r="F28" s="47" t="str"/>
      <x:c r="G28" s="47" t="str">
        <x:v>https://w3id.org/nltl-benchmark/vocab#shipComponent</x:v>
      </x:c>
      <x:c r="H28" s="47" t="str"/>
      <x:c r="I28" s="48" t="str">
        <x:v>component-path dependency inferred from the linked term module</x:v>
      </x:c>
      <x:c r="J28" s="47" t="n">
        <x:v>3</x:v>
      </x:c>
    </x:row>
    <x:row r="29">
      <x:c r="A29" s="47" t="str">
        <x:v>RUN-TRF-101-20260813T094245477051Z</x:v>
      </x:c>
      <x:c r="B29" s="47" t="str">
        <x:v>TRF-101</x:v>
      </x:c>
      <x:c r="C29" s="47" t="str">
        <x:v>propellerDiameter</x:v>
      </x:c>
      <x:c r="D29" s="48" t="str">
        <x:v>https://w3id.org/nltl-benchmark/vocab#propellerDiameter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3</x:v>
      </x:c>
    </x:row>
    <x:row r="30">
      <x:c r="A30" s="47" t="str">
        <x:v>RUN-TRF-101-20260813T094245477051Z</x:v>
      </x:c>
      <x:c r="B30" s="47" t="str">
        <x:v>TRF-101</x:v>
      </x:c>
      <x:c r="C30" s="47" t="str">
        <x:v>ship</x:v>
      </x:c>
      <x:c r="D30" s="48" t="str">
        <x:v>https://w3id.org/nltl-benchmark/vocab#ship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3</x:v>
      </x:c>
    </x:row>
    <x:row r="31">
      <x:c r="A31" s="49" t="str">
        <x:v>RUN-TRF-101-20260813T094245477051Z</x:v>
      </x:c>
      <x:c r="B31" s="49" t="str">
        <x:v>TRF-101</x:v>
      </x:c>
      <x:c r="C31" s="49" t="str">
        <x:v>shipComponent</x:v>
      </x:c>
      <x:c r="D31" s="50" t="str">
        <x:v>https://w3id.org/nltl-benchmark/vocab#shipComponent</x:v>
      </x:c>
      <x:c r="E31" s="49" t="str">
        <x:v>Class</x:v>
      </x:c>
      <x:c r="F31" s="49" t="str"/>
      <x:c r="G31" s="49" t="str"/>
      <x:c r="H31" s="49" t="str"/>
      <x:c r="I31" s="50" t="str">
        <x:v>component-path dependency inferred from the linked term module</x:v>
      </x:c>
      <x:c r="J31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1348cadeb1f24c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RUN-TRF-101-20260813T094245477051Z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RUN-TRF-101-20260813T094245477051Z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0.039216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RUN-TRF-101-20260813T094245477051Z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0.029126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4878cd669647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RUN-TRF-101-20260813T094245477051Z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RUN-TRF-101-20260813T094245477051Z</x:v>
      </x:c>
      <x:c r="B5" s="45" t="str">
        <x:v>TRF-101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https://w3id.org/nltl-benchmark/vocab#bladeFailureStatus | https://w3id.org/nltl-benchmark/vocab#bladeTipOffset | https://w3id.org/nltl-benchmark/vocab#propellerDiameter | https://w3id.org/nltl-benchmark/vocab#ship</x:v>
      </x:c>
      <x:c r="O5" s="46" t="str"/>
      <x:c r="P5" s="46" t="str"/>
      <x:c r="Q5" s="46" t="str"/>
    </x:row>
    <x:row r="6">
      <x:c r="A6" s="47" t="str">
        <x:v>RUN-TRF-101-20260813T094245477051Z</x:v>
      </x:c>
      <x:c r="B6" s="47" t="str">
        <x:v>TRF-101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https://w3id.org/nltl-benchmark/vocab#bladeFailureStatus | https://w3id.org/nltl-benchmark/vocab#bladeFailureUltimateLoad | https://w3id.org/nltl-benchmark/vocab#bladeReferenceStrength1 | https://w3id.org/nltl-benchmark/vocab#bladeTipOffset | https://w3id.org/nltl-benchmark/vocab#propellerDiameter | https://w3id.org/nltl-benchmark/vocab#ship</x:v>
      </x:c>
      <x:c r="O6" s="48" t="str"/>
      <x:c r="P6" s="48" t="str"/>
      <x:c r="Q6" s="48" t="str"/>
    </x:row>
    <x:row r="7">
      <x:c r="A7" s="49" t="str">
        <x:v>RUN-TRF-101-20260813T094245477051Z</x:v>
      </x:c>
      <x:c r="B7" s="49" t="str">
        <x:v>TRF-101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https://w3id.org/nltl-benchmark/vocab#bladeFailureStatus | https://w3id.org/nltl-benchmark/vocab#bladeFailureUltimateLoad | https://w3id.org/nltl-benchmark/vocab#bladeTipOffset | https://w3id.org/nltl-benchmark/vocab#propellerDiameter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d39486b763f45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RUN-TRF-101-20260813T094245477051Z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RUN-TRF-101-20260813T094245477051Z</x:v>
      </x:c>
      <x:c r="B5" s="45" t="str">
        <x:v>TRF-101</x:v>
      </x:c>
      <x:c r="C5" s="58" t="n">
        <x:v>1</x:v>
      </x:c>
      <x:c r="D5" s="45" t="str">
        <x:v>matcher_search</x:v>
      </x:c>
      <x:c r="E5" s="46" t="str">
        <x:v>The candidate encodes only the blade-tip failure-status implication and omits the principal obligations. Add an exclusive alternative requiring either approved non-linear plastic stress-analysis evidence or bladeFailureUltimateLoad computed as 300*c*t^2*bladeReferenceStrength1/(0.8*D-2*r), with bladeReferenceStrength1 computed as 0.6*sigma_0.2+0.4*sigma_u; validate derived results using tolerance scaled from the expected result. Also encode that the load acts at 0.8R in the weakest blade direction. Keep all supplied ship-owned facts on nltl:ship and preserve the strict offset &gt; 0.10*diameter implication. Canonical terms for the missing operands, analysis evidence, and load application semantics must be located by the matcher.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7" t="str">
        <x:v>RUN-TRF-101-20260813T094245477051Z</x:v>
      </x:c>
      <x:c r="B6" s="47" t="str">
        <x:v>TRF-101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bladeFailureUltimateLoad</x:v>
      </x:c>
      <x:c r="I6" s="48" t="str">
        <x:v>https://w3id.org/nltl-benchmark/vocab#bladeFailureUltimateLoad</x:v>
      </x:c>
      <x:c r="J6" s="48" t="str">
        <x:v>Use this exact term because it denotes the blade-failure ultimate load required by TRF-101 clause 6.5.4.1, is a QuantityProperty with QuantityValue range and recommended unit kN, and directly represents the F_ex result of the prescribed formula or approved non-linear stress analysis.</x:v>
      </x:c>
    </x:row>
    <x:row r="7">
      <x:c r="A7" s="47" t="str">
        <x:v>RUN-TRF-101-20260813T094245477051Z</x:v>
      </x:c>
      <x:c r="B7" s="47" t="str">
        <x:v>TRF-101</x:v>
      </x:c>
      <x:c r="C7" s="59" t="n">
        <x:v>2</x:v>
      </x:c>
      <x:c r="D7" s="47" t="str">
        <x:v>matcher_search</x:v>
      </x:c>
      <x:c r="E7" s="48" t="str">
        <x:v>The graph encodes only the tip-offset failure condition and presence of the ultimate load; it omits the principal alternative: either approved non-linear stress-analysis evidence or verification of F_ex = 300*c*t^2*sigma_ref1/(0.8*D-2*r), as well as sigma_ref1 = 0.6*sigma_0.2+0.4*sigma_u and evidence that the load acts at 0.8R in the weakest blade direction. Locate canonical terms for the absent operands and analysis/application evidence, then model the two load-determination methods as exclusive alternatives without allowing missing branch-selection evidence to pass. Validate derived decimal results with tolerance scaled from each expected formula result, retain kN/MPa/m units, and make all required operands present in the formula branch. Keep the ship as target. Strengthen the conditional status check so offset &gt; 0.10*diameter requires a single boolean true value and cannot pass with an additional false value.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7" t="str">
        <x:v>RUN-TRF-101-20260813T094245477051Z</x:v>
      </x:c>
      <x:c r="B8" s="47" t="str">
        <x:v>TRF-101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bladeReferenceStrength1</x:v>
      </x:c>
      <x:c r="I8" s="48" t="str">
        <x:v>https://w3id.org/nltl-benchmark/vocab#bladeReferenceStrength1</x:v>
      </x:c>
      <x:c r="J8" s="48" t="str">
        <x:v>Use this exact term because it represents sigma_ref1, the MPa-valued blade reference strength required by the F_ex formula and derived as 0.6*sigma_0.2 + 0.4*sigma_u in TRF-101 clause 6.5.4.1.</x:v>
      </x:c>
    </x:row>
    <x:row r="9">
      <x:c r="A9" s="47" t="str">
        <x:v>RUN-TRF-101-20260813T094245477051Z</x:v>
      </x:c>
      <x:c r="B9" s="47" t="str">
        <x:v>TRF-101</x:v>
      </x:c>
      <x:c r="C9" s="59" t="n">
        <x:v>3</x:v>
      </x:c>
      <x:c r="D9" s="47" t="str">
        <x:v>matcher_search</x:v>
      </x:c>
      <x:c r="E9" s="48" t="str">
        <x:v>Encode the full regulatory alternative: either approved non-linear plastic stress-analysis evidence determines bladeFailureUltimateLoad, or verify F_ex = 300*c*t^2*sigma_ref1/(0.8*D - 2*r) using the actual chord length, maximum thickness, cylindrical-root radius, and sigma_ref1 = 0.6*sigma_0.2 + 0.4*sigma_u. Also encode that the load acts at 0.8R in the weakest blade direction. Use formula-result-scaled tolerance for derived decimals and preserve the conditional failed-status rule when tip offset exceeds 0.10D without allowing missing branch-selection evidence to pass. Locate canonical terms for the omitted operands, analysis evidence, and load application/direction semantics; do not approximate them with mere load presence.</x:v>
      </x:c>
      <x:c r="F9" s="59" t="n">
        <x:v>4</x:v>
      </x:c>
      <x:c r="G9" s="47" t="str"/>
      <x:c r="H9" s="47" t="str"/>
      <x:c r="I9" s="48" t="str"/>
      <x:c r="J9" s="48" t="str"/>
    </x:row>
    <x:row r="10">
      <x:c r="A10" s="49" t="str">
        <x:v>RUN-TRF-101-20260813T094245477051Z</x:v>
      </x:c>
      <x:c r="B10" s="49" t="str">
        <x:v>TRF-101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bladeFailureUltimateLoad</x:v>
      </x:c>
      <x:c r="I10" s="50" t="str">
        <x:v>https://w3id.org/nltl-benchmark/vocab#bladeFailureUltimateLoad</x:v>
      </x:c>
      <x:c r="J10" s="50" t="str">
        <x:v>Use this exact term because it represents the blade-failure ultimate load F_ex required by clause 6.5.4.1, with QuantityValue range and recommended unit kilonewton; it does not substitute for separate terms needed for operands, analysis evidence, or load application semantics.</x:v>
      </x:c>
    </x:row>
  </x:sheetData>
  <x:pageMargins left="0.7" right="0.7" top="0.75" bottom="0.75" header="0.3" footer="0.3"/>
  <x:tableParts count="1">
    <x:tablePart xmlns:r="http://schemas.openxmlformats.org/officeDocument/2006/relationships" r:id="R6fa5201fa9cd4fc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RUN-TRF-101-20260813T094245477051Z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RUN-TRF-101-20260813T094245477051Z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ab8476c7a73ed8331e39b2bf4207e95f66d3727c29703e6f8dd501a048ee696f</x:v>
      </x:c>
      <x:c r="G5" s="58" t="n">
        <x:v>12364</x:v>
      </x:c>
    </x:row>
    <x:row r="6">
      <x:c r="A6" s="47" t="str">
        <x:v>RUN-TRF-101-20260813T094245477051Z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0470dd56289192f464cd4b14336a027ead1b162d69a5c04085bfecfff675baab</x:v>
      </x:c>
      <x:c r="G6" s="59" t="n">
        <x:v>4859</x:v>
      </x:c>
    </x:row>
    <x:row r="7">
      <x:c r="A7" s="47" t="str">
        <x:v>RUN-TRF-101-20260813T094245477051Z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5f2180da8d6a4534dc0b2c61658d7d36d488be7f184f6ad122846abfcb5f66b6</x:v>
      </x:c>
      <x:c r="G7" s="59" t="n">
        <x:v>23107</x:v>
      </x:c>
    </x:row>
    <x:row r="8">
      <x:c r="A8" s="47" t="str">
        <x:v>RUN-TRF-101-20260813T094245477051Z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9144e9aefa1ed209be98ce453e812e1c89e7809549802af9bc17edd3372cb179</x:v>
      </x:c>
      <x:c r="G8" s="59" t="n">
        <x:v>2439</x:v>
      </x:c>
    </x:row>
    <x:row r="9">
      <x:c r="A9" s="47" t="str">
        <x:v>RUN-TRF-101-20260813T094245477051Z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64db3c90c16ebdde79cb310ebaea033654a1135bd9e2d9de73c0f31dea5db318</x:v>
      </x:c>
      <x:c r="G9" s="59" t="n">
        <x:v>2414</x:v>
      </x:c>
    </x:row>
    <x:row r="10">
      <x:c r="A10" s="47" t="str">
        <x:v>RUN-TRF-101-20260813T094245477051Z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6a09b19eb9620831508332b85dbc632f469de35c9785ec2625b79906e97db1ec</x:v>
      </x:c>
      <x:c r="G10" s="59" t="n">
        <x:v>626</x:v>
      </x:c>
    </x:row>
    <x:row r="11">
      <x:c r="A11" s="47" t="str">
        <x:v>RUN-TRF-101-20260813T094245477051Z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e6f252a5dfddc4e1f47e1090697e6ec8ee9794872b6cfb69372b010d87597521</x:v>
      </x:c>
      <x:c r="G11" s="59" t="n">
        <x:v>19480</x:v>
      </x:c>
    </x:row>
    <x:row r="12">
      <x:c r="A12" s="47" t="str">
        <x:v>RUN-TRF-101-20260813T094245477051Z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9e1eff2fa23026ab9e47302d029df7f31b86fbd90b1384ad7c6962577f47328f</x:v>
      </x:c>
      <x:c r="G12" s="59" t="n">
        <x:v>798</x:v>
      </x:c>
    </x:row>
    <x:row r="13">
      <x:c r="A13" s="47" t="str">
        <x:v>RUN-TRF-101-20260813T094245477051Z</x:v>
      </x:c>
      <x:c r="B13" s="47" t="str">
        <x:v>TRF-101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0bfa34776ffd198afbad2e5a09f63fe2c143691437e810342700d6657ac37b96</x:v>
      </x:c>
      <x:c r="G13" s="59" t="n">
        <x:v>2520</x:v>
      </x:c>
    </x:row>
    <x:row r="14">
      <x:c r="A14" s="47" t="str">
        <x:v>RUN-TRF-101-20260813T094245477051Z</x:v>
      </x:c>
      <x:c r="B14" s="47" t="str">
        <x:v>TRF-101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75f731b66e2c55f88795ae9eb38de1f31483a97aee47ab26a4fb7225b00715a9</x:v>
      </x:c>
      <x:c r="G14" s="59" t="n">
        <x:v>6160</x:v>
      </x:c>
    </x:row>
    <x:row r="15">
      <x:c r="A15" s="47" t="str">
        <x:v>RUN-TRF-101-20260813T094245477051Z</x:v>
      </x:c>
      <x:c r="B15" s="47" t="str">
        <x:v>TRF-101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5ee685c6b0e9370e17a78fd79d80bf04a7757fddfd805639a86a77cbe625ac43</x:v>
      </x:c>
      <x:c r="G15" s="59" t="n">
        <x:v>458</x:v>
      </x:c>
    </x:row>
    <x:row r="16">
      <x:c r="A16" s="47" t="str">
        <x:v>RUN-TRF-101-20260813T094245477051Z</x:v>
      </x:c>
      <x:c r="B16" s="47" t="str">
        <x:v>TRF-101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bcec01b29a2c5fc0adb26ac3f273f18a364fb2eabf5b82bf2ee6b40376d7f197</x:v>
      </x:c>
      <x:c r="G16" s="59" t="n">
        <x:v>12402</x:v>
      </x:c>
    </x:row>
    <x:row r="17">
      <x:c r="A17" s="47" t="str">
        <x:v>RUN-TRF-101-20260813T094245477051Z</x:v>
      </x:c>
      <x:c r="B17" s="47" t="str">
        <x:v>TRF-101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eb356a8fdcf1678cfdf46636af162495140fed3bbc1dfee28979ba5af6e1c569</x:v>
      </x:c>
      <x:c r="G17" s="59" t="n">
        <x:v>24274</x:v>
      </x:c>
    </x:row>
    <x:row r="18">
      <x:c r="A18" s="47" t="str">
        <x:v>RUN-TRF-101-20260813T094245477051Z</x:v>
      </x:c>
      <x:c r="B18" s="47" t="str">
        <x:v>TRF-101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6329ed823b6912117fca3d6425615d1f9967e25dbf0956dabcdb8fb894ba9027</x:v>
      </x:c>
      <x:c r="G18" s="59" t="n">
        <x:v>2948</x:v>
      </x:c>
    </x:row>
    <x:row r="19">
      <x:c r="A19" s="47" t="str">
        <x:v>RUN-TRF-101-20260813T094245477051Z</x:v>
      </x:c>
      <x:c r="B19" s="47" t="str">
        <x:v>TRF-101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c73aeacd06490225bd3510b5bd5ae8e9c6ad18fe70b64604e550afa86a94f60b</x:v>
      </x:c>
      <x:c r="G19" s="59" t="n">
        <x:v>2923</x:v>
      </x:c>
    </x:row>
    <x:row r="20">
      <x:c r="A20" s="47" t="str">
        <x:v>RUN-TRF-101-20260813T094245477051Z</x:v>
      </x:c>
      <x:c r="B20" s="47" t="str">
        <x:v>TRF-101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06a92c4c6a8974aaa682422c68db50cad4b387fab48a12618ac0593efb23c463</x:v>
      </x:c>
      <x:c r="G20" s="59" t="n">
        <x:v>765</x:v>
      </x:c>
    </x:row>
    <x:row r="21">
      <x:c r="A21" s="47" t="str">
        <x:v>RUN-TRF-101-20260813T094245477051Z</x:v>
      </x:c>
      <x:c r="B21" s="47" t="str">
        <x:v>TRF-101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678a4c09d515d79380da17e575b906ef3a0d422e1ab36a9cb40ca165c84834ec</x:v>
      </x:c>
      <x:c r="G21" s="59" t="n">
        <x:v>21068</x:v>
      </x:c>
    </x:row>
    <x:row r="22">
      <x:c r="A22" s="47" t="str">
        <x:v>RUN-TRF-101-20260813T094245477051Z</x:v>
      </x:c>
      <x:c r="B22" s="47" t="str">
        <x:v>TRF-101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7fe0bc1bdeea992f0bdc81d4ad7f729f5d3a59362149986757483ea70de01f9e</x:v>
      </x:c>
      <x:c r="G22" s="59" t="n">
        <x:v>988</x:v>
      </x:c>
    </x:row>
    <x:row r="23">
      <x:c r="A23" s="47" t="str">
        <x:v>RUN-TRF-101-20260813T094245477051Z</x:v>
      </x:c>
      <x:c r="B23" s="47" t="str">
        <x:v>TRF-101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bd619e36904243aea2de42138bca83deea3abf9b3885c6e87f93ad07f5a57e1e</x:v>
      </x:c>
      <x:c r="G23" s="59" t="n">
        <x:v>1642</x:v>
      </x:c>
    </x:row>
    <x:row r="24">
      <x:c r="A24" s="47" t="str">
        <x:v>RUN-TRF-101-20260813T094245477051Z</x:v>
      </x:c>
      <x:c r="B24" s="47" t="str">
        <x:v>TRF-101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574a79b27ed45a4b15bedc82471a72bbd3e98125369479bbceca5f37a8ef7014</x:v>
      </x:c>
      <x:c r="G24" s="59" t="n">
        <x:v>5428</x:v>
      </x:c>
    </x:row>
    <x:row r="25">
      <x:c r="A25" s="47" t="str">
        <x:v>RUN-TRF-101-20260813T094245477051Z</x:v>
      </x:c>
      <x:c r="B25" s="47" t="str">
        <x:v>TRF-101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23d7da9b548c35dbb69c94c5cd3f57c9bc09ab537a8819e99d5a4a4ce29288ba</x:v>
      </x:c>
      <x:c r="G25" s="59" t="n">
        <x:v>364</x:v>
      </x:c>
    </x:row>
    <x:row r="26">
      <x:c r="A26" s="47" t="str">
        <x:v>RUN-TRF-101-20260813T094245477051Z</x:v>
      </x:c>
      <x:c r="B26" s="47" t="str">
        <x:v>TRF-101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78b40e263a53ab42b1d35e4ea801f1f12ffc249489552ddce1e5bea9b32d8b5f</x:v>
      </x:c>
      <x:c r="G26" s="59" t="n">
        <x:v>12440</x:v>
      </x:c>
    </x:row>
    <x:row r="27">
      <x:c r="A27" s="47" t="str">
        <x:v>RUN-TRF-101-20260813T094245477051Z</x:v>
      </x:c>
      <x:c r="B27" s="47" t="str">
        <x:v>TRF-101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9295531fc9a14c708a0007fe61242f662f2a1f446d7c5acb6c88c0ada3125ba9</x:v>
      </x:c>
      <x:c r="G27" s="59" t="n">
        <x:v>25546</x:v>
      </x:c>
    </x:row>
    <x:row r="28">
      <x:c r="A28" s="47" t="str">
        <x:v>RUN-TRF-101-20260813T094245477051Z</x:v>
      </x:c>
      <x:c r="B28" s="47" t="str">
        <x:v>TRF-101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48f6b6198e3e52bcb20c99e6cef430c7f7f977bb32c8a9c16f4fceaa289cfa4e</x:v>
      </x:c>
      <x:c r="G28" s="59" t="n">
        <x:v>3451</x:v>
      </x:c>
    </x:row>
    <x:row r="29">
      <x:c r="A29" s="47" t="str">
        <x:v>RUN-TRF-101-20260813T094245477051Z</x:v>
      </x:c>
      <x:c r="B29" s="47" t="str">
        <x:v>TRF-101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ca5470af4891c594709b517c4e866eb27c5a29599528f7dbcd9e7dee062a8048</x:v>
      </x:c>
      <x:c r="G29" s="59" t="n">
        <x:v>3426</x:v>
      </x:c>
    </x:row>
    <x:row r="30">
      <x:c r="A30" s="47" t="str">
        <x:v>RUN-TRF-101-20260813T094245477051Z</x:v>
      </x:c>
      <x:c r="B30" s="47" t="str">
        <x:v>TRF-101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a04e104dccef0257e4ce8fd4d66c8e0599101c42758d1452a580a7c2442b5289</x:v>
      </x:c>
      <x:c r="G30" s="59" t="n">
        <x:v>696</x:v>
      </x:c>
    </x:row>
    <x:row r="31">
      <x:c r="A31" s="47" t="str">
        <x:v>RUN-TRF-101-20260813T094245477051Z</x:v>
      </x:c>
      <x:c r="B31" s="47" t="str">
        <x:v>TRF-101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3fbc0af99c7432f06a4619be38e59e468773381f169e40bf7af36692cb80a0d3</x:v>
      </x:c>
      <x:c r="G31" s="59" t="n">
        <x:v>21129</x:v>
      </x:c>
    </x:row>
    <x:row r="32">
      <x:c r="A32" s="47" t="str">
        <x:v>RUN-TRF-101-20260813T094245477051Z</x:v>
      </x:c>
      <x:c r="B32" s="47" t="str">
        <x:v>TRF-101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cbb0f435f02c0f1e1b83574b810aa6db058dd88cfad740cf96406aeb19a57c0c</x:v>
      </x:c>
      <x:c r="G32" s="59" t="n">
        <x:v>797</x:v>
      </x:c>
    </x:row>
    <x:row r="33">
      <x:c r="A33" s="47" t="str">
        <x:v>RUN-TRF-101-20260813T094245477051Z</x:v>
      </x:c>
      <x:c r="B33" s="47" t="str">
        <x:v>TRF-101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b7ccc4988b3f06a3286e78c5ba5e70d15acdb7b273df2ba6ee215c7b2498a07c</x:v>
      </x:c>
      <x:c r="G33" s="59" t="n">
        <x:v>3027</x:v>
      </x:c>
    </x:row>
    <x:row r="34">
      <x:c r="A34" s="47" t="str">
        <x:v>RUN-TRF-101-20260813T094245477051Z</x:v>
      </x:c>
      <x:c r="B34" s="47" t="str">
        <x:v>TRF-101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b2e6ae7d02c82cec6112e28169e53f54a9260f2fdaa11ccf7a57ecccbc145fff</x:v>
      </x:c>
      <x:c r="G34" s="59" t="n">
        <x:v>6672</x:v>
      </x:c>
    </x:row>
    <x:row r="35">
      <x:c r="A35" s="49" t="str">
        <x:v>RUN-TRF-101-20260813T094245477051Z</x:v>
      </x:c>
      <x:c r="B35" s="49" t="str">
        <x:v>TRF-101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9cd859e44e20907b235765a487e825b6d93246212e907a1b04c1dd00188de82b</x:v>
      </x:c>
      <x:c r="G35" s="60" t="n">
        <x:v>451</x:v>
      </x:c>
    </x:row>
  </x:sheetData>
  <x:pageMargins left="0.7" right="0.7" top="0.75" bottom="0.75" header="0.3" footer="0.3"/>
  <x:tableParts count="1">
    <x:tablePart xmlns:r="http://schemas.openxmlformats.org/officeDocument/2006/relationships" r:id="R3dc5982f908b40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RUN-TRF-101-20260813T094245477051Z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RUN-TRF-101-20260813T094245477051Z</x:v>
      </x:c>
      <x:c r="B5" s="69" t="str">
        <x:v>TRF-101</x:v>
      </x:c>
      <x:c r="C5" s="71" t="n">
        <x:v>3</x:v>
      </x:c>
      <x:c r="D5" s="69" t="str">
        <x:v>MAX_ATTEMPTS_REACHED</x:v>
      </x:c>
      <x:c r="E5" s="73" t="str">
        <x:v>Encode the full regulatory alternative: either approved non-linear plastic stress-analysis evidence determines bladeFailureUltimateLoad, or verify F_ex = 300*c*t^2*sigma_ref1/(0.8*D - 2*r) using the actual chord length, maximum thickness, cylindrical-root radius, and sigma_ref1 = 0.6*sigma_0.2 + 0.4*sigma_u. Also encode that the load acts at 0.8R in the weakest blade direction. Use formula-result-scaled tolerance for derived decimals and preserve the conditional failed-status rule when tip offset exceeds 0.10D without allowing missing branch-selection evidence to pass. Locate canonical terms for the omitted operands, analysis evidence, and load application/direction semantics; do not approximate them with mere load presence.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3565c2a379473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RUN-TRF-101-20260813T094245477051Z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