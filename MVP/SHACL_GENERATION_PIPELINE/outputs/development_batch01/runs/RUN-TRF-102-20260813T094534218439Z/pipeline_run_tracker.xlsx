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8347e25d6bf4b6b" /></Relationships>
</file>

<file path=xl/workbook.xml><?xml version="1.0" encoding="utf-8"?>
<x:workbook xmlns:x="http://schemas.openxmlformats.org/spreadsheetml/2006/main">
  <x:sheets>
    <x:sheet xmlns:r="http://schemas.openxmlformats.org/officeDocument/2006/relationships" name="SUMMARY" sheetId="1" r:id="R4475c1293df64a00"/>
    <x:sheet xmlns:r="http://schemas.openxmlformats.org/officeDocument/2006/relationships" name="README" sheetId="2" r:id="R630493ade7e347e4"/>
    <x:sheet xmlns:r="http://schemas.openxmlformats.org/officeDocument/2006/relationships" name="REGULATION_QUEUE" sheetId="3" r:id="R96be11b544cb486a"/>
    <x:sheet xmlns:r="http://schemas.openxmlformats.org/officeDocument/2006/relationships" name="RUNS" sheetId="4" r:id="R748dac19862f47d0"/>
    <x:sheet xmlns:r="http://schemas.openxmlformats.org/officeDocument/2006/relationships" name="ITERATIONS" sheetId="5" r:id="R93e543597419425d"/>
    <x:sheet xmlns:r="http://schemas.openxmlformats.org/officeDocument/2006/relationships" name="API_CALLS" sheetId="6" r:id="R01d11ead15a543e6"/>
    <x:sheet xmlns:r="http://schemas.openxmlformats.org/officeDocument/2006/relationships" name="TERM_RETRIEVAL" sheetId="7" r:id="R23c0cb7a87614736"/>
    <x:sheet xmlns:r="http://schemas.openxmlformats.org/officeDocument/2006/relationships" name="FEW_SHOT_SELECTION" sheetId="8" r:id="Re717a5ea7acc47fd"/>
    <x:sheet xmlns:r="http://schemas.openxmlformats.org/officeDocument/2006/relationships" name="VALIDATION" sheetId="9" r:id="R59f0574abd1042f2"/>
    <x:sheet xmlns:r="http://schemas.openxmlformats.org/officeDocument/2006/relationships" name="VOCAB_MATCHES" sheetId="10" r:id="R432698e5cb4d493c"/>
    <x:sheet xmlns:r="http://schemas.openxmlformats.org/officeDocument/2006/relationships" name="ARTIFACTS" sheetId="11" r:id="R04251b2455334dee"/>
    <x:sheet xmlns:r="http://schemas.openxmlformats.org/officeDocument/2006/relationships" name="UNRESOLVED" sheetId="12" r:id="R3839562c9903410d"/>
    <x:sheet xmlns:r="http://schemas.openxmlformats.org/officeDocument/2006/relationships" name="RDF_TEST_QUEUE" sheetId="13" r:id="R0dd338bffe20428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bc0920dc5504ad7" /><Relationship Type="http://schemas.openxmlformats.org/officeDocument/2006/relationships/theme" Target="/xl/theme/theme1.xml" Id="R0877134e49a94d30" /><Relationship Type="http://schemas.microsoft.com/office/2022/11/relationships/FeaturePropertyBag" Target="/xl/featurePropertyBag/featurePropertyBag.xml" Id="R313447a195644137" /><Relationship Type="http://schemas.openxmlformats.org/officeDocument/2006/relationships/sharedStrings" Target="/xl/sharedStrings.xml" Id="Rbf962dafc419440c" /><Relationship Type="http://schemas.openxmlformats.org/officeDocument/2006/relationships/worksheet" Target="/xl/worksheets/sheet1.xml" Id="R4475c1293df64a00" /><Relationship Type="http://schemas.openxmlformats.org/officeDocument/2006/relationships/worksheet" Target="/xl/worksheets/sheet2.xml" Id="R630493ade7e347e4" /><Relationship Type="http://schemas.openxmlformats.org/officeDocument/2006/relationships/worksheet" Target="/xl/worksheets/sheet3.xml" Id="R96be11b544cb486a" /><Relationship Type="http://schemas.openxmlformats.org/officeDocument/2006/relationships/worksheet" Target="/xl/worksheets/sheet4.xml" Id="R748dac19862f47d0" /><Relationship Type="http://schemas.openxmlformats.org/officeDocument/2006/relationships/worksheet" Target="/xl/worksheets/sheet5.xml" Id="R93e543597419425d" /><Relationship Type="http://schemas.openxmlformats.org/officeDocument/2006/relationships/worksheet" Target="/xl/worksheets/sheet6.xml" Id="R01d11ead15a543e6" /><Relationship Type="http://schemas.openxmlformats.org/officeDocument/2006/relationships/worksheet" Target="/xl/worksheets/sheet7.xml" Id="R23c0cb7a87614736" /><Relationship Type="http://schemas.openxmlformats.org/officeDocument/2006/relationships/worksheet" Target="/xl/worksheets/sheet8.xml" Id="Re717a5ea7acc47fd" /><Relationship Type="http://schemas.openxmlformats.org/officeDocument/2006/relationships/worksheet" Target="/xl/worksheets/sheet9.xml" Id="R59f0574abd1042f2" /><Relationship Type="http://schemas.openxmlformats.org/officeDocument/2006/relationships/worksheet" Target="/xl/worksheets/sheet10.xml" Id="R432698e5cb4d493c" /><Relationship Type="http://schemas.openxmlformats.org/officeDocument/2006/relationships/worksheet" Target="/xl/worksheets/sheet11.xml" Id="R04251b2455334dee" /><Relationship Type="http://schemas.openxmlformats.org/officeDocument/2006/relationships/worksheet" Target="/xl/worksheets/sheet12.xml" Id="R3839562c9903410d" /><Relationship Type="http://schemas.openxmlformats.org/officeDocument/2006/relationships/worksheet" Target="/xl/worksheets/sheet13.xml" Id="R0dd338bffe20428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f6a0a6442484528" /></Relationships>
</file>

<file path=xl/worksheets/_rels/sheet3.xml.rels>&#65279;<?xml version="1.0" encoding="utf-8"?><Relationships xmlns="http://schemas.openxmlformats.org/package/2006/relationships"><Relationship Type="http://schemas.openxmlformats.org/officeDocument/2006/relationships/table" Target="/xl/tables/table2.xml" Id="R466eba5f62674caa" /></Relationships>
</file>

<file path=xl/worksheets/_rels/sheet4.xml.rels>&#65279;<?xml version="1.0" encoding="utf-8"?><Relationships xmlns="http://schemas.openxmlformats.org/package/2006/relationships"><Relationship Type="http://schemas.openxmlformats.org/officeDocument/2006/relationships/table" Target="/xl/tables/table3.xml" Id="R1e0ced287df94202" /></Relationships>
</file>

<file path=xl/worksheets/_rels/sheet5.xml.rels>&#65279;<?xml version="1.0" encoding="utf-8"?><Relationships xmlns="http://schemas.openxmlformats.org/package/2006/relationships"><Relationship Type="http://schemas.openxmlformats.org/officeDocument/2006/relationships/table" Target="/xl/tables/table4.xml" Id="Rd82cb65b10ea4248" /></Relationships>
</file>

<file path=xl/worksheets/_rels/sheet6.xml.rels>&#65279;<?xml version="1.0" encoding="utf-8"?><Relationships xmlns="http://schemas.openxmlformats.org/package/2006/relationships"><Relationship Type="http://schemas.openxmlformats.org/officeDocument/2006/relationships/table" Target="/xl/tables/table5.xml" Id="R2d3bb4804f794930" /></Relationships>
</file>

<file path=xl/worksheets/_rels/sheet7.xml.rels>&#65279;<?xml version="1.0" encoding="utf-8"?><Relationships xmlns="http://schemas.openxmlformats.org/package/2006/relationships"><Relationship Type="http://schemas.openxmlformats.org/officeDocument/2006/relationships/table" Target="/xl/tables/table6.xml" Id="Ra29d498990e4421d" /></Relationships>
</file>

<file path=xl/worksheets/_rels/sheet8.xml.rels>&#65279;<?xml version="1.0" encoding="utf-8"?><Relationships xmlns="http://schemas.openxmlformats.org/package/2006/relationships"><Relationship Type="http://schemas.openxmlformats.org/officeDocument/2006/relationships/table" Target="/xl/tables/table7.xml" Id="R0e7e53d1fbc04227" /></Relationships>
</file>

<file path=xl/worksheets/_rels/sheet9.xml.rels>&#65279;<?xml version="1.0" encoding="utf-8"?><Relationships xmlns="http://schemas.openxmlformats.org/package/2006/relationships"><Relationship Type="http://schemas.openxmlformats.org/officeDocument/2006/relationships/table" Target="/xl/tables/table8.xml" Id="R0dc88b69f6a14a63" /></Relationships>
</file>

<file path=xl/worksheets/_rels/sheet10.xml.rels>&#65279;<?xml version="1.0" encoding="utf-8"?><Relationships xmlns="http://schemas.openxmlformats.org/package/2006/relationships"><Relationship Type="http://schemas.openxmlformats.org/officeDocument/2006/relationships/table" Target="/xl/tables/table9.xml" Id="R1823b84c0ddc4dd1" /></Relationships>
</file>

<file path=xl/worksheets/_rels/sheet11.xml.rels>&#65279;<?xml version="1.0" encoding="utf-8"?><Relationships xmlns="http://schemas.openxmlformats.org/package/2006/relationships"><Relationship Type="http://schemas.openxmlformats.org/officeDocument/2006/relationships/table" Target="/xl/tables/table10.xml" Id="Rcbdf48716c434623" /></Relationships>
</file>

<file path=xl/worksheets/_rels/sheet12.xml.rels>&#65279;<?xml version="1.0" encoding="utf-8"?><Relationships xmlns="http://schemas.openxmlformats.org/package/2006/relationships"><Relationship Type="http://schemas.openxmlformats.org/officeDocument/2006/relationships/table" Target="/xl/tables/table11.xml" Id="R84668666936b426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RUN-TRF-102-20260813T094534218439Z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240</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COUNTA('API_CALLS'!$A$5:$A$10)</x:f>
        <x:v>6</x:v>
      </x:c>
      <x:c r="C9" s="21"/>
      <x:c r="D9" s="21"/>
    </x:row>
    <x:row r="10">
      <x:c r="A10" s="27" t="str">
        <x:v>Mean API/LLM elapsed ms</x:v>
      </x:c>
      <x:c r="B10" s="28" t="n">
        <x:f>IFERROR(AVERAGE('API_CALLS'!$K$5:$K$10),0)</x:f>
        <x:v>11084.703666666668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RUN-TRF-102-20260813T094534218439Z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f6a0a644248452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RUN-TRF-102-20260813T094534218439Z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Stage 2 candidate - direct/deterministic</x:v>
      </x:c>
      <x:c r="H43" s="47" t="str">
        <x:v>High</x:v>
      </x:c>
      <x:c r="I43" s="47" t="str">
        <x:v>No</x:v>
      </x:c>
      <x:c r="J43" s="47" t="str">
        <x:v>ELIGIBLE</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TERM_RESOLUTION_UNRESOLVED</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466eba5f62674ca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RUN-TRF-102-20260813T094534218439Z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SESSION-BATCH-20260813T091540611845Z</x:v>
      </x:c>
      <x:c r="B5" s="69" t="str">
        <x:v>RUN-TRF-102-20260813T094534218439Z</x:v>
      </x:c>
      <x:c r="C5" s="69" t="str">
        <x:v>TRF-102</x:v>
      </x:c>
      <x:c r="D5" s="70" t="n">
        <x:v>46247.40664605324</x:v>
      </x:c>
      <x:c r="E5" s="70" t="n">
        <x:v>46247.40704265046</x:v>
      </x:c>
      <x:c r="F5" s="69" t="str">
        <x:v>0.8.1-dev-batch01-postconfirmation</x:v>
      </x:c>
      <x:c r="G5" s="69" t="str">
        <x:v>VOCAB-DEV-2026-08-13-BATCH01-R8.1-POSTCONFIRMATION</x:v>
      </x:c>
      <x:c r="H5" s="71" t="n">
        <x:v>1</x:v>
      </x:c>
      <x:c r="I5" s="69" t="str">
        <x:v>TERM_RESOLUTION_UNRESOLVED</x:v>
      </x:c>
      <x:c r="J5" s="72" t="b">
        <x:v>0</x:v>
      </x:c>
      <x:c r="K5" s="69" t="str"/>
      <x:c r="L5" s="73" t="str">
        <x:v>No candidate represents the missing formula operands or stress-analysis branch-selection evidence; the supplied quantity candidates cover only spindle torque and extreme ice force.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e0ced287df9420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RUN-TRF-102-20260813T094534218439Z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RUN-TRF-102-20260813T094534218439Z</x:v>
      </x:c>
      <x:c r="B5" s="69" t="str">
        <x:v>TRF-102</x:v>
      </x:c>
      <x:c r="C5" s="71" t="n">
        <x:v>1</x:v>
      </x:c>
      <x:c r="D5" s="72" t="b">
        <x:v>1</x:v>
      </x:c>
      <x:c r="E5" s="72" t="b">
        <x:v>0</x:v>
      </x:c>
      <x:c r="F5" s="72" t="b">
        <x:v>1</x:v>
      </x:c>
      <x:c r="G5" s="69" t="str">
        <x:v>STOP_TERM_RESOLUTION</x:v>
      </x:c>
      <x:c r="H5" s="73" t="str">
        <x:v>Replace the presence/unit-only checks with the required exclusive alternatives: either evidence that an appropriate stress analysis directly determines maximumSpindleTorque, or a bounded formula check deriving bladeFailureSpindleTorque as max(C_LE0.8, 0.8*C_TE0.8) * max(0.3, 0.7*(1-((4*EAR)/Z)^3)) * extremeIceForce. Require all selected-branch inputs and outputs on the ship, prevent missing branch-selection evidence from passing, and compare the reported derived decimal using tolerance scaled from the expected result rather than exact equality. Add outer cardinalities so absent quantities cannot pass. Canonical terms for the formula operands and stress-analysis evidence are not supplied and must be located by the matcher; retain the stated kN and kN·m units.</x:v>
      </x:c>
      <x:c r="I5" s="75" t="n">
        <x:v>24711.075</x:v>
      </x:c>
      <x:c r="J5" s="75" t="n">
        <x:v>5161.677</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82cb65b10ea424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RUN-TRF-102-20260813T094534218439Z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EVT-000015</x:v>
      </x:c>
      <x:c r="B5" s="45" t="str">
        <x:v>RUN-TRF-102-20260813T094534218439Z</x:v>
      </x:c>
      <x:c r="C5" s="45" t="str">
        <x:v>TRF-102</x:v>
      </x:c>
      <x:c r="D5" s="88" t="n">
        <x:v>46247.406932060185</x:v>
      </x:c>
      <x:c r="E5" s="45" t="str">
        <x:v>generator</x:v>
      </x:c>
      <x:c r="F5" s="45" t="str">
        <x:v>gpt-5.6-sol-2026-07-09</x:v>
      </x:c>
      <x:c r="G5" s="45" t="n">
        <x:v>1</x:v>
      </x:c>
      <x:c r="H5" s="45" t="n">
        <x:v>200</x:v>
      </x:c>
      <x:c r="I5" s="45" t="str">
        <x:v>Ocp-Apim-Subscription-Key</x:v>
      </x:c>
      <x:c r="J5" s="89" t="n">
        <x:v>0</x:v>
      </x:c>
      <x:c r="K5" s="89" t="n">
        <x:v>24709.248</x:v>
      </x:c>
      <x:c r="L5" s="90" t="b">
        <x:v>0</x:v>
      </x:c>
      <x:c r="M5" s="45" t="str"/>
      <x:c r="N5" s="58" t="str"/>
      <x:c r="O5" s="58" t="str"/>
      <x:c r="P5" s="58" t="str"/>
    </x:row>
    <x:row r="6">
      <x:c r="A6" s="47" t="str">
        <x:v>EVT-000016</x:v>
      </x:c>
      <x:c r="B6" s="47" t="str">
        <x:v>RUN-TRF-102-20260813T094534218439Z</x:v>
      </x:c>
      <x:c r="C6" s="47" t="str">
        <x:v>TRF-102</x:v>
      </x:c>
      <x:c r="D6" s="91" t="n">
        <x:v>46247.40693208334</x:v>
      </x:c>
      <x:c r="E6" s="47" t="str">
        <x:v>generator</x:v>
      </x:c>
      <x:c r="F6" s="47" t="str">
        <x:v>gpt-5.6-sol-2026-07-09</x:v>
      </x:c>
      <x:c r="G6" s="47" t="n">
        <x:v>1</x:v>
      </x:c>
      <x:c r="H6" s="47" t="str">
        <x:v>COMPLETED</x:v>
      </x:c>
      <x:c r="I6" s="47" t="str"/>
      <x:c r="J6" s="92" t="n">
        <x:v>0</x:v>
      </x:c>
      <x:c r="K6" s="92" t="n">
        <x:v>24711.075</x:v>
      </x:c>
      <x:c r="L6" s="93" t="b">
        <x:v>0</x:v>
      </x:c>
      <x:c r="M6" s="47" t="str">
        <x:v>resp_064300cc4df7e3e3006a7d923e5ae481958f96794d82e47506</x:v>
      </x:c>
      <x:c r="N6" s="59" t="n">
        <x:v>5236</x:v>
      </x:c>
      <x:c r="O6" s="59" t="n">
        <x:v>1645</x:v>
      </x:c>
      <x:c r="P6" s="59" t="n">
        <x:v>6881</x:v>
      </x:c>
    </x:row>
    <x:row r="7">
      <x:c r="A7" s="47" t="str">
        <x:v>EVT-000023</x:v>
      </x:c>
      <x:c r="B7" s="47" t="str">
        <x:v>RUN-TRF-102-20260813T094534218439Z</x:v>
      </x:c>
      <x:c r="C7" s="47" t="str">
        <x:v>TRF-102</x:v>
      </x:c>
      <x:c r="D7" s="91" t="n">
        <x:v>46247.40699306713</x:v>
      </x:c>
      <x:c r="E7" s="47" t="str">
        <x:v>validator</x:v>
      </x:c>
      <x:c r="F7" s="47" t="str">
        <x:v>gpt-5.6-sol-2026-07-09</x:v>
      </x:c>
      <x:c r="G7" s="47" t="n">
        <x:v>1</x:v>
      </x:c>
      <x:c r="H7" s="47" t="n">
        <x:v>200</x:v>
      </x:c>
      <x:c r="I7" s="47" t="str">
        <x:v>Ocp-Apim-Subscription-Key</x:v>
      </x:c>
      <x:c r="J7" s="92" t="n">
        <x:v>0</x:v>
      </x:c>
      <x:c r="K7" s="92" t="n">
        <x:v>5159.979</x:v>
      </x:c>
      <x:c r="L7" s="93" t="b">
        <x:v>0</x:v>
      </x:c>
      <x:c r="M7" s="47" t="str"/>
      <x:c r="N7" s="59" t="str"/>
      <x:c r="O7" s="59" t="str"/>
      <x:c r="P7" s="59" t="str"/>
    </x:row>
    <x:row r="8">
      <x:c r="A8" s="47" t="str">
        <x:v>EVT-000024</x:v>
      </x:c>
      <x:c r="B8" s="47" t="str">
        <x:v>RUN-TRF-102-20260813T094534218439Z</x:v>
      </x:c>
      <x:c r="C8" s="47" t="str">
        <x:v>TRF-102</x:v>
      </x:c>
      <x:c r="D8" s="91" t="n">
        <x:v>46247.4069930787</x:v>
      </x:c>
      <x:c r="E8" s="47" t="str">
        <x:v>validator</x:v>
      </x:c>
      <x:c r="F8" s="47" t="str">
        <x:v>gpt-5.6-sol-2026-07-09</x:v>
      </x:c>
      <x:c r="G8" s="47" t="n">
        <x:v>1</x:v>
      </x:c>
      <x:c r="H8" s="47" t="str">
        <x:v>COMPLETED</x:v>
      </x:c>
      <x:c r="I8" s="47" t="str"/>
      <x:c r="J8" s="92" t="n">
        <x:v>0</x:v>
      </x:c>
      <x:c r="K8" s="92" t="n">
        <x:v>5161.677</x:v>
      </x:c>
      <x:c r="L8" s="93" t="b">
        <x:v>0</x:v>
      </x:c>
      <x:c r="M8" s="47" t="str">
        <x:v>resp_058e110ef34f1f09006a7d92572d2c81908e72afa7e77eb64d</x:v>
      </x:c>
      <x:c r="N8" s="59" t="n">
        <x:v>4225</x:v>
      </x:c>
      <x:c r="O8" s="59" t="n">
        <x:v>343</x:v>
      </x:c>
      <x:c r="P8" s="59" t="n">
        <x:v>4568</x:v>
      </x:c>
    </x:row>
    <x:row r="9">
      <x:c r="A9" s="47" t="str">
        <x:v>EVT-000030</x:v>
      </x:c>
      <x:c r="B9" s="47" t="str">
        <x:v>RUN-TRF-102-20260813T094534218439Z</x:v>
      </x:c>
      <x:c r="C9" s="47" t="str">
        <x:v>TRF-102</x:v>
      </x:c>
      <x:c r="D9" s="91" t="n">
        <x:v>46247.40704258102</x:v>
      </x:c>
      <x:c r="E9" s="47" t="str">
        <x:v>vocabulary_matcher</x:v>
      </x:c>
      <x:c r="F9" s="47" t="str">
        <x:v>gpt-5.6-sol-2026-07-09</x:v>
      </x:c>
      <x:c r="G9" s="47" t="n">
        <x:v>1</x:v>
      </x:c>
      <x:c r="H9" s="47" t="n">
        <x:v>200</x:v>
      </x:c>
      <x:c r="I9" s="47" t="str">
        <x:v>Ocp-Apim-Subscription-Key</x:v>
      </x:c>
      <x:c r="J9" s="92" t="n">
        <x:v>0</x:v>
      </x:c>
      <x:c r="K9" s="92" t="n">
        <x:v>3382.497</x:v>
      </x:c>
      <x:c r="L9" s="93" t="b">
        <x:v>0</x:v>
      </x:c>
      <x:c r="M9" s="47" t="str"/>
      <x:c r="N9" s="59" t="str"/>
      <x:c r="O9" s="59" t="str"/>
      <x:c r="P9" s="59" t="str"/>
    </x:row>
    <x:row r="10">
      <x:c r="A10" s="49" t="str">
        <x:v>EVT-000031</x:v>
      </x:c>
      <x:c r="B10" s="49" t="str">
        <x:v>RUN-TRF-102-20260813T094534218439Z</x:v>
      </x:c>
      <x:c r="C10" s="49" t="str">
        <x:v>TRF-102</x:v>
      </x:c>
      <x:c r="D10" s="94" t="n">
        <x:v>46247.40704259259</x:v>
      </x:c>
      <x:c r="E10" s="49" t="str">
        <x:v>vocabulary_matcher</x:v>
      </x:c>
      <x:c r="F10" s="49" t="str">
        <x:v>gpt-5.6-sol-2026-07-09</x:v>
      </x:c>
      <x:c r="G10" s="49" t="n">
        <x:v>1</x:v>
      </x:c>
      <x:c r="H10" s="49" t="str">
        <x:v>COMPLETED</x:v>
      </x:c>
      <x:c r="I10" s="49" t="str"/>
      <x:c r="J10" s="95" t="n">
        <x:v>0</x:v>
      </x:c>
      <x:c r="K10" s="95" t="n">
        <x:v>3383.746</x:v>
      </x:c>
      <x:c r="L10" s="96" t="b">
        <x:v>0</x:v>
      </x:c>
      <x:c r="M10" s="49" t="str">
        <x:v>resp_08973b1e4278a9b5006a7d925d38948193971ca03c79704c71</x:v>
      </x:c>
      <x:c r="N10" s="60" t="n">
        <x:v>1821</x:v>
      </x:c>
      <x:c r="O10" s="60" t="n">
        <x:v>161</x:v>
      </x:c>
      <x:c r="P10" s="60" t="n">
        <x:v>1982</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d3bb4804f79493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RUN-TRF-102-20260813T094534218439Z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RUN-TRF-102-20260813T094534218439Z</x:v>
      </x:c>
      <x:c r="B5" s="45" t="str">
        <x:v>TRF-102</x:v>
      </x:c>
      <x:c r="C5" s="45" t="str">
        <x:v>benchmarkEntity</x:v>
      </x:c>
      <x:c r="D5" s="46" t="str">
        <x:v>https://w3id.org/nltl-benchmark/vocab#benchmarkEntity</x:v>
      </x:c>
      <x:c r="E5" s="45" t="str">
        <x:v>Class</x:v>
      </x:c>
      <x:c r="F5" s="45" t="str"/>
      <x:c r="G5" s="45" t="str"/>
      <x:c r="H5" s="45" t="str"/>
      <x:c r="I5" s="46" t="str">
        <x:v>baseline target infrastructure; domain dependency of bladeFailureSpindleTorque; domain dependency of extremeIceForce; domain dependency of maximumSpindleTorque</x:v>
      </x:c>
      <x:c r="J5" s="45" t="n">
        <x:v>0</x:v>
      </x:c>
    </x:row>
    <x:row r="6">
      <x:c r="A6" s="47" t="str">
        <x:v>RUN-TRF-102-20260813T094534218439Z</x:v>
      </x:c>
      <x:c r="B6" s="47" t="str">
        <x:v>TRF-102</x:v>
      </x:c>
      <x:c r="C6" s="47" t="str">
        <x:v>bladeFailureSpindleTorque</x:v>
      </x:c>
      <x:c r="D6" s="48" t="str">
        <x:v>https://w3id.org/nltl-benchmark/vocab#bladeFailureSpindleTorque</x:v>
      </x:c>
      <x:c r="E6" s="47" t="str">
        <x:v>QuantityProperty</x:v>
      </x:c>
      <x:c r="F6" s="47" t="str"/>
      <x:c r="G6" s="47" t="str">
        <x:v>http://qudt.org/schema/qudt/QuantityValue</x:v>
      </x:c>
      <x:c r="H6" s="47" t="str">
        <x:v>http://qudt.org/vocab/unit/KiloN-M</x:v>
      </x:c>
      <x:c r="I6" s="48" t="str">
        <x:v>linked by the locked 313-requirement index</x:v>
      </x:c>
      <x:c r="J6" s="47" t="n">
        <x:v>0</x:v>
      </x:c>
    </x:row>
    <x:row r="7">
      <x:c r="A7" s="47" t="str">
        <x:v>RUN-TRF-102-20260813T094534218439Z</x:v>
      </x:c>
      <x:c r="B7" s="47" t="str">
        <x:v>TRF-102</x:v>
      </x:c>
      <x:c r="C7" s="47" t="str">
        <x:v>extremeIceForce</x:v>
      </x:c>
      <x:c r="D7" s="48" t="str">
        <x:v>https://w3id.org/nltl-benchmark/vocab#extremeIceForce</x:v>
      </x:c>
      <x:c r="E7" s="47" t="str">
        <x:v>QuantityProperty</x:v>
      </x:c>
      <x:c r="F7" s="47" t="str"/>
      <x:c r="G7" s="47" t="str">
        <x:v>http://qudt.org/schema/qudt/QuantityValue</x:v>
      </x:c>
      <x:c r="H7" s="47" t="str">
        <x:v>http://qudt.org/vocab/unit/KiloN</x:v>
      </x:c>
      <x:c r="I7" s="48" t="str">
        <x:v>linked by the locked 313-requirement index</x:v>
      </x:c>
      <x:c r="J7" s="47" t="n">
        <x:v>0</x:v>
      </x:c>
    </x:row>
    <x:row r="8">
      <x:c r="A8" s="47" t="str">
        <x:v>RUN-TRF-102-20260813T094534218439Z</x:v>
      </x:c>
      <x:c r="B8" s="47" t="str">
        <x:v>TRF-102</x:v>
      </x:c>
      <x:c r="C8" s="47" t="str">
        <x:v>hasComponent</x:v>
      </x:c>
      <x:c r="D8" s="48" t="str">
        <x:v>https://w3id.org/nltl-benchmark/vocab#hasComponent</x:v>
      </x:c>
      <x:c r="E8" s="47" t="str">
        <x:v>ObjectProperty</x:v>
      </x:c>
      <x:c r="F8" s="47" t="str"/>
      <x:c r="G8" s="47" t="str">
        <x:v>https://w3id.org/nltl-benchmark/vocab#shipComponent</x:v>
      </x:c>
      <x:c r="H8" s="47" t="str"/>
      <x:c r="I8" s="48" t="str">
        <x:v>component-path dependency inferred from the linked term module</x:v>
      </x:c>
      <x:c r="J8" s="47" t="n">
        <x:v>0</x:v>
      </x:c>
    </x:row>
    <x:row r="9">
      <x:c r="A9" s="47" t="str">
        <x:v>RUN-TRF-102-20260813T094534218439Z</x:v>
      </x:c>
      <x:c r="B9" s="47" t="str">
        <x:v>TRF-102</x:v>
      </x:c>
      <x:c r="C9" s="47" t="str">
        <x:v>maximumSpindleTorque</x:v>
      </x:c>
      <x:c r="D9" s="48" t="str">
        <x:v>https://w3id.org/nltl-benchmark/vocab#maximumSpindleTorque</x:v>
      </x:c>
      <x:c r="E9" s="47" t="str">
        <x:v>QuantityProperty</x:v>
      </x:c>
      <x:c r="F9" s="47" t="str"/>
      <x:c r="G9" s="47" t="str">
        <x:v>http://qudt.org/schema/qudt/QuantityValue</x:v>
      </x:c>
      <x:c r="H9" s="47" t="str">
        <x:v>http://qudt.org/vocab/unit/KiloN-M</x:v>
      </x:c>
      <x:c r="I9" s="48" t="str">
        <x:v>linked by the locked 313-requirement index</x:v>
      </x:c>
      <x:c r="J9" s="47" t="n">
        <x:v>0</x:v>
      </x:c>
    </x:row>
    <x:row r="10">
      <x:c r="A10" s="47" t="str">
        <x:v>RUN-TRF-102-20260813T094534218439Z</x:v>
      </x:c>
      <x:c r="B10" s="47" t="str">
        <x:v>TRF-102</x:v>
      </x:c>
      <x:c r="C10" s="47" t="str">
        <x:v>ship</x:v>
      </x:c>
      <x:c r="D10" s="48" t="str">
        <x:v>https://w3id.org/nltl-benchmark/vocab#ship</x:v>
      </x:c>
      <x:c r="E10" s="47" t="str">
        <x:v>Class</x:v>
      </x:c>
      <x:c r="F10" s="47" t="str"/>
      <x:c r="G10" s="47" t="str"/>
      <x:c r="H10" s="47" t="str"/>
      <x:c r="I10" s="48" t="str">
        <x:v>authoritative required owner class; authoritative requirement target owner; baseline target infrastructure</x:v>
      </x:c>
      <x:c r="J10" s="47" t="n">
        <x:v>0</x:v>
      </x:c>
    </x:row>
    <x:row r="11">
      <x:c r="A11" s="49" t="str">
        <x:v>RUN-TRF-102-20260813T094534218439Z</x:v>
      </x:c>
      <x:c r="B11" s="49" t="str">
        <x:v>TRF-102</x:v>
      </x:c>
      <x:c r="C11" s="49" t="str">
        <x:v>shipComponent</x:v>
      </x:c>
      <x:c r="D11" s="50" t="str">
        <x:v>https://w3id.org/nltl-benchmark/vocab#shipComponent</x:v>
      </x:c>
      <x:c r="E11" s="49" t="str">
        <x:v>Class</x:v>
      </x:c>
      <x:c r="F11" s="49" t="str"/>
      <x:c r="G11" s="49" t="str"/>
      <x:c r="H11" s="49" t="str"/>
      <x:c r="I11" s="50" t="str">
        <x:v>component-path dependency inferred from the linked term module</x:v>
      </x:c>
      <x:c r="J11" s="49" t="n">
        <x:v>0</x:v>
      </x:c>
    </x:row>
  </x:sheetData>
  <x:pageMargins left="0.7" right="0.7" top="0.75" bottom="0.75" header="0.3" footer="0.3"/>
  <x:tableParts count="1">
    <x:tablePart xmlns:r="http://schemas.openxmlformats.org/officeDocument/2006/relationships" r:id="Ra29d498990e4421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RUN-TRF-102-20260813T094534218439Z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RUN-TRF-102-20260813T094534218439Z</x:v>
      </x:c>
      <x:c r="B5" s="45" t="str">
        <x:v>TRF-102</x:v>
      </x:c>
      <x:c r="C5" s="45" t="str">
        <x:v>FS-CALC-02</x:v>
      </x:c>
      <x:c r="D5" s="45" t="str">
        <x:v>comparison_calculation</x:v>
      </x:c>
      <x:c r="E5" s="99" t="n">
        <x:v>0.051282</x:v>
      </x:c>
      <x:c r="F5" s="45" t="str">
        <x:v>calculation | comparison | formula | sparql</x:v>
      </x:c>
      <x:c r="G5" s="45" t="str">
        <x:v>synthetic-few-shot-not-benchmark-ground-truth</x:v>
      </x:c>
    </x:row>
    <x:row r="6">
      <x:c r="A6" s="49" t="str">
        <x:v>RUN-TRF-102-20260813T094534218439Z</x:v>
      </x:c>
      <x:c r="B6" s="49" t="str">
        <x:v>TRF-102</x:v>
      </x:c>
      <x:c r="C6" s="49" t="str">
        <x:v>FS-QTY-01</x:v>
      </x:c>
      <x:c r="D6" s="49" t="str">
        <x:v>qudt_quantity</x:v>
      </x:c>
      <x:c r="E6" s="100" t="n">
        <x:v>0.025316</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e7e53d1fbc0422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RUN-TRF-102-20260813T094534218439Z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RUN-TRF-102-20260813T094534218439Z</x:v>
      </x:c>
      <x:c r="B5" s="69" t="str">
        <x:v>TRF-102</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https://w3id.org/nltl-benchmark/vocab#bladeFailureSpindleTorque | https://w3id.org/nltl-benchmark/vocab#extremeIceForce | https://w3id.org/nltl-benchmark/vocab#maximumSpindleTorque | https://w3id.org/nltl-benchmark/vocab#ship</x:v>
      </x:c>
      <x:c r="O5" s="73" t="str"/>
      <x:c r="P5" s="73" t="str"/>
      <x:c r="Q5" s="73" t="str"/>
    </x:row>
  </x:sheetData>
  <x:pageMargins left="0.7" right="0.7" top="0.75" bottom="0.75" header="0.3" footer="0.3"/>
  <x:tableParts count="1">
    <x:tablePart xmlns:r="http://schemas.openxmlformats.org/officeDocument/2006/relationships" r:id="R0dc88b69f6a14a63"/>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RUN-TRF-102-20260813T094534218439Z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RUN-TRF-102-20260813T094534218439Z</x:v>
      </x:c>
      <x:c r="B5" s="45" t="str">
        <x:v>TRF-102</x:v>
      </x:c>
      <x:c r="C5" s="58" t="n">
        <x:v>1</x:v>
      </x:c>
      <x:c r="D5" s="45" t="str">
        <x:v>matcher_search</x:v>
      </x:c>
      <x:c r="E5" s="46" t="str">
        <x:v>Replace the presence/unit-only checks with the required exclusive alternatives: either evidence that an appropriate stress analysis directly determines maximumSpindleTorque, or a bounded formula check deriving bladeFailureSpindleTorque as max(C_LE0.8, 0.8*C_TE0.8) * max(0.3, 0.7*(1-((4*EAR)/Z)^3)) * extremeIceForce. Require all selected-branch inputs and outputs on the ship, prevent missing branch-selection evidence from passing, and compare the reported derived decimal using tolerance scaled from the expected result rather than exact equality. Add outer cardinalities so absent quantities cannot pass. Canonical terms for the formula operands and stress-analysis evidence are not supplied and must be located by the matcher; retain the stated kN and kN·m units.</x:v>
      </x:c>
      <x:c r="F5" s="58" t="n">
        <x:v>5</x:v>
      </x:c>
      <x:c r="G5" s="45" t="str"/>
      <x:c r="H5" s="45" t="str"/>
      <x:c r="I5" s="46" t="str"/>
      <x:c r="J5" s="46" t="str"/>
    </x:row>
    <x:row r="6">
      <x:c r="A6" s="49" t="str">
        <x:v>RUN-TRF-102-20260813T094534218439Z</x:v>
      </x:c>
      <x:c r="B6" s="49" t="str">
        <x:v>TRF-102</x:v>
      </x:c>
      <x:c r="C6" s="60" t="n">
        <x:v>1</x:v>
      </x:c>
      <x:c r="D6" s="49" t="str">
        <x:v>matcher_decision</x:v>
      </x:c>
      <x:c r="E6" s="50" t="str"/>
      <x:c r="F6" s="60" t="str"/>
      <x:c r="G6" s="96" t="b">
        <x:v>0</x:v>
      </x:c>
      <x:c r="H6" s="49" t="str"/>
      <x:c r="I6" s="50" t="str"/>
      <x:c r="J6" s="50" t="str">
        <x:v>No candidate represents the missing formula operands or stress-analysis branch-selection evidence; the supplied quantity candidates cover only spindle torque and extreme ice force.</x:v>
      </x:c>
    </x:row>
  </x:sheetData>
  <x:pageMargins left="0.7" right="0.7" top="0.75" bottom="0.75" header="0.3" footer="0.3"/>
  <x:tableParts count="1">
    <x:tablePart xmlns:r="http://schemas.openxmlformats.org/officeDocument/2006/relationships" r:id="R1823b84c0ddc4dd1"/>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RUN-TRF-102-20260813T094534218439Z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RUN-TRF-102-20260813T094534218439Z</x:v>
      </x:c>
      <x:c r="B5" s="45" t="str">
        <x:v>TRF-102</x:v>
      </x:c>
      <x:c r="C5" s="58"/>
      <x:c r="D5" s="45" t="str">
        <x:v>initial_context_pack</x:v>
      </x:c>
      <x:c r="E5" s="46" t="str">
        <x:v>artifacts/context_pack_initial.json</x:v>
      </x:c>
      <x:c r="F5" s="45" t="str">
        <x:v>9e3ea6777dc683242535f23e6c698365f3252f8660d7dd11bbbccbedac505c91</x:v>
      </x:c>
      <x:c r="G5" s="58" t="n">
        <x:v>9590</x:v>
      </x:c>
    </x:row>
    <x:row r="6">
      <x:c r="A6" s="47" t="str">
        <x:v>RUN-TRF-102-20260813T094534218439Z</x:v>
      </x:c>
      <x:c r="B6" s="47" t="str">
        <x:v>TRF-102</x:v>
      </x:c>
      <x:c r="C6" s="59"/>
      <x:c r="D6" s="47" t="str">
        <x:v>few_shot_selection</x:v>
      </x:c>
      <x:c r="E6" s="48" t="str">
        <x:v>artifacts/few_shots_selected.json</x:v>
      </x:c>
      <x:c r="F6" s="47" t="str">
        <x:v>8397959c03c0528f9b460c3e62878d934f336fe11d93b6bf14e049726f1c8c95</x:v>
      </x:c>
      <x:c r="G6" s="59" t="n">
        <x:v>5365</x:v>
      </x:c>
    </x:row>
    <x:row r="7">
      <x:c r="A7" s="47" t="str">
        <x:v>RUN-TRF-102-20260813T094534218439Z</x:v>
      </x:c>
      <x:c r="B7" s="47" t="str">
        <x:v>TRF-102</x:v>
      </x:c>
      <x:c r="C7" s="59" t="n">
        <x:v>1</x:v>
      </x:c>
      <x:c r="D7" s="47" t="str">
        <x:v>generator_prompt</x:v>
      </x:c>
      <x:c r="E7" s="48" t="str">
        <x:v>artifacts/attempt_01/generator_prompt.txt</x:v>
      </x:c>
      <x:c r="F7" s="47" t="str">
        <x:v>2651fdf3070af7643d534f81f83d3440ec676201d24fff616b1e04f97e5d2282</x:v>
      </x:c>
      <x:c r="G7" s="59" t="n">
        <x:v>20839</x:v>
      </x:c>
    </x:row>
    <x:row r="8">
      <x:c r="A8" s="47" t="str">
        <x:v>RUN-TRF-102-20260813T094534218439Z</x:v>
      </x:c>
      <x:c r="B8" s="47" t="str">
        <x:v>TRF-102</x:v>
      </x:c>
      <x:c r="C8" s="59" t="n">
        <x:v>1</x:v>
      </x:c>
      <x:c r="D8" s="47" t="str">
        <x:v>generator_raw_response</x:v>
      </x:c>
      <x:c r="E8" s="48" t="str">
        <x:v>artifacts/attempt_01/generator_raw.txt</x:v>
      </x:c>
      <x:c r="F8" s="47" t="str">
        <x:v>ee69475bfc95cbd4b19929ec152dd2b2a73c87d7fdf261c9e9f3de548763854c</x:v>
      </x:c>
      <x:c r="G8" s="59" t="n">
        <x:v>2172</x:v>
      </x:c>
    </x:row>
    <x:row r="9">
      <x:c r="A9" s="47" t="str">
        <x:v>RUN-TRF-102-20260813T094534218439Z</x:v>
      </x:c>
      <x:c r="B9" s="47" t="str">
        <x:v>TRF-102</x:v>
      </x:c>
      <x:c r="C9" s="59" t="n">
        <x:v>1</x:v>
      </x:c>
      <x:c r="D9" s="47" t="str">
        <x:v>candidate_shape</x:v>
      </x:c>
      <x:c r="E9" s="48" t="str">
        <x:v>artifacts/attempt_01/candidate_shape.ttl</x:v>
      </x:c>
      <x:c r="F9" s="47" t="str">
        <x:v>b7a367ca056c755ff89819c95cd2a6356b4869f1da163b3ae9a4f32f7274ef02</x:v>
      </x:c>
      <x:c r="G9" s="59" t="n">
        <x:v>2147</x:v>
      </x:c>
    </x:row>
    <x:row r="10">
      <x:c r="A10" s="47" t="str">
        <x:v>RUN-TRF-102-20260813T094534218439Z</x:v>
      </x:c>
      <x:c r="B10" s="47" t="str">
        <x:v>TRF-102</x:v>
      </x:c>
      <x:c r="C10" s="59" t="n">
        <x:v>1</x:v>
      </x:c>
      <x:c r="D10" s="47" t="str">
        <x:v>deterministic_validation</x:v>
      </x:c>
      <x:c r="E10" s="48" t="str">
        <x:v>artifacts/attempt_01/deterministic_validation.json</x:v>
      </x:c>
      <x:c r="F10" s="47" t="str">
        <x:v>eaf7f8097cc13a47fc9fcf8e94441eee28807231955c5ed8e070935f473b2cb2</x:v>
      </x:c>
      <x:c r="G10" s="59" t="n">
        <x:v>637</x:v>
      </x:c>
    </x:row>
    <x:row r="11">
      <x:c r="A11" s="47" t="str">
        <x:v>RUN-TRF-102-20260813T094534218439Z</x:v>
      </x:c>
      <x:c r="B11" s="47" t="str">
        <x:v>TRF-102</x:v>
      </x:c>
      <x:c r="C11" s="59" t="n">
        <x:v>1</x:v>
      </x:c>
      <x:c r="D11" s="47" t="str">
        <x:v>validator_prompt</x:v>
      </x:c>
      <x:c r="E11" s="48" t="str">
        <x:v>artifacts/attempt_01/validator_prompt_01.txt</x:v>
      </x:c>
      <x:c r="F11" s="47" t="str">
        <x:v>b306faff08c260a77a99cab235b36841dd13f3592326cb96270374c35cc8ffa9</x:v>
      </x:c>
      <x:c r="G11" s="59" t="n">
        <x:v>16555</x:v>
      </x:c>
    </x:row>
    <x:row r="12">
      <x:c r="A12" s="47" t="str">
        <x:v>RUN-TRF-102-20260813T094534218439Z</x:v>
      </x:c>
      <x:c r="B12" s="47" t="str">
        <x:v>TRF-102</x:v>
      </x:c>
      <x:c r="C12" s="59" t="n">
        <x:v>1</x:v>
      </x:c>
      <x:c r="D12" s="47" t="str">
        <x:v>validator_raw_response</x:v>
      </x:c>
      <x:c r="E12" s="48" t="str">
        <x:v>artifacts/attempt_01/validator_raw_01.txt</x:v>
      </x:c>
      <x:c r="F12" s="47" t="str">
        <x:v>c10ec0b7c5dad76b1ab11b9bf609f838f79cda66cf7fa4ce0dbd1c9df5389d4e</x:v>
      </x:c>
      <x:c r="G12" s="59" t="n">
        <x:v>832</x:v>
      </x:c>
    </x:row>
    <x:row r="13">
      <x:c r="A13" s="47" t="str">
        <x:v>RUN-TRF-102-20260813T094534218439Z</x:v>
      </x:c>
      <x:c r="B13" s="47" t="str">
        <x:v>TRF-102</x:v>
      </x:c>
      <x:c r="C13" s="59" t="n">
        <x:v>1</x:v>
      </x:c>
      <x:c r="D13" s="47" t="str">
        <x:v>matcher_candidates</x:v>
      </x:c>
      <x:c r="E13" s="48" t="str">
        <x:v>artifacts/attempt_01/matcher_candidates.json</x:v>
      </x:c>
      <x:c r="F13" s="47" t="str">
        <x:v>b9b856b89c6334f62132c474c75b0b79c1c333ec9490c8cf3783cdb9bd915d78</x:v>
      </x:c>
      <x:c r="G13" s="59" t="n">
        <x:v>3205</x:v>
      </x:c>
    </x:row>
    <x:row r="14">
      <x:c r="A14" s="47" t="str">
        <x:v>RUN-TRF-102-20260813T094534218439Z</x:v>
      </x:c>
      <x:c r="B14" s="47" t="str">
        <x:v>TRF-102</x:v>
      </x:c>
      <x:c r="C14" s="59" t="n">
        <x:v>1</x:v>
      </x:c>
      <x:c r="D14" s="47" t="str">
        <x:v>vocabulary_matcher_prompt</x:v>
      </x:c>
      <x:c r="E14" s="48" t="str">
        <x:v>artifacts/attempt_01/vocabulary_matcher_prompt_01.txt</x:v>
      </x:c>
      <x:c r="F14" s="47" t="str">
        <x:v>4f04d54a88f8ec133bb98ae6cec16ab3b2c5f82750ad996d83a7dedd5742554d</x:v>
      </x:c>
      <x:c r="G14" s="59" t="n">
        <x:v>6563</x:v>
      </x:c>
    </x:row>
    <x:row r="15">
      <x:c r="A15" s="49" t="str">
        <x:v>RUN-TRF-102-20260813T094534218439Z</x:v>
      </x:c>
      <x:c r="B15" s="49" t="str">
        <x:v>TRF-102</x:v>
      </x:c>
      <x:c r="C15" s="60" t="n">
        <x:v>1</x:v>
      </x:c>
      <x:c r="D15" s="49" t="str">
        <x:v>vocabulary_matcher_raw_response</x:v>
      </x:c>
      <x:c r="E15" s="50" t="str">
        <x:v>artifacts/attempt_01/vocabulary_matcher_raw_01.txt</x:v>
      </x:c>
      <x:c r="F15" s="49" t="str">
        <x:v>ef9c6a521424ef80501bee2b041553e9abea7357c6bf727990415d44c8b98470</x:v>
      </x:c>
      <x:c r="G15" s="60" t="n">
        <x:v>269</x:v>
      </x:c>
    </x:row>
  </x:sheetData>
  <x:pageMargins left="0.7" right="0.7" top="0.75" bottom="0.75" header="0.3" footer="0.3"/>
  <x:tableParts count="1">
    <x:tablePart xmlns:r="http://schemas.openxmlformats.org/officeDocument/2006/relationships" r:id="Rcbdf48716c434623"/>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RUN-TRF-102-20260813T094534218439Z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RUN-TRF-102-20260813T094534218439Z</x:v>
      </x:c>
      <x:c r="B5" s="69" t="str">
        <x:v>TRF-102</x:v>
      </x:c>
      <x:c r="C5" s="71" t="n">
        <x:v>1</x:v>
      </x:c>
      <x:c r="D5" s="69" t="str">
        <x:v>TERM_RESOLUTION_UNRESOLVED</x:v>
      </x:c>
      <x:c r="E5" s="73" t="str">
        <x:v>No candidate represents the missing formula operands or stress-analysis branch-selection evidence; the supplied quantity candidates cover only spindle torque and extreme ice force.</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84668666936b4263"/>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RUN-TRF-102-20260813T094534218439Z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