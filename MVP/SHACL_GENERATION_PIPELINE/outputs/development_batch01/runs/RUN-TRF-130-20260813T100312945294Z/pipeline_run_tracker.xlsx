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83ef0684228462c" /></Relationships>
</file>

<file path=xl/workbook.xml><?xml version="1.0" encoding="utf-8"?>
<x:workbook xmlns:x="http://schemas.openxmlformats.org/spreadsheetml/2006/main">
  <x:sheets>
    <x:sheet xmlns:r="http://schemas.openxmlformats.org/officeDocument/2006/relationships" name="SUMMARY" sheetId="1" r:id="R3de4e0ce030c4f82"/>
    <x:sheet xmlns:r="http://schemas.openxmlformats.org/officeDocument/2006/relationships" name="README" sheetId="2" r:id="Rb678cf758b6f4b68"/>
    <x:sheet xmlns:r="http://schemas.openxmlformats.org/officeDocument/2006/relationships" name="REGULATION_QUEUE" sheetId="3" r:id="R3cf983dadcce4e46"/>
    <x:sheet xmlns:r="http://schemas.openxmlformats.org/officeDocument/2006/relationships" name="RUNS" sheetId="4" r:id="R59d566c7882347f1"/>
    <x:sheet xmlns:r="http://schemas.openxmlformats.org/officeDocument/2006/relationships" name="ITERATIONS" sheetId="5" r:id="R2f8a808e5439416d"/>
    <x:sheet xmlns:r="http://schemas.openxmlformats.org/officeDocument/2006/relationships" name="API_CALLS" sheetId="6" r:id="R435ca66959704048"/>
    <x:sheet xmlns:r="http://schemas.openxmlformats.org/officeDocument/2006/relationships" name="TERM_RETRIEVAL" sheetId="7" r:id="R7eabc99b8aa34e46"/>
    <x:sheet xmlns:r="http://schemas.openxmlformats.org/officeDocument/2006/relationships" name="FEW_SHOT_SELECTION" sheetId="8" r:id="R9bd054d427884615"/>
    <x:sheet xmlns:r="http://schemas.openxmlformats.org/officeDocument/2006/relationships" name="VALIDATION" sheetId="9" r:id="Rd0836ca205f84396"/>
    <x:sheet xmlns:r="http://schemas.openxmlformats.org/officeDocument/2006/relationships" name="VOCAB_MATCHES" sheetId="10" r:id="R60f5eafda5bd4c4c"/>
    <x:sheet xmlns:r="http://schemas.openxmlformats.org/officeDocument/2006/relationships" name="ARTIFACTS" sheetId="11" r:id="R7de9a939b26b49b3"/>
    <x:sheet xmlns:r="http://schemas.openxmlformats.org/officeDocument/2006/relationships" name="UNRESOLVED" sheetId="12" r:id="Rdff47c7aecf54d72"/>
    <x:sheet xmlns:r="http://schemas.openxmlformats.org/officeDocument/2006/relationships" name="RDF_TEST_QUEUE" sheetId="13" r:id="Re4734a98fe85442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f3abedab5e34111" /><Relationship Type="http://schemas.openxmlformats.org/officeDocument/2006/relationships/theme" Target="/xl/theme/theme1.xml" Id="R71663d5bae044470" /><Relationship Type="http://schemas.microsoft.com/office/2022/11/relationships/FeaturePropertyBag" Target="/xl/featurePropertyBag/featurePropertyBag.xml" Id="R0418e20ef76548ab" /><Relationship Type="http://schemas.openxmlformats.org/officeDocument/2006/relationships/sharedStrings" Target="/xl/sharedStrings.xml" Id="Re7d83fbd60f04419" /><Relationship Type="http://schemas.openxmlformats.org/officeDocument/2006/relationships/worksheet" Target="/xl/worksheets/sheet1.xml" Id="R3de4e0ce030c4f82" /><Relationship Type="http://schemas.openxmlformats.org/officeDocument/2006/relationships/worksheet" Target="/xl/worksheets/sheet2.xml" Id="Rb678cf758b6f4b68" /><Relationship Type="http://schemas.openxmlformats.org/officeDocument/2006/relationships/worksheet" Target="/xl/worksheets/sheet3.xml" Id="R3cf983dadcce4e46" /><Relationship Type="http://schemas.openxmlformats.org/officeDocument/2006/relationships/worksheet" Target="/xl/worksheets/sheet4.xml" Id="R59d566c7882347f1" /><Relationship Type="http://schemas.openxmlformats.org/officeDocument/2006/relationships/worksheet" Target="/xl/worksheets/sheet5.xml" Id="R2f8a808e5439416d" /><Relationship Type="http://schemas.openxmlformats.org/officeDocument/2006/relationships/worksheet" Target="/xl/worksheets/sheet6.xml" Id="R435ca66959704048" /><Relationship Type="http://schemas.openxmlformats.org/officeDocument/2006/relationships/worksheet" Target="/xl/worksheets/sheet7.xml" Id="R7eabc99b8aa34e46" /><Relationship Type="http://schemas.openxmlformats.org/officeDocument/2006/relationships/worksheet" Target="/xl/worksheets/sheet8.xml" Id="R9bd054d427884615" /><Relationship Type="http://schemas.openxmlformats.org/officeDocument/2006/relationships/worksheet" Target="/xl/worksheets/sheet9.xml" Id="Rd0836ca205f84396" /><Relationship Type="http://schemas.openxmlformats.org/officeDocument/2006/relationships/worksheet" Target="/xl/worksheets/sheet10.xml" Id="R60f5eafda5bd4c4c" /><Relationship Type="http://schemas.openxmlformats.org/officeDocument/2006/relationships/worksheet" Target="/xl/worksheets/sheet11.xml" Id="R7de9a939b26b49b3" /><Relationship Type="http://schemas.openxmlformats.org/officeDocument/2006/relationships/worksheet" Target="/xl/worksheets/sheet12.xml" Id="Rdff47c7aecf54d72" /><Relationship Type="http://schemas.openxmlformats.org/officeDocument/2006/relationships/worksheet" Target="/xl/worksheets/sheet13.xml" Id="Re4734a98fe85442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a8e088b4d204214" /></Relationships>
</file>

<file path=xl/worksheets/_rels/sheet3.xml.rels>&#65279;<?xml version="1.0" encoding="utf-8"?><Relationships xmlns="http://schemas.openxmlformats.org/package/2006/relationships"><Relationship Type="http://schemas.openxmlformats.org/officeDocument/2006/relationships/table" Target="/xl/tables/table2.xml" Id="R6f62f1d3f7c64c9b" /></Relationships>
</file>

<file path=xl/worksheets/_rels/sheet4.xml.rels>&#65279;<?xml version="1.0" encoding="utf-8"?><Relationships xmlns="http://schemas.openxmlformats.org/package/2006/relationships"><Relationship Type="http://schemas.openxmlformats.org/officeDocument/2006/relationships/table" Target="/xl/tables/table3.xml" Id="Ra3c03339a8654e68" /></Relationships>
</file>

<file path=xl/worksheets/_rels/sheet5.xml.rels>&#65279;<?xml version="1.0" encoding="utf-8"?><Relationships xmlns="http://schemas.openxmlformats.org/package/2006/relationships"><Relationship Type="http://schemas.openxmlformats.org/officeDocument/2006/relationships/table" Target="/xl/tables/table4.xml" Id="R51aed6cb874a4afc" /></Relationships>
</file>

<file path=xl/worksheets/_rels/sheet6.xml.rels>&#65279;<?xml version="1.0" encoding="utf-8"?><Relationships xmlns="http://schemas.openxmlformats.org/package/2006/relationships"><Relationship Type="http://schemas.openxmlformats.org/officeDocument/2006/relationships/table" Target="/xl/tables/table5.xml" Id="Rd59fbede902f4994" /></Relationships>
</file>

<file path=xl/worksheets/_rels/sheet7.xml.rels>&#65279;<?xml version="1.0" encoding="utf-8"?><Relationships xmlns="http://schemas.openxmlformats.org/package/2006/relationships"><Relationship Type="http://schemas.openxmlformats.org/officeDocument/2006/relationships/table" Target="/xl/tables/table6.xml" Id="R6b2e6364ecbc4ede" /></Relationships>
</file>

<file path=xl/worksheets/_rels/sheet8.xml.rels>&#65279;<?xml version="1.0" encoding="utf-8"?><Relationships xmlns="http://schemas.openxmlformats.org/package/2006/relationships"><Relationship Type="http://schemas.openxmlformats.org/officeDocument/2006/relationships/table" Target="/xl/tables/table7.xml" Id="Ra5cd4b18753347e1" /></Relationships>
</file>

<file path=xl/worksheets/_rels/sheet9.xml.rels>&#65279;<?xml version="1.0" encoding="utf-8"?><Relationships xmlns="http://schemas.openxmlformats.org/package/2006/relationships"><Relationship Type="http://schemas.openxmlformats.org/officeDocument/2006/relationships/table" Target="/xl/tables/table8.xml" Id="Rb6a8f957b5934201" /></Relationships>
</file>

<file path=xl/worksheets/_rels/sheet10.xml.rels>&#65279;<?xml version="1.0" encoding="utf-8"?><Relationships xmlns="http://schemas.openxmlformats.org/package/2006/relationships"><Relationship Type="http://schemas.openxmlformats.org/officeDocument/2006/relationships/table" Target="/xl/tables/table9.xml" Id="R2205296fccb84eb4" /></Relationships>
</file>

<file path=xl/worksheets/_rels/sheet11.xml.rels>&#65279;<?xml version="1.0" encoding="utf-8"?><Relationships xmlns="http://schemas.openxmlformats.org/package/2006/relationships"><Relationship Type="http://schemas.openxmlformats.org/officeDocument/2006/relationships/table" Target="/xl/tables/table10.xml" Id="Rd8a29182b820492c" /></Relationships>
</file>

<file path=xl/worksheets/_rels/sheet12.xml.rels>&#65279;<?xml version="1.0" encoding="utf-8"?><Relationships xmlns="http://schemas.openxmlformats.org/package/2006/relationships"><Relationship Type="http://schemas.openxmlformats.org/officeDocument/2006/relationships/table" Target="/xl/tables/table11.xml" Id="R50473f54c0534fe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RUN-TRF-130-20260813T100312945294Z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COUNTA('API_CALLS'!$A$5:$A$10)</x:f>
        <x:v>6</x:v>
      </x:c>
      <x:c r="C9" s="21"/>
      <x:c r="D9" s="21"/>
    </x:row>
    <x:row r="10">
      <x:c r="A10" s="27" t="str">
        <x:v>Mean API/LLM elapsed ms</x:v>
      </x:c>
      <x:c r="B10" s="28" t="n">
        <x:f>IFERROR(AVERAGE('API_CALLS'!$K$5:$K$10),0)</x:f>
        <x:v>18873.514666666666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RUN-TRF-130-20260813T100312945294Z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a8e088b4d20421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RUN-TRF-130-20260813T100312945294Z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TERM_RESOLUTION_UNRESOLVED</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6f62f1d3f7c64c9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RUN-TRF-130-20260813T100312945294Z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SESSION-BATCH-20260813T091540611845Z</x:v>
      </x:c>
      <x:c r="B5" s="69" t="str">
        <x:v>RUN-TRF-130-20260813T100312945294Z</x:v>
      </x:c>
      <x:c r="C5" s="69" t="str">
        <x:v>TRF-130</x:v>
      </x:c>
      <x:c r="D5" s="70" t="n">
        <x:v>46247.41889983796</x:v>
      </x:c>
      <x:c r="E5" s="70" t="n">
        <x:v>46247.41956915509</x:v>
      </x:c>
      <x:c r="F5" s="69" t="str">
        <x:v>0.8.1-dev-batch01-postconfirmation</x:v>
      </x:c>
      <x:c r="G5" s="69" t="str">
        <x:v>VOCAB-DEV-2026-08-13-BATCH01-R8.1-POSTCONFIRMATION</x:v>
      </x:c>
      <x:c r="H5" s="71" t="n">
        <x:v>1</x:v>
      </x:c>
      <x:c r="I5" s="69" t="str">
        <x:v>TERM_RESOLUTION_UNRESOLVED</x:v>
      </x:c>
      <x:c r="J5" s="72" t="b">
        <x:v>0</x:v>
      </x:c>
      <x:c r="K5" s="69" t="str"/>
      <x:c r="L5" s="73" t="str">
        <x:v>No supplied canonical candidate semantically represents inability evidence, a two-chest arrangement, or alternating intake/discharge.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3c03339a8654e6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RUN-TRF-130-20260813T100312945294Z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RUN-TRF-130-20260813T100312945294Z</x:v>
      </x:c>
      <x:c r="B5" s="69" t="str">
        <x:v>TRF-130</x:v>
      </x:c>
      <x:c r="C5" s="71" t="n">
        <x:v>1</x:v>
      </x:c>
      <x:c r="D5" s="72" t="b">
        <x:v>1</x:v>
      </x:c>
      <x:c r="E5" s="72" t="b">
        <x:v>0</x:v>
      </x:c>
      <x:c r="F5" s="72" t="b">
        <x:v>1</x:v>
      </x:c>
      <x:c r="G5" s="69" t="str">
        <x:v>STOP_TERM_RESOLUTION</x:v>
      </x:c>
      <x:c r="H5" s="73" t="str">
        <x:v>The shape encodes only items 1, 4, and 5. Add the mandatory ice-accumulation-space check using nltl:iceAccumulationSpaceAboveInlet=true, and encode seaChestVolume approximately equal to the supplied engine-power operand divided by 750, with m3 and kW units and a bounded tolerance scaled from the expected formula result rather than exact decimal equality or tolerance based on the reported value. Encode the conditional alternative explicitly: when paragraphs 2 and 3 cannot be met, require evidence of two smaller chests arranged for alternating intake/discharge; missing branch-selection evidence must not pass, and the normal and alternative branches must not be conjunctively mandatory. Preserve the authoritative ship owner and the valid strainer ratio lower bound of 4. Vocabulary matching is required because canonical terms for the alternative's inability evidence, two-chest arrangement, and alternating intake/discharge are not supplied in the scoped vocabulary.</x:v>
      </x:c>
      <x:c r="I5" s="75" t="n">
        <x:v>42666.632</x:v>
      </x:c>
      <x:c r="J5" s="75" t="n">
        <x:v>11296.635</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1aed6cb874a4af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RUN-TRF-130-20260813T100312945294Z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EVT-000023</x:v>
      </x:c>
      <x:c r="B5" s="45" t="str">
        <x:v>RUN-TRF-130-20260813T100312945294Z</x:v>
      </x:c>
      <x:c r="C5" s="45" t="str">
        <x:v>TRF-130</x:v>
      </x:c>
      <x:c r="D5" s="88" t="n">
        <x:v>46247.41939368055</x:v>
      </x:c>
      <x:c r="E5" s="45" t="str">
        <x:v>generator</x:v>
      </x:c>
      <x:c r="F5" s="45" t="str">
        <x:v>gpt-5.6-sol-2026-07-09</x:v>
      </x:c>
      <x:c r="G5" s="45" t="n">
        <x:v>1</x:v>
      </x:c>
      <x:c r="H5" s="45" t="n">
        <x:v>200</x:v>
      </x:c>
      <x:c r="I5" s="45" t="str">
        <x:v>Ocp-Apim-Subscription-Key</x:v>
      </x:c>
      <x:c r="J5" s="89" t="n">
        <x:v>0</x:v>
      </x:c>
      <x:c r="K5" s="89" t="n">
        <x:v>42665.577</x:v>
      </x:c>
      <x:c r="L5" s="90" t="b">
        <x:v>0</x:v>
      </x:c>
      <x:c r="M5" s="45" t="str"/>
      <x:c r="N5" s="58" t="str"/>
      <x:c r="O5" s="58" t="str"/>
      <x:c r="P5" s="58" t="str"/>
    </x:row>
    <x:row r="6">
      <x:c r="A6" s="47" t="str">
        <x:v>EVT-000024</x:v>
      </x:c>
      <x:c r="B6" s="47" t="str">
        <x:v>RUN-TRF-130-20260813T100312945294Z</x:v>
      </x:c>
      <x:c r="C6" s="47" t="str">
        <x:v>TRF-130</x:v>
      </x:c>
      <x:c r="D6" s="91" t="n">
        <x:v>46247.41939369213</x:v>
      </x:c>
      <x:c r="E6" s="47" t="str">
        <x:v>generator</x:v>
      </x:c>
      <x:c r="F6" s="47" t="str">
        <x:v>gpt-5.6-sol-2026-07-09</x:v>
      </x:c>
      <x:c r="G6" s="47" t="n">
        <x:v>1</x:v>
      </x:c>
      <x:c r="H6" s="47" t="str">
        <x:v>COMPLETED</x:v>
      </x:c>
      <x:c r="I6" s="47" t="str"/>
      <x:c r="J6" s="92" t="n">
        <x:v>0</x:v>
      </x:c>
      <x:c r="K6" s="92" t="n">
        <x:v>42666.632</x:v>
      </x:c>
      <x:c r="L6" s="93" t="b">
        <x:v>0</x:v>
      </x:c>
      <x:c r="M6" s="47" t="str">
        <x:v>resp_0c6780bfef926ceb006a7d96610dd48190a73e2926874b670e</x:v>
      </x:c>
      <x:c r="N6" s="59" t="n">
        <x:v>8110</x:v>
      </x:c>
      <x:c r="O6" s="59" t="n">
        <x:v>3015</x:v>
      </x:c>
      <x:c r="P6" s="59" t="n">
        <x:v>11125</x:v>
      </x:c>
    </x:row>
    <x:row r="7">
      <x:c r="A7" s="47" t="str">
        <x:v>EVT-000031</x:v>
      </x:c>
      <x:c r="B7" s="47" t="str">
        <x:v>RUN-TRF-130-20260813T100312945294Z</x:v>
      </x:c>
      <x:c r="C7" s="47" t="str">
        <x:v>TRF-130</x:v>
      </x:c>
      <x:c r="D7" s="91" t="n">
        <x:v>46247.41952525463</x:v>
      </x:c>
      <x:c r="E7" s="47" t="str">
        <x:v>validator</x:v>
      </x:c>
      <x:c r="F7" s="47" t="str">
        <x:v>gpt-5.6-sol-2026-07-09</x:v>
      </x:c>
      <x:c r="G7" s="47" t="n">
        <x:v>1</x:v>
      </x:c>
      <x:c r="H7" s="47" t="n">
        <x:v>200</x:v>
      </x:c>
      <x:c r="I7" s="47" t="str">
        <x:v>Ocp-Apim-Subscription-Key</x:v>
      </x:c>
      <x:c r="J7" s="92" t="n">
        <x:v>0</x:v>
      </x:c>
      <x:c r="K7" s="92" t="n">
        <x:v>11294.855</x:v>
      </x:c>
      <x:c r="L7" s="93" t="b">
        <x:v>0</x:v>
      </x:c>
      <x:c r="M7" s="47" t="str"/>
      <x:c r="N7" s="59" t="str"/>
      <x:c r="O7" s="59" t="str"/>
      <x:c r="P7" s="59" t="str"/>
    </x:row>
    <x:row r="8">
      <x:c r="A8" s="47" t="str">
        <x:v>EVT-000032</x:v>
      </x:c>
      <x:c r="B8" s="47" t="str">
        <x:v>RUN-TRF-130-20260813T100312945294Z</x:v>
      </x:c>
      <x:c r="C8" s="47" t="str">
        <x:v>TRF-130</x:v>
      </x:c>
      <x:c r="D8" s="91" t="n">
        <x:v>46247.419525289355</x:v>
      </x:c>
      <x:c r="E8" s="47" t="str">
        <x:v>validator</x:v>
      </x:c>
      <x:c r="F8" s="47" t="str">
        <x:v>gpt-5.6-sol-2026-07-09</x:v>
      </x:c>
      <x:c r="G8" s="47" t="n">
        <x:v>1</x:v>
      </x:c>
      <x:c r="H8" s="47" t="str">
        <x:v>COMPLETED</x:v>
      </x:c>
      <x:c r="I8" s="47" t="str"/>
      <x:c r="J8" s="92" t="n">
        <x:v>0</x:v>
      </x:c>
      <x:c r="K8" s="92" t="n">
        <x:v>11296.635</x:v>
      </x:c>
      <x:c r="L8" s="93" t="b">
        <x:v>0</x:v>
      </x:c>
      <x:c r="M8" s="47" t="str">
        <x:v>resp_0762c7ab6d2d099d006a7d968bced48195bc8cbea9417efec8</x:v>
      </x:c>
      <x:c r="N8" s="59" t="n">
        <x:v>6644</x:v>
      </x:c>
      <x:c r="O8" s="59" t="n">
        <x:v>612</x:v>
      </x:c>
      <x:c r="P8" s="59" t="n">
        <x:v>7256</x:v>
      </x:c>
    </x:row>
    <x:row r="9">
      <x:c r="A9" s="47" t="str">
        <x:v>EVT-000038</x:v>
      </x:c>
      <x:c r="B9" s="47" t="str">
        <x:v>RUN-TRF-130-20260813T100312945294Z</x:v>
      </x:c>
      <x:c r="C9" s="47" t="str">
        <x:v>TRF-130</x:v>
      </x:c>
      <x:c r="D9" s="91" t="n">
        <x:v>46247.41956909722</x:v>
      </x:c>
      <x:c r="E9" s="47" t="str">
        <x:v>vocabulary_matcher</x:v>
      </x:c>
      <x:c r="F9" s="47" t="str">
        <x:v>gpt-5.6-sol-2026-07-09</x:v>
      </x:c>
      <x:c r="G9" s="47" t="n">
        <x:v>1</x:v>
      </x:c>
      <x:c r="H9" s="47" t="n">
        <x:v>200</x:v>
      </x:c>
      <x:c r="I9" s="47" t="str">
        <x:v>Ocp-Apim-Subscription-Key</x:v>
      </x:c>
      <x:c r="J9" s="92" t="n">
        <x:v>0</x:v>
      </x:c>
      <x:c r="K9" s="92" t="n">
        <x:v>2658.095</x:v>
      </x:c>
      <x:c r="L9" s="93" t="b">
        <x:v>0</x:v>
      </x:c>
      <x:c r="M9" s="47" t="str"/>
      <x:c r="N9" s="59" t="str"/>
      <x:c r="O9" s="59" t="str"/>
      <x:c r="P9" s="59" t="str"/>
    </x:row>
    <x:row r="10">
      <x:c r="A10" s="49" t="str">
        <x:v>EVT-000039</x:v>
      </x:c>
      <x:c r="B10" s="49" t="str">
        <x:v>RUN-TRF-130-20260813T100312945294Z</x:v>
      </x:c>
      <x:c r="C10" s="49" t="str">
        <x:v>TRF-130</x:v>
      </x:c>
      <x:c r="D10" s="94" t="n">
        <x:v>46247.41956912037</x:v>
      </x:c>
      <x:c r="E10" s="49" t="str">
        <x:v>vocabulary_matcher</x:v>
      </x:c>
      <x:c r="F10" s="49" t="str">
        <x:v>gpt-5.6-sol-2026-07-09</x:v>
      </x:c>
      <x:c r="G10" s="49" t="n">
        <x:v>1</x:v>
      </x:c>
      <x:c r="H10" s="49" t="str">
        <x:v>COMPLETED</x:v>
      </x:c>
      <x:c r="I10" s="49" t="str"/>
      <x:c r="J10" s="95" t="n">
        <x:v>0</x:v>
      </x:c>
      <x:c r="K10" s="95" t="n">
        <x:v>2659.294</x:v>
      </x:c>
      <x:c r="L10" s="96" t="b">
        <x:v>0</x:v>
      </x:c>
      <x:c r="M10" s="49" t="str">
        <x:v>resp_0958b458fbf1c036006a7d969842308195aaac25bd355c2474</x:v>
      </x:c>
      <x:c r="N10" s="60" t="n">
        <x:v>1602</x:v>
      </x:c>
      <x:c r="O10" s="60" t="n">
        <x:v>108</x:v>
      </x:c>
      <x:c r="P10" s="60" t="n">
        <x:v>1710</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59fbede902f499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RUN-TRF-130-20260813T100312945294Z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RUN-TRF-130-20260813T100312945294Z</x:v>
      </x:c>
      <x:c r="B5" s="45" t="str">
        <x:v>TRF-130</x:v>
      </x:c>
      <x:c r="C5" s="45" t="str">
        <x:v>benchmarkEntity</x:v>
      </x:c>
      <x:c r="D5" s="46" t="str">
        <x:v>https://w3id.org/nltl-benchmark/vocab#benchmarkEntity</x:v>
      </x:c>
      <x:c r="E5" s="45" t="str">
        <x:v>Class</x:v>
      </x:c>
      <x:c r="F5" s="45" t="str"/>
      <x:c r="G5" s="45" t="str"/>
      <x:c r="H5" s="45" t="str"/>
      <x:c r="I5" s="46" t="str">
        <x:v>baseline target infrastructure; domain dependency of fullCapacityDischargePipeConnected; domain dependency of iceAccumulationSpaceAboveInlet; domain dependency of inletPipeArea; domain dependency of maximumContinuousRatingPower; domain dependency of nearCentrelineAndWellAftIfPossible; domain dependency of recommendedChestVolume; domain dependency of seaChestVolume; domain dependency of seaInletLocation; domain dependency of strainerOpenArea; domain dependency of strainerOpenAreaRatio; domain dependency of totalRelevantEnginePower</x:v>
      </x:c>
      <x:c r="J5" s="45" t="n">
        <x:v>0</x:v>
      </x:c>
    </x:row>
    <x:row r="6">
      <x:c r="A6" s="47" t="str">
        <x:v>RUN-TRF-130-20260813T100312945294Z</x:v>
      </x:c>
      <x:c r="B6" s="47" t="str">
        <x:v>TRF-130</x:v>
      </x:c>
      <x:c r="C6" s="47" t="str">
        <x:v>fullCapacityDischargePipeConnected</x:v>
      </x:c>
      <x:c r="D6" s="48" t="str">
        <x:v>https://w3id.org/nltl-benchmark/vocab#fullCapacityDischargePipeConnected</x:v>
      </x:c>
      <x:c r="E6" s="47" t="str">
        <x:v>DatatypeProperty</x:v>
      </x:c>
      <x:c r="F6" s="47" t="str">
        <x:v>xsd:boolean</x:v>
      </x:c>
      <x:c r="G6" s="47" t="str">
        <x:v>http://www.w3.org/2001/XMLSchema#boolean</x:v>
      </x:c>
      <x:c r="H6" s="47" t="str"/>
      <x:c r="I6" s="48" t="str">
        <x:v>linked by the locked 313-requirement index</x:v>
      </x:c>
      <x:c r="J6" s="47" t="n">
        <x:v>0</x:v>
      </x:c>
    </x:row>
    <x:row r="7">
      <x:c r="A7" s="47" t="str">
        <x:v>RUN-TRF-130-20260813T100312945294Z</x:v>
      </x:c>
      <x:c r="B7" s="47" t="str">
        <x:v>TRF-130</x:v>
      </x:c>
      <x:c r="C7" s="47" t="str">
        <x:v>hasComponent</x:v>
      </x:c>
      <x:c r="D7" s="48" t="str">
        <x:v>https://w3id.org/nltl-benchmark/vocab#hasComponent</x:v>
      </x:c>
      <x:c r="E7" s="47" t="str">
        <x:v>ObjectProperty</x:v>
      </x:c>
      <x:c r="F7" s="47" t="str"/>
      <x:c r="G7" s="47" t="str">
        <x:v>https://w3id.org/nltl-benchmark/vocab#shipComponent</x:v>
      </x:c>
      <x:c r="H7" s="47" t="str"/>
      <x:c r="I7" s="48" t="str">
        <x:v>component-path dependency inferred from the linked term module</x:v>
      </x:c>
      <x:c r="J7" s="47" t="n">
        <x:v>0</x:v>
      </x:c>
    </x:row>
    <x:row r="8">
      <x:c r="A8" s="47" t="str">
        <x:v>RUN-TRF-130-20260813T100312945294Z</x:v>
      </x:c>
      <x:c r="B8" s="47" t="str">
        <x:v>TRF-130</x:v>
      </x:c>
      <x:c r="C8" s="47" t="str">
        <x:v>iceAccumulationSpaceAboveInlet</x:v>
      </x:c>
      <x:c r="D8" s="48" t="str">
        <x:v>https://w3id.org/nltl-benchmark/vocab#iceAccumulationSpaceAboveInlet</x:v>
      </x:c>
      <x:c r="E8" s="47" t="str">
        <x:v>DatatypeProperty</x:v>
      </x:c>
      <x:c r="F8" s="47" t="str">
        <x:v>xsd:boolean</x:v>
      </x:c>
      <x:c r="G8" s="47" t="str">
        <x:v>http://www.w3.org/2001/XMLSchema#boolean</x:v>
      </x:c>
      <x:c r="H8" s="47" t="str"/>
      <x:c r="I8" s="48" t="str">
        <x:v>linked by the locked 313-requirement index</x:v>
      </x:c>
      <x:c r="J8" s="47" t="n">
        <x:v>0</x:v>
      </x:c>
    </x:row>
    <x:row r="9">
      <x:c r="A9" s="47" t="str">
        <x:v>RUN-TRF-130-20260813T100312945294Z</x:v>
      </x:c>
      <x:c r="B9" s="47" t="str">
        <x:v>TRF-130</x:v>
      </x:c>
      <x:c r="C9" s="47" t="str">
        <x:v>inletPipeArea</x:v>
      </x:c>
      <x:c r="D9" s="48" t="str">
        <x:v>https://w3id.org/nltl-benchmark/vocab#inletPipeArea</x:v>
      </x:c>
      <x:c r="E9" s="47" t="str">
        <x:v>QuantityProperty</x:v>
      </x:c>
      <x:c r="F9" s="47" t="str"/>
      <x:c r="G9" s="47" t="str">
        <x:v>http://qudt.org/schema/qudt/QuantityValue</x:v>
      </x:c>
      <x:c r="H9" s="47" t="str">
        <x:v>http://qudt.org/vocab/unit/M2</x:v>
      </x:c>
      <x:c r="I9" s="48" t="str">
        <x:v>linked by the locked 313-requirement index</x:v>
      </x:c>
      <x:c r="J9" s="47" t="n">
        <x:v>0</x:v>
      </x:c>
    </x:row>
    <x:row r="10">
      <x:c r="A10" s="47" t="str">
        <x:v>RUN-TRF-130-20260813T100312945294Z</x:v>
      </x:c>
      <x:c r="B10" s="47" t="str">
        <x:v>TRF-130</x:v>
      </x:c>
      <x:c r="C10" s="47" t="str">
        <x:v>maximumContinuousRatingPower</x:v>
      </x:c>
      <x:c r="D10" s="48" t="str">
        <x:v>https://w3id.org/nltl-benchmark/vocab#maximumContinuousRatingPower</x:v>
      </x:c>
      <x:c r="E10" s="47" t="str">
        <x:v>QuantityProperty</x:v>
      </x:c>
      <x:c r="F10" s="47" t="str"/>
      <x:c r="G10" s="47" t="str">
        <x:v>http://qudt.org/schema/qudt/QuantityValue</x:v>
      </x:c>
      <x:c r="H10" s="47" t="str">
        <x:v>http://qudt.org/vocab/unit/KiloW</x:v>
      </x:c>
      <x:c r="I10" s="48" t="str">
        <x:v>linked by the locked 313-requirement index</x:v>
      </x:c>
      <x:c r="J10" s="47" t="n">
        <x:v>0</x:v>
      </x:c>
    </x:row>
    <x:row r="11">
      <x:c r="A11" s="47" t="str">
        <x:v>RUN-TRF-130-20260813T100312945294Z</x:v>
      </x:c>
      <x:c r="B11" s="47" t="str">
        <x:v>TRF-130</x:v>
      </x:c>
      <x:c r="C11" s="47" t="str">
        <x:v>nearCentrelineAndWellAftIfPossible</x:v>
      </x:c>
      <x:c r="D11" s="48" t="str">
        <x:v>https://w3id.org/nltl-benchmark/vocab#nearCentrelineAndWellAftIfPossible</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RUN-TRF-130-20260813T100312945294Z</x:v>
      </x:c>
      <x:c r="B12" s="47" t="str">
        <x:v>TRF-130</x:v>
      </x:c>
      <x:c r="C12" s="47" t="str">
        <x:v>recommendedChestVolume</x:v>
      </x:c>
      <x:c r="D12" s="48" t="str">
        <x:v>https://w3id.org/nltl-benchmark/vocab#recommendedChestVolume</x:v>
      </x:c>
      <x:c r="E12" s="47" t="str">
        <x:v>QuantityProperty</x:v>
      </x:c>
      <x:c r="F12" s="47" t="str"/>
      <x:c r="G12" s="47" t="str">
        <x:v>http://qudt.org/schema/qudt/QuantityValue</x:v>
      </x:c>
      <x:c r="H12" s="47" t="str">
        <x:v>http://qudt.org/vocab/unit/M3</x:v>
      </x:c>
      <x:c r="I12" s="48" t="str">
        <x:v>linked by the locked 313-requirement index</x:v>
      </x:c>
      <x:c r="J12" s="47" t="n">
        <x:v>0</x:v>
      </x:c>
    </x:row>
    <x:row r="13">
      <x:c r="A13" s="47" t="str">
        <x:v>RUN-TRF-130-20260813T100312945294Z</x:v>
      </x:c>
      <x:c r="B13" s="47" t="str">
        <x:v>TRF-130</x:v>
      </x:c>
      <x:c r="C13" s="47" t="str">
        <x:v>seaChestVolume</x:v>
      </x:c>
      <x:c r="D13" s="48" t="str">
        <x:v>https://w3id.org/nltl-benchmark/vocab#seaChestVolume</x:v>
      </x:c>
      <x:c r="E13" s="47" t="str">
        <x:v>QuantityProperty</x:v>
      </x:c>
      <x:c r="F13" s="47" t="str"/>
      <x:c r="G13" s="47" t="str">
        <x:v>http://qudt.org/schema/qudt/QuantityValue</x:v>
      </x:c>
      <x:c r="H13" s="47" t="str">
        <x:v>http://qudt.org/vocab/unit/M3</x:v>
      </x:c>
      <x:c r="I13" s="48" t="str">
        <x:v>linked by the locked 313-requirement index</x:v>
      </x:c>
      <x:c r="J13" s="47" t="n">
        <x:v>0</x:v>
      </x:c>
    </x:row>
    <x:row r="14">
      <x:c r="A14" s="47" t="str">
        <x:v>RUN-TRF-130-20260813T100312945294Z</x:v>
      </x:c>
      <x:c r="B14" s="47" t="str">
        <x:v>TRF-130</x:v>
      </x:c>
      <x:c r="C14" s="47" t="str">
        <x:v>seaInletLocation</x:v>
      </x:c>
      <x:c r="D14" s="48" t="str">
        <x:v>https://w3id.org/nltl-benchmark/vocab#seaInletLocation</x:v>
      </x:c>
      <x:c r="E14" s="47" t="str">
        <x:v>DatatypeProperty</x:v>
      </x:c>
      <x:c r="F14" s="47" t="str">
        <x:v>xsd:string</x:v>
      </x:c>
      <x:c r="G14" s="47" t="str">
        <x:v>http://www.w3.org/2001/XMLSchema#string</x:v>
      </x:c>
      <x:c r="H14" s="47" t="str"/>
      <x:c r="I14" s="48" t="str">
        <x:v>linked by the locked 313-requirement index</x:v>
      </x:c>
      <x:c r="J14" s="47" t="n">
        <x:v>0</x:v>
      </x:c>
    </x:row>
    <x:row r="15">
      <x:c r="A15" s="47" t="str">
        <x:v>RUN-TRF-130-20260813T100312945294Z</x:v>
      </x:c>
      <x:c r="B15" s="47" t="str">
        <x:v>TRF-130</x:v>
      </x:c>
      <x:c r="C15" s="47" t="str">
        <x:v>ship</x:v>
      </x:c>
      <x:c r="D15" s="48" t="str">
        <x:v>https://w3id.org/nltl-benchmark/vocab#ship</x:v>
      </x:c>
      <x:c r="E15" s="47" t="str">
        <x:v>Class</x:v>
      </x:c>
      <x:c r="F15" s="47" t="str"/>
      <x:c r="G15" s="47" t="str"/>
      <x:c r="H15" s="47" t="str"/>
      <x:c r="I15" s="48" t="str">
        <x:v>authoritative required owner class; authoritative requirement target owner; baseline target infrastructure</x:v>
      </x:c>
      <x:c r="J15" s="47" t="n">
        <x:v>0</x:v>
      </x:c>
    </x:row>
    <x:row r="16">
      <x:c r="A16" s="47" t="str">
        <x:v>RUN-TRF-130-20260813T100312945294Z</x:v>
      </x:c>
      <x:c r="B16" s="47" t="str">
        <x:v>TRF-130</x:v>
      </x:c>
      <x:c r="C16" s="47" t="str">
        <x:v>shipComponent</x:v>
      </x:c>
      <x:c r="D16" s="48" t="str">
        <x:v>https://w3id.org/nltl-benchmark/vocab#shipComponent</x:v>
      </x:c>
      <x:c r="E16" s="47" t="str">
        <x:v>Class</x:v>
      </x:c>
      <x:c r="F16" s="47" t="str"/>
      <x:c r="G16" s="47" t="str"/>
      <x:c r="H16" s="47" t="str"/>
      <x:c r="I16" s="48" t="str">
        <x:v>component-path dependency inferred from the linked term module</x:v>
      </x:c>
      <x:c r="J16" s="47" t="n">
        <x:v>0</x:v>
      </x:c>
    </x:row>
    <x:row r="17">
      <x:c r="A17" s="47" t="str">
        <x:v>RUN-TRF-130-20260813T100312945294Z</x:v>
      </x:c>
      <x:c r="B17" s="47" t="str">
        <x:v>TRF-130</x:v>
      </x:c>
      <x:c r="C17" s="47" t="str">
        <x:v>strainerOpenArea</x:v>
      </x:c>
      <x:c r="D17" s="48" t="str">
        <x:v>https://w3id.org/nltl-benchmark/vocab#strainerOpenArea</x:v>
      </x:c>
      <x:c r="E17" s="47" t="str">
        <x:v>QuantityProperty</x:v>
      </x:c>
      <x:c r="F17" s="47" t="str"/>
      <x:c r="G17" s="47" t="str">
        <x:v>http://qudt.org/schema/qudt/QuantityValue</x:v>
      </x:c>
      <x:c r="H17" s="47" t="str">
        <x:v>http://qudt.org/vocab/unit/M2</x:v>
      </x:c>
      <x:c r="I17" s="48" t="str">
        <x:v>linked by the locked 313-requirement index</x:v>
      </x:c>
      <x:c r="J17" s="47" t="n">
        <x:v>0</x:v>
      </x:c>
    </x:row>
    <x:row r="18">
      <x:c r="A18" s="47" t="str">
        <x:v>RUN-TRF-130-20260813T100312945294Z</x:v>
      </x:c>
      <x:c r="B18" s="47" t="str">
        <x:v>TRF-130</x:v>
      </x:c>
      <x:c r="C18" s="47" t="str">
        <x:v>strainerOpenAreaRatio</x:v>
      </x:c>
      <x:c r="D18" s="48" t="str">
        <x:v>https://w3id.org/nltl-benchmark/vocab#strainerOpenAreaRatio</x:v>
      </x:c>
      <x:c r="E18" s="47" t="str">
        <x:v>QuantityProperty</x:v>
      </x:c>
      <x:c r="F18" s="47" t="str"/>
      <x:c r="G18" s="47" t="str">
        <x:v>http://qudt.org/schema/qudt/QuantityValue</x:v>
      </x:c>
      <x:c r="H18" s="47" t="str">
        <x:v>http://qudt.org/vocab/unit/UNITLESS</x:v>
      </x:c>
      <x:c r="I18" s="48" t="str">
        <x:v>linked by the locked 313-requirement index</x:v>
      </x:c>
      <x:c r="J18" s="47" t="n">
        <x:v>0</x:v>
      </x:c>
    </x:row>
    <x:row r="19">
      <x:c r="A19" s="49" t="str">
        <x:v>RUN-TRF-130-20260813T100312945294Z</x:v>
      </x:c>
      <x:c r="B19" s="49" t="str">
        <x:v>TRF-130</x:v>
      </x:c>
      <x:c r="C19" s="49" t="str">
        <x:v>totalRelevantEnginePower</x:v>
      </x:c>
      <x:c r="D19" s="50" t="str">
        <x:v>https://w3id.org/nltl-benchmark/vocab#totalRelevantEnginePower</x:v>
      </x:c>
      <x:c r="E19" s="49" t="str">
        <x:v>QuantityProperty</x:v>
      </x:c>
      <x:c r="F19" s="49" t="str"/>
      <x:c r="G19" s="49" t="str">
        <x:v>http://qudt.org/schema/qudt/QuantityValue</x:v>
      </x:c>
      <x:c r="H19" s="49" t="str">
        <x:v>http://qudt.org/vocab/unit/KiloW</x:v>
      </x:c>
      <x:c r="I19" s="50" t="str">
        <x:v>linked by the locked 313-requirement index</x:v>
      </x:c>
      <x:c r="J19" s="49" t="n">
        <x:v>0</x:v>
      </x:c>
    </x:row>
  </x:sheetData>
  <x:pageMargins left="0.7" right="0.7" top="0.75" bottom="0.75" header="0.3" footer="0.3"/>
  <x:tableParts count="1">
    <x:tablePart xmlns:r="http://schemas.openxmlformats.org/officeDocument/2006/relationships" r:id="R6b2e6364ecbc4ed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RUN-TRF-130-20260813T100312945294Z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RUN-TRF-130-20260813T100312945294Z</x:v>
      </x:c>
      <x:c r="B5" s="45" t="str">
        <x:v>TRF-130</x:v>
      </x:c>
      <x:c r="C5" s="45" t="str">
        <x:v>FS-INT-02</x:v>
      </x:c>
      <x:c r="D5" s="45" t="str">
        <x:v>conditional_integrated</x:v>
      </x:c>
      <x:c r="E5" s="99" t="n">
        <x:v>0.032258</x:v>
      </x:c>
      <x:c r="F5" s="45" t="str">
        <x:v>boolean | conditional | quantity | value</x:v>
      </x:c>
      <x:c r="G5" s="45" t="str">
        <x:v>synthetic-few-shot-not-benchmark-ground-truth</x:v>
      </x:c>
    </x:row>
    <x:row r="6">
      <x:c r="A6" s="49" t="str">
        <x:v>RUN-TRF-130-20260813T100312945294Z</x:v>
      </x:c>
      <x:c r="B6" s="49" t="str">
        <x:v>TRF-130</x:v>
      </x:c>
      <x:c r="C6" s="49" t="str">
        <x:v>FS-BOOL-01</x:v>
      </x:c>
      <x:c r="D6" s="49" t="str">
        <x:v>boolean_state</x:v>
      </x:c>
      <x:c r="E6" s="100" t="n">
        <x:v>0.02439</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5cd4b18753347e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RUN-TRF-130-20260813T100312945294Z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RUN-TRF-130-20260813T100312945294Z</x:v>
      </x:c>
      <x:c r="B5" s="69" t="str">
        <x:v>TRF-130</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https://w3id.org/nltl-benchmark/vocab#fullCapacityDischargePipeConnected | https://w3id.org/nltl-benchmark/vocab#nearCentrelineAndWellAftIfPossible | https://w3id.org/nltl-benchmark/vocab#ship | https://w3id.org/nltl-benchmark/vocab#strainerOpenAreaRatio</x:v>
      </x:c>
      <x:c r="O5" s="73" t="str"/>
      <x:c r="P5" s="73" t="str"/>
      <x:c r="Q5" s="73" t="str"/>
    </x:row>
  </x:sheetData>
  <x:pageMargins left="0.7" right="0.7" top="0.75" bottom="0.75" header="0.3" footer="0.3"/>
  <x:tableParts count="1">
    <x:tablePart xmlns:r="http://schemas.openxmlformats.org/officeDocument/2006/relationships" r:id="Rb6a8f957b5934201"/>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RUN-TRF-130-20260813T100312945294Z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RUN-TRF-130-20260813T100312945294Z</x:v>
      </x:c>
      <x:c r="B5" s="45" t="str">
        <x:v>TRF-130</x:v>
      </x:c>
      <x:c r="C5" s="58" t="n">
        <x:v>1</x:v>
      </x:c>
      <x:c r="D5" s="45" t="str">
        <x:v>matcher_search</x:v>
      </x:c>
      <x:c r="E5" s="46" t="str">
        <x:v>The shape encodes only items 1, 4, and 5. Add the mandatory ice-accumulation-space check using nltl:iceAccumulationSpaceAboveInlet=true, and encode seaChestVolume approximately equal to the supplied engine-power operand divided by 750, with m3 and kW units and a bounded tolerance scaled from the expected formula result rather than exact decimal equality or tolerance based on the reported value. Encode the conditional alternative explicitly: when paragraphs 2 and 3 cannot be met, require evidence of two smaller chests arranged for alternating intake/discharge; missing branch-selection evidence must not pass, and the normal and alternative branches must not be conjunctively mandatory. Preserve the authoritative ship owner and the valid strainer ratio lower bound of 4. Vocabulary matching is required because canonical terms for the alternative's inability evidence, two-chest arrangement, and alternating intake/discharge are not supplied in the scoped vocabulary.</x:v>
      </x:c>
      <x:c r="F5" s="58" t="n">
        <x:v>3</x:v>
      </x:c>
      <x:c r="G5" s="45" t="str"/>
      <x:c r="H5" s="45" t="str"/>
      <x:c r="I5" s="46" t="str"/>
      <x:c r="J5" s="46" t="str"/>
    </x:row>
    <x:row r="6">
      <x:c r="A6" s="49" t="str">
        <x:v>RUN-TRF-130-20260813T100312945294Z</x:v>
      </x:c>
      <x:c r="B6" s="49" t="str">
        <x:v>TRF-130</x:v>
      </x:c>
      <x:c r="C6" s="60" t="n">
        <x:v>1</x:v>
      </x:c>
      <x:c r="D6" s="49" t="str">
        <x:v>matcher_decision</x:v>
      </x:c>
      <x:c r="E6" s="50" t="str"/>
      <x:c r="F6" s="60" t="str"/>
      <x:c r="G6" s="96" t="b">
        <x:v>0</x:v>
      </x:c>
      <x:c r="H6" s="49" t="str"/>
      <x:c r="I6" s="50" t="str"/>
      <x:c r="J6" s="50" t="str">
        <x:v>No supplied canonical candidate semantically represents inability evidence, a two-chest arrangement, or alternating intake/discharge.</x:v>
      </x:c>
    </x:row>
  </x:sheetData>
  <x:pageMargins left="0.7" right="0.7" top="0.75" bottom="0.75" header="0.3" footer="0.3"/>
  <x:tableParts count="1">
    <x:tablePart xmlns:r="http://schemas.openxmlformats.org/officeDocument/2006/relationships" r:id="R2205296fccb84eb4"/>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RUN-TRF-130-20260813T100312945294Z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RUN-TRF-130-20260813T100312945294Z</x:v>
      </x:c>
      <x:c r="B5" s="45" t="str">
        <x:v>TRF-130</x:v>
      </x:c>
      <x:c r="C5" s="58"/>
      <x:c r="D5" s="45" t="str">
        <x:v>initial_context_pack</x:v>
      </x:c>
      <x:c r="E5" s="46" t="str">
        <x:v>artifacts/context_pack_initial.json</x:v>
      </x:c>
      <x:c r="F5" s="45" t="str">
        <x:v>f6389623b858fb719d3170f0e55a5c5729bd7f8339fee6ee82fcf4bfa3236991</x:v>
      </x:c>
      <x:c r="G5" s="58" t="n">
        <x:v>20032</x:v>
      </x:c>
    </x:row>
    <x:row r="6">
      <x:c r="A6" s="47" t="str">
        <x:v>RUN-TRF-130-20260813T100312945294Z</x:v>
      </x:c>
      <x:c r="B6" s="47" t="str">
        <x:v>TRF-130</x:v>
      </x:c>
      <x:c r="C6" s="59"/>
      <x:c r="D6" s="47" t="str">
        <x:v>few_shot_selection</x:v>
      </x:c>
      <x:c r="E6" s="48" t="str">
        <x:v>artifacts/few_shots_selected.json</x:v>
      </x:c>
      <x:c r="F6" s="47" t="str">
        <x:v>b0ab80baae1fa059b3a29fcba24c1e650937df7b5a1efdbf74e0555bf89f8224</x:v>
      </x:c>
      <x:c r="G6" s="59" t="n">
        <x:v>6288</x:v>
      </x:c>
    </x:row>
    <x:row r="7">
      <x:c r="A7" s="47" t="str">
        <x:v>RUN-TRF-130-20260813T100312945294Z</x:v>
      </x:c>
      <x:c r="B7" s="47" t="str">
        <x:v>TRF-130</x:v>
      </x:c>
      <x:c r="C7" s="59" t="n">
        <x:v>1</x:v>
      </x:c>
      <x:c r="D7" s="47" t="str">
        <x:v>generator_prompt</x:v>
      </x:c>
      <x:c r="E7" s="48" t="str">
        <x:v>artifacts/attempt_01/generator_prompt.txt</x:v>
      </x:c>
      <x:c r="F7" s="47" t="str">
        <x:v>6f09c5faf3628affcf59b8cc342ef248120d76fee544de53ebb58f541d1725b4</x:v>
      </x:c>
      <x:c r="G7" s="59" t="n">
        <x:v>32262</x:v>
      </x:c>
    </x:row>
    <x:row r="8">
      <x:c r="A8" s="47" t="str">
        <x:v>RUN-TRF-130-20260813T100312945294Z</x:v>
      </x:c>
      <x:c r="B8" s="47" t="str">
        <x:v>TRF-130</x:v>
      </x:c>
      <x:c r="C8" s="59" t="n">
        <x:v>1</x:v>
      </x:c>
      <x:c r="D8" s="47" t="str">
        <x:v>generator_raw_response</x:v>
      </x:c>
      <x:c r="E8" s="48" t="str">
        <x:v>artifacts/attempt_01/generator_raw.txt</x:v>
      </x:c>
      <x:c r="F8" s="47" t="str">
        <x:v>48a81ec5f59c93b24531accd7313c96668280f910f22ea95246fef1348997a30</x:v>
      </x:c>
      <x:c r="G8" s="59" t="n">
        <x:v>1537</x:v>
      </x:c>
    </x:row>
    <x:row r="9">
      <x:c r="A9" s="47" t="str">
        <x:v>RUN-TRF-130-20260813T100312945294Z</x:v>
      </x:c>
      <x:c r="B9" s="47" t="str">
        <x:v>TRF-130</x:v>
      </x:c>
      <x:c r="C9" s="59" t="n">
        <x:v>1</x:v>
      </x:c>
      <x:c r="D9" s="47" t="str">
        <x:v>candidate_shape</x:v>
      </x:c>
      <x:c r="E9" s="48" t="str">
        <x:v>artifacts/attempt_01/candidate_shape.ttl</x:v>
      </x:c>
      <x:c r="F9" s="47" t="str">
        <x:v>a217fc7c3de2b38c60a3724d54f8f48d5b1713707987e7b268ca9480fc624050</x:v>
      </x:c>
      <x:c r="G9" s="59" t="n">
        <x:v>1512</x:v>
      </x:c>
    </x:row>
    <x:row r="10">
      <x:c r="A10" s="47" t="str">
        <x:v>RUN-TRF-130-20260813T100312945294Z</x:v>
      </x:c>
      <x:c r="B10" s="47" t="str">
        <x:v>TRF-130</x:v>
      </x:c>
      <x:c r="C10" s="59" t="n">
        <x:v>1</x:v>
      </x:c>
      <x:c r="D10" s="47" t="str">
        <x:v>deterministic_validation</x:v>
      </x:c>
      <x:c r="E10" s="48" t="str">
        <x:v>artifacts/attempt_01/deterministic_validation.json</x:v>
      </x:c>
      <x:c r="F10" s="47" t="str">
        <x:v>1c7451c0ced50fef78c5dccc3ee07bdd3f41a4373fbb46287d9adae4b672638c</x:v>
      </x:c>
      <x:c r="G10" s="59" t="n">
        <x:v>666</x:v>
      </x:c>
    </x:row>
    <x:row r="11">
      <x:c r="A11" s="47" t="str">
        <x:v>RUN-TRF-130-20260813T100312945294Z</x:v>
      </x:c>
      <x:c r="B11" s="47" t="str">
        <x:v>TRF-130</x:v>
      </x:c>
      <x:c r="C11" s="59" t="n">
        <x:v>1</x:v>
      </x:c>
      <x:c r="D11" s="47" t="str">
        <x:v>validator_prompt</x:v>
      </x:c>
      <x:c r="E11" s="48" t="str">
        <x:v>artifacts/attempt_01/validator_prompt_01.txt</x:v>
      </x:c>
      <x:c r="F11" s="47" t="str">
        <x:v>dc98c4b6c2baf2345dcb5c0e77227627fa1973ff5a99eae63f94a240810d4dc5</x:v>
      </x:c>
      <x:c r="G11" s="59" t="n">
        <x:v>26391</x:v>
      </x:c>
    </x:row>
    <x:row r="12">
      <x:c r="A12" s="47" t="str">
        <x:v>RUN-TRF-130-20260813T100312945294Z</x:v>
      </x:c>
      <x:c r="B12" s="47" t="str">
        <x:v>TRF-130</x:v>
      </x:c>
      <x:c r="C12" s="59" t="n">
        <x:v>1</x:v>
      </x:c>
      <x:c r="D12" s="47" t="str">
        <x:v>validator_raw_response</x:v>
      </x:c>
      <x:c r="E12" s="48" t="str">
        <x:v>artifacts/attempt_01/validator_raw_01.txt</x:v>
      </x:c>
      <x:c r="F12" s="47" t="str">
        <x:v>82c5e19cca38fd1f2cffc926a0880588b0cee122aceed3e564f8e271c4fcdeea</x:v>
      </x:c>
      <x:c r="G12" s="59" t="n">
        <x:v>1036</x:v>
      </x:c>
    </x:row>
    <x:row r="13">
      <x:c r="A13" s="47" t="str">
        <x:v>RUN-TRF-130-20260813T100312945294Z</x:v>
      </x:c>
      <x:c r="B13" s="47" t="str">
        <x:v>TRF-130</x:v>
      </x:c>
      <x:c r="C13" s="59" t="n">
        <x:v>1</x:v>
      </x:c>
      <x:c r="D13" s="47" t="str">
        <x:v>matcher_candidates</x:v>
      </x:c>
      <x:c r="E13" s="48" t="str">
        <x:v>artifacts/attempt_01/matcher_candidates.json</x:v>
      </x:c>
      <x:c r="F13" s="47" t="str">
        <x:v>3979688978d3c59630d0e1c4539a94a7ed563a95e8523c77d596c586c19ea771</x:v>
      </x:c>
      <x:c r="G13" s="59" t="n">
        <x:v>1901</x:v>
      </x:c>
    </x:row>
    <x:row r="14">
      <x:c r="A14" s="47" t="str">
        <x:v>RUN-TRF-130-20260813T100312945294Z</x:v>
      </x:c>
      <x:c r="B14" s="47" t="str">
        <x:v>TRF-130</x:v>
      </x:c>
      <x:c r="C14" s="59" t="n">
        <x:v>1</x:v>
      </x:c>
      <x:c r="D14" s="47" t="str">
        <x:v>vocabulary_matcher_prompt</x:v>
      </x:c>
      <x:c r="E14" s="48" t="str">
        <x:v>artifacts/attempt_01/vocabulary_matcher_prompt_01.txt</x:v>
      </x:c>
      <x:c r="F14" s="47" t="str">
        <x:v>46bfe842875ca134ad36046d258b8fbe4958667f9820d5500ea14b0326e6b2bd</x:v>
      </x:c>
      <x:c r="G14" s="59" t="n">
        <x:v>6467</x:v>
      </x:c>
    </x:row>
    <x:row r="15">
      <x:c r="A15" s="49" t="str">
        <x:v>RUN-TRF-130-20260813T100312945294Z</x:v>
      </x:c>
      <x:c r="B15" s="49" t="str">
        <x:v>TRF-130</x:v>
      </x:c>
      <x:c r="C15" s="60" t="n">
        <x:v>1</x:v>
      </x:c>
      <x:c r="D15" s="49" t="str">
        <x:v>vocabulary_matcher_raw_response</x:v>
      </x:c>
      <x:c r="E15" s="50" t="str">
        <x:v>artifacts/attempt_01/vocabulary_matcher_raw_01.txt</x:v>
      </x:c>
      <x:c r="F15" s="49" t="str">
        <x:v>b7b91d5f43832e274c2b44acc7353a3f67f2dcc92e5f22e52fe6c438869f6865</x:v>
      </x:c>
      <x:c r="G15" s="60" t="n">
        <x:v>222</x:v>
      </x:c>
    </x:row>
  </x:sheetData>
  <x:pageMargins left="0.7" right="0.7" top="0.75" bottom="0.75" header="0.3" footer="0.3"/>
  <x:tableParts count="1">
    <x:tablePart xmlns:r="http://schemas.openxmlformats.org/officeDocument/2006/relationships" r:id="Rd8a29182b820492c"/>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RUN-TRF-130-20260813T100312945294Z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RUN-TRF-130-20260813T100312945294Z</x:v>
      </x:c>
      <x:c r="B5" s="69" t="str">
        <x:v>TRF-130</x:v>
      </x:c>
      <x:c r="C5" s="71" t="n">
        <x:v>1</x:v>
      </x:c>
      <x:c r="D5" s="69" t="str">
        <x:v>TERM_RESOLUTION_UNRESOLVED</x:v>
      </x:c>
      <x:c r="E5" s="73" t="str">
        <x:v>No supplied canonical candidate semantically represents inability evidence, a two-chest arrangement, or alternating intake/discharge.</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50473f54c0534fed"/>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RUN-TRF-130-20260813T100312945294Z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