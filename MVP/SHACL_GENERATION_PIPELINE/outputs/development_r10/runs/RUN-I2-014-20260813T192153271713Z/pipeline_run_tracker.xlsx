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d00a63b49384fa8" /></Relationships>
</file>

<file path=xl/workbook.xml><?xml version="1.0" encoding="utf-8"?>
<x:workbook xmlns:x="http://schemas.openxmlformats.org/spreadsheetml/2006/main">
  <x:sheets>
    <x:sheet xmlns:r="http://schemas.openxmlformats.org/officeDocument/2006/relationships" name="SUMMARY" sheetId="1" r:id="R290fae6e25884e26"/>
    <x:sheet xmlns:r="http://schemas.openxmlformats.org/officeDocument/2006/relationships" name="README" sheetId="2" r:id="Rf384b58a90c34be4"/>
    <x:sheet xmlns:r="http://schemas.openxmlformats.org/officeDocument/2006/relationships" name="REGULATION_QUEUE" sheetId="3" r:id="R2d6256faa682400b"/>
    <x:sheet xmlns:r="http://schemas.openxmlformats.org/officeDocument/2006/relationships" name="RUNS" sheetId="4" r:id="Rce6c6f3d753549b0"/>
    <x:sheet xmlns:r="http://schemas.openxmlformats.org/officeDocument/2006/relationships" name="ITERATIONS" sheetId="5" r:id="Rc49109b4dcc34f71"/>
    <x:sheet xmlns:r="http://schemas.openxmlformats.org/officeDocument/2006/relationships" name="API_CALLS" sheetId="6" r:id="Rb1a7409d9d2249c0"/>
    <x:sheet xmlns:r="http://schemas.openxmlformats.org/officeDocument/2006/relationships" name="TERM_RETRIEVAL" sheetId="7" r:id="R7eafe744990740d7"/>
    <x:sheet xmlns:r="http://schemas.openxmlformats.org/officeDocument/2006/relationships" name="FEW_SHOT_SELECTION" sheetId="8" r:id="Rb0fbb92ebe024068"/>
    <x:sheet xmlns:r="http://schemas.openxmlformats.org/officeDocument/2006/relationships" name="VALIDATION" sheetId="9" r:id="R31dee95086b14cf8"/>
    <x:sheet xmlns:r="http://schemas.openxmlformats.org/officeDocument/2006/relationships" name="VOCAB_MATCHES" sheetId="10" r:id="Ra079231a712641ab"/>
    <x:sheet xmlns:r="http://schemas.openxmlformats.org/officeDocument/2006/relationships" name="ARTIFACTS" sheetId="11" r:id="R65bf6711314b4106"/>
    <x:sheet xmlns:r="http://schemas.openxmlformats.org/officeDocument/2006/relationships" name="UNRESOLVED" sheetId="12" r:id="R34f95b66f1094b17"/>
    <x:sheet xmlns:r="http://schemas.openxmlformats.org/officeDocument/2006/relationships" name="RDF_TEST_QUEUE" sheetId="13" r:id="Rd524354866aa415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8780d2800b44057" /><Relationship Type="http://schemas.openxmlformats.org/officeDocument/2006/relationships/theme" Target="/xl/theme/theme1.xml" Id="R4ba0e58770dc492c" /><Relationship Type="http://schemas.microsoft.com/office/2022/11/relationships/FeaturePropertyBag" Target="/xl/featurePropertyBag/featurePropertyBag.xml" Id="R78919f18900d4650" /><Relationship Type="http://schemas.openxmlformats.org/officeDocument/2006/relationships/sharedStrings" Target="/xl/sharedStrings.xml" Id="Rbfcc5831b6dc4c6e" /><Relationship Type="http://schemas.openxmlformats.org/officeDocument/2006/relationships/worksheet" Target="/xl/worksheets/sheet1.xml" Id="R290fae6e25884e26" /><Relationship Type="http://schemas.openxmlformats.org/officeDocument/2006/relationships/worksheet" Target="/xl/worksheets/sheet2.xml" Id="Rf384b58a90c34be4" /><Relationship Type="http://schemas.openxmlformats.org/officeDocument/2006/relationships/worksheet" Target="/xl/worksheets/sheet3.xml" Id="R2d6256faa682400b" /><Relationship Type="http://schemas.openxmlformats.org/officeDocument/2006/relationships/worksheet" Target="/xl/worksheets/sheet4.xml" Id="Rce6c6f3d753549b0" /><Relationship Type="http://schemas.openxmlformats.org/officeDocument/2006/relationships/worksheet" Target="/xl/worksheets/sheet5.xml" Id="Rc49109b4dcc34f71" /><Relationship Type="http://schemas.openxmlformats.org/officeDocument/2006/relationships/worksheet" Target="/xl/worksheets/sheet6.xml" Id="Rb1a7409d9d2249c0" /><Relationship Type="http://schemas.openxmlformats.org/officeDocument/2006/relationships/worksheet" Target="/xl/worksheets/sheet7.xml" Id="R7eafe744990740d7" /><Relationship Type="http://schemas.openxmlformats.org/officeDocument/2006/relationships/worksheet" Target="/xl/worksheets/sheet8.xml" Id="Rb0fbb92ebe024068" /><Relationship Type="http://schemas.openxmlformats.org/officeDocument/2006/relationships/worksheet" Target="/xl/worksheets/sheet9.xml" Id="R31dee95086b14cf8" /><Relationship Type="http://schemas.openxmlformats.org/officeDocument/2006/relationships/worksheet" Target="/xl/worksheets/sheet10.xml" Id="Ra079231a712641ab" /><Relationship Type="http://schemas.openxmlformats.org/officeDocument/2006/relationships/worksheet" Target="/xl/worksheets/sheet11.xml" Id="R65bf6711314b4106" /><Relationship Type="http://schemas.openxmlformats.org/officeDocument/2006/relationships/worksheet" Target="/xl/worksheets/sheet12.xml" Id="R34f95b66f1094b17" /><Relationship Type="http://schemas.openxmlformats.org/officeDocument/2006/relationships/worksheet" Target="/xl/worksheets/sheet13.xml" Id="Rd524354866aa415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4"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fd6eeda508743dc" /></Relationships>
</file>

<file path=xl/worksheets/_rels/sheet3.xml.rels>&#65279;<?xml version="1.0" encoding="utf-8"?><Relationships xmlns="http://schemas.openxmlformats.org/package/2006/relationships"><Relationship Type="http://schemas.openxmlformats.org/officeDocument/2006/relationships/table" Target="/xl/tables/table2.xml" Id="R736c065a27944ae6" /></Relationships>
</file>

<file path=xl/worksheets/_rels/sheet4.xml.rels>&#65279;<?xml version="1.0" encoding="utf-8"?><Relationships xmlns="http://schemas.openxmlformats.org/package/2006/relationships"><Relationship Type="http://schemas.openxmlformats.org/officeDocument/2006/relationships/table" Target="/xl/tables/table3.xml" Id="R0eac5d3f9d5d4523" /></Relationships>
</file>

<file path=xl/worksheets/_rels/sheet5.xml.rels>&#65279;<?xml version="1.0" encoding="utf-8"?><Relationships xmlns="http://schemas.openxmlformats.org/package/2006/relationships"><Relationship Type="http://schemas.openxmlformats.org/officeDocument/2006/relationships/table" Target="/xl/tables/table4.xml" Id="Rfcf2c249454140db" /></Relationships>
</file>

<file path=xl/worksheets/_rels/sheet6.xml.rels>&#65279;<?xml version="1.0" encoding="utf-8"?><Relationships xmlns="http://schemas.openxmlformats.org/package/2006/relationships"><Relationship Type="http://schemas.openxmlformats.org/officeDocument/2006/relationships/table" Target="/xl/tables/table5.xml" Id="R2ad94a2467c2480f" /></Relationships>
</file>

<file path=xl/worksheets/_rels/sheet7.xml.rels>&#65279;<?xml version="1.0" encoding="utf-8"?><Relationships xmlns="http://schemas.openxmlformats.org/package/2006/relationships"><Relationship Type="http://schemas.openxmlformats.org/officeDocument/2006/relationships/table" Target="/xl/tables/table6.xml" Id="Rcea8c46868054015" /></Relationships>
</file>

<file path=xl/worksheets/_rels/sheet8.xml.rels>&#65279;<?xml version="1.0" encoding="utf-8"?><Relationships xmlns="http://schemas.openxmlformats.org/package/2006/relationships"><Relationship Type="http://schemas.openxmlformats.org/officeDocument/2006/relationships/table" Target="/xl/tables/table7.xml" Id="Rfda10af9b2e9442d" /></Relationships>
</file>

<file path=xl/worksheets/_rels/sheet9.xml.rels>&#65279;<?xml version="1.0" encoding="utf-8"?><Relationships xmlns="http://schemas.openxmlformats.org/package/2006/relationships"><Relationship Type="http://schemas.openxmlformats.org/officeDocument/2006/relationships/table" Target="/xl/tables/table8.xml" Id="R6a968ca441c54a15" /></Relationships>
</file>

<file path=xl/worksheets/_rels/sheet11.xml.rels>&#65279;<?xml version="1.0" encoding="utf-8"?><Relationships xmlns="http://schemas.openxmlformats.org/package/2006/relationships"><Relationship Type="http://schemas.openxmlformats.org/officeDocument/2006/relationships/table" Target="/xl/tables/table9.xml" Id="R631e47f9585a49ad" /></Relationships>
</file>

<file path=xl/worksheets/_rels/sheet12.xml.rels>&#65279;<?xml version="1.0" encoding="utf-8"?><Relationships xmlns="http://schemas.openxmlformats.org/package/2006/relationships"><Relationship Type="http://schemas.openxmlformats.org/officeDocument/2006/relationships/table" Target="/xl/tables/table10.xml" Id="R9f424ec6204146b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RUN-I2-014-20260813T192153271713Z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COUNTA('API_CALLS'!$A$5:$A$16)</x:f>
        <x:v>12</x:v>
      </x:c>
      <x:c r="C9" s="21"/>
      <x:c r="D9" s="21"/>
    </x:row>
    <x:row r="10">
      <x:c r="A10" s="27" t="str">
        <x:v>Mean API/LLM elapsed ms</x:v>
      </x:c>
      <x:c r="B10" s="28" t="n">
        <x:f>IFERROR(AVERAGE('API_CALLS'!$K$5:$K$16),0)</x:f>
        <x:v>31798.934250000002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RUN-I2-014-20260813T192153271713Z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fd6eeda508743d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RUN-I2-014-20260813T192153271713Z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Deferred - non-self-contained umbrella requirement</x:v>
      </x:c>
      <x:c r="H11" s="47" t="str">
        <x:v>Deferred</x:v>
      </x:c>
      <x:c r="I11" s="47" t="str">
        <x:v>No</x:v>
      </x:c>
      <x:c r="J11" s="47" t="str">
        <x:v>DEFERRED</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MAX_ATTEMPTS_REACHED</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36c065a27944ae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RUN-I2-014-20260813T192153271713Z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SESSION-BATCH-20260813T191750292904Z</x:v>
      </x:c>
      <x:c r="B5" s="69" t="str">
        <x:v>RUN-I2-014-20260813T192153271713Z</x:v>
      </x:c>
      <x:c r="C5" s="69" t="str">
        <x:v>I2-014</x:v>
      </x:c>
      <x:c r="D5" s="70" t="n">
        <x:v>46247.80686657407</x:v>
      </x:c>
      <x:c r="E5" s="70" t="n">
        <x:v>46247.8090878588</x:v>
      </x:c>
      <x:c r="F5" s="69" t="str">
        <x:v>0.10.0-dev-r10-graph-completion</x:v>
      </x:c>
      <x:c r="G5" s="69" t="str">
        <x:v>VOCAB-DEV-2026-08-13-R10-GRAPH-COMPLETION</x:v>
      </x:c>
      <x:c r="H5" s="71" t="n">
        <x:v>3</x:v>
      </x:c>
      <x:c r="I5" s="69" t="str">
        <x:v>MAX_ATTEMPTS_REACHED</x:v>
      </x:c>
      <x:c r="J5" s="72" t="b">
        <x:v>0</x:v>
      </x:c>
      <x:c r="K5" s="69" t="str"/>
      <x:c r="L5" s="73" t="str">
        <x:v>Repair the semantic pairing: the four calculation-case nodes currently carry only aspect ratio, while the four mid-length positions and F/Q/P result values are independent ship-level multisets. Encode and validate that each of the four cases is associated with its corresponding required mid-length position and its calculated F, Q, P, and AR, so maxima are demonstrably selected from the same four subregion results rather than unrelated values.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eac5d3f9d5d452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RUN-I2-014-20260813T192153271713Z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RUN-I2-014-20260813T192153271713Z</x:v>
      </x:c>
      <x:c r="B5" s="45" t="str">
        <x:v>I2-014</x:v>
      </x:c>
      <x:c r="C5" s="58" t="n">
        <x:v>1</x:v>
      </x:c>
      <x:c r="D5" s="83" t="b">
        <x:v>1</x:v>
      </x:c>
      <x:c r="E5" s="83" t="b">
        <x:v>0</x:v>
      </x:c>
      <x:c r="F5" s="83" t="b">
        <x:v>0</x:v>
      </x:c>
      <x:c r="G5" s="45" t="str">
        <x:v>REVISE</x:v>
      </x:c>
      <x:c r="H5" s="46" t="str">
        <x:v>Reject: enforce that the four required calculation cases occupy all four distinct mid-length positions LBOW/8, 3*LBOW/8, 5*LBOW/8, and 7*LBOW/8; the current per-case membership test permits four duplicate positions. Add bounded formula constraints that verify averageIcePressure, loadPatchHeight, and loadPatchLength are calculated from and use the selected maxima of force, line load, and pressure, rather than merely requiring those output quantities to be present.</x:v>
      </x:c>
      <x:c r="I5" s="84" t="n">
        <x:v>49987.664</x:v>
      </x:c>
      <x:c r="J5" s="84" t="n">
        <x:v>12364.015</x:v>
      </x:c>
    </x:row>
    <x:row r="6">
      <x:c r="A6" s="47" t="str">
        <x:v>RUN-I2-014-20260813T192153271713Z</x:v>
      </x:c>
      <x:c r="B6" s="47" t="str">
        <x:v>I2-014</x:v>
      </x:c>
      <x:c r="C6" s="59" t="n">
        <x:v>2</x:v>
      </x:c>
      <x:c r="D6" s="85" t="b">
        <x:v>1</x:v>
      </x:c>
      <x:c r="E6" s="85" t="b">
        <x:v>0</x:v>
      </x:c>
      <x:c r="F6" s="85" t="b">
        <x:v>0</x:v>
      </x:c>
      <x:c r="G6" s="47" t="str">
        <x:v>REVISE</x:v>
      </x:c>
      <x:c r="H6" s="48" t="str">
        <x:v>Correct the owner violations: the supplied requiredOwner metadata is authoritative. The candidate places bowSubregionMidLengthPosition, glancingImpactLineLoad, glancingImpactPressure, and totalGlancingImpactForce on bowSubregionCalculationCase even though their declared requiredOwner is ship; revise the model and constraints so these properties are checked on their canonical owner, without duplicating the same facts across ship and case. Then revise the case-selection/maxima logic to use the canonical ownership arrangement while preserving the four prescribed mid-length positions and maxima checks.</x:v>
      </x:c>
      <x:c r="I6" s="86" t="n">
        <x:v>52668.331</x:v>
      </x:c>
      <x:c r="J6" s="86" t="n">
        <x:v>7461.829</x:v>
      </x:c>
    </x:row>
    <x:row r="7">
      <x:c r="A7" s="49" t="str">
        <x:v>RUN-I2-014-20260813T192153271713Z</x:v>
      </x:c>
      <x:c r="B7" s="49" t="str">
        <x:v>I2-014</x:v>
      </x:c>
      <x:c r="C7" s="60" t="n">
        <x:v>3</x:v>
      </x:c>
      <x:c r="D7" s="87" t="b">
        <x:v>1</x:v>
      </x:c>
      <x:c r="E7" s="87" t="b">
        <x:v>0</x:v>
      </x:c>
      <x:c r="F7" s="87" t="b">
        <x:v>0</x:v>
      </x:c>
      <x:c r="G7" s="49" t="str">
        <x:v>REVISE</x:v>
      </x:c>
      <x:c r="H7" s="50" t="str">
        <x:v>Repair the semantic pairing: the four calculation-case nodes currently carry only aspect ratio, while the four mid-length positions and F/Q/P result values are independent ship-level multisets. Encode and validate that each of the four cases is associated with its corresponding required mid-length position and its calculated F, Q, P, and AR, so maxima are demonstrably selected from the same four subregion results rather than unrelated values.</x:v>
      </x:c>
      <x:c r="I7" s="88" t="n">
        <x:v>59695.534</x:v>
      </x:c>
      <x:c r="J7" s="88" t="n">
        <x:v>8621.291</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cf2c249454140d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RUN-I2-014-20260813T192153271713Z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EVT-000028</x:v>
      </x:c>
      <x:c r="B5" s="45" t="str">
        <x:v>RUN-I2-014-20260813T192153271713Z</x:v>
      </x:c>
      <x:c r="C5" s="45" t="str">
        <x:v>I2-014</x:v>
      </x:c>
      <x:c r="D5" s="92" t="n">
        <x:v>46247.807445150465</x:v>
      </x:c>
      <x:c r="E5" s="45" t="str">
        <x:v>generator</x:v>
      </x:c>
      <x:c r="F5" s="45" t="str">
        <x:v>gpt-5.6-sol-2026-07-09</x:v>
      </x:c>
      <x:c r="G5" s="45" t="n">
        <x:v>1</x:v>
      </x:c>
      <x:c r="H5" s="45" t="n">
        <x:v>200</x:v>
      </x:c>
      <x:c r="I5" s="45" t="str">
        <x:v>Ocp-Apim-Subscription-Key</x:v>
      </x:c>
      <x:c r="J5" s="84" t="n">
        <x:v>0</x:v>
      </x:c>
      <x:c r="K5" s="84" t="n">
        <x:v>49985.647</x:v>
      </x:c>
      <x:c r="L5" s="83" t="b">
        <x:v>0</x:v>
      </x:c>
      <x:c r="M5" s="45" t="str"/>
      <x:c r="N5" s="58" t="str"/>
      <x:c r="O5" s="58" t="str"/>
      <x:c r="P5" s="58" t="str"/>
    </x:row>
    <x:row r="6">
      <x:c r="A6" s="47" t="str">
        <x:v>EVT-000029</x:v>
      </x:c>
      <x:c r="B6" s="47" t="str">
        <x:v>RUN-I2-014-20260813T192153271713Z</x:v>
      </x:c>
      <x:c r="C6" s="47" t="str">
        <x:v>I2-014</x:v>
      </x:c>
      <x:c r="D6" s="93" t="n">
        <x:v>46247.807445185186</x:v>
      </x:c>
      <x:c r="E6" s="47" t="str">
        <x:v>generator</x:v>
      </x:c>
      <x:c r="F6" s="47" t="str">
        <x:v>gpt-5.6-sol-2026-07-09</x:v>
      </x:c>
      <x:c r="G6" s="47" t="n">
        <x:v>1</x:v>
      </x:c>
      <x:c r="H6" s="47" t="str">
        <x:v>COMPLETED</x:v>
      </x:c>
      <x:c r="I6" s="47" t="str"/>
      <x:c r="J6" s="86" t="n">
        <x:v>0</x:v>
      </x:c>
      <x:c r="K6" s="86" t="n">
        <x:v>49987.664</x:v>
      </x:c>
      <x:c r="L6" s="85" t="b">
        <x:v>0</x:v>
      </x:c>
      <x:c r="M6" s="47" t="str">
        <x:v>resp_0b88fac97f75c304006a7e19517c8c8190a1dba70d6832aba2</x:v>
      </x:c>
      <x:c r="N6" s="59" t="n">
        <x:v>10093</x:v>
      </x:c>
      <x:c r="O6" s="59" t="n">
        <x:v>4936</x:v>
      </x:c>
      <x:c r="P6" s="59" t="n">
        <x:v>15029</x:v>
      </x:c>
    </x:row>
    <x:row r="7">
      <x:c r="A7" s="47" t="str">
        <x:v>EVT-000036</x:v>
      </x:c>
      <x:c r="B7" s="47" t="str">
        <x:v>RUN-I2-014-20260813T192153271713Z</x:v>
      </x:c>
      <x:c r="C7" s="47" t="str">
        <x:v>I2-014</x:v>
      </x:c>
      <x:c r="D7" s="93" t="n">
        <x:v>46247.807592083336</x:v>
      </x:c>
      <x:c r="E7" s="47" t="str">
        <x:v>validator</x:v>
      </x:c>
      <x:c r="F7" s="47" t="str">
        <x:v>gpt-5.6-terra-2026-07-09</x:v>
      </x:c>
      <x:c r="G7" s="47" t="n">
        <x:v>1</x:v>
      </x:c>
      <x:c r="H7" s="47" t="n">
        <x:v>200</x:v>
      </x:c>
      <x:c r="I7" s="47" t="str">
        <x:v>Ocp-Apim-Subscription-Key</x:v>
      </x:c>
      <x:c r="J7" s="86" t="n">
        <x:v>0</x:v>
      </x:c>
      <x:c r="K7" s="86" t="n">
        <x:v>12362.377</x:v>
      </x:c>
      <x:c r="L7" s="85" t="b">
        <x:v>0</x:v>
      </x:c>
      <x:c r="M7" s="47" t="str"/>
      <x:c r="N7" s="59" t="str"/>
      <x:c r="O7" s="59" t="str"/>
      <x:c r="P7" s="59" t="str"/>
    </x:row>
    <x:row r="8">
      <x:c r="A8" s="47" t="str">
        <x:v>EVT-000037</x:v>
      </x:c>
      <x:c r="B8" s="47" t="str">
        <x:v>RUN-I2-014-20260813T192153271713Z</x:v>
      </x:c>
      <x:c r="C8" s="47" t="str">
        <x:v>I2-014</x:v>
      </x:c>
      <x:c r="D8" s="93" t="n">
        <x:v>46247.80759210648</x:v>
      </x:c>
      <x:c r="E8" s="47" t="str">
        <x:v>validator</x:v>
      </x:c>
      <x:c r="F8" s="47" t="str">
        <x:v>gpt-5.6-terra-2026-07-09</x:v>
      </x:c>
      <x:c r="G8" s="47" t="n">
        <x:v>1</x:v>
      </x:c>
      <x:c r="H8" s="47" t="str">
        <x:v>COMPLETED</x:v>
      </x:c>
      <x:c r="I8" s="47" t="str"/>
      <x:c r="J8" s="86" t="n">
        <x:v>0</x:v>
      </x:c>
      <x:c r="K8" s="86" t="n">
        <x:v>12364.015</x:v>
      </x:c>
      <x:c r="L8" s="85" t="b">
        <x:v>0</x:v>
      </x:c>
      <x:c r="M8" s="47" t="str">
        <x:v>resp_0589b5dd148e91c8006a7e1983b0fc8195ab0b2d40ad200bd4</x:v>
      </x:c>
      <x:c r="N8" s="59" t="n">
        <x:v>13378</x:v>
      </x:c>
      <x:c r="O8" s="59" t="n">
        <x:v>914</x:v>
      </x:c>
      <x:c r="P8" s="59" t="n">
        <x:v>14292</x:v>
      </x:c>
    </x:row>
    <x:row r="9">
      <x:c r="A9" s="47" t="str">
        <x:v>EVT-000042</x:v>
      </x:c>
      <x:c r="B9" s="47" t="str">
        <x:v>RUN-I2-014-20260813T192153271713Z</x:v>
      </x:c>
      <x:c r="C9" s="47" t="str">
        <x:v>I2-014</x:v>
      </x:c>
      <x:c r="D9" s="93" t="n">
        <x:v>46247.80820173611</x:v>
      </x:c>
      <x:c r="E9" s="47" t="str">
        <x:v>generator</x:v>
      </x:c>
      <x:c r="F9" s="47" t="str">
        <x:v>gpt-5.6-sol-2026-07-09</x:v>
      </x:c>
      <x:c r="G9" s="47" t="n">
        <x:v>1</x:v>
      </x:c>
      <x:c r="H9" s="47" t="n">
        <x:v>200</x:v>
      </x:c>
      <x:c r="I9" s="47" t="str">
        <x:v>Ocp-Apim-Subscription-Key</x:v>
      </x:c>
      <x:c r="J9" s="86" t="n">
        <x:v>0</x:v>
      </x:c>
      <x:c r="K9" s="86" t="n">
        <x:v>52666.609</x:v>
      </x:c>
      <x:c r="L9" s="85" t="b">
        <x:v>0</x:v>
      </x:c>
      <x:c r="M9" s="47" t="str"/>
      <x:c r="N9" s="59" t="str"/>
      <x:c r="O9" s="59" t="str"/>
      <x:c r="P9" s="59" t="str"/>
    </x:row>
    <x:row r="10">
      <x:c r="A10" s="47" t="str">
        <x:v>EVT-000043</x:v>
      </x:c>
      <x:c r="B10" s="47" t="str">
        <x:v>RUN-I2-014-20260813T192153271713Z</x:v>
      </x:c>
      <x:c r="C10" s="47" t="str">
        <x:v>I2-014</x:v>
      </x:c>
      <x:c r="D10" s="93" t="n">
        <x:v>46247.80820175926</x:v>
      </x:c>
      <x:c r="E10" s="47" t="str">
        <x:v>generator</x:v>
      </x:c>
      <x:c r="F10" s="47" t="str">
        <x:v>gpt-5.6-sol-2026-07-09</x:v>
      </x:c>
      <x:c r="G10" s="47" t="n">
        <x:v>1</x:v>
      </x:c>
      <x:c r="H10" s="47" t="str">
        <x:v>COMPLETED</x:v>
      </x:c>
      <x:c r="I10" s="47" t="str"/>
      <x:c r="J10" s="86" t="n">
        <x:v>0</x:v>
      </x:c>
      <x:c r="K10" s="86" t="n">
        <x:v>52668.331</x:v>
      </x:c>
      <x:c r="L10" s="85" t="b">
        <x:v>0</x:v>
      </x:c>
      <x:c r="M10" s="47" t="str">
        <x:v>resp_0fa5f236b00f73f8006a7e19900e888194b942654813c04459</x:v>
      </x:c>
      <x:c r="N10" s="59" t="n">
        <x:v>10196</x:v>
      </x:c>
      <x:c r="O10" s="59" t="n">
        <x:v>5436</x:v>
      </x:c>
      <x:c r="P10" s="59" t="n">
        <x:v>15632</x:v>
      </x:c>
    </x:row>
    <x:row r="11">
      <x:c r="A11" s="47" t="str">
        <x:v>EVT-000050</x:v>
      </x:c>
      <x:c r="B11" s="47" t="str">
        <x:v>RUN-I2-014-20260813T192153271713Z</x:v>
      </x:c>
      <x:c r="C11" s="47" t="str">
        <x:v>I2-014</x:v>
      </x:c>
      <x:c r="D11" s="93" t="n">
        <x:v>46247.808292546295</x:v>
      </x:c>
      <x:c r="E11" s="47" t="str">
        <x:v>validator</x:v>
      </x:c>
      <x:c r="F11" s="47" t="str">
        <x:v>gpt-5.6-terra-2026-07-09</x:v>
      </x:c>
      <x:c r="G11" s="47" t="n">
        <x:v>1</x:v>
      </x:c>
      <x:c r="H11" s="47" t="n">
        <x:v>200</x:v>
      </x:c>
      <x:c r="I11" s="47" t="str">
        <x:v>Ocp-Apim-Subscription-Key</x:v>
      </x:c>
      <x:c r="J11" s="86" t="n">
        <x:v>0</x:v>
      </x:c>
      <x:c r="K11" s="86" t="n">
        <x:v>7460.299</x:v>
      </x:c>
      <x:c r="L11" s="85" t="b">
        <x:v>0</x:v>
      </x:c>
      <x:c r="M11" s="47" t="str"/>
      <x:c r="N11" s="59" t="str"/>
      <x:c r="O11" s="59" t="str"/>
      <x:c r="P11" s="59" t="str"/>
    </x:row>
    <x:row r="12">
      <x:c r="A12" s="47" t="str">
        <x:v>EVT-000051</x:v>
      </x:c>
      <x:c r="B12" s="47" t="str">
        <x:v>RUN-I2-014-20260813T192153271713Z</x:v>
      </x:c>
      <x:c r="C12" s="47" t="str">
        <x:v>I2-014</x:v>
      </x:c>
      <x:c r="D12" s="93" t="n">
        <x:v>46247.80829256945</x:v>
      </x:c>
      <x:c r="E12" s="47" t="str">
        <x:v>validator</x:v>
      </x:c>
      <x:c r="F12" s="47" t="str">
        <x:v>gpt-5.6-terra-2026-07-09</x:v>
      </x:c>
      <x:c r="G12" s="47" t="n">
        <x:v>1</x:v>
      </x:c>
      <x:c r="H12" s="47" t="str">
        <x:v>COMPLETED</x:v>
      </x:c>
      <x:c r="I12" s="47" t="str"/>
      <x:c r="J12" s="86" t="n">
        <x:v>0</x:v>
      </x:c>
      <x:c r="K12" s="86" t="n">
        <x:v>7461.829</x:v>
      </x:c>
      <x:c r="L12" s="85" t="b">
        <x:v>0</x:v>
      </x:c>
      <x:c r="M12" s="47" t="str">
        <x:v>resp_0d7331efaa165ebc006a7e19c51a5c8194955b7788b033aec8</x:v>
      </x:c>
      <x:c r="N12" s="59" t="n">
        <x:v>13970</x:v>
      </x:c>
      <x:c r="O12" s="59" t="n">
        <x:v>644</x:v>
      </x:c>
      <x:c r="P12" s="59" t="n">
        <x:v>14614</x:v>
      </x:c>
    </x:row>
    <x:row r="13">
      <x:c r="A13" s="47" t="str">
        <x:v>EVT-000056</x:v>
      </x:c>
      <x:c r="B13" s="47" t="str">
        <x:v>RUN-I2-014-20260813T192153271713Z</x:v>
      </x:c>
      <x:c r="C13" s="47" t="str">
        <x:v>I2-014</x:v>
      </x:c>
      <x:c r="D13" s="93" t="n">
        <x:v>46247.80898353009</x:v>
      </x:c>
      <x:c r="E13" s="47" t="str">
        <x:v>generator</x:v>
      </x:c>
      <x:c r="F13" s="47" t="str">
        <x:v>gpt-5.6-sol-2026-07-09</x:v>
      </x:c>
      <x:c r="G13" s="47" t="n">
        <x:v>1</x:v>
      </x:c>
      <x:c r="H13" s="47" t="n">
        <x:v>200</x:v>
      </x:c>
      <x:c r="I13" s="47" t="str">
        <x:v>Ocp-Apim-Subscription-Key</x:v>
      </x:c>
      <x:c r="J13" s="86" t="n">
        <x:v>0</x:v>
      </x:c>
      <x:c r="K13" s="86" t="n">
        <x:v>59693.871</x:v>
      </x:c>
      <x:c r="L13" s="85" t="b">
        <x:v>0</x:v>
      </x:c>
      <x:c r="M13" s="47" t="str"/>
      <x:c r="N13" s="59" t="str"/>
      <x:c r="O13" s="59" t="str"/>
      <x:c r="P13" s="59" t="str"/>
    </x:row>
    <x:row r="14">
      <x:c r="A14" s="47" t="str">
        <x:v>EVT-000057</x:v>
      </x:c>
      <x:c r="B14" s="47" t="str">
        <x:v>RUN-I2-014-20260813T192153271713Z</x:v>
      </x:c>
      <x:c r="C14" s="47" t="str">
        <x:v>I2-014</x:v>
      </x:c>
      <x:c r="D14" s="93" t="n">
        <x:v>46247.80898355324</x:v>
      </x:c>
      <x:c r="E14" s="47" t="str">
        <x:v>generator</x:v>
      </x:c>
      <x:c r="F14" s="47" t="str">
        <x:v>gpt-5.6-sol-2026-07-09</x:v>
      </x:c>
      <x:c r="G14" s="47" t="n">
        <x:v>1</x:v>
      </x:c>
      <x:c r="H14" s="47" t="str">
        <x:v>COMPLETED</x:v>
      </x:c>
      <x:c r="I14" s="47" t="str"/>
      <x:c r="J14" s="86" t="n">
        <x:v>0</x:v>
      </x:c>
      <x:c r="K14" s="86" t="n">
        <x:v>59695.534</x:v>
      </x:c>
      <x:c r="L14" s="85" t="b">
        <x:v>0</x:v>
      </x:c>
      <x:c r="M14" s="47" t="str">
        <x:v>resp_0ab4db4a84cf5bc4006a7e19cc93e48195a64680c9ee0b4b61</x:v>
      </x:c>
      <x:c r="N14" s="59" t="n">
        <x:v>10307</x:v>
      </x:c>
      <x:c r="O14" s="59" t="n">
        <x:v>5632</x:v>
      </x:c>
      <x:c r="P14" s="59" t="n">
        <x:v>15939</x:v>
      </x:c>
    </x:row>
    <x:row r="15">
      <x:c r="A15" s="47" t="str">
        <x:v>EVT-000064</x:v>
      </x:c>
      <x:c r="B15" s="47" t="str">
        <x:v>RUN-I2-014-20260813T192153271713Z</x:v>
      </x:c>
      <x:c r="C15" s="47" t="str">
        <x:v>I2-014</x:v>
      </x:c>
      <x:c r="D15" s="93" t="n">
        <x:v>46247.809087800924</x:v>
      </x:c>
      <x:c r="E15" s="47" t="str">
        <x:v>validator</x:v>
      </x:c>
      <x:c r="F15" s="47" t="str">
        <x:v>gpt-5.6-terra-2026-07-09</x:v>
      </x:c>
      <x:c r="G15" s="47" t="n">
        <x:v>1</x:v>
      </x:c>
      <x:c r="H15" s="47" t="n">
        <x:v>200</x:v>
      </x:c>
      <x:c r="I15" s="47" t="str">
        <x:v>Ocp-Apim-Subscription-Key</x:v>
      </x:c>
      <x:c r="J15" s="86" t="n">
        <x:v>0</x:v>
      </x:c>
      <x:c r="K15" s="86" t="n">
        <x:v>8619.744</x:v>
      </x:c>
      <x:c r="L15" s="85" t="b">
        <x:v>0</x:v>
      </x:c>
      <x:c r="M15" s="47" t="str"/>
      <x:c r="N15" s="59" t="str"/>
      <x:c r="O15" s="59" t="str"/>
      <x:c r="P15" s="59" t="str"/>
    </x:row>
    <x:row r="16">
      <x:c r="A16" s="49" t="str">
        <x:v>EVT-000065</x:v>
      </x:c>
      <x:c r="B16" s="49" t="str">
        <x:v>RUN-I2-014-20260813T192153271713Z</x:v>
      </x:c>
      <x:c r="C16" s="49" t="str">
        <x:v>I2-014</x:v>
      </x:c>
      <x:c r="D16" s="94" t="n">
        <x:v>46247.8090878125</x:v>
      </x:c>
      <x:c r="E16" s="49" t="str">
        <x:v>validator</x:v>
      </x:c>
      <x:c r="F16" s="49" t="str">
        <x:v>gpt-5.6-terra-2026-07-09</x:v>
      </x:c>
      <x:c r="G16" s="49" t="n">
        <x:v>1</x:v>
      </x:c>
      <x:c r="H16" s="49" t="str">
        <x:v>COMPLETED</x:v>
      </x:c>
      <x:c r="I16" s="49" t="str"/>
      <x:c r="J16" s="88" t="n">
        <x:v>0</x:v>
      </x:c>
      <x:c r="K16" s="88" t="n">
        <x:v>8621.291</x:v>
      </x:c>
      <x:c r="L16" s="87" t="b">
        <x:v>0</x:v>
      </x:c>
      <x:c r="M16" s="49" t="str">
        <x:v>resp_04acd77b4b8f9e83006a7e1a08ac7c8196a7e2bd6f97bb1c76</x:v>
      </x:c>
      <x:c r="N16" s="60" t="n">
        <x:v>13520</x:v>
      </x:c>
      <x:c r="O16" s="60" t="n">
        <x:v>620</x:v>
      </x:c>
      <x:c r="P16" s="60" t="n">
        <x:v>14140</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ad94a2467c2480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RUN-I2-014-20260813T192153271713Z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RUN-I2-014-20260813T192153271713Z</x:v>
      </x:c>
      <x:c r="B5" s="45" t="str">
        <x:v>I2-014</x:v>
      </x:c>
      <x:c r="C5" s="45" t="str">
        <x:v>averageIcePressure</x:v>
      </x:c>
      <x:c r="D5" s="46" t="str">
        <x:v>https://w3id.org/nltl-benchmark/vocab#averageIcePressure</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RUN-I2-014-20260813T192153271713Z</x:v>
      </x:c>
      <x:c r="B6" s="47" t="str">
        <x:v>I2-014</x:v>
      </x:c>
      <x:c r="C6" s="47" t="str">
        <x:v>benchmarkEntity</x:v>
      </x:c>
      <x:c r="D6" s="48" t="str">
        <x:v>https://w3id.org/nltl-benchmark/vocab#benchmarkEntity</x:v>
      </x:c>
      <x:c r="E6" s="47" t="str">
        <x:v>Class</x:v>
      </x:c>
      <x:c r="F6" s="47" t="str"/>
      <x:c r="G6" s="47" t="str"/>
      <x:c r="H6" s="47" t="str"/>
      <x:c r="I6" s="48" t="str">
        <x:v>baseline target infrastructure; domain dependency of averageIcePressure; domain dependency of bowLength; domain dependency of loadPatchHeight; domain dependency of loadPatchLength; domain dependency of totalGlancingImpactForce</x:v>
      </x:c>
      <x:c r="J6" s="47" t="n">
        <x:v>0</x:v>
      </x:c>
    </x:row>
    <x:row r="7">
      <x:c r="A7" s="47" t="str">
        <x:v>RUN-I2-014-20260813T192153271713Z</x:v>
      </x:c>
      <x:c r="B7" s="47" t="str">
        <x:v>I2-014</x:v>
      </x:c>
      <x:c r="C7" s="47" t="str">
        <x:v>bowLength</x:v>
      </x:c>
      <x:c r="D7" s="48" t="str">
        <x:v>https://w3id.org/nltl-benchmark/vocab#bowLength</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RUN-I2-014-20260813T192153271713Z</x:v>
      </x:c>
      <x:c r="B8" s="47" t="str">
        <x:v>I2-014</x:v>
      </x:c>
      <x:c r="C8" s="47" t="str">
        <x:v>bowSubregionAspectRatio</x:v>
      </x:c>
      <x:c r="D8" s="48" t="str">
        <x:v>https://w3id.org/nltl-benchmark/vocab#bowSubregionAspectRatio</x:v>
      </x:c>
      <x:c r="E8" s="47" t="str">
        <x:v>QuantityProperty</x:v>
      </x:c>
      <x:c r="F8" s="47" t="str"/>
      <x:c r="G8" s="47" t="str">
        <x:v>http://qudt.org/schema/qudt/QuantityValue</x:v>
      </x:c>
      <x:c r="H8" s="47" t="str">
        <x:v>http://qudt.org/vocab/unit/UNITLESS</x:v>
      </x:c>
      <x:c r="I8" s="48" t="str">
        <x:v>linked by the locked 313-requirement index</x:v>
      </x:c>
      <x:c r="J8" s="47" t="n">
        <x:v>0</x:v>
      </x:c>
    </x:row>
    <x:row r="9">
      <x:c r="A9" s="47" t="str">
        <x:v>RUN-I2-014-20260813T192153271713Z</x:v>
      </x:c>
      <x:c r="B9" s="47" t="str">
        <x:v>I2-014</x:v>
      </x:c>
      <x:c r="C9" s="47" t="str">
        <x:v>bowSubregionCalculationCase</x:v>
      </x:c>
      <x:c r="D9" s="48" t="str">
        <x:v>https://w3id.org/nltl-benchmark/vocab#bowSubregionCalculationCase</x:v>
      </x:c>
      <x:c r="E9" s="47" t="str">
        <x:v>Class</x:v>
      </x:c>
      <x:c r="F9" s="47" t="str"/>
      <x:c r="G9" s="47" t="str">
        <x:v>https://w3id.org/nltl-benchmark/vocab#calculationCase</x:v>
      </x:c>
      <x:c r="H9" s="47" t="str"/>
      <x:c r="I9" s="48" t="str">
        <x:v>authoritative required owner class; domain dependency of bowSubregionAspectRatio; domain dependency of bowSubregionMidLengthPosition; domain dependency of glancingImpactLineLoad; domain dependency of glancingImpactPressure; linked by the locked 313-requirement index; range dependency of hasBowSubregionCalculationCase</x:v>
      </x:c>
      <x:c r="J9" s="47" t="n">
        <x:v>0</x:v>
      </x:c>
    </x:row>
    <x:row r="10">
      <x:c r="A10" s="47" t="str">
        <x:v>RUN-I2-014-20260813T192153271713Z</x:v>
      </x:c>
      <x:c r="B10" s="47" t="str">
        <x:v>I2-014</x:v>
      </x:c>
      <x:c r="C10" s="47" t="str">
        <x:v>bowSubregionCount</x:v>
      </x:c>
      <x:c r="D10" s="48" t="str">
        <x:v>https://w3id.org/nltl-benchmark/vocab#bowSubregionCount</x:v>
      </x:c>
      <x:c r="E10" s="47" t="str">
        <x:v>DatatypeProperty</x:v>
      </x:c>
      <x:c r="F10" s="47" t="str">
        <x:v>xsd:integer</x:v>
      </x:c>
      <x:c r="G10" s="47" t="str">
        <x:v>http://www.w3.org/2001/XMLSchema#integer</x:v>
      </x:c>
      <x:c r="H10" s="47" t="str"/>
      <x:c r="I10" s="48" t="str">
        <x:v>linked by the locked 313-requirement index</x:v>
      </x:c>
      <x:c r="J10" s="47" t="n">
        <x:v>0</x:v>
      </x:c>
    </x:row>
    <x:row r="11">
      <x:c r="A11" s="47" t="str">
        <x:v>RUN-I2-014-20260813T192153271713Z</x:v>
      </x:c>
      <x:c r="B11" s="47" t="str">
        <x:v>I2-014</x:v>
      </x:c>
      <x:c r="C11" s="47" t="str">
        <x:v>bowSubregionMidLengthPosition</x:v>
      </x:c>
      <x:c r="D11" s="48" t="str">
        <x:v>https://w3id.org/nltl-benchmark/vocab#bowSubregionMidLengthPosition</x:v>
      </x:c>
      <x:c r="E11" s="47" t="str">
        <x:v>QuantityProperty</x:v>
      </x:c>
      <x:c r="F11" s="47" t="str"/>
      <x:c r="G11" s="47" t="str">
        <x:v>http://qudt.org/schema/qudt/QuantityValue</x:v>
      </x:c>
      <x:c r="H11" s="47" t="str">
        <x:v>http://qudt.org/vocab/unit/M</x:v>
      </x:c>
      <x:c r="I11" s="48" t="str">
        <x:v>linked by the locked 313-requirement index</x:v>
      </x:c>
      <x:c r="J11" s="47" t="n">
        <x:v>0</x:v>
      </x:c>
    </x:row>
    <x:row r="12">
      <x:c r="A12" s="47" t="str">
        <x:v>RUN-I2-014-20260813T192153271713Z</x:v>
      </x:c>
      <x:c r="B12" s="47" t="str">
        <x:v>I2-014</x:v>
      </x:c>
      <x:c r="C12" s="47" t="str">
        <x:v>calculationCase</x:v>
      </x:c>
      <x:c r="D12" s="48" t="str">
        <x:v>https://w3id.org/nltl-benchmark/vocab#calculationCase</x:v>
      </x:c>
      <x:c r="E12" s="47" t="str">
        <x:v>Class</x:v>
      </x:c>
      <x:c r="F12" s="47" t="str"/>
      <x:c r="G12" s="47" t="str">
        <x:v>https://w3id.org/nltl-benchmark/vocab#benchmarkEntity</x:v>
      </x:c>
      <x:c r="H12" s="47" t="str"/>
      <x:c r="I12" s="48" t="str">
        <x:v>range dependency of bowSubregionCalculationCase</x:v>
      </x:c>
      <x:c r="J12" s="47" t="n">
        <x:v>0</x:v>
      </x:c>
    </x:row>
    <x:row r="13">
      <x:c r="A13" s="47" t="str">
        <x:v>RUN-I2-014-20260813T192153271713Z</x:v>
      </x:c>
      <x:c r="B13" s="47" t="str">
        <x:v>I2-014</x:v>
      </x:c>
      <x:c r="C13" s="47" t="str">
        <x:v>glancingImpactLineLoad</x:v>
      </x:c>
      <x:c r="D13" s="48" t="str">
        <x:v>https://w3id.org/nltl-benchmark/vocab#glancingImpactLineLoad</x:v>
      </x:c>
      <x:c r="E13" s="47" t="str">
        <x:v>QuantityProperty</x:v>
      </x:c>
      <x:c r="F13" s="47" t="str"/>
      <x:c r="G13" s="47" t="str">
        <x:v>http://qudt.org/schema/qudt/QuantityValue</x:v>
      </x:c>
      <x:c r="H13" s="47" t="str">
        <x:v>http://qudt.org/vocab/unit/MegaN-M-PER-M2</x:v>
      </x:c>
      <x:c r="I13" s="48" t="str">
        <x:v>linked by the locked 313-requirement index</x:v>
      </x:c>
      <x:c r="J13" s="47" t="n">
        <x:v>0</x:v>
      </x:c>
    </x:row>
    <x:row r="14">
      <x:c r="A14" s="47" t="str">
        <x:v>RUN-I2-014-20260813T192153271713Z</x:v>
      </x:c>
      <x:c r="B14" s="47" t="str">
        <x:v>I2-014</x:v>
      </x:c>
      <x:c r="C14" s="47" t="str">
        <x:v>glancingImpactPressure</x:v>
      </x:c>
      <x:c r="D14" s="48" t="str">
        <x:v>https://w3id.org/nltl-benchmark/vocab#glancingImpactPressure</x:v>
      </x:c>
      <x:c r="E14" s="47" t="str">
        <x:v>QuantityProperty</x:v>
      </x:c>
      <x:c r="F14" s="47" t="str"/>
      <x:c r="G14" s="47" t="str">
        <x:v>http://qudt.org/schema/qudt/QuantityValue</x:v>
      </x:c>
      <x:c r="H14" s="47" t="str">
        <x:v>http://qudt.org/vocab/unit/MegaPA</x:v>
      </x:c>
      <x:c r="I14" s="48" t="str">
        <x:v>linked by the locked 313-requirement index</x:v>
      </x:c>
      <x:c r="J14" s="47" t="n">
        <x:v>0</x:v>
      </x:c>
    </x:row>
    <x:row r="15">
      <x:c r="A15" s="47" t="str">
        <x:v>RUN-I2-014-20260813T192153271713Z</x:v>
      </x:c>
      <x:c r="B15" s="47" t="str">
        <x:v>I2-014</x:v>
      </x:c>
      <x:c r="C15" s="47" t="str">
        <x:v>hasBowSubregionCalculationCase</x:v>
      </x:c>
      <x:c r="D15" s="48" t="str">
        <x:v>https://w3id.org/nltl-benchmark/vocab#hasBowSubregionCalculationCase</x:v>
      </x:c>
      <x:c r="E15" s="47" t="str">
        <x:v>ObjectProperty</x:v>
      </x:c>
      <x:c r="F15" s="47" t="str"/>
      <x:c r="G15" s="47" t="str">
        <x:v>https://w3id.org/nltl-benchmark/vocab#bowSubregionCalculationCase</x:v>
      </x:c>
      <x:c r="H15" s="47" t="str"/>
      <x:c r="I15" s="48" t="str">
        <x:v>canonical path from target owner ship to required owner bowSubregionCalculationCase; linked by the locked 313-requirement index</x:v>
      </x:c>
      <x:c r="J15" s="47" t="n">
        <x:v>0</x:v>
      </x:c>
    </x:row>
    <x:row r="16">
      <x:c r="A16" s="47" t="str">
        <x:v>RUN-I2-014-20260813T192153271713Z</x:v>
      </x:c>
      <x:c r="B16" s="47" t="str">
        <x:v>I2-014</x:v>
      </x:c>
      <x:c r="C16" s="47" t="str">
        <x:v>hasComponent</x:v>
      </x:c>
      <x:c r="D16" s="48" t="str">
        <x:v>https://w3id.org/nltl-benchmark/vocab#hasComponent</x:v>
      </x:c>
      <x:c r="E16" s="47" t="str">
        <x:v>ObjectProperty</x:v>
      </x:c>
      <x:c r="F16" s="47" t="str"/>
      <x:c r="G16" s="47" t="str">
        <x:v>https://w3id.org/nltl-benchmark/vocab#shipComponent</x:v>
      </x:c>
      <x:c r="H16" s="47" t="str"/>
      <x:c r="I16" s="48" t="str">
        <x:v>component-path dependency inferred from the linked term module</x:v>
      </x:c>
      <x:c r="J16" s="47" t="n">
        <x:v>0</x:v>
      </x:c>
    </x:row>
    <x:row r="17">
      <x:c r="A17" s="47" t="str">
        <x:v>RUN-I2-014-20260813T192153271713Z</x:v>
      </x:c>
      <x:c r="B17" s="47" t="str">
        <x:v>I2-014</x:v>
      </x:c>
      <x:c r="C17" s="47" t="str">
        <x:v>loadPatchHeight</x:v>
      </x:c>
      <x:c r="D17" s="48" t="str">
        <x:v>https://w3id.org/nltl-benchmark/vocab#loadPatchHeight</x:v>
      </x:c>
      <x:c r="E17" s="47" t="str">
        <x:v>QuantityProperty</x:v>
      </x:c>
      <x:c r="F17" s="47" t="str"/>
      <x:c r="G17" s="47" t="str">
        <x:v>http://qudt.org/schema/qudt/QuantityValue</x:v>
      </x:c>
      <x:c r="H17" s="47" t="str">
        <x:v>http://qudt.org/vocab/unit/M</x:v>
      </x:c>
      <x:c r="I17" s="48" t="str">
        <x:v>linked by the locked 313-requirement index</x:v>
      </x:c>
      <x:c r="J17" s="47" t="n">
        <x:v>0</x:v>
      </x:c>
    </x:row>
    <x:row r="18">
      <x:c r="A18" s="47" t="str">
        <x:v>RUN-I2-014-20260813T192153271713Z</x:v>
      </x:c>
      <x:c r="B18" s="47" t="str">
        <x:v>I2-014</x:v>
      </x:c>
      <x:c r="C18" s="47" t="str">
        <x:v>loadPatchLength</x:v>
      </x:c>
      <x:c r="D18" s="48" t="str">
        <x:v>https://w3id.org/nltl-benchmark/vocab#loadPatchLength</x:v>
      </x:c>
      <x:c r="E18" s="47" t="str">
        <x:v>QuantityProperty</x:v>
      </x:c>
      <x:c r="F18" s="47" t="str"/>
      <x:c r="G18" s="47" t="str">
        <x:v>http://qudt.org/schema/qudt/QuantityValue</x:v>
      </x:c>
      <x:c r="H18" s="47" t="str">
        <x:v>http://qudt.org/vocab/unit/M</x:v>
      </x:c>
      <x:c r="I18" s="48" t="str">
        <x:v>linked by the locked 313-requirement index</x:v>
      </x:c>
      <x:c r="J18" s="47" t="n">
        <x:v>0</x:v>
      </x:c>
    </x:row>
    <x:row r="19">
      <x:c r="A19" s="47" t="str">
        <x:v>RUN-I2-014-20260813T192153271713Z</x:v>
      </x:c>
      <x:c r="B19" s="47" t="str">
        <x:v>I2-014</x:v>
      </x:c>
      <x:c r="C19" s="47" t="str">
        <x:v>selectedMaximumBowForce</x:v>
      </x:c>
      <x:c r="D19" s="48" t="str">
        <x:v>https://w3id.org/nltl-benchmark/vocab#selectedMaximumBowForce</x:v>
      </x:c>
      <x:c r="E19" s="47" t="str">
        <x:v>QuantityProperty</x:v>
      </x:c>
      <x:c r="F19" s="47" t="str"/>
      <x:c r="G19" s="47" t="str">
        <x:v>http://qudt.org/schema/qudt/QuantityValue</x:v>
      </x:c>
      <x:c r="H19" s="47" t="str">
        <x:v>http://qudt.org/vocab/unit/MegaN</x:v>
      </x:c>
      <x:c r="I19" s="48" t="str">
        <x:v>linked by the locked 313-requirement index</x:v>
      </x:c>
      <x:c r="J19" s="47" t="n">
        <x:v>0</x:v>
      </x:c>
    </x:row>
    <x:row r="20">
      <x:c r="A20" s="47" t="str">
        <x:v>RUN-I2-014-20260813T192153271713Z</x:v>
      </x:c>
      <x:c r="B20" s="47" t="str">
        <x:v>I2-014</x:v>
      </x:c>
      <x:c r="C20" s="47" t="str">
        <x:v>selectedMaximumBowLineLoad</x:v>
      </x:c>
      <x:c r="D20" s="48" t="str">
        <x:v>https://w3id.org/nltl-benchmark/vocab#selectedMaximumBowLineLoad</x:v>
      </x:c>
      <x:c r="E20" s="47" t="str">
        <x:v>QuantityProperty</x:v>
      </x:c>
      <x:c r="F20" s="47" t="str"/>
      <x:c r="G20" s="47" t="str">
        <x:v>http://qudt.org/schema/qudt/QuantityValue</x:v>
      </x:c>
      <x:c r="H20" s="47" t="str">
        <x:v>http://qudt.org/vocab/unit/MegaN-M-PER-M2</x:v>
      </x:c>
      <x:c r="I20" s="48" t="str">
        <x:v>linked by the locked 313-requirement index</x:v>
      </x:c>
      <x:c r="J20" s="47" t="n">
        <x:v>0</x:v>
      </x:c>
    </x:row>
    <x:row r="21">
      <x:c r="A21" s="47" t="str">
        <x:v>RUN-I2-014-20260813T192153271713Z</x:v>
      </x:c>
      <x:c r="B21" s="47" t="str">
        <x:v>I2-014</x:v>
      </x:c>
      <x:c r="C21" s="47" t="str">
        <x:v>selectedMaximumBowPressure</x:v>
      </x:c>
      <x:c r="D21" s="48" t="str">
        <x:v>https://w3id.org/nltl-benchmark/vocab#selectedMaximumBowPressure</x:v>
      </x:c>
      <x:c r="E21" s="47" t="str">
        <x:v>QuantityProperty</x:v>
      </x:c>
      <x:c r="F21" s="47" t="str"/>
      <x:c r="G21" s="47" t="str">
        <x:v>http://qudt.org/schema/qudt/QuantityValue</x:v>
      </x:c>
      <x:c r="H21" s="47" t="str">
        <x:v>http://qudt.org/vocab/unit/MegaPA</x:v>
      </x:c>
      <x:c r="I21" s="48" t="str">
        <x:v>linked by the locked 313-requirement index</x:v>
      </x:c>
      <x:c r="J21" s="47" t="n">
        <x:v>0</x:v>
      </x:c>
    </x:row>
    <x:row r="22">
      <x:c r="A22" s="47" t="str">
        <x:v>RUN-I2-014-20260813T192153271713Z</x:v>
      </x:c>
      <x:c r="B22" s="47" t="str">
        <x:v>I2-014</x:v>
      </x:c>
      <x:c r="C22" s="47" t="str">
        <x:v>ship</x:v>
      </x:c>
      <x:c r="D22" s="48" t="str">
        <x:v>https://w3id.org/nltl-benchmark/vocab#ship</x:v>
      </x:c>
      <x:c r="E22" s="47" t="str">
        <x:v>Class</x:v>
      </x:c>
      <x:c r="F22" s="47" t="str"/>
      <x:c r="G22" s="47" t="str"/>
      <x:c r="H22" s="47" t="str"/>
      <x:c r="I22" s="48" t="str">
        <x:v>authoritative required owner class; authoritative requirement target owner; baseline target infrastructure; domain dependency of bowSubregionCount; domain dependency of hasBowSubregionCalculationCase; domain dependency of selectedMaximumBowForce; domain dependency of selectedMaximumBowLineLoad; domain dependency of selectedMaximumBowPressure</x:v>
      </x:c>
      <x:c r="J22" s="47" t="n">
        <x:v>0</x:v>
      </x:c>
    </x:row>
    <x:row r="23">
      <x:c r="A23" s="47" t="str">
        <x:v>RUN-I2-014-20260813T192153271713Z</x:v>
      </x:c>
      <x:c r="B23" s="47" t="str">
        <x:v>I2-014</x:v>
      </x:c>
      <x:c r="C23" s="47" t="str">
        <x:v>shipComponent</x:v>
      </x:c>
      <x:c r="D23" s="48" t="str">
        <x:v>https://w3id.org/nltl-benchmark/vocab#shipComponent</x:v>
      </x:c>
      <x:c r="E23" s="47" t="str">
        <x:v>Class</x:v>
      </x:c>
      <x:c r="F23" s="47" t="str"/>
      <x:c r="G23" s="47" t="str"/>
      <x:c r="H23" s="47" t="str"/>
      <x:c r="I23" s="48" t="str">
        <x:v>component-path dependency inferred from the linked term module</x:v>
      </x:c>
      <x:c r="J23" s="47" t="n">
        <x:v>0</x:v>
      </x:c>
    </x:row>
    <x:row r="24">
      <x:c r="A24" s="49" t="str">
        <x:v>RUN-I2-014-20260813T192153271713Z</x:v>
      </x:c>
      <x:c r="B24" s="49" t="str">
        <x:v>I2-014</x:v>
      </x:c>
      <x:c r="C24" s="49" t="str">
        <x:v>totalGlancingImpactForce</x:v>
      </x:c>
      <x:c r="D24" s="50" t="str">
        <x:v>https://w3id.org/nltl-benchmark/vocab#totalGlancingImpactForce</x:v>
      </x:c>
      <x:c r="E24" s="49" t="str">
        <x:v>QuantityProperty</x:v>
      </x:c>
      <x:c r="F24" s="49" t="str"/>
      <x:c r="G24" s="49" t="str">
        <x:v>http://qudt.org/schema/qudt/QuantityValue</x:v>
      </x:c>
      <x:c r="H24" s="49" t="str">
        <x:v>http://qudt.org/vocab/unit/KiloN</x:v>
      </x:c>
      <x:c r="I24" s="50" t="str">
        <x:v>linked by the locked 313-requirement index</x:v>
      </x:c>
      <x:c r="J24" s="49" t="n">
        <x:v>0</x:v>
      </x:c>
    </x:row>
  </x:sheetData>
  <x:pageMargins left="0.7" right="0.7" top="0.75" bottom="0.75" header="0.3" footer="0.3"/>
  <x:tableParts count="1">
    <x:tablePart xmlns:r="http://schemas.openxmlformats.org/officeDocument/2006/relationships" r:id="Rcea8c4686805401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RUN-I2-014-20260813T192153271713Z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RUN-I2-014-20260813T192153271713Z</x:v>
      </x:c>
      <x:c r="B5" s="45" t="str">
        <x:v>I2-014</x:v>
      </x:c>
      <x:c r="C5" s="45" t="str">
        <x:v>FS-CALC-02</x:v>
      </x:c>
      <x:c r="D5" s="45" t="str">
        <x:v>comparison_calculation</x:v>
      </x:c>
      <x:c r="E5" s="97" t="n">
        <x:v>0.070175</x:v>
      </x:c>
      <x:c r="F5" s="45" t="str">
        <x:v>calculation | comparison | formula | sparql</x:v>
      </x:c>
      <x:c r="G5" s="45" t="str">
        <x:v>synthetic-few-shot-not-benchmark-ground-truth</x:v>
      </x:c>
    </x:row>
    <x:row r="6">
      <x:c r="A6" s="49" t="str">
        <x:v>RUN-I2-014-20260813T192153271713Z</x:v>
      </x:c>
      <x:c r="B6" s="49" t="str">
        <x:v>I2-014</x:v>
      </x:c>
      <x:c r="C6" s="49" t="str">
        <x:v>FS-QTY-01</x:v>
      </x:c>
      <x:c r="D6" s="49" t="str">
        <x:v>qudt_quantity</x:v>
      </x:c>
      <x:c r="E6" s="98" t="n">
        <x:v>0.034483</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da10af9b2e9442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RUN-I2-014-20260813T192153271713Z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RUN-I2-014-20260813T192153271713Z</x:v>
      </x:c>
      <x:c r="B5" s="45" t="str">
        <x:v>I2-014</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https://w3id.org/nltl-benchmark/vocab#averageIcePressure | https://w3id.org/nltl-benchmark/vocab#bowLength | https://w3id.org/nltl-benchmark/vocab#bowSubregionAspectRatio | https://w3id.org/nltl-benchmark/vocab#bowSubregionCalculationCase | https://w3id.org/nltl-benchmark/vocab#bowSubregionCount | https://w3id.org/nltl-benchmark/vocab#bowSubregionMidLengthPosition | https://w3id.org/nltl-benchmark/vocab#glancingImpactLineLoad | https://w3id.org/nltl-benchmark/vocab#glancingImpactPressure | https://w3id.org/nltl-benchmark/vocab#hasBowSubregionCalculationCase | https://w3id.org/nltl-benchmark/vocab#loadPatchHeight | https://w3id.org/nltl-benchmark/vocab#loadPatchLength | https://w3id.org/nltl-benchmark/vocab#selectedMaximumBowForce | https://w3id.org/nltl-benchmark/vocab#selectedMaximumBowLineLoad | https://w3id.org/nltl-benchmark/vocab#selectedMaximumBowPressure | https://w3id.org/nltl-benchmark/vocab#ship | https://w3id.org/nltl-benchmark/vocab#totalGlancingImpactForce</x:v>
      </x:c>
      <x:c r="O5" s="46" t="str"/>
      <x:c r="P5" s="46" t="str"/>
      <x:c r="Q5" s="46" t="str"/>
    </x:row>
    <x:row r="6">
      <x:c r="A6" s="47" t="str">
        <x:v>RUN-I2-014-20260813T192153271713Z</x:v>
      </x:c>
      <x:c r="B6" s="47" t="str">
        <x:v>I2-014</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https://w3id.org/nltl-benchmark/vocab#averageIcePressure | https://w3id.org/nltl-benchmark/vocab#bowLength | https://w3id.org/nltl-benchmark/vocab#bowSubregionAspectRatio | https://w3id.org/nltl-benchmark/vocab#bowSubregionCalculationCase | https://w3id.org/nltl-benchmark/vocab#bowSubregionCount | https://w3id.org/nltl-benchmark/vocab#bowSubregionMidLengthPosition | https://w3id.org/nltl-benchmark/vocab#glancingImpactLineLoad | https://w3id.org/nltl-benchmark/vocab#glancingImpactPressure | https://w3id.org/nltl-benchmark/vocab#hasBowSubregionCalculationCase | https://w3id.org/nltl-benchmark/vocab#loadPatchHeight | https://w3id.org/nltl-benchmark/vocab#loadPatchLength | https://w3id.org/nltl-benchmark/vocab#selectedMaximumBowForce | https://w3id.org/nltl-benchmark/vocab#selectedMaximumBowLineLoad | https://w3id.org/nltl-benchmark/vocab#selectedMaximumBowPressure | https://w3id.org/nltl-benchmark/vocab#ship | https://w3id.org/nltl-benchmark/vocab#totalGlancingImpactForce</x:v>
      </x:c>
      <x:c r="O6" s="48" t="str"/>
      <x:c r="P6" s="48" t="str"/>
      <x:c r="Q6" s="48" t="str"/>
    </x:row>
    <x:row r="7">
      <x:c r="A7" s="49" t="str">
        <x:v>RUN-I2-014-20260813T192153271713Z</x:v>
      </x:c>
      <x:c r="B7" s="49" t="str">
        <x:v>I2-014</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https://w3id.org/nltl-benchmark/vocab#averageIcePressure | https://w3id.org/nltl-benchmark/vocab#bowLength | https://w3id.org/nltl-benchmark/vocab#bowSubregionAspectRatio | https://w3id.org/nltl-benchmark/vocab#bowSubregionCalculationCase | https://w3id.org/nltl-benchmark/vocab#bowSubregionCount | https://w3id.org/nltl-benchmark/vocab#bowSubregionMidLengthPosition | https://w3id.org/nltl-benchmark/vocab#glancingImpactLineLoad | https://w3id.org/nltl-benchmark/vocab#glancingImpactPressure | https://w3id.org/nltl-benchmark/vocab#hasBowSubregionCalculationCase | https://w3id.org/nltl-benchmark/vocab#loadPatchHeight | https://w3id.org/nltl-benchmark/vocab#loadPatchLength | https://w3id.org/nltl-benchmark/vocab#selectedMaximumBowForce | https://w3id.org/nltl-benchmark/vocab#selectedMaximumBowLineLoad | https://w3id.org/nltl-benchmark/vocab#selectedMaximumBowPressure | https://w3id.org/nltl-benchmark/vocab#ship | https://w3id.org/nltl-benchmark/vocab#totalGlancingImpactForce</x:v>
      </x:c>
      <x:c r="O7" s="50" t="str"/>
      <x:c r="P7" s="50" t="str"/>
      <x:c r="Q7" s="50" t="str"/>
    </x:row>
  </x:sheetData>
  <x:pageMargins left="0.7" right="0.7" top="0.75" bottom="0.75" header="0.3" footer="0.3"/>
  <x:tableParts count="1">
    <x:tablePart xmlns:r="http://schemas.openxmlformats.org/officeDocument/2006/relationships" r:id="R6a968ca441c54a15"/>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RUN-I2-014-20260813T192153271713Z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RUN-I2-014-20260813T192153271713Z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RUN-I2-014-20260813T192153271713Z</x:v>
      </x:c>
      <x:c r="B5" s="45" t="str">
        <x:v>I2-014</x:v>
      </x:c>
      <x:c r="C5" s="58"/>
      <x:c r="D5" s="45" t="str">
        <x:v>initial_context_pack</x:v>
      </x:c>
      <x:c r="E5" s="46" t="str">
        <x:v>artifacts/context_pack_initial.json</x:v>
      </x:c>
      <x:c r="F5" s="45" t="str">
        <x:v>cc92535330dfc1a136332a23f426598683b68d44efa192f89fba2e07cf5d5c24</x:v>
      </x:c>
      <x:c r="G5" s="58" t="n">
        <x:v>27915</x:v>
      </x:c>
    </x:row>
    <x:row r="6">
      <x:c r="A6" s="47" t="str">
        <x:v>RUN-I2-014-20260813T192153271713Z</x:v>
      </x:c>
      <x:c r="B6" s="47" t="str">
        <x:v>I2-014</x:v>
      </x:c>
      <x:c r="C6" s="59"/>
      <x:c r="D6" s="47" t="str">
        <x:v>few_shot_selection</x:v>
      </x:c>
      <x:c r="E6" s="48" t="str">
        <x:v>artifacts/few_shots_selected.json</x:v>
      </x:c>
      <x:c r="F6" s="47" t="str">
        <x:v>e27eee5e638b9d85b2132264551303b0b689748db9555ef7679b9549432af94b</x:v>
      </x:c>
      <x:c r="G6" s="59" t="n">
        <x:v>5365</x:v>
      </x:c>
    </x:row>
    <x:row r="7">
      <x:c r="A7" s="47" t="str">
        <x:v>RUN-I2-014-20260813T192153271713Z</x:v>
      </x:c>
      <x:c r="B7" s="47" t="str">
        <x:v>I2-014</x:v>
      </x:c>
      <x:c r="C7" s="59" t="n">
        <x:v>1</x:v>
      </x:c>
      <x:c r="D7" s="47" t="str">
        <x:v>generator_prompt</x:v>
      </x:c>
      <x:c r="E7" s="48" t="str">
        <x:v>artifacts/attempt_01/generator_prompt.txt</x:v>
      </x:c>
      <x:c r="F7" s="47" t="str">
        <x:v>2bb1110ea49a2c4d40bbbde3121529eb34f4e8c08a737136060fde3dd77cc2d7</x:v>
      </x:c>
      <x:c r="G7" s="59" t="n">
        <x:v>40199</x:v>
      </x:c>
    </x:row>
    <x:row r="8">
      <x:c r="A8" s="47" t="str">
        <x:v>RUN-I2-014-20260813T192153271713Z</x:v>
      </x:c>
      <x:c r="B8" s="47" t="str">
        <x:v>I2-014</x:v>
      </x:c>
      <x:c r="C8" s="59" t="n">
        <x:v>1</x:v>
      </x:c>
      <x:c r="D8" s="47" t="str">
        <x:v>generator_raw_response</x:v>
      </x:c>
      <x:c r="E8" s="48" t="str">
        <x:v>artifacts/attempt_01/generator_raw.txt</x:v>
      </x:c>
      <x:c r="F8" s="47" t="str">
        <x:v>72ffdf23415de6e3887f7d7c0e9398079c7bd93f63e5649b3e5f0857ef7c5728</x:v>
      </x:c>
      <x:c r="G8" s="59" t="n">
        <x:v>11068</x:v>
      </x:c>
    </x:row>
    <x:row r="9">
      <x:c r="A9" s="47" t="str">
        <x:v>RUN-I2-014-20260813T192153271713Z</x:v>
      </x:c>
      <x:c r="B9" s="47" t="str">
        <x:v>I2-014</x:v>
      </x:c>
      <x:c r="C9" s="59" t="n">
        <x:v>1</x:v>
      </x:c>
      <x:c r="D9" s="47" t="str">
        <x:v>candidate_shape</x:v>
      </x:c>
      <x:c r="E9" s="48" t="str">
        <x:v>artifacts/attempt_01/candidate_shape.ttl</x:v>
      </x:c>
      <x:c r="F9" s="47" t="str">
        <x:v>6eb93fdfe8d6965f6e5f80ed1d98f67d1e97866c8364007e2da64f838f09c9aa</x:v>
      </x:c>
      <x:c r="G9" s="59" t="n">
        <x:v>11043</x:v>
      </x:c>
    </x:row>
    <x:row r="10">
      <x:c r="A10" s="47" t="str">
        <x:v>RUN-I2-014-20260813T192153271713Z</x:v>
      </x:c>
      <x:c r="B10" s="47" t="str">
        <x:v>I2-014</x:v>
      </x:c>
      <x:c r="C10" s="59" t="n">
        <x:v>1</x:v>
      </x:c>
      <x:c r="D10" s="47" t="str">
        <x:v>deterministic_validation</x:v>
      </x:c>
      <x:c r="E10" s="48" t="str">
        <x:v>artifacts/attempt_01/deterministic_validation.json</x:v>
      </x:c>
      <x:c r="F10" s="47" t="str">
        <x:v>aa5dd6f1ce2af844f97ba705fba33f564203302418bbc5fc5be405689daca657</x:v>
      </x:c>
      <x:c r="G10" s="59" t="n">
        <x:v>1455</x:v>
      </x:c>
    </x:row>
    <x:row r="11">
      <x:c r="A11" s="47" t="str">
        <x:v>RUN-I2-014-20260813T192153271713Z</x:v>
      </x:c>
      <x:c r="B11" s="47" t="str">
        <x:v>I2-014</x:v>
      </x:c>
      <x:c r="C11" s="59" t="n">
        <x:v>1</x:v>
      </x:c>
      <x:c r="D11" s="47" t="str">
        <x:v>validator_prompt</x:v>
      </x:c>
      <x:c r="E11" s="48" t="str">
        <x:v>artifacts/attempt_01/validator_prompt_01.txt</x:v>
      </x:c>
      <x:c r="F11" s="47" t="str">
        <x:v>f994d4af7a0ee28eea3c7be0e789790dd732e72b5b3cc97a1774608be97891d1</x:v>
      </x:c>
      <x:c r="G11" s="59" t="n">
        <x:v>50325</x:v>
      </x:c>
    </x:row>
    <x:row r="12">
      <x:c r="A12" s="47" t="str">
        <x:v>RUN-I2-014-20260813T192153271713Z</x:v>
      </x:c>
      <x:c r="B12" s="47" t="str">
        <x:v>I2-014</x:v>
      </x:c>
      <x:c r="C12" s="59" t="n">
        <x:v>1</x:v>
      </x:c>
      <x:c r="D12" s="47" t="str">
        <x:v>validator_raw_response</x:v>
      </x:c>
      <x:c r="E12" s="48" t="str">
        <x:v>artifacts/attempt_01/validator_raw_01.txt</x:v>
      </x:c>
      <x:c r="F12" s="47" t="str">
        <x:v>2d452a1403f6c1212024fea789415e4584205b68059e356597709aed49117158</x:v>
      </x:c>
      <x:c r="G12" s="59" t="n">
        <x:v>531</x:v>
      </x:c>
    </x:row>
    <x:row r="13">
      <x:c r="A13" s="47" t="str">
        <x:v>RUN-I2-014-20260813T192153271713Z</x:v>
      </x:c>
      <x:c r="B13" s="47" t="str">
        <x:v>I2-014</x:v>
      </x:c>
      <x:c r="C13" s="59" t="n">
        <x:v>2</x:v>
      </x:c>
      <x:c r="D13" s="47" t="str">
        <x:v>generator_prompt</x:v>
      </x:c>
      <x:c r="E13" s="48" t="str">
        <x:v>artifacts/attempt_02/generator_prompt.txt</x:v>
      </x:c>
      <x:c r="F13" s="47" t="str">
        <x:v>35377d5e6b18eb74c1300fee8b5f49c7dffcf4872a73cda0fd97c87656279790</x:v>
      </x:c>
      <x:c r="G13" s="59" t="n">
        <x:v>40665</x:v>
      </x:c>
    </x:row>
    <x:row r="14">
      <x:c r="A14" s="47" t="str">
        <x:v>RUN-I2-014-20260813T192153271713Z</x:v>
      </x:c>
      <x:c r="B14" s="47" t="str">
        <x:v>I2-014</x:v>
      </x:c>
      <x:c r="C14" s="59" t="n">
        <x:v>2</x:v>
      </x:c>
      <x:c r="D14" s="47" t="str">
        <x:v>generator_raw_response</x:v>
      </x:c>
      <x:c r="E14" s="48" t="str">
        <x:v>artifacts/attempt_02/generator_raw.txt</x:v>
      </x:c>
      <x:c r="F14" s="47" t="str">
        <x:v>2b67712f69f882a0f2486a9003d0f7767bd11ad5471288b07385de8b597f8db6</x:v>
      </x:c>
      <x:c r="G14" s="59" t="n">
        <x:v>14186</x:v>
      </x:c>
    </x:row>
    <x:row r="15">
      <x:c r="A15" s="47" t="str">
        <x:v>RUN-I2-014-20260813T192153271713Z</x:v>
      </x:c>
      <x:c r="B15" s="47" t="str">
        <x:v>I2-014</x:v>
      </x:c>
      <x:c r="C15" s="59" t="n">
        <x:v>2</x:v>
      </x:c>
      <x:c r="D15" s="47" t="str">
        <x:v>candidate_shape</x:v>
      </x:c>
      <x:c r="E15" s="48" t="str">
        <x:v>artifacts/attempt_02/candidate_shape.ttl</x:v>
      </x:c>
      <x:c r="F15" s="47" t="str">
        <x:v>708462c5c2d6630f83fc822ce9dcb42c9002fa73b74bed647fe1f6f2af46c83d</x:v>
      </x:c>
      <x:c r="G15" s="59" t="n">
        <x:v>14161</x:v>
      </x:c>
    </x:row>
    <x:row r="16">
      <x:c r="A16" s="47" t="str">
        <x:v>RUN-I2-014-20260813T192153271713Z</x:v>
      </x:c>
      <x:c r="B16" s="47" t="str">
        <x:v>I2-014</x:v>
      </x:c>
      <x:c r="C16" s="59" t="n">
        <x:v>2</x:v>
      </x:c>
      <x:c r="D16" s="47" t="str">
        <x:v>deterministic_validation</x:v>
      </x:c>
      <x:c r="E16" s="48" t="str">
        <x:v>artifacts/attempt_02/deterministic_validation.json</x:v>
      </x:c>
      <x:c r="F16" s="47" t="str">
        <x:v>aa5dd6f1ce2af844f97ba705fba33f564203302418bbc5fc5be405689daca657</x:v>
      </x:c>
      <x:c r="G16" s="59" t="n">
        <x:v>1455</x:v>
      </x:c>
    </x:row>
    <x:row r="17">
      <x:c r="A17" s="47" t="str">
        <x:v>RUN-I2-014-20260813T192153271713Z</x:v>
      </x:c>
      <x:c r="B17" s="47" t="str">
        <x:v>I2-014</x:v>
      </x:c>
      <x:c r="C17" s="59" t="n">
        <x:v>2</x:v>
      </x:c>
      <x:c r="D17" s="47" t="str">
        <x:v>validator_prompt</x:v>
      </x:c>
      <x:c r="E17" s="48" t="str">
        <x:v>artifacts/attempt_02/validator_prompt_01.txt</x:v>
      </x:c>
      <x:c r="F17" s="47" t="str">
        <x:v>caf7a27c20fe78c3e110c0adca579d93b1cc2fc45d71191c513a4ebf900e4849</x:v>
      </x:c>
      <x:c r="G17" s="59" t="n">
        <x:v>53498</x:v>
      </x:c>
    </x:row>
    <x:row r="18">
      <x:c r="A18" s="47" t="str">
        <x:v>RUN-I2-014-20260813T192153271713Z</x:v>
      </x:c>
      <x:c r="B18" s="47" t="str">
        <x:v>I2-014</x:v>
      </x:c>
      <x:c r="C18" s="59" t="n">
        <x:v>2</x:v>
      </x:c>
      <x:c r="D18" s="47" t="str">
        <x:v>validator_raw_response</x:v>
      </x:c>
      <x:c r="E18" s="48" t="str">
        <x:v>artifacts/attempt_02/validator_raw_01.txt</x:v>
      </x:c>
      <x:c r="F18" s="47" t="str">
        <x:v>42a09d623a3f4b8601e1c0794ddf5b42d3dfb505c233fdd15c666381544f4643</x:v>
      </x:c>
      <x:c r="G18" s="59" t="n">
        <x:v>669</x:v>
      </x:c>
    </x:row>
    <x:row r="19">
      <x:c r="A19" s="47" t="str">
        <x:v>RUN-I2-014-20260813T192153271713Z</x:v>
      </x:c>
      <x:c r="B19" s="47" t="str">
        <x:v>I2-014</x:v>
      </x:c>
      <x:c r="C19" s="59" t="n">
        <x:v>3</x:v>
      </x:c>
      <x:c r="D19" s="47" t="str">
        <x:v>generator_prompt</x:v>
      </x:c>
      <x:c r="E19" s="48" t="str">
        <x:v>artifacts/attempt_03/generator_prompt.txt</x:v>
      </x:c>
      <x:c r="F19" s="47" t="str">
        <x:v>c32bcadeb2816b33bace5c3532a49aca37304e6cc0fde43c52b5753c6f5a715c</x:v>
      </x:c>
      <x:c r="G19" s="59" t="n">
        <x:v>41277</x:v>
      </x:c>
    </x:row>
    <x:row r="20">
      <x:c r="A20" s="47" t="str">
        <x:v>RUN-I2-014-20260813T192153271713Z</x:v>
      </x:c>
      <x:c r="B20" s="47" t="str">
        <x:v>I2-014</x:v>
      </x:c>
      <x:c r="C20" s="59" t="n">
        <x:v>3</x:v>
      </x:c>
      <x:c r="D20" s="47" t="str">
        <x:v>generator_raw_response</x:v>
      </x:c>
      <x:c r="E20" s="48" t="str">
        <x:v>artifacts/attempt_03/generator_raw.txt</x:v>
      </x:c>
      <x:c r="F20" s="47" t="str">
        <x:v>a562adef4f9d816bfcb364b7047ecdaaf81354e03818a80bc1776ebe58e33196</x:v>
      </x:c>
      <x:c r="G20" s="59" t="n">
        <x:v>11876</x:v>
      </x:c>
    </x:row>
    <x:row r="21">
      <x:c r="A21" s="47" t="str">
        <x:v>RUN-I2-014-20260813T192153271713Z</x:v>
      </x:c>
      <x:c r="B21" s="47" t="str">
        <x:v>I2-014</x:v>
      </x:c>
      <x:c r="C21" s="59" t="n">
        <x:v>3</x:v>
      </x:c>
      <x:c r="D21" s="47" t="str">
        <x:v>candidate_shape</x:v>
      </x:c>
      <x:c r="E21" s="48" t="str">
        <x:v>artifacts/attempt_03/candidate_shape.ttl</x:v>
      </x:c>
      <x:c r="F21" s="47" t="str">
        <x:v>6813a3fb5ceddce13a215786aab612e2aa193203cf038aafc7c5c8ebc10a1432</x:v>
      </x:c>
      <x:c r="G21" s="59" t="n">
        <x:v>11851</x:v>
      </x:c>
    </x:row>
    <x:row r="22">
      <x:c r="A22" s="47" t="str">
        <x:v>RUN-I2-014-20260813T192153271713Z</x:v>
      </x:c>
      <x:c r="B22" s="47" t="str">
        <x:v>I2-014</x:v>
      </x:c>
      <x:c r="C22" s="59" t="n">
        <x:v>3</x:v>
      </x:c>
      <x:c r="D22" s="47" t="str">
        <x:v>deterministic_validation</x:v>
      </x:c>
      <x:c r="E22" s="48" t="str">
        <x:v>artifacts/attempt_03/deterministic_validation.json</x:v>
      </x:c>
      <x:c r="F22" s="47" t="str">
        <x:v>aa5dd6f1ce2af844f97ba705fba33f564203302418bbc5fc5be405689daca657</x:v>
      </x:c>
      <x:c r="G22" s="59" t="n">
        <x:v>1455</x:v>
      </x:c>
    </x:row>
    <x:row r="23">
      <x:c r="A23" s="47" t="str">
        <x:v>RUN-I2-014-20260813T192153271713Z</x:v>
      </x:c>
      <x:c r="B23" s="47" t="str">
        <x:v>I2-014</x:v>
      </x:c>
      <x:c r="C23" s="59" t="n">
        <x:v>3</x:v>
      </x:c>
      <x:c r="D23" s="47" t="str">
        <x:v>validator_prompt</x:v>
      </x:c>
      <x:c r="E23" s="48" t="str">
        <x:v>artifacts/attempt_03/validator_prompt_01.txt</x:v>
      </x:c>
      <x:c r="F23" s="47" t="str">
        <x:v>9e0b5da32fcbb158a791c2e8420af000fabe7ce84466b0ac3727241058948a5b</x:v>
      </x:c>
      <x:c r="G23" s="59" t="n">
        <x:v>51122</x:v>
      </x:c>
    </x:row>
    <x:row r="24">
      <x:c r="A24" s="49" t="str">
        <x:v>RUN-I2-014-20260813T192153271713Z</x:v>
      </x:c>
      <x:c r="B24" s="49" t="str">
        <x:v>I2-014</x:v>
      </x:c>
      <x:c r="C24" s="60" t="n">
        <x:v>3</x:v>
      </x:c>
      <x:c r="D24" s="49" t="str">
        <x:v>validator_raw_response</x:v>
      </x:c>
      <x:c r="E24" s="50" t="str">
        <x:v>artifacts/attempt_03/validator_raw_01.txt</x:v>
      </x:c>
      <x:c r="F24" s="49" t="str">
        <x:v>3e49484588d37ffcdebd42c2785b2e1e13f1586ef742061a25b14670b39d3e6b</x:v>
      </x:c>
      <x:c r="G24" s="60" t="n">
        <x:v>510</x:v>
      </x:c>
    </x:row>
  </x:sheetData>
  <x:pageMargins left="0.7" right="0.7" top="0.75" bottom="0.75" header="0.3" footer="0.3"/>
  <x:tableParts count="1">
    <x:tablePart xmlns:r="http://schemas.openxmlformats.org/officeDocument/2006/relationships" r:id="R631e47f9585a49ad"/>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RUN-I2-014-20260813T192153271713Z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RUN-I2-014-20260813T192153271713Z</x:v>
      </x:c>
      <x:c r="B5" s="69" t="str">
        <x:v>I2-014</x:v>
      </x:c>
      <x:c r="C5" s="71" t="n">
        <x:v>3</x:v>
      </x:c>
      <x:c r="D5" s="69" t="str">
        <x:v>MAX_ATTEMPTS_REACHED</x:v>
      </x:c>
      <x:c r="E5" s="73" t="str">
        <x:v>Repair the semantic pairing: the four calculation-case nodes currently carry only aspect ratio, while the four mid-length positions and F/Q/P result values are independent ship-level multisets. Encode and validate that each of the four cases is associated with its corresponding required mid-length position and its calculated F, Q, P, and AR, so maxima are demonstrably selected from the same four subregion results rather than unrelated values.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9f424ec6204146bb"/>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RUN-I2-014-20260813T192153271713Z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