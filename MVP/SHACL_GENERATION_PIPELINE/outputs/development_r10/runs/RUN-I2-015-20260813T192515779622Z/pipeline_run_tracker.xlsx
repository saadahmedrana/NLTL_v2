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fa0f9130b44e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debf1bf5cc54994"/>
    <x:sheet xmlns:r="http://schemas.openxmlformats.org/officeDocument/2006/relationships" name="README" sheetId="2" r:id="Rd7743ea1ece54df1"/>
    <x:sheet xmlns:r="http://schemas.openxmlformats.org/officeDocument/2006/relationships" name="REGULATION_QUEUE" sheetId="3" r:id="Rc7a9d42da2db4125"/>
    <x:sheet xmlns:r="http://schemas.openxmlformats.org/officeDocument/2006/relationships" name="RUNS" sheetId="4" r:id="R1630803781e44f77"/>
    <x:sheet xmlns:r="http://schemas.openxmlformats.org/officeDocument/2006/relationships" name="ITERATIONS" sheetId="5" r:id="R29978a6276d041b3"/>
    <x:sheet xmlns:r="http://schemas.openxmlformats.org/officeDocument/2006/relationships" name="API_CALLS" sheetId="6" r:id="R9abe4e30e564417d"/>
    <x:sheet xmlns:r="http://schemas.openxmlformats.org/officeDocument/2006/relationships" name="TERM_RETRIEVAL" sheetId="7" r:id="R63a3c92b65a2465b"/>
    <x:sheet xmlns:r="http://schemas.openxmlformats.org/officeDocument/2006/relationships" name="FEW_SHOT_SELECTION" sheetId="8" r:id="Rbb78023c5de04001"/>
    <x:sheet xmlns:r="http://schemas.openxmlformats.org/officeDocument/2006/relationships" name="VALIDATION" sheetId="9" r:id="Rbe668a9d7806436f"/>
    <x:sheet xmlns:r="http://schemas.openxmlformats.org/officeDocument/2006/relationships" name="VOCAB_MATCHES" sheetId="10" r:id="Rd7ea8a5c180b4529"/>
    <x:sheet xmlns:r="http://schemas.openxmlformats.org/officeDocument/2006/relationships" name="ARTIFACTS" sheetId="11" r:id="R94eaaf03587c47d7"/>
    <x:sheet xmlns:r="http://schemas.openxmlformats.org/officeDocument/2006/relationships" name="UNRESOLVED" sheetId="12" r:id="Rbd19599bc82049b7"/>
    <x:sheet xmlns:r="http://schemas.openxmlformats.org/officeDocument/2006/relationships" name="RDF_TEST_QUEUE" sheetId="13" r:id="Rb059ce39616046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33d63ad0dc4344" /><Relationship Type="http://schemas.openxmlformats.org/officeDocument/2006/relationships/theme" Target="/xl/theme/theme1.xml" Id="R92ef8cdb73614368" /><Relationship Type="http://schemas.microsoft.com/office/2022/11/relationships/FeaturePropertyBag" Target="/xl/featurePropertyBag/featurePropertyBag.xml" Id="Rc5f36286833a44f4" /><Relationship Type="http://schemas.openxmlformats.org/officeDocument/2006/relationships/sharedStrings" Target="/xl/sharedStrings.xml" Id="Rcb10132d5b5346ee" /><Relationship Type="http://schemas.openxmlformats.org/officeDocument/2006/relationships/worksheet" Target="/xl/worksheets/sheet1.xml" Id="Rcdebf1bf5cc54994" /><Relationship Type="http://schemas.openxmlformats.org/officeDocument/2006/relationships/worksheet" Target="/xl/worksheets/sheet2.xml" Id="Rd7743ea1ece54df1" /><Relationship Type="http://schemas.openxmlformats.org/officeDocument/2006/relationships/worksheet" Target="/xl/worksheets/sheet3.xml" Id="Rc7a9d42da2db4125" /><Relationship Type="http://schemas.openxmlformats.org/officeDocument/2006/relationships/worksheet" Target="/xl/worksheets/sheet4.xml" Id="R1630803781e44f77" /><Relationship Type="http://schemas.openxmlformats.org/officeDocument/2006/relationships/worksheet" Target="/xl/worksheets/sheet5.xml" Id="R29978a6276d041b3" /><Relationship Type="http://schemas.openxmlformats.org/officeDocument/2006/relationships/worksheet" Target="/xl/worksheets/sheet6.xml" Id="R9abe4e30e564417d" /><Relationship Type="http://schemas.openxmlformats.org/officeDocument/2006/relationships/worksheet" Target="/xl/worksheets/sheet7.xml" Id="R63a3c92b65a2465b" /><Relationship Type="http://schemas.openxmlformats.org/officeDocument/2006/relationships/worksheet" Target="/xl/worksheets/sheet8.xml" Id="Rbb78023c5de04001" /><Relationship Type="http://schemas.openxmlformats.org/officeDocument/2006/relationships/worksheet" Target="/xl/worksheets/sheet9.xml" Id="Rbe668a9d7806436f" /><Relationship Type="http://schemas.openxmlformats.org/officeDocument/2006/relationships/worksheet" Target="/xl/worksheets/sheet10.xml" Id="Rd7ea8a5c180b4529" /><Relationship Type="http://schemas.openxmlformats.org/officeDocument/2006/relationships/worksheet" Target="/xl/worksheets/sheet11.xml" Id="R94eaaf03587c47d7" /><Relationship Type="http://schemas.openxmlformats.org/officeDocument/2006/relationships/worksheet" Target="/xl/worksheets/sheet12.xml" Id="Rbd19599bc82049b7" /><Relationship Type="http://schemas.openxmlformats.org/officeDocument/2006/relationships/worksheet" Target="/xl/worksheets/sheet13.xml" Id="Rb059ce39616046e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5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8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3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254402c7c9e427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d0f752183d7464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eb6cc12b04b461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d9fb47c47704cd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00b7df6f4d049e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8fcfb6a7583473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265d840b9834e7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8b225a2cde5472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2f9b678ac544eb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98669944f752459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4fa20bb42e34406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RUN-I2-015-20260813T192515779622Z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30478.550750000002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RUN-I2-015-20260813T192515779622Z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254402c7c9e427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RUN-I2-015-20260813T192515779622Z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MAX_ATTEMPTS_REACHED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0f752183d7464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RUN-I2-015-20260813T192515779622Z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SESSION-BATCH-20260813T191750292904Z</x:v>
      </x:c>
      <x:c r="B5" s="69" t="str">
        <x:v>RUN-I2-015-20260813T192515779622Z</x:v>
      </x:c>
      <x:c r="C5" s="69" t="str">
        <x:v>I2-015</x:v>
      </x:c>
      <x:c r="D5" s="70" t="n">
        <x:v>46247.80921042824</x:v>
      </x:c>
      <x:c r="E5" s="70" t="n">
        <x:v>46247.812068645835</x:v>
      </x:c>
      <x:c r="F5" s="69" t="str">
        <x:v>0.10.0-dev-r10-graph-completion</x:v>
      </x:c>
      <x:c r="G5" s="69" t="str">
        <x:v>VOCAB-DEV-2026-08-13-R10-GRAPH-COMPLETION</x:v>
      </x:c>
      <x:c r="H5" s="71" t="n">
        <x:v>3</x:v>
      </x:c>
      <x:c r="I5" s="69" t="str">
        <x:v>MAX_ATTEMPTS_REACHED</x:v>
      </x:c>
      <x:c r="J5" s="72" t="b">
        <x:v>0</x:v>
      </x:c>
      <x:c r="K5" s="69" t="str"/>
      <x:c r="L5" s="73" t="str">
        <x:v>Add the canonical applicability selector for bow forms defined in I2.3.1(v); do not treat presence/absence of hasBowSubregionCalculationCase as applicability. Locate the canonical relationship needed to reach the tableLookupCase owner for C_FC and C_FF. Move bowSubregionMidLengthPosition and bowShapeCoefficient to each bowSubregionCalculationCase, keep alpha_i on that same case, and calculate/validate f_ai per case; place C_FC and C_FF only on their declared tableLookupCase owner. Replace the current tolerance logic with bounds derived from the expected min(f_ai1,f_ai2,0.60), including absolute tolerance around that expected result rather than reported f_ai, while retaining all formula operands and the D_UI^0.64 exponent.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b6cc12b04b461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9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RUN-I2-015-20260813T192515779622Z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RUN-I2-015-20260813T192515779622Z</x:v>
      </x:c>
      <x:c r="B5" s="45" t="str">
        <x:v>I2-015</x:v>
      </x:c>
      <x:c r="C5" s="58" t="n">
        <x:v>1</x:v>
      </x:c>
      <x:c r="D5" s="83" t="b">
        <x:v>1</x:v>
      </x:c>
      <x:c r="E5" s="83" t="b">
        <x:v>0</x:v>
      </x:c>
      <x:c r="F5" s="83" t="b">
        <x:v>1</x:v>
      </x:c>
      <x:c r="G5" s="45" t="str">
        <x:v>REVISE_WITH_MATCH</x:v>
      </x:c>
      <x:c r="H5" s="46" t="str">
        <x:v>Replace the one-sided f_ai &lt;= 0.60 check with a bounded formula constraint requiring bowShapeCoefficient to equal min(f_ai1,f_ai2,0.60) within tolerance scaled from the computed expected result. Implement both f_ai1 and f_ai2 with all operands, including the missing canonical D_UI term and canonical relationship/owner path for C_FF and C_FC; do not leave TableLookupCaseShape as an unconnected target. Enforce the bow-form I2.3.1(v) applicability using its canonical selector, and keep betaIPrime and upperIceWaterlineLengthLUI on ship while case-specific operands/result remain on the bowSubregionCalculationCase. Locate the absent canonical D_UI and applicability/link terms before regenerating.</x:v>
      </x:c>
      <x:c r="I5" s="84" t="n">
        <x:v>48358.372</x:v>
      </x:c>
      <x:c r="J5" s="84" t="n">
        <x:v>5987.702</x:v>
      </x:c>
    </x:row>
    <x:row r="6">
      <x:c r="A6" s="47" t="str">
        <x:v>RUN-I2-015-20260813T192515779622Z</x:v>
      </x:c>
      <x:c r="B6" s="47" t="str">
        <x:v>I2-015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Repair ownership: per the supplied requiredOwner records, betaIPrime, upperIceWaterlineLengthLUI, upperIceWaterlineDraughtDUI, bowShapeCoefficient, bowSubregionMidLengthPosition, crushingFailureClassFactor, and flexuralFailureClassFactor must be checked on their declared owner ship, not asserted as properties of the linked calculation-case node. Retain the calculation-case relationship and case-specific waterline angle only where its declared owner permits it, and revise the formula query to retrieve each operand from its authoritative owner without duplicating facts across ship and case.</x:v>
      </x:c>
      <x:c r="I6" s="86" t="n">
        <x:v>74908.556</x:v>
      </x:c>
      <x:c r="J6" s="86" t="n">
        <x:v>12969.716</x:v>
      </x:c>
    </x:row>
    <x:row r="7">
      <x:c r="A7" s="49" t="str">
        <x:v>RUN-I2-015-20260813T192515779622Z</x:v>
      </x:c>
      <x:c r="B7" s="49" t="str">
        <x:v>I2-015</x:v>
      </x:c>
      <x:c r="C7" s="60" t="n">
        <x:v>3</x:v>
      </x:c>
      <x:c r="D7" s="87" t="b">
        <x:v>1</x:v>
      </x:c>
      <x:c r="E7" s="87" t="b">
        <x:v>0</x:v>
      </x:c>
      <x:c r="F7" s="87" t="b">
        <x:v>1</x:v>
      </x:c>
      <x:c r="G7" s="49" t="str">
        <x:v>REVISE_WITH_MATCH</x:v>
      </x:c>
      <x:c r="H7" s="50" t="str">
        <x:v>Add the canonical applicability selector for bow forms defined in I2.3.1(v); do not treat presence/absence of hasBowSubregionCalculationCase as applicability. Locate the canonical relationship needed to reach the tableLookupCase owner for C_FC and C_FF. Move bowSubregionMidLengthPosition and bowShapeCoefficient to each bowSubregionCalculationCase, keep alpha_i on that same case, and calculate/validate f_ai per case; place C_FC and C_FF only on their declared tableLookupCase owner. Replace the current tolerance logic with bounds derived from the expected min(f_ai1,f_ai2,0.60), including absolute tolerance around that expected result rather than reported f_ai, while retaining all formula operands and the D_UI^0.64 exponent.</x:v>
      </x:c>
      <x:c r="I7" s="88" t="n">
        <x:v>82115.201</x:v>
      </x:c>
      <x:c r="J7" s="88" t="n">
        <x:v>13702.491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9fb47c47704cd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RUN-I2-015-20260813T192515779622Z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RUN-I2-015-20260813T192515779622Z</x:v>
      </x:c>
      <x:c r="C5" s="45" t="str">
        <x:v>I2-015</x:v>
      </x:c>
      <x:c r="D5" s="92" t="n">
        <x:v>46247.80977013889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48356.453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RUN-I2-015-20260813T192515779622Z</x:v>
      </x:c>
      <x:c r="C6" s="47" t="str">
        <x:v>I2-015</x:v>
      </x:c>
      <x:c r="D6" s="93" t="n">
        <x:v>46247.809770162035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48358.372</x:v>
      </x:c>
      <x:c r="L6" s="85" t="b">
        <x:v>0</x:v>
      </x:c>
      <x:c r="M6" s="47" t="str">
        <x:v>resp_038da58a55727ad6006a7e1a1c3ce08195a8755bd67e422fe6</x:v>
      </x:c>
      <x:c r="N6" s="59" t="n">
        <x:v>8602</x:v>
      </x:c>
      <x:c r="O6" s="59" t="n">
        <x:v>3629</x:v>
      </x:c>
      <x:c r="P6" s="59" t="n">
        <x:v>12231</x:v>
      </x:c>
    </x:row>
    <x:row r="7">
      <x:c r="A7" s="47" t="str">
        <x:v>EVT-000031</x:v>
      </x:c>
      <x:c r="B7" s="47" t="str">
        <x:v>RUN-I2-015-20260813T192515779622Z</x:v>
      </x:c>
      <x:c r="C7" s="47" t="str">
        <x:v>I2-015</x:v>
      </x:c>
      <x:c r="D7" s="93" t="n">
        <x:v>46247.809841574075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5987.242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EVT-000032</x:v>
      </x:c>
      <x:c r="B8" s="47" t="str">
        <x:v>RUN-I2-015-20260813T192515779622Z</x:v>
      </x:c>
      <x:c r="C8" s="47" t="str">
        <x:v>I2-015</x:v>
      </x:c>
      <x:c r="D8" s="93" t="n">
        <x:v>46247.80984158565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5987.702</x:v>
      </x:c>
      <x:c r="L8" s="85" t="b">
        <x:v>0</x:v>
      </x:c>
      <x:c r="M8" s="47" t="str">
        <x:v>resp_0b344fad8556fc30006a7e1a4c6e5c81978e5d44753c8074cb</x:v>
      </x:c>
      <x:c r="N8" s="59" t="n">
        <x:v>9239</x:v>
      </x:c>
      <x:c r="O8" s="59" t="n">
        <x:v>452</x:v>
      </x:c>
      <x:c r="P8" s="59" t="n">
        <x:v>9691</x:v>
      </x:c>
    </x:row>
    <x:row r="9">
      <x:c r="A9" s="47" t="str">
        <x:v>EVT-000038</x:v>
      </x:c>
      <x:c r="B9" s="47" t="str">
        <x:v>RUN-I2-015-20260813T192515779622Z</x:v>
      </x:c>
      <x:c r="C9" s="47" t="str">
        <x:v>I2-015</x:v>
      </x:c>
      <x:c r="D9" s="93" t="n">
        <x:v>46247.809881875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2397.169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EVT-000039</x:v>
      </x:c>
      <x:c r="B10" s="47" t="str">
        <x:v>RUN-I2-015-20260813T192515779622Z</x:v>
      </x:c>
      <x:c r="C10" s="47" t="str">
        <x:v>I2-015</x:v>
      </x:c>
      <x:c r="D10" s="93" t="n">
        <x:v>46247.809881898145</x:v>
      </x:c>
      <x:c r="E10" s="47" t="str">
        <x:v>vocabulary_matcher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2398.645</x:v>
      </x:c>
      <x:c r="L10" s="85" t="b">
        <x:v>0</x:v>
      </x:c>
      <x:c r="M10" s="47" t="str">
        <x:v>resp_0ebb59787b6d1d6c006a7e1a5382948195ac49677addcc6b65</x:v>
      </x:c>
      <x:c r="N10" s="59" t="n">
        <x:v>4134</x:v>
      </x:c>
      <x:c r="O10" s="59" t="n">
        <x:v>158</x:v>
      </x:c>
      <x:c r="P10" s="59" t="n">
        <x:v>4292</x:v>
      </x:c>
    </x:row>
    <x:row r="11">
      <x:c r="A11" s="47" t="str">
        <x:v>EVT-000062</x:v>
      </x:c>
      <x:c r="B11" s="47" t="str">
        <x:v>RUN-I2-015-20260813T192515779622Z</x:v>
      </x:c>
      <x:c r="C11" s="47" t="str">
        <x:v>I2-015</x:v>
      </x:c>
      <x:c r="D11" s="93" t="n">
        <x:v>46247.81074898148</x:v>
      </x:c>
      <x:c r="E11" s="47" t="str">
        <x:v>generator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74906.805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EVT-000063</x:v>
      </x:c>
      <x:c r="B12" s="47" t="str">
        <x:v>RUN-I2-015-20260813T192515779622Z</x:v>
      </x:c>
      <x:c r="C12" s="47" t="str">
        <x:v>I2-015</x:v>
      </x:c>
      <x:c r="D12" s="93" t="n">
        <x:v>46247.81074900463</x:v>
      </x:c>
      <x:c r="E12" s="47" t="str">
        <x:v>generator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74908.556</x:v>
      </x:c>
      <x:c r="L12" s="85" t="b">
        <x:v>0</x:v>
      </x:c>
      <x:c r="M12" s="47" t="str">
        <x:v>resp_0f9b1849c08241d3006a7e1a55e5348197b22d17e8ec025552</x:v>
      </x:c>
      <x:c r="N12" s="59" t="n">
        <x:v>9129</x:v>
      </x:c>
      <x:c r="O12" s="59" t="n">
        <x:v>6315</x:v>
      </x:c>
      <x:c r="P12" s="59" t="n">
        <x:v>15444</x:v>
      </x:c>
    </x:row>
    <x:row r="13">
      <x:c r="A13" s="47" t="str">
        <x:v>EVT-000070</x:v>
      </x:c>
      <x:c r="B13" s="47" t="str">
        <x:v>RUN-I2-015-20260813T192515779622Z</x:v>
      </x:c>
      <x:c r="C13" s="47" t="str">
        <x:v>I2-015</x:v>
      </x:c>
      <x:c r="D13" s="93" t="n">
        <x:v>46247.810902349534</x:v>
      </x:c>
      <x:c r="E13" s="47" t="str">
        <x:v>validator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12967.966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EVT-000071</x:v>
      </x:c>
      <x:c r="B14" s="47" t="str">
        <x:v>RUN-I2-015-20260813T192515779622Z</x:v>
      </x:c>
      <x:c r="C14" s="47" t="str">
        <x:v>I2-015</x:v>
      </x:c>
      <x:c r="D14" s="93" t="n">
        <x:v>46247.81090237269</x:v>
      </x:c>
      <x:c r="E14" s="47" t="str">
        <x:v>validator</x:v>
      </x:c>
      <x:c r="F14" s="47" t="str">
        <x:v>gpt-5.6-terra-2026-07-09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12969.716</x:v>
      </x:c>
      <x:c r="L14" s="85" t="b">
        <x:v>0</x:v>
      </x:c>
      <x:c r="M14" s="47" t="str">
        <x:v>resp_0c40b5596e2f03b7006a7e1aa117f88197ad60417ac989450a</x:v>
      </x:c>
      <x:c r="N14" s="59" t="n">
        <x:v>11129</x:v>
      </x:c>
      <x:c r="O14" s="59" t="n">
        <x:v>1171</x:v>
      </x:c>
      <x:c r="P14" s="59" t="n">
        <x:v>12300</x:v>
      </x:c>
    </x:row>
    <x:row r="15">
      <x:c r="A15" s="47" t="str">
        <x:v>EVT-000093</x:v>
      </x:c>
      <x:c r="B15" s="47" t="str">
        <x:v>RUN-I2-015-20260813T192515779622Z</x:v>
      </x:c>
      <x:c r="C15" s="47" t="str">
        <x:v>I2-015</x:v>
      </x:c>
      <x:c r="D15" s="93" t="n">
        <x:v>46247.81185287037</x:v>
      </x:c>
      <x:c r="E15" s="47" t="str">
        <x:v>generator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82113.189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EVT-000094</x:v>
      </x:c>
      <x:c r="B16" s="47" t="str">
        <x:v>RUN-I2-015-20260813T192515779622Z</x:v>
      </x:c>
      <x:c r="C16" s="47" t="str">
        <x:v>I2-015</x:v>
      </x:c>
      <x:c r="D16" s="93" t="n">
        <x:v>46247.811852893516</x:v>
      </x:c>
      <x:c r="E16" s="47" t="str">
        <x:v>generator</x:v>
      </x:c>
      <x:c r="F16" s="47" t="str">
        <x:v>gpt-5.6-sol-2026-07-09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82115.201</x:v>
      </x:c>
      <x:c r="L16" s="85" t="b">
        <x:v>0</x:v>
      </x:c>
      <x:c r="M16" s="47" t="str">
        <x:v>resp_0a637574c6774cb4006a7e1aae10688195935a9d136109cf3f</x:v>
      </x:c>
      <x:c r="N16" s="59" t="n">
        <x:v>9249</x:v>
      </x:c>
      <x:c r="O16" s="59" t="n">
        <x:v>7338</x:v>
      </x:c>
      <x:c r="P16" s="59" t="n">
        <x:v>16587</x:v>
      </x:c>
    </x:row>
    <x:row r="17">
      <x:c r="A17" s="47" t="str">
        <x:v>EVT-000101</x:v>
      </x:c>
      <x:c r="B17" s="47" t="str">
        <x:v>RUN-I2-015-20260813T192515779622Z</x:v>
      </x:c>
      <x:c r="C17" s="47" t="str">
        <x:v>I2-015</x:v>
      </x:c>
      <x:c r="D17" s="93" t="n">
        <x:v>46247.812016435186</x:v>
      </x:c>
      <x:c r="E17" s="47" t="str">
        <x:v>validator</x:v>
      </x:c>
      <x:c r="F17" s="47" t="str">
        <x:v>gpt-5.6-terra-2026-07-09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13700.833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EVT-000102</x:v>
      </x:c>
      <x:c r="B18" s="47" t="str">
        <x:v>RUN-I2-015-20260813T192515779622Z</x:v>
      </x:c>
      <x:c r="C18" s="47" t="str">
        <x:v>I2-015</x:v>
      </x:c>
      <x:c r="D18" s="93" t="n">
        <x:v>46247.81201644676</x:v>
      </x:c>
      <x:c r="E18" s="47" t="str">
        <x:v>validator</x:v>
      </x:c>
      <x:c r="F18" s="47" t="str">
        <x:v>gpt-5.6-terra-2026-07-09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13702.491</x:v>
      </x:c>
      <x:c r="L18" s="85" t="b">
        <x:v>0</x:v>
      </x:c>
      <x:c r="M18" s="47" t="str">
        <x:v>resp_04db2020601ccd5c006a7e1b00af98819497a0f1a1927dda52</x:v>
      </x:c>
      <x:c r="N18" s="59" t="n">
        <x:v>12023</x:v>
      </x:c>
      <x:c r="O18" s="59" t="n">
        <x:v>1193</x:v>
      </x:c>
      <x:c r="P18" s="59" t="n">
        <x:v>13216</x:v>
      </x:c>
    </x:row>
    <x:row r="19">
      <x:c r="A19" s="47" t="str">
        <x:v>EVT-000108</x:v>
      </x:c>
      <x:c r="B19" s="47" t="str">
        <x:v>RUN-I2-015-20260813T192515779622Z</x:v>
      </x:c>
      <x:c r="C19" s="47" t="str">
        <x:v>I2-015</x:v>
      </x:c>
      <x:c r="D19" s="93" t="n">
        <x:v>46247.812068576386</x:v>
      </x:c>
      <x:c r="E19" s="47" t="str">
        <x:v>vocabulary_matcher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3392.229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EVT-000109</x:v>
      </x:c>
      <x:c r="B20" s="49" t="str">
        <x:v>RUN-I2-015-20260813T192515779622Z</x:v>
      </x:c>
      <x:c r="C20" s="49" t="str">
        <x:v>I2-015</x:v>
      </x:c>
      <x:c r="D20" s="94" t="n">
        <x:v>46247.81206859954</x:v>
      </x:c>
      <x:c r="E20" s="49" t="str">
        <x:v>vocabulary_matcher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3394.243</x:v>
      </x:c>
      <x:c r="L20" s="87" t="b">
        <x:v>0</x:v>
      </x:c>
      <x:c r="M20" s="49" t="str">
        <x:v>resp_0bb28f7a257c57f0006a7e1b0f8a648193adf487e48a13251e</x:v>
      </x:c>
      <x:c r="N20" s="60" t="n">
        <x:v>3760</x:v>
      </x:c>
      <x:c r="O20" s="60" t="n">
        <x:v>283</x:v>
      </x:c>
      <x:c r="P20" s="60" t="n">
        <x:v>4043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0b7df6f4d049e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RUN-I2-015-20260813T192515779622Z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RUN-I2-015-20260813T192515779622Z</x:v>
      </x:c>
      <x:c r="B5" s="45" t="str">
        <x:v>I2-015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betaIPrime</x:v>
      </x:c>
      <x:c r="J5" s="45" t="n">
        <x:v>0</x:v>
      </x:c>
    </x:row>
    <x:row r="6">
      <x:c r="A6" s="47" t="str">
        <x:v>RUN-I2-015-20260813T192515779622Z</x:v>
      </x:c>
      <x:c r="B6" s="47" t="str">
        <x:v>I2-015</x:v>
      </x:c>
      <x:c r="C6" s="47" t="str">
        <x:v>betaIPrime</x:v>
      </x:c>
      <x:c r="D6" s="48" t="str">
        <x:v>https://w3id.org/nltl-benchmark/vocab#betaIPrime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RUN-I2-015-20260813T192515779622Z</x:v>
      </x:c>
      <x:c r="B7" s="47" t="str">
        <x:v>I2-015</x:v>
      </x:c>
      <x:c r="C7" s="47" t="str">
        <x:v>bowShapeCoefficient</x:v>
      </x:c>
      <x:c r="D7" s="48" t="str">
        <x:v>https://w3id.org/nltl-benchmark/vocab#bowShapeCoefficient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RUN-I2-015-20260813T192515779622Z</x:v>
      </x:c>
      <x:c r="B8" s="47" t="str">
        <x:v>I2-015</x:v>
      </x:c>
      <x:c r="C8" s="47" t="str">
        <x:v>bowSubregionCalculationCase</x:v>
      </x:c>
      <x:c r="D8" s="48" t="str">
        <x:v>https://w3id.org/nltl-benchmark/vocab#bowSubregionCalculationCase</x:v>
      </x:c>
      <x:c r="E8" s="47" t="str">
        <x:v>Class</x:v>
      </x:c>
      <x:c r="F8" s="47" t="str"/>
      <x:c r="G8" s="47" t="str">
        <x:v>https://w3id.org/nltl-benchmark/vocab#calculationCase</x:v>
      </x:c>
      <x:c r="H8" s="47" t="str"/>
      <x:c r="I8" s="48" t="str">
        <x:v>authoritative required owner class; domain dependency of bowShapeCoefficient; domain dependency of bowSubregionMidLengthPosition; domain dependency of bowSubregionWaterlineAngle; linked by the locked 313-requirement index; range dependency of hasBowSubregionCalculationCase</x:v>
      </x:c>
      <x:c r="J8" s="47" t="n">
        <x:v>0</x:v>
      </x:c>
    </x:row>
    <x:row r="9">
      <x:c r="A9" s="47" t="str">
        <x:v>RUN-I2-015-20260813T192515779622Z</x:v>
      </x:c>
      <x:c r="B9" s="47" t="str">
        <x:v>I2-015</x:v>
      </x:c>
      <x:c r="C9" s="47" t="str">
        <x:v>bowSubregionMidLengthPosition</x:v>
      </x:c>
      <x:c r="D9" s="48" t="str">
        <x:v>https://w3id.org/nltl-benchmark/vocab#bowSubregionMidLengthPosition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RUN-I2-015-20260813T192515779622Z</x:v>
      </x:c>
      <x:c r="B10" s="47" t="str">
        <x:v>I2-015</x:v>
      </x:c>
      <x:c r="C10" s="47" t="str">
        <x:v>bowSubregionWaterlineAngle</x:v>
      </x:c>
      <x:c r="D10" s="48" t="str">
        <x:v>https://w3id.org/nltl-benchmark/vocab#bowSubregionWaterlineAngle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http://qudt.org/vocab/unit/DEG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RUN-I2-015-20260813T192515779622Z</x:v>
      </x:c>
      <x:c r="B11" s="47" t="str">
        <x:v>I2-015</x:v>
      </x:c>
      <x:c r="C11" s="47" t="str">
        <x:v>calculationCase</x:v>
      </x:c>
      <x:c r="D11" s="48" t="str">
        <x:v>https://w3id.org/nltl-benchmark/vocab#calculationCase</x:v>
      </x:c>
      <x:c r="E11" s="47" t="str">
        <x:v>Class</x:v>
      </x:c>
      <x:c r="F11" s="47" t="str"/>
      <x:c r="G11" s="47" t="str">
        <x:v>https://w3id.org/nltl-benchmark/vocab#benchmarkEntity</x:v>
      </x:c>
      <x:c r="H11" s="47" t="str"/>
      <x:c r="I11" s="48" t="str">
        <x:v>range dependency of bowSubregionCalculationCase</x:v>
      </x:c>
      <x:c r="J11" s="47" t="n">
        <x:v>0</x:v>
      </x:c>
    </x:row>
    <x:row r="12">
      <x:c r="A12" s="47" t="str">
        <x:v>RUN-I2-015-20260813T192515779622Z</x:v>
      </x:c>
      <x:c r="B12" s="47" t="str">
        <x:v>I2-015</x:v>
      </x:c>
      <x:c r="C12" s="47" t="str">
        <x:v>crushingFailureClassFactor</x:v>
      </x:c>
      <x:c r="D12" s="48" t="str">
        <x:v>https://w3id.org/nltl-benchmark/vocab#crushingFailureClassFactor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http://qudt.org/vocab/unit/UNITLESS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RUN-I2-015-20260813T192515779622Z</x:v>
      </x:c>
      <x:c r="B13" s="47" t="str">
        <x:v>I2-015</x:v>
      </x:c>
      <x:c r="C13" s="47" t="str">
        <x:v>flexuralFailureClassFactor</x:v>
      </x:c>
      <x:c r="D13" s="48" t="str">
        <x:v>https://w3id.org/nltl-benchmark/vocab#flexuralFailureClassFactor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RUN-I2-015-20260813T192515779622Z</x:v>
      </x:c>
      <x:c r="B14" s="47" t="str">
        <x:v>I2-015</x:v>
      </x:c>
      <x:c r="C14" s="47" t="str">
        <x:v>hasBowSubregionCalculationCase</x:v>
      </x:c>
      <x:c r="D14" s="48" t="str">
        <x:v>https://w3id.org/nltl-benchmark/vocab#hasBowSubregionCalculationCase</x:v>
      </x:c>
      <x:c r="E14" s="47" t="str">
        <x:v>ObjectProperty</x:v>
      </x:c>
      <x:c r="F14" s="47" t="str"/>
      <x:c r="G14" s="47" t="str">
        <x:v>https://w3id.org/nltl-benchmark/vocab#bowSubregionCalculationCase</x:v>
      </x:c>
      <x:c r="H14" s="47" t="str"/>
      <x:c r="I14" s="48" t="str">
        <x:v>canonical path from target owner ship to required owner bowSubregionCalculationCase; linked by the locked 313-requirement index</x:v>
      </x:c>
      <x:c r="J14" s="47" t="n">
        <x:v>0</x:v>
      </x:c>
    </x:row>
    <x:row r="15">
      <x:c r="A15" s="47" t="str">
        <x:v>RUN-I2-015-20260813T192515779622Z</x:v>
      </x:c>
      <x:c r="B15" s="47" t="str">
        <x:v>I2-015</x:v>
      </x:c>
      <x:c r="C15" s="47" t="str">
        <x:v>hasComponent</x:v>
      </x:c>
      <x:c r="D15" s="48" t="str">
        <x:v>https://w3id.org/nltl-benchmark/vocab#hasComponent</x:v>
      </x:c>
      <x:c r="E15" s="47" t="str">
        <x:v>ObjectProperty</x:v>
      </x:c>
      <x:c r="F15" s="47" t="str"/>
      <x:c r="G15" s="47" t="str">
        <x:v>https://w3id.org/nltl-benchmark/vocab#shipComponent</x:v>
      </x:c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RUN-I2-015-20260813T192515779622Z</x:v>
      </x:c>
      <x:c r="B16" s="47" t="str">
        <x:v>I2-015</x:v>
      </x:c>
      <x:c r="C16" s="47" t="str">
        <x:v>ship</x:v>
      </x:c>
      <x:c r="D16" s="48" t="str">
        <x:v>https://w3id.org/nltl-benchmark/vocab#ship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hasBowSubregionCalculationCase; domain dependency of upperIceWaterlineLengthLUI</x:v>
      </x:c>
      <x:c r="J16" s="47" t="n">
        <x:v>0</x:v>
      </x:c>
    </x:row>
    <x:row r="17">
      <x:c r="A17" s="47" t="str">
        <x:v>RUN-I2-015-20260813T192515779622Z</x:v>
      </x:c>
      <x:c r="B17" s="47" t="str">
        <x:v>I2-015</x:v>
      </x:c>
      <x:c r="C17" s="47" t="str">
        <x:v>shipComponent</x:v>
      </x:c>
      <x:c r="D17" s="48" t="str">
        <x:v>https://w3id.org/nltl-benchmark/vocab#shipComponent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RUN-I2-015-20260813T192515779622Z</x:v>
      </x:c>
      <x:c r="B18" s="47" t="str">
        <x:v>I2-015</x:v>
      </x:c>
      <x:c r="C18" s="47" t="str">
        <x:v>tableLookupCase</x:v>
      </x:c>
      <x:c r="D18" s="48" t="str">
        <x:v>https://w3id.org/nltl-benchmark/vocab#tableLookupCase</x:v>
      </x:c>
      <x:c r="E18" s="47" t="str">
        <x:v>Class</x:v>
      </x:c>
      <x:c r="F18" s="47" t="str"/>
      <x:c r="G18" s="47" t="str">
        <x:v>https://w3id.org/nltl-benchmark/vocab#calculationCase</x:v>
      </x:c>
      <x:c r="H18" s="47" t="str"/>
      <x:c r="I18" s="48" t="str">
        <x:v>domain dependency of crushingFailureClassFactor; domain dependency of flexuralFailureClassFactor</x:v>
      </x:c>
      <x:c r="J18" s="47" t="n">
        <x:v>0</x:v>
      </x:c>
    </x:row>
    <x:row r="19">
      <x:c r="A19" s="47" t="str">
        <x:v>RUN-I2-015-20260813T192515779622Z</x:v>
      </x:c>
      <x:c r="B19" s="47" t="str">
        <x:v>I2-015</x:v>
      </x:c>
      <x:c r="C19" s="47" t="str">
        <x:v>upperIceWaterlineLengthLUI</x:v>
      </x:c>
      <x:c r="D19" s="48" t="str">
        <x:v>https://w3id.org/nltl-benchmark/vocab#upperIceWaterlineLengthLUI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RUN-I2-015-20260813T192515779622Z</x:v>
      </x:c>
      <x:c r="B20" s="47" t="str">
        <x:v>I2-015</x:v>
      </x:c>
      <x:c r="C20" s="47" t="str">
        <x:v>benchmarkEntity</x:v>
      </x:c>
      <x:c r="D20" s="48" t="str">
        <x:v>https://w3id.org/nltl-benchmark/vocab#benchmarkEntity</x:v>
      </x:c>
      <x:c r="E20" s="47" t="str">
        <x:v>Class</x:v>
      </x:c>
      <x:c r="F20" s="47" t="str"/>
      <x:c r="G20" s="47" t="str"/>
      <x:c r="H20" s="47" t="str"/>
      <x:c r="I20" s="48" t="str">
        <x:v>baseline target infrastructure; domain dependency of betaIPrime</x:v>
      </x:c>
      <x:c r="J20" s="47" t="n">
        <x:v>2</x:v>
      </x:c>
    </x:row>
    <x:row r="21">
      <x:c r="A21" s="47" t="str">
        <x:v>RUN-I2-015-20260813T192515779622Z</x:v>
      </x:c>
      <x:c r="B21" s="47" t="str">
        <x:v>I2-015</x:v>
      </x:c>
      <x:c r="C21" s="47" t="str">
        <x:v>betaIPrime</x:v>
      </x:c>
      <x:c r="D21" s="48" t="str">
        <x:v>https://w3id.org/nltl-benchmark/vocab#betaIPrime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http://qudt.org/vocab/unit/UNITLESS</x:v>
      </x:c>
      <x:c r="I21" s="48" t="str">
        <x:v>linked by the locked 313-requirement index</x:v>
      </x:c>
      <x:c r="J21" s="47" t="n">
        <x:v>2</x:v>
      </x:c>
    </x:row>
    <x:row r="22">
      <x:c r="A22" s="47" t="str">
        <x:v>RUN-I2-015-20260813T192515779622Z</x:v>
      </x:c>
      <x:c r="B22" s="47" t="str">
        <x:v>I2-015</x:v>
      </x:c>
      <x:c r="C22" s="47" t="str">
        <x:v>bowShapeCoefficient</x:v>
      </x:c>
      <x:c r="D22" s="48" t="str">
        <x:v>https://w3id.org/nltl-benchmark/vocab#bowShapeCoefficient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2</x:v>
      </x:c>
    </x:row>
    <x:row r="23">
      <x:c r="A23" s="47" t="str">
        <x:v>RUN-I2-015-20260813T192515779622Z</x:v>
      </x:c>
      <x:c r="B23" s="47" t="str">
        <x:v>I2-015</x:v>
      </x:c>
      <x:c r="C23" s="47" t="str">
        <x:v>bowSubregionCalculationCase</x:v>
      </x:c>
      <x:c r="D23" s="48" t="str">
        <x:v>https://w3id.org/nltl-benchmark/vocab#bowSubregionCalculationCase</x:v>
      </x:c>
      <x:c r="E23" s="47" t="str">
        <x:v>Class</x:v>
      </x:c>
      <x:c r="F23" s="47" t="str"/>
      <x:c r="G23" s="47" t="str">
        <x:v>https://w3id.org/nltl-benchmark/vocab#calculationCase</x:v>
      </x:c>
      <x:c r="H23" s="47" t="str"/>
      <x:c r="I23" s="48" t="str">
        <x:v>authoritative required owner class; domain dependency of bowShapeCoefficient; domain dependency of bowSubregionMidLengthPosition; domain dependency of bowSubregionWaterlineAngle; linked by the locked 313-requirement index; range dependency of hasBowSubregionCalculationCase</x:v>
      </x:c>
      <x:c r="J23" s="47" t="n">
        <x:v>2</x:v>
      </x:c>
    </x:row>
    <x:row r="24">
      <x:c r="A24" s="47" t="str">
        <x:v>RUN-I2-015-20260813T192515779622Z</x:v>
      </x:c>
      <x:c r="B24" s="47" t="str">
        <x:v>I2-015</x:v>
      </x:c>
      <x:c r="C24" s="47" t="str">
        <x:v>bowSubregionMidLengthPosition</x:v>
      </x:c>
      <x:c r="D24" s="48" t="str">
        <x:v>https://w3id.org/nltl-benchmark/vocab#bowSubregionMidLengthPosition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</x:v>
      </x:c>
      <x:c r="I24" s="48" t="str">
        <x:v>linked by the locked 313-requirement index</x:v>
      </x:c>
      <x:c r="J24" s="47" t="n">
        <x:v>2</x:v>
      </x:c>
    </x:row>
    <x:row r="25">
      <x:c r="A25" s="47" t="str">
        <x:v>RUN-I2-015-20260813T192515779622Z</x:v>
      </x:c>
      <x:c r="B25" s="47" t="str">
        <x:v>I2-015</x:v>
      </x:c>
      <x:c r="C25" s="47" t="str">
        <x:v>bowSubregionWaterlineAngle</x:v>
      </x:c>
      <x:c r="D25" s="48" t="str">
        <x:v>https://w3id.org/nltl-benchmark/vocab#bowSubregionWaterlineAngle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http://qudt.org/vocab/unit/DEG</x:v>
      </x:c>
      <x:c r="I25" s="48" t="str">
        <x:v>linked by the locked 313-requirement index</x:v>
      </x:c>
      <x:c r="J25" s="47" t="n">
        <x:v>2</x:v>
      </x:c>
    </x:row>
    <x:row r="26">
      <x:c r="A26" s="47" t="str">
        <x:v>RUN-I2-015-20260813T192515779622Z</x:v>
      </x:c>
      <x:c r="B26" s="47" t="str">
        <x:v>I2-015</x:v>
      </x:c>
      <x:c r="C26" s="47" t="str">
        <x:v>calculationCase</x:v>
      </x:c>
      <x:c r="D26" s="48" t="str">
        <x:v>https://w3id.org/nltl-benchmark/vocab#calculationCase</x:v>
      </x:c>
      <x:c r="E26" s="47" t="str">
        <x:v>Class</x:v>
      </x:c>
      <x:c r="F26" s="47" t="str"/>
      <x:c r="G26" s="47" t="str">
        <x:v>https://w3id.org/nltl-benchmark/vocab#benchmarkEntity</x:v>
      </x:c>
      <x:c r="H26" s="47" t="str"/>
      <x:c r="I26" s="48" t="str">
        <x:v>range dependency of bowSubregionCalculationCase</x:v>
      </x:c>
      <x:c r="J26" s="47" t="n">
        <x:v>2</x:v>
      </x:c>
    </x:row>
    <x:row r="27">
      <x:c r="A27" s="47" t="str">
        <x:v>RUN-I2-015-20260813T192515779622Z</x:v>
      </x:c>
      <x:c r="B27" s="47" t="str">
        <x:v>I2-015</x:v>
      </x:c>
      <x:c r="C27" s="47" t="str">
        <x:v>crushingFailureClassFactor</x:v>
      </x:c>
      <x:c r="D27" s="48" t="str">
        <x:v>https://w3id.org/nltl-benchmark/vocab#crushingFailureClassFactor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http://qudt.org/vocab/unit/UNITLESS</x:v>
      </x:c>
      <x:c r="I27" s="48" t="str">
        <x:v>linked by the locked 313-requirement index</x:v>
      </x:c>
      <x:c r="J27" s="47" t="n">
        <x:v>2</x:v>
      </x:c>
    </x:row>
    <x:row r="28">
      <x:c r="A28" s="47" t="str">
        <x:v>RUN-I2-015-20260813T192515779622Z</x:v>
      </x:c>
      <x:c r="B28" s="47" t="str">
        <x:v>I2-015</x:v>
      </x:c>
      <x:c r="C28" s="47" t="str">
        <x:v>flexuralFailureClassFactor</x:v>
      </x:c>
      <x:c r="D28" s="48" t="str">
        <x:v>https://w3id.org/nltl-benchmark/vocab#flexuralFailureClassFactor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http://qudt.org/vocab/unit/UNITLESS</x:v>
      </x:c>
      <x:c r="I28" s="48" t="str">
        <x:v>linked by the locked 313-requirement index</x:v>
      </x:c>
      <x:c r="J28" s="47" t="n">
        <x:v>2</x:v>
      </x:c>
    </x:row>
    <x:row r="29">
      <x:c r="A29" s="47" t="str">
        <x:v>RUN-I2-015-20260813T192515779622Z</x:v>
      </x:c>
      <x:c r="B29" s="47" t="str">
        <x:v>I2-015</x:v>
      </x:c>
      <x:c r="C29" s="47" t="str">
        <x:v>hasBowSubregionCalculationCase</x:v>
      </x:c>
      <x:c r="D29" s="48" t="str">
        <x:v>https://w3id.org/nltl-benchmark/vocab#hasBowSubregionCalculationCase</x:v>
      </x:c>
      <x:c r="E29" s="47" t="str">
        <x:v>ObjectProperty</x:v>
      </x:c>
      <x:c r="F29" s="47" t="str"/>
      <x:c r="G29" s="47" t="str">
        <x:v>https://w3id.org/nltl-benchmark/vocab#bowSubregionCalculationCase</x:v>
      </x:c>
      <x:c r="H29" s="47" t="str"/>
      <x:c r="I29" s="48" t="str">
        <x:v>canonical path from target owner ship to required owner bowSubregionCalculationCase; linked by the locked 313-requirement index</x:v>
      </x:c>
      <x:c r="J29" s="47" t="n">
        <x:v>2</x:v>
      </x:c>
    </x:row>
    <x:row r="30">
      <x:c r="A30" s="47" t="str">
        <x:v>RUN-I2-015-20260813T192515779622Z</x:v>
      </x:c>
      <x:c r="B30" s="47" t="str">
        <x:v>I2-015</x:v>
      </x:c>
      <x:c r="C30" s="47" t="str">
        <x:v>hasComponent</x:v>
      </x:c>
      <x:c r="D30" s="48" t="str">
        <x:v>https://w3id.org/nltl-benchmark/vocab#hasComponent</x:v>
      </x:c>
      <x:c r="E30" s="47" t="str">
        <x:v>ObjectProperty</x:v>
      </x:c>
      <x:c r="F30" s="47" t="str"/>
      <x:c r="G30" s="47" t="str">
        <x:v>https://w3id.org/nltl-benchmark/vocab#shipComponent</x:v>
      </x:c>
      <x:c r="H30" s="47" t="str"/>
      <x:c r="I30" s="48" t="str">
        <x:v>component-path dependency inferred from the linked term module</x:v>
      </x:c>
      <x:c r="J30" s="47" t="n">
        <x:v>2</x:v>
      </x:c>
    </x:row>
    <x:row r="31">
      <x:c r="A31" s="47" t="str">
        <x:v>RUN-I2-015-20260813T192515779622Z</x:v>
      </x:c>
      <x:c r="B31" s="47" t="str">
        <x:v>I2-015</x:v>
      </x:c>
      <x:c r="C31" s="47" t="str">
        <x:v>ship</x:v>
      </x:c>
      <x:c r="D31" s="48" t="str">
        <x:v>https://w3id.org/nltl-benchmark/vocab#ship</x:v>
      </x:c>
      <x:c r="E31" s="47" t="str">
        <x:v>Class</x:v>
      </x:c>
      <x:c r="F31" s="47" t="str"/>
      <x:c r="G31" s="47" t="str"/>
      <x:c r="H31" s="47" t="str"/>
      <x:c r="I31" s="48" t="str">
        <x:v>authoritative required owner class; authoritative requirement target owner; baseline target infrastructure; domain dependency of hasBowSubregionCalculationCase; domain dependency of upperIceWaterlineLengthLUI</x:v>
      </x:c>
      <x:c r="J31" s="47" t="n">
        <x:v>2</x:v>
      </x:c>
    </x:row>
    <x:row r="32">
      <x:c r="A32" s="47" t="str">
        <x:v>RUN-I2-015-20260813T192515779622Z</x:v>
      </x:c>
      <x:c r="B32" s="47" t="str">
        <x:v>I2-015</x:v>
      </x:c>
      <x:c r="C32" s="47" t="str">
        <x:v>shipComponent</x:v>
      </x:c>
      <x:c r="D32" s="48" t="str">
        <x:v>https://w3id.org/nltl-benchmark/vocab#shipComponent</x:v>
      </x:c>
      <x:c r="E32" s="47" t="str">
        <x:v>Class</x:v>
      </x:c>
      <x:c r="F32" s="47" t="str"/>
      <x:c r="G32" s="47" t="str"/>
      <x:c r="H32" s="47" t="str"/>
      <x:c r="I32" s="48" t="str">
        <x:v>component-path dependency inferred from the linked term module</x:v>
      </x:c>
      <x:c r="J32" s="47" t="n">
        <x:v>2</x:v>
      </x:c>
    </x:row>
    <x:row r="33">
      <x:c r="A33" s="47" t="str">
        <x:v>RUN-I2-015-20260813T192515779622Z</x:v>
      </x:c>
      <x:c r="B33" s="47" t="str">
        <x:v>I2-015</x:v>
      </x:c>
      <x:c r="C33" s="47" t="str">
        <x:v>tableLookupCase</x:v>
      </x:c>
      <x:c r="D33" s="48" t="str">
        <x:v>https://w3id.org/nltl-benchmark/vocab#tableLookupCase</x:v>
      </x:c>
      <x:c r="E33" s="47" t="str">
        <x:v>Class</x:v>
      </x:c>
      <x:c r="F33" s="47" t="str"/>
      <x:c r="G33" s="47" t="str">
        <x:v>https://w3id.org/nltl-benchmark/vocab#calculationCase</x:v>
      </x:c>
      <x:c r="H33" s="47" t="str"/>
      <x:c r="I33" s="48" t="str">
        <x:v>domain dependency of crushingFailureClassFactor; domain dependency of flexuralFailureClassFactor</x:v>
      </x:c>
      <x:c r="J33" s="47" t="n">
        <x:v>2</x:v>
      </x:c>
    </x:row>
    <x:row r="34">
      <x:c r="A34" s="47" t="str">
        <x:v>RUN-I2-015-20260813T192515779622Z</x:v>
      </x:c>
      <x:c r="B34" s="47" t="str">
        <x:v>I2-015</x:v>
      </x:c>
      <x:c r="C34" s="47" t="str">
        <x:v>upperIceWaterlineDraughtDUI</x:v>
      </x:c>
      <x:c r="D34" s="48" t="str">
        <x:v>https://w3id.org/nltl-benchmark/vocab#upperIceWaterlineDraughtDUI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http://qudt.org/vocab/unit/M</x:v>
      </x:c>
      <x:c r="I34" s="48" t="str">
        <x:v>verified vocabulary-matcher addition</x:v>
      </x:c>
      <x:c r="J34" s="47" t="n">
        <x:v>2</x:v>
      </x:c>
    </x:row>
    <x:row r="35">
      <x:c r="A35" s="47" t="str">
        <x:v>RUN-I2-015-20260813T192515779622Z</x:v>
      </x:c>
      <x:c r="B35" s="47" t="str">
        <x:v>I2-015</x:v>
      </x:c>
      <x:c r="C35" s="47" t="str">
        <x:v>upperIceWaterlineLengthLUI</x:v>
      </x:c>
      <x:c r="D35" s="48" t="str">
        <x:v>https://w3id.org/nltl-benchmark/vocab#upperIceWaterlineLengthLUI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http://qudt.org/vocab/unit/M</x:v>
      </x:c>
      <x:c r="I35" s="48" t="str">
        <x:v>linked by the locked 313-requirement index</x:v>
      </x:c>
      <x:c r="J35" s="47" t="n">
        <x:v>2</x:v>
      </x:c>
    </x:row>
    <x:row r="36">
      <x:c r="A36" s="47" t="str">
        <x:v>RUN-I2-015-20260813T192515779622Z</x:v>
      </x:c>
      <x:c r="B36" s="47" t="str">
        <x:v>I2-015</x:v>
      </x:c>
      <x:c r="C36" s="47" t="str">
        <x:v>benchmarkEntity</x:v>
      </x:c>
      <x:c r="D36" s="48" t="str">
        <x:v>https://w3id.org/nltl-benchmark/vocab#benchmarkEntity</x:v>
      </x:c>
      <x:c r="E36" s="47" t="str">
        <x:v>Class</x:v>
      </x:c>
      <x:c r="F36" s="47" t="str"/>
      <x:c r="G36" s="47" t="str"/>
      <x:c r="H36" s="47" t="str"/>
      <x:c r="I36" s="48" t="str">
        <x:v>baseline target infrastructure; domain dependency of betaIPrime</x:v>
      </x:c>
      <x:c r="J36" s="47" t="n">
        <x:v>3</x:v>
      </x:c>
    </x:row>
    <x:row r="37">
      <x:c r="A37" s="47" t="str">
        <x:v>RUN-I2-015-20260813T192515779622Z</x:v>
      </x:c>
      <x:c r="B37" s="47" t="str">
        <x:v>I2-015</x:v>
      </x:c>
      <x:c r="C37" s="47" t="str">
        <x:v>betaIPrime</x:v>
      </x:c>
      <x:c r="D37" s="48" t="str">
        <x:v>https://w3id.org/nltl-benchmark/vocab#betaIPrime</x:v>
      </x:c>
      <x:c r="E37" s="47" t="str">
        <x:v>QuantityProperty</x:v>
      </x:c>
      <x:c r="F37" s="47" t="str"/>
      <x:c r="G37" s="47" t="str">
        <x:v>http://qudt.org/schema/qudt/QuantityValue</x:v>
      </x:c>
      <x:c r="H37" s="47" t="str">
        <x:v>http://qudt.org/vocab/unit/UNITLESS</x:v>
      </x:c>
      <x:c r="I37" s="48" t="str">
        <x:v>linked by the locked 313-requirement index</x:v>
      </x:c>
      <x:c r="J37" s="47" t="n">
        <x:v>3</x:v>
      </x:c>
    </x:row>
    <x:row r="38">
      <x:c r="A38" s="47" t="str">
        <x:v>RUN-I2-015-20260813T192515779622Z</x:v>
      </x:c>
      <x:c r="B38" s="47" t="str">
        <x:v>I2-015</x:v>
      </x:c>
      <x:c r="C38" s="47" t="str">
        <x:v>bowShapeCoefficient</x:v>
      </x:c>
      <x:c r="D38" s="48" t="str">
        <x:v>https://w3id.org/nltl-benchmark/vocab#bowShapeCoefficient</x:v>
      </x:c>
      <x:c r="E38" s="47" t="str">
        <x:v>QuantityProperty</x:v>
      </x:c>
      <x:c r="F38" s="47" t="str"/>
      <x:c r="G38" s="47" t="str">
        <x:v>http://qudt.org/schema/qudt/QuantityValue</x:v>
      </x:c>
      <x:c r="H38" s="47" t="str">
        <x:v>http://qudt.org/vocab/unit/UNITLESS</x:v>
      </x:c>
      <x:c r="I38" s="48" t="str">
        <x:v>linked by the locked 313-requirement index</x:v>
      </x:c>
      <x:c r="J38" s="47" t="n">
        <x:v>3</x:v>
      </x:c>
    </x:row>
    <x:row r="39">
      <x:c r="A39" s="47" t="str">
        <x:v>RUN-I2-015-20260813T192515779622Z</x:v>
      </x:c>
      <x:c r="B39" s="47" t="str">
        <x:v>I2-015</x:v>
      </x:c>
      <x:c r="C39" s="47" t="str">
        <x:v>bowSubregionCalculationCase</x:v>
      </x:c>
      <x:c r="D39" s="48" t="str">
        <x:v>https://w3id.org/nltl-benchmark/vocab#bowSubregionCalculationCase</x:v>
      </x:c>
      <x:c r="E39" s="47" t="str">
        <x:v>Class</x:v>
      </x:c>
      <x:c r="F39" s="47" t="str"/>
      <x:c r="G39" s="47" t="str">
        <x:v>https://w3id.org/nltl-benchmark/vocab#calculationCase</x:v>
      </x:c>
      <x:c r="H39" s="47" t="str"/>
      <x:c r="I39" s="48" t="str">
        <x:v>authoritative required owner class; domain dependency of bowShapeCoefficient; domain dependency of bowSubregionMidLengthPosition; domain dependency of bowSubregionWaterlineAngle; linked by the locked 313-requirement index; range dependency of hasBowSubregionCalculationCase</x:v>
      </x:c>
      <x:c r="J39" s="47" t="n">
        <x:v>3</x:v>
      </x:c>
    </x:row>
    <x:row r="40">
      <x:c r="A40" s="47" t="str">
        <x:v>RUN-I2-015-20260813T192515779622Z</x:v>
      </x:c>
      <x:c r="B40" s="47" t="str">
        <x:v>I2-015</x:v>
      </x:c>
      <x:c r="C40" s="47" t="str">
        <x:v>bowSubregionMidLengthPosition</x:v>
      </x:c>
      <x:c r="D40" s="48" t="str">
        <x:v>https://w3id.org/nltl-benchmark/vocab#bowSubregionMidLengthPosition</x:v>
      </x:c>
      <x:c r="E40" s="47" t="str">
        <x:v>QuantityProperty</x:v>
      </x:c>
      <x:c r="F40" s="47" t="str"/>
      <x:c r="G40" s="47" t="str">
        <x:v>http://qudt.org/schema/qudt/QuantityValue</x:v>
      </x:c>
      <x:c r="H40" s="47" t="str">
        <x:v>http://qudt.org/vocab/unit/M</x:v>
      </x:c>
      <x:c r="I40" s="48" t="str">
        <x:v>linked by the locked 313-requirement index</x:v>
      </x:c>
      <x:c r="J40" s="47" t="n">
        <x:v>3</x:v>
      </x:c>
    </x:row>
    <x:row r="41">
      <x:c r="A41" s="47" t="str">
        <x:v>RUN-I2-015-20260813T192515779622Z</x:v>
      </x:c>
      <x:c r="B41" s="47" t="str">
        <x:v>I2-015</x:v>
      </x:c>
      <x:c r="C41" s="47" t="str">
        <x:v>bowSubregionWaterlineAngle</x:v>
      </x:c>
      <x:c r="D41" s="48" t="str">
        <x:v>https://w3id.org/nltl-benchmark/vocab#bowSubregionWaterlineAngle</x:v>
      </x:c>
      <x:c r="E41" s="47" t="str">
        <x:v>QuantityProperty</x:v>
      </x:c>
      <x:c r="F41" s="47" t="str"/>
      <x:c r="G41" s="47" t="str">
        <x:v>http://qudt.org/schema/qudt/QuantityValue</x:v>
      </x:c>
      <x:c r="H41" s="47" t="str">
        <x:v>http://qudt.org/vocab/unit/DEG</x:v>
      </x:c>
      <x:c r="I41" s="48" t="str">
        <x:v>linked by the locked 313-requirement index</x:v>
      </x:c>
      <x:c r="J41" s="47" t="n">
        <x:v>3</x:v>
      </x:c>
    </x:row>
    <x:row r="42">
      <x:c r="A42" s="47" t="str">
        <x:v>RUN-I2-015-20260813T192515779622Z</x:v>
      </x:c>
      <x:c r="B42" s="47" t="str">
        <x:v>I2-015</x:v>
      </x:c>
      <x:c r="C42" s="47" t="str">
        <x:v>calculationCase</x:v>
      </x:c>
      <x:c r="D42" s="48" t="str">
        <x:v>https://w3id.org/nltl-benchmark/vocab#calculationCase</x:v>
      </x:c>
      <x:c r="E42" s="47" t="str">
        <x:v>Class</x:v>
      </x:c>
      <x:c r="F42" s="47" t="str"/>
      <x:c r="G42" s="47" t="str">
        <x:v>https://w3id.org/nltl-benchmark/vocab#benchmarkEntity</x:v>
      </x:c>
      <x:c r="H42" s="47" t="str"/>
      <x:c r="I42" s="48" t="str">
        <x:v>range dependency of bowSubregionCalculationCase</x:v>
      </x:c>
      <x:c r="J42" s="47" t="n">
        <x:v>3</x:v>
      </x:c>
    </x:row>
    <x:row r="43">
      <x:c r="A43" s="47" t="str">
        <x:v>RUN-I2-015-20260813T192515779622Z</x:v>
      </x:c>
      <x:c r="B43" s="47" t="str">
        <x:v>I2-015</x:v>
      </x:c>
      <x:c r="C43" s="47" t="str">
        <x:v>crushingFailureClassFactor</x:v>
      </x:c>
      <x:c r="D43" s="48" t="str">
        <x:v>https://w3id.org/nltl-benchmark/vocab#crushingFailureClassFactor</x:v>
      </x:c>
      <x:c r="E43" s="47" t="str">
        <x:v>QuantityProperty</x:v>
      </x:c>
      <x:c r="F43" s="47" t="str"/>
      <x:c r="G43" s="47" t="str">
        <x:v>http://qudt.org/schema/qudt/QuantityValue</x:v>
      </x:c>
      <x:c r="H43" s="47" t="str">
        <x:v>http://qudt.org/vocab/unit/UNITLESS</x:v>
      </x:c>
      <x:c r="I43" s="48" t="str">
        <x:v>linked by the locked 313-requirement index</x:v>
      </x:c>
      <x:c r="J43" s="47" t="n">
        <x:v>3</x:v>
      </x:c>
    </x:row>
    <x:row r="44">
      <x:c r="A44" s="47" t="str">
        <x:v>RUN-I2-015-20260813T192515779622Z</x:v>
      </x:c>
      <x:c r="B44" s="47" t="str">
        <x:v>I2-015</x:v>
      </x:c>
      <x:c r="C44" s="47" t="str">
        <x:v>flexuralFailureClassFactor</x:v>
      </x:c>
      <x:c r="D44" s="48" t="str">
        <x:v>https://w3id.org/nltl-benchmark/vocab#flexuralFailureClassFactor</x:v>
      </x:c>
      <x:c r="E44" s="47" t="str">
        <x:v>QuantityProperty</x:v>
      </x:c>
      <x:c r="F44" s="47" t="str"/>
      <x:c r="G44" s="47" t="str">
        <x:v>http://qudt.org/schema/qudt/QuantityValue</x:v>
      </x:c>
      <x:c r="H44" s="47" t="str">
        <x:v>http://qudt.org/vocab/unit/UNITLESS</x:v>
      </x:c>
      <x:c r="I44" s="48" t="str">
        <x:v>linked by the locked 313-requirement index</x:v>
      </x:c>
      <x:c r="J44" s="47" t="n">
        <x:v>3</x:v>
      </x:c>
    </x:row>
    <x:row r="45">
      <x:c r="A45" s="47" t="str">
        <x:v>RUN-I2-015-20260813T192515779622Z</x:v>
      </x:c>
      <x:c r="B45" s="47" t="str">
        <x:v>I2-015</x:v>
      </x:c>
      <x:c r="C45" s="47" t="str">
        <x:v>hasBowSubregionCalculationCase</x:v>
      </x:c>
      <x:c r="D45" s="48" t="str">
        <x:v>https://w3id.org/nltl-benchmark/vocab#hasBowSubregionCalculationCase</x:v>
      </x:c>
      <x:c r="E45" s="47" t="str">
        <x:v>ObjectProperty</x:v>
      </x:c>
      <x:c r="F45" s="47" t="str"/>
      <x:c r="G45" s="47" t="str">
        <x:v>https://w3id.org/nltl-benchmark/vocab#bowSubregionCalculationCase</x:v>
      </x:c>
      <x:c r="H45" s="47" t="str"/>
      <x:c r="I45" s="48" t="str">
        <x:v>canonical path from target owner ship to required owner bowSubregionCalculationCase; linked by the locked 313-requirement index</x:v>
      </x:c>
      <x:c r="J45" s="47" t="n">
        <x:v>3</x:v>
      </x:c>
    </x:row>
    <x:row r="46">
      <x:c r="A46" s="47" t="str">
        <x:v>RUN-I2-015-20260813T192515779622Z</x:v>
      </x:c>
      <x:c r="B46" s="47" t="str">
        <x:v>I2-015</x:v>
      </x:c>
      <x:c r="C46" s="47" t="str">
        <x:v>hasComponent</x:v>
      </x:c>
      <x:c r="D46" s="48" t="str">
        <x:v>https://w3id.org/nltl-benchmark/vocab#hasComponent</x:v>
      </x:c>
      <x:c r="E46" s="47" t="str">
        <x:v>ObjectProperty</x:v>
      </x:c>
      <x:c r="F46" s="47" t="str"/>
      <x:c r="G46" s="47" t="str">
        <x:v>https://w3id.org/nltl-benchmark/vocab#shipComponent</x:v>
      </x:c>
      <x:c r="H46" s="47" t="str"/>
      <x:c r="I46" s="48" t="str">
        <x:v>component-path dependency inferred from the linked term module</x:v>
      </x:c>
      <x:c r="J46" s="47" t="n">
        <x:v>3</x:v>
      </x:c>
    </x:row>
    <x:row r="47">
      <x:c r="A47" s="47" t="str">
        <x:v>RUN-I2-015-20260813T192515779622Z</x:v>
      </x:c>
      <x:c r="B47" s="47" t="str">
        <x:v>I2-015</x:v>
      </x:c>
      <x:c r="C47" s="47" t="str">
        <x:v>ship</x:v>
      </x:c>
      <x:c r="D47" s="48" t="str">
        <x:v>https://w3id.org/nltl-benchmark/vocab#ship</x:v>
      </x:c>
      <x:c r="E47" s="47" t="str">
        <x:v>Class</x:v>
      </x:c>
      <x:c r="F47" s="47" t="str"/>
      <x:c r="G47" s="47" t="str"/>
      <x:c r="H47" s="47" t="str"/>
      <x:c r="I47" s="48" t="str">
        <x:v>authoritative required owner class; authoritative requirement target owner; baseline target infrastructure; domain dependency of hasBowSubregionCalculationCase; domain dependency of upperIceWaterlineLengthLUI</x:v>
      </x:c>
      <x:c r="J47" s="47" t="n">
        <x:v>3</x:v>
      </x:c>
    </x:row>
    <x:row r="48">
      <x:c r="A48" s="47" t="str">
        <x:v>RUN-I2-015-20260813T192515779622Z</x:v>
      </x:c>
      <x:c r="B48" s="47" t="str">
        <x:v>I2-015</x:v>
      </x:c>
      <x:c r="C48" s="47" t="str">
        <x:v>shipComponent</x:v>
      </x:c>
      <x:c r="D48" s="48" t="str">
        <x:v>https://w3id.org/nltl-benchmark/vocab#shipComponent</x:v>
      </x:c>
      <x:c r="E48" s="47" t="str">
        <x:v>Class</x:v>
      </x:c>
      <x:c r="F48" s="47" t="str"/>
      <x:c r="G48" s="47" t="str"/>
      <x:c r="H48" s="47" t="str"/>
      <x:c r="I48" s="48" t="str">
        <x:v>component-path dependency inferred from the linked term module</x:v>
      </x:c>
      <x:c r="J48" s="47" t="n">
        <x:v>3</x:v>
      </x:c>
    </x:row>
    <x:row r="49">
      <x:c r="A49" s="47" t="str">
        <x:v>RUN-I2-015-20260813T192515779622Z</x:v>
      </x:c>
      <x:c r="B49" s="47" t="str">
        <x:v>I2-015</x:v>
      </x:c>
      <x:c r="C49" s="47" t="str">
        <x:v>tableLookupCase</x:v>
      </x:c>
      <x:c r="D49" s="48" t="str">
        <x:v>https://w3id.org/nltl-benchmark/vocab#tableLookupCase</x:v>
      </x:c>
      <x:c r="E49" s="47" t="str">
        <x:v>Class</x:v>
      </x:c>
      <x:c r="F49" s="47" t="str"/>
      <x:c r="G49" s="47" t="str">
        <x:v>https://w3id.org/nltl-benchmark/vocab#calculationCase</x:v>
      </x:c>
      <x:c r="H49" s="47" t="str"/>
      <x:c r="I49" s="48" t="str">
        <x:v>domain dependency of crushingFailureClassFactor; domain dependency of flexuralFailureClassFactor</x:v>
      </x:c>
      <x:c r="J49" s="47" t="n">
        <x:v>3</x:v>
      </x:c>
    </x:row>
    <x:row r="50">
      <x:c r="A50" s="47" t="str">
        <x:v>RUN-I2-015-20260813T192515779622Z</x:v>
      </x:c>
      <x:c r="B50" s="47" t="str">
        <x:v>I2-015</x:v>
      </x:c>
      <x:c r="C50" s="47" t="str">
        <x:v>upperIceWaterlineDraughtDUI</x:v>
      </x:c>
      <x:c r="D50" s="48" t="str">
        <x:v>https://w3id.org/nltl-benchmark/vocab#upperIceWaterlineDraughtDUI</x:v>
      </x:c>
      <x:c r="E50" s="47" t="str">
        <x:v>QuantityProperty</x:v>
      </x:c>
      <x:c r="F50" s="47" t="str"/>
      <x:c r="G50" s="47" t="str">
        <x:v>http://qudt.org/schema/qudt/QuantityValue</x:v>
      </x:c>
      <x:c r="H50" s="47" t="str">
        <x:v>http://qudt.org/vocab/unit/M</x:v>
      </x:c>
      <x:c r="I50" s="48" t="str">
        <x:v>verified vocabulary-matcher addition</x:v>
      </x:c>
      <x:c r="J50" s="47" t="n">
        <x:v>3</x:v>
      </x:c>
    </x:row>
    <x:row r="51">
      <x:c r="A51" s="49" t="str">
        <x:v>RUN-I2-015-20260813T192515779622Z</x:v>
      </x:c>
      <x:c r="B51" s="49" t="str">
        <x:v>I2-015</x:v>
      </x:c>
      <x:c r="C51" s="49" t="str">
        <x:v>upperIceWaterlineLengthLUI</x:v>
      </x:c>
      <x:c r="D51" s="50" t="str">
        <x:v>https://w3id.org/nltl-benchmark/vocab#upperIceWaterlineLengthLUI</x:v>
      </x:c>
      <x:c r="E51" s="49" t="str">
        <x:v>QuantityProperty</x:v>
      </x:c>
      <x:c r="F51" s="49" t="str"/>
      <x:c r="G51" s="49" t="str">
        <x:v>http://qudt.org/schema/qudt/QuantityValue</x:v>
      </x:c>
      <x:c r="H51" s="49" t="str">
        <x:v>http://qudt.org/vocab/unit/M</x:v>
      </x:c>
      <x:c r="I51" s="50" t="str">
        <x:v>linked by the locked 313-requirement index</x:v>
      </x:c>
      <x:c r="J51" s="49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48fcfb6a7583473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RUN-I2-015-20260813T192515779622Z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RUN-I2-015-20260813T192515779622Z</x:v>
      </x:c>
      <x:c r="B5" s="45" t="str">
        <x:v>I2-015</x:v>
      </x:c>
      <x:c r="C5" s="45" t="str">
        <x:v>FS-CALC-02</x:v>
      </x:c>
      <x:c r="D5" s="45" t="str">
        <x:v>comparison_calculation</x:v>
      </x:c>
      <x:c r="E5" s="97" t="n">
        <x:v>0.066667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RUN-I2-015-20260813T192515779622Z</x:v>
      </x:c>
      <x:c r="B6" s="49" t="str">
        <x:v>I2-015</x:v>
      </x:c>
      <x:c r="C6" s="49" t="str">
        <x:v>FS-QTY-01</x:v>
      </x:c>
      <x:c r="D6" s="49" t="str">
        <x:v>qudt_quantity</x:v>
      </x:c>
      <x:c r="E6" s="98" t="n">
        <x:v>0.032787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65d840b9834e7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RUN-I2-015-20260813T192515779622Z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RUN-I2-015-20260813T192515779622Z</x:v>
      </x:c>
      <x:c r="B5" s="45" t="str">
        <x:v>I2-015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https://w3id.org/nltl-benchmark/vocab#betaIPrime | https://w3id.org/nltl-benchmark/vocab#bowShapeCoefficient | https://w3id.org/nltl-benchmark/vocab#bowSubregionCalculationCase | https://w3id.org/nltl-benchmark/vocab#bowSubregionMidLengthPosition | https://w3id.org/nltl-benchmark/vocab#bowSubregionWaterlineAngle | https://w3id.org/nltl-benchmark/vocab#crushingFailureClassFactor | https://w3id.org/nltl-benchmark/vocab#flexuralFailureClassFactor | https://w3id.org/nltl-benchmark/vocab#hasBowSubregionCalculationCase | https://w3id.org/nltl-benchmark/vocab#ship | https://w3id.org/nltl-benchmark/vocab#tableLookupCase | https://w3id.org/nltl-benchmark/vocab#upperIceWaterlineLengthLUI</x:v>
      </x:c>
      <x:c r="O5" s="46" t="str"/>
      <x:c r="P5" s="46" t="str"/>
      <x:c r="Q5" s="46" t="str"/>
    </x:row>
    <x:row r="6">
      <x:c r="A6" s="47" t="str">
        <x:v>RUN-I2-015-20260813T192515779622Z</x:v>
      </x:c>
      <x:c r="B6" s="47" t="str">
        <x:v>I2-015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https://w3id.org/nltl-benchmark/vocab#betaIPrime | https://w3id.org/nltl-benchmark/vocab#bowShapeCoefficient | https://w3id.org/nltl-benchmark/vocab#bowSubregionCalculationCase | https://w3id.org/nltl-benchmark/vocab#bowSubregionMidLengthPosition | https://w3id.org/nltl-benchmark/vocab#bowSubregionWaterlineAngle | https://w3id.org/nltl-benchmark/vocab#crushingFailureClassFactor | https://w3id.org/nltl-benchmark/vocab#flexuralFailureClassFactor | https://w3id.org/nltl-benchmark/vocab#hasBowSubregionCalculationCase | https://w3id.org/nltl-benchmark/vocab#ship | https://w3id.org/nltl-benchmark/vocab#tableLookupCase | https://w3id.org/nltl-benchmark/vocab#upperIceWaterlineDraughtDUI | https://w3id.org/nltl-benchmark/vocab#upperIceWaterlineLengthLUI</x:v>
      </x:c>
      <x:c r="O6" s="48" t="str"/>
      <x:c r="P6" s="48" t="str"/>
      <x:c r="Q6" s="48" t="str"/>
    </x:row>
    <x:row r="7">
      <x:c r="A7" s="49" t="str">
        <x:v>RUN-I2-015-20260813T192515779622Z</x:v>
      </x:c>
      <x:c r="B7" s="49" t="str">
        <x:v>I2-015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https://w3id.org/nltl-benchmark/vocab#betaIPrime | https://w3id.org/nltl-benchmark/vocab#bowShapeCoefficient | https://w3id.org/nltl-benchmark/vocab#bowSubregionCalculationCase | https://w3id.org/nltl-benchmark/vocab#bowSubregionMidLengthPosition | https://w3id.org/nltl-benchmark/vocab#bowSubregionWaterlineAngle | https://w3id.org/nltl-benchmark/vocab#crushingFailureClassFactor | https://w3id.org/nltl-benchmark/vocab#flexuralFailureClassFactor | https://w3id.org/nltl-benchmark/vocab#hasBowSubregionCalculationCase | https://w3id.org/nltl-benchmark/vocab#ship | https://w3id.org/nltl-benchmark/vocab#upperIceWaterlineDraughtDUI | https://w3id.org/nltl-benchmark/vocab#upperIceWaterlineLengthLUI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78b225a2cde5472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RUN-I2-015-20260813T192515779622Z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RUN-I2-015-20260813T192515779622Z</x:v>
      </x:c>
      <x:c r="B5" s="45" t="str">
        <x:v>I2-015</x:v>
      </x:c>
      <x:c r="C5" s="58" t="n">
        <x:v>1</x:v>
      </x:c>
      <x:c r="D5" s="45" t="str">
        <x:v>matcher_search</x:v>
      </x:c>
      <x:c r="E5" s="46" t="str">
        <x:v>Replace the one-sided f_ai &lt;= 0.60 check with a bounded formula constraint requiring bowShapeCoefficient to equal min(f_ai1,f_ai2,0.60) within tolerance scaled from the computed expected result. Implement both f_ai1 and f_ai2 with all operands, including the missing canonical D_UI term and canonical relationship/owner path for C_FF and C_FC; do not leave TableLookupCaseShape as an unconnected target. Enforce the bow-form I2.3.1(v) applicability using its canonical selector, and keep betaIPrime and upperIceWaterlineLengthLUI on ship while case-specific operands/result remain on the bowSubregionCalculationCase. Locate the absent canonical D_UI and applicability/link terms before regenerating.</x:v>
      </x:c>
      <x:c r="F5" s="58" t="n">
        <x:v>12</x:v>
      </x:c>
      <x:c r="G5" s="45" t="str"/>
      <x:c r="H5" s="45" t="str"/>
      <x:c r="I5" s="46" t="str"/>
      <x:c r="J5" s="46" t="str"/>
    </x:row>
    <x:row r="6">
      <x:c r="A6" s="47" t="str">
        <x:v>RUN-I2-015-20260813T192515779622Z</x:v>
      </x:c>
      <x:c r="B6" s="47" t="str">
        <x:v>I2-015</x:v>
      </x:c>
      <x:c r="C6" s="59" t="n">
        <x:v>1</x:v>
      </x:c>
      <x:c r="D6" s="47" t="str">
        <x:v>matcher_decision</x:v>
      </x:c>
      <x:c r="E6" s="48" t="str"/>
      <x:c r="F6" s="59" t="str"/>
      <x:c r="G6" s="85" t="b">
        <x:v>1</x:v>
      </x:c>
      <x:c r="H6" s="47" t="str">
        <x:v>upperIceWaterlineDraughtDUI</x:v>
      </x:c>
      <x:c r="I6" s="48" t="str">
        <x:v>https://w3id.org/nltl-benchmark/vocab#upperIceWaterlineDraughtDUI</x:v>
      </x:c>
      <x:c r="J6" s="48" t="str">
        <x:v>Use this exact term because D_UI is the upper ice waterline draught operand in the f_ai2 formula, represented as a length quantity with metre units.</x:v>
      </x:c>
    </x:row>
    <x:row r="7">
      <x:c r="A7" s="47" t="str">
        <x:v>RUN-I2-015-20260813T192515779622Z</x:v>
      </x:c>
      <x:c r="B7" s="47" t="str">
        <x:v>I2-015</x:v>
      </x:c>
      <x:c r="C7" s="59" t="n">
        <x:v>3</x:v>
      </x:c>
      <x:c r="D7" s="47" t="str">
        <x:v>matcher_search</x:v>
      </x:c>
      <x:c r="E7" s="48" t="str">
        <x:v>Add the canonical applicability selector for bow forms defined in I2.3.1(v); do not treat presence/absence of hasBowSubregionCalculationCase as applicability. Locate the canonical relationship needed to reach the tableLookupCase owner for C_FC and C_FF. Move bowSubregionMidLengthPosition and bowShapeCoefficient to each bowSubregionCalculationCase, keep alpha_i on that same case, and calculate/validate f_ai per case; place C_FC and C_FF only on their declared tableLookupCase owner. Replace the current tolerance logic with bounds derived from the expected min(f_ai1,f_ai2,0.60), including absolute tolerance around that expected result rather than reported f_ai, while retaining all formula operands and the D_UI^0.64 exponent.</x:v>
      </x:c>
      <x:c r="F7" s="59" t="n">
        <x:v>11</x:v>
      </x:c>
      <x:c r="G7" s="47" t="str"/>
      <x:c r="H7" s="47" t="str"/>
      <x:c r="I7" s="48" t="str"/>
      <x:c r="J7" s="48" t="str"/>
    </x:row>
    <x:row r="8">
      <x:c r="A8" s="49" t="str">
        <x:v>RUN-I2-015-20260813T192515779622Z</x:v>
      </x:c>
      <x:c r="B8" s="49" t="str">
        <x:v>I2-015</x:v>
      </x:c>
      <x:c r="C8" s="60" t="n">
        <x:v>3</x:v>
      </x:c>
      <x:c r="D8" s="49" t="str">
        <x:v>matcher_decision</x:v>
      </x:c>
      <x:c r="E8" s="50" t="str"/>
      <x:c r="F8" s="60" t="str"/>
      <x:c r="G8" s="87" t="b">
        <x:v>1</x:v>
      </x:c>
      <x:c r="H8" s="49" t="str">
        <x:v>bowShape</x:v>
      </x:c>
      <x:c r="I8" s="50" t="str">
        <x:v>https://w3id.org/nltl-benchmark/vocab#bowShape</x:v>
      </x:c>
      <x:c r="J8" s="50" t="str">
        <x:v>Use this exact term because it is the candidate representing the bow-form applicability selector, distinct from the presence or absence of hasBowSubregionCalculationCase.</x:v>
      </x:c>
    </x:row>
  </x:sheetData>
  <x:pageMargins left="0.7" right="0.7" top="0.75" bottom="0.75" header="0.3" footer="0.3"/>
  <x:tableParts count="1">
    <x:tablePart xmlns:r="http://schemas.openxmlformats.org/officeDocument/2006/relationships" r:id="R92f9b678ac544eb2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RUN-I2-015-20260813T192515779622Z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RUN-I2-015-20260813T192515779622Z</x:v>
      </x:c>
      <x:c r="B5" s="45" t="str">
        <x:v>I2-015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b03449606c9702a7eb72a3c009afbbe382a867e1195bb8f7d94063113825c58b</x:v>
      </x:c>
      <x:c r="G5" s="58" t="n">
        <x:v>21669</x:v>
      </x:c>
    </x:row>
    <x:row r="6">
      <x:c r="A6" s="47" t="str">
        <x:v>RUN-I2-015-20260813T192515779622Z</x:v>
      </x:c>
      <x:c r="B6" s="47" t="str">
        <x:v>I2-015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35d044ee949f3f6a83e4be34e359e618ff515d962a649ff3593b7346c1abe77b</x:v>
      </x:c>
      <x:c r="G6" s="59" t="n">
        <x:v>5365</x:v>
      </x:c>
    </x:row>
    <x:row r="7">
      <x:c r="A7" s="47" t="str">
        <x:v>RUN-I2-015-20260813T192515779622Z</x:v>
      </x:c>
      <x:c r="B7" s="47" t="str">
        <x:v>I2-015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da47b55baf44e1a250e2d9768f6c0cb48f574b52a3e3ad7cf5ffa1722893cd4d</x:v>
      </x:c>
      <x:c r="G7" s="59" t="n">
        <x:v>33953</x:v>
      </x:c>
    </x:row>
    <x:row r="8">
      <x:c r="A8" s="47" t="str">
        <x:v>RUN-I2-015-20260813T192515779622Z</x:v>
      </x:c>
      <x:c r="B8" s="47" t="str">
        <x:v>I2-015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732efec311c6e92eff755918a7f9d3646391107c39b7361b9ff3d155ba7506ed</x:v>
      </x:c>
      <x:c r="G8" s="59" t="n">
        <x:v>4203</x:v>
      </x:c>
    </x:row>
    <x:row r="9">
      <x:c r="A9" s="47" t="str">
        <x:v>RUN-I2-015-20260813T192515779622Z</x:v>
      </x:c>
      <x:c r="B9" s="47" t="str">
        <x:v>I2-015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fbff08df8ebb243b93291bd6ab5a02cd666610e31ba5f0563885638e20f8f99d</x:v>
      </x:c>
      <x:c r="G9" s="59" t="n">
        <x:v>4178</x:v>
      </x:c>
    </x:row>
    <x:row r="10">
      <x:c r="A10" s="47" t="str">
        <x:v>RUN-I2-015-20260813T192515779622Z</x:v>
      </x:c>
      <x:c r="B10" s="47" t="str">
        <x:v>I2-015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06a51c2e1be4a03e34bac56b9b4c7ab041332d2ddc8e0cb24c85cb48c5fcc625</x:v>
      </x:c>
      <x:c r="G10" s="59" t="n">
        <x:v>1133</x:v>
      </x:c>
    </x:row>
    <x:row r="11">
      <x:c r="A11" s="47" t="str">
        <x:v>RUN-I2-015-20260813T192515779622Z</x:v>
      </x:c>
      <x:c r="B11" s="47" t="str">
        <x:v>I2-015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468617ebfe165ecbf2658d86c345e00740ba69706937a855ce8ea44500533e1d</x:v>
      </x:c>
      <x:c r="G11" s="59" t="n">
        <x:v>34777</x:v>
      </x:c>
    </x:row>
    <x:row r="12">
      <x:c r="A12" s="47" t="str">
        <x:v>RUN-I2-015-20260813T192515779622Z</x:v>
      </x:c>
      <x:c r="B12" s="47" t="str">
        <x:v>I2-015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5fa5b8a08d57a8f9ba490cd7b9b89a56e33c7b64456a1781505a9edbe8e25514</x:v>
      </x:c>
      <x:c r="G12" s="59" t="n">
        <x:v>762</x:v>
      </x:c>
    </x:row>
    <x:row r="13">
      <x:c r="A13" s="47" t="str">
        <x:v>RUN-I2-015-20260813T192515779622Z</x:v>
      </x:c>
      <x:c r="B13" s="47" t="str">
        <x:v>I2-015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04f56509bb0987111c9c124df96d9d06f4f5d922235309c493cde08e6af9a7a1</x:v>
      </x:c>
      <x:c r="G13" s="59" t="n">
        <x:v>8684</x:v>
      </x:c>
    </x:row>
    <x:row r="14">
      <x:c r="A14" s="47" t="str">
        <x:v>RUN-I2-015-20260813T192515779622Z</x:v>
      </x:c>
      <x:c r="B14" s="47" t="str">
        <x:v>I2-015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27f0aa901d002787e963cd93142930be7854798151ea94439bdeff91173bd188</x:v>
      </x:c>
      <x:c r="G14" s="59" t="n">
        <x:v>14504</x:v>
      </x:c>
    </x:row>
    <x:row r="15">
      <x:c r="A15" s="47" t="str">
        <x:v>RUN-I2-015-20260813T192515779622Z</x:v>
      </x:c>
      <x:c r="B15" s="47" t="str">
        <x:v>I2-015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64322031ca4823d669c745681645c331e0f3edcfff568b70127e649d441a24f0</x:v>
      </x:c>
      <x:c r="G15" s="59" t="n">
        <x:v>328</x:v>
      </x:c>
    </x:row>
    <x:row r="16">
      <x:c r="A16" s="47" t="str">
        <x:v>RUN-I2-015-20260813T192515779622Z</x:v>
      </x:c>
      <x:c r="B16" s="47" t="str">
        <x:v>I2-015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106735de40849c52c3a78a24a9eda6708ccee63cfd6d870e90409c3b4f3fb6ac</x:v>
      </x:c>
      <x:c r="G16" s="59" t="n">
        <x:v>22862</x:v>
      </x:c>
    </x:row>
    <x:row r="17">
      <x:c r="A17" s="47" t="str">
        <x:v>RUN-I2-015-20260813T192515779622Z</x:v>
      </x:c>
      <x:c r="B17" s="47" t="str">
        <x:v>I2-015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0ba9b1f5c5535ca2ac858d24a4b4be5856a02ab5b042b1ef9b34639f5a400d81</x:v>
      </x:c>
      <x:c r="G17" s="59" t="n">
        <x:v>36106</x:v>
      </x:c>
    </x:row>
    <x:row r="18">
      <x:c r="A18" s="47" t="str">
        <x:v>RUN-I2-015-20260813T192515779622Z</x:v>
      </x:c>
      <x:c r="B18" s="47" t="str">
        <x:v>I2-015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07a0649d7331ffd2e2901458d1ef3f4ef71fbee453124345fb5be57807428a36</x:v>
      </x:c>
      <x:c r="G18" s="59" t="n">
        <x:v>10535</x:v>
      </x:c>
    </x:row>
    <x:row r="19">
      <x:c r="A19" s="47" t="str">
        <x:v>RUN-I2-015-20260813T192515779622Z</x:v>
      </x:c>
      <x:c r="B19" s="47" t="str">
        <x:v>I2-015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005fd0c1961fd88c3bedf662eb17ee13ab35d0b74c4064a82439ff3824f183fe</x:v>
      </x:c>
      <x:c r="G19" s="59" t="n">
        <x:v>10510</x:v>
      </x:c>
    </x:row>
    <x:row r="20">
      <x:c r="A20" s="47" t="str">
        <x:v>RUN-I2-015-20260813T192515779622Z</x:v>
      </x:c>
      <x:c r="B20" s="47" t="str">
        <x:v>I2-015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7f1a16afb862a55aaca5d31780bd8035a56b915c763a22ed29a084251788884a</x:v>
      </x:c>
      <x:c r="G20" s="59" t="n">
        <x:v>1206</x:v>
      </x:c>
    </x:row>
    <x:row r="21">
      <x:c r="A21" s="47" t="str">
        <x:v>RUN-I2-015-20260813T192515779622Z</x:v>
      </x:c>
      <x:c r="B21" s="47" t="str">
        <x:v>I2-015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49d59e5912483d1a3b5cbfd52b24d63af3ef2d503e89f82f40f660c96cab7e8d</x:v>
      </x:c>
      <x:c r="G21" s="59" t="n">
        <x:v>42956</x:v>
      </x:c>
    </x:row>
    <x:row r="22">
      <x:c r="A22" s="47" t="str">
        <x:v>RUN-I2-015-20260813T192515779622Z</x:v>
      </x:c>
      <x:c r="B22" s="47" t="str">
        <x:v>I2-015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0f509cc966331ff9f1f4192a8d9fe46dd080457181f12ad52a315eb84400ba69</x:v>
      </x:c>
      <x:c r="G22" s="59" t="n">
        <x:v>659</x:v>
      </x:c>
    </x:row>
    <x:row r="23">
      <x:c r="A23" s="47" t="str">
        <x:v>RUN-I2-015-20260813T192515779622Z</x:v>
      </x:c>
      <x:c r="B23" s="47" t="str">
        <x:v>I2-015</x:v>
      </x:c>
      <x:c r="C23" s="59" t="n">
        <x:v>3</x:v>
      </x:c>
      <x:c r="D23" s="47" t="str">
        <x:v>expanded_context_pack</x:v>
      </x:c>
      <x:c r="E23" s="48" t="str">
        <x:v>artifacts/attempt_03/context_pack_expanded.json</x:v>
      </x:c>
      <x:c r="F23" s="47" t="str">
        <x:v>106735de40849c52c3a78a24a9eda6708ccee63cfd6d870e90409c3b4f3fb6ac</x:v>
      </x:c>
      <x:c r="G23" s="59" t="n">
        <x:v>22862</x:v>
      </x:c>
    </x:row>
    <x:row r="24">
      <x:c r="A24" s="47" t="str">
        <x:v>RUN-I2-015-20260813T192515779622Z</x:v>
      </x:c>
      <x:c r="B24" s="47" t="str">
        <x:v>I2-015</x:v>
      </x:c>
      <x:c r="C24" s="59" t="n">
        <x:v>3</x:v>
      </x:c>
      <x:c r="D24" s="47" t="str">
        <x:v>generator_prompt</x:v>
      </x:c>
      <x:c r="E24" s="48" t="str">
        <x:v>artifacts/attempt_03/generator_prompt.txt</x:v>
      </x:c>
      <x:c r="F24" s="47" t="str">
        <x:v>8e293524622e2190203e558c313b7f22360077fd7bc6dbdd66a18a1f8cadc11b</x:v>
      </x:c>
      <x:c r="G24" s="59" t="n">
        <x:v>36708</x:v>
      </x:c>
    </x:row>
    <x:row r="25">
      <x:c r="A25" s="47" t="str">
        <x:v>RUN-I2-015-20260813T192515779622Z</x:v>
      </x:c>
      <x:c r="B25" s="47" t="str">
        <x:v>I2-015</x:v>
      </x:c>
      <x:c r="C25" s="59" t="n">
        <x:v>3</x:v>
      </x:c>
      <x:c r="D25" s="47" t="str">
        <x:v>generator_raw_response</x:v>
      </x:c>
      <x:c r="E25" s="48" t="str">
        <x:v>artifacts/attempt_03/generator_raw.txt</x:v>
      </x:c>
      <x:c r="F25" s="47" t="str">
        <x:v>bab2cf1f57d853743491d56d235ca3f45c6970149d499ab1ecf0b94e4c6351db</x:v>
      </x:c>
      <x:c r="G25" s="59" t="n">
        <x:v>10115</x:v>
      </x:c>
    </x:row>
    <x:row r="26">
      <x:c r="A26" s="47" t="str">
        <x:v>RUN-I2-015-20260813T192515779622Z</x:v>
      </x:c>
      <x:c r="B26" s="47" t="str">
        <x:v>I2-015</x:v>
      </x:c>
      <x:c r="C26" s="59" t="n">
        <x:v>3</x:v>
      </x:c>
      <x:c r="D26" s="47" t="str">
        <x:v>candidate_shape</x:v>
      </x:c>
      <x:c r="E26" s="48" t="str">
        <x:v>artifacts/attempt_03/candidate_shape.ttl</x:v>
      </x:c>
      <x:c r="F26" s="47" t="str">
        <x:v>2f4b6960c47cc54cc5c6e6e881ed093b479cd179f3515cedaeb9e40229f1b725</x:v>
      </x:c>
      <x:c r="G26" s="59" t="n">
        <x:v>10090</x:v>
      </x:c>
    </x:row>
    <x:row r="27">
      <x:c r="A27" s="47" t="str">
        <x:v>RUN-I2-015-20260813T192515779622Z</x:v>
      </x:c>
      <x:c r="B27" s="47" t="str">
        <x:v>I2-015</x:v>
      </x:c>
      <x:c r="C27" s="59" t="n">
        <x:v>3</x:v>
      </x:c>
      <x:c r="D27" s="47" t="str">
        <x:v>deterministic_validation</x:v>
      </x:c>
      <x:c r="E27" s="48" t="str">
        <x:v>artifacts/attempt_03/deterministic_validation.json</x:v>
      </x:c>
      <x:c r="F27" s="47" t="str">
        <x:v>667670dcb22c8c6c28623751b9736a1be60c2a6af4c4fc1ec0a6c4d11987ab3e</x:v>
      </x:c>
      <x:c r="G27" s="59" t="n">
        <x:v>1145</x:v>
      </x:c>
    </x:row>
    <x:row r="28">
      <x:c r="A28" s="47" t="str">
        <x:v>RUN-I2-015-20260813T192515779622Z</x:v>
      </x:c>
      <x:c r="B28" s="47" t="str">
        <x:v>I2-015</x:v>
      </x:c>
      <x:c r="C28" s="59" t="n">
        <x:v>3</x:v>
      </x:c>
      <x:c r="D28" s="47" t="str">
        <x:v>validator_prompt</x:v>
      </x:c>
      <x:c r="E28" s="48" t="str">
        <x:v>artifacts/attempt_03/validator_prompt_01.txt</x:v>
      </x:c>
      <x:c r="F28" s="47" t="str">
        <x:v>bf934b947ae74bbad1fea8e6b98386dcee6d8e6246a05900e13d142e559c7fbb</x:v>
      </x:c>
      <x:c r="G28" s="59" t="n">
        <x:v>42160</x:v>
      </x:c>
    </x:row>
    <x:row r="29">
      <x:c r="A29" s="47" t="str">
        <x:v>RUN-I2-015-20260813T192515779622Z</x:v>
      </x:c>
      <x:c r="B29" s="47" t="str">
        <x:v>I2-015</x:v>
      </x:c>
      <x:c r="C29" s="59" t="n">
        <x:v>3</x:v>
      </x:c>
      <x:c r="D29" s="47" t="str">
        <x:v>validator_raw_response</x:v>
      </x:c>
      <x:c r="E29" s="48" t="str">
        <x:v>artifacts/attempt_03/validator_raw_01.txt</x:v>
      </x:c>
      <x:c r="F29" s="47" t="str">
        <x:v>57b8bcd82228d82f1ae50da5f872275d71e12423bdf18656221232404199824f</x:v>
      </x:c>
      <x:c r="G29" s="59" t="n">
        <x:v>794</x:v>
      </x:c>
    </x:row>
    <x:row r="30">
      <x:c r="A30" s="47" t="str">
        <x:v>RUN-I2-015-20260813T192515779622Z</x:v>
      </x:c>
      <x:c r="B30" s="47" t="str">
        <x:v>I2-015</x:v>
      </x:c>
      <x:c r="C30" s="59" t="n">
        <x:v>3</x:v>
      </x:c>
      <x:c r="D30" s="47" t="str">
        <x:v>matcher_candidates</x:v>
      </x:c>
      <x:c r="E30" s="48" t="str">
        <x:v>artifacts/attempt_03/matcher_candidates.json</x:v>
      </x:c>
      <x:c r="F30" s="47" t="str">
        <x:v>c94bd194e1d6581cb7215e633380ee3107c5f78ab3cf8b02531a0c9a4af66f7d</x:v>
      </x:c>
      <x:c r="G30" s="59" t="n">
        <x:v>7702</x:v>
      </x:c>
    </x:row>
    <x:row r="31">
      <x:c r="A31" s="47" t="str">
        <x:v>RUN-I2-015-20260813T192515779622Z</x:v>
      </x:c>
      <x:c r="B31" s="47" t="str">
        <x:v>I2-015</x:v>
      </x:c>
      <x:c r="C31" s="59" t="n">
        <x:v>3</x:v>
      </x:c>
      <x:c r="D31" s="47" t="str">
        <x:v>vocabulary_matcher_prompt</x:v>
      </x:c>
      <x:c r="E31" s="48" t="str">
        <x:v>artifacts/attempt_03/vocabulary_matcher_prompt_01.txt</x:v>
      </x:c>
      <x:c r="F31" s="47" t="str">
        <x:v>488b766a48a891f762b496bb6732c3bea645a4923187b014383a05b6b1a67c3e</x:v>
      </x:c>
      <x:c r="G31" s="59" t="n">
        <x:v>13528</x:v>
      </x:c>
    </x:row>
    <x:row r="32">
      <x:c r="A32" s="49" t="str">
        <x:v>RUN-I2-015-20260813T192515779622Z</x:v>
      </x:c>
      <x:c r="B32" s="49" t="str">
        <x:v>I2-015</x:v>
      </x:c>
      <x:c r="C32" s="60" t="n">
        <x:v>3</x:v>
      </x:c>
      <x:c r="D32" s="49" t="str">
        <x:v>vocabulary_matcher_raw_response</x:v>
      </x:c>
      <x:c r="E32" s="50" t="str">
        <x:v>artifacts/attempt_03/vocabulary_matcher_raw_01.txt</x:v>
      </x:c>
      <x:c r="F32" s="49" t="str">
        <x:v>b9ea896d98ea5f99528163bf2b0266252344132ab9eae114dcecef9f0f9892e9</x:v>
      </x:c>
      <x:c r="G32" s="60" t="n">
        <x:v>312</x:v>
      </x:c>
    </x:row>
  </x:sheetData>
  <x:pageMargins left="0.7" right="0.7" top="0.75" bottom="0.75" header="0.3" footer="0.3"/>
  <x:tableParts count="1">
    <x:tablePart xmlns:r="http://schemas.openxmlformats.org/officeDocument/2006/relationships" r:id="R98669944f752459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RUN-I2-015-20260813T192515779622Z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RUN-I2-015-20260813T192515779622Z</x:v>
      </x:c>
      <x:c r="B5" s="69" t="str">
        <x:v>I2-015</x:v>
      </x:c>
      <x:c r="C5" s="71" t="n">
        <x:v>3</x:v>
      </x:c>
      <x:c r="D5" s="69" t="str">
        <x:v>MAX_ATTEMPTS_REACHED</x:v>
      </x:c>
      <x:c r="E5" s="73" t="str">
        <x:v>Add the canonical applicability selector for bow forms defined in I2.3.1(v); do not treat presence/absence of hasBowSubregionCalculationCase as applicability. Locate the canonical relationship needed to reach the tableLookupCase owner for C_FC and C_FF. Move bowSubregionMidLengthPosition and bowShapeCoefficient to each bowSubregionCalculationCase, keep alpha_i on that same case, and calculate/validate f_ai per case; place C_FC and C_FF only on their declared tableLookupCase owner. Replace the current tolerance logic with bounds derived from the expected min(f_ai1,f_ai2,0.60), including absolute tolerance around that expected result rather than reported f_ai, while retaining all formula operands and the D_UI^0.64 exponent.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a20bb42e34406d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RUN-I2-015-20260813T192515779622Z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