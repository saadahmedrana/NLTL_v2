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8e96bca394d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ec6e3a4874479d"/>
    <x:sheet xmlns:r="http://schemas.openxmlformats.org/officeDocument/2006/relationships" name="README" sheetId="2" r:id="Rd065e96898924392"/>
    <x:sheet xmlns:r="http://schemas.openxmlformats.org/officeDocument/2006/relationships" name="REGULATION_QUEUE" sheetId="3" r:id="Ra5ee04a0dc514e5f"/>
    <x:sheet xmlns:r="http://schemas.openxmlformats.org/officeDocument/2006/relationships" name="RUNS" sheetId="4" r:id="R199f7fb38a2949a4"/>
    <x:sheet xmlns:r="http://schemas.openxmlformats.org/officeDocument/2006/relationships" name="ITERATIONS" sheetId="5" r:id="R44e932d76c0b4fa8"/>
    <x:sheet xmlns:r="http://schemas.openxmlformats.org/officeDocument/2006/relationships" name="API_CALLS" sheetId="6" r:id="Rc0eee1c7d0b24f49"/>
    <x:sheet xmlns:r="http://schemas.openxmlformats.org/officeDocument/2006/relationships" name="TERM_RETRIEVAL" sheetId="7" r:id="Re2bb5c4374164016"/>
    <x:sheet xmlns:r="http://schemas.openxmlformats.org/officeDocument/2006/relationships" name="FEW_SHOT_SELECTION" sheetId="8" r:id="R4c51ea07eb324ad1"/>
    <x:sheet xmlns:r="http://schemas.openxmlformats.org/officeDocument/2006/relationships" name="VALIDATION" sheetId="9" r:id="R63d9e717b47745c3"/>
    <x:sheet xmlns:r="http://schemas.openxmlformats.org/officeDocument/2006/relationships" name="VOCAB_MATCHES" sheetId="10" r:id="R5a965e07a58c4ccd"/>
    <x:sheet xmlns:r="http://schemas.openxmlformats.org/officeDocument/2006/relationships" name="ARTIFACTS" sheetId="11" r:id="R66a53bd984b047ea"/>
    <x:sheet xmlns:r="http://schemas.openxmlformats.org/officeDocument/2006/relationships" name="UNRESOLVED" sheetId="12" r:id="Rd7c4f83b71274ce8"/>
    <x:sheet xmlns:r="http://schemas.openxmlformats.org/officeDocument/2006/relationships" name="RDF_TEST_QUEUE" sheetId="13" r:id="R0383cae22c9e49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cb944227744344" /><Relationship Type="http://schemas.openxmlformats.org/officeDocument/2006/relationships/theme" Target="/xl/theme/theme1.xml" Id="R08b9bd8ff6464fba" /><Relationship Type="http://schemas.microsoft.com/office/2022/11/relationships/FeaturePropertyBag" Target="/xl/featurePropertyBag/featurePropertyBag.xml" Id="Ra147fae3860b4c5e" /><Relationship Type="http://schemas.openxmlformats.org/officeDocument/2006/relationships/sharedStrings" Target="/xl/sharedStrings.xml" Id="Ree8e4428e1884ebe" /><Relationship Type="http://schemas.openxmlformats.org/officeDocument/2006/relationships/worksheet" Target="/xl/worksheets/sheet1.xml" Id="Raeec6e3a4874479d" /><Relationship Type="http://schemas.openxmlformats.org/officeDocument/2006/relationships/worksheet" Target="/xl/worksheets/sheet2.xml" Id="Rd065e96898924392" /><Relationship Type="http://schemas.openxmlformats.org/officeDocument/2006/relationships/worksheet" Target="/xl/worksheets/sheet3.xml" Id="Ra5ee04a0dc514e5f" /><Relationship Type="http://schemas.openxmlformats.org/officeDocument/2006/relationships/worksheet" Target="/xl/worksheets/sheet4.xml" Id="R199f7fb38a2949a4" /><Relationship Type="http://schemas.openxmlformats.org/officeDocument/2006/relationships/worksheet" Target="/xl/worksheets/sheet5.xml" Id="R44e932d76c0b4fa8" /><Relationship Type="http://schemas.openxmlformats.org/officeDocument/2006/relationships/worksheet" Target="/xl/worksheets/sheet6.xml" Id="Rc0eee1c7d0b24f49" /><Relationship Type="http://schemas.openxmlformats.org/officeDocument/2006/relationships/worksheet" Target="/xl/worksheets/sheet7.xml" Id="Re2bb5c4374164016" /><Relationship Type="http://schemas.openxmlformats.org/officeDocument/2006/relationships/worksheet" Target="/xl/worksheets/sheet8.xml" Id="R4c51ea07eb324ad1" /><Relationship Type="http://schemas.openxmlformats.org/officeDocument/2006/relationships/worksheet" Target="/xl/worksheets/sheet9.xml" Id="R63d9e717b47745c3" /><Relationship Type="http://schemas.openxmlformats.org/officeDocument/2006/relationships/worksheet" Target="/xl/worksheets/sheet10.xml" Id="R5a965e07a58c4ccd" /><Relationship Type="http://schemas.openxmlformats.org/officeDocument/2006/relationships/worksheet" Target="/xl/worksheets/sheet11.xml" Id="R66a53bd984b047ea" /><Relationship Type="http://schemas.openxmlformats.org/officeDocument/2006/relationships/worksheet" Target="/xl/worksheets/sheet12.xml" Id="Rd7c4f83b71274ce8" /><Relationship Type="http://schemas.openxmlformats.org/officeDocument/2006/relationships/worksheet" Target="/xl/worksheets/sheet13.xml" Id="R0383cae22c9e49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c6deceb29444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dade41c1db4b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83f883427a40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49fb71198045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285ba0e62d44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94f0d1b712443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83e982e72a43a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594876e33a403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d6bdcb60b9749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cf81029ae0c45c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a39f64d851243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RUN-I2-017-20260813T192933349104Z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20092.339666666663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RUN-I2-017-20260813T192933349104Z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ec6deceb29444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RUN-I2-017-20260813T192933349104Z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TERM_RESOLUTION_UNRESOLVED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dade41c1db4b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RUN-I2-017-20260813T192933349104Z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RUN-I2-017-20260813T192933349104Z</x:v>
      </x:c>
      <x:c r="C5" s="69" t="str">
        <x:v>I2-017</x:v>
      </x:c>
      <x:c r="D5" s="70" t="n">
        <x:v>46247.812191550925</x:v>
      </x:c>
      <x:c r="E5" s="70" t="n">
        <x:v>46247.81361292824</x:v>
      </x:c>
      <x:c r="F5" s="69" t="str">
        <x:v>0.10.0-dev-r10-graph-completion</x:v>
      </x:c>
      <x:c r="G5" s="69" t="str">
        <x:v>VOCAB-DEV-2026-08-13-R10-GRAPH-COMPLETION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supported for the CF_DIS term: the candidates represent a non-bow calculation case, non-bow ice line load, upper ice waterline draught D_UI, or the generic calculation-case class.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83f883427a40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RUN-I2-017-20260813T192933349104Z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RUN-I2-017-20260813T192933349104Z</x:v>
      </x:c>
      <x:c r="B5" s="45" t="str">
        <x:v>I2-017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Add the missing formula-derived validation and all declared operands: require crushingFailureClassFactor and loadPatchDimensionClassFactor on the ship, validate shipDisplacementFactor using its piecewise D_UI/CF_DIS expression, validate nonBowIceForce = 0.36*CFC*DF with the required MN-to-kN conversion, and validate nonBowIceLineLoad = 0.639*FNonBow^0.61*CFD using tolerances scaled from each expected result. Locate canonical terms for D_UI and CF_DIS via the variable matcher, since they are required by the COMPLETE formula expression but absent from the supplied scoped vocabulary. Keep ship-owned terms on the ship and case-owned force, line load, and DF on the nonBowIceLoadCalculationCase.</x:v>
      </x:c>
      <x:c r="I5" s="81" t="n">
        <x:v>47205.432</x:v>
      </x:c>
      <x:c r="J5" s="81" t="n">
        <x:v>6258.169</x:v>
      </x:c>
    </x:row>
    <x:row r="6">
      <x:c r="A6" s="49" t="str">
        <x:v>RUN-I2-017-20260813T192933349104Z</x:v>
      </x:c>
      <x:c r="B6" s="49" t="str">
        <x:v>I2-017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Complete the declared formula contract: locate and use the canonical CF_DIS term, enforce the piecewise DF formula from D_UI and CF_DIS, and add bounded formula constraints for Q_NonBow = 0.639 * F_NonBow^0.61 * CFD as well as the existing force formula. Apply each formula on the linked nonBowIceLoadCalculationCase using its paired operands/results, preserve expected-result-scaled tolerance, and retain all declared operands and required owner paths.</x:v>
      </x:c>
      <x:c r="I6" s="83" t="n">
        <x:v>48626.992</x:v>
      </x:c>
      <x:c r="J6" s="83" t="n">
        <x:v>13489.596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49fb71198045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RUN-I2-017-20260813T192933349104Z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RUN-I2-017-20260813T192933349104Z</x:v>
      </x:c>
      <x:c r="C5" s="45" t="str">
        <x:v>I2-017</x:v>
      </x:c>
      <x:c r="D5" s="90" t="n">
        <x:v>46247.81273792824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47203.501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RUN-I2-017-20260813T192933349104Z</x:v>
      </x:c>
      <x:c r="C6" s="47" t="str">
        <x:v>I2-017</x:v>
      </x:c>
      <x:c r="D6" s="91" t="n">
        <x:v>46247.81273795139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47205.432</x:v>
      </x:c>
      <x:c r="L6" s="93" t="b">
        <x:v>0</x:v>
      </x:c>
      <x:c r="M6" s="47" t="str">
        <x:v>resp_06de945089b49ce8006a7e1b1e11448190bda6d8635b36efe8</x:v>
      </x:c>
      <x:c r="N6" s="59" t="n">
        <x:v>9153</x:v>
      </x:c>
      <x:c r="O6" s="59" t="n">
        <x:v>3739</x:v>
      </x:c>
      <x:c r="P6" s="59" t="n">
        <x:v>12892</x:v>
      </x:c>
    </x:row>
    <x:row r="7">
      <x:c r="A7" s="47" t="str">
        <x:v>EVT-000033</x:v>
      </x:c>
      <x:c r="B7" s="47" t="str">
        <x:v>RUN-I2-017-20260813T192933349104Z</x:v>
      </x:c>
      <x:c r="C7" s="47" t="str">
        <x:v>I2-017</x:v>
      </x:c>
      <x:c r="D7" s="91" t="n">
        <x:v>46247.81281256944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6256.513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RUN-I2-017-20260813T192933349104Z</x:v>
      </x:c>
      <x:c r="C8" s="47" t="str">
        <x:v>I2-017</x:v>
      </x:c>
      <x:c r="D8" s="91" t="n">
        <x:v>46247.812812592594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6258.169</x:v>
      </x:c>
      <x:c r="L8" s="93" t="b">
        <x:v>0</x:v>
      </x:c>
      <x:c r="M8" s="47" t="str">
        <x:v>resp_04c42151d417995d006a7e1b4ceebc8193ba826f1737592e06</x:v>
      </x:c>
      <x:c r="N8" s="59" t="n">
        <x:v>9699</x:v>
      </x:c>
      <x:c r="O8" s="59" t="n">
        <x:v>544</x:v>
      </x:c>
      <x:c r="P8" s="59" t="n">
        <x:v>10243</x:v>
      </x:c>
    </x:row>
    <x:row r="9">
      <x:c r="A9" s="47" t="str">
        <x:v>EVT-000040</x:v>
      </x:c>
      <x:c r="B9" s="47" t="str">
        <x:v>RUN-I2-017-20260813T192933349104Z</x:v>
      </x:c>
      <x:c r="C9" s="47" t="str">
        <x:v>I2-017</x:v>
      </x:c>
      <x:c r="D9" s="91" t="n">
        <x:v>46247.81285792824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2866.011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RUN-I2-017-20260813T192933349104Z</x:v>
      </x:c>
      <x:c r="C10" s="47" t="str">
        <x:v>I2-017</x:v>
      </x:c>
      <x:c r="D10" s="91" t="n">
        <x:v>46247.81285795139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2867.612</x:v>
      </x:c>
      <x:c r="L10" s="93" t="b">
        <x:v>0</x:v>
      </x:c>
      <x:c r="M10" s="47" t="str">
        <x:v>resp_080de12dc89ab4dc006a7e1b54434081938b7b01d49ea080e8</x:v>
      </x:c>
      <x:c r="N10" s="59" t="n">
        <x:v>3892</x:v>
      </x:c>
      <x:c r="O10" s="59" t="n">
        <x:v>195</x:v>
      </x:c>
      <x:c r="P10" s="59" t="n">
        <x:v>4087</x:v>
      </x:c>
    </x:row>
    <x:row r="11">
      <x:c r="A11" s="47" t="str">
        <x:v>EVT-000066</x:v>
      </x:c>
      <x:c r="B11" s="47" t="str">
        <x:v>RUN-I2-017-20260813T192933349104Z</x:v>
      </x:c>
      <x:c r="C11" s="47" t="str">
        <x:v>I2-017</x:v>
      </x:c>
      <x:c r="D11" s="91" t="n">
        <x:v>46247.81342086806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48625.118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EVT-000067</x:v>
      </x:c>
      <x:c r="B12" s="47" t="str">
        <x:v>RUN-I2-017-20260813T192933349104Z</x:v>
      </x:c>
      <x:c r="C12" s="47" t="str">
        <x:v>I2-017</x:v>
      </x:c>
      <x:c r="D12" s="91" t="n">
        <x:v>46247.81342090278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48626.992</x:v>
      </x:c>
      <x:c r="L12" s="93" t="b">
        <x:v>0</x:v>
      </x:c>
      <x:c r="M12" s="47" t="str">
        <x:v>resp_0155c2723731f648006a7e1b57113c8196a91696143d0b3ed6</x:v>
      </x:c>
      <x:c r="N12" s="59" t="n">
        <x:v>9686</x:v>
      </x:c>
      <x:c r="O12" s="59" t="n">
        <x:v>4132</x:v>
      </x:c>
      <x:c r="P12" s="59" t="n">
        <x:v>13818</x:v>
      </x:c>
    </x:row>
    <x:row r="13">
      <x:c r="A13" s="47" t="str">
        <x:v>EVT-000074</x:v>
      </x:c>
      <x:c r="B13" s="47" t="str">
        <x:v>RUN-I2-017-20260813T192933349104Z</x:v>
      </x:c>
      <x:c r="C13" s="47" t="str">
        <x:v>I2-017</x:v>
      </x:c>
      <x:c r="D13" s="91" t="n">
        <x:v>46247.813579699075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13488.031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EVT-000075</x:v>
      </x:c>
      <x:c r="B14" s="47" t="str">
        <x:v>RUN-I2-017-20260813T192933349104Z</x:v>
      </x:c>
      <x:c r="C14" s="47" t="str">
        <x:v>I2-017</x:v>
      </x:c>
      <x:c r="D14" s="91" t="n">
        <x:v>46247.81357972222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13489.596</x:v>
      </x:c>
      <x:c r="L14" s="93" t="b">
        <x:v>0</x:v>
      </x:c>
      <x:c r="M14" s="47" t="str">
        <x:v>resp_05d187546912b594006a7e1b884fbc8194b322a7211ab4f73e</x:v>
      </x:c>
      <x:c r="N14" s="59" t="n">
        <x:v>11185</x:v>
      </x:c>
      <x:c r="O14" s="59" t="n">
        <x:v>521</x:v>
      </x:c>
      <x:c r="P14" s="59" t="n">
        <x:v>11706</x:v>
      </x:c>
    </x:row>
    <x:row r="15">
      <x:c r="A15" s="47" t="str">
        <x:v>EVT-000081</x:v>
      </x:c>
      <x:c r="B15" s="47" t="str">
        <x:v>RUN-I2-017-20260813T192933349104Z</x:v>
      </x:c>
      <x:c r="C15" s="47" t="str">
        <x:v>I2-017</x:v>
      </x:c>
      <x:c r="D15" s="91" t="n">
        <x:v>46247.813612881946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2109.773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EVT-000082</x:v>
      </x:c>
      <x:c r="B16" s="49" t="str">
        <x:v>RUN-I2-017-20260813T192933349104Z</x:v>
      </x:c>
      <x:c r="C16" s="49" t="str">
        <x:v>I2-017</x:v>
      </x:c>
      <x:c r="D16" s="94" t="n">
        <x:v>46247.81361290509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2111.328</x:v>
      </x:c>
      <x:c r="L16" s="82" t="b">
        <x:v>0</x:v>
      </x:c>
      <x:c r="M16" s="49" t="str">
        <x:v>resp_02123f32332c6de6006a7e1b9622d8819393d20b9b8a003f23</x:v>
      </x:c>
      <x:c r="N16" s="60" t="n">
        <x:v>2233</x:v>
      </x:c>
      <x:c r="O16" s="60" t="n">
        <x:v>136</x:v>
      </x:c>
      <x:c r="P16" s="60" t="n">
        <x:v>2369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285ba0e62d449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RUN-I2-017-20260813T192933349104Z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RUN-I2-017-20260813T192933349104Z</x:v>
      </x:c>
      <x:c r="B5" s="45" t="str">
        <x:v>I2-017</x:v>
      </x:c>
      <x:c r="C5" s="45" t="str">
        <x:v>averageIcePressure</x:v>
      </x:c>
      <x:c r="D5" s="46" t="str">
        <x:v>https://w3id.org/nltl-benchmark/vocab#averageIcePressure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RUN-I2-017-20260813T192933349104Z</x:v>
      </x:c>
      <x:c r="B6" s="47" t="str">
        <x:v>I2-017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nonBowIceForce; domain dependency of nonBowLineLoad; domain dependency of nonBowLoadPatchHeight; domain dependency of nonBowLoadPatchLength</x:v>
      </x:c>
      <x:c r="J6" s="47" t="n">
        <x:v>0</x:v>
      </x:c>
    </x:row>
    <x:row r="7">
      <x:c r="A7" s="47" t="str">
        <x:v>RUN-I2-017-20260813T192933349104Z</x:v>
      </x:c>
      <x:c r="B7" s="47" t="str">
        <x:v>I2-017</x:v>
      </x:c>
      <x:c r="C7" s="47" t="str">
        <x:v>calculationCase</x:v>
      </x:c>
      <x:c r="D7" s="48" t="str">
        <x:v>https://w3id.org/nltl-benchmark/vocab#calculationCase</x:v>
      </x:c>
      <x:c r="E7" s="47" t="str">
        <x:v>Class</x:v>
      </x:c>
      <x:c r="F7" s="47" t="str"/>
      <x:c r="G7" s="47" t="str">
        <x:v>https://w3id.org/nltl-benchmark/vocab#benchmarkEntity</x:v>
      </x:c>
      <x:c r="H7" s="47" t="str"/>
      <x:c r="I7" s="48" t="str">
        <x:v>domain dependency of shipDisplacementFactor; range dependency of nonBowIceLoadCalculationCase</x:v>
      </x:c>
      <x:c r="J7" s="47" t="n">
        <x:v>0</x:v>
      </x:c>
    </x:row>
    <x:row r="8">
      <x:c r="A8" s="47" t="str">
        <x:v>RUN-I2-017-20260813T192933349104Z</x:v>
      </x:c>
      <x:c r="B8" s="47" t="str">
        <x:v>I2-017</x:v>
      </x:c>
      <x:c r="C8" s="47" t="str">
        <x:v>crushingFailureClassFactor</x:v>
      </x:c>
      <x:c r="D8" s="48" t="str">
        <x:v>https://w3id.org/nltl-benchmark/vocab#crushingFailureClassFactor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RUN-I2-017-20260813T192933349104Z</x:v>
      </x:c>
      <x:c r="B9" s="47" t="str">
        <x:v>I2-017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RUN-I2-017-20260813T192933349104Z</x:v>
      </x:c>
      <x:c r="B10" s="47" t="str">
        <x:v>I2-017</x:v>
      </x:c>
      <x:c r="C10" s="47" t="str">
        <x:v>hasNonBowIceLoadCalculationCase</x:v>
      </x:c>
      <x:c r="D10" s="48" t="str">
        <x:v>https://w3id.org/nltl-benchmark/vocab#hasNonBowIceLoadCalculationCase</x:v>
      </x:c>
      <x:c r="E10" s="47" t="str">
        <x:v>ObjectProperty</x:v>
      </x:c>
      <x:c r="F10" s="47" t="str"/>
      <x:c r="G10" s="47" t="str">
        <x:v>https://w3id.org/nltl-benchmark/vocab#nonBowIceLoadCalculationCase</x:v>
      </x:c>
      <x:c r="H10" s="47" t="str"/>
      <x:c r="I10" s="48" t="str">
        <x:v>canonical path from target owner ship to required owner nonBowIceLoadCalculationCase; linked by the locked 313-requirement index</x:v>
      </x:c>
      <x:c r="J10" s="47" t="n">
        <x:v>0</x:v>
      </x:c>
    </x:row>
    <x:row r="11">
      <x:c r="A11" s="47" t="str">
        <x:v>RUN-I2-017-20260813T192933349104Z</x:v>
      </x:c>
      <x:c r="B11" s="47" t="str">
        <x:v>I2-017</x:v>
      </x:c>
      <x:c r="C11" s="47" t="str">
        <x:v>loadPatchDimensionClassFactor</x:v>
      </x:c>
      <x:c r="D11" s="48" t="str">
        <x:v>https://w3id.org/nltl-benchmark/vocab#loadPatchDimensionClassFactor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RUN-I2-017-20260813T192933349104Z</x:v>
      </x:c>
      <x:c r="B12" s="47" t="str">
        <x:v>I2-017</x:v>
      </x:c>
      <x:c r="C12" s="47" t="str">
        <x:v>nonBowIceForce</x:v>
      </x:c>
      <x:c r="D12" s="48" t="str">
        <x:v>https://w3id.org/nltl-benchmark/vocab#nonBowIceForce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http://qudt.org/vocab/unit/KiloN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RUN-I2-017-20260813T192933349104Z</x:v>
      </x:c>
      <x:c r="B13" s="47" t="str">
        <x:v>I2-017</x:v>
      </x:c>
      <x:c r="C13" s="47" t="str">
        <x:v>nonBowIceLineLoad</x:v>
      </x:c>
      <x:c r="D13" s="48" t="str">
        <x:v>https://w3id.org/nltl-benchmark/vocab#nonBowIceLineLoad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http://qudt.org/vocab/unit/MegaN-M-PER-M2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RUN-I2-017-20260813T192933349104Z</x:v>
      </x:c>
      <x:c r="B14" s="47" t="str">
        <x:v>I2-017</x:v>
      </x:c>
      <x:c r="C14" s="47" t="str">
        <x:v>nonBowIceLoadCalculationCase</x:v>
      </x:c>
      <x:c r="D14" s="48" t="str">
        <x:v>https://w3id.org/nltl-benchmark/vocab#nonBowIceLoadCalculationCase</x:v>
      </x:c>
      <x:c r="E14" s="47" t="str">
        <x:v>Class</x:v>
      </x:c>
      <x:c r="F14" s="47" t="str"/>
      <x:c r="G14" s="47" t="str">
        <x:v>https://w3id.org/nltl-benchmark/vocab#calculationCase</x:v>
      </x:c>
      <x:c r="H14" s="47" t="str"/>
      <x:c r="I14" s="48" t="str">
        <x:v>authoritative required owner class; domain dependency of nonBowIceLineLoad; linked by the locked 313-requirement index; range dependency of hasNonBowIceLoadCalculationCase</x:v>
      </x:c>
      <x:c r="J14" s="47" t="n">
        <x:v>0</x:v>
      </x:c>
    </x:row>
    <x:row r="15">
      <x:c r="A15" s="47" t="str">
        <x:v>RUN-I2-017-20260813T192933349104Z</x:v>
      </x:c>
      <x:c r="B15" s="47" t="str">
        <x:v>I2-017</x:v>
      </x:c>
      <x:c r="C15" s="47" t="str">
        <x:v>nonBowLineLoad</x:v>
      </x:c>
      <x:c r="D15" s="48" t="str">
        <x:v>https://w3id.org/nltl-benchmark/vocab#nonBowLineLoad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http://qudt.org/vocab/unit/KiloN-PER-M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RUN-I2-017-20260813T192933349104Z</x:v>
      </x:c>
      <x:c r="B16" s="47" t="str">
        <x:v>I2-017</x:v>
      </x:c>
      <x:c r="C16" s="47" t="str">
        <x:v>nonBowLoadPatchHeight</x:v>
      </x:c>
      <x:c r="D16" s="48" t="str">
        <x:v>https://w3id.org/nltl-benchmark/vocab#nonBowLoadPatchHeight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RUN-I2-017-20260813T192933349104Z</x:v>
      </x:c>
      <x:c r="B17" s="47" t="str">
        <x:v>I2-017</x:v>
      </x:c>
      <x:c r="C17" s="47" t="str">
        <x:v>nonBowLoadPatchLength</x:v>
      </x:c>
      <x:c r="D17" s="48" t="str">
        <x:v>https://w3id.org/nltl-benchmark/vocab#nonBowLoadPatchLength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RUN-I2-017-20260813T192933349104Z</x:v>
      </x:c>
      <x:c r="B18" s="47" t="str">
        <x:v>I2-017</x:v>
      </x:c>
      <x:c r="C18" s="47" t="str">
        <x:v>ship</x:v>
      </x:c>
      <x:c r="D18" s="48" t="str">
        <x:v>https://w3id.org/nltl-benchmark/vocab#ship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hasNonBowIceLoadCalculationCase</x:v>
      </x:c>
      <x:c r="J18" s="47" t="n">
        <x:v>0</x:v>
      </x:c>
    </x:row>
    <x:row r="19">
      <x:c r="A19" s="47" t="str">
        <x:v>RUN-I2-017-20260813T192933349104Z</x:v>
      </x:c>
      <x:c r="B19" s="47" t="str">
        <x:v>I2-017</x:v>
      </x:c>
      <x:c r="C19" s="47" t="str">
        <x:v>shipComponent</x:v>
      </x:c>
      <x:c r="D19" s="48" t="str">
        <x:v>https://w3id.org/nltl-benchmark/vocab#shipComponent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RUN-I2-017-20260813T192933349104Z</x:v>
      </x:c>
      <x:c r="B20" s="47" t="str">
        <x:v>I2-017</x:v>
      </x:c>
      <x:c r="C20" s="47" t="str">
        <x:v>shipDisplacementFactor</x:v>
      </x:c>
      <x:c r="D20" s="48" t="str">
        <x:v>https://w3id.org/nltl-benchmark/vocab#shipDisplacementFactor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RUN-I2-017-20260813T192933349104Z</x:v>
      </x:c>
      <x:c r="B21" s="47" t="str">
        <x:v>I2-017</x:v>
      </x:c>
      <x:c r="C21" s="47" t="str">
        <x:v>tableLookupCase</x:v>
      </x:c>
      <x:c r="D21" s="48" t="str">
        <x:v>https://w3id.org/nltl-benchmark/vocab#tableLookupCase</x:v>
      </x:c>
      <x:c r="E21" s="47" t="str">
        <x:v>Class</x:v>
      </x:c>
      <x:c r="F21" s="47" t="str"/>
      <x:c r="G21" s="47" t="str">
        <x:v>https://w3id.org/nltl-benchmark/vocab#calculationCase</x:v>
      </x:c>
      <x:c r="H21" s="47" t="str"/>
      <x:c r="I21" s="48" t="str">
        <x:v>domain dependency of crushingFailureClassFactor; domain dependency of loadPatchDimensionClassFactor</x:v>
      </x:c>
      <x:c r="J21" s="47" t="n">
        <x:v>0</x:v>
      </x:c>
    </x:row>
    <x:row r="22">
      <x:c r="A22" s="47" t="str">
        <x:v>RUN-I2-017-20260813T192933349104Z</x:v>
      </x:c>
      <x:c r="B22" s="47" t="str">
        <x:v>I2-017</x:v>
      </x:c>
      <x:c r="C22" s="47" t="str">
        <x:v>averageIcePressure</x:v>
      </x:c>
      <x:c r="D22" s="48" t="str">
        <x:v>https://w3id.org/nltl-benchmark/vocab#averageIcePressure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2</x:v>
      </x:c>
    </x:row>
    <x:row r="23">
      <x:c r="A23" s="47" t="str">
        <x:v>RUN-I2-017-20260813T192933349104Z</x:v>
      </x:c>
      <x:c r="B23" s="47" t="str">
        <x:v>I2-017</x:v>
      </x:c>
      <x:c r="C23" s="47" t="str">
        <x:v>benchmarkEntity</x:v>
      </x:c>
      <x:c r="D23" s="48" t="str">
        <x:v>https://w3id.org/nltl-benchmark/vocab#benchmarkEntity</x:v>
      </x:c>
      <x:c r="E23" s="47" t="str">
        <x:v>Class</x:v>
      </x:c>
      <x:c r="F23" s="47" t="str"/>
      <x:c r="G23" s="47" t="str"/>
      <x:c r="H23" s="47" t="str"/>
      <x:c r="I23" s="48" t="str">
        <x:v>baseline target infrastructure; domain dependency of averageIcePressure; domain dependency of nonBowIceForce; domain dependency of nonBowLineLoad; domain dependency of nonBowLoadPatchHeight; domain dependency of nonBowLoadPatchLength</x:v>
      </x:c>
      <x:c r="J23" s="47" t="n">
        <x:v>2</x:v>
      </x:c>
    </x:row>
    <x:row r="24">
      <x:c r="A24" s="47" t="str">
        <x:v>RUN-I2-017-20260813T192933349104Z</x:v>
      </x:c>
      <x:c r="B24" s="47" t="str">
        <x:v>I2-017</x:v>
      </x:c>
      <x:c r="C24" s="47" t="str">
        <x:v>calculationCase</x:v>
      </x:c>
      <x:c r="D24" s="48" t="str">
        <x:v>https://w3id.org/nltl-benchmark/vocab#calculationCase</x:v>
      </x:c>
      <x:c r="E24" s="47" t="str">
        <x:v>Class</x:v>
      </x:c>
      <x:c r="F24" s="47" t="str"/>
      <x:c r="G24" s="47" t="str">
        <x:v>https://w3id.org/nltl-benchmark/vocab#benchmarkEntity</x:v>
      </x:c>
      <x:c r="H24" s="47" t="str"/>
      <x:c r="I24" s="48" t="str">
        <x:v>domain dependency of shipDisplacementFactor; range dependency of nonBowIceLoadCalculationCase</x:v>
      </x:c>
      <x:c r="J24" s="47" t="n">
        <x:v>2</x:v>
      </x:c>
    </x:row>
    <x:row r="25">
      <x:c r="A25" s="47" t="str">
        <x:v>RUN-I2-017-20260813T192933349104Z</x:v>
      </x:c>
      <x:c r="B25" s="47" t="str">
        <x:v>I2-017</x:v>
      </x:c>
      <x:c r="C25" s="47" t="str">
        <x:v>crushingFailureClassFactor</x:v>
      </x:c>
      <x:c r="D25" s="48" t="str">
        <x:v>https://w3id.org/nltl-benchmark/vocab#crushingFailureClassFactor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2</x:v>
      </x:c>
    </x:row>
    <x:row r="26">
      <x:c r="A26" s="47" t="str">
        <x:v>RUN-I2-017-20260813T192933349104Z</x:v>
      </x:c>
      <x:c r="B26" s="47" t="str">
        <x:v>I2-017</x:v>
      </x:c>
      <x:c r="C26" s="47" t="str">
        <x:v>hasComponent</x:v>
      </x:c>
      <x:c r="D26" s="48" t="str">
        <x:v>https://w3id.org/nltl-benchmark/vocab#hasComponent</x:v>
      </x:c>
      <x:c r="E26" s="47" t="str">
        <x:v>ObjectProperty</x:v>
      </x:c>
      <x:c r="F26" s="47" t="str"/>
      <x:c r="G26" s="47" t="str">
        <x:v>https://w3id.org/nltl-benchmark/vocab#shipComponent</x:v>
      </x:c>
      <x:c r="H26" s="47" t="str"/>
      <x:c r="I26" s="48" t="str">
        <x:v>component-path dependency inferred from the linked term module</x:v>
      </x:c>
      <x:c r="J26" s="47" t="n">
        <x:v>2</x:v>
      </x:c>
    </x:row>
    <x:row r="27">
      <x:c r="A27" s="47" t="str">
        <x:v>RUN-I2-017-20260813T192933349104Z</x:v>
      </x:c>
      <x:c r="B27" s="47" t="str">
        <x:v>I2-017</x:v>
      </x:c>
      <x:c r="C27" s="47" t="str">
        <x:v>hasNonBowIceLoadCalculationCase</x:v>
      </x:c>
      <x:c r="D27" s="48" t="str">
        <x:v>https://w3id.org/nltl-benchmark/vocab#hasNonBowIceLoadCalculationCase</x:v>
      </x:c>
      <x:c r="E27" s="47" t="str">
        <x:v>ObjectProperty</x:v>
      </x:c>
      <x:c r="F27" s="47" t="str"/>
      <x:c r="G27" s="47" t="str">
        <x:v>https://w3id.org/nltl-benchmark/vocab#nonBowIceLoadCalculationCase</x:v>
      </x:c>
      <x:c r="H27" s="47" t="str"/>
      <x:c r="I27" s="48" t="str">
        <x:v>canonical path from target owner ship to required owner nonBowIceLoadCalculationCase; linked by the locked 313-requirement index</x:v>
      </x:c>
      <x:c r="J27" s="47" t="n">
        <x:v>2</x:v>
      </x:c>
    </x:row>
    <x:row r="28">
      <x:c r="A28" s="47" t="str">
        <x:v>RUN-I2-017-20260813T192933349104Z</x:v>
      </x:c>
      <x:c r="B28" s="47" t="str">
        <x:v>I2-017</x:v>
      </x:c>
      <x:c r="C28" s="47" t="str">
        <x:v>loadPatchDimensionClassFactor</x:v>
      </x:c>
      <x:c r="D28" s="48" t="str">
        <x:v>https://w3id.org/nltl-benchmark/vocab#loadPatchDimensionClassFactor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http://qudt.org/vocab/unit/UNITLESS</x:v>
      </x:c>
      <x:c r="I28" s="48" t="str">
        <x:v>linked by the locked 313-requirement index</x:v>
      </x:c>
      <x:c r="J28" s="47" t="n">
        <x:v>2</x:v>
      </x:c>
    </x:row>
    <x:row r="29">
      <x:c r="A29" s="47" t="str">
        <x:v>RUN-I2-017-20260813T192933349104Z</x:v>
      </x:c>
      <x:c r="B29" s="47" t="str">
        <x:v>I2-017</x:v>
      </x:c>
      <x:c r="C29" s="47" t="str">
        <x:v>nonBowIceForce</x:v>
      </x:c>
      <x:c r="D29" s="48" t="str">
        <x:v>https://w3id.org/nltl-benchmark/vocab#nonBowIceForce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http://qudt.org/vocab/unit/KiloN</x:v>
      </x:c>
      <x:c r="I29" s="48" t="str">
        <x:v>linked by the locked 313-requirement index</x:v>
      </x:c>
      <x:c r="J29" s="47" t="n">
        <x:v>2</x:v>
      </x:c>
    </x:row>
    <x:row r="30">
      <x:c r="A30" s="47" t="str">
        <x:v>RUN-I2-017-20260813T192933349104Z</x:v>
      </x:c>
      <x:c r="B30" s="47" t="str">
        <x:v>I2-017</x:v>
      </x:c>
      <x:c r="C30" s="47" t="str">
        <x:v>nonBowIceLineLoad</x:v>
      </x:c>
      <x:c r="D30" s="48" t="str">
        <x:v>https://w3id.org/nltl-benchmark/vocab#nonBowIceLineLoad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http://qudt.org/vocab/unit/MegaN-M-PER-M2</x:v>
      </x:c>
      <x:c r="I30" s="48" t="str">
        <x:v>linked by the locked 313-requirement index</x:v>
      </x:c>
      <x:c r="J30" s="47" t="n">
        <x:v>2</x:v>
      </x:c>
    </x:row>
    <x:row r="31">
      <x:c r="A31" s="47" t="str">
        <x:v>RUN-I2-017-20260813T192933349104Z</x:v>
      </x:c>
      <x:c r="B31" s="47" t="str">
        <x:v>I2-017</x:v>
      </x:c>
      <x:c r="C31" s="47" t="str">
        <x:v>nonBowIceLoadCalculationCase</x:v>
      </x:c>
      <x:c r="D31" s="48" t="str">
        <x:v>https://w3id.org/nltl-benchmark/vocab#nonBowIceLoadCalculationCase</x:v>
      </x:c>
      <x:c r="E31" s="47" t="str">
        <x:v>Class</x:v>
      </x:c>
      <x:c r="F31" s="47" t="str"/>
      <x:c r="G31" s="47" t="str">
        <x:v>https://w3id.org/nltl-benchmark/vocab#calculationCase</x:v>
      </x:c>
      <x:c r="H31" s="47" t="str"/>
      <x:c r="I31" s="48" t="str">
        <x:v>authoritative required owner class; domain dependency of nonBowIceLineLoad; linked by the locked 313-requirement index; range dependency of hasNonBowIceLoadCalculationCase</x:v>
      </x:c>
      <x:c r="J31" s="47" t="n">
        <x:v>2</x:v>
      </x:c>
    </x:row>
    <x:row r="32">
      <x:c r="A32" s="47" t="str">
        <x:v>RUN-I2-017-20260813T192933349104Z</x:v>
      </x:c>
      <x:c r="B32" s="47" t="str">
        <x:v>I2-017</x:v>
      </x:c>
      <x:c r="C32" s="47" t="str">
        <x:v>nonBowLineLoad</x:v>
      </x:c>
      <x:c r="D32" s="48" t="str">
        <x:v>https://w3id.org/nltl-benchmark/vocab#nonBowLineLoad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http://qudt.org/vocab/unit/KiloN-PER-M</x:v>
      </x:c>
      <x:c r="I32" s="48" t="str">
        <x:v>linked by the locked 313-requirement index</x:v>
      </x:c>
      <x:c r="J32" s="47" t="n">
        <x:v>2</x:v>
      </x:c>
    </x:row>
    <x:row r="33">
      <x:c r="A33" s="47" t="str">
        <x:v>RUN-I2-017-20260813T192933349104Z</x:v>
      </x:c>
      <x:c r="B33" s="47" t="str">
        <x:v>I2-017</x:v>
      </x:c>
      <x:c r="C33" s="47" t="str">
        <x:v>nonBowLoadPatchHeight</x:v>
      </x:c>
      <x:c r="D33" s="48" t="str">
        <x:v>https://w3id.org/nltl-benchmark/vocab#nonBowLoadPatchHeight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2</x:v>
      </x:c>
    </x:row>
    <x:row r="34">
      <x:c r="A34" s="47" t="str">
        <x:v>RUN-I2-017-20260813T192933349104Z</x:v>
      </x:c>
      <x:c r="B34" s="47" t="str">
        <x:v>I2-017</x:v>
      </x:c>
      <x:c r="C34" s="47" t="str">
        <x:v>nonBowLoadPatchLength</x:v>
      </x:c>
      <x:c r="D34" s="48" t="str">
        <x:v>https://w3id.org/nltl-benchmark/vocab#nonBowLoadPatchLength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2</x:v>
      </x:c>
    </x:row>
    <x:row r="35">
      <x:c r="A35" s="47" t="str">
        <x:v>RUN-I2-017-20260813T192933349104Z</x:v>
      </x:c>
      <x:c r="B35" s="47" t="str">
        <x:v>I2-017</x:v>
      </x:c>
      <x:c r="C35" s="47" t="str">
        <x:v>ship</x:v>
      </x:c>
      <x:c r="D35" s="48" t="str">
        <x:v>https://w3id.org/nltl-benchmark/vocab#ship</x:v>
      </x:c>
      <x:c r="E35" s="47" t="str">
        <x:v>Class</x:v>
      </x:c>
      <x:c r="F35" s="47" t="str"/>
      <x:c r="G35" s="47" t="str"/>
      <x:c r="H35" s="47" t="str"/>
      <x:c r="I35" s="48" t="str">
        <x:v>authoritative required owner class; authoritative requirement target owner; baseline target infrastructure; domain dependency of hasNonBowIceLoadCalculationCase</x:v>
      </x:c>
      <x:c r="J35" s="47" t="n">
        <x:v>2</x:v>
      </x:c>
    </x:row>
    <x:row r="36">
      <x:c r="A36" s="47" t="str">
        <x:v>RUN-I2-017-20260813T192933349104Z</x:v>
      </x:c>
      <x:c r="B36" s="47" t="str">
        <x:v>I2-017</x:v>
      </x:c>
      <x:c r="C36" s="47" t="str">
        <x:v>shipComponent</x:v>
      </x:c>
      <x:c r="D36" s="48" t="str">
        <x:v>https://w3id.org/nltl-benchmark/vocab#shipComponent</x:v>
      </x:c>
      <x:c r="E36" s="47" t="str">
        <x:v>Class</x:v>
      </x:c>
      <x:c r="F36" s="47" t="str"/>
      <x:c r="G36" s="47" t="str"/>
      <x:c r="H36" s="47" t="str"/>
      <x:c r="I36" s="48" t="str">
        <x:v>component-path dependency inferred from the linked term module</x:v>
      </x:c>
      <x:c r="J36" s="47" t="n">
        <x:v>2</x:v>
      </x:c>
    </x:row>
    <x:row r="37">
      <x:c r="A37" s="47" t="str">
        <x:v>RUN-I2-017-20260813T192933349104Z</x:v>
      </x:c>
      <x:c r="B37" s="47" t="str">
        <x:v>I2-017</x:v>
      </x:c>
      <x:c r="C37" s="47" t="str">
        <x:v>shipDisplacementFactor</x:v>
      </x:c>
      <x:c r="D37" s="48" t="str">
        <x:v>https://w3id.org/nltl-benchmark/vocab#shipDisplacementFactor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http://qudt.org/vocab/unit/UNITLESS</x:v>
      </x:c>
      <x:c r="I37" s="48" t="str">
        <x:v>linked by the locked 313-requirement index</x:v>
      </x:c>
      <x:c r="J37" s="47" t="n">
        <x:v>2</x:v>
      </x:c>
    </x:row>
    <x:row r="38">
      <x:c r="A38" s="47" t="str">
        <x:v>RUN-I2-017-20260813T192933349104Z</x:v>
      </x:c>
      <x:c r="B38" s="47" t="str">
        <x:v>I2-017</x:v>
      </x:c>
      <x:c r="C38" s="47" t="str">
        <x:v>tableLookupCase</x:v>
      </x:c>
      <x:c r="D38" s="48" t="str">
        <x:v>https://w3id.org/nltl-benchmark/vocab#tableLookupCase</x:v>
      </x:c>
      <x:c r="E38" s="47" t="str">
        <x:v>Class</x:v>
      </x:c>
      <x:c r="F38" s="47" t="str"/>
      <x:c r="G38" s="47" t="str">
        <x:v>https://w3id.org/nltl-benchmark/vocab#calculationCase</x:v>
      </x:c>
      <x:c r="H38" s="47" t="str"/>
      <x:c r="I38" s="48" t="str">
        <x:v>domain dependency of crushingFailureClassFactor; domain dependency of loadPatchDimensionClassFactor</x:v>
      </x:c>
      <x:c r="J38" s="47" t="n">
        <x:v>2</x:v>
      </x:c>
    </x:row>
    <x:row r="39">
      <x:c r="A39" s="49" t="str">
        <x:v>RUN-I2-017-20260813T192933349104Z</x:v>
      </x:c>
      <x:c r="B39" s="49" t="str">
        <x:v>I2-017</x:v>
      </x:c>
      <x:c r="C39" s="49" t="str">
        <x:v>upperIceWaterlineDraughtDUI</x:v>
      </x:c>
      <x:c r="D39" s="50" t="str">
        <x:v>https://w3id.org/nltl-benchmark/vocab#upperIceWaterlineDraughtDUI</x:v>
      </x:c>
      <x:c r="E39" s="49" t="str">
        <x:v>QuantityProperty</x:v>
      </x:c>
      <x:c r="F39" s="49" t="str"/>
      <x:c r="G39" s="49" t="str">
        <x:v>http://qudt.org/schema/qudt/QuantityValue</x:v>
      </x:c>
      <x:c r="H39" s="49" t="str">
        <x:v>http://qudt.org/vocab/unit/M</x:v>
      </x:c>
      <x:c r="I39" s="50" t="str">
        <x:v>verified vocabulary-matcher addition</x:v>
      </x:c>
      <x:c r="J39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994f0d1b7124439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RUN-I2-017-20260813T192933349104Z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RUN-I2-017-20260813T192933349104Z</x:v>
      </x:c>
      <x:c r="B5" s="45" t="str">
        <x:v>I2-017</x:v>
      </x:c>
      <x:c r="C5" s="45" t="str">
        <x:v>FS-CALC-02</x:v>
      </x:c>
      <x:c r="D5" s="45" t="str">
        <x:v>comparison_calculation</x:v>
      </x:c>
      <x:c r="E5" s="97" t="n">
        <x:v>0.083333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RUN-I2-017-20260813T192933349104Z</x:v>
      </x:c>
      <x:c r="B6" s="49" t="str">
        <x:v>I2-017</x:v>
      </x:c>
      <x:c r="C6" s="49" t="str">
        <x:v>FS-QTY-01</x:v>
      </x:c>
      <x:c r="D6" s="49" t="str">
        <x:v>qudt_quantity</x:v>
      </x:c>
      <x:c r="E6" s="98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83e982e72a43a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RUN-I2-017-20260813T192933349104Z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RUN-I2-017-20260813T192933349104Z</x:v>
      </x:c>
      <x:c r="B5" s="45" t="str">
        <x:v>I2-017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https://w3id.org/nltl-benchmark/vocab#averageIcePressure | https://w3id.org/nltl-benchmark/vocab#hasNonBowIceLoadCalculationCase | https://w3id.org/nltl-benchmark/vocab#nonBowIceForce | https://w3id.org/nltl-benchmark/vocab#nonBowIceLineLoad | https://w3id.org/nltl-benchmark/vocab#nonBowIceLoadCalculationCase | https://w3id.org/nltl-benchmark/vocab#nonBowLineLoad | https://w3id.org/nltl-benchmark/vocab#nonBowLoadPatchHeight | https://w3id.org/nltl-benchmark/vocab#nonBowLoadPatchLength | https://w3id.org/nltl-benchmark/vocab#ship | https://w3id.org/nltl-benchmark/vocab#shipDisplacementFactor</x:v>
      </x:c>
      <x:c r="O5" s="46" t="str"/>
      <x:c r="P5" s="46" t="str"/>
      <x:c r="Q5" s="46" t="str"/>
    </x:row>
    <x:row r="6">
      <x:c r="A6" s="49" t="str">
        <x:v>RUN-I2-017-20260813T192933349104Z</x:v>
      </x:c>
      <x:c r="B6" s="49" t="str">
        <x:v>I2-017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https://w3id.org/nltl-benchmark/vocab#averageIcePressure | https://w3id.org/nltl-benchmark/vocab#crushingFailureClassFactor | https://w3id.org/nltl-benchmark/vocab#hasNonBowIceLoadCalculationCase | https://w3id.org/nltl-benchmark/vocab#loadPatchDimensionClassFactor | https://w3id.org/nltl-benchmark/vocab#nonBowIceForce | https://w3id.org/nltl-benchmark/vocab#nonBowIceLineLoad | https://w3id.org/nltl-benchmark/vocab#nonBowIceLoadCalculationCase | https://w3id.org/nltl-benchmark/vocab#nonBowLineLoad | https://w3id.org/nltl-benchmark/vocab#nonBowLoadPatchHeight | https://w3id.org/nltl-benchmark/vocab#nonBowLoadPatchLength | https://w3id.org/nltl-benchmark/vocab#ship | https://w3id.org/nltl-benchmark/vocab#shipDisplacementFactor | https://w3id.org/nltl-benchmark/vocab#upperIceWaterlineDraughtDUI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5594876e33a40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RUN-I2-017-20260813T192933349104Z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RUN-I2-017-20260813T192933349104Z</x:v>
      </x:c>
      <x:c r="B5" s="45" t="str">
        <x:v>I2-017</x:v>
      </x:c>
      <x:c r="C5" s="58" t="n">
        <x:v>1</x:v>
      </x:c>
      <x:c r="D5" s="45" t="str">
        <x:v>matcher_search</x:v>
      </x:c>
      <x:c r="E5" s="46" t="str">
        <x:v>Add the missing formula-derived validation and all declared operands: require crushingFailureClassFactor and loadPatchDimensionClassFactor on the ship, validate shipDisplacementFactor using its piecewise D_UI/CF_DIS expression, validate nonBowIceForce = 0.36*CFC*DF with the required MN-to-kN conversion, and validate nonBowIceLineLoad = 0.639*FNonBow^0.61*CFD using tolerances scaled from each expected result. Locate canonical terms for D_UI and CF_DIS via the variable matcher, since they are required by the COMPLETE formula expression but absent from the supplied scoped vocabulary. Keep ship-owned terms on the ship and case-owned force, line load, and DF on the nonBowIceLoadCalculationCase.</x:v>
      </x:c>
      <x:c r="F5" s="58" t="n">
        <x:v>12</x:v>
      </x:c>
      <x:c r="G5" s="45" t="str"/>
      <x:c r="H5" s="45" t="str"/>
      <x:c r="I5" s="46" t="str"/>
      <x:c r="J5" s="46" t="str"/>
    </x:row>
    <x:row r="6">
      <x:c r="A6" s="47" t="str">
        <x:v>RUN-I2-017-20260813T192933349104Z</x:v>
      </x:c>
      <x:c r="B6" s="47" t="str">
        <x:v>I2-017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upperIceWaterlineDraughtDUI</x:v>
      </x:c>
      <x:c r="I6" s="48" t="str">
        <x:v>https://w3id.org/nltl-benchmark/vocab#upperIceWaterlineDraughtDUI</x:v>
      </x:c>
      <x:c r="J6" s="48" t="str">
        <x:v>Use this exact term because it is the canonical quantity property for D_UI, the upper ice waterline draught used in the required piecewise ship displacement factor expression, with length unit metres.</x:v>
      </x:c>
    </x:row>
    <x:row r="7">
      <x:c r="A7" s="47" t="str">
        <x:v>RUN-I2-017-20260813T192933349104Z</x:v>
      </x:c>
      <x:c r="B7" s="47" t="str">
        <x:v>I2-017</x:v>
      </x:c>
      <x:c r="C7" s="59" t="n">
        <x:v>2</x:v>
      </x:c>
      <x:c r="D7" s="47" t="str">
        <x:v>matcher_search</x:v>
      </x:c>
      <x:c r="E7" s="48" t="str">
        <x:v>Complete the declared formula contract: locate and use the canonical CF_DIS term, enforce the piecewise DF formula from D_UI and CF_DIS, and add bounded formula constraints for Q_NonBow = 0.639 * F_NonBow^0.61 * CFD as well as the existing force formula. Apply each formula on the linked nonBowIceLoadCalculationCase using its paired operands/results, preserve expected-result-scaled tolerance, and retain all declared operands and required owner paths.</x:v>
      </x:c>
      <x:c r="F7" s="59" t="n">
        <x:v>4</x:v>
      </x:c>
      <x:c r="G7" s="47" t="str"/>
      <x:c r="H7" s="47" t="str"/>
      <x:c r="I7" s="48" t="str"/>
      <x:c r="J7" s="48" t="str"/>
    </x:row>
    <x:row r="8">
      <x:c r="A8" s="49" t="str">
        <x:v>RUN-I2-017-20260813T192933349104Z</x:v>
      </x:c>
      <x:c r="B8" s="49" t="str">
        <x:v>I2-017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supplied candidate is semantically supported for the CF_DIS term: the candidates represent a non-bow calculation case, non-bow ice line load, upper ice waterline draught D_UI, or the generic calculation-case class.</x:v>
      </x:c>
    </x:row>
  </x:sheetData>
  <x:pageMargins left="0.7" right="0.7" top="0.75" bottom="0.75" header="0.3" footer="0.3"/>
  <x:tableParts count="1">
    <x:tablePart xmlns:r="http://schemas.openxmlformats.org/officeDocument/2006/relationships" r:id="R9d6bdcb60b9749a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RUN-I2-017-20260813T192933349104Z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RUN-I2-017-20260813T192933349104Z</x:v>
      </x:c>
      <x:c r="B5" s="45" t="str">
        <x:v>I2-017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3c5816e5abe8856da8109ecbd4688072a791088c814f75c9a9a70bd292722859</x:v>
      </x:c>
      <x:c r="G5" s="58" t="n">
        <x:v>24015</x:v>
      </x:c>
    </x:row>
    <x:row r="6">
      <x:c r="A6" s="47" t="str">
        <x:v>RUN-I2-017-20260813T192933349104Z</x:v>
      </x:c>
      <x:c r="B6" s="47" t="str">
        <x:v>I2-017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f62ee58a5c6760a9743058add963ee2230fba8769a3433bce7e752183081a2c6</x:v>
      </x:c>
      <x:c r="G6" s="59" t="n">
        <x:v>5365</x:v>
      </x:c>
    </x:row>
    <x:row r="7">
      <x:c r="A7" s="47" t="str">
        <x:v>RUN-I2-017-20260813T192933349104Z</x:v>
      </x:c>
      <x:c r="B7" s="47" t="str">
        <x:v>I2-017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30dc7218cb7493b0654d385c965ea319af70333e8e27f6dad707798e3b980d18</x:v>
      </x:c>
      <x:c r="G7" s="59" t="n">
        <x:v>36299</x:v>
      </x:c>
    </x:row>
    <x:row r="8">
      <x:c r="A8" s="47" t="str">
        <x:v>RUN-I2-017-20260813T192933349104Z</x:v>
      </x:c>
      <x:c r="B8" s="47" t="str">
        <x:v>I2-017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417c03a2ebc7f9e630ec50f6dac94914eccf58abf1d875f59913bab9be9f703b</x:v>
      </x:c>
      <x:c r="G8" s="59" t="n">
        <x:v>4123</x:v>
      </x:c>
    </x:row>
    <x:row r="9">
      <x:c r="A9" s="47" t="str">
        <x:v>RUN-I2-017-20260813T192933349104Z</x:v>
      </x:c>
      <x:c r="B9" s="47" t="str">
        <x:v>I2-017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5eb2d792213995df56a675df99ae4de2b54a3569ad2021e79f451b391576e3ce</x:v>
      </x:c>
      <x:c r="G9" s="59" t="n">
        <x:v>4098</x:v>
      </x:c>
    </x:row>
    <x:row r="10">
      <x:c r="A10" s="47" t="str">
        <x:v>RUN-I2-017-20260813T192933349104Z</x:v>
      </x:c>
      <x:c r="B10" s="47" t="str">
        <x:v>I2-017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04b15bc4f53d4035111721f811ccdd7bce6c45088ce3a941a95b08ab5791f0ef</x:v>
      </x:c>
      <x:c r="G10" s="59" t="n">
        <x:v>1039</x:v>
      </x:c>
    </x:row>
    <x:row r="11">
      <x:c r="A11" s="47" t="str">
        <x:v>RUN-I2-017-20260813T192933349104Z</x:v>
      </x:c>
      <x:c r="B11" s="47" t="str">
        <x:v>I2-017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d468695addd32466f9307845ae20c360d66fd2882eb3b258fd140c7b1831cacd</x:v>
      </x:c>
      <x:c r="G11" s="59" t="n">
        <x:v>36615</x:v>
      </x:c>
    </x:row>
    <x:row r="12">
      <x:c r="A12" s="47" t="str">
        <x:v>RUN-I2-017-20260813T192933349104Z</x:v>
      </x:c>
      <x:c r="B12" s="47" t="str">
        <x:v>I2-017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d10fa3eab0365f64a615ba6f3374d19fa3b2675268010e4d1de085bfc1b36535</x:v>
      </x:c>
      <x:c r="G12" s="59" t="n">
        <x:v>761</x:v>
      </x:c>
    </x:row>
    <x:row r="13">
      <x:c r="A13" s="47" t="str">
        <x:v>RUN-I2-017-20260813T192933349104Z</x:v>
      </x:c>
      <x:c r="B13" s="47" t="str">
        <x:v>I2-017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243af26fb5dde096a6c1116dd7e66ca448c9b487ce46fd1d10ff462fef0c203d</x:v>
      </x:c>
      <x:c r="G13" s="59" t="n">
        <x:v>8320</x:v>
      </x:c>
    </x:row>
    <x:row r="14">
      <x:c r="A14" s="47" t="str">
        <x:v>RUN-I2-017-20260813T192933349104Z</x:v>
      </x:c>
      <x:c r="B14" s="47" t="str">
        <x:v>I2-017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d075b60c26f28875dc4342bff612a3e29c4d63e6047d167feadfb9f8978d0e21</x:v>
      </x:c>
      <x:c r="G14" s="59" t="n">
        <x:v>14470</x:v>
      </x:c>
    </x:row>
    <x:row r="15">
      <x:c r="A15" s="47" t="str">
        <x:v>RUN-I2-017-20260813T192933349104Z</x:v>
      </x:c>
      <x:c r="B15" s="47" t="str">
        <x:v>I2-017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1fe76b8277dea3b80b999bddbea30c627b85efd475f49e53b7a69a69587003ff</x:v>
      </x:c>
      <x:c r="G15" s="59" t="n">
        <x:v>380</x:v>
      </x:c>
    </x:row>
    <x:row r="16">
      <x:c r="A16" s="47" t="str">
        <x:v>RUN-I2-017-20260813T192933349104Z</x:v>
      </x:c>
      <x:c r="B16" s="47" t="str">
        <x:v>I2-017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c3dff4bec45db1753857f43e5ce40ed4e8f5b935a5dfa1d0a73653fef4514151</x:v>
      </x:c>
      <x:c r="G16" s="59" t="n">
        <x:v>25208</x:v>
      </x:c>
    </x:row>
    <x:row r="17">
      <x:c r="A17" s="47" t="str">
        <x:v>RUN-I2-017-20260813T192933349104Z</x:v>
      </x:c>
      <x:c r="B17" s="47" t="str">
        <x:v>I2-017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749705a7e8e160ed64ae80b76b7bf23f56033f559a313d76d7c88bce28040051</x:v>
      </x:c>
      <x:c r="G17" s="59" t="n">
        <x:v>38503</x:v>
      </x:c>
    </x:row>
    <x:row r="18">
      <x:c r="A18" s="47" t="str">
        <x:v>RUN-I2-017-20260813T192933349104Z</x:v>
      </x:c>
      <x:c r="B18" s="47" t="str">
        <x:v>I2-017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987648b9107c413e95e8bf126687d4cf8e05279bf140d8e135dfa8acda53404c</x:v>
      </x:c>
      <x:c r="G18" s="59" t="n">
        <x:v>6679</x:v>
      </x:c>
    </x:row>
    <x:row r="19">
      <x:c r="A19" s="47" t="str">
        <x:v>RUN-I2-017-20260813T192933349104Z</x:v>
      </x:c>
      <x:c r="B19" s="47" t="str">
        <x:v>I2-017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ecf8b95400dc2d77824da7a4a31309f6ca08da21f02bd28f855070528858faf8</x:v>
      </x:c>
      <x:c r="G19" s="59" t="n">
        <x:v>6654</x:v>
      </x:c>
    </x:row>
    <x:row r="20">
      <x:c r="A20" s="47" t="str">
        <x:v>RUN-I2-017-20260813T192933349104Z</x:v>
      </x:c>
      <x:c r="B20" s="47" t="str">
        <x:v>I2-017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c0f7ca2b073118071bee09f155a45b47a5b3391eaca20a86e7b5d1009c7329f6</x:v>
      </x:c>
      <x:c r="G20" s="59" t="n">
        <x:v>1259</x:v>
      </x:c>
    </x:row>
    <x:row r="21">
      <x:c r="A21" s="47" t="str">
        <x:v>RUN-I2-017-20260813T192933349104Z</x:v>
      </x:c>
      <x:c r="B21" s="47" t="str">
        <x:v>I2-017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07fa62b95a651d12fda0b61296e1d0740d282d2b4e0862cfa742ae5b13978fac</x:v>
      </x:c>
      <x:c r="G21" s="59" t="n">
        <x:v>41914</x:v>
      </x:c>
    </x:row>
    <x:row r="22">
      <x:c r="A22" s="47" t="str">
        <x:v>RUN-I2-017-20260813T192933349104Z</x:v>
      </x:c>
      <x:c r="B22" s="47" t="str">
        <x:v>I2-017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a7bf3c2e147ee85839cc26ea13d49891a5da32a19fe621713fdae7048d740476</x:v>
      </x:c>
      <x:c r="G22" s="59" t="n">
        <x:v>516</x:v>
      </x:c>
    </x:row>
    <x:row r="23">
      <x:c r="A23" s="47" t="str">
        <x:v>RUN-I2-017-20260813T192933349104Z</x:v>
      </x:c>
      <x:c r="B23" s="47" t="str">
        <x:v>I2-017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30e222b181647a99adeebd4c1eb190e749dcdf7422eba54b7eb22753e080365f</x:v>
      </x:c>
      <x:c r="G23" s="59" t="n">
        <x:v>2794</x:v>
      </x:c>
    </x:row>
    <x:row r="24">
      <x:c r="A24" s="47" t="str">
        <x:v>RUN-I2-017-20260813T192933349104Z</x:v>
      </x:c>
      <x:c r="B24" s="47" t="str">
        <x:v>I2-017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6438441f4cd0ad7102be0442343feec334bb3b67a407cd36510f839ed09358c3</x:v>
      </x:c>
      <x:c r="G24" s="59" t="n">
        <x:v>8391</x:v>
      </x:c>
    </x:row>
    <x:row r="25">
      <x:c r="A25" s="49" t="str">
        <x:v>RUN-I2-017-20260813T192933349104Z</x:v>
      </x:c>
      <x:c r="B25" s="49" t="str">
        <x:v>I2-017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bc9f6e8e5c332b8e8f29ee88d57aa77609a9c37149530cb79898b2ac2635c402</x:v>
      </x:c>
      <x:c r="G25" s="60" t="n">
        <x:v>306</x:v>
      </x:c>
    </x:row>
  </x:sheetData>
  <x:pageMargins left="0.7" right="0.7" top="0.75" bottom="0.75" header="0.3" footer="0.3"/>
  <x:tableParts count="1">
    <x:tablePart xmlns:r="http://schemas.openxmlformats.org/officeDocument/2006/relationships" r:id="Rccf81029ae0c45c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RUN-I2-017-20260813T192933349104Z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RUN-I2-017-20260813T192933349104Z</x:v>
      </x:c>
      <x:c r="B5" s="69" t="str">
        <x:v>I2-017</x:v>
      </x:c>
      <x:c r="C5" s="71" t="n">
        <x:v>2</x:v>
      </x:c>
      <x:c r="D5" s="69" t="str">
        <x:v>TERM_RESOLUTION_UNRESOLVED</x:v>
      </x:c>
      <x:c r="E5" s="73" t="str">
        <x:v>No supplied candidate is semantically supported for the CF_DIS term: the candidates represent a non-bow calculation case, non-bow ice line load, upper ice waterline draught D_UI, or the generic calculation-case class.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39f64d851243a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RUN-I2-017-20260813T192933349104Z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