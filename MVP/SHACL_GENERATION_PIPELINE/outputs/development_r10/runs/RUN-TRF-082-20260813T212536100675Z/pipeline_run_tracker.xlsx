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58609a5c8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f6f109b19a48c8"/>
    <x:sheet xmlns:r="http://schemas.openxmlformats.org/officeDocument/2006/relationships" name="README" sheetId="2" r:id="Rc6baf62f49c74121"/>
    <x:sheet xmlns:r="http://schemas.openxmlformats.org/officeDocument/2006/relationships" name="REGULATION_QUEUE" sheetId="3" r:id="Rc88cc1585ba84c08"/>
    <x:sheet xmlns:r="http://schemas.openxmlformats.org/officeDocument/2006/relationships" name="RUNS" sheetId="4" r:id="R348d20a97da941f2"/>
    <x:sheet xmlns:r="http://schemas.openxmlformats.org/officeDocument/2006/relationships" name="ITERATIONS" sheetId="5" r:id="R3d872fcd98644490"/>
    <x:sheet xmlns:r="http://schemas.openxmlformats.org/officeDocument/2006/relationships" name="API_CALLS" sheetId="6" r:id="R2473032af5044464"/>
    <x:sheet xmlns:r="http://schemas.openxmlformats.org/officeDocument/2006/relationships" name="TERM_RETRIEVAL" sheetId="7" r:id="R888607c1de774c43"/>
    <x:sheet xmlns:r="http://schemas.openxmlformats.org/officeDocument/2006/relationships" name="FEW_SHOT_SELECTION" sheetId="8" r:id="R4bfdd4f05ca14cad"/>
    <x:sheet xmlns:r="http://schemas.openxmlformats.org/officeDocument/2006/relationships" name="VALIDATION" sheetId="9" r:id="R1fad8468dfba4910"/>
    <x:sheet xmlns:r="http://schemas.openxmlformats.org/officeDocument/2006/relationships" name="VOCAB_MATCHES" sheetId="10" r:id="Rbc53ffb29e4a4d07"/>
    <x:sheet xmlns:r="http://schemas.openxmlformats.org/officeDocument/2006/relationships" name="ARTIFACTS" sheetId="11" r:id="Re4cd20d82687421c"/>
    <x:sheet xmlns:r="http://schemas.openxmlformats.org/officeDocument/2006/relationships" name="UNRESOLVED" sheetId="12" r:id="Re62c5206383a4f09"/>
    <x:sheet xmlns:r="http://schemas.openxmlformats.org/officeDocument/2006/relationships" name="RDF_TEST_QUEUE" sheetId="13" r:id="R68ad53f083d0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b7f843f524214" /><Relationship Type="http://schemas.openxmlformats.org/officeDocument/2006/relationships/theme" Target="/xl/theme/theme1.xml" Id="R28fc022714074540" /><Relationship Type="http://schemas.microsoft.com/office/2022/11/relationships/FeaturePropertyBag" Target="/xl/featurePropertyBag/featurePropertyBag.xml" Id="R570c158bb94345cf" /><Relationship Type="http://schemas.openxmlformats.org/officeDocument/2006/relationships/sharedStrings" Target="/xl/sharedStrings.xml" Id="R8bca8b8cf5e84320" /><Relationship Type="http://schemas.openxmlformats.org/officeDocument/2006/relationships/worksheet" Target="/xl/worksheets/sheet1.xml" Id="Ra1f6f109b19a48c8" /><Relationship Type="http://schemas.openxmlformats.org/officeDocument/2006/relationships/worksheet" Target="/xl/worksheets/sheet2.xml" Id="Rc6baf62f49c74121" /><Relationship Type="http://schemas.openxmlformats.org/officeDocument/2006/relationships/worksheet" Target="/xl/worksheets/sheet3.xml" Id="Rc88cc1585ba84c08" /><Relationship Type="http://schemas.openxmlformats.org/officeDocument/2006/relationships/worksheet" Target="/xl/worksheets/sheet4.xml" Id="R348d20a97da941f2" /><Relationship Type="http://schemas.openxmlformats.org/officeDocument/2006/relationships/worksheet" Target="/xl/worksheets/sheet5.xml" Id="R3d872fcd98644490" /><Relationship Type="http://schemas.openxmlformats.org/officeDocument/2006/relationships/worksheet" Target="/xl/worksheets/sheet6.xml" Id="R2473032af5044464" /><Relationship Type="http://schemas.openxmlformats.org/officeDocument/2006/relationships/worksheet" Target="/xl/worksheets/sheet7.xml" Id="R888607c1de774c43" /><Relationship Type="http://schemas.openxmlformats.org/officeDocument/2006/relationships/worksheet" Target="/xl/worksheets/sheet8.xml" Id="R4bfdd4f05ca14cad" /><Relationship Type="http://schemas.openxmlformats.org/officeDocument/2006/relationships/worksheet" Target="/xl/worksheets/sheet9.xml" Id="R1fad8468dfba4910" /><Relationship Type="http://schemas.openxmlformats.org/officeDocument/2006/relationships/worksheet" Target="/xl/worksheets/sheet10.xml" Id="Rbc53ffb29e4a4d07" /><Relationship Type="http://schemas.openxmlformats.org/officeDocument/2006/relationships/worksheet" Target="/xl/worksheets/sheet11.xml" Id="Re4cd20d82687421c" /><Relationship Type="http://schemas.openxmlformats.org/officeDocument/2006/relationships/worksheet" Target="/xl/worksheets/sheet12.xml" Id="Re62c5206383a4f09" /><Relationship Type="http://schemas.openxmlformats.org/officeDocument/2006/relationships/worksheet" Target="/xl/worksheets/sheet13.xml" Id="R68ad53f083d042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55b41982d747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c28ff4038944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45026ca78a43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4f464aa67d4a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68db3920e64d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28c23f22a941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3a5732de3948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b73f7271554f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3e84a234024f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2837b1c118e46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RUN-TRF-082-20260813T212536100675Z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17474.649416666667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RUN-TRF-082-20260813T212536100675Z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55b41982d747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RUN-TRF-082-20260813T212536100675Z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MAX_ATTEMPTS_REACHED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c28ff4038944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RUN-TRF-082-20260813T212536100675Z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RUN-TRF-082-20260813T212536100675Z</x:v>
      </x:c>
      <x:c r="C5" s="69" t="str">
        <x:v>TRF-082</x:v>
      </x:c>
      <x:c r="D5" s="70" t="n">
        <x:v>46247.89277895833</x:v>
      </x:c>
      <x:c r="E5" s="70" t="n">
        <x:v>46247.893996875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Move nltl:tableLookupApplied from the ship branch to gs:TRF082TableLookupCaseShape, where its canonical domain is nltl:tableLookupCase, and require it there with xsd:boolean true for the unknown-thrust lookup case. Keep the ship-to-case relationship and Table 6-8/evidence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5026ca78a43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RUN-TRF-082-20260813T212536100675Z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RUN-TRF-082-20260813T212536100675Z</x:v>
      </x:c>
      <x:c r="B5" s="45" t="str">
        <x:v>TRF-082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nltl:tableLookupApplied from TRF082TableLookupCaseShape: its supplied requiredOwner is ship, so constraining it on tableLookupCase checks a property on the wrong owner. The conditional fallback is already faithfully evidenced by the ship-to-case relationship, required Table 6-8 reference, and lookup-selection evidence.</x:v>
      </x:c>
      <x:c r="I5" s="84" t="n">
        <x:v>34765.933</x:v>
      </x:c>
      <x:c r="J5" s="84" t="n">
        <x:v>7136.873</x:v>
      </x:c>
    </x:row>
    <x:row r="6">
      <x:c r="A6" s="47" t="str">
        <x:v>RUN-TRF-082-20260813T212536100675Z</x:v>
      </x:c>
      <x:c r="B6" s="47" t="str">
        <x:v>TRF-082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Make hydrodynamicBollardThrust conditional: do not impose its sh:minCount globally when bollardThrustKnown is false, since that branch represents T being unknown and must instead require the Table 6-8 lookup case. In the false branch, require the lookup to be applied using the supplied nltl:tableLookupApplied boolean on its authoritative owner, with value true, in addition to the existing hasTableLookupCase relationship, exact Table 6-8 reference, and lookup-selection evidence. Retain the known=true branch requirement for a correctly typed kN hydrodynamicBollardThrust quantity.</x:v>
      </x:c>
      <x:c r="I6" s="86" t="n">
        <x:v>26434.477</x:v>
      </x:c>
      <x:c r="J6" s="86" t="n">
        <x:v>7559.17</x:v>
      </x:c>
    </x:row>
    <x:row r="7">
      <x:c r="A7" s="49" t="str">
        <x:v>RUN-TRF-082-20260813T212536100675Z</x:v>
      </x:c>
      <x:c r="B7" s="49" t="str">
        <x:v>TRF-082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Move nltl:tableLookupApplied from the ship branch to gs:TRF082TableLookupCaseShape, where its canonical domain is nltl:tableLookupCase, and require it there with xsd:boolean true for the unknown-thrust lookup case. Keep the ship-to-case relationship and Table 6-8/evidence constraints.</x:v>
      </x:c>
      <x:c r="I7" s="88" t="n">
        <x:v>23240.141</x:v>
      </x:c>
      <x:c r="J7" s="88" t="n">
        <x:v>5716.06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f464aa67d4a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RUN-TRF-082-20260813T212536100675Z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RUN-TRF-082-20260813T212536100675Z</x:v>
      </x:c>
      <x:c r="C5" s="45" t="str">
        <x:v>TRF-082</x:v>
      </x:c>
      <x:c r="D5" s="92" t="n">
        <x:v>46247.89318136574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34764.714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RUN-TRF-082-20260813T212536100675Z</x:v>
      </x:c>
      <x:c r="C6" s="47" t="str">
        <x:v>TRF-082</x:v>
      </x:c>
      <x:c r="D6" s="93" t="n">
        <x:v>46247.893181377316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34765.933</x:v>
      </x:c>
      <x:c r="L6" s="85" t="b">
        <x:v>0</x:v>
      </x:c>
      <x:c r="M6" s="47" t="str">
        <x:v>resp_08a913726baa76c6006a7e3650405881909d0df5ef68360884</x:v>
      </x:c>
      <x:c r="N6" s="59" t="n">
        <x:v>8958</x:v>
      </x:c>
      <x:c r="O6" s="59" t="n">
        <x:v>1956</x:v>
      </x:c>
      <x:c r="P6" s="59" t="n">
        <x:v>10914</x:v>
      </x:c>
    </x:row>
    <x:row r="7">
      <x:c r="A7" s="47" t="str">
        <x:v>EVT-000037</x:v>
      </x:c>
      <x:c r="B7" s="47" t="str">
        <x:v>RUN-TRF-082-20260813T212536100675Z</x:v>
      </x:c>
      <x:c r="C7" s="47" t="str">
        <x:v>TRF-082</x:v>
      </x:c>
      <x:c r="D7" s="93" t="n">
        <x:v>46247.89326532408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7135.166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RUN-TRF-082-20260813T212536100675Z</x:v>
      </x:c>
      <x:c r="C8" s="47" t="str">
        <x:v>TRF-082</x:v>
      </x:c>
      <x:c r="D8" s="93" t="n">
        <x:v>46247.89326534722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7136.873</x:v>
      </x:c>
      <x:c r="L8" s="85" t="b">
        <x:v>0</x:v>
      </x:c>
      <x:c r="M8" s="47" t="str">
        <x:v>resp_0586902a336de514006a7e3673203c8190b4d2c615474e767c</x:v>
      </x:c>
      <x:c r="N8" s="59" t="n">
        <x:v>9392</x:v>
      </x:c>
      <x:c r="O8" s="59" t="n">
        <x:v>674</x:v>
      </x:c>
      <x:c r="P8" s="59" t="n">
        <x:v>10066</x:v>
      </x:c>
    </x:row>
    <x:row r="9">
      <x:c r="A9" s="47" t="str">
        <x:v>EVT-000043</x:v>
      </x:c>
      <x:c r="B9" s="47" t="str">
        <x:v>RUN-TRF-082-20260813T212536100675Z</x:v>
      </x:c>
      <x:c r="C9" s="47" t="str">
        <x:v>TRF-082</x:v>
      </x:c>
      <x:c r="D9" s="93" t="n">
        <x:v>46247.89357133102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26432.614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RUN-TRF-082-20260813T212536100675Z</x:v>
      </x:c>
      <x:c r="C10" s="47" t="str">
        <x:v>TRF-082</x:v>
      </x:c>
      <x:c r="D10" s="93" t="n">
        <x:v>46247.893571354165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26434.477</x:v>
      </x:c>
      <x:c r="L10" s="85" t="b">
        <x:v>0</x:v>
      </x:c>
      <x:c r="M10" s="47" t="str">
        <x:v>resp_0142b343336ddf64006a7e367a43608197a37a310ef987ede3</x:v>
      </x:c>
      <x:c r="N10" s="59" t="n">
        <x:v>9025</x:v>
      </x:c>
      <x:c r="O10" s="59" t="n">
        <x:v>2222</x:v>
      </x:c>
      <x:c r="P10" s="59" t="n">
        <x:v>11247</x:v>
      </x:c>
    </x:row>
    <x:row r="11">
      <x:c r="A11" s="47" t="str">
        <x:v>EVT-000051</x:v>
      </x:c>
      <x:c r="B11" s="47" t="str">
        <x:v>RUN-TRF-082-20260813T212536100675Z</x:v>
      </x:c>
      <x:c r="C11" s="47" t="str">
        <x:v>TRF-082</x:v>
      </x:c>
      <x:c r="D11" s="93" t="n">
        <x:v>46247.89366019676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7557.452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RUN-TRF-082-20260813T212536100675Z</x:v>
      </x:c>
      <x:c r="C12" s="47" t="str">
        <x:v>TRF-082</x:v>
      </x:c>
      <x:c r="D12" s="93" t="n">
        <x:v>46247.89366021991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7559.17</x:v>
      </x:c>
      <x:c r="L12" s="85" t="b">
        <x:v>0</x:v>
      </x:c>
      <x:c r="M12" s="47" t="str">
        <x:v>resp_08e4b263a9b88160006a7e3694d15081939384fed9c9a27368</x:v>
      </x:c>
      <x:c r="N12" s="59" t="n">
        <x:v>9198</x:v>
      </x:c>
      <x:c r="O12" s="59" t="n">
        <x:v>663</x:v>
      </x:c>
      <x:c r="P12" s="59" t="n">
        <x:v>9861</x:v>
      </x:c>
    </x:row>
    <x:row r="13">
      <x:c r="A13" s="47" t="str">
        <x:v>EVT-000057</x:v>
      </x:c>
      <x:c r="B13" s="47" t="str">
        <x:v>RUN-TRF-082-20260813T212536100675Z</x:v>
      </x:c>
      <x:c r="C13" s="47" t="str">
        <x:v>TRF-082</x:v>
      </x:c>
      <x:c r="D13" s="93" t="n">
        <x:v>46247.89392923611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23238.384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RUN-TRF-082-20260813T212536100675Z</x:v>
      </x:c>
      <x:c r="C14" s="47" t="str">
        <x:v>TRF-082</x:v>
      </x:c>
      <x:c r="D14" s="93" t="n">
        <x:v>46247.89392925926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23240.141</x:v>
      </x:c>
      <x:c r="L14" s="85" t="b">
        <x:v>0</x:v>
      </x:c>
      <x:c r="M14" s="47" t="str">
        <x:v>resp_014fa72259053e5d006a7e369c66f48197a3b9b747058521b5</x:v>
      </x:c>
      <x:c r="N14" s="59" t="n">
        <x:v>9155</x:v>
      </x:c>
      <x:c r="O14" s="59" t="n">
        <x:v>1954</x:v>
      </x:c>
      <x:c r="P14" s="59" t="n">
        <x:v>11109</x:v>
      </x:c>
    </x:row>
    <x:row r="15">
      <x:c r="A15" s="47" t="str">
        <x:v>EVT-000065</x:v>
      </x:c>
      <x:c r="B15" s="47" t="str">
        <x:v>RUN-TRF-082-20260813T212536100675Z</x:v>
      </x:c>
      <x:c r="C15" s="47" t="str">
        <x:v>TRF-082</x:v>
      </x:c>
      <x:c r="D15" s="93" t="n">
        <x:v>46247.89399681713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5714.809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RUN-TRF-082-20260813T212536100675Z</x:v>
      </x:c>
      <x:c r="C16" s="49" t="str">
        <x:v>TRF-082</x:v>
      </x:c>
      <x:c r="D16" s="94" t="n">
        <x:v>46247.8939968287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5716.06</x:v>
      </x:c>
      <x:c r="L16" s="87" t="b">
        <x:v>0</x:v>
      </x:c>
      <x:c r="M16" s="49" t="str">
        <x:v>resp_04d53871d9336266006a7e36b3c03c81959c649be0fc34c637</x:v>
      </x:c>
      <x:c r="N16" s="60" t="n">
        <x:v>9333</x:v>
      </x:c>
      <x:c r="O16" s="60" t="n">
        <x:v>389</x:v>
      </x:c>
      <x:c r="P16" s="60" t="n">
        <x:v>9722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68db3920e64d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RUN-TRF-082-20260813T212536100675Z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RUN-TRF-082-20260813T212536100675Z</x:v>
      </x:c>
      <x:c r="B5" s="45" t="str">
        <x:v>TRF-082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RUN-TRF-082-20260813T212536100675Z</x:v>
      </x:c>
      <x:c r="B6" s="47" t="str">
        <x:v>TRF-082</x:v>
      </x:c>
      <x:c r="C6" s="47" t="str">
        <x:v>bollardThrustKnown</x:v>
      </x:c>
      <x:c r="D6" s="48" t="str">
        <x:v>https://w3id.org/nltl-benchmark/vocab#bollardThrustKnown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RUN-TRF-082-20260813T212536100675Z</x:v>
      </x:c>
      <x:c r="B7" s="47" t="str">
        <x:v>TRF-082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RUN-TRF-082-20260813T212536100675Z</x:v>
      </x:c>
      <x:c r="B8" s="47" t="str">
        <x:v>TRF-082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RUN-TRF-082-20260813T212536100675Z</x:v>
      </x:c>
      <x:c r="B9" s="47" t="str">
        <x:v>TRF-082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RUN-TRF-082-20260813T212536100675Z</x:v>
      </x:c>
      <x:c r="B10" s="47" t="str">
        <x:v>TRF-082</x:v>
      </x:c>
      <x:c r="C10" s="47" t="str">
        <x:v>hydrodynamicBollardThrust</x:v>
      </x:c>
      <x:c r="D10" s="48" t="str">
        <x:v>https://w3id.org/nltl-benchmark/vocab#hydrodynamicBollardThrust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RUN-TRF-082-20260813T212536100675Z</x:v>
      </x:c>
      <x:c r="B11" s="47" t="str">
        <x:v>TRF-082</x:v>
      </x:c>
      <x:c r="C11" s="47" t="str">
        <x:v>iacsUrI2Table3</x:v>
      </x:c>
      <x:c r="D11" s="48" t="str">
        <x:v>https://w3id.org/nltl-benchmark/vocab#iacsUrI2Table3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RUN-TRF-082-20260813T212536100675Z</x:v>
      </x:c>
      <x:c r="B12" s="47" t="str">
        <x:v>TRF-082</x:v>
      </x:c>
      <x:c r="C12" s="47" t="str">
        <x:v>iacsUrI2Table8</x:v>
      </x:c>
      <x:c r="D12" s="48" t="str">
        <x:v>https://w3id.org/nltl-benchmark/vocab#iacsUrI2Table8</x:v>
      </x:c>
      <x:c r="E12" s="47" t="str">
        <x:v>NamedIndividual</x:v>
      </x:c>
      <x:c r="F12" s="47" t="str"/>
      <x:c r="G12" s="47" t="str">
        <x:v>https://w3id.org/nltl-benchmark/vocab#tableReferenceValue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RUN-TRF-082-20260813T212536100675Z</x:v>
      </x:c>
      <x:c r="B13" s="47" t="str">
        <x:v>TRF-082</x:v>
      </x:c>
      <x:c r="C13" s="47" t="str">
        <x:v>lookupSelectionEvidence</x:v>
      </x:c>
      <x:c r="D13" s="48" t="str">
        <x:v>https://w3id.org/nltl-benchmark/vocab#lookupSelectionEvidence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RUN-TRF-082-20260813T212536100675Z</x:v>
      </x:c>
      <x:c r="B14" s="47" t="str">
        <x:v>TRF-082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RUN-TRF-082-20260813T212536100675Z</x:v>
      </x:c>
      <x:c r="B15" s="47" t="str">
        <x:v>TRF-082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RUN-TRF-082-20260813T212536100675Z</x:v>
      </x:c>
      <x:c r="B16" s="47" t="str">
        <x:v>TRF-082</x:v>
      </x:c>
      <x:c r="C16" s="47" t="str">
        <x:v>tableLookupApplied</x:v>
      </x:c>
      <x:c r="D16" s="48" t="str">
        <x:v>https://w3id.org/nltl-benchmark/vocab#tableLookupApplied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RUN-TRF-082-20260813T212536100675Z</x:v>
      </x:c>
      <x:c r="B17" s="47" t="str">
        <x:v>TRF-082</x:v>
      </x:c>
      <x:c r="C17" s="47" t="str">
        <x:v>tableLookupCase</x:v>
      </x:c>
      <x:c r="D17" s="48" t="str">
        <x:v>https://w3id.org/nltl-benchmark/vocab#tableLookupCase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RUN-TRF-082-20260813T212536100675Z</x:v>
      </x:c>
      <x:c r="B18" s="47" t="str">
        <x:v>TRF-082</x:v>
      </x:c>
      <x:c r="C18" s="47" t="str">
        <x:v>tableReference</x:v>
      </x:c>
      <x:c r="D18" s="48" t="str">
        <x:v>https://w3id.org/nltl-benchmark/vocab#tableReference</x:v>
      </x:c>
      <x:c r="E18" s="47" t="str">
        <x:v>ObjectProperty</x:v>
      </x:c>
      <x:c r="F18" s="47" t="str"/>
      <x:c r="G18" s="47" t="str">
        <x:v>https://w3id.org/nltl-benchmark/vocab#tableReferenceValue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RUN-TRF-082-20260813T212536100675Z</x:v>
      </x:c>
      <x:c r="B19" s="47" t="str">
        <x:v>TRF-082</x:v>
      </x:c>
      <x:c r="C19" s="47" t="str">
        <x:v>tableReferenceValue</x:v>
      </x:c>
      <x:c r="D19" s="48" t="str">
        <x:v>https://w3id.org/nltl-benchmark/vocab#tableReferenceValue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RUN-TRF-082-20260813T212536100675Z</x:v>
      </x:c>
      <x:c r="B20" s="47" t="str">
        <x:v>TRF-082</x:v>
      </x:c>
      <x:c r="C20" s="47" t="str">
        <x:v>traficomTable4Dash8</x:v>
      </x:c>
      <x:c r="D20" s="48" t="str">
        <x:v>https://w3id.org/nltl-benchmark/vocab#traficomTable4Dash8</x:v>
      </x:c>
      <x:c r="E20" s="47" t="str">
        <x:v>NamedIndividual</x:v>
      </x:c>
      <x:c r="F20" s="47" t="str"/>
      <x:c r="G20" s="47" t="str">
        <x:v>https://w3id.org/nltl-benchmark/vocab#tableReferenceValue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RUN-TRF-082-20260813T212536100675Z</x:v>
      </x:c>
      <x:c r="B21" s="47" t="str">
        <x:v>TRF-082</x:v>
      </x:c>
      <x:c r="C21" s="47" t="str">
        <x:v>traficomTable6Dash10</x:v>
      </x:c>
      <x:c r="D21" s="48" t="str">
        <x:v>https://w3id.org/nltl-benchmark/vocab#traficomTable6Dash10</x:v>
      </x:c>
      <x:c r="E21" s="47" t="str">
        <x:v>NamedIndividual</x:v>
      </x:c>
      <x:c r="F21" s="47" t="str"/>
      <x:c r="G21" s="47" t="str">
        <x:v>https://w3id.org/nltl-benchmark/vocab#tableReferenceValue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RUN-TRF-082-20260813T212536100675Z</x:v>
      </x:c>
      <x:c r="B22" s="47" t="str">
        <x:v>TRF-082</x:v>
      </x:c>
      <x:c r="C22" s="47" t="str">
        <x:v>traficomTable6Dash6</x:v>
      </x:c>
      <x:c r="D22" s="48" t="str">
        <x:v>https://w3id.org/nltl-benchmark/vocab#traficomTable6Dash6</x:v>
      </x:c>
      <x:c r="E22" s="47" t="str">
        <x:v>NamedIndividual</x:v>
      </x:c>
      <x:c r="F22" s="47" t="str"/>
      <x:c r="G22" s="47" t="str">
        <x:v>https://w3id.org/nltl-benchmark/vocab#tableReferenceValue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RUN-TRF-082-20260813T212536100675Z</x:v>
      </x:c>
      <x:c r="B23" s="47" t="str">
        <x:v>TRF-082</x:v>
      </x:c>
      <x:c r="C23" s="47" t="str">
        <x:v>traficomTable6Dash7</x:v>
      </x:c>
      <x:c r="D23" s="48" t="str">
        <x:v>https://w3id.org/nltl-benchmark/vocab#traficomTable6Dash7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RUN-TRF-082-20260813T212536100675Z</x:v>
      </x:c>
      <x:c r="B24" s="47" t="str">
        <x:v>TRF-082</x:v>
      </x:c>
      <x:c r="C24" s="47" t="str">
        <x:v>traficomTable6Dash8</x:v>
      </x:c>
      <x:c r="D24" s="48" t="str">
        <x:v>https://w3id.org/nltl-benchmark/vocab#traficomTable6Dash8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traficomTable6Dash8; linked by the locked 313-requirement index</x:v>
      </x:c>
      <x:c r="J24" s="47" t="n">
        <x:v>0</x:v>
      </x:c>
    </x:row>
    <x:row r="25">
      <x:c r="A25" s="49" t="str">
        <x:v>RUN-TRF-082-20260813T212536100675Z</x:v>
      </x:c>
      <x:c r="B25" s="49" t="str">
        <x:v>TRF-082</x:v>
      </x:c>
      <x:c r="C25" s="49" t="str">
        <x:v>traficomTable6Dash9</x:v>
      </x:c>
      <x:c r="D25" s="50" t="str">
        <x:v>https://w3id.org/nltl-benchmark/vocab#traficomTable6Dash9</x:v>
      </x:c>
      <x:c r="E25" s="49" t="str">
        <x:v>NamedIndividual</x:v>
      </x:c>
      <x:c r="F25" s="49" t="str"/>
      <x:c r="G25" s="49" t="str">
        <x:v>https://w3id.org/nltl-benchmark/vocab#tableReferenceValue</x:v>
      </x:c>
      <x:c r="H25" s="49" t="str"/>
      <x:c r="I25" s="50" t="str">
        <x:v>controlled value permitted by the range of tableReference; controlled value permitted by the range of traficomTable6Dash8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28c23f22a941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RUN-TRF-082-20260813T212536100675Z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RUN-TRF-082-20260813T212536100675Z</x:v>
      </x:c>
      <x:c r="B5" s="45" t="str">
        <x:v>TRF-082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RUN-TRF-082-20260813T212536100675Z</x:v>
      </x:c>
      <x:c r="B6" s="49" t="str">
        <x:v>TRF-082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a5732de3948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RUN-TRF-082-20260813T212536100675Z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RUN-TRF-082-20260813T212536100675Z</x:v>
      </x:c>
      <x:c r="B5" s="45" t="str">
        <x:v>TRF-082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https://w3id.org/nltl-benchmark/vocab#bollardThrustKnown | https://w3id.org/nltl-benchmark/vocab#evidenceArtifact | https://w3id.org/nltl-benchmark/vocab#hasTableLookupCase | https://w3id.org/nltl-benchmark/vocab#hydrodynamicBollardThrust | https://w3id.org/nltl-benchmark/vocab#lookupSelectionEvidence | https://w3id.org/nltl-benchmark/vocab#ship | https://w3id.org/nltl-benchmark/vocab#tableLookupApplied | https://w3id.org/nltl-benchmark/vocab#tableLookupCase | https://w3id.org/nltl-benchmark/vocab#tableReference | https://w3id.org/nltl-benchmark/vocab#tableReferenceValue | https://w3id.org/nltl-benchmark/vocab#traficomTable6Dash8</x:v>
      </x:c>
      <x:c r="O5" s="46" t="str"/>
      <x:c r="P5" s="46" t="str"/>
      <x:c r="Q5" s="46" t="str"/>
    </x:row>
    <x:row r="6">
      <x:c r="A6" s="47" t="str">
        <x:v>RUN-TRF-082-20260813T212536100675Z</x:v>
      </x:c>
      <x:c r="B6" s="47" t="str">
        <x:v>TRF-082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https://w3id.org/nltl-benchmark/vocab#bollardThrustKnown | https://w3id.org/nltl-benchmark/vocab#evidenceArtifact | https://w3id.org/nltl-benchmark/vocab#hasTableLookupCase | https://w3id.org/nltl-benchmark/vocab#hydrodynamicBollardThrust | https://w3id.org/nltl-benchmark/vocab#lookupSelectionEvidence | https://w3id.org/nltl-benchmark/vocab#ship | https://w3id.org/nltl-benchmark/vocab#tableLookupCase | https://w3id.org/nltl-benchmark/vocab#tableReference | https://w3id.org/nltl-benchmark/vocab#traficomTable6Dash8</x:v>
      </x:c>
      <x:c r="O6" s="48" t="str"/>
      <x:c r="P6" s="48" t="str"/>
      <x:c r="Q6" s="48" t="str"/>
    </x:row>
    <x:row r="7">
      <x:c r="A7" s="49" t="str">
        <x:v>RUN-TRF-082-20260813T212536100675Z</x:v>
      </x:c>
      <x:c r="B7" s="49" t="str">
        <x:v>TRF-082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https://w3id.org/nltl-benchmark/vocab#bollardThrustKnown | https://w3id.org/nltl-benchmark/vocab#evidenceArtifact | https://w3id.org/nltl-benchmark/vocab#hasTableLookupCase | https://w3id.org/nltl-benchmark/vocab#hydrodynamicBollardThrust | https://w3id.org/nltl-benchmark/vocab#lookupSelectionEvidence | https://w3id.org/nltl-benchmark/vocab#ship | https://w3id.org/nltl-benchmark/vocab#tableLookupApplied | https://w3id.org/nltl-benchmark/vocab#tableLookupCase | https://w3id.org/nltl-benchmark/vocab#tableReference | https://w3id.org/nltl-benchmark/vocab#traficomTable6Dash8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3b73f7271554f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RUN-TRF-082-20260813T212536100675Z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RUN-TRF-082-20260813T212536100675Z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RUN-TRF-082-20260813T212536100675Z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81e7db9346b52ccc23c28222d87f530066fe99516dbcb8f122f4a636f1c397bc</x:v>
      </x:c>
      <x:c r="G5" s="58" t="n">
        <x:v>26768</x:v>
      </x:c>
    </x:row>
    <x:row r="6">
      <x:c r="A6" s="47" t="str">
        <x:v>RUN-TRF-082-20260813T212536100675Z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RUN-TRF-082-20260813T212536100675Z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ca7f11b3210ed77b741bc56b99d2d67678e71ea7ed7c415a52c00bf09b682364</x:v>
      </x:c>
      <x:c r="G7" s="59" t="n">
        <x:v>36817</x:v>
      </x:c>
    </x:row>
    <x:row r="8">
      <x:c r="A8" s="47" t="str">
        <x:v>RUN-TRF-082-20260813T212536100675Z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f535d181c2aae9fb88b90567be0ae86b40b0badcfb14166d8211f0eebb7fd571</x:v>
      </x:c>
      <x:c r="G8" s="59" t="n">
        <x:v>2434</x:v>
      </x:c>
    </x:row>
    <x:row r="9">
      <x:c r="A9" s="47" t="str">
        <x:v>RUN-TRF-082-20260813T212536100675Z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b8a6fbb47e6102f310414c9d0bce98289adb12b4314be017c1c2541e3055a80b</x:v>
      </x:c>
      <x:c r="G9" s="59" t="n">
        <x:v>2409</x:v>
      </x:c>
    </x:row>
    <x:row r="10">
      <x:c r="A10" s="47" t="str">
        <x:v>RUN-TRF-082-20260813T212536100675Z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b64bb1294f95219b6b48796fec1ff6088f4c8aec7b7850a099d1e20520760068</x:v>
      </x:c>
      <x:c r="G10" s="59" t="n">
        <x:v>1084</x:v>
      </x:c>
    </x:row>
    <x:row r="11">
      <x:c r="A11" s="47" t="str">
        <x:v>RUN-TRF-082-20260813T212536100675Z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7bd358b7deb274ccb9e462f61235fc9740dc8e9ffc9924353f85c58a7c983796</x:v>
      </x:c>
      <x:c r="G11" s="59" t="n">
        <x:v>37529</x:v>
      </x:c>
    </x:row>
    <x:row r="12">
      <x:c r="A12" s="47" t="str">
        <x:v>RUN-TRF-082-20260813T212536100675Z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edb4d1daddecade30c6c5e0b63bd8ef37a809d056be5b90c08ce9a50c7baa767</x:v>
      </x:c>
      <x:c r="G12" s="59" t="n">
        <x:v>391</x:v>
      </x:c>
    </x:row>
    <x:row r="13">
      <x:c r="A13" s="47" t="str">
        <x:v>RUN-TRF-082-20260813T212536100675Z</x:v>
      </x:c>
      <x:c r="B13" s="47" t="str">
        <x:v>TRF-082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75faee7267e9482ae6ad7336bb95b27af53372fd99ac198104884d8c54b07587</x:v>
      </x:c>
      <x:c r="G13" s="59" t="n">
        <x:v>37143</x:v>
      </x:c>
    </x:row>
    <x:row r="14">
      <x:c r="A14" s="47" t="str">
        <x:v>RUN-TRF-082-20260813T212536100675Z</x:v>
      </x:c>
      <x:c r="B14" s="47" t="str">
        <x:v>TRF-082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0989961a54cfdce6f289eb0ed1471aa1ae5ef2c4907fb8496b863e165cbc1495</x:v>
      </x:c>
      <x:c r="G14" s="59" t="n">
        <x:v>2335</x:v>
      </x:c>
    </x:row>
    <x:row r="15">
      <x:c r="A15" s="47" t="str">
        <x:v>RUN-TRF-082-20260813T212536100675Z</x:v>
      </x:c>
      <x:c r="B15" s="47" t="str">
        <x:v>TRF-082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32b1fd0077c2ffa23dced4367382e52908d59aae6cf1a8426bdbf87417659891</x:v>
      </x:c>
      <x:c r="G15" s="59" t="n">
        <x:v>2310</x:v>
      </x:c>
    </x:row>
    <x:row r="16">
      <x:c r="A16" s="47" t="str">
        <x:v>RUN-TRF-082-20260813T212536100675Z</x:v>
      </x:c>
      <x:c r="B16" s="47" t="str">
        <x:v>TRF-082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947243d85cddfa790e758e035558c0500edc5383ea797077dd6ca2fad7af556c</x:v>
      </x:c>
      <x:c r="G16" s="59" t="n">
        <x:v>955</x:v>
      </x:c>
    </x:row>
    <x:row r="17">
      <x:c r="A17" s="47" t="str">
        <x:v>RUN-TRF-082-20260813T212536100675Z</x:v>
      </x:c>
      <x:c r="B17" s="47" t="str">
        <x:v>TRF-082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828ec96c1c8066d2d2c33c4df7a226a203d6220fbef294e301cabf369888072a</x:v>
      </x:c>
      <x:c r="G17" s="59" t="n">
        <x:v>36621</x:v>
      </x:c>
    </x:row>
    <x:row r="18">
      <x:c r="A18" s="47" t="str">
        <x:v>RUN-TRF-082-20260813T212536100675Z</x:v>
      </x:c>
      <x:c r="B18" s="47" t="str">
        <x:v>TRF-082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7107ecbdf22bb66faa39093175d15726361cc882667b4bafd23dcea82258b15b</x:v>
      </x:c>
      <x:c r="G18" s="59" t="n">
        <x:v>648</x:v>
      </x:c>
    </x:row>
    <x:row r="19">
      <x:c r="A19" s="47" t="str">
        <x:v>RUN-TRF-082-20260813T212536100675Z</x:v>
      </x:c>
      <x:c r="B19" s="47" t="str">
        <x:v>TRF-082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147d79ca368dc3a5f0bbc21e2a9bcbce1a98caada1f7761fa821220107db9430</x:v>
      </x:c>
      <x:c r="G19" s="59" t="n">
        <x:v>37734</x:v>
      </x:c>
    </x:row>
    <x:row r="20">
      <x:c r="A20" s="47" t="str">
        <x:v>RUN-TRF-082-20260813T212536100675Z</x:v>
      </x:c>
      <x:c r="B20" s="47" t="str">
        <x:v>TRF-082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fc9588290a08f70179c6ecfd8f972cd9f3b4b8cee8ccbe1ec547552643c1aaf4</x:v>
      </x:c>
      <x:c r="G20" s="59" t="n">
        <x:v>2556</x:v>
      </x:c>
    </x:row>
    <x:row r="21">
      <x:c r="A21" s="47" t="str">
        <x:v>RUN-TRF-082-20260813T212536100675Z</x:v>
      </x:c>
      <x:c r="B21" s="47" t="str">
        <x:v>TRF-082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12a4da7bc56519b17775f6711c38bb07fec3ba9cfe0c6b3c6f43e5b9ae80b7cf</x:v>
      </x:c>
      <x:c r="G21" s="59" t="n">
        <x:v>2531</x:v>
      </x:c>
    </x:row>
    <x:row r="22">
      <x:c r="A22" s="47" t="str">
        <x:v>RUN-TRF-082-20260813T212536100675Z</x:v>
      </x:c>
      <x:c r="B22" s="47" t="str">
        <x:v>TRF-082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58a490640c7f0eea11ec919d2a7a1b3a6f7c1856c49a78c634f647ed550449a0</x:v>
      </x:c>
      <x:c r="G22" s="59" t="n">
        <x:v>1019</x:v>
      </x:c>
    </x:row>
    <x:row r="23">
      <x:c r="A23" s="47" t="str">
        <x:v>RUN-TRF-082-20260813T212536100675Z</x:v>
      </x:c>
      <x:c r="B23" s="47" t="str">
        <x:v>TRF-082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002890a0178c426d0c5254dc86e0fa840da1f1aafa5aa2de252616eafabf551e</x:v>
      </x:c>
      <x:c r="G23" s="59" t="n">
        <x:v>37249</x:v>
      </x:c>
    </x:row>
    <x:row r="24">
      <x:c r="A24" s="49" t="str">
        <x:v>RUN-TRF-082-20260813T212536100675Z</x:v>
      </x:c>
      <x:c r="B24" s="49" t="str">
        <x:v>TRF-082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5cf76e66b8ab41b0d869f06cd1b71383e78af7d56f69184067dca5bfad3d1dcf</x:v>
      </x:c>
      <x:c r="G24" s="60" t="n">
        <x:v>349</x:v>
      </x:c>
    </x:row>
  </x:sheetData>
  <x:pageMargins left="0.7" right="0.7" top="0.75" bottom="0.75" header="0.3" footer="0.3"/>
  <x:tableParts count="1">
    <x:tablePart xmlns:r="http://schemas.openxmlformats.org/officeDocument/2006/relationships" r:id="Rb83e84a234024f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RUN-TRF-082-20260813T212536100675Z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RUN-TRF-082-20260813T212536100675Z</x:v>
      </x:c>
      <x:c r="B5" s="69" t="str">
        <x:v>TRF-082</x:v>
      </x:c>
      <x:c r="C5" s="71" t="n">
        <x:v>3</x:v>
      </x:c>
      <x:c r="D5" s="69" t="str">
        <x:v>MAX_ATTEMPTS_REACHED</x:v>
      </x:c>
      <x:c r="E5" s="73" t="str">
        <x:v>Move nltl:tableLookupApplied from the ship branch to gs:TRF082TableLookupCaseShape, where its canonical domain is nltl:tableLookupCase, and require it there with xsd:boolean true for the unknown-thrust lookup case. Keep the ship-to-case relationship and Table 6-8/evidence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837b1c118e46c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RUN-TRF-082-20260813T212536100675Z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