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9d89236c0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63fddb6e254d03"/>
    <x:sheet xmlns:r="http://schemas.openxmlformats.org/officeDocument/2006/relationships" name="README" sheetId="2" r:id="Red19183ae018450e"/>
    <x:sheet xmlns:r="http://schemas.openxmlformats.org/officeDocument/2006/relationships" name="REGULATION_QUEUE" sheetId="3" r:id="Re12e69b0e0fe4c65"/>
    <x:sheet xmlns:r="http://schemas.openxmlformats.org/officeDocument/2006/relationships" name="RUNS" sheetId="4" r:id="Ra65ea9d717584a92"/>
    <x:sheet xmlns:r="http://schemas.openxmlformats.org/officeDocument/2006/relationships" name="ITERATIONS" sheetId="5" r:id="Rbae2946902f14faf"/>
    <x:sheet xmlns:r="http://schemas.openxmlformats.org/officeDocument/2006/relationships" name="API_CALLS" sheetId="6" r:id="Rd4d85a998ce14737"/>
    <x:sheet xmlns:r="http://schemas.openxmlformats.org/officeDocument/2006/relationships" name="TERM_RETRIEVAL" sheetId="7" r:id="R5fff882f2e0a442f"/>
    <x:sheet xmlns:r="http://schemas.openxmlformats.org/officeDocument/2006/relationships" name="FEW_SHOT_SELECTION" sheetId="8" r:id="R6b090c4de8a14177"/>
    <x:sheet xmlns:r="http://schemas.openxmlformats.org/officeDocument/2006/relationships" name="VALIDATION" sheetId="9" r:id="R6a32ce59a08c4423"/>
    <x:sheet xmlns:r="http://schemas.openxmlformats.org/officeDocument/2006/relationships" name="VOCAB_MATCHES" sheetId="10" r:id="R91b0500a85a04daa"/>
    <x:sheet xmlns:r="http://schemas.openxmlformats.org/officeDocument/2006/relationships" name="ARTIFACTS" sheetId="11" r:id="R1e60b29d40c448a0"/>
    <x:sheet xmlns:r="http://schemas.openxmlformats.org/officeDocument/2006/relationships" name="UNRESOLVED" sheetId="12" r:id="R829a7d7fb56244ad"/>
    <x:sheet xmlns:r="http://schemas.openxmlformats.org/officeDocument/2006/relationships" name="RDF_TEST_QUEUE" sheetId="13" r:id="R723e254dd1a545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94f19eb2c4620" /><Relationship Type="http://schemas.openxmlformats.org/officeDocument/2006/relationships/theme" Target="/xl/theme/theme1.xml" Id="R363389e84dd4442c" /><Relationship Type="http://schemas.microsoft.com/office/2022/11/relationships/FeaturePropertyBag" Target="/xl/featurePropertyBag/featurePropertyBag.xml" Id="Re0250ba9b7d74ffc" /><Relationship Type="http://schemas.openxmlformats.org/officeDocument/2006/relationships/sharedStrings" Target="/xl/sharedStrings.xml" Id="R6814e50406724f09" /><Relationship Type="http://schemas.openxmlformats.org/officeDocument/2006/relationships/worksheet" Target="/xl/worksheets/sheet1.xml" Id="R1863fddb6e254d03" /><Relationship Type="http://schemas.openxmlformats.org/officeDocument/2006/relationships/worksheet" Target="/xl/worksheets/sheet2.xml" Id="Red19183ae018450e" /><Relationship Type="http://schemas.openxmlformats.org/officeDocument/2006/relationships/worksheet" Target="/xl/worksheets/sheet3.xml" Id="Re12e69b0e0fe4c65" /><Relationship Type="http://schemas.openxmlformats.org/officeDocument/2006/relationships/worksheet" Target="/xl/worksheets/sheet4.xml" Id="Ra65ea9d717584a92" /><Relationship Type="http://schemas.openxmlformats.org/officeDocument/2006/relationships/worksheet" Target="/xl/worksheets/sheet5.xml" Id="Rbae2946902f14faf" /><Relationship Type="http://schemas.openxmlformats.org/officeDocument/2006/relationships/worksheet" Target="/xl/worksheets/sheet6.xml" Id="Rd4d85a998ce14737" /><Relationship Type="http://schemas.openxmlformats.org/officeDocument/2006/relationships/worksheet" Target="/xl/worksheets/sheet7.xml" Id="R5fff882f2e0a442f" /><Relationship Type="http://schemas.openxmlformats.org/officeDocument/2006/relationships/worksheet" Target="/xl/worksheets/sheet8.xml" Id="R6b090c4de8a14177" /><Relationship Type="http://schemas.openxmlformats.org/officeDocument/2006/relationships/worksheet" Target="/xl/worksheets/sheet9.xml" Id="R6a32ce59a08c4423" /><Relationship Type="http://schemas.openxmlformats.org/officeDocument/2006/relationships/worksheet" Target="/xl/worksheets/sheet10.xml" Id="R91b0500a85a04daa" /><Relationship Type="http://schemas.openxmlformats.org/officeDocument/2006/relationships/worksheet" Target="/xl/worksheets/sheet11.xml" Id="R1e60b29d40c448a0" /><Relationship Type="http://schemas.openxmlformats.org/officeDocument/2006/relationships/worksheet" Target="/xl/worksheets/sheet12.xml" Id="R829a7d7fb56244ad" /><Relationship Type="http://schemas.openxmlformats.org/officeDocument/2006/relationships/worksheet" Target="/xl/worksheets/sheet13.xml" Id="R723e254dd1a545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520e9eb88445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6b534f9e764b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fbf3889b9c45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c65cb2e78549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10960abaac46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9f4eb1ad6f49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3bb2edcd0c4b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41d4c2427b47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90dddfddb34cd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fc1d3ce180f4b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RUN-TRF-116-20260813T214208813408Z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24745.641083333332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RUN-TRF-116-20260813T214208813408Z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520e9eb88445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RUN-TRF-116-20260813T214208813408Z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MAX_ATTEMPTS_REACHED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6b534f9e764b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RUN-TRF-116-20260813T214208813408Z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RUN-TRF-116-20260813T214208813408Z</x:v>
      </x:c>
      <x:c r="C5" s="69" t="str">
        <x:v>TRF-116</x:v>
      </x:c>
      <x:c r="D5" s="70" t="n">
        <x:v>46247.904268680555</x:v>
      </x:c>
      <x:c r="E5" s="70" t="n">
        <x:v>46247.90599262731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Make the formula constraint conditional on the presence of the non-hemispherical-impact calculation context; do not use sh:minCount 1 to require contact area, ice thickness, exception status, and result for every ship. Also correct the derived-radius tolerance: it must be based on the expected radius R_ceq (including the 1e-12 m fallback), not a fixed 1e-24 squared-value offset; if retaining squared comparisons, derive bounds exactly as (R_expected ± tolerance(R_expected))^2 for each applicable capped or uncapped branch.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fbf3889b9c45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RUN-TRF-116-20260813T214208813408Z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RUN-TRF-116-20260813T214208813408Z</x:v>
      </x:c>
      <x:c r="B5" s="45" t="str">
        <x:v>TRF-116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Rewrite the formula tolerance so its relative and absolute bounds are derived from the calculated expected radius (or an algebraically equivalent expected-squared bound), not from ?reportedRadius. The current reported-value-derived bounds violate the required derived-result tolerance direction; retain the sqrt(A/pi) calculation and conditional H_iced/2 cap, with the propeller-hub/thruster-end-cap exception.</x:v>
      </x:c>
      <x:c r="I5" s="84" t="n">
        <x:v>44010.722</x:v>
      </x:c>
      <x:c r="J5" s="84" t="n">
        <x:v>6545.068</x:v>
      </x:c>
    </x:row>
    <x:row r="6">
      <x:c r="A6" s="47" t="str">
        <x:v>RUN-TRF-116-20260813T214208813408Z</x:v>
      </x:c>
      <x:c r="B6" s="47" t="str">
        <x:v>TRF-116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SHACL runtime smoke execution error: Expected SelectQuery, found 'BIND'  (at char 875), (line:18, col:17) | Embedded SHACL-SPARQL parse error: Expected SelectQuery, found 'BIND'  (at char 718), (line:14, col:17)
Semantic validator feedback: Repair the embedded SHACL-SPARQL query so it parses in the deterministic evaluator (the current nested BIND/IF expression produces a parse error). Preserve the four ship-owned operands/result and the formula R_ceq=sqrt(A/pi), with the H_iced/2 cap only when 2*R_ceq exceeds H_iced and with the propeller-hub/thruster-end-cap exception; retain tolerance scaled from expectedRadius. Use evaluator-portable SPARQL expressions/decimal literals and validate that the repaired SELECT executes.</x:v>
      </x:c>
      <x:c r="I6" s="86" t="n">
        <x:v>29383.656</x:v>
      </x:c>
      <x:c r="J6" s="86" t="n">
        <x:v>6962.109</x:v>
      </x:c>
    </x:row>
    <x:row r="7">
      <x:c r="A7" s="49" t="str">
        <x:v>RUN-TRF-116-20260813T214208813408Z</x:v>
      </x:c>
      <x:c r="B7" s="49" t="str">
        <x:v>TRF-116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Make the formula constraint conditional on the presence of the non-hemispherical-impact calculation context; do not use sh:minCount 1 to require contact area, ice thickness, exception status, and result for every ship. Also correct the derived-radius tolerance: it must be based on the expected radius R_ceq (including the 1e-12 m fallback), not a fixed 1e-24 squared-value offset; if retaining squared comparisons, derive bounds exactly as (R_expected ± tolerance(R_expected))^2 for each applicable capped or uncapped branch.</x:v>
      </x:c>
      <x:c r="I7" s="88" t="n">
        <x:v>46072.592</x:v>
      </x:c>
      <x:c r="J7" s="88" t="n">
        <x:v>15504.932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c65cb2e78549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RUN-TRF-116-20260813T214208813408Z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RUN-TRF-116-20260813T214208813408Z</x:v>
      </x:c>
      <x:c r="C5" s="45" t="str">
        <x:v>TRF-116</x:v>
      </x:c>
      <x:c r="D5" s="92" t="n">
        <x:v>46247.90477806713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44009.067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RUN-TRF-116-20260813T214208813408Z</x:v>
      </x:c>
      <x:c r="C6" s="47" t="str">
        <x:v>TRF-116</x:v>
      </x:c>
      <x:c r="D6" s="93" t="n">
        <x:v>46247.90477809028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44010.722</x:v>
      </x:c>
      <x:c r="L6" s="85" t="b">
        <x:v>0</x:v>
      </x:c>
      <x:c r="M6" s="47" t="str">
        <x:v>resp_0fab85d12edda509006a7e3a31457c8196b30e73ba55e85b71</x:v>
      </x:c>
      <x:c r="N6" s="59" t="n">
        <x:v>6175</x:v>
      </x:c>
      <x:c r="O6" s="59" t="n">
        <x:v>3625</x:v>
      </x:c>
      <x:c r="P6" s="59" t="n">
        <x:v>9800</x:v>
      </x:c>
    </x:row>
    <x:row r="7">
      <x:c r="A7" s="47" t="str">
        <x:v>EVT-000025</x:v>
      </x:c>
      <x:c r="B7" s="47" t="str">
        <x:v>RUN-TRF-116-20260813T214208813408Z</x:v>
      </x:c>
      <x:c r="C7" s="47" t="str">
        <x:v>TRF-116</x:v>
      </x:c>
      <x:c r="D7" s="93" t="n">
        <x:v>46247.904855960645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6543.369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RUN-TRF-116-20260813T214208813408Z</x:v>
      </x:c>
      <x:c r="C8" s="47" t="str">
        <x:v>TRF-116</x:v>
      </x:c>
      <x:c r="D8" s="93" t="n">
        <x:v>46247.9048559838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6545.068</x:v>
      </x:c>
      <x:c r="L8" s="85" t="b">
        <x:v>0</x:v>
      </x:c>
      <x:c r="M8" s="47" t="str">
        <x:v>resp_020bfb85750096dd006a7e3a5d1b408196a7de97779f76bc3e</x:v>
      </x:c>
      <x:c r="N8" s="59" t="n">
        <x:v>6165</x:v>
      </x:c>
      <x:c r="O8" s="59" t="n">
        <x:v>564</x:v>
      </x:c>
      <x:c r="P8" s="59" t="n">
        <x:v>6729</x:v>
      </x:c>
    </x:row>
    <x:row r="9">
      <x:c r="A9" s="47" t="str">
        <x:v>EVT-000031</x:v>
      </x:c>
      <x:c r="B9" s="47" t="str">
        <x:v>RUN-TRF-116-20260813T214208813408Z</x:v>
      </x:c>
      <x:c r="C9" s="47" t="str">
        <x:v>TRF-116</x:v>
      </x:c>
      <x:c r="D9" s="93" t="n">
        <x:v>46247.905196099535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29381.898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RUN-TRF-116-20260813T214208813408Z</x:v>
      </x:c>
      <x:c r="C10" s="47" t="str">
        <x:v>TRF-116</x:v>
      </x:c>
      <x:c r="D10" s="93" t="n">
        <x:v>46247.90519612269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29383.656</x:v>
      </x:c>
      <x:c r="L10" s="85" t="b">
        <x:v>0</x:v>
      </x:c>
      <x:c r="M10" s="47" t="str">
        <x:v>resp_032add49b1bbb8b3006a7e3a63a7b881979fc92224a022fe01</x:v>
      </x:c>
      <x:c r="N10" s="59" t="n">
        <x:v>6252</x:v>
      </x:c>
      <x:c r="O10" s="59" t="n">
        <x:v>2363</x:v>
      </x:c>
      <x:c r="P10" s="59" t="n">
        <x:v>8615</x:v>
      </x:c>
    </x:row>
    <x:row r="11">
      <x:c r="A11" s="47" t="str">
        <x:v>EVT-000039</x:v>
      </x:c>
      <x:c r="B11" s="47" t="str">
        <x:v>RUN-TRF-116-20260813T214208813408Z</x:v>
      </x:c>
      <x:c r="C11" s="47" t="str">
        <x:v>TRF-116</x:v>
      </x:c>
      <x:c r="D11" s="93" t="n">
        <x:v>46247.90527791667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6960.409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RUN-TRF-116-20260813T214208813408Z</x:v>
      </x:c>
      <x:c r="C12" s="47" t="str">
        <x:v>TRF-116</x:v>
      </x:c>
      <x:c r="D12" s="93" t="n">
        <x:v>46247.90527793981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6962.109</x:v>
      </x:c>
      <x:c r="L12" s="85" t="b">
        <x:v>0</x:v>
      </x:c>
      <x:c r="M12" s="47" t="str">
        <x:v>resp_00daa857bf1418ad006a7e3a81236881959d0c687d9c4a56ae</x:v>
      </x:c>
      <x:c r="N12" s="59" t="n">
        <x:v>6014</x:v>
      </x:c>
      <x:c r="O12" s="59" t="n">
        <x:v>645</x:v>
      </x:c>
      <x:c r="P12" s="59" t="n">
        <x:v>6659</x:v>
      </x:c>
    </x:row>
    <x:row r="13">
      <x:c r="A13" s="47" t="str">
        <x:v>EVT-000045</x:v>
      </x:c>
      <x:c r="B13" s="47" t="str">
        <x:v>RUN-TRF-116-20260813T214208813408Z</x:v>
      </x:c>
      <x:c r="C13" s="47" t="str">
        <x:v>TRF-116</x:v>
      </x:c>
      <x:c r="D13" s="93" t="n">
        <x:v>46247.905811226854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46070.757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RUN-TRF-116-20260813T214208813408Z</x:v>
      </x:c>
      <x:c r="C14" s="47" t="str">
        <x:v>TRF-116</x:v>
      </x:c>
      <x:c r="D14" s="93" t="n">
        <x:v>46247.90581125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46072.592</x:v>
      </x:c>
      <x:c r="L14" s="85" t="b">
        <x:v>0</x:v>
      </x:c>
      <x:c r="M14" s="47" t="str">
        <x:v>resp_0515ca5ae2202cbb006a7e3a881d5c8194babb08f2a656d30a</x:v>
      </x:c>
      <x:c r="N14" s="59" t="n">
        <x:v>6445</x:v>
      </x:c>
      <x:c r="O14" s="59" t="n">
        <x:v>3935</x:v>
      </x:c>
      <x:c r="P14" s="59" t="n">
        <x:v>10380</x:v>
      </x:c>
    </x:row>
    <x:row r="15">
      <x:c r="A15" s="47" t="str">
        <x:v>EVT-000053</x:v>
      </x:c>
      <x:c r="B15" s="47" t="str">
        <x:v>RUN-TRF-116-20260813T214208813408Z</x:v>
      </x:c>
      <x:c r="C15" s="47" t="str">
        <x:v>TRF-116</x:v>
      </x:c>
      <x:c r="D15" s="93" t="n">
        <x:v>46247.90599255787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15503.114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EVT-000054</x:v>
      </x:c>
      <x:c r="B16" s="49" t="str">
        <x:v>RUN-TRF-116-20260813T214208813408Z</x:v>
      </x:c>
      <x:c r="C16" s="49" t="str">
        <x:v>TRF-116</x:v>
      </x:c>
      <x:c r="D16" s="94" t="n">
        <x:v>46247.90599258102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15504.932</x:v>
      </x:c>
      <x:c r="L16" s="87" t="b">
        <x:v>0</x:v>
      </x:c>
      <x:c r="M16" s="49" t="str">
        <x:v>resp_007c3e00ea47df8d006a7e3ab6716c8196a0348e76a82bd37c</x:v>
      </x:c>
      <x:c r="N16" s="60" t="n">
        <x:v>6349</x:v>
      </x:c>
      <x:c r="O16" s="60" t="n">
        <x:v>1379</x:v>
      </x:c>
      <x:c r="P16" s="60" t="n">
        <x:v>7728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10960abaac46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RUN-TRF-116-20260813T214208813408Z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RUN-TRF-116-20260813T214208813408Z</x:v>
      </x:c>
      <x:c r="B5" s="45" t="str">
        <x:v>TRF-116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RUN-TRF-116-20260813T214208813408Z</x:v>
      </x:c>
      <x:c r="B6" s="47" t="str">
        <x:v>TRF-116</x:v>
      </x:c>
      <x:c r="C6" s="47" t="str">
        <x:v>designIceThickness</x:v>
      </x:c>
      <x:c r="D6" s="48" t="str">
        <x:v>https://w3id.org/nltl-benchmark/vocab#designIceThickness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RUN-TRF-116-20260813T214208813408Z</x:v>
      </x:c>
      <x:c r="B7" s="47" t="str">
        <x:v>TRF-116</x:v>
      </x:c>
      <x:c r="C7" s="47" t="str">
        <x:v>equivalentImpactSphereRadius</x:v>
      </x:c>
      <x:c r="D7" s="48" t="str">
        <x:v>https://w3id.org/nltl-benchmark/vocab#equivalentImpactSphereRadius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RUN-TRF-116-20260813T214208813408Z</x:v>
      </x:c>
      <x:c r="B8" s="47" t="str">
        <x:v>TRF-116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RUN-TRF-116-20260813T214208813408Z</x:v>
      </x:c>
      <x:c r="B9" s="47" t="str">
        <x:v>TRF-116</x:v>
      </x:c>
      <x:c r="C9" s="47" t="str">
        <x:v>nonHemisphericalImpactArea</x:v>
      </x:c>
      <x:c r="D9" s="48" t="str">
        <x:v>https://w3id.org/nltl-benchmark/vocab#nonHemisphericalImpactArea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RUN-TRF-116-20260813T214208813408Z</x:v>
      </x:c>
      <x:c r="B10" s="47" t="str">
        <x:v>TRF-116</x:v>
      </x:c>
      <x:c r="C10" s="47" t="str">
        <x:v>nonHemisphericalImpactContactArea</x:v>
      </x:c>
      <x:c r="D10" s="48" t="str">
        <x:v>https://w3id.org/nltl-benchmark/vocab#nonHemisphericalImpactContactArea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RUN-TRF-116-20260813T214208813408Z</x:v>
      </x:c>
      <x:c r="B11" s="47" t="str">
        <x:v>TRF-116</x:v>
      </x:c>
      <x:c r="C11" s="47" t="str">
        <x:v>propellerHubOrThrusterEndCapImpact</x:v>
      </x:c>
      <x:c r="D11" s="48" t="str">
        <x:v>https://w3id.org/nltl-benchmark/vocab#propellerHubOrThrusterEndCapImpact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RUN-TRF-116-20260813T214208813408Z</x:v>
      </x:c>
      <x:c r="B12" s="47" t="str">
        <x:v>TRF-116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RUN-TRF-116-20260813T214208813408Z</x:v>
      </x:c>
      <x:c r="B13" s="49" t="str">
        <x:v>TRF-116</x:v>
      </x:c>
      <x:c r="C13" s="49" t="str">
        <x:v>shipComponent</x:v>
      </x:c>
      <x:c r="D13" s="50" t="str">
        <x:v>https://w3id.org/nltl-benchmark/vocab#shipComponent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9f4eb1ad6f49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RUN-TRF-116-20260813T214208813408Z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RUN-TRF-116-20260813T214208813408Z</x:v>
      </x:c>
      <x:c r="B5" s="45" t="str">
        <x:v>TRF-116</x:v>
      </x:c>
      <x:c r="C5" s="45" t="str">
        <x:v>FS-CALC-02</x:v>
      </x:c>
      <x:c r="D5" s="45" t="str">
        <x:v>comparison_calculation</x:v>
      </x:c>
      <x:c r="E5" s="97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RUN-TRF-116-20260813T214208813408Z</x:v>
      </x:c>
      <x:c r="B6" s="49" t="str">
        <x:v>TRF-116</x:v>
      </x:c>
      <x:c r="C6" s="49" t="str">
        <x:v>FS-BOOL-01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3bb2edcd0c4b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RUN-TRF-116-20260813T214208813408Z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RUN-TRF-116-20260813T214208813408Z</x:v>
      </x:c>
      <x:c r="B5" s="45" t="str">
        <x:v>TRF-116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https://w3id.org/nltl-benchmark/vocab#designIceThickness | https://w3id.org/nltl-benchmark/vocab#equivalentImpactSphereRadius | https://w3id.org/nltl-benchmark/vocab#nonHemisphericalImpactContactArea | https://w3id.org/nltl-benchmark/vocab#propellerHubOrThrusterEndCapImpact | https://w3id.org/nltl-benchmark/vocab#ship</x:v>
      </x:c>
      <x:c r="O5" s="46" t="str"/>
      <x:c r="P5" s="46" t="str"/>
      <x:c r="Q5" s="46" t="str"/>
    </x:row>
    <x:row r="6">
      <x:c r="A6" s="47" t="str">
        <x:v>RUN-TRF-116-20260813T214208813408Z</x:v>
      </x:c>
      <x:c r="B6" s="47" t="str">
        <x:v>TRF-116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0</x:v>
      </x:c>
      <x:c r="I6" s="85" t="b">
        <x:v>1</x:v>
      </x:c>
      <x:c r="J6" s="85" t="b">
        <x:v>1</x:v>
      </x:c>
      <x:c r="K6" s="103" t="b">
        <x:v>1</x:v>
      </x:c>
      <x:c r="L6" s="48" t="str">
        <x:v>SHACL runtime smoke execution error: Expected SelectQuery, found 'BIND'  (at char 875), (line:18, col:17) | Embedded SHACL-SPARQL parse error: Expected SelectQuery, found 'BIND'  (at char 718), (line:14, col:17)</x:v>
      </x:c>
      <x:c r="M6" s="48" t="str"/>
      <x:c r="N6" s="48" t="str">
        <x:v>https://w3id.org/nltl-benchmark/vocab#designIceThickness | https://w3id.org/nltl-benchmark/vocab#equivalentImpactSphereRadius | https://w3id.org/nltl-benchmark/vocab#nonHemisphericalImpactContactArea | https://w3id.org/nltl-benchmark/vocab#propellerHubOrThrusterEndCapImpact | https://w3id.org/nltl-benchmark/vocab#ship</x:v>
      </x:c>
      <x:c r="O6" s="48" t="str"/>
      <x:c r="P6" s="48" t="str"/>
      <x:c r="Q6" s="48" t="str"/>
    </x:row>
    <x:row r="7">
      <x:c r="A7" s="49" t="str">
        <x:v>RUN-TRF-116-20260813T214208813408Z</x:v>
      </x:c>
      <x:c r="B7" s="49" t="str">
        <x:v>TRF-116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https://w3id.org/nltl-benchmark/vocab#designIceThickness | https://w3id.org/nltl-benchmark/vocab#equivalentImpactSphereRadius | https://w3id.org/nltl-benchmark/vocab#nonHemisphericalImpactContactArea | https://w3id.org/nltl-benchmark/vocab#propellerHubOrThrusterEndCapImpact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341d4c2427b47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RUN-TRF-116-20260813T214208813408Z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RUN-TRF-116-20260813T214208813408Z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RUN-TRF-116-20260813T214208813408Z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146bf2b1cb544ef2b8ee024b457df491182d899bff88f7cc5097db7786193090</x:v>
      </x:c>
      <x:c r="G5" s="58" t="n">
        <x:v>13752</x:v>
      </x:c>
    </x:row>
    <x:row r="6">
      <x:c r="A6" s="47" t="str">
        <x:v>RUN-TRF-116-20260813T214208813408Z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d378c5a99dbb8ee17a7c9b0ad9dde483f70a2379803c3c736d8c3555394da9db</x:v>
      </x:c>
      <x:c r="G6" s="59" t="n">
        <x:v>4859</x:v>
      </x:c>
    </x:row>
    <x:row r="7">
      <x:c r="A7" s="47" t="str">
        <x:v>RUN-TRF-116-20260813T214208813408Z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51b7289fe757d48e35a7542db0718a840f82493ba15917df7c5a3a467a725e53</x:v>
      </x:c>
      <x:c r="G7" s="59" t="n">
        <x:v>25530</x:v>
      </x:c>
    </x:row>
    <x:row r="8">
      <x:c r="A8" s="47" t="str">
        <x:v>RUN-TRF-116-20260813T214208813408Z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a8953ee4105b89b6e92ce90cd6b74550d408c3e7d5e9e1f107b393614fecdebb</x:v>
      </x:c>
      <x:c r="G8" s="59" t="n">
        <x:v>5554</x:v>
      </x:c>
    </x:row>
    <x:row r="9">
      <x:c r="A9" s="47" t="str">
        <x:v>RUN-TRF-116-20260813T214208813408Z</x:v>
      </x:c>
      <x:c r="B9" s="47" t="str">
        <x:v>TRF-116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cf2263aefbace6745632992c886bae2cee9019e2630a39624aaa50e81387c00a</x:v>
      </x:c>
      <x:c r="G9" s="59" t="n">
        <x:v>5529</x:v>
      </x:c>
    </x:row>
    <x:row r="10">
      <x:c r="A10" s="47" t="str">
        <x:v>RUN-TRF-116-20260813T214208813408Z</x:v>
      </x:c>
      <x:c r="B10" s="47" t="str">
        <x:v>TRF-116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e2894f8baf0a8ebd6c3ec8455da7cf4c84c3c51734db277033c0bd4241343b3f</x:v>
      </x:c>
      <x:c r="G10" s="59" t="n">
        <x:v>736</x:v>
      </x:c>
    </x:row>
    <x:row r="11">
      <x:c r="A11" s="47" t="str">
        <x:v>RUN-TRF-116-20260813T214208813408Z</x:v>
      </x:c>
      <x:c r="B11" s="47" t="str">
        <x:v>TRF-116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a4fdd612dd26df16c364095f5bcc909ee9f1d9a73cda9465bbc2d756e9bd186d</x:v>
      </x:c>
      <x:c r="G11" s="59" t="n">
        <x:v>25459</x:v>
      </x:c>
    </x:row>
    <x:row r="12">
      <x:c r="A12" s="47" t="str">
        <x:v>RUN-TRF-116-20260813T214208813408Z</x:v>
      </x:c>
      <x:c r="B12" s="47" t="str">
        <x:v>TRF-116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bc22f1dd2f49e71d7bb38e59f452c96626b14aaacec263b4be74c386288c8929</x:v>
      </x:c>
      <x:c r="G12" s="59" t="n">
        <x:v>474</x:v>
      </x:c>
    </x:row>
    <x:row r="13">
      <x:c r="A13" s="47" t="str">
        <x:v>RUN-TRF-116-20260813T214208813408Z</x:v>
      </x:c>
      <x:c r="B13" s="47" t="str">
        <x:v>TRF-116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ab38113a7ce75b56d170bde62f7c9c958aa2383fe7566be9065e196da2ee3f20</x:v>
      </x:c>
      <x:c r="G13" s="59" t="n">
        <x:v>25939</x:v>
      </x:c>
    </x:row>
    <x:row r="14">
      <x:c r="A14" s="47" t="str">
        <x:v>RUN-TRF-116-20260813T214208813408Z</x:v>
      </x:c>
      <x:c r="B14" s="47" t="str">
        <x:v>TRF-116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dcaee6021a65d49e05082c74b8991e9e5b8bd5bb45be5df10ffa542e41848972</x:v>
      </x:c>
      <x:c r="G14" s="59" t="n">
        <x:v>4039</x:v>
      </x:c>
    </x:row>
    <x:row r="15">
      <x:c r="A15" s="47" t="str">
        <x:v>RUN-TRF-116-20260813T214208813408Z</x:v>
      </x:c>
      <x:c r="B15" s="47" t="str">
        <x:v>TRF-116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a98bb5764502657b0595408e0a124c98009cdb4680879eeef9088f559e25253a</x:v>
      </x:c>
      <x:c r="G15" s="59" t="n">
        <x:v>4014</x:v>
      </x:c>
    </x:row>
    <x:row r="16">
      <x:c r="A16" s="47" t="str">
        <x:v>RUN-TRF-116-20260813T214208813408Z</x:v>
      </x:c>
      <x:c r="B16" s="47" t="str">
        <x:v>TRF-116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8acd6c3587ff2281abb6dd971522f6dc51d4212a4716496444c73e5dacd8b942</x:v>
      </x:c>
      <x:c r="G16" s="59" t="n">
        <x:v>964</x:v>
      </x:c>
    </x:row>
    <x:row r="17">
      <x:c r="A17" s="47" t="str">
        <x:v>RUN-TRF-116-20260813T214208813408Z</x:v>
      </x:c>
      <x:c r="B17" s="47" t="str">
        <x:v>TRF-116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51f0c321e09ed67e1fd14a3f1d8f2e0bf820f791438e69204e557a54af365086</x:v>
      </x:c>
      <x:c r="G17" s="59" t="n">
        <x:v>24143</x:v>
      </x:c>
    </x:row>
    <x:row r="18">
      <x:c r="A18" s="47" t="str">
        <x:v>RUN-TRF-116-20260813T214208813408Z</x:v>
      </x:c>
      <x:c r="B18" s="47" t="str">
        <x:v>TRF-116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5ce011cbf656dd2367b6525da94b48a82c8512e259fede95c66db4651ecad990</x:v>
      </x:c>
      <x:c r="G18" s="59" t="n">
        <x:v>551</x:v>
      </x:c>
    </x:row>
    <x:row r="19">
      <x:c r="A19" s="47" t="str">
        <x:v>RUN-TRF-116-20260813T214208813408Z</x:v>
      </x:c>
      <x:c r="B19" s="47" t="str">
        <x:v>TRF-116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5aaa6703f73b735ee01b20988eb6e768f941835ad1a51771a219ca0a0f98b97c</x:v>
      </x:c>
      <x:c r="G19" s="59" t="n">
        <x:v>26726</x:v>
      </x:c>
    </x:row>
    <x:row r="20">
      <x:c r="A20" s="47" t="str">
        <x:v>RUN-TRF-116-20260813T214208813408Z</x:v>
      </x:c>
      <x:c r="B20" s="47" t="str">
        <x:v>TRF-116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4661cded809085e8c495fe74d10f9354e54317f6f3a7883f56ba59029780e800</x:v>
      </x:c>
      <x:c r="G20" s="59" t="n">
        <x:v>6176</x:v>
      </x:c>
    </x:row>
    <x:row r="21">
      <x:c r="A21" s="47" t="str">
        <x:v>RUN-TRF-116-20260813T214208813408Z</x:v>
      </x:c>
      <x:c r="B21" s="47" t="str">
        <x:v>TRF-116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56911905889f6fc3929c1f626915800984cc0965b003f5d35435cea7117c7ca1</x:v>
      </x:c>
      <x:c r="G21" s="59" t="n">
        <x:v>6151</x:v>
      </x:c>
    </x:row>
    <x:row r="22">
      <x:c r="A22" s="47" t="str">
        <x:v>RUN-TRF-116-20260813T214208813408Z</x:v>
      </x:c>
      <x:c r="B22" s="47" t="str">
        <x:v>TRF-116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e2894f8baf0a8ebd6c3ec8455da7cf4c84c3c51734db277033c0bd4241343b3f</x:v>
      </x:c>
      <x:c r="G22" s="59" t="n">
        <x:v>736</x:v>
      </x:c>
    </x:row>
    <x:row r="23">
      <x:c r="A23" s="47" t="str">
        <x:v>RUN-TRF-116-20260813T214208813408Z</x:v>
      </x:c>
      <x:c r="B23" s="47" t="str">
        <x:v>TRF-116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ecb7be985267cb4ba8c8acd9aaac43dd5d38e9f504b32ae520722d6e9d0c112f</x:v>
      </x:c>
      <x:c r="G23" s="59" t="n">
        <x:v>26076</x:v>
      </x:c>
    </x:row>
    <x:row r="24">
      <x:c r="A24" s="49" t="str">
        <x:v>RUN-TRF-116-20260813T214208813408Z</x:v>
      </x:c>
      <x:c r="B24" s="49" t="str">
        <x:v>TRF-116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27dac1a1c1341291354669ec2b7b4a7f76959729fe21db394ba59a9a486c0952</x:v>
      </x:c>
      <x:c r="G24" s="60" t="n">
        <x:v>591</x:v>
      </x:c>
    </x:row>
  </x:sheetData>
  <x:pageMargins left="0.7" right="0.7" top="0.75" bottom="0.75" header="0.3" footer="0.3"/>
  <x:tableParts count="1">
    <x:tablePart xmlns:r="http://schemas.openxmlformats.org/officeDocument/2006/relationships" r:id="R9790dddfddb34c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RUN-TRF-116-20260813T214208813408Z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RUN-TRF-116-20260813T214208813408Z</x:v>
      </x:c>
      <x:c r="B5" s="69" t="str">
        <x:v>TRF-116</x:v>
      </x:c>
      <x:c r="C5" s="71" t="n">
        <x:v>3</x:v>
      </x:c>
      <x:c r="D5" s="69" t="str">
        <x:v>MAX_ATTEMPTS_REACHED</x:v>
      </x:c>
      <x:c r="E5" s="73" t="str">
        <x:v>Make the formula constraint conditional on the presence of the non-hemispherical-impact calculation context; do not use sh:minCount 1 to require contact area, ice thickness, exception status, and result for every ship. Also correct the derived-radius tolerance: it must be based on the expected radius R_ceq (including the 1e-12 m fallback), not a fixed 1e-24 squared-value offset; if retaining squared comparisons, derive bounds exactly as (R_expected ± tolerance(R_expected))^2 for each applicable capped or uncapped branch.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c1d3ce180f4b5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RUN-TRF-116-20260813T214208813408Z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