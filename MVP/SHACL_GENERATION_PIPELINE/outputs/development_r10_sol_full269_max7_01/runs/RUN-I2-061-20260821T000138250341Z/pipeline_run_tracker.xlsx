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96da26cd542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7f4be3ee2f4946"/>
    <x:sheet xmlns:r="http://schemas.openxmlformats.org/officeDocument/2006/relationships" name="README" sheetId="2" r:id="R43c5d05a6343450f"/>
    <x:sheet xmlns:r="http://schemas.openxmlformats.org/officeDocument/2006/relationships" name="REGULATION_QUEUE" sheetId="3" r:id="R79ee478bf9084e49"/>
    <x:sheet xmlns:r="http://schemas.openxmlformats.org/officeDocument/2006/relationships" name="RUNS" sheetId="4" r:id="R09de70505f624f42"/>
    <x:sheet xmlns:r="http://schemas.openxmlformats.org/officeDocument/2006/relationships" name="ITERATIONS" sheetId="5" r:id="R53919a8b9d5e4288"/>
    <x:sheet xmlns:r="http://schemas.openxmlformats.org/officeDocument/2006/relationships" name="API_CALLS" sheetId="6" r:id="R28110cd2ddfa40c1"/>
    <x:sheet xmlns:r="http://schemas.openxmlformats.org/officeDocument/2006/relationships" name="TERM_RETRIEVAL" sheetId="7" r:id="R26b5520031884105"/>
    <x:sheet xmlns:r="http://schemas.openxmlformats.org/officeDocument/2006/relationships" name="FEW_SHOT_SELECTION" sheetId="8" r:id="R7cd66126bd8240a6"/>
    <x:sheet xmlns:r="http://schemas.openxmlformats.org/officeDocument/2006/relationships" name="VALIDATION" sheetId="9" r:id="Ree31707ad1354485"/>
    <x:sheet xmlns:r="http://schemas.openxmlformats.org/officeDocument/2006/relationships" name="VOCAB_MATCHES" sheetId="10" r:id="R7f9c6ccb1b634692"/>
    <x:sheet xmlns:r="http://schemas.openxmlformats.org/officeDocument/2006/relationships" name="ARTIFACTS" sheetId="11" r:id="R554545ee8cfb4e6f"/>
    <x:sheet xmlns:r="http://schemas.openxmlformats.org/officeDocument/2006/relationships" name="UNRESOLVED" sheetId="12" r:id="R4bc81d90a34048f7"/>
    <x:sheet xmlns:r="http://schemas.openxmlformats.org/officeDocument/2006/relationships" name="RDF_TEST_QUEUE" sheetId="13" r:id="R9a6c51242c144b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61cdda9fbe4c4b" /><Relationship Type="http://schemas.openxmlformats.org/officeDocument/2006/relationships/theme" Target="/xl/theme/theme1.xml" Id="R3acb50fc0a534a37" /><Relationship Type="http://schemas.microsoft.com/office/2022/11/relationships/FeaturePropertyBag" Target="/xl/featurePropertyBag/featurePropertyBag.xml" Id="Rfe583064426542b0" /><Relationship Type="http://schemas.openxmlformats.org/officeDocument/2006/relationships/sharedStrings" Target="/xl/sharedStrings.xml" Id="Rb2b5c4479e334689" /><Relationship Type="http://schemas.openxmlformats.org/officeDocument/2006/relationships/worksheet" Target="/xl/worksheets/sheet1.xml" Id="R197f4be3ee2f4946" /><Relationship Type="http://schemas.openxmlformats.org/officeDocument/2006/relationships/worksheet" Target="/xl/worksheets/sheet2.xml" Id="R43c5d05a6343450f" /><Relationship Type="http://schemas.openxmlformats.org/officeDocument/2006/relationships/worksheet" Target="/xl/worksheets/sheet3.xml" Id="R79ee478bf9084e49" /><Relationship Type="http://schemas.openxmlformats.org/officeDocument/2006/relationships/worksheet" Target="/xl/worksheets/sheet4.xml" Id="R09de70505f624f42" /><Relationship Type="http://schemas.openxmlformats.org/officeDocument/2006/relationships/worksheet" Target="/xl/worksheets/sheet5.xml" Id="R53919a8b9d5e4288" /><Relationship Type="http://schemas.openxmlformats.org/officeDocument/2006/relationships/worksheet" Target="/xl/worksheets/sheet6.xml" Id="R28110cd2ddfa40c1" /><Relationship Type="http://schemas.openxmlformats.org/officeDocument/2006/relationships/worksheet" Target="/xl/worksheets/sheet7.xml" Id="R26b5520031884105" /><Relationship Type="http://schemas.openxmlformats.org/officeDocument/2006/relationships/worksheet" Target="/xl/worksheets/sheet8.xml" Id="R7cd66126bd8240a6" /><Relationship Type="http://schemas.openxmlformats.org/officeDocument/2006/relationships/worksheet" Target="/xl/worksheets/sheet9.xml" Id="Ree31707ad1354485" /><Relationship Type="http://schemas.openxmlformats.org/officeDocument/2006/relationships/worksheet" Target="/xl/worksheets/sheet10.xml" Id="R7f9c6ccb1b634692" /><Relationship Type="http://schemas.openxmlformats.org/officeDocument/2006/relationships/worksheet" Target="/xl/worksheets/sheet11.xml" Id="R554545ee8cfb4e6f" /><Relationship Type="http://schemas.openxmlformats.org/officeDocument/2006/relationships/worksheet" Target="/xl/worksheets/sheet12.xml" Id="R4bc81d90a34048f7" /><Relationship Type="http://schemas.openxmlformats.org/officeDocument/2006/relationships/worksheet" Target="/xl/worksheets/sheet13.xml" Id="R9a6c51242c144b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f077df7d2b49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78e66fed4c4f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ca6f9fa8a949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1bc94aac034e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1c80f710194a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75b7d3084e45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405c7f23a243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76cd7c635541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838bcaad474e3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7789feaab904c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RUN-I2-061-20260821T000138250341Z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31778.2285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RUN-I2-061-20260821T000138250341Z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f077df7d2b49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RUN-I2-061-20260821T000138250341Z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GENERATION_ACCEPTED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78e66fed4c4f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RUN-I2-061-20260821T000138250341Z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RUN-I2-061-20260821T000138250341Z</x:v>
      </x:c>
      <x:c r="C5" s="69" t="str">
        <x:v>I2-061</x:v>
      </x:c>
      <x:c r="D5" s="70" t="n">
        <x:v>46255.001137175925</x:v>
      </x:c>
      <x:c r="E5" s="70" t="n">
        <x:v>46255.002610578704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ship-to-calculation-case-to-assessed-hull-structure paths, scopes the prohibition to assessed structures, rejects direct calculation only when the prescribed analytical procedure is absent, preserves universal rather than existential case/method/structure logic, and validates the required thickness quantity with the canonical datatype and metre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ca6f9fa8a949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RUN-I2-061-20260821T000138250341Z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RUN-I2-061-20260821T000138250341Z</x:v>
      </x:c>
      <x:c r="B5" s="45" t="str">
        <x:v>I2-061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overstates existence and scope: this universal prohibition does not require every ship to have a calculation case or every calculation case to identify a method and assessed hull structure. Remove sh:minCount 1 from hasCalculationCase, calculationMethod, and calculationCaseAssessedHullStructure while retaining their paths, classes, and nested validation. Scope the SPARQL violation to cases having calculationCaseAssessedHullStructure, so unrelated calculation cases are not constrained; for such scoped cases, continue to reject directCalculationMethodValue when prescribedAnalyticalProcedure is absent and retain the required thickness validation on each linked hull structure.</x:v>
      </x:c>
      <x:c r="I5" s="81" t="n">
        <x:v>57710.167</x:v>
      </x:c>
      <x:c r="J5" s="81" t="n">
        <x:v>31413.524</x:v>
      </x:c>
    </x:row>
    <x:row r="6">
      <x:c r="A6" s="49" t="str">
        <x:v>RUN-I2-061-20260821T000138250341Z</x:v>
      </x:c>
      <x:c r="B6" s="49" t="str">
        <x:v>I2-061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implements the ship-to-calculation-case-to-assessed-hull-structure paths, scopes the prohibition to assessed structures, rejects direct calculation only when the prescribed analytical procedure is absent, preserves universal rather than existential case/method/structure logic, and validates the required thickness quantity with the canonical datatype and metre unit.</x:v>
      </x:c>
      <x:c r="I6" s="83" t="n">
        <x:v>29409.683</x:v>
      </x:c>
      <x:c r="J6" s="83" t="n">
        <x:v>8582.226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1bc94aac034e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RUN-I2-061-20260821T000138250341Z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RUN-I2-061-20260821T000138250341Z</x:v>
      </x:c>
      <x:c r="C5" s="45" t="str">
        <x:v>I2-061</x:v>
      </x:c>
      <x:c r="D5" s="90" t="n">
        <x:v>46255.001805127315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57708.422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RUN-I2-061-20260821T000138250341Z</x:v>
      </x:c>
      <x:c r="C6" s="47" t="str">
        <x:v>I2-061</x:v>
      </x:c>
      <x:c r="D6" s="91" t="n">
        <x:v>46255.00180515046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57710.167</x:v>
      </x:c>
      <x:c r="L6" s="93" t="b">
        <x:v>0</x:v>
      </x:c>
      <x:c r="M6" s="47" t="str">
        <x:v>resp_0841b839e6e02f8a006a87956280d881959d436eec5cbe9cf1</x:v>
      </x:c>
      <x:c r="N6" s="59" t="n">
        <x:v>8869</x:v>
      </x:c>
      <x:c r="O6" s="59" t="n">
        <x:v>2883</x:v>
      </x:c>
      <x:c r="P6" s="59" t="n">
        <x:v>11752</x:v>
      </x:c>
    </x:row>
    <x:row r="7">
      <x:c r="A7" s="47" t="str">
        <x:v>EVT-000033</x:v>
      </x:c>
      <x:c r="B7" s="47" t="str">
        <x:v>RUN-I2-061-20260821T000138250341Z</x:v>
      </x:c>
      <x:c r="C7" s="47" t="str">
        <x:v>I2-061</x:v>
      </x:c>
      <x:c r="D7" s="91" t="n">
        <x:v>46255.00216971065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31411.895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RUN-I2-061-20260821T000138250341Z</x:v>
      </x:c>
      <x:c r="C8" s="47" t="str">
        <x:v>I2-061</x:v>
      </x:c>
      <x:c r="D8" s="91" t="n">
        <x:v>46255.002169733794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31413.524</x:v>
      </x:c>
      <x:c r="L8" s="93" t="b">
        <x:v>0</x:v>
      </x:c>
      <x:c r="M8" s="47" t="str">
        <x:v>resp_054204a765d5335d006a87959c28dc8195a4ee73e68201a7ee</x:v>
      </x:c>
      <x:c r="N8" s="59" t="n">
        <x:v>8713</x:v>
      </x:c>
      <x:c r="O8" s="59" t="n">
        <x:v>2111</x:v>
      </x:c>
      <x:c r="P8" s="59" t="n">
        <x:v>10824</x:v>
      </x:c>
    </x:row>
    <x:row r="9">
      <x:c r="A9" s="47" t="str">
        <x:v>EVT-000039</x:v>
      </x:c>
      <x:c r="B9" s="47" t="str">
        <x:v>RUN-I2-061-20260821T000138250341Z</x:v>
      </x:c>
      <x:c r="C9" s="47" t="str">
        <x:v>I2-061</x:v>
      </x:c>
      <x:c r="D9" s="91" t="n">
        <x:v>46255.00251017361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29409.07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RUN-I2-061-20260821T000138250341Z</x:v>
      </x:c>
      <x:c r="C10" s="47" t="str">
        <x:v>I2-061</x:v>
      </x:c>
      <x:c r="D10" s="91" t="n">
        <x:v>46255.002510185186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29409.683</x:v>
      </x:c>
      <x:c r="L10" s="93" t="b">
        <x:v>0</x:v>
      </x:c>
      <x:c r="M10" s="47" t="str">
        <x:v>resp_02adb997d9fc6191006a8795bbaeb881969ec7bc5f52fb88f5</x:v>
      </x:c>
      <x:c r="N10" s="59" t="n">
        <x:v>8990</x:v>
      </x:c>
      <x:c r="O10" s="59" t="n">
        <x:v>2013</x:v>
      </x:c>
      <x:c r="P10" s="59" t="n">
        <x:v>11003</x:v>
      </x:c>
    </x:row>
    <x:row r="11">
      <x:c r="A11" s="47" t="str">
        <x:v>EVT-000047</x:v>
      </x:c>
      <x:c r="B11" s="47" t="str">
        <x:v>RUN-I2-061-20260821T000138250341Z</x:v>
      </x:c>
      <x:c r="C11" s="47" t="str">
        <x:v>I2-061</x:v>
      </x:c>
      <x:c r="D11" s="91" t="n">
        <x:v>46255.00261050926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8580.841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RUN-I2-061-20260821T000138250341Z</x:v>
      </x:c>
      <x:c r="C12" s="49" t="str">
        <x:v>I2-061</x:v>
      </x:c>
      <x:c r="D12" s="94" t="n">
        <x:v>46255.00261053241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8582.226</x:v>
      </x:c>
      <x:c r="L12" s="82" t="b">
        <x:v>0</x:v>
      </x:c>
      <x:c r="M12" s="49" t="str">
        <x:v>resp_0b1db1f861391a2a006a8795d92cc0819793bba894c3ce98a6</x:v>
      </x:c>
      <x:c r="N12" s="60" t="n">
        <x:v>8750</x:v>
      </x:c>
      <x:c r="O12" s="60" t="n">
        <x:v>495</x:v>
      </x:c>
      <x:c r="P12" s="60" t="n">
        <x:v>9245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1c80f710194a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RUN-I2-061-20260821T000138250341Z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RUN-I2-061-20260821T000138250341Z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RUN-I2-061-20260821T000138250341Z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RUN-I2-061-20260821T000138250341Z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RUN-I2-061-20260821T000138250341Z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RUN-I2-061-20260821T000138250341Z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RUN-I2-061-20260821T000138250341Z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RUN-I2-061-20260821T000138250341Z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RUN-I2-061-20260821T000138250341Z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RUN-I2-061-20260821T000138250341Z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RUN-I2-061-20260821T000138250341Z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RUN-I2-061-20260821T000138250341Z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RUN-I2-061-20260821T000138250341Z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RUN-I2-061-20260821T000138250341Z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RUN-I2-061-20260821T000138250341Z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RUN-I2-061-20260821T000138250341Z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RUN-I2-061-20260821T000138250341Z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RUN-I2-061-20260821T000138250341Z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75b7d3084e45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RUN-I2-061-20260821T000138250341Z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RUN-I2-061-20260821T000138250341Z</x:v>
      </x:c>
      <x:c r="B5" s="45" t="str">
        <x:v>I2-061</x:v>
      </x:c>
      <x:c r="C5" s="45" t="str">
        <x:v>FS-REL-01</x:v>
      </x:c>
      <x:c r="D5" s="45" t="str">
        <x:v>entity_relation</x:v>
      </x:c>
      <x:c r="E5" s="97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RUN-I2-061-20260821T000138250341Z</x:v>
      </x:c>
      <x:c r="B6" s="49" t="str">
        <x:v>I2-061</x:v>
      </x:c>
      <x:c r="C6" s="49" t="str">
        <x:v>FS-REL-02</x:v>
      </x:c>
      <x:c r="D6" s="49" t="str">
        <x:v>entity_relation</x:v>
      </x:c>
      <x:c r="E6" s="98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405c7f23a243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RUN-I2-061-20260821T000138250341Z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RUN-I2-061-20260821T000138250341Z</x:v>
      </x:c>
      <x:c r="B5" s="45" t="str">
        <x:v>I2-061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https://w3id.org/nltl/vocab#calculationCase | https://w3id.org/nltl/vocab#calculationCaseAssessedHullStructure | https://w3id.org/nltl/vocab#calculationMethod | https://w3id.org/nltl/vocab#calculationMethodValue | https://w3id.org/nltl/vocab#directCalculationMethodValue | https://w3id.org/nltl/vocab#hasCalculationCase | https://w3id.org/nltl/vocab#hullStructure | https://w3id.org/nltl/vocab#prescribedAnalyticalProcedure | https://w3id.org/nltl/vocab#ship | https://w3id.org/nltl/vocab#thickness</x:v>
      </x:c>
      <x:c r="O5" s="46" t="str"/>
      <x:c r="P5" s="46" t="str"/>
      <x:c r="Q5" s="46" t="str"/>
    </x:row>
    <x:row r="6">
      <x:c r="A6" s="49" t="str">
        <x:v>RUN-I2-061-20260821T000138250341Z</x:v>
      </x:c>
      <x:c r="B6" s="49" t="str">
        <x:v>I2-061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https://w3id.org/nltl/vocab#calculationCase | https://w3id.org/nltl/vocab#calculationCaseAssessedHullStructure | https://w3id.org/nltl/vocab#calculationMethod | https://w3id.org/nltl/vocab#calculationMethodValue | https://w3id.org/nltl/vocab#directCalculationMethodValue | https://w3id.org/nltl/vocab#hasCalculationCase | https://w3id.org/nltl/vocab#hullStructure | https://w3id.org/nltl/vocab#prescribedAnalyticalProcedure | https://w3id.org/nltl/vocab#ship | https://w3id.org/nltl/vocab#thickness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376cd7c635541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RUN-I2-061-20260821T000138250341Z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RUN-I2-061-20260821T000138250341Z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RUN-I2-061-20260821T000138250341Z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ebea8284ef693397bf72f5a2af18849101e43eb7bcd4d356ede5484bcbda7dfd</x:v>
      </x:c>
      <x:c r="G5" s="58" t="n">
        <x:v>22504</x:v>
      </x:c>
    </x:row>
    <x:row r="6">
      <x:c r="A6" s="47" t="str">
        <x:v>RUN-I2-061-20260821T000138250341Z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RUN-I2-061-20260821T000138250341Z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4829409fef2b6037dbbba41555ff63f9991672667f553af5125db4144e9decb0</x:v>
      </x:c>
      <x:c r="G7" s="59" t="n">
        <x:v>37591</x:v>
      </x:c>
    </x:row>
    <x:row r="8">
      <x:c r="A8" s="47" t="str">
        <x:v>RUN-I2-061-20260821T000138250341Z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4e22b5370471562bcb630b41d9a5c56a88e46e98b4a0477ee0baea642dd9f71c</x:v>
      </x:c>
      <x:c r="G8" s="59" t="n">
        <x:v>2463</x:v>
      </x:c>
    </x:row>
    <x:row r="9">
      <x:c r="A9" s="47" t="str">
        <x:v>RUN-I2-061-20260821T000138250341Z</x:v>
      </x:c>
      <x:c r="B9" s="47" t="str">
        <x:v>I2-061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7d1ef9db592bfcc8010cc10fd339f2433c1a42e90b2fd76b52c26a495cc94197</x:v>
      </x:c>
      <x:c r="G9" s="59" t="n">
        <x:v>2438</x:v>
      </x:c>
    </x:row>
    <x:row r="10">
      <x:c r="A10" s="47" t="str">
        <x:v>RUN-I2-061-20260821T000138250341Z</x:v>
      </x:c>
      <x:c r="B10" s="47" t="str">
        <x:v>I2-061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67e0de723f5f151ae75f6b869ed104a0b0dab4570a42d0ee74d01066cf771a53</x:v>
      </x:c>
      <x:c r="G10" s="59" t="n">
        <x:v>940</x:v>
      </x:c>
    </x:row>
    <x:row r="11">
      <x:c r="A11" s="47" t="str">
        <x:v>RUN-I2-061-20260821T000138250341Z</x:v>
      </x:c>
      <x:c r="B11" s="47" t="str">
        <x:v>I2-061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970399d03f3867340e70052992cc8655e9bf56b94e440edca30ceb713b4123ef</x:v>
      </x:c>
      <x:c r="G11" s="59" t="n">
        <x:v>35599</x:v>
      </x:c>
    </x:row>
    <x:row r="12">
      <x:c r="A12" s="47" t="str">
        <x:v>RUN-I2-061-20260821T000138250341Z</x:v>
      </x:c>
      <x:c r="B12" s="47" t="str">
        <x:v>I2-061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eab63d9cfbc827dd527b9633ba7766cff818108784e21ebcbdfb32538b551921</x:v>
      </x:c>
      <x:c r="G12" s="59" t="n">
        <x:v>759</x:v>
      </x:c>
    </x:row>
    <x:row r="13">
      <x:c r="A13" s="47" t="str">
        <x:v>RUN-I2-061-20260821T000138250341Z</x:v>
      </x:c>
      <x:c r="B13" s="47" t="str">
        <x:v>I2-061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77468d162d46a85b18ed81a08dd01db745122a51d7f8c50fe1233235c166d418</x:v>
      </x:c>
      <x:c r="G13" s="59" t="n">
        <x:v>38285</x:v>
      </x:c>
    </x:row>
    <x:row r="14">
      <x:c r="A14" s="47" t="str">
        <x:v>RUN-I2-061-20260821T000138250341Z</x:v>
      </x:c>
      <x:c r="B14" s="47" t="str">
        <x:v>I2-061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74a4330ce29347c35484132199409329e03d607ee5412042ad5b06baabd41c2b</x:v>
      </x:c>
      <x:c r="G14" s="59" t="n">
        <x:v>2159</x:v>
      </x:c>
    </x:row>
    <x:row r="15">
      <x:c r="A15" s="47" t="str">
        <x:v>RUN-I2-061-20260821T000138250341Z</x:v>
      </x:c>
      <x:c r="B15" s="47" t="str">
        <x:v>I2-061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b8900dfac9f0762e3461da416d7072f19075214c53405fdf0567250a79db5bf2</x:v>
      </x:c>
      <x:c r="G15" s="59" t="n">
        <x:v>2134</x:v>
      </x:c>
    </x:row>
    <x:row r="16">
      <x:c r="A16" s="47" t="str">
        <x:v>RUN-I2-061-20260821T000138250341Z</x:v>
      </x:c>
      <x:c r="B16" s="47" t="str">
        <x:v>I2-061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67e0de723f5f151ae75f6b869ed104a0b0dab4570a42d0ee74d01066cf771a53</x:v>
      </x:c>
      <x:c r="G16" s="59" t="n">
        <x:v>940</x:v>
      </x:c>
    </x:row>
    <x:row r="17">
      <x:c r="A17" s="47" t="str">
        <x:v>RUN-I2-061-20260821T000138250341Z</x:v>
      </x:c>
      <x:c r="B17" s="47" t="str">
        <x:v>I2-061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7e4c36f94aad7c16e2696c08ae42725c8c47cf85dd8367e42794051e274d4a2a</x:v>
      </x:c>
      <x:c r="G17" s="59" t="n">
        <x:v>35990</x:v>
      </x:c>
    </x:row>
    <x:row r="18">
      <x:c r="A18" s="47" t="str">
        <x:v>RUN-I2-061-20260821T000138250341Z</x:v>
      </x:c>
      <x:c r="B18" s="47" t="str">
        <x:v>I2-061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b342b7652cbbff3fc7e881145589ba90cfb6f7778541d465622404a583185550</x:v>
      </x:c>
      <x:c r="G18" s="59" t="n">
        <x:v>451</x:v>
      </x:c>
    </x:row>
    <x:row r="19">
      <x:c r="A19" s="49" t="str">
        <x:v>RUN-I2-061-20260821T000138250341Z</x:v>
      </x:c>
      <x:c r="B19" s="49" t="str">
        <x:v>I2-061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b8900dfac9f0762e3461da416d7072f19075214c53405fdf0567250a79db5bf2</x:v>
      </x:c>
      <x:c r="G19" s="60" t="n">
        <x:v>2134</x:v>
      </x:c>
    </x:row>
  </x:sheetData>
  <x:pageMargins left="0.7" right="0.7" top="0.75" bottom="0.75" header="0.3" footer="0.3"/>
  <x:tableParts count="1">
    <x:tablePart xmlns:r="http://schemas.openxmlformats.org/officeDocument/2006/relationships" r:id="R06838bcaad474e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RUN-I2-061-20260821T000138250341Z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RUN-I2-061-20260821T000138250341Z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RUN-I2-061-20260821T000138250341Z</x:v>
      </x:c>
      <x:c r="B5" s="69" t="str">
        <x:v>I2-061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789feaab904cb7"/>
  </x:tableParts>
</x:worksheet>
</file>