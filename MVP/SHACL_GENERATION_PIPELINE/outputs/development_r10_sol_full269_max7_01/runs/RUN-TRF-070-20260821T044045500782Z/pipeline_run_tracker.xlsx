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1c896cedf9f47d5" /></Relationships>
</file>

<file path=xl/workbook.xml><?xml version="1.0" encoding="utf-8"?>
<x:workbook xmlns:x="http://schemas.openxmlformats.org/spreadsheetml/2006/main">
  <x:sheets>
    <x:sheet xmlns:r="http://schemas.openxmlformats.org/officeDocument/2006/relationships" name="SUMMARY" sheetId="1" r:id="R25e7d277b16b49cf"/>
    <x:sheet xmlns:r="http://schemas.openxmlformats.org/officeDocument/2006/relationships" name="README" sheetId="2" r:id="R70c84065d2c84e7d"/>
    <x:sheet xmlns:r="http://schemas.openxmlformats.org/officeDocument/2006/relationships" name="REGULATION_QUEUE" sheetId="3" r:id="R02b72c4a15ee4ebe"/>
    <x:sheet xmlns:r="http://schemas.openxmlformats.org/officeDocument/2006/relationships" name="RUNS" sheetId="4" r:id="Re942387f289041a4"/>
    <x:sheet xmlns:r="http://schemas.openxmlformats.org/officeDocument/2006/relationships" name="ITERATIONS" sheetId="5" r:id="R8339c019bc4245ac"/>
    <x:sheet xmlns:r="http://schemas.openxmlformats.org/officeDocument/2006/relationships" name="API_CALLS" sheetId="6" r:id="Rcfc8c0d7f61b44d8"/>
    <x:sheet xmlns:r="http://schemas.openxmlformats.org/officeDocument/2006/relationships" name="TERM_RETRIEVAL" sheetId="7" r:id="R34eebaaa7ab441f9"/>
    <x:sheet xmlns:r="http://schemas.openxmlformats.org/officeDocument/2006/relationships" name="FEW_SHOT_SELECTION" sheetId="8" r:id="R42fdae99b2c34c1d"/>
    <x:sheet xmlns:r="http://schemas.openxmlformats.org/officeDocument/2006/relationships" name="VALIDATION" sheetId="9" r:id="R88bc1dd0b07241a8"/>
    <x:sheet xmlns:r="http://schemas.openxmlformats.org/officeDocument/2006/relationships" name="VOCAB_MATCHES" sheetId="10" r:id="R3ca24dc4baef4833"/>
    <x:sheet xmlns:r="http://schemas.openxmlformats.org/officeDocument/2006/relationships" name="ARTIFACTS" sheetId="11" r:id="R48c6ec94f6c148ac"/>
    <x:sheet xmlns:r="http://schemas.openxmlformats.org/officeDocument/2006/relationships" name="UNRESOLVED" sheetId="12" r:id="R60a046872ea544df"/>
    <x:sheet xmlns:r="http://schemas.openxmlformats.org/officeDocument/2006/relationships" name="RDF_TEST_QUEUE" sheetId="13" r:id="R861a72262aab47a2"/>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fdc467d967b4705" /><Relationship Type="http://schemas.openxmlformats.org/officeDocument/2006/relationships/theme" Target="/xl/theme/theme1.xml" Id="R303f09e672e84325" /><Relationship Type="http://schemas.microsoft.com/office/2022/11/relationships/FeaturePropertyBag" Target="/xl/featurePropertyBag/featurePropertyBag.xml" Id="R884e228ff9154be2" /><Relationship Type="http://schemas.openxmlformats.org/officeDocument/2006/relationships/sharedStrings" Target="/xl/sharedStrings.xml" Id="R08c0180fae57459a" /><Relationship Type="http://schemas.openxmlformats.org/officeDocument/2006/relationships/worksheet" Target="/xl/worksheets/sheet1.xml" Id="R25e7d277b16b49cf" /><Relationship Type="http://schemas.openxmlformats.org/officeDocument/2006/relationships/worksheet" Target="/xl/worksheets/sheet2.xml" Id="R70c84065d2c84e7d" /><Relationship Type="http://schemas.openxmlformats.org/officeDocument/2006/relationships/worksheet" Target="/xl/worksheets/sheet3.xml" Id="R02b72c4a15ee4ebe" /><Relationship Type="http://schemas.openxmlformats.org/officeDocument/2006/relationships/worksheet" Target="/xl/worksheets/sheet4.xml" Id="Re942387f289041a4" /><Relationship Type="http://schemas.openxmlformats.org/officeDocument/2006/relationships/worksheet" Target="/xl/worksheets/sheet5.xml" Id="R8339c019bc4245ac" /><Relationship Type="http://schemas.openxmlformats.org/officeDocument/2006/relationships/worksheet" Target="/xl/worksheets/sheet6.xml" Id="Rcfc8c0d7f61b44d8" /><Relationship Type="http://schemas.openxmlformats.org/officeDocument/2006/relationships/worksheet" Target="/xl/worksheets/sheet7.xml" Id="R34eebaaa7ab441f9" /><Relationship Type="http://schemas.openxmlformats.org/officeDocument/2006/relationships/worksheet" Target="/xl/worksheets/sheet8.xml" Id="R42fdae99b2c34c1d" /><Relationship Type="http://schemas.openxmlformats.org/officeDocument/2006/relationships/worksheet" Target="/xl/worksheets/sheet9.xml" Id="R88bc1dd0b07241a8" /><Relationship Type="http://schemas.openxmlformats.org/officeDocument/2006/relationships/worksheet" Target="/xl/worksheets/sheet10.xml" Id="R3ca24dc4baef4833" /><Relationship Type="http://schemas.openxmlformats.org/officeDocument/2006/relationships/worksheet" Target="/xl/worksheets/sheet11.xml" Id="R48c6ec94f6c148ac" /><Relationship Type="http://schemas.openxmlformats.org/officeDocument/2006/relationships/worksheet" Target="/xl/worksheets/sheet12.xml" Id="R60a046872ea544df" /><Relationship Type="http://schemas.openxmlformats.org/officeDocument/2006/relationships/worksheet" Target="/xl/worksheets/sheet13.xml" Id="R861a72262aab47a2"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6"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38"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8"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2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bb6f407082df49d2" /></Relationships>
</file>

<file path=xl/worksheets/_rels/sheet3.xml.rels>&#65279;<?xml version="1.0" encoding="utf-8"?><Relationships xmlns="http://schemas.openxmlformats.org/package/2006/relationships"><Relationship Type="http://schemas.openxmlformats.org/officeDocument/2006/relationships/table" Target="/xl/tables/table2.xml" Id="R5b098bfbdc424faf" /></Relationships>
</file>

<file path=xl/worksheets/_rels/sheet4.xml.rels>&#65279;<?xml version="1.0" encoding="utf-8"?><Relationships xmlns="http://schemas.openxmlformats.org/package/2006/relationships"><Relationship Type="http://schemas.openxmlformats.org/officeDocument/2006/relationships/table" Target="/xl/tables/table3.xml" Id="Rd02b6bd80fc74900" /></Relationships>
</file>

<file path=xl/worksheets/_rels/sheet5.xml.rels>&#65279;<?xml version="1.0" encoding="utf-8"?><Relationships xmlns="http://schemas.openxmlformats.org/package/2006/relationships"><Relationship Type="http://schemas.openxmlformats.org/officeDocument/2006/relationships/table" Target="/xl/tables/table4.xml" Id="R24a7c165cddb46ae" /></Relationships>
</file>

<file path=xl/worksheets/_rels/sheet6.xml.rels>&#65279;<?xml version="1.0" encoding="utf-8"?><Relationships xmlns="http://schemas.openxmlformats.org/package/2006/relationships"><Relationship Type="http://schemas.openxmlformats.org/officeDocument/2006/relationships/table" Target="/xl/tables/table5.xml" Id="R08bf90ed33e64ad0" /></Relationships>
</file>

<file path=xl/worksheets/_rels/sheet7.xml.rels>&#65279;<?xml version="1.0" encoding="utf-8"?><Relationships xmlns="http://schemas.openxmlformats.org/package/2006/relationships"><Relationship Type="http://schemas.openxmlformats.org/officeDocument/2006/relationships/table" Target="/xl/tables/table6.xml" Id="R12abb8ef48b548dd" /></Relationships>
</file>

<file path=xl/worksheets/_rels/sheet8.xml.rels>&#65279;<?xml version="1.0" encoding="utf-8"?><Relationships xmlns="http://schemas.openxmlformats.org/package/2006/relationships"><Relationship Type="http://schemas.openxmlformats.org/officeDocument/2006/relationships/table" Target="/xl/tables/table7.xml" Id="R879b84ec7ff04aef" /></Relationships>
</file>

<file path=xl/worksheets/_rels/sheet9.xml.rels>&#65279;<?xml version="1.0" encoding="utf-8"?><Relationships xmlns="http://schemas.openxmlformats.org/package/2006/relationships"><Relationship Type="http://schemas.openxmlformats.org/officeDocument/2006/relationships/table" Target="/xl/tables/table8.xml" Id="R4c702b09d48849af" /></Relationships>
</file>

<file path=xl/worksheets/_rels/sheet10.xml.rels>&#65279;<?xml version="1.0" encoding="utf-8"?><Relationships xmlns="http://schemas.openxmlformats.org/package/2006/relationships"><Relationship Type="http://schemas.openxmlformats.org/officeDocument/2006/relationships/table" Target="/xl/tables/table9.xml" Id="R91eb365ba9e640e0" /></Relationships>
</file>

<file path=xl/worksheets/_rels/sheet11.xml.rels>&#65279;<?xml version="1.0" encoding="utf-8"?><Relationships xmlns="http://schemas.openxmlformats.org/package/2006/relationships"><Relationship Type="http://schemas.openxmlformats.org/officeDocument/2006/relationships/table" Target="/xl/tables/table10.xml" Id="R2b9d371b91144c3c" /></Relationships>
</file>

<file path=xl/worksheets/_rels/sheet12.xml.rels>&#65279;<?xml version="1.0" encoding="utf-8"?><Relationships xmlns="http://schemas.openxmlformats.org/package/2006/relationships"><Relationship Type="http://schemas.openxmlformats.org/officeDocument/2006/relationships/table" Target="/xl/tables/table11.xml" Id="R3873090537954bea"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RUN-TRF-070-20260821T044045500782Z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269</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COUNTA('API_CALLS'!$A$5:$A$16)</x:f>
        <x:v>12</x:v>
      </x:c>
      <x:c r="C9" s="21"/>
      <x:c r="D9" s="21"/>
    </x:row>
    <x:row r="10">
      <x:c r="A10" s="27" t="str">
        <x:v>Mean API/LLM elapsed ms</x:v>
      </x:c>
      <x:c r="B10" s="28" t="n">
        <x:f>IFERROR(AVERAGE('API_CALLS'!$K$5:$K$16),0)</x:f>
        <x:v>26352.72641666667</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RUN-TRF-070-20260821T044045500782Z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bb6f407082df49d2"/>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RUN-TRF-070-20260821T044045500782Z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Stage 2 candidate - direct/deterministic</x:v>
      </x:c>
      <x:c r="H6" s="47" t="str">
        <x:v>High</x:v>
      </x:c>
      <x:c r="I6" s="47" t="str">
        <x:v>No</x:v>
      </x:c>
      <x:c r="J6" s="47" t="str">
        <x:v>ELIGIBLE</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Static Calculation</x:v>
      </x:c>
      <x:c r="G18" s="48" t="str">
        <x:v>Stage 2 candidate - direct/deterministic</x:v>
      </x:c>
      <x:c r="H18" s="47" t="str">
        <x:v>High</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Static Calculation</x:v>
      </x:c>
      <x:c r="G63" s="48" t="str">
        <x:v>Stage 2 candidate - direct/deterministic</x:v>
      </x:c>
      <x:c r="H63" s="47" t="str">
        <x:v>High</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Static</x:v>
      </x:c>
      <x:c r="G206" s="48" t="str">
        <x:v>Stage 2 candidate - direct/deterministic</x:v>
      </x:c>
      <x:c r="H206" s="47" t="str">
        <x:v>High</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 Calculation</x:v>
      </x:c>
      <x:c r="G245" s="48" t="str">
        <x:v>Stage 2 candidate - direct/deterministic</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TERM_RESOLUTION_UNRESOLVED</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x:v>
      </x:c>
      <x:c r="G269" s="48" t="str">
        <x:v>Stage 2 candidate - direct/deterministic</x:v>
      </x:c>
      <x:c r="H269" s="47" t="str">
        <x:v>High</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x:v>
      </x:c>
      <x:c r="G273" s="48" t="str">
        <x:v>Stage 2 candidate - direct/deterministic</x:v>
      </x:c>
      <x:c r="H273" s="47" t="str">
        <x:v>High</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x:v>
      </x:c>
      <x:c r="G275" s="48" t="str">
        <x:v>Stage 2 candidate - direct/deterministic</x:v>
      </x:c>
      <x:c r="H275" s="47" t="str">
        <x:v>High</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5b098bfbdc424faf"/>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RUN-TRF-070-20260821T044045500782Z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SESSION-BATCH-20260820T223322666239Z</x:v>
      </x:c>
      <x:c r="B5" s="69" t="str">
        <x:v>RUN-TRF-070-20260821T044045500782Z</x:v>
      </x:c>
      <x:c r="C5" s="69" t="str">
        <x:v>TRF-070</x:v>
      </x:c>
      <x:c r="D5" s="70" t="n">
        <x:v>46255.19497108796</x:v>
      </x:c>
      <x:c r="E5" s="70" t="n">
        <x:v>46255.19685393519</x:v>
      </x:c>
      <x:c r="F5" s="69" t="str">
        <x:v>1.7.2-development-r10-sol-full269-max7-01</x:v>
      </x:c>
      <x:c r="G5" s="69" t="str">
        <x:v>VOCAB-LOCK-2026-08-20-R10</x:v>
      </x:c>
      <x:c r="H5" s="71" t="n">
        <x:v>2</x:v>
      </x:c>
      <x:c r="I5" s="69" t="str">
        <x:v>TERM_RESOLUTION_UNRESOLVED</x:v>
      </x:c>
      <x:c r="J5" s="72" t="b">
        <x:v>0</x:v>
      </x:c>
      <x:c r="K5" s="69" t="str"/>
      <x:c r="L5" s="73" t="str">
        <x:v>No supplied candidate canonically represents the required azimuthing/fixed thruster controlled values, an assessment/comparison representation, or conversion operands; therefore no semantic match is verified.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d02b6bd80fc74900"/>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2"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RUN-TRF-070-20260821T044045500782Z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RUN-TRF-070-20260821T044045500782Z</x:v>
      </x:c>
      <x:c r="B5" s="45" t="str">
        <x:v>TRF-070</x:v>
      </x:c>
      <x:c r="C5" s="58" t="n">
        <x:v>1</x:v>
      </x:c>
      <x:c r="D5" s="80" t="b">
        <x:v>1</x:v>
      </x:c>
      <x:c r="E5" s="80" t="b">
        <x:v>0</x:v>
      </x:c>
      <x:c r="F5" s="80" t="b">
        <x:v>1</x:v>
      </x:c>
      <x:c r="G5" s="45" t="str">
        <x:v>REVISE_WITH_MATCH</x:v>
      </x:c>
      <x:c r="H5" s="46" t="str">
        <x:v>Repair applicability and comparison semantics. The shape currently applies all readiness requirements to every ship and merely requires arbitrary thrusterType and normalOperationalConditions values. Gate the requirement to azimuthing or fixed main-propulsion thrusters, require nltl:mainPropulsionThruster=true where applicable, and use canonical controlled thruster-type values; those values are absent from the scoped vocabulary and must be located by the matcher rather than invented. Use the boolean value of normalOperationalConditions, not presence alone, for the normal-operations/service-life branch, and condition the local-strength obligation on the extreme-load design context. Do not directly compare qudt:numericValue values for designConditionLocalStrengthCapacity in kN and localIcePressure in MPa: they are dimensionally incompatible. Obtain the canonical dimensionally valid comparison/assessment representation or required conversion operands without inventing a formula, while retaining all declared operands, the hasDesignCondition owner path, the required result, and the explicit local-strength DIRECT_CHECK.</x:v>
      </x:c>
      <x:c r="I5" s="81" t="n">
        <x:v>48062.398</x:v>
      </x:c>
      <x:c r="J5" s="81" t="n">
        <x:v>31524.75</x:v>
      </x:c>
    </x:row>
    <x:row r="6">
      <x:c r="A6" s="49" t="str">
        <x:v>RUN-TRF-070-20260821T044045500782Z</x:v>
      </x:c>
      <x:c r="B6" s="49" t="str">
        <x:v>TRF-070</x:v>
      </x:c>
      <x:c r="C6" s="60" t="n">
        <x:v>2</x:v>
      </x:c>
      <x:c r="D6" s="82" t="b">
        <x:v>1</x:v>
      </x:c>
      <x:c r="E6" s="82" t="b">
        <x:v>0</x:v>
      </x:c>
      <x:c r="F6" s="82" t="b">
        <x:v>1</x:v>
      </x:c>
      <x:c r="G6" s="49" t="str">
        <x:v>STOP_TERM_RESOLUTION</x:v>
      </x:c>
      <x:c r="H6" s="50" t="str">
        <x:v>Preserve the prior repair instructions. The candidate still makes every requirement optional and checks only datatypes/units. Gate constraints to azimuthing or fixed main-propulsion thrusters, require nltl:mainPropulsionThruster=true in that applicability branch, and constrain nltl:thrusterType to canonical controlled values rather than arbitrary strings. The canonical azimuthing/fixed values or terms are absent from the scoped vocabulary, so locate them with the matcher. Under the applicable branches, require the declared operands and result on their authoritative owners: ship-owned interaction loads, extremeLoad, localIcePressure, and serviceLife; and designCondition-owned normalOperationalConditions and designConditionLocalStrengthCapacity through nltl:hasDesignCondition. Use normalOperationalConditions=true to select the normal-operations/service-life expected-load branch, and enforce the local-strength obligation only for the extreme-load design context. Encode the explicit DIRECT_CHECK that externally assessed local-strength capacity withstands applicable local ice pressure; do not compare their raw qudt:numericValue values because kN and MPa are dimensionally incompatible. Locate a canonical assessment/comparison representation or required conversion operands without inventing a formula. Require nltl:thrusterBodyLocalStrength=true where that residual check applies, rather than merely allowing an optional boolean. Retain both propeller/ice and thruster-body/ice load inputs and the hasDesignCondition relationship, and ensure missing applicability-selection evidence cannot pass.</x:v>
      </x:c>
      <x:c r="I6" s="83" t="n">
        <x:v>57745.56</x:v>
      </x:c>
      <x:c r="J6" s="83" t="n">
        <x:v>14067.042</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24a7c165cddb46ae"/>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RUN-TRF-070-20260821T044045500782Z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EVT-000025</x:v>
      </x:c>
      <x:c r="B5" s="45" t="str">
        <x:v>RUN-TRF-070-20260821T044045500782Z</x:v>
      </x:c>
      <x:c r="C5" s="45" t="str">
        <x:v>TRF-070</x:v>
      </x:c>
      <x:c r="D5" s="90" t="n">
        <x:v>46255.19552690972</x:v>
      </x:c>
      <x:c r="E5" s="45" t="str">
        <x:v>generator</x:v>
      </x:c>
      <x:c r="F5" s="45" t="str">
        <x:v>gpt-5.6-sol-2026-07-09</x:v>
      </x:c>
      <x:c r="G5" s="45" t="n">
        <x:v>1</x:v>
      </x:c>
      <x:c r="H5" s="45" t="n">
        <x:v>200</x:v>
      </x:c>
      <x:c r="I5" s="45" t="str">
        <x:v>Ocp-Apim-Subscription-Key</x:v>
      </x:c>
      <x:c r="J5" s="81" t="n">
        <x:v>0</x:v>
      </x:c>
      <x:c r="K5" s="81" t="n">
        <x:v>48060.882</x:v>
      </x:c>
      <x:c r="L5" s="80" t="b">
        <x:v>0</x:v>
      </x:c>
      <x:c r="M5" s="45" t="str"/>
      <x:c r="N5" s="58" t="str"/>
      <x:c r="O5" s="58" t="str"/>
      <x:c r="P5" s="58" t="str"/>
    </x:row>
    <x:row r="6">
      <x:c r="A6" s="47" t="str">
        <x:v>EVT-000026</x:v>
      </x:c>
      <x:c r="B6" s="47" t="str">
        <x:v>RUN-TRF-070-20260821T044045500782Z</x:v>
      </x:c>
      <x:c r="C6" s="47" t="str">
        <x:v>TRF-070</x:v>
      </x:c>
      <x:c r="D6" s="91" t="n">
        <x:v>46255.1955269213</x:v>
      </x:c>
      <x:c r="E6" s="47" t="str">
        <x:v>generator</x:v>
      </x:c>
      <x:c r="F6" s="47" t="str">
        <x:v>gpt-5.6-sol-2026-07-09</x:v>
      </x:c>
      <x:c r="G6" s="47" t="n">
        <x:v>1</x:v>
      </x:c>
      <x:c r="H6" s="47" t="str">
        <x:v>COMPLETED</x:v>
      </x:c>
      <x:c r="I6" s="47" t="str"/>
      <x:c r="J6" s="92" t="n">
        <x:v>0</x:v>
      </x:c>
      <x:c r="K6" s="92" t="n">
        <x:v>48062.398</x:v>
      </x:c>
      <x:c r="L6" s="93" t="b">
        <x:v>0</x:v>
      </x:c>
      <x:c r="M6" s="47" t="str">
        <x:v>resp_0a38bcc2636c6e9c006a87d6cda05481909195a6fabd54718c</x:v>
      </x:c>
      <x:c r="N6" s="59" t="n">
        <x:v>10085</x:v>
      </x:c>
      <x:c r="O6" s="59" t="n">
        <x:v>3486</x:v>
      </x:c>
      <x:c r="P6" s="59" t="n">
        <x:v>13571</x:v>
      </x:c>
    </x:row>
    <x:row r="7">
      <x:c r="A7" s="47" t="str">
        <x:v>EVT-000033</x:v>
      </x:c>
      <x:c r="B7" s="47" t="str">
        <x:v>RUN-TRF-070-20260821T044045500782Z</x:v>
      </x:c>
      <x:c r="C7" s="47" t="str">
        <x:v>TRF-070</x:v>
      </x:c>
      <x:c r="D7" s="91" t="n">
        <x:v>46255.19589362269</x:v>
      </x:c>
      <x:c r="E7" s="47" t="str">
        <x:v>validator</x:v>
      </x:c>
      <x:c r="F7" s="47" t="str">
        <x:v>gpt-5.6-sol-2026-07-09</x:v>
      </x:c>
      <x:c r="G7" s="47" t="n">
        <x:v>1</x:v>
      </x:c>
      <x:c r="H7" s="47" t="n">
        <x:v>200</x:v>
      </x:c>
      <x:c r="I7" s="47" t="str">
        <x:v>Ocp-Apim-Subscription-Key</x:v>
      </x:c>
      <x:c r="J7" s="92" t="n">
        <x:v>0</x:v>
      </x:c>
      <x:c r="K7" s="92" t="n">
        <x:v>31523.239</x:v>
      </x:c>
      <x:c r="L7" s="93" t="b">
        <x:v>0</x:v>
      </x:c>
      <x:c r="M7" s="47" t="str"/>
      <x:c r="N7" s="59" t="str"/>
      <x:c r="O7" s="59" t="str"/>
      <x:c r="P7" s="59" t="str"/>
    </x:row>
    <x:row r="8">
      <x:c r="A8" s="47" t="str">
        <x:v>EVT-000034</x:v>
      </x:c>
      <x:c r="B8" s="47" t="str">
        <x:v>RUN-TRF-070-20260821T044045500782Z</x:v>
      </x:c>
      <x:c r="C8" s="47" t="str">
        <x:v>TRF-070</x:v>
      </x:c>
      <x:c r="D8" s="91" t="n">
        <x:v>46255.195893634256</x:v>
      </x:c>
      <x:c r="E8" s="47" t="str">
        <x:v>validator</x:v>
      </x:c>
      <x:c r="F8" s="47" t="str">
        <x:v>gpt-5.6-sol-2026-07-09</x:v>
      </x:c>
      <x:c r="G8" s="47" t="n">
        <x:v>1</x:v>
      </x:c>
      <x:c r="H8" s="47" t="str">
        <x:v>COMPLETED</x:v>
      </x:c>
      <x:c r="I8" s="47" t="str"/>
      <x:c r="J8" s="92" t="n">
        <x:v>0</x:v>
      </x:c>
      <x:c r="K8" s="92" t="n">
        <x:v>31524.75</x:v>
      </x:c>
      <x:c r="L8" s="93" t="b">
        <x:v>0</x:v>
      </x:c>
      <x:c r="M8" s="47" t="str">
        <x:v>resp_0517a18682b581e2006a87d6fdde388193a87c005df2b95b27</x:v>
      </x:c>
      <x:c r="N8" s="59" t="n">
        <x:v>10044</x:v>
      </x:c>
      <x:c r="O8" s="59" t="n">
        <x:v>1773</x:v>
      </x:c>
      <x:c r="P8" s="59" t="n">
        <x:v>11817</x:v>
      </x:c>
    </x:row>
    <x:row r="9">
      <x:c r="A9" s="47" t="str">
        <x:v>EVT-000040</x:v>
      </x:c>
      <x:c r="B9" s="47" t="str">
        <x:v>RUN-TRF-070-20260821T044045500782Z</x:v>
      </x:c>
      <x:c r="C9" s="47" t="str">
        <x:v>TRF-070</x:v>
      </x:c>
      <x:c r="D9" s="91" t="n">
        <x:v>46255.195968506945</x:v>
      </x:c>
      <x:c r="E9" s="47" t="str">
        <x:v>vocabulary_matcher</x:v>
      </x:c>
      <x:c r="F9" s="47" t="str">
        <x:v>gpt-5.6-sol-2026-07-09</x:v>
      </x:c>
      <x:c r="G9" s="47" t="n">
        <x:v>1</x:v>
      </x:c>
      <x:c r="H9" s="47" t="n">
        <x:v>200</x:v>
      </x:c>
      <x:c r="I9" s="47" t="str">
        <x:v>Ocp-Apim-Subscription-Key</x:v>
      </x:c>
      <x:c r="J9" s="92" t="n">
        <x:v>0</x:v>
      </x:c>
      <x:c r="K9" s="92" t="n">
        <x:v>4685.125</x:v>
      </x:c>
      <x:c r="L9" s="93" t="b">
        <x:v>0</x:v>
      </x:c>
      <x:c r="M9" s="47" t="str"/>
      <x:c r="N9" s="59" t="str"/>
      <x:c r="O9" s="59" t="str"/>
      <x:c r="P9" s="59" t="str"/>
    </x:row>
    <x:row r="10">
      <x:c r="A10" s="47" t="str">
        <x:v>EVT-000041</x:v>
      </x:c>
      <x:c r="B10" s="47" t="str">
        <x:v>RUN-TRF-070-20260821T044045500782Z</x:v>
      </x:c>
      <x:c r="C10" s="47" t="str">
        <x:v>TRF-070</x:v>
      </x:c>
      <x:c r="D10" s="91" t="n">
        <x:v>46255.19596853009</x:v>
      </x:c>
      <x:c r="E10" s="47" t="str">
        <x:v>vocabulary_matcher</x:v>
      </x:c>
      <x:c r="F10" s="47" t="str">
        <x:v>gpt-5.6-sol-2026-07-09</x:v>
      </x:c>
      <x:c r="G10" s="47" t="n">
        <x:v>1</x:v>
      </x:c>
      <x:c r="H10" s="47" t="str">
        <x:v>COMPLETED</x:v>
      </x:c>
      <x:c r="I10" s="47" t="str"/>
      <x:c r="J10" s="92" t="n">
        <x:v>0</x:v>
      </x:c>
      <x:c r="K10" s="92" t="n">
        <x:v>4686.617</x:v>
      </x:c>
      <x:c r="L10" s="93" t="b">
        <x:v>0</x:v>
      </x:c>
      <x:c r="M10" s="47" t="str">
        <x:v>resp_071bf0aa2e0338a8006a87d71f483081958a04a3bebc500fdc</x:v>
      </x:c>
      <x:c r="N10" s="59" t="n">
        <x:v>3479</x:v>
      </x:c>
      <x:c r="O10" s="59" t="n">
        <x:v>283</x:v>
      </x:c>
      <x:c r="P10" s="59" t="n">
        <x:v>3762</x:v>
      </x:c>
    </x:row>
    <x:row r="11">
      <x:c r="A11" s="47" t="str">
        <x:v>EVT-000065</x:v>
      </x:c>
      <x:c r="B11" s="47" t="str">
        <x:v>RUN-TRF-070-20260821T044045500782Z</x:v>
      </x:c>
      <x:c r="C11" s="47" t="str">
        <x:v>TRF-070</x:v>
      </x:c>
      <x:c r="D11" s="91" t="n">
        <x:v>46255.19663697917</x:v>
      </x:c>
      <x:c r="E11" s="47" t="str">
        <x:v>generator</x:v>
      </x:c>
      <x:c r="F11" s="47" t="str">
        <x:v>gpt-5.6-sol-2026-07-09</x:v>
      </x:c>
      <x:c r="G11" s="47" t="n">
        <x:v>1</x:v>
      </x:c>
      <x:c r="H11" s="47" t="n">
        <x:v>200</x:v>
      </x:c>
      <x:c r="I11" s="47" t="str">
        <x:v>Ocp-Apim-Subscription-Key</x:v>
      </x:c>
      <x:c r="J11" s="92" t="n">
        <x:v>0</x:v>
      </x:c>
      <x:c r="K11" s="92" t="n">
        <x:v>57743.996</x:v>
      </x:c>
      <x:c r="L11" s="93" t="b">
        <x:v>0</x:v>
      </x:c>
      <x:c r="M11" s="47" t="str"/>
      <x:c r="N11" s="59" t="str"/>
      <x:c r="O11" s="59" t="str"/>
      <x:c r="P11" s="59" t="str"/>
    </x:row>
    <x:row r="12">
      <x:c r="A12" s="47" t="str">
        <x:v>EVT-000066</x:v>
      </x:c>
      <x:c r="B12" s="47" t="str">
        <x:v>RUN-TRF-070-20260821T044045500782Z</x:v>
      </x:c>
      <x:c r="C12" s="47" t="str">
        <x:v>TRF-070</x:v>
      </x:c>
      <x:c r="D12" s="91" t="n">
        <x:v>46255.19663699074</x:v>
      </x:c>
      <x:c r="E12" s="47" t="str">
        <x:v>generator</x:v>
      </x:c>
      <x:c r="F12" s="47" t="str">
        <x:v>gpt-5.6-sol-2026-07-09</x:v>
      </x:c>
      <x:c r="G12" s="47" t="n">
        <x:v>1</x:v>
      </x:c>
      <x:c r="H12" s="47" t="str">
        <x:v>COMPLETED</x:v>
      </x:c>
      <x:c r="I12" s="47" t="str"/>
      <x:c r="J12" s="92" t="n">
        <x:v>0</x:v>
      </x:c>
      <x:c r="K12" s="92" t="n">
        <x:v>57745.56</x:v>
      </x:c>
      <x:c r="L12" s="93" t="b">
        <x:v>0</x:v>
      </x:c>
      <x:c r="M12" s="47" t="str">
        <x:v>resp_05d9630ba0f2ac68006a87d723cd408194af9956ab26432c66</x:v>
      </x:c>
      <x:c r="N12" s="59" t="n">
        <x:v>10352</x:v>
      </x:c>
      <x:c r="O12" s="59" t="n">
        <x:v>3766</x:v>
      </x:c>
      <x:c r="P12" s="59" t="n">
        <x:v>14118</x:v>
      </x:c>
    </x:row>
    <x:row r="13">
      <x:c r="A13" s="47" t="str">
        <x:v>EVT-000073</x:v>
      </x:c>
      <x:c r="B13" s="47" t="str">
        <x:v>RUN-TRF-070-20260821T044045500782Z</x:v>
      </x:c>
      <x:c r="C13" s="47" t="str">
        <x:v>TRF-070</x:v>
      </x:c>
      <x:c r="D13" s="91" t="n">
        <x:v>46255.196801701386</x:v>
      </x:c>
      <x:c r="E13" s="47" t="str">
        <x:v>validator</x:v>
      </x:c>
      <x:c r="F13" s="47" t="str">
        <x:v>gpt-5.6-sol-2026-07-09</x:v>
      </x:c>
      <x:c r="G13" s="47" t="n">
        <x:v>1</x:v>
      </x:c>
      <x:c r="H13" s="47" t="n">
        <x:v>200</x:v>
      </x:c>
      <x:c r="I13" s="47" t="str">
        <x:v>Ocp-Apim-Subscription-Key</x:v>
      </x:c>
      <x:c r="J13" s="92" t="n">
        <x:v>0</x:v>
      </x:c>
      <x:c r="K13" s="92" t="n">
        <x:v>14065.537</x:v>
      </x:c>
      <x:c r="L13" s="93" t="b">
        <x:v>0</x:v>
      </x:c>
      <x:c r="M13" s="47" t="str"/>
      <x:c r="N13" s="59" t="str"/>
      <x:c r="O13" s="59" t="str"/>
      <x:c r="P13" s="59" t="str"/>
    </x:row>
    <x:row r="14">
      <x:c r="A14" s="47" t="str">
        <x:v>EVT-000074</x:v>
      </x:c>
      <x:c r="B14" s="47" t="str">
        <x:v>RUN-TRF-070-20260821T044045500782Z</x:v>
      </x:c>
      <x:c r="C14" s="47" t="str">
        <x:v>TRF-070</x:v>
      </x:c>
      <x:c r="D14" s="91" t="n">
        <x:v>46255.19680171296</x:v>
      </x:c>
      <x:c r="E14" s="47" t="str">
        <x:v>validator</x:v>
      </x:c>
      <x:c r="F14" s="47" t="str">
        <x:v>gpt-5.6-sol-2026-07-09</x:v>
      </x:c>
      <x:c r="G14" s="47" t="n">
        <x:v>1</x:v>
      </x:c>
      <x:c r="H14" s="47" t="str">
        <x:v>COMPLETED</x:v>
      </x:c>
      <x:c r="I14" s="47" t="str"/>
      <x:c r="J14" s="92" t="n">
        <x:v>0</x:v>
      </x:c>
      <x:c r="K14" s="92" t="n">
        <x:v>14067.042</x:v>
      </x:c>
      <x:c r="L14" s="93" t="b">
        <x:v>0</x:v>
      </x:c>
      <x:c r="M14" s="47" t="str">
        <x:v>resp_03787fffe3a332d4006a87d75db9b88195be2dcea0e86f6327</x:v>
      </x:c>
      <x:c r="N14" s="59" t="n">
        <x:v>10087</x:v>
      </x:c>
      <x:c r="O14" s="59" t="n">
        <x:v>830</x:v>
      </x:c>
      <x:c r="P14" s="59" t="n">
        <x:v>10917</x:v>
      </x:c>
    </x:row>
    <x:row r="15">
      <x:c r="A15" s="47" t="str">
        <x:v>EVT-000081</x:v>
      </x:c>
      <x:c r="B15" s="47" t="str">
        <x:v>RUN-TRF-070-20260821T044045500782Z</x:v>
      </x:c>
      <x:c r="C15" s="47" t="str">
        <x:v>TRF-070</x:v>
      </x:c>
      <x:c r="D15" s="91" t="n">
        <x:v>46255.19685386574</x:v>
      </x:c>
      <x:c r="E15" s="47" t="str">
        <x:v>vocabulary_matcher</x:v>
      </x:c>
      <x:c r="F15" s="47" t="str">
        <x:v>gpt-5.6-sol-2026-07-09</x:v>
      </x:c>
      <x:c r="G15" s="47" t="n">
        <x:v>1</x:v>
      </x:c>
      <x:c r="H15" s="47" t="n">
        <x:v>200</x:v>
      </x:c>
      <x:c r="I15" s="47" t="str">
        <x:v>Ocp-Apim-Subscription-Key</x:v>
      </x:c>
      <x:c r="J15" s="92" t="n">
        <x:v>0</x:v>
      </x:c>
      <x:c r="K15" s="92" t="n">
        <x:v>2032.966</x:v>
      </x:c>
      <x:c r="L15" s="93" t="b">
        <x:v>0</x:v>
      </x:c>
      <x:c r="M15" s="47" t="str"/>
      <x:c r="N15" s="59" t="str"/>
      <x:c r="O15" s="59" t="str"/>
      <x:c r="P15" s="59" t="str"/>
    </x:row>
    <x:row r="16">
      <x:c r="A16" s="49" t="str">
        <x:v>EVT-000082</x:v>
      </x:c>
      <x:c r="B16" s="49" t="str">
        <x:v>RUN-TRF-070-20260821T044045500782Z</x:v>
      </x:c>
      <x:c r="C16" s="49" t="str">
        <x:v>TRF-070</x:v>
      </x:c>
      <x:c r="D16" s="94" t="n">
        <x:v>46255.196853877314</x:v>
      </x:c>
      <x:c r="E16" s="49" t="str">
        <x:v>vocabulary_matcher</x:v>
      </x:c>
      <x:c r="F16" s="49" t="str">
        <x:v>gpt-5.6-sol-2026-07-09</x:v>
      </x:c>
      <x:c r="G16" s="49" t="n">
        <x:v>1</x:v>
      </x:c>
      <x:c r="H16" s="49" t="str">
        <x:v>COMPLETED</x:v>
      </x:c>
      <x:c r="I16" s="49" t="str"/>
      <x:c r="J16" s="83" t="n">
        <x:v>0</x:v>
      </x:c>
      <x:c r="K16" s="83" t="n">
        <x:v>2034.605</x:v>
      </x:c>
      <x:c r="L16" s="82" t="b">
        <x:v>0</x:v>
      </x:c>
      <x:c r="M16" s="49" t="str">
        <x:v>resp_05005ee858075b35006a87d76e40a88196952cdfe42b1942a9</x:v>
      </x:c>
      <x:c r="N16" s="60" t="n">
        <x:v>4273</x:v>
      </x:c>
      <x:c r="O16" s="60" t="n">
        <x:v>112</x:v>
      </x:c>
      <x:c r="P16" s="60" t="n">
        <x:v>4385</x:v>
      </x:c>
    </x:row>
  </x:sheetData>
  <x:conditionalFormatting sqref="H5:H16">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08bf90ed33e64ad0"/>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RUN-TRF-070-20260821T044045500782Z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RUN-TRF-070-20260821T044045500782Z</x:v>
      </x:c>
      <x:c r="B5" s="45" t="str">
        <x:v>TRF-070</x:v>
      </x:c>
      <x:c r="C5" s="45" t="str">
        <x:v>benchmarkEntity</x:v>
      </x:c>
      <x:c r="D5" s="46" t="str">
        <x:v>https://w3id.org/nltl/vocab#benchmarkEntity</x:v>
      </x:c>
      <x:c r="E5" s="45" t="str">
        <x:v>Class</x:v>
      </x:c>
      <x:c r="F5" s="45" t="str"/>
      <x:c r="G5" s="45" t="str"/>
      <x:c r="H5" s="45" t="str"/>
      <x:c r="I5" s="46" t="str">
        <x:v>baseline target infrastructure; domain dependency of extremeLoad; domain dependency of localIcePressure; domain dependency of propellerIceInteractionLoad; domain dependency of serviceLife; domain dependency of thrusterBodyIceInteractionLoad; domain dependency of thrusterBodyLocalStrength; domain dependency of thrusterType</x:v>
      </x:c>
      <x:c r="J5" s="45" t="n">
        <x:v>0</x:v>
      </x:c>
    </x:row>
    <x:row r="6">
      <x:c r="A6" s="47" t="str">
        <x:v>RUN-TRF-070-20260821T044045500782Z</x:v>
      </x:c>
      <x:c r="B6" s="47" t="str">
        <x:v>TRF-070</x:v>
      </x:c>
      <x:c r="C6" s="47" t="str">
        <x:v>designCondition</x:v>
      </x:c>
      <x:c r="D6" s="48" t="str">
        <x:v>https://w3id.org/nltl/vocab#designCondition</x:v>
      </x:c>
      <x:c r="E6" s="47" t="str">
        <x:v>Class</x:v>
      </x:c>
      <x:c r="F6" s="47" t="str"/>
      <x:c r="G6" s="47" t="str">
        <x:v>https://w3id.org/nltl/vocab#benchmarkEntity</x:v>
      </x:c>
      <x:c r="H6" s="47" t="str"/>
      <x:c r="I6" s="48" t="str">
        <x:v>authoritative required owner class; domain dependency of designConditionExpectedLoad; domain dependency of designConditionLocalStrengthCapacity; domain dependency of normalOperationalConditions; range dependency of hasDesignCondition</x:v>
      </x:c>
      <x:c r="J6" s="47" t="n">
        <x:v>0</x:v>
      </x:c>
    </x:row>
    <x:row r="7">
      <x:c r="A7" s="47" t="str">
        <x:v>RUN-TRF-070-20260821T044045500782Z</x:v>
      </x:c>
      <x:c r="B7" s="47" t="str">
        <x:v>TRF-070</x:v>
      </x:c>
      <x:c r="C7" s="47" t="str">
        <x:v>designConditionExpectedLoad</x:v>
      </x:c>
      <x:c r="D7" s="48" t="str">
        <x:v>https://w3id.org/nltl/vocab#designConditionExpectedLoad</x:v>
      </x:c>
      <x:c r="E7" s="47" t="str">
        <x:v>QuantityProperty</x:v>
      </x:c>
      <x:c r="F7" s="47" t="str"/>
      <x:c r="G7" s="47" t="str">
        <x:v>http://qudt.org/schema/qudt/QuantityValue</x:v>
      </x:c>
      <x:c r="H7" s="47" t="str">
        <x:v>http://qudt.org/vocab/unit/KiloN</x:v>
      </x:c>
      <x:c r="I7" s="48" t="str">
        <x:v>linked by the locked 313-requirement index</x:v>
      </x:c>
      <x:c r="J7" s="47" t="n">
        <x:v>0</x:v>
      </x:c>
    </x:row>
    <x:row r="8">
      <x:c r="A8" s="47" t="str">
        <x:v>RUN-TRF-070-20260821T044045500782Z</x:v>
      </x:c>
      <x:c r="B8" s="47" t="str">
        <x:v>TRF-070</x:v>
      </x:c>
      <x:c r="C8" s="47" t="str">
        <x:v>designConditionLocalStrengthCapacity</x:v>
      </x:c>
      <x:c r="D8" s="48" t="str">
        <x:v>https://w3id.org/nltl/vocab#designConditionLocalStrengthCapacity</x:v>
      </x:c>
      <x:c r="E8" s="47" t="str">
        <x:v>QuantityProperty</x:v>
      </x:c>
      <x:c r="F8" s="47" t="str"/>
      <x:c r="G8" s="47" t="str">
        <x:v>http://qudt.org/schema/qudt/QuantityValue</x:v>
      </x:c>
      <x:c r="H8" s="47" t="str">
        <x:v>http://qudt.org/vocab/unit/KiloN</x:v>
      </x:c>
      <x:c r="I8" s="48" t="str">
        <x:v>linked by the locked 313-requirement index</x:v>
      </x:c>
      <x:c r="J8" s="47" t="n">
        <x:v>0</x:v>
      </x:c>
    </x:row>
    <x:row r="9">
      <x:c r="A9" s="47" t="str">
        <x:v>RUN-TRF-070-20260821T044045500782Z</x:v>
      </x:c>
      <x:c r="B9" s="47" t="str">
        <x:v>TRF-070</x:v>
      </x:c>
      <x:c r="C9" s="47" t="str">
        <x:v>extremeLoad</x:v>
      </x:c>
      <x:c r="D9" s="48" t="str">
        <x:v>https://w3id.org/nltl/vocab#extremeLoad</x:v>
      </x:c>
      <x:c r="E9" s="47" t="str">
        <x:v>QuantityProperty</x:v>
      </x:c>
      <x:c r="F9" s="47" t="str"/>
      <x:c r="G9" s="47" t="str">
        <x:v>http://qudt.org/schema/qudt/QuantityValue</x:v>
      </x:c>
      <x:c r="H9" s="47" t="str">
        <x:v>http://qudt.org/vocab/unit/KiloN</x:v>
      </x:c>
      <x:c r="I9" s="48" t="str">
        <x:v>linked by the locked 313-requirement index</x:v>
      </x:c>
      <x:c r="J9" s="47" t="n">
        <x:v>0</x:v>
      </x:c>
    </x:row>
    <x:row r="10">
      <x:c r="A10" s="47" t="str">
        <x:v>RUN-TRF-070-20260821T044045500782Z</x:v>
      </x:c>
      <x:c r="B10" s="47" t="str">
        <x:v>TRF-070</x:v>
      </x:c>
      <x:c r="C10" s="47" t="str">
        <x:v>hasComponent</x:v>
      </x:c>
      <x:c r="D10" s="48" t="str">
        <x:v>https://w3id.org/nltl/vocab#hasComponent</x:v>
      </x:c>
      <x:c r="E10" s="47" t="str">
        <x:v>ObjectProperty</x:v>
      </x:c>
      <x:c r="F10" s="47" t="str"/>
      <x:c r="G10" s="47" t="str">
        <x:v>https://w3id.org/nltl/vocab#shipComponent</x:v>
      </x:c>
      <x:c r="H10" s="47" t="str"/>
      <x:c r="I10" s="48" t="str">
        <x:v>component-path dependency inferred from the linked term module</x:v>
      </x:c>
      <x:c r="J10" s="47" t="n">
        <x:v>0</x:v>
      </x:c>
    </x:row>
    <x:row r="11">
      <x:c r="A11" s="47" t="str">
        <x:v>RUN-TRF-070-20260821T044045500782Z</x:v>
      </x:c>
      <x:c r="B11" s="47" t="str">
        <x:v>TRF-070</x:v>
      </x:c>
      <x:c r="C11" s="47" t="str">
        <x:v>hasDesignCondition</x:v>
      </x:c>
      <x:c r="D11" s="48" t="str">
        <x:v>https://w3id.org/nltl/vocab#hasDesignCondition</x:v>
      </x:c>
      <x:c r="E11" s="47" t="str">
        <x:v>ObjectProperty</x:v>
      </x:c>
      <x:c r="F11" s="47" t="str"/>
      <x:c r="G11" s="47" t="str">
        <x:v>https://w3id.org/nltl/vocab#designCondition</x:v>
      </x:c>
      <x:c r="H11" s="47" t="str"/>
      <x:c r="I11" s="48" t="str">
        <x:v>canonical path from target owner ship to required owner designCondition; linked by the locked 313-requirement index</x:v>
      </x:c>
      <x:c r="J11" s="47" t="n">
        <x:v>0</x:v>
      </x:c>
    </x:row>
    <x:row r="12">
      <x:c r="A12" s="47" t="str">
        <x:v>RUN-TRF-070-20260821T044045500782Z</x:v>
      </x:c>
      <x:c r="B12" s="47" t="str">
        <x:v>TRF-070</x:v>
      </x:c>
      <x:c r="C12" s="47" t="str">
        <x:v>localIcePressure</x:v>
      </x:c>
      <x:c r="D12" s="48" t="str">
        <x:v>https://w3id.org/nltl/vocab#localIcePressure</x:v>
      </x:c>
      <x:c r="E12" s="47" t="str">
        <x:v>QuantityProperty</x:v>
      </x:c>
      <x:c r="F12" s="47" t="str"/>
      <x:c r="G12" s="47" t="str">
        <x:v>http://qudt.org/schema/qudt/QuantityValue</x:v>
      </x:c>
      <x:c r="H12" s="47" t="str">
        <x:v>http://qudt.org/vocab/unit/MegaPA</x:v>
      </x:c>
      <x:c r="I12" s="48" t="str">
        <x:v>linked by the locked 313-requirement index</x:v>
      </x:c>
      <x:c r="J12" s="47" t="n">
        <x:v>0</x:v>
      </x:c>
    </x:row>
    <x:row r="13">
      <x:c r="A13" s="47" t="str">
        <x:v>RUN-TRF-070-20260821T044045500782Z</x:v>
      </x:c>
      <x:c r="B13" s="47" t="str">
        <x:v>TRF-070</x:v>
      </x:c>
      <x:c r="C13" s="47" t="str">
        <x:v>mainPropulsionThruster</x:v>
      </x:c>
      <x:c r="D13" s="48" t="str">
        <x:v>https://w3id.org/nltl/vocab#mainPropulsionThruster</x:v>
      </x:c>
      <x:c r="E13" s="47" t="str">
        <x:v>DatatypeProperty</x:v>
      </x:c>
      <x:c r="F13" s="47" t="str">
        <x:v>xsd:boolean</x:v>
      </x:c>
      <x:c r="G13" s="47" t="str">
        <x:v>http://www.w3.org/2001/XMLSchema#boolean</x:v>
      </x:c>
      <x:c r="H13" s="47" t="str"/>
      <x:c r="I13" s="48" t="str">
        <x:v>linked by the locked 313-requirement index</x:v>
      </x:c>
      <x:c r="J13" s="47" t="n">
        <x:v>0</x:v>
      </x:c>
    </x:row>
    <x:row r="14">
      <x:c r="A14" s="47" t="str">
        <x:v>RUN-TRF-070-20260821T044045500782Z</x:v>
      </x:c>
      <x:c r="B14" s="47" t="str">
        <x:v>TRF-070</x:v>
      </x:c>
      <x:c r="C14" s="47" t="str">
        <x:v>normalOperationalConditions</x:v>
      </x:c>
      <x:c r="D14" s="48" t="str">
        <x:v>https://w3id.org/nltl/vocab#normalOperationalConditions</x:v>
      </x:c>
      <x:c r="E14" s="47" t="str">
        <x:v>DatatypeProperty</x:v>
      </x:c>
      <x:c r="F14" s="47" t="str">
        <x:v>xsd:boolean</x:v>
      </x:c>
      <x:c r="G14" s="47" t="str">
        <x:v>http://www.w3.org/2001/XMLSchema#boolean</x:v>
      </x:c>
      <x:c r="H14" s="47" t="str"/>
      <x:c r="I14" s="48" t="str">
        <x:v>linked by the locked 313-requirement index</x:v>
      </x:c>
      <x:c r="J14" s="47" t="n">
        <x:v>0</x:v>
      </x:c>
    </x:row>
    <x:row r="15">
      <x:c r="A15" s="47" t="str">
        <x:v>RUN-TRF-070-20260821T044045500782Z</x:v>
      </x:c>
      <x:c r="B15" s="47" t="str">
        <x:v>TRF-070</x:v>
      </x:c>
      <x:c r="C15" s="47" t="str">
        <x:v>propellerIceInteractionLoad</x:v>
      </x:c>
      <x:c r="D15" s="48" t="str">
        <x:v>https://w3id.org/nltl/vocab#propellerIceInteractionLoad</x:v>
      </x:c>
      <x:c r="E15" s="47" t="str">
        <x:v>QuantityProperty</x:v>
      </x:c>
      <x:c r="F15" s="47" t="str"/>
      <x:c r="G15" s="47" t="str">
        <x:v>http://qudt.org/schema/qudt/QuantityValue</x:v>
      </x:c>
      <x:c r="H15" s="47" t="str">
        <x:v>http://qudt.org/vocab/unit/KiloN</x:v>
      </x:c>
      <x:c r="I15" s="48" t="str">
        <x:v>linked by the locked 313-requirement index</x:v>
      </x:c>
      <x:c r="J15" s="47" t="n">
        <x:v>0</x:v>
      </x:c>
    </x:row>
    <x:row r="16">
      <x:c r="A16" s="47" t="str">
        <x:v>RUN-TRF-070-20260821T044045500782Z</x:v>
      </x:c>
      <x:c r="B16" s="47" t="str">
        <x:v>TRF-070</x:v>
      </x:c>
      <x:c r="C16" s="47" t="str">
        <x:v>serviceLife</x:v>
      </x:c>
      <x:c r="D16" s="48" t="str">
        <x:v>https://w3id.org/nltl/vocab#serviceLife</x:v>
      </x:c>
      <x:c r="E16" s="47" t="str">
        <x:v>QuantityProperty</x:v>
      </x:c>
      <x:c r="F16" s="47" t="str"/>
      <x:c r="G16" s="47" t="str">
        <x:v>http://qudt.org/schema/qudt/QuantityValue</x:v>
      </x:c>
      <x:c r="H16" s="47" t="str">
        <x:v>http://qudt.org/vocab/unit/YR</x:v>
      </x:c>
      <x:c r="I16" s="48" t="str">
        <x:v>linked by the locked 313-requirement index</x:v>
      </x:c>
      <x:c r="J16" s="47" t="n">
        <x:v>0</x:v>
      </x:c>
    </x:row>
    <x:row r="17">
      <x:c r="A17" s="47" t="str">
        <x:v>RUN-TRF-070-20260821T044045500782Z</x:v>
      </x:c>
      <x:c r="B17" s="47" t="str">
        <x:v>TRF-070</x:v>
      </x:c>
      <x:c r="C17" s="47" t="str">
        <x:v>ship</x:v>
      </x:c>
      <x:c r="D17" s="48" t="str">
        <x:v>https://w3id.org/nltl/vocab#ship</x:v>
      </x:c>
      <x:c r="E17" s="47" t="str">
        <x:v>Class</x:v>
      </x:c>
      <x:c r="F17" s="47" t="str"/>
      <x:c r="G17" s="47" t="str"/>
      <x:c r="H17" s="47" t="str"/>
      <x:c r="I17" s="48" t="str">
        <x:v>authoritative required owner class; authoritative requirement target owner; baseline target infrastructure; domain dependency of hasDesignCondition; domain dependency of mainPropulsionThruster</x:v>
      </x:c>
      <x:c r="J17" s="47" t="n">
        <x:v>0</x:v>
      </x:c>
    </x:row>
    <x:row r="18">
      <x:c r="A18" s="47" t="str">
        <x:v>RUN-TRF-070-20260821T044045500782Z</x:v>
      </x:c>
      <x:c r="B18" s="47" t="str">
        <x:v>TRF-070</x:v>
      </x:c>
      <x:c r="C18" s="47" t="str">
        <x:v>shipComponent</x:v>
      </x:c>
      <x:c r="D18" s="48" t="str">
        <x:v>https://w3id.org/nltl/vocab#shipComponent</x:v>
      </x:c>
      <x:c r="E18" s="47" t="str">
        <x:v>Class</x:v>
      </x:c>
      <x:c r="F18" s="47" t="str"/>
      <x:c r="G18" s="47" t="str"/>
      <x:c r="H18" s="47" t="str"/>
      <x:c r="I18" s="48" t="str">
        <x:v>component-path dependency inferred from the linked term module</x:v>
      </x:c>
      <x:c r="J18" s="47" t="n">
        <x:v>0</x:v>
      </x:c>
    </x:row>
    <x:row r="19">
      <x:c r="A19" s="47" t="str">
        <x:v>RUN-TRF-070-20260821T044045500782Z</x:v>
      </x:c>
      <x:c r="B19" s="47" t="str">
        <x:v>TRF-070</x:v>
      </x:c>
      <x:c r="C19" s="47" t="str">
        <x:v>thrusterBodyIceInteractionLoad</x:v>
      </x:c>
      <x:c r="D19" s="48" t="str">
        <x:v>https://w3id.org/nltl/vocab#thrusterBodyIceInteractionLoad</x:v>
      </x:c>
      <x:c r="E19" s="47" t="str">
        <x:v>QuantityProperty</x:v>
      </x:c>
      <x:c r="F19" s="47" t="str"/>
      <x:c r="G19" s="47" t="str">
        <x:v>http://qudt.org/schema/qudt/QuantityValue</x:v>
      </x:c>
      <x:c r="H19" s="47" t="str">
        <x:v>http://qudt.org/vocab/unit/KiloN</x:v>
      </x:c>
      <x:c r="I19" s="48" t="str">
        <x:v>linked by the locked 313-requirement index</x:v>
      </x:c>
      <x:c r="J19" s="47" t="n">
        <x:v>0</x:v>
      </x:c>
    </x:row>
    <x:row r="20">
      <x:c r="A20" s="47" t="str">
        <x:v>RUN-TRF-070-20260821T044045500782Z</x:v>
      </x:c>
      <x:c r="B20" s="47" t="str">
        <x:v>TRF-070</x:v>
      </x:c>
      <x:c r="C20" s="47" t="str">
        <x:v>thrusterBodyLocalStrength</x:v>
      </x:c>
      <x:c r="D20" s="48" t="str">
        <x:v>https://w3id.org/nltl/vocab#thrusterBodyLocalStrength</x:v>
      </x:c>
      <x:c r="E20" s="47" t="str">
        <x:v>DatatypeProperty</x:v>
      </x:c>
      <x:c r="F20" s="47" t="str">
        <x:v>xsd:boolean</x:v>
      </x:c>
      <x:c r="G20" s="47" t="str">
        <x:v>http://www.w3.org/2001/XMLSchema#boolean</x:v>
      </x:c>
      <x:c r="H20" s="47" t="str"/>
      <x:c r="I20" s="48" t="str">
        <x:v>linked by the locked 313-requirement index</x:v>
      </x:c>
      <x:c r="J20" s="47" t="n">
        <x:v>0</x:v>
      </x:c>
    </x:row>
    <x:row r="21">
      <x:c r="A21" s="47" t="str">
        <x:v>RUN-TRF-070-20260821T044045500782Z</x:v>
      </x:c>
      <x:c r="B21" s="47" t="str">
        <x:v>TRF-070</x:v>
      </x:c>
      <x:c r="C21" s="47" t="str">
        <x:v>thrusterType</x:v>
      </x:c>
      <x:c r="D21" s="48" t="str">
        <x:v>https://w3id.org/nltl/vocab#thrusterType</x:v>
      </x:c>
      <x:c r="E21" s="47" t="str">
        <x:v>DatatypeProperty</x:v>
      </x:c>
      <x:c r="F21" s="47" t="str">
        <x:v>xsd:string</x:v>
      </x:c>
      <x:c r="G21" s="47" t="str">
        <x:v>http://www.w3.org/2001/XMLSchema#string</x:v>
      </x:c>
      <x:c r="H21" s="47" t="str"/>
      <x:c r="I21" s="48" t="str">
        <x:v>linked by the locked 313-requirement index</x:v>
      </x:c>
      <x:c r="J21" s="47" t="n">
        <x:v>0</x:v>
      </x:c>
    </x:row>
    <x:row r="22">
      <x:c r="A22" s="47" t="str">
        <x:v>RUN-TRF-070-20260821T044045500782Z</x:v>
      </x:c>
      <x:c r="B22" s="47" t="str">
        <x:v>TRF-070</x:v>
      </x:c>
      <x:c r="C22" s="47" t="str">
        <x:v>benchmarkEntity</x:v>
      </x:c>
      <x:c r="D22" s="48" t="str">
        <x:v>https://w3id.org/nltl/vocab#benchmarkEntity</x:v>
      </x:c>
      <x:c r="E22" s="47" t="str">
        <x:v>Class</x:v>
      </x:c>
      <x:c r="F22" s="47" t="str"/>
      <x:c r="G22" s="47" t="str"/>
      <x:c r="H22" s="47" t="str"/>
      <x:c r="I22" s="48" t="str">
        <x:v>baseline target infrastructure; domain dependency of extremeLoad; domain dependency of localIcePressure; domain dependency of propellerIceInteractionLoad; domain dependency of serviceLife; domain dependency of thrusterBodyIceInteractionLoad; domain dependency of thrusterBodyLocalStrength; domain dependency of thrusterType</x:v>
      </x:c>
      <x:c r="J22" s="47" t="n">
        <x:v>2</x:v>
      </x:c>
    </x:row>
    <x:row r="23">
      <x:c r="A23" s="47" t="str">
        <x:v>RUN-TRF-070-20260821T044045500782Z</x:v>
      </x:c>
      <x:c r="B23" s="47" t="str">
        <x:v>TRF-070</x:v>
      </x:c>
      <x:c r="C23" s="47" t="str">
        <x:v>designCondition</x:v>
      </x:c>
      <x:c r="D23" s="48" t="str">
        <x:v>https://w3id.org/nltl/vocab#designCondition</x:v>
      </x:c>
      <x:c r="E23" s="47" t="str">
        <x:v>Class</x:v>
      </x:c>
      <x:c r="F23" s="47" t="str"/>
      <x:c r="G23" s="47" t="str">
        <x:v>https://w3id.org/nltl/vocab#benchmarkEntity</x:v>
      </x:c>
      <x:c r="H23" s="47" t="str"/>
      <x:c r="I23" s="48" t="str">
        <x:v>authoritative required owner class; domain dependency of designConditionExpectedLoad; domain dependency of designConditionLocalStrengthCapacity; domain dependency of normalOperationalConditions; range dependency of hasDesignCondition</x:v>
      </x:c>
      <x:c r="J23" s="47" t="n">
        <x:v>2</x:v>
      </x:c>
    </x:row>
    <x:row r="24">
      <x:c r="A24" s="47" t="str">
        <x:v>RUN-TRF-070-20260821T044045500782Z</x:v>
      </x:c>
      <x:c r="B24" s="47" t="str">
        <x:v>TRF-070</x:v>
      </x:c>
      <x:c r="C24" s="47" t="str">
        <x:v>designConditionExpectedLoad</x:v>
      </x:c>
      <x:c r="D24" s="48" t="str">
        <x:v>https://w3id.org/nltl/vocab#designConditionExpectedLoad</x:v>
      </x:c>
      <x:c r="E24" s="47" t="str">
        <x:v>QuantityProperty</x:v>
      </x:c>
      <x:c r="F24" s="47" t="str"/>
      <x:c r="G24" s="47" t="str">
        <x:v>http://qudt.org/schema/qudt/QuantityValue</x:v>
      </x:c>
      <x:c r="H24" s="47" t="str">
        <x:v>http://qudt.org/vocab/unit/KiloN</x:v>
      </x:c>
      <x:c r="I24" s="48" t="str">
        <x:v>linked by the locked 313-requirement index</x:v>
      </x:c>
      <x:c r="J24" s="47" t="n">
        <x:v>2</x:v>
      </x:c>
    </x:row>
    <x:row r="25">
      <x:c r="A25" s="47" t="str">
        <x:v>RUN-TRF-070-20260821T044045500782Z</x:v>
      </x:c>
      <x:c r="B25" s="47" t="str">
        <x:v>TRF-070</x:v>
      </x:c>
      <x:c r="C25" s="47" t="str">
        <x:v>designConditionLocalStrengthCapacity</x:v>
      </x:c>
      <x:c r="D25" s="48" t="str">
        <x:v>https://w3id.org/nltl/vocab#designConditionLocalStrengthCapacity</x:v>
      </x:c>
      <x:c r="E25" s="47" t="str">
        <x:v>QuantityProperty</x:v>
      </x:c>
      <x:c r="F25" s="47" t="str"/>
      <x:c r="G25" s="47" t="str">
        <x:v>http://qudt.org/schema/qudt/QuantityValue</x:v>
      </x:c>
      <x:c r="H25" s="47" t="str">
        <x:v>http://qudt.org/vocab/unit/KiloN</x:v>
      </x:c>
      <x:c r="I25" s="48" t="str">
        <x:v>linked by the locked 313-requirement index</x:v>
      </x:c>
      <x:c r="J25" s="47" t="n">
        <x:v>2</x:v>
      </x:c>
    </x:row>
    <x:row r="26">
      <x:c r="A26" s="47" t="str">
        <x:v>RUN-TRF-070-20260821T044045500782Z</x:v>
      </x:c>
      <x:c r="B26" s="47" t="str">
        <x:v>TRF-070</x:v>
      </x:c>
      <x:c r="C26" s="47" t="str">
        <x:v>extremeLoad</x:v>
      </x:c>
      <x:c r="D26" s="48" t="str">
        <x:v>https://w3id.org/nltl/vocab#extremeLoad</x:v>
      </x:c>
      <x:c r="E26" s="47" t="str">
        <x:v>QuantityProperty</x:v>
      </x:c>
      <x:c r="F26" s="47" t="str"/>
      <x:c r="G26" s="47" t="str">
        <x:v>http://qudt.org/schema/qudt/QuantityValue</x:v>
      </x:c>
      <x:c r="H26" s="47" t="str">
        <x:v>http://qudt.org/vocab/unit/KiloN</x:v>
      </x:c>
      <x:c r="I26" s="48" t="str">
        <x:v>linked by the locked 313-requirement index</x:v>
      </x:c>
      <x:c r="J26" s="47" t="n">
        <x:v>2</x:v>
      </x:c>
    </x:row>
    <x:row r="27">
      <x:c r="A27" s="47" t="str">
        <x:v>RUN-TRF-070-20260821T044045500782Z</x:v>
      </x:c>
      <x:c r="B27" s="47" t="str">
        <x:v>TRF-070</x:v>
      </x:c>
      <x:c r="C27" s="47" t="str">
        <x:v>hasComponent</x:v>
      </x:c>
      <x:c r="D27" s="48" t="str">
        <x:v>https://w3id.org/nltl/vocab#hasComponent</x:v>
      </x:c>
      <x:c r="E27" s="47" t="str">
        <x:v>ObjectProperty</x:v>
      </x:c>
      <x:c r="F27" s="47" t="str"/>
      <x:c r="G27" s="47" t="str">
        <x:v>https://w3id.org/nltl/vocab#shipComponent</x:v>
      </x:c>
      <x:c r="H27" s="47" t="str"/>
      <x:c r="I27" s="48" t="str">
        <x:v>component-path dependency inferred from the linked term module</x:v>
      </x:c>
      <x:c r="J27" s="47" t="n">
        <x:v>2</x:v>
      </x:c>
    </x:row>
    <x:row r="28">
      <x:c r="A28" s="47" t="str">
        <x:v>RUN-TRF-070-20260821T044045500782Z</x:v>
      </x:c>
      <x:c r="B28" s="47" t="str">
        <x:v>TRF-070</x:v>
      </x:c>
      <x:c r="C28" s="47" t="str">
        <x:v>hasDesignCondition</x:v>
      </x:c>
      <x:c r="D28" s="48" t="str">
        <x:v>https://w3id.org/nltl/vocab#hasDesignCondition</x:v>
      </x:c>
      <x:c r="E28" s="47" t="str">
        <x:v>ObjectProperty</x:v>
      </x:c>
      <x:c r="F28" s="47" t="str"/>
      <x:c r="G28" s="47" t="str">
        <x:v>https://w3id.org/nltl/vocab#designCondition</x:v>
      </x:c>
      <x:c r="H28" s="47" t="str"/>
      <x:c r="I28" s="48" t="str">
        <x:v>canonical path from target owner ship to required owner designCondition; linked by the locked 313-requirement index</x:v>
      </x:c>
      <x:c r="J28" s="47" t="n">
        <x:v>2</x:v>
      </x:c>
    </x:row>
    <x:row r="29">
      <x:c r="A29" s="47" t="str">
        <x:v>RUN-TRF-070-20260821T044045500782Z</x:v>
      </x:c>
      <x:c r="B29" s="47" t="str">
        <x:v>TRF-070</x:v>
      </x:c>
      <x:c r="C29" s="47" t="str">
        <x:v>localIcePressure</x:v>
      </x:c>
      <x:c r="D29" s="48" t="str">
        <x:v>https://w3id.org/nltl/vocab#localIcePressure</x:v>
      </x:c>
      <x:c r="E29" s="47" t="str">
        <x:v>QuantityProperty</x:v>
      </x:c>
      <x:c r="F29" s="47" t="str"/>
      <x:c r="G29" s="47" t="str">
        <x:v>http://qudt.org/schema/qudt/QuantityValue</x:v>
      </x:c>
      <x:c r="H29" s="47" t="str">
        <x:v>http://qudt.org/vocab/unit/MegaPA</x:v>
      </x:c>
      <x:c r="I29" s="48" t="str">
        <x:v>linked by the locked 313-requirement index</x:v>
      </x:c>
      <x:c r="J29" s="47" t="n">
        <x:v>2</x:v>
      </x:c>
    </x:row>
    <x:row r="30">
      <x:c r="A30" s="47" t="str">
        <x:v>RUN-TRF-070-20260821T044045500782Z</x:v>
      </x:c>
      <x:c r="B30" s="47" t="str">
        <x:v>TRF-070</x:v>
      </x:c>
      <x:c r="C30" s="47" t="str">
        <x:v>mainPropulsionThruster</x:v>
      </x:c>
      <x:c r="D30" s="48" t="str">
        <x:v>https://w3id.org/nltl/vocab#mainPropulsionThruster</x:v>
      </x:c>
      <x:c r="E30" s="47" t="str">
        <x:v>DatatypeProperty</x:v>
      </x:c>
      <x:c r="F30" s="47" t="str">
        <x:v>xsd:boolean</x:v>
      </x:c>
      <x:c r="G30" s="47" t="str">
        <x:v>http://www.w3.org/2001/XMLSchema#boolean</x:v>
      </x:c>
      <x:c r="H30" s="47" t="str"/>
      <x:c r="I30" s="48" t="str">
        <x:v>linked by the locked 313-requirement index; verified vocabulary-matcher addition</x:v>
      </x:c>
      <x:c r="J30" s="47" t="n">
        <x:v>2</x:v>
      </x:c>
    </x:row>
    <x:row r="31">
      <x:c r="A31" s="47" t="str">
        <x:v>RUN-TRF-070-20260821T044045500782Z</x:v>
      </x:c>
      <x:c r="B31" s="47" t="str">
        <x:v>TRF-070</x:v>
      </x:c>
      <x:c r="C31" s="47" t="str">
        <x:v>normalOperationalConditions</x:v>
      </x:c>
      <x:c r="D31" s="48" t="str">
        <x:v>https://w3id.org/nltl/vocab#normalOperationalConditions</x:v>
      </x:c>
      <x:c r="E31" s="47" t="str">
        <x:v>DatatypeProperty</x:v>
      </x:c>
      <x:c r="F31" s="47" t="str">
        <x:v>xsd:boolean</x:v>
      </x:c>
      <x:c r="G31" s="47" t="str">
        <x:v>http://www.w3.org/2001/XMLSchema#boolean</x:v>
      </x:c>
      <x:c r="H31" s="47" t="str"/>
      <x:c r="I31" s="48" t="str">
        <x:v>linked by the locked 313-requirement index</x:v>
      </x:c>
      <x:c r="J31" s="47" t="n">
        <x:v>2</x:v>
      </x:c>
    </x:row>
    <x:row r="32">
      <x:c r="A32" s="47" t="str">
        <x:v>RUN-TRF-070-20260821T044045500782Z</x:v>
      </x:c>
      <x:c r="B32" s="47" t="str">
        <x:v>TRF-070</x:v>
      </x:c>
      <x:c r="C32" s="47" t="str">
        <x:v>propellerIceInteractionLoad</x:v>
      </x:c>
      <x:c r="D32" s="48" t="str">
        <x:v>https://w3id.org/nltl/vocab#propellerIceInteractionLoad</x:v>
      </x:c>
      <x:c r="E32" s="47" t="str">
        <x:v>QuantityProperty</x:v>
      </x:c>
      <x:c r="F32" s="47" t="str"/>
      <x:c r="G32" s="47" t="str">
        <x:v>http://qudt.org/schema/qudt/QuantityValue</x:v>
      </x:c>
      <x:c r="H32" s="47" t="str">
        <x:v>http://qudt.org/vocab/unit/KiloN</x:v>
      </x:c>
      <x:c r="I32" s="48" t="str">
        <x:v>linked by the locked 313-requirement index</x:v>
      </x:c>
      <x:c r="J32" s="47" t="n">
        <x:v>2</x:v>
      </x:c>
    </x:row>
    <x:row r="33">
      <x:c r="A33" s="47" t="str">
        <x:v>RUN-TRF-070-20260821T044045500782Z</x:v>
      </x:c>
      <x:c r="B33" s="47" t="str">
        <x:v>TRF-070</x:v>
      </x:c>
      <x:c r="C33" s="47" t="str">
        <x:v>serviceLife</x:v>
      </x:c>
      <x:c r="D33" s="48" t="str">
        <x:v>https://w3id.org/nltl/vocab#serviceLife</x:v>
      </x:c>
      <x:c r="E33" s="47" t="str">
        <x:v>QuantityProperty</x:v>
      </x:c>
      <x:c r="F33" s="47" t="str"/>
      <x:c r="G33" s="47" t="str">
        <x:v>http://qudt.org/schema/qudt/QuantityValue</x:v>
      </x:c>
      <x:c r="H33" s="47" t="str">
        <x:v>http://qudt.org/vocab/unit/YR</x:v>
      </x:c>
      <x:c r="I33" s="48" t="str">
        <x:v>linked by the locked 313-requirement index</x:v>
      </x:c>
      <x:c r="J33" s="47" t="n">
        <x:v>2</x:v>
      </x:c>
    </x:row>
    <x:row r="34">
      <x:c r="A34" s="47" t="str">
        <x:v>RUN-TRF-070-20260821T044045500782Z</x:v>
      </x:c>
      <x:c r="B34" s="47" t="str">
        <x:v>TRF-070</x:v>
      </x:c>
      <x:c r="C34" s="47" t="str">
        <x:v>ship</x:v>
      </x:c>
      <x:c r="D34" s="48" t="str">
        <x:v>https://w3id.org/nltl/vocab#ship</x:v>
      </x:c>
      <x:c r="E34" s="47" t="str">
        <x:v>Class</x:v>
      </x:c>
      <x:c r="F34" s="47" t="str"/>
      <x:c r="G34" s="47" t="str"/>
      <x:c r="H34" s="47" t="str"/>
      <x:c r="I34" s="48" t="str">
        <x:v>authoritative required owner class; authoritative requirement target owner; baseline target infrastructure; domain dependency of hasDesignCondition; domain dependency of mainPropulsionThruster</x:v>
      </x:c>
      <x:c r="J34" s="47" t="n">
        <x:v>2</x:v>
      </x:c>
    </x:row>
    <x:row r="35">
      <x:c r="A35" s="47" t="str">
        <x:v>RUN-TRF-070-20260821T044045500782Z</x:v>
      </x:c>
      <x:c r="B35" s="47" t="str">
        <x:v>TRF-070</x:v>
      </x:c>
      <x:c r="C35" s="47" t="str">
        <x:v>shipComponent</x:v>
      </x:c>
      <x:c r="D35" s="48" t="str">
        <x:v>https://w3id.org/nltl/vocab#shipComponent</x:v>
      </x:c>
      <x:c r="E35" s="47" t="str">
        <x:v>Class</x:v>
      </x:c>
      <x:c r="F35" s="47" t="str"/>
      <x:c r="G35" s="47" t="str"/>
      <x:c r="H35" s="47" t="str"/>
      <x:c r="I35" s="48" t="str">
        <x:v>component-path dependency inferred from the linked term module</x:v>
      </x:c>
      <x:c r="J35" s="47" t="n">
        <x:v>2</x:v>
      </x:c>
    </x:row>
    <x:row r="36">
      <x:c r="A36" s="47" t="str">
        <x:v>RUN-TRF-070-20260821T044045500782Z</x:v>
      </x:c>
      <x:c r="B36" s="47" t="str">
        <x:v>TRF-070</x:v>
      </x:c>
      <x:c r="C36" s="47" t="str">
        <x:v>thrusterBodyIceInteractionLoad</x:v>
      </x:c>
      <x:c r="D36" s="48" t="str">
        <x:v>https://w3id.org/nltl/vocab#thrusterBodyIceInteractionLoad</x:v>
      </x:c>
      <x:c r="E36" s="47" t="str">
        <x:v>QuantityProperty</x:v>
      </x:c>
      <x:c r="F36" s="47" t="str"/>
      <x:c r="G36" s="47" t="str">
        <x:v>http://qudt.org/schema/qudt/QuantityValue</x:v>
      </x:c>
      <x:c r="H36" s="47" t="str">
        <x:v>http://qudt.org/vocab/unit/KiloN</x:v>
      </x:c>
      <x:c r="I36" s="48" t="str">
        <x:v>linked by the locked 313-requirement index</x:v>
      </x:c>
      <x:c r="J36" s="47" t="n">
        <x:v>2</x:v>
      </x:c>
    </x:row>
    <x:row r="37">
      <x:c r="A37" s="47" t="str">
        <x:v>RUN-TRF-070-20260821T044045500782Z</x:v>
      </x:c>
      <x:c r="B37" s="47" t="str">
        <x:v>TRF-070</x:v>
      </x:c>
      <x:c r="C37" s="47" t="str">
        <x:v>thrusterBodyLocalStrength</x:v>
      </x:c>
      <x:c r="D37" s="48" t="str">
        <x:v>https://w3id.org/nltl/vocab#thrusterBodyLocalStrength</x:v>
      </x:c>
      <x:c r="E37" s="47" t="str">
        <x:v>DatatypeProperty</x:v>
      </x:c>
      <x:c r="F37" s="47" t="str">
        <x:v>xsd:boolean</x:v>
      </x:c>
      <x:c r="G37" s="47" t="str">
        <x:v>http://www.w3.org/2001/XMLSchema#boolean</x:v>
      </x:c>
      <x:c r="H37" s="47" t="str"/>
      <x:c r="I37" s="48" t="str">
        <x:v>linked by the locked 313-requirement index</x:v>
      </x:c>
      <x:c r="J37" s="47" t="n">
        <x:v>2</x:v>
      </x:c>
    </x:row>
    <x:row r="38">
      <x:c r="A38" s="49" t="str">
        <x:v>RUN-TRF-070-20260821T044045500782Z</x:v>
      </x:c>
      <x:c r="B38" s="49" t="str">
        <x:v>TRF-070</x:v>
      </x:c>
      <x:c r="C38" s="49" t="str">
        <x:v>thrusterType</x:v>
      </x:c>
      <x:c r="D38" s="50" t="str">
        <x:v>https://w3id.org/nltl/vocab#thrusterType</x:v>
      </x:c>
      <x:c r="E38" s="49" t="str">
        <x:v>DatatypeProperty</x:v>
      </x:c>
      <x:c r="F38" s="49" t="str">
        <x:v>xsd:string</x:v>
      </x:c>
      <x:c r="G38" s="49" t="str">
        <x:v>http://www.w3.org/2001/XMLSchema#string</x:v>
      </x:c>
      <x:c r="H38" s="49" t="str"/>
      <x:c r="I38" s="50" t="str">
        <x:v>linked by the locked 313-requirement index</x:v>
      </x:c>
      <x:c r="J38" s="49" t="n">
        <x:v>2</x:v>
      </x:c>
    </x:row>
  </x:sheetData>
  <x:pageMargins left="0.7" right="0.7" top="0.75" bottom="0.75" header="0.3" footer="0.3"/>
  <x:tableParts count="1">
    <x:tablePart xmlns:r="http://schemas.openxmlformats.org/officeDocument/2006/relationships" r:id="R12abb8ef48b548dd"/>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RUN-TRF-070-20260821T044045500782Z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RUN-TRF-070-20260821T044045500782Z</x:v>
      </x:c>
      <x:c r="B5" s="45" t="str">
        <x:v>TRF-070</x:v>
      </x:c>
      <x:c r="C5" s="45" t="str">
        <x:v>FS-COMPLEX-READINESS-01</x:v>
      </x:c>
      <x:c r="D5" s="45" t="str">
        <x:v>complex_readiness_external_calculation</x:v>
      </x:c>
      <x:c r="E5" s="97" t="n">
        <x:v>2.123077</x:v>
      </x:c>
      <x:c r="F5" s="45" t="str">
        <x:v>calculation | complex | engineering | evidence | external | inputs | readiness | results</x:v>
      </x:c>
      <x:c r="G5" s="45" t="str">
        <x:v>synthetic-few-shot-not-benchmark-ground-truth</x:v>
      </x:c>
    </x:row>
    <x:row r="6">
      <x:c r="A6" s="49" t="str">
        <x:v>RUN-TRF-070-20260821T044045500782Z</x:v>
      </x:c>
      <x:c r="B6" s="49" t="str">
        <x:v>TRF-070</x:v>
      </x:c>
      <x:c r="C6" s="49" t="str">
        <x:v>FS-COMPLEX-READINESS-02</x:v>
      </x:c>
      <x:c r="D6" s="49" t="str">
        <x:v>complex_readiness_with_direct_residual_check</x:v>
      </x:c>
      <x:c r="E6" s="98" t="n">
        <x:v>2.056338</x:v>
      </x:c>
      <x:c r="F6" s="49" t="str">
        <x:v>complex | engineering | evidence | readiness</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879b84ec7ff04aef"/>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RUN-TRF-070-20260821T044045500782Z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RUN-TRF-070-20260821T044045500782Z</x:v>
      </x:c>
      <x:c r="B5" s="45" t="str">
        <x:v>TRF-070</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https://w3id.org/nltl/vocab#designCondition | https://w3id.org/nltl/vocab#designConditionLocalStrengthCapacity | https://w3id.org/nltl/vocab#extremeLoad | https://w3id.org/nltl/vocab#hasDesignCondition | https://w3id.org/nltl/vocab#localIcePressure | https://w3id.org/nltl/vocab#normalOperationalConditions | https://w3id.org/nltl/vocab#propellerIceInteractionLoad | https://w3id.org/nltl/vocab#serviceLife | https://w3id.org/nltl/vocab#ship | https://w3id.org/nltl/vocab#thrusterBodyIceInteractionLoad | https://w3id.org/nltl/vocab#thrusterType</x:v>
      </x:c>
      <x:c r="O5" s="46" t="str"/>
      <x:c r="P5" s="46" t="str"/>
      <x:c r="Q5" s="46" t="str"/>
    </x:row>
    <x:row r="6">
      <x:c r="A6" s="49" t="str">
        <x:v>RUN-TRF-070-20260821T044045500782Z</x:v>
      </x:c>
      <x:c r="B6" s="49" t="str">
        <x:v>TRF-070</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https://w3id.org/nltl/vocab#designCondition | https://w3id.org/nltl/vocab#designConditionLocalStrengthCapacity | https://w3id.org/nltl/vocab#extremeLoad | https://w3id.org/nltl/vocab#hasDesignCondition | https://w3id.org/nltl/vocab#localIcePressure | https://w3id.org/nltl/vocab#mainPropulsionThruster | https://w3id.org/nltl/vocab#normalOperationalConditions | https://w3id.org/nltl/vocab#propellerIceInteractionLoad | https://w3id.org/nltl/vocab#serviceLife | https://w3id.org/nltl/vocab#ship | https://w3id.org/nltl/vocab#thrusterBodyIceInteractionLoad | https://w3id.org/nltl/vocab#thrusterBodyLocalStrength | https://w3id.org/nltl/vocab#thrusterType</x:v>
      </x:c>
      <x:c r="O6" s="50" t="str"/>
      <x:c r="P6" s="50" t="str"/>
      <x:c r="Q6" s="50" t="str"/>
    </x:row>
  </x:sheetData>
  <x:pageMargins left="0.7" right="0.7" top="0.75" bottom="0.75" header="0.3" footer="0.3"/>
  <x:tableParts count="1">
    <x:tablePart xmlns:r="http://schemas.openxmlformats.org/officeDocument/2006/relationships" r:id="R4c702b09d48849af"/>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RUN-TRF-070-20260821T044045500782Z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RUN-TRF-070-20260821T044045500782Z</x:v>
      </x:c>
      <x:c r="B5" s="45" t="str">
        <x:v>TRF-070</x:v>
      </x:c>
      <x:c r="C5" s="58" t="n">
        <x:v>1</x:v>
      </x:c>
      <x:c r="D5" s="45" t="str">
        <x:v>matcher_search</x:v>
      </x:c>
      <x:c r="E5" s="46" t="str">
        <x:v>Repair applicability and comparison semantics. The shape currently applies all readiness requirements to every ship and merely requires arbitrary thrusterType and normalOperationalConditions values. Gate the requirement to azimuthing or fixed main-propulsion thrusters, require nltl:mainPropulsionThruster=true where applicable, and use canonical controlled thruster-type values; those values are absent from the scoped vocabulary and must be located by the matcher rather than invented. Use the boolean value of normalOperationalConditions, not presence alone, for the normal-operations/service-life branch, and condition the local-strength obligation on the extreme-load design context. Do not directly compare qudt:numericValue values for designConditionLocalStrengthCapacity in kN and localIcePressure in MPa: they are dimensionally incompatible. Obtain the canonical dimensionally valid comparison/assessment representation or required conversion operands without inventing a formula, while retaining all declared operands, the hasDesignCondition owner path, the required result, and the explicit local-strength DIRECT_CHECK.</x:v>
      </x:c>
      <x:c r="F5" s="58" t="n">
        <x:v>9</x:v>
      </x:c>
      <x:c r="G5" s="45" t="str"/>
      <x:c r="H5" s="45" t="str"/>
      <x:c r="I5" s="46" t="str"/>
      <x:c r="J5" s="46" t="str"/>
    </x:row>
    <x:row r="6">
      <x:c r="A6" s="47" t="str">
        <x:v>RUN-TRF-070-20260821T044045500782Z</x:v>
      </x:c>
      <x:c r="B6" s="47" t="str">
        <x:v>TRF-070</x:v>
      </x:c>
      <x:c r="C6" s="59" t="n">
        <x:v>1</x:v>
      </x:c>
      <x:c r="D6" s="47" t="str">
        <x:v>matcher_decision</x:v>
      </x:c>
      <x:c r="E6" s="48" t="str"/>
      <x:c r="F6" s="59" t="str"/>
      <x:c r="G6" s="93" t="b">
        <x:v>1</x:v>
      </x:c>
      <x:c r="H6" s="47" t="str">
        <x:v>mainPropulsionThruster</x:v>
      </x:c>
      <x:c r="I6" s="48" t="str">
        <x:v>https://w3id.org/nltl/vocab#mainPropulsionThruster</x:v>
      </x:c>
      <x:c r="J6" s="48" t="str">
        <x:v>Use this exact term because it is the canonical boolean property for identifying a main-propulsion thruster in TRF-070 and must be constrained to true when the requirement applies.</x:v>
      </x:c>
    </x:row>
    <x:row r="7">
      <x:c r="A7" s="47" t="str">
        <x:v>RUN-TRF-070-20260821T044045500782Z</x:v>
      </x:c>
      <x:c r="B7" s="47" t="str">
        <x:v>TRF-070</x:v>
      </x:c>
      <x:c r="C7" s="59" t="n">
        <x:v>2</x:v>
      </x:c>
      <x:c r="D7" s="47" t="str">
        <x:v>matcher_search</x:v>
      </x:c>
      <x:c r="E7" s="48" t="str">
        <x:v>Preserve the prior repair instructions. The candidate still makes every requirement optional and checks only datatypes/units. Gate constraints to azimuthing or fixed main-propulsion thrusters, require nltl:mainPropulsionThruster=true in that applicability branch, and constrain nltl:thrusterType to canonical controlled values rather than arbitrary strings. The canonical azimuthing/fixed values or terms are absent from the scoped vocabulary, so locate them with the matcher. Under the applicable branches, require the declared operands and result on their authoritative owners: ship-owned interaction loads, extremeLoad, localIcePressure, and serviceLife; and designCondition-owned normalOperationalConditions and designConditionLocalStrengthCapacity through nltl:hasDesignCondition. Use normalOperationalConditions=true to select the normal-operations/service-life expected-load branch, and enforce the local-strength obligation only for the extreme-load design context. Encode the explicit DIRECT_CHECK that externally assessed local-strength capacity withstands applicable local ice pressure; do not compare their raw qudt:numericValue values because kN and MPa are dimensionally incompatible. Locate a canonical assessment/comparison representation or required conversion operands without inventing a formula. Require nltl:thrusterBodyLocalStrength=true where that residual check applies, rather than merely allowing an optional boolean. Retain both propeller/ice and thruster-body/ice load inputs and the hasDesignCondition relationship, and ensure missing applicability-selection evidence cannot pass.</x:v>
      </x:c>
      <x:c r="F7" s="59" t="n">
        <x:v>12</x:v>
      </x:c>
      <x:c r="G7" s="47" t="str"/>
      <x:c r="H7" s="47" t="str"/>
      <x:c r="I7" s="48" t="str"/>
      <x:c r="J7" s="48" t="str"/>
    </x:row>
    <x:row r="8">
      <x:c r="A8" s="49" t="str">
        <x:v>RUN-TRF-070-20260821T044045500782Z</x:v>
      </x:c>
      <x:c r="B8" s="49" t="str">
        <x:v>TRF-070</x:v>
      </x:c>
      <x:c r="C8" s="60" t="n">
        <x:v>2</x:v>
      </x:c>
      <x:c r="D8" s="49" t="str">
        <x:v>matcher_decision</x:v>
      </x:c>
      <x:c r="E8" s="50" t="str"/>
      <x:c r="F8" s="60" t="str"/>
      <x:c r="G8" s="82" t="b">
        <x:v>0</x:v>
      </x:c>
      <x:c r="H8" s="49" t="str"/>
      <x:c r="I8" s="50" t="str"/>
      <x:c r="J8" s="50" t="str">
        <x:v>No supplied candidate canonically represents the required azimuthing/fixed thruster controlled values, an assessment/comparison representation, or conversion operands; therefore no semantic match is verified.</x:v>
      </x:c>
    </x:row>
  </x:sheetData>
  <x:pageMargins left="0.7" right="0.7" top="0.75" bottom="0.75" header="0.3" footer="0.3"/>
  <x:tableParts count="1">
    <x:tablePart xmlns:r="http://schemas.openxmlformats.org/officeDocument/2006/relationships" r:id="R91eb365ba9e640e0"/>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RUN-TRF-070-20260821T044045500782Z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RUN-TRF-070-20260821T044045500782Z</x:v>
      </x:c>
      <x:c r="B5" s="45" t="str">
        <x:v>TRF-070</x:v>
      </x:c>
      <x:c r="C5" s="58"/>
      <x:c r="D5" s="45" t="str">
        <x:v>initial_context_pack</x:v>
      </x:c>
      <x:c r="E5" s="46" t="str">
        <x:v>artifacts/context_pack_initial.json</x:v>
      </x:c>
      <x:c r="F5" s="45" t="str">
        <x:v>76f8338809bdf6528f52789daf279298dcb62af95d483574e3d65f290f13abe8</x:v>
      </x:c>
      <x:c r="G5" s="58" t="n">
        <x:v>25414</x:v>
      </x:c>
    </x:row>
    <x:row r="6">
      <x:c r="A6" s="47" t="str">
        <x:v>RUN-TRF-070-20260821T044045500782Z</x:v>
      </x:c>
      <x:c r="B6" s="47" t="str">
        <x:v>TRF-070</x:v>
      </x:c>
      <x:c r="C6" s="59"/>
      <x:c r="D6" s="47" t="str">
        <x:v>few_shot_selection</x:v>
      </x:c>
      <x:c r="E6" s="48" t="str">
        <x:v>artifacts/few_shots_selected.json</x:v>
      </x:c>
      <x:c r="F6" s="47" t="str">
        <x:v>52783c96921fe912c75a90294786edd0e0982ab0bfa4336968fbea10be08bad8</x:v>
      </x:c>
      <x:c r="G6" s="59" t="n">
        <x:v>6555</x:v>
      </x:c>
    </x:row>
    <x:row r="7">
      <x:c r="A7" s="47" t="str">
        <x:v>RUN-TRF-070-20260821T044045500782Z</x:v>
      </x:c>
      <x:c r="B7" s="47" t="str">
        <x:v>TRF-070</x:v>
      </x:c>
      <x:c r="C7" s="59" t="n">
        <x:v>1</x:v>
      </x:c>
      <x:c r="D7" s="47" t="str">
        <x:v>generator_prompt</x:v>
      </x:c>
      <x:c r="E7" s="48" t="str">
        <x:v>artifacts/attempt_01/generator_prompt.txt</x:v>
      </x:c>
      <x:c r="F7" s="47" t="str">
        <x:v>a300caa956aacdf3afa4bb4df20cfd0ea80891650fb14af36a7265bc609fc5e6</x:v>
      </x:c>
      <x:c r="G7" s="59" t="n">
        <x:v>43320</x:v>
      </x:c>
    </x:row>
    <x:row r="8">
      <x:c r="A8" s="47" t="str">
        <x:v>RUN-TRF-070-20260821T044045500782Z</x:v>
      </x:c>
      <x:c r="B8" s="47" t="str">
        <x:v>TRF-070</x:v>
      </x:c>
      <x:c r="C8" s="59" t="n">
        <x:v>1</x:v>
      </x:c>
      <x:c r="D8" s="47" t="str">
        <x:v>generator_raw_response</x:v>
      </x:c>
      <x:c r="E8" s="48" t="str">
        <x:v>artifacts/attempt_01/generator_raw.txt</x:v>
      </x:c>
      <x:c r="F8" s="47" t="str">
        <x:v>c63db9cffa38e7e69cfff2af77b1a71fab24da1f525bc033f11255bb66426619</x:v>
      </x:c>
      <x:c r="G8" s="59" t="n">
        <x:v>4529</x:v>
      </x:c>
    </x:row>
    <x:row r="9">
      <x:c r="A9" s="47" t="str">
        <x:v>RUN-TRF-070-20260821T044045500782Z</x:v>
      </x:c>
      <x:c r="B9" s="47" t="str">
        <x:v>TRF-070</x:v>
      </x:c>
      <x:c r="C9" s="59" t="n">
        <x:v>1</x:v>
      </x:c>
      <x:c r="D9" s="47" t="str">
        <x:v>candidate_shape</x:v>
      </x:c>
      <x:c r="E9" s="48" t="str">
        <x:v>artifacts/attempt_01/candidate_shape.ttl</x:v>
      </x:c>
      <x:c r="F9" s="47" t="str">
        <x:v>de57544506a488a8709963f308f7f5f730fcf9bd21bc16ad66ce753e2b639012</x:v>
      </x:c>
      <x:c r="G9" s="59" t="n">
        <x:v>4504</x:v>
      </x:c>
    </x:row>
    <x:row r="10">
      <x:c r="A10" s="47" t="str">
        <x:v>RUN-TRF-070-20260821T044045500782Z</x:v>
      </x:c>
      <x:c r="B10" s="47" t="str">
        <x:v>TRF-070</x:v>
      </x:c>
      <x:c r="C10" s="59" t="n">
        <x:v>1</x:v>
      </x:c>
      <x:c r="D10" s="47" t="str">
        <x:v>deterministic_validation</x:v>
      </x:c>
      <x:c r="E10" s="48" t="str">
        <x:v>artifacts/attempt_01/deterministic_validation.json</x:v>
      </x:c>
      <x:c r="F10" s="47" t="str">
        <x:v>60661b9909c109f14aa82ad06d4efe2f7e93bc366a806280c2b3f7b5f7e225ad</x:v>
      </x:c>
      <x:c r="G10" s="59" t="n">
        <x:v>992</x:v>
      </x:c>
    </x:row>
    <x:row r="11">
      <x:c r="A11" s="47" t="str">
        <x:v>RUN-TRF-070-20260821T044045500782Z</x:v>
      </x:c>
      <x:c r="B11" s="47" t="str">
        <x:v>TRF-070</x:v>
      </x:c>
      <x:c r="C11" s="59" t="n">
        <x:v>1</x:v>
      </x:c>
      <x:c r="D11" s="47" t="str">
        <x:v>validator_prompt</x:v>
      </x:c>
      <x:c r="E11" s="48" t="str">
        <x:v>artifacts/attempt_01/validator_prompt_01.txt</x:v>
      </x:c>
      <x:c r="F11" s="47" t="str">
        <x:v>cbc61dd4a0750417c763113da2b607e1e8f0988a10589ec3ca95d0247fa84620</x:v>
      </x:c>
      <x:c r="G11" s="59" t="n">
        <x:v>41319</x:v>
      </x:c>
    </x:row>
    <x:row r="12">
      <x:c r="A12" s="47" t="str">
        <x:v>RUN-TRF-070-20260821T044045500782Z</x:v>
      </x:c>
      <x:c r="B12" s="47" t="str">
        <x:v>TRF-070</x:v>
      </x:c>
      <x:c r="C12" s="59" t="n">
        <x:v>1</x:v>
      </x:c>
      <x:c r="D12" s="47" t="str">
        <x:v>validator_raw_response</x:v>
      </x:c>
      <x:c r="E12" s="48" t="str">
        <x:v>artifacts/attempt_01/validator_raw_01.txt</x:v>
      </x:c>
      <x:c r="F12" s="47" t="str">
        <x:v>7cb0b18f0039a5d88c0248a1af8ddba3b8269f745c5c5ecb6e081dc347f02e1f</x:v>
      </x:c>
      <x:c r="G12" s="59" t="n">
        <x:v>1193</x:v>
      </x:c>
    </x:row>
    <x:row r="13">
      <x:c r="A13" s="47" t="str">
        <x:v>RUN-TRF-070-20260821T044045500782Z</x:v>
      </x:c>
      <x:c r="B13" s="47" t="str">
        <x:v>TRF-070</x:v>
      </x:c>
      <x:c r="C13" s="59" t="n">
        <x:v>1</x:v>
      </x:c>
      <x:c r="D13" s="47" t="str">
        <x:v>matcher_candidates</x:v>
      </x:c>
      <x:c r="E13" s="48" t="str">
        <x:v>artifacts/attempt_01/matcher_candidates.json</x:v>
      </x:c>
      <x:c r="F13" s="47" t="str">
        <x:v>a1f1cf06017b14a0d032d22f7c814c1d3c4f598438274aa5866882ec75c59ca6</x:v>
      </x:c>
      <x:c r="G13" s="59" t="n">
        <x:v>6003</x:v>
      </x:c>
    </x:row>
    <x:row r="14">
      <x:c r="A14" s="47" t="str">
        <x:v>RUN-TRF-070-20260821T044045500782Z</x:v>
      </x:c>
      <x:c r="B14" s="47" t="str">
        <x:v>TRF-070</x:v>
      </x:c>
      <x:c r="C14" s="59" t="n">
        <x:v>1</x:v>
      </x:c>
      <x:c r="D14" s="47" t="str">
        <x:v>vocabulary_matcher_prompt</x:v>
      </x:c>
      <x:c r="E14" s="48" t="str">
        <x:v>artifacts/attempt_01/vocabulary_matcher_prompt_01.txt</x:v>
      </x:c>
      <x:c r="F14" s="47" t="str">
        <x:v>c22ecdadcad6443edc003103b982c09ca59ae55681cfbc520dfd34c121e11c92</x:v>
      </x:c>
      <x:c r="G14" s="59" t="n">
        <x:v>14866</x:v>
      </x:c>
    </x:row>
    <x:row r="15">
      <x:c r="A15" s="47" t="str">
        <x:v>RUN-TRF-070-20260821T044045500782Z</x:v>
      </x:c>
      <x:c r="B15" s="47" t="str">
        <x:v>TRF-070</x:v>
      </x:c>
      <x:c r="C15" s="59" t="n">
        <x:v>1</x:v>
      </x:c>
      <x:c r="D15" s="47" t="str">
        <x:v>vocabulary_matcher_raw_response</x:v>
      </x:c>
      <x:c r="E15" s="48" t="str">
        <x:v>artifacts/attempt_01/vocabulary_matcher_raw_01.txt</x:v>
      </x:c>
      <x:c r="F15" s="47" t="str">
        <x:v>3708f8d636a19568bef7755938e1b3b026e152502b54b1c59acf60ea0f575fa4</x:v>
      </x:c>
      <x:c r="G15" s="59" t="n">
        <x:v>340</x:v>
      </x:c>
    </x:row>
    <x:row r="16">
      <x:c r="A16" s="47" t="str">
        <x:v>RUN-TRF-070-20260821T044045500782Z</x:v>
      </x:c>
      <x:c r="B16" s="47" t="str">
        <x:v>TRF-070</x:v>
      </x:c>
      <x:c r="C16" s="59" t="n">
        <x:v>2</x:v>
      </x:c>
      <x:c r="D16" s="47" t="str">
        <x:v>expanded_context_pack</x:v>
      </x:c>
      <x:c r="E16" s="48" t="str">
        <x:v>artifacts/attempt_02/context_pack_expanded.json</x:v>
      </x:c>
      <x:c r="F16" s="47" t="str">
        <x:v>fcd0fb7406dde5c1f990c4f941c57a0a4bd95bef151f225c23f00cef3d07743b</x:v>
      </x:c>
      <x:c r="G16" s="59" t="n">
        <x:v>25452</x:v>
      </x:c>
    </x:row>
    <x:row r="17">
      <x:c r="A17" s="47" t="str">
        <x:v>RUN-TRF-070-20260821T044045500782Z</x:v>
      </x:c>
      <x:c r="B17" s="47" t="str">
        <x:v>TRF-070</x:v>
      </x:c>
      <x:c r="C17" s="59" t="n">
        <x:v>2</x:v>
      </x:c>
      <x:c r="D17" s="47" t="str">
        <x:v>generator_prompt</x:v>
      </x:c>
      <x:c r="E17" s="48" t="str">
        <x:v>artifacts/attempt_02/generator_prompt.txt</x:v>
      </x:c>
      <x:c r="F17" s="47" t="str">
        <x:v>6058385db921ef6b0db9ba48d8531099b626c77502853c33355874f841deb570</x:v>
      </x:c>
      <x:c r="G17" s="59" t="n">
        <x:v>44766</x:v>
      </x:c>
    </x:row>
    <x:row r="18">
      <x:c r="A18" s="47" t="str">
        <x:v>RUN-TRF-070-20260821T044045500782Z</x:v>
      </x:c>
      <x:c r="B18" s="47" t="str">
        <x:v>TRF-070</x:v>
      </x:c>
      <x:c r="C18" s="59" t="n">
        <x:v>2</x:v>
      </x:c>
      <x:c r="D18" s="47" t="str">
        <x:v>generator_raw_response</x:v>
      </x:c>
      <x:c r="E18" s="48" t="str">
        <x:v>artifacts/attempt_02/generator_raw.txt</x:v>
      </x:c>
      <x:c r="F18" s="47" t="str">
        <x:v>f14065e12916de35e8bc084a140498fac240cb7e82680456b44a426659a19774</x:v>
      </x:c>
      <x:c r="G18" s="59" t="n">
        <x:v>2780</x:v>
      </x:c>
    </x:row>
    <x:row r="19">
      <x:c r="A19" s="47" t="str">
        <x:v>RUN-TRF-070-20260821T044045500782Z</x:v>
      </x:c>
      <x:c r="B19" s="47" t="str">
        <x:v>TRF-070</x:v>
      </x:c>
      <x:c r="C19" s="59" t="n">
        <x:v>2</x:v>
      </x:c>
      <x:c r="D19" s="47" t="str">
        <x:v>candidate_shape</x:v>
      </x:c>
      <x:c r="E19" s="48" t="str">
        <x:v>artifacts/attempt_02/candidate_shape.ttl</x:v>
      </x:c>
      <x:c r="F19" s="47" t="str">
        <x:v>ab4ce03ba82c57ecb41122c85a09975e5620865f4c3aabc9ac40b13b27971582</x:v>
      </x:c>
      <x:c r="G19" s="59" t="n">
        <x:v>2755</x:v>
      </x:c>
    </x:row>
    <x:row r="20">
      <x:c r="A20" s="47" t="str">
        <x:v>RUN-TRF-070-20260821T044045500782Z</x:v>
      </x:c>
      <x:c r="B20" s="47" t="str">
        <x:v>TRF-070</x:v>
      </x:c>
      <x:c r="C20" s="59" t="n">
        <x:v>2</x:v>
      </x:c>
      <x:c r="D20" s="47" t="str">
        <x:v>deterministic_validation</x:v>
      </x:c>
      <x:c r="E20" s="48" t="str">
        <x:v>artifacts/attempt_02/deterministic_validation.json</x:v>
      </x:c>
      <x:c r="F20" s="47" t="str">
        <x:v>5b4e6ec9544ff93f03be0e683998a87a4505b109c6c3014b04cd509cfe7ff637</x:v>
      </x:c>
      <x:c r="G20" s="59" t="n">
        <x:v>1111</x:v>
      </x:c>
    </x:row>
    <x:row r="21">
      <x:c r="A21" s="47" t="str">
        <x:v>RUN-TRF-070-20260821T044045500782Z</x:v>
      </x:c>
      <x:c r="B21" s="47" t="str">
        <x:v>TRF-070</x:v>
      </x:c>
      <x:c r="C21" s="59" t="n">
        <x:v>2</x:v>
      </x:c>
      <x:c r="D21" s="47" t="str">
        <x:v>validator_prompt</x:v>
      </x:c>
      <x:c r="E21" s="48" t="str">
        <x:v>artifacts/attempt_02/validator_prompt_01.txt</x:v>
      </x:c>
      <x:c r="F21" s="47" t="str">
        <x:v>5571a594895fa595b7be23751061a2cf0853831c6c8097a24398db1fb429e728</x:v>
      </x:c>
      <x:c r="G21" s="59" t="n">
        <x:v>41833</x:v>
      </x:c>
    </x:row>
    <x:row r="22">
      <x:c r="A22" s="47" t="str">
        <x:v>RUN-TRF-070-20260821T044045500782Z</x:v>
      </x:c>
      <x:c r="B22" s="47" t="str">
        <x:v>TRF-070</x:v>
      </x:c>
      <x:c r="C22" s="59" t="n">
        <x:v>2</x:v>
      </x:c>
      <x:c r="D22" s="47" t="str">
        <x:v>validator_raw_response</x:v>
      </x:c>
      <x:c r="E22" s="48" t="str">
        <x:v>artifacts/attempt_02/validator_raw_01.txt</x:v>
      </x:c>
      <x:c r="F22" s="47" t="str">
        <x:v>ff581d61f238523b3c729edca64a611cff6d3da5123c89f8e423e9be6b339222</x:v>
      </x:c>
      <x:c r="G22" s="59" t="n">
        <x:v>1672</x:v>
      </x:c>
    </x:row>
    <x:row r="23">
      <x:c r="A23" s="47" t="str">
        <x:v>RUN-TRF-070-20260821T044045500782Z</x:v>
      </x:c>
      <x:c r="B23" s="47" t="str">
        <x:v>TRF-070</x:v>
      </x:c>
      <x:c r="C23" s="59" t="n">
        <x:v>2</x:v>
      </x:c>
      <x:c r="D23" s="47" t="str">
        <x:v>matcher_candidates</x:v>
      </x:c>
      <x:c r="E23" s="48" t="str">
        <x:v>artifacts/attempt_02/matcher_candidates.json</x:v>
      </x:c>
      <x:c r="F23" s="47" t="str">
        <x:v>a43b537e5bcc5683e53331af2130bf9a63a48514f4cfc1d52435b525345725ae</x:v>
      </x:c>
      <x:c r="G23" s="59" t="n">
        <x:v>8450</x:v>
      </x:c>
    </x:row>
    <x:row r="24">
      <x:c r="A24" s="47" t="str">
        <x:v>RUN-TRF-070-20260821T044045500782Z</x:v>
      </x:c>
      <x:c r="B24" s="47" t="str">
        <x:v>TRF-070</x:v>
      </x:c>
      <x:c r="C24" s="59" t="n">
        <x:v>2</x:v>
      </x:c>
      <x:c r="D24" s="47" t="str">
        <x:v>vocabulary_matcher_prompt</x:v>
      </x:c>
      <x:c r="E24" s="48" t="str">
        <x:v>artifacts/attempt_02/vocabulary_matcher_prompt_01.txt</x:v>
      </x:c>
      <x:c r="F24" s="47" t="str">
        <x:v>0171c1abd94fc797a68a42792d8e80ae92cc63203e0200528332fb36ef72553f</x:v>
      </x:c>
      <x:c r="G24" s="59" t="n">
        <x:v>17928</x:v>
      </x:c>
    </x:row>
    <x:row r="25">
      <x:c r="A25" s="49" t="str">
        <x:v>RUN-TRF-070-20260821T044045500782Z</x:v>
      </x:c>
      <x:c r="B25" s="49" t="str">
        <x:v>TRF-070</x:v>
      </x:c>
      <x:c r="C25" s="60" t="n">
        <x:v>2</x:v>
      </x:c>
      <x:c r="D25" s="49" t="str">
        <x:v>vocabulary_matcher_raw_response</x:v>
      </x:c>
      <x:c r="E25" s="50" t="str">
        <x:v>artifacts/attempt_02/vocabulary_matcher_raw_01.txt</x:v>
      </x:c>
      <x:c r="F25" s="49" t="str">
        <x:v>1334ae1e01c3a86c74ad6fb1959a63cac3503945c2be4ff51a58f6e69ff69154</x:v>
      </x:c>
      <x:c r="G25" s="60" t="n">
        <x:v>297</x:v>
      </x:c>
    </x:row>
  </x:sheetData>
  <x:pageMargins left="0.7" right="0.7" top="0.75" bottom="0.75" header="0.3" footer="0.3"/>
  <x:tableParts count="1">
    <x:tablePart xmlns:r="http://schemas.openxmlformats.org/officeDocument/2006/relationships" r:id="R2b9d371b91144c3c"/>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RUN-TRF-070-20260821T044045500782Z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RUN-TRF-070-20260821T044045500782Z</x:v>
      </x:c>
      <x:c r="B5" s="69" t="str">
        <x:v>TRF-070</x:v>
      </x:c>
      <x:c r="C5" s="71" t="n">
        <x:v>2</x:v>
      </x:c>
      <x:c r="D5" s="69" t="str">
        <x:v>TERM_RESOLUTION_UNRESOLVED</x:v>
      </x:c>
      <x:c r="E5" s="73" t="str">
        <x:v>No supplied candidate canonically represents the required azimuthing/fixed thruster controlled values, an assessment/comparison representation, or conversion operands; therefore no semantic match is verified.</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3873090537954bea"/>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RUN-TRF-070-20260821T044045500782Z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4" t="str">
        <x:v>No records for this run.</x:v>
      </x:c>
      <x:c r="B5" s="21"/>
      <x:c r="C5" s="21"/>
      <x:c r="D5" s="21"/>
      <x:c r="E5" s="21"/>
      <x:c r="F5" s="21"/>
    </x:row>
  </x:sheetData>
  <x:pageMargins left="0.7" right="0.7" top="0.75" bottom="0.75" header="0.3" footer="0.3"/>
</x:worksheet>
</file>