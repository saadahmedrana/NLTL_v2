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bb2f786bb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3ffc8f8a7e450d"/>
    <x:sheet xmlns:r="http://schemas.openxmlformats.org/officeDocument/2006/relationships" name="README" sheetId="2" r:id="R8d317f9c0b95436c"/>
    <x:sheet xmlns:r="http://schemas.openxmlformats.org/officeDocument/2006/relationships" name="REGULATION_QUEUE" sheetId="3" r:id="R7dab5476ffcc43fe"/>
    <x:sheet xmlns:r="http://schemas.openxmlformats.org/officeDocument/2006/relationships" name="RUNS" sheetId="4" r:id="Ra3d5be05effd43ee"/>
    <x:sheet xmlns:r="http://schemas.openxmlformats.org/officeDocument/2006/relationships" name="ITERATIONS" sheetId="5" r:id="Rc9dd4c5b6a314f16"/>
    <x:sheet xmlns:r="http://schemas.openxmlformats.org/officeDocument/2006/relationships" name="API_CALLS" sheetId="6" r:id="Rfbd093f4a7354357"/>
    <x:sheet xmlns:r="http://schemas.openxmlformats.org/officeDocument/2006/relationships" name="TERM_RETRIEVAL" sheetId="7" r:id="Rdcc5a0147a9743d5"/>
    <x:sheet xmlns:r="http://schemas.openxmlformats.org/officeDocument/2006/relationships" name="FEW_SHOT_SELECTION" sheetId="8" r:id="Rbfe3e719d04f418d"/>
    <x:sheet xmlns:r="http://schemas.openxmlformats.org/officeDocument/2006/relationships" name="VALIDATION" sheetId="9" r:id="Rabdd079034f046d8"/>
    <x:sheet xmlns:r="http://schemas.openxmlformats.org/officeDocument/2006/relationships" name="VOCAB_MATCHES" sheetId="10" r:id="R4a1f0406ab1e479b"/>
    <x:sheet xmlns:r="http://schemas.openxmlformats.org/officeDocument/2006/relationships" name="ARTIFACTS" sheetId="11" r:id="R9af977db4c404892"/>
    <x:sheet xmlns:r="http://schemas.openxmlformats.org/officeDocument/2006/relationships" name="UNRESOLVED" sheetId="12" r:id="R669164391c80435e"/>
    <x:sheet xmlns:r="http://schemas.openxmlformats.org/officeDocument/2006/relationships" name="RDF_TEST_QUEUE" sheetId="13" r:id="Rbfdfdf5b9b814e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e57b5b8129489a" /><Relationship Type="http://schemas.openxmlformats.org/officeDocument/2006/relationships/theme" Target="/xl/theme/theme1.xml" Id="Rab0c4b441aec4db1" /><Relationship Type="http://schemas.microsoft.com/office/2022/11/relationships/FeaturePropertyBag" Target="/xl/featurePropertyBag/featurePropertyBag.xml" Id="Rb91a342229024165" /><Relationship Type="http://schemas.openxmlformats.org/officeDocument/2006/relationships/sharedStrings" Target="/xl/sharedStrings.xml" Id="Rbacd17b4ca254d3f" /><Relationship Type="http://schemas.openxmlformats.org/officeDocument/2006/relationships/worksheet" Target="/xl/worksheets/sheet1.xml" Id="R8a3ffc8f8a7e450d" /><Relationship Type="http://schemas.openxmlformats.org/officeDocument/2006/relationships/worksheet" Target="/xl/worksheets/sheet2.xml" Id="R8d317f9c0b95436c" /><Relationship Type="http://schemas.openxmlformats.org/officeDocument/2006/relationships/worksheet" Target="/xl/worksheets/sheet3.xml" Id="R7dab5476ffcc43fe" /><Relationship Type="http://schemas.openxmlformats.org/officeDocument/2006/relationships/worksheet" Target="/xl/worksheets/sheet4.xml" Id="Ra3d5be05effd43ee" /><Relationship Type="http://schemas.openxmlformats.org/officeDocument/2006/relationships/worksheet" Target="/xl/worksheets/sheet5.xml" Id="Rc9dd4c5b6a314f16" /><Relationship Type="http://schemas.openxmlformats.org/officeDocument/2006/relationships/worksheet" Target="/xl/worksheets/sheet6.xml" Id="Rfbd093f4a7354357" /><Relationship Type="http://schemas.openxmlformats.org/officeDocument/2006/relationships/worksheet" Target="/xl/worksheets/sheet7.xml" Id="Rdcc5a0147a9743d5" /><Relationship Type="http://schemas.openxmlformats.org/officeDocument/2006/relationships/worksheet" Target="/xl/worksheets/sheet8.xml" Id="Rbfe3e719d04f418d" /><Relationship Type="http://schemas.openxmlformats.org/officeDocument/2006/relationships/worksheet" Target="/xl/worksheets/sheet9.xml" Id="Rabdd079034f046d8" /><Relationship Type="http://schemas.openxmlformats.org/officeDocument/2006/relationships/worksheet" Target="/xl/worksheets/sheet10.xml" Id="R4a1f0406ab1e479b" /><Relationship Type="http://schemas.openxmlformats.org/officeDocument/2006/relationships/worksheet" Target="/xl/worksheets/sheet11.xml" Id="R9af977db4c404892" /><Relationship Type="http://schemas.openxmlformats.org/officeDocument/2006/relationships/worksheet" Target="/xl/worksheets/sheet12.xml" Id="R669164391c80435e" /><Relationship Type="http://schemas.openxmlformats.org/officeDocument/2006/relationships/worksheet" Target="/xl/worksheets/sheet13.xml" Id="Rbfdfdf5b9b814e1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976f51790f451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d399f85784d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dab3a2535c749b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7ea5fad5fc45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9c043b8331445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0fdd7ab89b544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144f6fcd08743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6b3d9774d54e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91d887e13094be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ab2b7658aa245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RUN-TRF-101-20260821T051830334347Z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31725.965375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RUN-TRF-101-20260821T051830334347Z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976f51790f451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GENERATION_ACCEPTED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53d399f85784d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RUN-TRF-101-20260821T051830334347Z</x:v>
      </x:c>
      <x:c r="C5" s="69" t="str">
        <x:v>TRF-101</x:v>
      </x:c>
      <x:c r="D5" s="70" t="n">
        <x:v>46255.22118444445</x:v>
      </x:c>
      <x:c r="E5" s="70" t="n">
        <x:v>46255.222659837964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approved-analysis/formula alternatives, chained derived calculations with expected-value-scaled tolerances, load-case conditions, and blade-failure status implication on the authoritative owners.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ab3a2535c749b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RUN-TRF-101-20260821T051830334347Z</x:v>
      </x:c>
      <x:c r="B5" s="45" t="str">
        <x:v>TRF-101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the hasLoadCase sh:node constraint with a qualified-value constraint (qualified shape containing sh:class nltl:loadCase and gen:TRF101LoadCaseShape, plus sh:qualifiedMinCount 1), so at least one applicable blade-failure load case is required without forcing every unrelated ship load case to satisfy these conditions. In the formula branch, compute expectedLoad from expectedReferenceStrength rather than reportedReferenceStrength; otherwise two independently tolerated derived reports can pass without the reported load satisfying the prescribed chained formula from the primary strength operands.</x:v>
      </x:c>
      <x:c r="I5" s="81" t="n">
        <x:v>46560.483</x:v>
      </x:c>
      <x:c r="J5" s="81" t="n">
        <x:v>17972.83</x:v>
      </x:c>
    </x:row>
    <x:row r="6">
      <x:c r="A6" s="49" t="str">
        <x:v>RUN-TRF-101-20260821T051830334347Z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approved-analysis/formula alternatives, chained derived calculations with expected-value-scaled tolerances, load-case conditions, and blade-failure status implication on the authoritative owners.</x:v>
      </x:c>
      <x:c r="I6" s="83" t="n">
        <x:v>50583.038</x:v>
      </x:c>
      <x:c r="J6" s="83" t="n">
        <x:v>11789.911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ea5fad5fc45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RUN-TRF-101-20260821T051830334347Z</x:v>
      </x:c>
      <x:c r="C5" s="45" t="str">
        <x:v>TRF-101</x:v>
      </x:c>
      <x:c r="D5" s="90" t="n">
        <x:v>46255.22172335648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46559.225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RUN-TRF-101-20260821T051830334347Z</x:v>
      </x:c>
      <x:c r="C6" s="47" t="str">
        <x:v>TRF-101</x:v>
      </x:c>
      <x:c r="D6" s="91" t="n">
        <x:v>46255.22172337963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46560.483</x:v>
      </x:c>
      <x:c r="L6" s="93" t="b">
        <x:v>0</x:v>
      </x:c>
      <x:c r="M6" s="47" t="str">
        <x:v>resp_07605849428bcb42006a87dfa67d988194a257163f6fa42710</x:v>
      </x:c>
      <x:c r="N6" s="59" t="n">
        <x:v>10826</x:v>
      </x:c>
      <x:c r="O6" s="59" t="n">
        <x:v>3968</x:v>
      </x:c>
      <x:c r="P6" s="59" t="n">
        <x:v>14794</x:v>
      </x:c>
    </x:row>
    <x:row r="7">
      <x:c r="A7" s="47" t="str">
        <x:v>EVT-000037</x:v>
      </x:c>
      <x:c r="B7" s="47" t="str">
        <x:v>RUN-TRF-101-20260821T051830334347Z</x:v>
      </x:c>
      <x:c r="C7" s="47" t="str">
        <x:v>TRF-101</x:v>
      </x:c>
      <x:c r="D7" s="91" t="n">
        <x:v>46255.22193443287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17972.333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RUN-TRF-101-20260821T051830334347Z</x:v>
      </x:c>
      <x:c r="C8" s="47" t="str">
        <x:v>TRF-101</x:v>
      </x:c>
      <x:c r="D8" s="91" t="n">
        <x:v>46255.221934444446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17972.83</x:v>
      </x:c>
      <x:c r="L8" s="93" t="b">
        <x:v>0</x:v>
      </x:c>
      <x:c r="M8" s="47" t="str">
        <x:v>resp_044dff2a32e802b2006a87dfd553cc8195b2794017bcf7a894</x:v>
      </x:c>
      <x:c r="N8" s="59" t="n">
        <x:v>13146</x:v>
      </x:c>
      <x:c r="O8" s="59" t="n">
        <x:v>1151</x:v>
      </x:c>
      <x:c r="P8" s="59" t="n">
        <x:v>14297</x:v>
      </x:c>
    </x:row>
    <x:row r="9">
      <x:c r="A9" s="47" t="str">
        <x:v>EVT-000043</x:v>
      </x:c>
      <x:c r="B9" s="47" t="str">
        <x:v>RUN-TRF-101-20260821T051830334347Z</x:v>
      </x:c>
      <x:c r="C9" s="47" t="str">
        <x:v>TRF-101</x:v>
      </x:c>
      <x:c r="D9" s="91" t="n">
        <x:v>46255.22251990741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50581.455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RUN-TRF-101-20260821T051830334347Z</x:v>
      </x:c>
      <x:c r="C10" s="47" t="str">
        <x:v>TRF-101</x:v>
      </x:c>
      <x:c r="D10" s="91" t="n">
        <x:v>46255.222519930554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50583.038</x:v>
      </x:c>
      <x:c r="L10" s="93" t="b">
        <x:v>0</x:v>
      </x:c>
      <x:c r="M10" s="47" t="str">
        <x:v>resp_0b1114b978e545c6006a87dfe74df88195929fe0b1f6d4468d</x:v>
      </x:c>
      <x:c r="N10" s="59" t="n">
        <x:v>10937</x:v>
      </x:c>
      <x:c r="O10" s="59" t="n">
        <x:v>4285</x:v>
      </x:c>
      <x:c r="P10" s="59" t="n">
        <x:v>15222</x:v>
      </x:c>
    </x:row>
    <x:row r="11">
      <x:c r="A11" s="47" t="str">
        <x:v>EVT-000051</x:v>
      </x:c>
      <x:c r="B11" s="47" t="str">
        <x:v>RUN-TRF-101-20260821T051830334347Z</x:v>
      </x:c>
      <x:c r="C11" s="47" t="str">
        <x:v>TRF-101</x:v>
      </x:c>
      <x:c r="D11" s="91" t="n">
        <x:v>46255.22265974537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11788.448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EVT-000052</x:v>
      </x:c>
      <x:c r="B12" s="49" t="str">
        <x:v>RUN-TRF-101-20260821T051830334347Z</x:v>
      </x:c>
      <x:c r="C12" s="49" t="str">
        <x:v>TRF-101</x:v>
      </x:c>
      <x:c r="D12" s="94" t="n">
        <x:v>46255.22265976852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11789.911</x:v>
      </x:c>
      <x:c r="L12" s="82" t="b">
        <x:v>0</x:v>
      </x:c>
      <x:c r="M12" s="49" t="str">
        <x:v>resp_00420c7e82106822006a87e01a28fc8194ae3775838972ca9f</x:v>
      </x:c>
      <x:c r="N12" s="60" t="n">
        <x:v>13487</x:v>
      </x:c>
      <x:c r="O12" s="60" t="n">
        <x:v>572</x:v>
      </x:c>
      <x:c r="P12" s="60" t="n">
        <x:v>14059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9c043b8331445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RUN-TRF-101-20260821T051830334347Z</x:v>
      </x:c>
      <x:c r="B5" s="45" t="str">
        <x:v>TRF-101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approvedNonlinearBladeStressAnalysis</x:v>
      </x:c>
      <x:c r="J5" s="45" t="n">
        <x:v>0</x:v>
      </x:c>
    </x:row>
    <x:row r="6">
      <x:c r="A6" s="47" t="str">
        <x:v>RUN-TRF-101-20260821T051830334347Z</x:v>
      </x:c>
      <x:c r="B6" s="47" t="str">
        <x:v>TRF-101</x:v>
      </x:c>
      <x:c r="C6" s="47" t="str">
        <x:v>approvedNonlinearBladeStressAnalysis</x:v>
      </x:c>
      <x:c r="D6" s="48" t="str">
        <x:v>https://w3id.org/nltl/vocab#approvedNonlinearBladeStressAnalysis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RUN-TRF-101-20260821T051830334347Z</x:v>
      </x:c>
      <x:c r="B7" s="47" t="str">
        <x:v>TRF-101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bladeFailureStatus; domain dependency of bladeFailureUltimateLoad; domain dependency of bladeReferenceStrength1; domain dependency of bladeTipOffset; domain dependency of propellerDiameter</x:v>
      </x:c>
      <x:c r="J7" s="47" t="n">
        <x:v>0</x:v>
      </x:c>
    </x:row>
    <x:row r="8">
      <x:c r="A8" s="47" t="str">
        <x:v>RUN-TRF-101-20260821T051830334347Z</x:v>
      </x:c>
      <x:c r="B8" s="47" t="str">
        <x:v>TRF-101</x:v>
      </x:c>
      <x:c r="C8" s="47" t="str">
        <x:v>bladeChordLengthAtWeakestSection</x:v>
      </x:c>
      <x:c r="D8" s="48" t="str">
        <x:v>https://w3id.org/nltl/vocab#bladeChordLengthAtWeakestSection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RUN-TRF-101-20260821T051830334347Z</x:v>
      </x:c>
      <x:c r="B9" s="47" t="str">
        <x:v>TRF-101</x:v>
      </x:c>
      <x:c r="C9" s="47" t="str">
        <x:v>bladeCylindricalRootRadius</x:v>
      </x:c>
      <x:c r="D9" s="48" t="str">
        <x:v>https://w3id.org/nltl/vocab#bladeCylindricalRootRadius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RUN-TRF-101-20260821T051830334347Z</x:v>
      </x:c>
      <x:c r="B10" s="47" t="str">
        <x:v>TRF-101</x:v>
      </x:c>
      <x:c r="C10" s="47" t="str">
        <x:v>bladeFailureLoadApplicationRadiusRatio</x:v>
      </x:c>
      <x:c r="D10" s="48" t="str">
        <x:v>https://w3id.org/nltl/vocab#bladeFailureLoadApplicationRadiusRatio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RUN-TRF-101-20260821T051830334347Z</x:v>
      </x:c>
      <x:c r="B11" s="47" t="str">
        <x:v>TRF-101</x:v>
      </x:c>
      <x:c r="C11" s="47" t="str">
        <x:v>bladeFailureLoadWeakestDirectionConfirmed</x:v>
      </x:c>
      <x:c r="D11" s="48" t="str">
        <x:v>https://w3id.org/nltl/vocab#bladeFailureLoadWeakestDirectionConfirmed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RUN-TRF-101-20260821T051830334347Z</x:v>
      </x:c>
      <x:c r="B12" s="47" t="str">
        <x:v>TRF-101</x:v>
      </x:c>
      <x:c r="C12" s="47" t="str">
        <x:v>bladeFailureStatus</x:v>
      </x:c>
      <x:c r="D12" s="48" t="str">
        <x:v>https://w3id.org/nltl/vocab#bladeFailureStatus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RUN-TRF-101-20260821T051830334347Z</x:v>
      </x:c>
      <x:c r="B13" s="47" t="str">
        <x:v>TRF-101</x:v>
      </x:c>
      <x:c r="C13" s="47" t="str">
        <x:v>bladeFailureUltimateLoad</x:v>
      </x:c>
      <x:c r="D13" s="48" t="str">
        <x:v>https://w3id.org/nltl/vocab#bladeFailureUltimateLoad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RUN-TRF-101-20260821T051830334347Z</x:v>
      </x:c>
      <x:c r="B14" s="47" t="str">
        <x:v>TRF-101</x:v>
      </x:c>
      <x:c r="C14" s="47" t="str">
        <x:v>bladeMaximumThicknessAtWeakestSection</x:v>
      </x:c>
      <x:c r="D14" s="48" t="str">
        <x:v>https://w3id.org/nltl/vocab#bladeMaximumThicknessAtWeakestSection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RUN-TRF-101-20260821T051830334347Z</x:v>
      </x:c>
      <x:c r="B15" s="47" t="str">
        <x:v>TRF-101</x:v>
      </x:c>
      <x:c r="C15" s="47" t="str">
        <x:v>bladeMinimumYieldStrength</x:v>
      </x:c>
      <x:c r="D15" s="48" t="str">
        <x:v>https://w3id.org/nltl/vocab#bladeMinimumYieldStrength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RUN-TRF-101-20260821T051830334347Z</x:v>
      </x:c>
      <x:c r="B16" s="47" t="str">
        <x:v>TRF-101</x:v>
      </x:c>
      <x:c r="C16" s="47" t="str">
        <x:v>bladeReferenceStrength1</x:v>
      </x:c>
      <x:c r="D16" s="48" t="str">
        <x:v>https://w3id.org/nltl/vocab#bladeReferenceStrength1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http://qudt.org/vocab/unit/MegaPA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RUN-TRF-101-20260821T051830334347Z</x:v>
      </x:c>
      <x:c r="B17" s="47" t="str">
        <x:v>TRF-101</x:v>
      </x:c>
      <x:c r="C17" s="47" t="str">
        <x:v>bladeTipOffset</x:v>
      </x:c>
      <x:c r="D17" s="48" t="str">
        <x:v>https://w3id.org/nltl/vocab#bladeTipOffset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RUN-TRF-101-20260821T051830334347Z</x:v>
      </x:c>
      <x:c r="B18" s="47" t="str">
        <x:v>TRF-101</x:v>
      </x:c>
      <x:c r="C18" s="47" t="str">
        <x:v>bladeUltimateTensileStrength</x:v>
      </x:c>
      <x:c r="D18" s="48" t="str">
        <x:v>https://w3id.org/nltl/vocab#bladeUltimateTensileStrength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RUN-TRF-101-20260821T051830334347Z</x:v>
      </x:c>
      <x:c r="B19" s="47" t="str">
        <x:v>TRF-101</x:v>
      </x:c>
      <x:c r="C19" s="47" t="str">
        <x:v>hasComponent</x:v>
      </x:c>
      <x:c r="D19" s="48" t="str">
        <x:v>https://w3id.org/nltl/vocab#hasComponent</x:v>
      </x:c>
      <x:c r="E19" s="47" t="str">
        <x:v>ObjectProperty</x:v>
      </x:c>
      <x:c r="F19" s="47" t="str"/>
      <x:c r="G19" s="47" t="str">
        <x:v>https://w3id.org/nltl/vocab#shipComponent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RUN-TRF-101-20260821T051830334347Z</x:v>
      </x:c>
      <x:c r="B20" s="47" t="str">
        <x:v>TRF-101</x:v>
      </x:c>
      <x:c r="C20" s="47" t="str">
        <x:v>hasLoadCase</x:v>
      </x:c>
      <x:c r="D20" s="48" t="str">
        <x:v>https://w3id.org/nltl/vocab#hasLoadCase</x:v>
      </x:c>
      <x:c r="E20" s="47" t="str">
        <x:v>ObjectProperty</x:v>
      </x:c>
      <x:c r="F20" s="47" t="str"/>
      <x:c r="G20" s="47" t="str">
        <x:v>https://w3id.org/nltl/vocab#loadCase</x:v>
      </x:c>
      <x:c r="H20" s="47" t="str"/>
      <x:c r="I20" s="48" t="str">
        <x:v>canonical path from target owner ship to required owner loadCase; linked by the locked 313-requirement index</x:v>
      </x:c>
      <x:c r="J20" s="47" t="n">
        <x:v>0</x:v>
      </x:c>
    </x:row>
    <x:row r="21">
      <x:c r="A21" s="47" t="str">
        <x:v>RUN-TRF-101-20260821T051830334347Z</x:v>
      </x:c>
      <x:c r="B21" s="47" t="str">
        <x:v>TRF-101</x:v>
      </x:c>
      <x:c r="C21" s="47" t="str">
        <x:v>hasPropulsionLoadCase</x:v>
      </x:c>
      <x:c r="D21" s="48" t="str">
        <x:v>https://w3id.org/nltl/vocab#hasPropulsionLoadCase</x:v>
      </x:c>
      <x:c r="E21" s="47" t="str">
        <x:v>ObjectProperty</x:v>
      </x:c>
      <x:c r="F21" s="47" t="str"/>
      <x:c r="G21" s="47" t="str">
        <x:v>https://w3id.org/nltl/vocab#loadCase</x:v>
      </x:c>
      <x:c r="H21" s="47" t="str"/>
      <x:c r="I21" s="48" t="str">
        <x:v>canonical path from target owner ship to required owner loadCase</x:v>
      </x:c>
      <x:c r="J21" s="47" t="n">
        <x:v>0</x:v>
      </x:c>
    </x:row>
    <x:row r="22">
      <x:c r="A22" s="47" t="str">
        <x:v>RUN-TRF-101-20260821T051830334347Z</x:v>
      </x:c>
      <x:c r="B22" s="47" t="str">
        <x:v>TRF-101</x:v>
      </x:c>
      <x:c r="C22" s="47" t="str">
        <x:v>loadCase</x:v>
      </x:c>
      <x:c r="D22" s="48" t="str">
        <x:v>https://w3id.org/nltl/vocab#loadCase</x:v>
      </x:c>
      <x:c r="E22" s="47" t="str">
        <x:v>Class</x:v>
      </x:c>
      <x:c r="F22" s="47" t="str"/>
      <x:c r="G22" s="47" t="str">
        <x:v>https://w3id.org/nltl/vocab#calculationCase</x:v>
      </x:c>
      <x:c r="H22" s="47" t="str"/>
      <x:c r="I22" s="48" t="str">
        <x:v>authoritative required owner class; domain dependency of bladeFailureLoadApplicationRadiusRatio; domain dependency of bladeFailureLoadWeakestDirectionConfirmed; range dependency of hasLoadCase</x:v>
      </x:c>
      <x:c r="J22" s="47" t="n">
        <x:v>0</x:v>
      </x:c>
    </x:row>
    <x:row r="23">
      <x:c r="A23" s="47" t="str">
        <x:v>RUN-TRF-101-20260821T051830334347Z</x:v>
      </x:c>
      <x:c r="B23" s="47" t="str">
        <x:v>TRF-101</x:v>
      </x:c>
      <x:c r="C23" s="47" t="str">
        <x:v>propellerDiameter</x:v>
      </x:c>
      <x:c r="D23" s="48" t="str">
        <x:v>https://w3id.org/nltl/vocab#propellerDiameter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RUN-TRF-101-20260821T051830334347Z</x:v>
      </x:c>
      <x:c r="B24" s="47" t="str">
        <x:v>TRF-101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infrastructure; domain dependency of approvedNonlinearBladeStressAnalysis; domain dependency of bladeChordLengthAtWeakestSection; domain dependency of bladeCylindricalRootRadius; domain dependency of bladeMaximumThicknessAtWeakestSection; domain dependency of bladeMinimumYieldStrength; domain dependency of bladeUltimateTensileStrength; domain dependency of hasLoadCase</x:v>
      </x:c>
      <x:c r="J24" s="47" t="n">
        <x:v>0</x:v>
      </x:c>
    </x:row>
    <x:row r="25">
      <x:c r="A25" s="49" t="str">
        <x:v>RUN-TRF-101-20260821T051830334347Z</x:v>
      </x:c>
      <x:c r="B25" s="49" t="str">
        <x:v>TRF-101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0fdd7ab89b5446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RUN-TRF-101-20260821T051830334347Z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RUN-TRF-101-20260821T051830334347Z</x:v>
      </x:c>
      <x:c r="B5" s="45" t="str">
        <x:v>TRF-101</x:v>
      </x:c>
      <x:c r="C5" s="45" t="str">
        <x:v>FS-CALC-02</x:v>
      </x:c>
      <x:c r="D5" s="45" t="str">
        <x:v>comparison_calculation</x:v>
      </x:c>
      <x:c r="E5" s="97" t="n">
        <x:v>0.038095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RUN-TRF-101-20260821T051830334347Z</x:v>
      </x:c>
      <x:c r="B6" s="49" t="str">
        <x:v>TRF-101</x:v>
      </x:c>
      <x:c r="C6" s="49" t="str">
        <x:v>FS-BOOL-01</x:v>
      </x:c>
      <x:c r="D6" s="49" t="str">
        <x:v>boolean_state</x:v>
      </x:c>
      <x:c r="E6" s="98" t="n">
        <x:v>0.028302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44f6fcd08743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RUN-TRF-101-20260821T051830334347Z</x:v>
      </x:c>
      <x:c r="B5" s="45" t="str">
        <x:v>TRF-101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5" s="46" t="str"/>
      <x:c r="P5" s="46" t="str"/>
      <x:c r="Q5" s="46" t="str"/>
    </x:row>
    <x:row r="6">
      <x:c r="A6" s="49" t="str">
        <x:v>RUN-TRF-101-20260821T051830334347Z</x:v>
      </x:c>
      <x:c r="B6" s="49" t="str">
        <x:v>TRF-101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https://w3id.org/nltl/vocab#approvalRecord | https://w3id.org/nltl/vocab#approvedNonlinearBladeStressAnalysis | https://w3id.org/nltl/vocab#bladeChordLengthAtWeakestSection | https://w3id.org/nltl/vocab#bladeCylindricalRootRadius | https://w3id.org/nltl/vocab#bladeFailureLoadApplicationRadiusRatio | https://w3id.org/nltl/vocab#bladeFailureLoadWeakestDirectionConfirmed | https://w3id.org/nltl/vocab#bladeFailureStatus | https://w3id.org/nltl/vocab#bladeFailureUltimateLoad | https://w3id.org/nltl/vocab#bladeMaximumThicknessAtWeakestSection | https://w3id.org/nltl/vocab#bladeMinimumYieldStrength | https://w3id.org/nltl/vocab#bladeReferenceStrength1 | https://w3id.org/nltl/vocab#bladeTipOffset | https://w3id.org/nltl/vocab#bladeUltimateTensileStrength | https://w3id.org/nltl/vocab#hasLoadCase | https://w3id.org/nltl/vocab#loadCase | https://w3id.org/nltl/vocab#propellerDiameter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d6b3d9774d54e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RUN-TRF-101-20260821T051830334347Z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RUN-TRF-101-20260821T051830334347Z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RUN-TRF-101-20260821T051830334347Z</x:v>
      </x:c>
      <x:c r="B5" s="45" t="str">
        <x:v>TRF-101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75eb2cdeb96a0eae3098b95b30d54e9fec358c5c949be7e300cb5e89b0d10a6c</x:v>
      </x:c>
      <x:c r="G5" s="58" t="n">
        <x:v>28982</x:v>
      </x:c>
    </x:row>
    <x:row r="6">
      <x:c r="A6" s="47" t="str">
        <x:v>RUN-TRF-101-20260821T051830334347Z</x:v>
      </x:c>
      <x:c r="B6" s="47" t="str">
        <x:v>TRF-101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5ed29d3575ad2cd133608c0137c07c57afdf09e5e598812e5aa6470019aa1f4d</x:v>
      </x:c>
      <x:c r="G6" s="59" t="n">
        <x:v>4749</x:v>
      </x:c>
    </x:row>
    <x:row r="7">
      <x:c r="A7" s="47" t="str">
        <x:v>RUN-TRF-101-20260821T051830334347Z</x:v>
      </x:c>
      <x:c r="B7" s="47" t="str">
        <x:v>TRF-101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e5edad53928ef45ee9568b8ce1444777b1b261424e0244665ab97df75bc68e64</x:v>
      </x:c>
      <x:c r="G7" s="59" t="n">
        <x:v>44992</x:v>
      </x:c>
    </x:row>
    <x:row r="8">
      <x:c r="A8" s="47" t="str">
        <x:v>RUN-TRF-101-20260821T051830334347Z</x:v>
      </x:c>
      <x:c r="B8" s="47" t="str">
        <x:v>TRF-101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acbf05631d46540f506990885fe0cc17600e422e705df8a6108ff5c0da25bac7</x:v>
      </x:c>
      <x:c r="G8" s="59" t="n">
        <x:v>8531</x:v>
      </x:c>
    </x:row>
    <x:row r="9">
      <x:c r="A9" s="47" t="str">
        <x:v>RUN-TRF-101-20260821T051830334347Z</x:v>
      </x:c>
      <x:c r="B9" s="47" t="str">
        <x:v>TRF-101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fcede4df99b1cbb75a8e1c91d1f697abef8c192776c423dd99cb580731b09be1</x:v>
      </x:c>
      <x:c r="G9" s="59" t="n">
        <x:v>8506</x:v>
      </x:c>
    </x:row>
    <x:row r="10">
      <x:c r="A10" s="47" t="str">
        <x:v>RUN-TRF-101-20260821T051830334347Z</x:v>
      </x:c>
      <x:c r="B10" s="47" t="str">
        <x:v>TRF-101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9432471ec24e196c9ef0cc4780cb19b5cca4140d6df4b4a49aff3e0e9b84e5c6</x:v>
      </x:c>
      <x:c r="G10" s="59" t="n">
        <x:v>1397</x:v>
      </x:c>
    </x:row>
    <x:row r="11">
      <x:c r="A11" s="47" t="str">
        <x:v>RUN-TRF-101-20260821T051830334347Z</x:v>
      </x:c>
      <x:c r="B11" s="47" t="str">
        <x:v>TRF-101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71166021d07606ad318b136379e1c9df5c9f73b6e411d2924dce5cd331a816d2</x:v>
      </x:c>
      <x:c r="G11" s="59" t="n">
        <x:v>51846</x:v>
      </x:c>
    </x:row>
    <x:row r="12">
      <x:c r="A12" s="47" t="str">
        <x:v>RUN-TRF-101-20260821T051830334347Z</x:v>
      </x:c>
      <x:c r="B12" s="47" t="str">
        <x:v>TRF-101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14d951c29d35e14266c21ad20f4d60b00f21f8193e4d7ca1673b5036e735436d</x:v>
      </x:c>
      <x:c r="G12" s="59" t="n">
        <x:v>670</x:v>
      </x:c>
    </x:row>
    <x:row r="13">
      <x:c r="A13" s="47" t="str">
        <x:v>RUN-TRF-101-20260821T051830334347Z</x:v>
      </x:c>
      <x:c r="B13" s="47" t="str">
        <x:v>TRF-101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ca840cbf028c167150cd06a9178a657a753fe12387a72193fd2ca94474b206c3</x:v>
      </x:c>
      <x:c r="G13" s="59" t="n">
        <x:v>45597</x:v>
      </x:c>
    </x:row>
    <x:row r="14">
      <x:c r="A14" s="47" t="str">
        <x:v>RUN-TRF-101-20260821T051830334347Z</x:v>
      </x:c>
      <x:c r="B14" s="47" t="str">
        <x:v>TRF-101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97c4406f917baec1a54267def7e99bbe4a6f11719548a5a4809e599595307b46</x:v>
      </x:c>
      <x:c r="G14" s="59" t="n">
        <x:v>9438</x:v>
      </x:c>
    </x:row>
    <x:row r="15">
      <x:c r="A15" s="47" t="str">
        <x:v>RUN-TRF-101-20260821T051830334347Z</x:v>
      </x:c>
      <x:c r="B15" s="47" t="str">
        <x:v>TRF-101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ed7270f8c6107a873aedfb5a1e1aa1b7a395217787b7ca03f0bdbeb193488e9a</x:v>
      </x:c>
      <x:c r="G15" s="59" t="n">
        <x:v>9413</x:v>
      </x:c>
    </x:row>
    <x:row r="16">
      <x:c r="A16" s="47" t="str">
        <x:v>RUN-TRF-101-20260821T051830334347Z</x:v>
      </x:c>
      <x:c r="B16" s="47" t="str">
        <x:v>TRF-101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9432471ec24e196c9ef0cc4780cb19b5cca4140d6df4b4a49aff3e0e9b84e5c6</x:v>
      </x:c>
      <x:c r="G16" s="59" t="n">
        <x:v>1397</x:v>
      </x:c>
    </x:row>
    <x:row r="17">
      <x:c r="A17" s="47" t="str">
        <x:v>RUN-TRF-101-20260821T051830334347Z</x:v>
      </x:c>
      <x:c r="B17" s="47" t="str">
        <x:v>TRF-101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705b7f38437245c0bd867854c073c74340b9c7cf18dafe404f639d16a4a27e59</x:v>
      </x:c>
      <x:c r="G17" s="59" t="n">
        <x:v>53388</x:v>
      </x:c>
    </x:row>
    <x:row r="18">
      <x:c r="A18" s="47" t="str">
        <x:v>RUN-TRF-101-20260821T051830334347Z</x:v>
      </x:c>
      <x:c r="B18" s="47" t="str">
        <x:v>TRF-101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66f88f0e127933b3b7500ee4ce237549798ab1bd7a8f4b70fe162a2cdbba189f</x:v>
      </x:c>
      <x:c r="G18" s="59" t="n">
        <x:v>291</x:v>
      </x:c>
    </x:row>
    <x:row r="19">
      <x:c r="A19" s="49" t="str">
        <x:v>RUN-TRF-101-20260821T051830334347Z</x:v>
      </x:c>
      <x:c r="B19" s="49" t="str">
        <x:v>TRF-101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ed7270f8c6107a873aedfb5a1e1aa1b7a395217787b7ca03f0bdbeb193488e9a</x:v>
      </x:c>
      <x:c r="G19" s="60" t="n">
        <x:v>9413</x:v>
      </x:c>
    </x:row>
  </x:sheetData>
  <x:pageMargins left="0.7" right="0.7" top="0.75" bottom="0.75" header="0.3" footer="0.3"/>
  <x:tableParts count="1">
    <x:tablePart xmlns:r="http://schemas.openxmlformats.org/officeDocument/2006/relationships" r:id="R191d887e13094be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RUN-TRF-101-20260821T051830334347Z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RUN-TRF-101-20260821T051830334347Z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RUN-TRF-101-20260821T051830334347Z</x:v>
      </x:c>
      <x:c r="B5" s="69" t="str">
        <x:v>TRF-101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ab2b7658aa245a8"/>
  </x:tableParts>
</x:worksheet>
</file>