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a4a86a3d304e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a04451b8d04d76"/>
    <x:sheet xmlns:r="http://schemas.openxmlformats.org/officeDocument/2006/relationships" name="README" sheetId="2" r:id="Rdd030183e2224062"/>
    <x:sheet xmlns:r="http://schemas.openxmlformats.org/officeDocument/2006/relationships" name="REGULATION_QUEUE" sheetId="3" r:id="Rea3f04cef3ce4b75"/>
    <x:sheet xmlns:r="http://schemas.openxmlformats.org/officeDocument/2006/relationships" name="RUNS" sheetId="4" r:id="R5e9c4dd294424b8d"/>
    <x:sheet xmlns:r="http://schemas.openxmlformats.org/officeDocument/2006/relationships" name="ITERATIONS" sheetId="5" r:id="R8d2d6d1e2ae14b8d"/>
    <x:sheet xmlns:r="http://schemas.openxmlformats.org/officeDocument/2006/relationships" name="API_CALLS" sheetId="6" r:id="Rb756433fc8da477f"/>
    <x:sheet xmlns:r="http://schemas.openxmlformats.org/officeDocument/2006/relationships" name="TERM_RETRIEVAL" sheetId="7" r:id="Rdb1510dd3b6f4013"/>
    <x:sheet xmlns:r="http://schemas.openxmlformats.org/officeDocument/2006/relationships" name="FEW_SHOT_SELECTION" sheetId="8" r:id="R569b55c409364b70"/>
    <x:sheet xmlns:r="http://schemas.openxmlformats.org/officeDocument/2006/relationships" name="VALIDATION" sheetId="9" r:id="Rf5491b5a4c814193"/>
    <x:sheet xmlns:r="http://schemas.openxmlformats.org/officeDocument/2006/relationships" name="VOCAB_MATCHES" sheetId="10" r:id="R3524f4befd7543cd"/>
    <x:sheet xmlns:r="http://schemas.openxmlformats.org/officeDocument/2006/relationships" name="ARTIFACTS" sheetId="11" r:id="Rc15de15c67434e9e"/>
    <x:sheet xmlns:r="http://schemas.openxmlformats.org/officeDocument/2006/relationships" name="UNRESOLVED" sheetId="12" r:id="R0e60562698994696"/>
    <x:sheet xmlns:r="http://schemas.openxmlformats.org/officeDocument/2006/relationships" name="RDF_TEST_QUEUE" sheetId="13" r:id="Ra3598b732b4b47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0011dcefed4eda" /><Relationship Type="http://schemas.openxmlformats.org/officeDocument/2006/relationships/theme" Target="/xl/theme/theme1.xml" Id="Rc4a0450c6a2345a4" /><Relationship Type="http://schemas.microsoft.com/office/2022/11/relationships/FeaturePropertyBag" Target="/xl/featurePropertyBag/featurePropertyBag.xml" Id="Rbc15c0af48ba4201" /><Relationship Type="http://schemas.openxmlformats.org/officeDocument/2006/relationships/sharedStrings" Target="/xl/sharedStrings.xml" Id="R85d0cefe8e8f4e97" /><Relationship Type="http://schemas.openxmlformats.org/officeDocument/2006/relationships/worksheet" Target="/xl/worksheets/sheet1.xml" Id="R05a04451b8d04d76" /><Relationship Type="http://schemas.openxmlformats.org/officeDocument/2006/relationships/worksheet" Target="/xl/worksheets/sheet2.xml" Id="Rdd030183e2224062" /><Relationship Type="http://schemas.openxmlformats.org/officeDocument/2006/relationships/worksheet" Target="/xl/worksheets/sheet3.xml" Id="Rea3f04cef3ce4b75" /><Relationship Type="http://schemas.openxmlformats.org/officeDocument/2006/relationships/worksheet" Target="/xl/worksheets/sheet4.xml" Id="R5e9c4dd294424b8d" /><Relationship Type="http://schemas.openxmlformats.org/officeDocument/2006/relationships/worksheet" Target="/xl/worksheets/sheet5.xml" Id="R8d2d6d1e2ae14b8d" /><Relationship Type="http://schemas.openxmlformats.org/officeDocument/2006/relationships/worksheet" Target="/xl/worksheets/sheet6.xml" Id="Rb756433fc8da477f" /><Relationship Type="http://schemas.openxmlformats.org/officeDocument/2006/relationships/worksheet" Target="/xl/worksheets/sheet7.xml" Id="Rdb1510dd3b6f4013" /><Relationship Type="http://schemas.openxmlformats.org/officeDocument/2006/relationships/worksheet" Target="/xl/worksheets/sheet8.xml" Id="R569b55c409364b70" /><Relationship Type="http://schemas.openxmlformats.org/officeDocument/2006/relationships/worksheet" Target="/xl/worksheets/sheet9.xml" Id="Rf5491b5a4c814193" /><Relationship Type="http://schemas.openxmlformats.org/officeDocument/2006/relationships/worksheet" Target="/xl/worksheets/sheet10.xml" Id="R3524f4befd7543cd" /><Relationship Type="http://schemas.openxmlformats.org/officeDocument/2006/relationships/worksheet" Target="/xl/worksheets/sheet11.xml" Id="Rc15de15c67434e9e" /><Relationship Type="http://schemas.openxmlformats.org/officeDocument/2006/relationships/worksheet" Target="/xl/worksheets/sheet12.xml" Id="R0e60562698994696" /><Relationship Type="http://schemas.openxmlformats.org/officeDocument/2006/relationships/worksheet" Target="/xl/worksheets/sheet13.xml" Id="Ra3598b732b4b472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af9dc67f5f484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c531abe07a4d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b08ca927034d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ee9ca1ed3843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0385bcebdc410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57cec684cd40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2a2fcfef4e47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d943a401a184a8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76bfdaa574e41a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11568a02f504d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RUN-TRF-112-20260821T052825277633Z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20176.337833333335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RUN-TRF-112-20260821T052825277633Z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4af9dc67f5f484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RUN-TRF-112-20260821T052825277633Z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GENERATION_ACCEPTED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c531abe07a4d1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RUN-TRF-112-20260821T052825277633Z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RUN-TRF-112-20260821T052825277633Z</x:v>
      </x:c>
      <x:c r="C5" s="69" t="str">
        <x:v>TRF-112</x:v>
      </x:c>
      <x:c r="D5" s="70" t="n">
        <x:v>46255.22807037037</x:v>
      </x:c>
      <x:c r="E5" s="70" t="n">
        <x:v>46255.22947612269</x:v>
      </x:c>
      <x:c r="F5" s="69" t="str">
        <x:v>1.7.2-development-r10-sol-full269-max7-01</x:v>
      </x:c>
      <x:c r="G5" s="69" t="str">
        <x:v>VOCAB-LOCK-2026-08-20-R10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preserves the corrected qualified blade-failure load-case selection and universal component checks without inventing component existence.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b08ca927034d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RUN-TRF-112-20260821T052825277633Z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RUN-TRF-112-20260821T052825277633Z</x:v>
      </x:c>
      <x:c r="B5" s="45" t="str">
        <x:v>TRF-112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blade-failure load-case selection: the current sh:node constraint makes every nltl:hasPropulsionLoadCase value a blade-failure case with these operands. Replace it with a qualified-value constraint whose sh:qualifiedValueShape contains the loadCase class, shaftLineLoadCaseType = bladeFailureLoadCase, bladeFailureUltimateLoad, and combinedAxialBendingTorsionLoad checks, with sh:qualifiedMinCount 1. This requires at least one qualifying blade-failure case without incorrectly rejecting other propulsion load-case types.</x:v>
      </x:c>
      <x:c r="I5" s="84" t="n">
        <x:v>29569.94</x:v>
      </x:c>
      <x:c r="J5" s="84" t="n">
        <x:v>17278.296</x:v>
      </x:c>
    </x:row>
    <x:row r="6">
      <x:c r="A6" s="47" t="str">
        <x:v>RUN-TRF-112-20260821T052825277633Z</x:v>
      </x:c>
      <x:c r="B6" s="47" t="str">
        <x:v>TRF-112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corrected qualified blade-failure load-case constraint. Remove sh:minCount 1 from the nltl:hasPropellerShaftLineComponent property shape and revise its message: the source imposes the yield-factor rule on applicable shaft-line components but does not independently require that at least one such component exist. Keep sh:node gen:TRF112PropellerShaftLineComponentShape so every existing linked component is checked.</x:v>
      </x:c>
      <x:c r="I6" s="86" t="n">
        <x:v>28158.113</x:v>
      </x:c>
      <x:c r="J6" s="86" t="n">
        <x:v>9397.931</x:v>
      </x:c>
    </x:row>
    <x:row r="7">
      <x:c r="A7" s="49" t="str">
        <x:v>RUN-TRF-112-20260821T052825277633Z</x:v>
      </x:c>
      <x:c r="B7" s="49" t="str">
        <x:v>TRF-112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is semantically faithful and preserves the corrected qualified blade-failure load-case selection and universal component checks without inventing component existence.</x:v>
      </x:c>
      <x:c r="I7" s="88" t="n">
        <x:v>26601.266</x:v>
      </x:c>
      <x:c r="J7" s="88" t="n">
        <x:v>10056.402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ee9ca1ed3843b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RUN-TRF-112-20260821T052825277633Z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RUN-TRF-112-20260821T052825277633Z</x:v>
      </x:c>
      <x:c r="C5" s="45" t="str">
        <x:v>TRF-112</x:v>
      </x:c>
      <x:c r="D5" s="92" t="n">
        <x:v>46255.228412627315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29568.34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RUN-TRF-112-20260821T052825277633Z</x:v>
      </x:c>
      <x:c r="C6" s="47" t="str">
        <x:v>TRF-112</x:v>
      </x:c>
      <x:c r="D6" s="93" t="n">
        <x:v>46255.22841265046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29569.94</x:v>
      </x:c>
      <x:c r="L6" s="85" t="b">
        <x:v>0</x:v>
      </x:c>
      <x:c r="M6" s="47" t="str">
        <x:v>resp_0727c7ee9e4e81a7006a87e1f975a48197b5dfc7b5bda4acc2</x:v>
      </x:c>
      <x:c r="N6" s="59" t="n">
        <x:v>11785</x:v>
      </x:c>
      <x:c r="O6" s="59" t="n">
        <x:v>2362</x:v>
      </x:c>
      <x:c r="P6" s="59" t="n">
        <x:v>14147</x:v>
      </x:c>
    </x:row>
    <x:row r="7">
      <x:c r="A7" s="47" t="str">
        <x:v>EVT-000038</x:v>
      </x:c>
      <x:c r="B7" s="47" t="str">
        <x:v>RUN-TRF-112-20260821T052825277633Z</x:v>
      </x:c>
      <x:c r="C7" s="47" t="str">
        <x:v>TRF-112</x:v>
      </x:c>
      <x:c r="D7" s="93" t="n">
        <x:v>46255.228614085645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17277.074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RUN-TRF-112-20260821T052825277633Z</x:v>
      </x:c>
      <x:c r="C8" s="47" t="str">
        <x:v>TRF-112</x:v>
      </x:c>
      <x:c r="D8" s="93" t="n">
        <x:v>46255.22861409722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17278.296</x:v>
      </x:c>
      <x:c r="L8" s="85" t="b">
        <x:v>0</x:v>
      </x:c>
      <x:c r="M8" s="47" t="str">
        <x:v>resp_03cf5b7cd6fb263f006a87e21725a881979e9671f865ba6bb6</x:v>
      </x:c>
      <x:c r="N8" s="59" t="n">
        <x:v>11427</x:v>
      </x:c>
      <x:c r="O8" s="59" t="n">
        <x:v>1106</x:v>
      </x:c>
      <x:c r="P8" s="59" t="n">
        <x:v>12533</x:v>
      </x:c>
    </x:row>
    <x:row r="9">
      <x:c r="A9" s="47" t="str">
        <x:v>EVT-000044</x:v>
      </x:c>
      <x:c r="B9" s="47" t="str">
        <x:v>RUN-TRF-112-20260821T052825277633Z</x:v>
      </x:c>
      <x:c r="C9" s="47" t="str">
        <x:v>TRF-112</x:v>
      </x:c>
      <x:c r="D9" s="93" t="n">
        <x:v>46255.228940023146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28156.963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RUN-TRF-112-20260821T052825277633Z</x:v>
      </x:c>
      <x:c r="C10" s="47" t="str">
        <x:v>TRF-112</x:v>
      </x:c>
      <x:c r="D10" s="93" t="n">
        <x:v>46255.22894003472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28158.113</x:v>
      </x:c>
      <x:c r="L10" s="85" t="b">
        <x:v>0</x:v>
      </x:c>
      <x:c r="M10" s="47" t="str">
        <x:v>resp_01ad8421e17cd8e4006a87e2286b288195a816151f7404c308</x:v>
      </x:c>
      <x:c r="N10" s="59" t="n">
        <x:v>11896</x:v>
      </x:c>
      <x:c r="O10" s="59" t="n">
        <x:v>2283</x:v>
      </x:c>
      <x:c r="P10" s="59" t="n">
        <x:v>14179</x:v>
      </x:c>
    </x:row>
    <x:row r="11">
      <x:c r="A11" s="47" t="str">
        <x:v>EVT-000052</x:v>
      </x:c>
      <x:c r="B11" s="47" t="str">
        <x:v>RUN-TRF-112-20260821T052825277633Z</x:v>
      </x:c>
      <x:c r="C11" s="47" t="str">
        <x:v>TRF-112</x:v>
      </x:c>
      <x:c r="D11" s="93" t="n">
        <x:v>46255.229050243055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9396.486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RUN-TRF-112-20260821T052825277633Z</x:v>
      </x:c>
      <x:c r="C12" s="47" t="str">
        <x:v>TRF-112</x:v>
      </x:c>
      <x:c r="D12" s="93" t="n">
        <x:v>46255.22905025463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9397.931</x:v>
      </x:c>
      <x:c r="L12" s="85" t="b">
        <x:v>0</x:v>
      </x:c>
      <x:c r="M12" s="47" t="str">
        <x:v>resp_08c15d607dd31ac6006a87e244badc8197be5e5e41be7dc902</x:v>
      </x:c>
      <x:c r="N12" s="59" t="n">
        <x:v>11483</x:v>
      </x:c>
      <x:c r="O12" s="59" t="n">
        <x:v>578</x:v>
      </x:c>
      <x:c r="P12" s="59" t="n">
        <x:v>12061</x:v>
      </x:c>
    </x:row>
    <x:row r="13">
      <x:c r="A13" s="47" t="str">
        <x:v>EVT-000058</x:v>
      </x:c>
      <x:c r="B13" s="47" t="str">
        <x:v>RUN-TRF-112-20260821T052825277633Z</x:v>
      </x:c>
      <x:c r="C13" s="47" t="str">
        <x:v>TRF-112</x:v>
      </x:c>
      <x:c r="D13" s="93" t="n">
        <x:v>46255.22935819445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26600.216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EVT-000059</x:v>
      </x:c>
      <x:c r="B14" s="47" t="str">
        <x:v>RUN-TRF-112-20260821T052825277633Z</x:v>
      </x:c>
      <x:c r="C14" s="47" t="str">
        <x:v>TRF-112</x:v>
      </x:c>
      <x:c r="D14" s="93" t="n">
        <x:v>46255.229358206016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26601.266</x:v>
      </x:c>
      <x:c r="L14" s="85" t="b">
        <x:v>0</x:v>
      </x:c>
      <x:c r="M14" s="47" t="str">
        <x:v>resp_0a8d7e4ec563d56a006a87e24e24ec8194ba4286a2e59f3daf</x:v>
      </x:c>
      <x:c r="N14" s="59" t="n">
        <x:v>11987</x:v>
      </x:c>
      <x:c r="O14" s="59" t="n">
        <x:v>2096</x:v>
      </x:c>
      <x:c r="P14" s="59" t="n">
        <x:v>14083</x:v>
      </x:c>
    </x:row>
    <x:row r="15">
      <x:c r="A15" s="47" t="str">
        <x:v>EVT-000066</x:v>
      </x:c>
      <x:c r="B15" s="47" t="str">
        <x:v>RUN-TRF-112-20260821T052825277633Z</x:v>
      </x:c>
      <x:c r="C15" s="47" t="str">
        <x:v>TRF-112</x:v>
      </x:c>
      <x:c r="D15" s="93" t="n">
        <x:v>46255.22947605324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10055.027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EVT-000067</x:v>
      </x:c>
      <x:c r="B16" s="49" t="str">
        <x:v>RUN-TRF-112-20260821T052825277633Z</x:v>
      </x:c>
      <x:c r="C16" s="49" t="str">
        <x:v>TRF-112</x:v>
      </x:c>
      <x:c r="D16" s="94" t="n">
        <x:v>46255.229476064815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10056.402</x:v>
      </x:c>
      <x:c r="L16" s="87" t="b">
        <x:v>0</x:v>
      </x:c>
      <x:c r="M16" s="49" t="str">
        <x:v>resp_0984045ea72c7be9006a87e269d76081939980087ee10bd46c</x:v>
      </x:c>
      <x:c r="N16" s="60" t="n">
        <x:v>11488</x:v>
      </x:c>
      <x:c r="O16" s="60" t="n">
        <x:v>563</x:v>
      </x:c>
      <x:c r="P16" s="60" t="n">
        <x:v>12051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0385bcebdc410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RUN-TRF-112-20260821T052825277633Z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RUN-TRF-112-20260821T052825277633Z</x:v>
      </x:c>
      <x:c r="B5" s="45" t="str">
        <x:v>TRF-112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bladeFailureUltimateLoad; domain dependency of combinedAxialBendingTorsionLoad; domain dependency of yieldSafetyFactor; range dependency of shaftLineLoadCaseTypeValue</x:v>
      </x:c>
      <x:c r="J5" s="45" t="n">
        <x:v>0</x:v>
      </x:c>
    </x:row>
    <x:row r="6">
      <x:c r="A6" s="47" t="str">
        <x:v>RUN-TRF-112-20260821T052825277633Z</x:v>
      </x:c>
      <x:c r="B6" s="47" t="str">
        <x:v>TRF-112</x:v>
      </x:c>
      <x:c r="C6" s="47" t="str">
        <x:v>bendingYieldSafetyFactor</x:v>
      </x:c>
      <x:c r="D6" s="48" t="str">
        <x:v>https://w3id.org/nltl/vocab#bendingYieldSafetyFactor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RUN-TRF-112-20260821T052825277633Z</x:v>
      </x:c>
      <x:c r="B7" s="47" t="str">
        <x:v>TRF-112</x:v>
      </x:c>
      <x:c r="C7" s="47" t="str">
        <x:v>bladeFailureLoadCase</x:v>
      </x:c>
      <x:c r="D7" s="48" t="str">
        <x:v>https://w3id.org/nltl/vocab#bladeFailureLoadCase</x:v>
      </x:c>
      <x:c r="E7" s="47" t="str">
        <x:v>NamedIndividual</x:v>
      </x:c>
      <x:c r="F7" s="47" t="str"/>
      <x:c r="G7" s="47" t="str">
        <x:v>https://w3id.org/nltl/vocab#shaftLineLoadCaseTypeValue</x:v>
      </x:c>
      <x:c r="H7" s="47" t="str"/>
      <x:c r="I7" s="48" t="str">
        <x:v>controlled value permitted by the range of bladeFailureLoadCase; controlled value permitted by the range of shaftLineLoadCaseType; linked by the locked 313-requirement index</x:v>
      </x:c>
      <x:c r="J7" s="47" t="n">
        <x:v>0</x:v>
      </x:c>
    </x:row>
    <x:row r="8">
      <x:c r="A8" s="47" t="str">
        <x:v>RUN-TRF-112-20260821T052825277633Z</x:v>
      </x:c>
      <x:c r="B8" s="47" t="str">
        <x:v>TRF-112</x:v>
      </x:c>
      <x:c r="C8" s="47" t="str">
        <x:v>bladeFailureUltimateLoad</x:v>
      </x:c>
      <x:c r="D8" s="48" t="str">
        <x:v>https://w3id.org/nltl/vocab#bladeFailureUltimateLoad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RUN-TRF-112-20260821T052825277633Z</x:v>
      </x:c>
      <x:c r="B9" s="47" t="str">
        <x:v>TRF-112</x:v>
      </x:c>
      <x:c r="C9" s="47" t="str">
        <x:v>combinedAxialBendingTorsionLoad</x:v>
      </x:c>
      <x:c r="D9" s="48" t="str">
        <x:v>https://w3id.org/nltl/vocab#combinedAxialBendingTorsionLoad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RUN-TRF-112-20260821T052825277633Z</x:v>
      </x:c>
      <x:c r="B10" s="47" t="str">
        <x:v>TRF-112</x:v>
      </x:c>
      <x:c r="C10" s="47" t="str">
        <x:v>componentYieldSafetyFactor</x:v>
      </x:c>
      <x:c r="D10" s="48" t="str">
        <x:v>https://w3id.org/nltl/vocab#componentYieldSafetyFactor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RUN-TRF-112-20260821T052825277633Z</x:v>
      </x:c>
      <x:c r="B11" s="47" t="str">
        <x:v>TRF-112</x:v>
      </x:c>
      <x:c r="C11" s="47" t="str">
        <x:v>extremeOperationalLoadCase</x:v>
      </x:c>
      <x:c r="D11" s="48" t="str">
        <x:v>https://w3id.org/nltl/vocab#extremeOperationalLoadCase</x:v>
      </x:c>
      <x:c r="E11" s="47" t="str">
        <x:v>NamedIndividual</x:v>
      </x:c>
      <x:c r="F11" s="47" t="str"/>
      <x:c r="G11" s="47" t="str">
        <x:v>https://w3id.org/nltl/vocab#shaftLineLoadCaseTypeValue</x:v>
      </x:c>
      <x:c r="H11" s="47" t="str"/>
      <x:c r="I11" s="48" t="str">
        <x:v>controlled value permitted by the range of bladeFailureLoadCase; controlled value permitted by the range of shaftLineLoadCaseType</x:v>
      </x:c>
      <x:c r="J11" s="47" t="n">
        <x:v>0</x:v>
      </x:c>
    </x:row>
    <x:row r="12">
      <x:c r="A12" s="47" t="str">
        <x:v>RUN-TRF-112-20260821T052825277633Z</x:v>
      </x:c>
      <x:c r="B12" s="47" t="str">
        <x:v>TRF-112</x:v>
      </x:c>
      <x:c r="C12" s="47" t="str">
        <x:v>fatigueLoadCase</x:v>
      </x:c>
      <x:c r="D12" s="48" t="str">
        <x:v>https://w3id.org/nltl/vocab#fatigueLoadCase</x:v>
      </x:c>
      <x:c r="E12" s="47" t="str">
        <x:v>NamedIndividual</x:v>
      </x:c>
      <x:c r="F12" s="47" t="str"/>
      <x:c r="G12" s="47" t="str">
        <x:v>https://w3id.org/nltl/vocab#shaftLineLoadCaseTypeValue</x:v>
      </x:c>
      <x:c r="H12" s="47" t="str"/>
      <x:c r="I12" s="48" t="str">
        <x:v>controlled value permitted by the range of bladeFailureLoadCase; controlled value permitted by the range of shaftLineLoadCaseType</x:v>
      </x:c>
      <x:c r="J12" s="47" t="n">
        <x:v>0</x:v>
      </x:c>
    </x:row>
    <x:row r="13">
      <x:c r="A13" s="47" t="str">
        <x:v>RUN-TRF-112-20260821T052825277633Z</x:v>
      </x:c>
      <x:c r="B13" s="47" t="str">
        <x:v>TRF-112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RUN-TRF-112-20260821T052825277633Z</x:v>
      </x:c>
      <x:c r="B14" s="47" t="str">
        <x:v>TRF-112</x:v>
      </x:c>
      <x:c r="C14" s="47" t="str">
        <x:v>hasLoadCase</x:v>
      </x:c>
      <x:c r="D14" s="48" t="str">
        <x:v>https://w3id.org/nltl/vocab#hasLoadCase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RUN-TRF-112-20260821T052825277633Z</x:v>
      </x:c>
      <x:c r="B15" s="47" t="str">
        <x:v>TRF-112</x:v>
      </x:c>
      <x:c r="C15" s="47" t="str">
        <x:v>hasPropellerShaftLineComponent</x:v>
      </x:c>
      <x:c r="D15" s="48" t="str">
        <x:v>https://w3id.org/nltl/vocab#hasPropellerShaftLineComponent</x:v>
      </x:c>
      <x:c r="E15" s="47" t="str">
        <x:v>ObjectProperty</x:v>
      </x:c>
      <x:c r="F15" s="47" t="str"/>
      <x:c r="G15" s="47" t="str">
        <x:v>https://w3id.org/nltl/vocab#propellerShaftLineComponent</x:v>
      </x:c>
      <x:c r="H15" s="47" t="str"/>
      <x:c r="I15" s="48" t="str">
        <x:v>canonical path from target owner ship to required owner propellerShaftLineComponent; linked by the locked 313-requirement index</x:v>
      </x:c>
      <x:c r="J15" s="47" t="n">
        <x:v>0</x:v>
      </x:c>
    </x:row>
    <x:row r="16">
      <x:c r="A16" s="47" t="str">
        <x:v>RUN-TRF-112-20260821T052825277633Z</x:v>
      </x:c>
      <x:c r="B16" s="47" t="str">
        <x:v>TRF-112</x:v>
      </x:c>
      <x:c r="C16" s="47" t="str">
        <x:v>hasPropulsionLoadCase</x:v>
      </x:c>
      <x:c r="D16" s="48" t="str">
        <x:v>https://w3id.org/nltl/vocab#hasPropulsionLoadCase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canonical path from target owner ship to required owner loadCase; linked by the locked 313-requirement index</x:v>
      </x:c>
      <x:c r="J16" s="47" t="n">
        <x:v>0</x:v>
      </x:c>
    </x:row>
    <x:row r="17">
      <x:c r="A17" s="47" t="str">
        <x:v>RUN-TRF-112-20260821T052825277633Z</x:v>
      </x:c>
      <x:c r="B17" s="47" t="str">
        <x:v>TRF-112</x:v>
      </x:c>
      <x:c r="C17" s="47" t="str">
        <x:v>loadCase</x:v>
      </x:c>
      <x:c r="D17" s="48" t="str">
        <x:v>https://w3id.org/nltl/vocab#loadCase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componentYieldSafetyFactor; domain dependency of shaftLineLoadCaseType; range dependency of hasPropulsionLoadCase</x:v>
      </x:c>
      <x:c r="J17" s="47" t="n">
        <x:v>0</x:v>
      </x:c>
    </x:row>
    <x:row r="18">
      <x:c r="A18" s="47" t="str">
        <x:v>RUN-TRF-112-20260821T052825277633Z</x:v>
      </x:c>
      <x:c r="B18" s="47" t="str">
        <x:v>TRF-112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propellerShaftLineComponent; range dependency of shaftComponent</x:v>
      </x:c>
      <x:c r="J18" s="47" t="n">
        <x:v>0</x:v>
      </x:c>
    </x:row>
    <x:row r="19">
      <x:c r="A19" s="47" t="str">
        <x:v>RUN-TRF-112-20260821T052825277633Z</x:v>
      </x:c>
      <x:c r="B19" s="47" t="str">
        <x:v>TRF-112</x:v>
      </x:c>
      <x:c r="C19" s="47" t="str">
        <x:v>propellerShaftLineComponent</x:v>
      </x:c>
      <x:c r="D19" s="48" t="str">
        <x:v>https://w3id.org/nltl/vocab#propellerShaftLineComponent</x:v>
      </x:c>
      <x:c r="E19" s="47" t="str">
        <x:v>Class</x:v>
      </x:c>
      <x:c r="F19" s="47" t="str"/>
      <x:c r="G19" s="47" t="str">
        <x:v>https://w3id.org/nltl/vocab#machineryComponent</x:v>
      </x:c>
      <x:c r="H19" s="47" t="str"/>
      <x:c r="I19" s="48" t="str">
        <x:v>authoritative required owner class; linked by the locked 313-requirement index; range dependency of hasPropellerShaftLineComponent</x:v>
      </x:c>
      <x:c r="J19" s="47" t="n">
        <x:v>0</x:v>
      </x:c>
    </x:row>
    <x:row r="20">
      <x:c r="A20" s="47" t="str">
        <x:v>RUN-TRF-112-20260821T052825277633Z</x:v>
      </x:c>
      <x:c r="B20" s="47" t="str">
        <x:v>TRF-112</x:v>
      </x:c>
      <x:c r="C20" s="47" t="str">
        <x:v>shaftComponent</x:v>
      </x:c>
      <x:c r="D20" s="48" t="str">
        <x:v>https://w3id.org/nltl/vocab#shaftComponent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RUN-TRF-112-20260821T052825277633Z</x:v>
      </x:c>
      <x:c r="B21" s="47" t="str">
        <x:v>TRF-112</x:v>
      </x:c>
      <x:c r="C21" s="47" t="str">
        <x:v>shaftLineLoadCaseType</x:v>
      </x:c>
      <x:c r="D21" s="48" t="str">
        <x:v>https://w3id.org/nltl/vocab#shaftLineLoadCaseType</x:v>
      </x:c>
      <x:c r="E21" s="47" t="str">
        <x:v>ObjectProperty</x:v>
      </x:c>
      <x:c r="F21" s="47" t="str"/>
      <x:c r="G21" s="47" t="str">
        <x:v>https://w3id.org/nltl/vocab#shaftLineLoadCaseTypeValue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RUN-TRF-112-20260821T052825277633Z</x:v>
      </x:c>
      <x:c r="B22" s="47" t="str">
        <x:v>TRF-112</x:v>
      </x:c>
      <x:c r="C22" s="47" t="str">
        <x:v>shaftLineLoadCaseTypeValue</x:v>
      </x:c>
      <x:c r="D22" s="48" t="str">
        <x:v>https://w3id.org/nltl/vocab#shaftLineLoadCaseTypeValue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linked by the locked 313-requirement index; range dependency of bladeFailureLoadCase; range dependency of shaftLineLoadCaseType</x:v>
      </x:c>
      <x:c r="J22" s="47" t="n">
        <x:v>0</x:v>
      </x:c>
    </x:row>
    <x:row r="23">
      <x:c r="A23" s="47" t="str">
        <x:v>RUN-TRF-112-20260821T052825277633Z</x:v>
      </x:c>
      <x:c r="B23" s="47" t="str">
        <x:v>TRF-112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hasPropellerShaftLineComponent; domain dependency of hasPropulsionLoadCase</x:v>
      </x:c>
      <x:c r="J23" s="47" t="n">
        <x:v>0</x:v>
      </x:c>
    </x:row>
    <x:row r="24">
      <x:c r="A24" s="47" t="str">
        <x:v>RUN-TRF-112-20260821T052825277633Z</x:v>
      </x:c>
      <x:c r="B24" s="47" t="str">
        <x:v>TRF-112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module; domain dependency of bendingYieldSafetyFactor; domain dependency of torsionalYieldSafetyFactor</x:v>
      </x:c>
      <x:c r="J24" s="47" t="n">
        <x:v>0</x:v>
      </x:c>
    </x:row>
    <x:row r="25">
      <x:c r="A25" s="47" t="str">
        <x:v>RUN-TRF-112-20260821T052825277633Z</x:v>
      </x:c>
      <x:c r="B25" s="47" t="str">
        <x:v>TRF-112</x:v>
      </x:c>
      <x:c r="C25" s="47" t="str">
        <x:v>torsionalYieldSafetyFactor</x:v>
      </x:c>
      <x:c r="D25" s="48" t="str">
        <x:v>https://w3id.org/nltl/vocab#torsionalYieldSafetyFactor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RUN-TRF-112-20260821T052825277633Z</x:v>
      </x:c>
      <x:c r="B26" s="49" t="str">
        <x:v>TRF-112</x:v>
      </x:c>
      <x:c r="C26" s="49" t="str">
        <x:v>yieldSafetyFactor</x:v>
      </x:c>
      <x:c r="D26" s="50" t="str">
        <x:v>https://w3id.org/nltl/vocab#yieldSafetyFactor</x:v>
      </x:c>
      <x:c r="E26" s="49" t="str">
        <x:v>QuantityProperty</x:v>
      </x:c>
      <x:c r="F26" s="49" t="str"/>
      <x:c r="G26" s="49" t="str">
        <x:v>http://qudt.org/schema/qudt/QuantityValue</x:v>
      </x:c>
      <x:c r="H26" s="49" t="str">
        <x:v>http://qudt.org/vocab/unit/UNITLESS</x:v>
      </x:c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d57cec684cd40c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RUN-TRF-112-20260821T052825277633Z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RUN-TRF-112-20260821T052825277633Z</x:v>
      </x:c>
      <x:c r="B5" s="45" t="str">
        <x:v>TRF-112</x:v>
      </x:c>
      <x:c r="C5" s="45" t="str">
        <x:v>FS-COMPLEX-READINESS-01</x:v>
      </x:c>
      <x:c r="D5" s="45" t="str">
        <x:v>complex_readiness_external_calculation</x:v>
      </x:c>
      <x:c r="E5" s="97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RUN-TRF-112-20260821T052825277633Z</x:v>
      </x:c>
      <x:c r="B6" s="49" t="str">
        <x:v>TRF-112</x:v>
      </x:c>
      <x:c r="C6" s="49" t="str">
        <x:v>FS-COMPLEX-READINESS-02</x:v>
      </x:c>
      <x:c r="D6" s="49" t="str">
        <x:v>complex_readiness_with_direct_residual_check</x:v>
      </x:c>
      <x:c r="E6" s="98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2a2fcfef4e47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RUN-TRF-112-20260821T052825277633Z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RUN-TRF-112-20260821T052825277633Z</x:v>
      </x:c>
      <x:c r="B5" s="45" t="str">
        <x:v>TRF-112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https://w3id.org/nltl/vocab#torsionalYieldSafetyFactor</x:v>
      </x:c>
      <x:c r="O5" s="46" t="str"/>
      <x:c r="P5" s="46" t="str"/>
      <x:c r="Q5" s="46" t="str"/>
    </x:row>
    <x:row r="6">
      <x:c r="A6" s="47" t="str">
        <x:v>RUN-TRF-112-20260821T052825277633Z</x:v>
      </x:c>
      <x:c r="B6" s="47" t="str">
        <x:v>TRF-112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https://w3id.org/nltl/vocab#torsionalYieldSafetyFactor</x:v>
      </x:c>
      <x:c r="O6" s="48" t="str"/>
      <x:c r="P6" s="48" t="str"/>
      <x:c r="Q6" s="48" t="str"/>
    </x:row>
    <x:row r="7">
      <x:c r="A7" s="49" t="str">
        <x:v>RUN-TRF-112-20260821T052825277633Z</x:v>
      </x:c>
      <x:c r="B7" s="49" t="str">
        <x:v>TRF-112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https://w3id.org/nltl/vocab#torsionalYieldSafetyFactor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7d943a401a184a8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RUN-TRF-112-20260821T052825277633Z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RUN-TRF-112-20260821T052825277633Z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RUN-TRF-112-20260821T052825277633Z</x:v>
      </x:c>
      <x:c r="B5" s="45" t="str">
        <x:v>TRF-112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cd32b0758dd9b3ba28b8bce63de40d6b7e15ae6c22e9b5d1990202e48f98ca78</x:v>
      </x:c>
      <x:c r="G5" s="58" t="n">
        <x:v>31277</x:v>
      </x:c>
    </x:row>
    <x:row r="6">
      <x:c r="A6" s="47" t="str">
        <x:v>RUN-TRF-112-20260821T052825277633Z</x:v>
      </x:c>
      <x:c r="B6" s="47" t="str">
        <x:v>TRF-112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RUN-TRF-112-20260821T052825277633Z</x:v>
      </x:c>
      <x:c r="B7" s="47" t="str">
        <x:v>TRF-112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0b3c74376c2a5133c442da665842e2a5b0177ed58bc9e7816921541040524510</x:v>
      </x:c>
      <x:c r="G7" s="59" t="n">
        <x:v>49183</x:v>
      </x:c>
    </x:row>
    <x:row r="8">
      <x:c r="A8" s="47" t="str">
        <x:v>RUN-TRF-112-20260821T052825277633Z</x:v>
      </x:c>
      <x:c r="B8" s="47" t="str">
        <x:v>TRF-112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867cd4fc9f4306d4bd1a6e43bc7682a7ec5807c7b0e2c2f7990b532cd8d9de79</x:v>
      </x:c>
      <x:c r="G8" s="59" t="n">
        <x:v>3114</x:v>
      </x:c>
    </x:row>
    <x:row r="9">
      <x:c r="A9" s="47" t="str">
        <x:v>RUN-TRF-112-20260821T052825277633Z</x:v>
      </x:c>
      <x:c r="B9" s="47" t="str">
        <x:v>TRF-112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c9f0b0f5cfd8431227895146c2ba7984e9e2fc9e196537e0072aaa3c76765e7e</x:v>
      </x:c>
      <x:c r="G9" s="59" t="n">
        <x:v>3089</x:v>
      </x:c>
    </x:row>
    <x:row r="10">
      <x:c r="A10" s="47" t="str">
        <x:v>RUN-TRF-112-20260821T052825277633Z</x:v>
      </x:c>
      <x:c r="B10" s="47" t="str">
        <x:v>TRF-112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6a0ef57beb5a6e1626c164f687d9a19cbf728f2c3fa1b475a713e3e2bc53cb91</x:v>
      </x:c>
      <x:c r="G10" s="59" t="n">
        <x:v>1021</x:v>
      </x:c>
    </x:row>
    <x:row r="11">
      <x:c r="A11" s="47" t="str">
        <x:v>RUN-TRF-112-20260821T052825277633Z</x:v>
      </x:c>
      <x:c r="B11" s="47" t="str">
        <x:v>TRF-112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f7c1aaed9fc383064102ec56a1632a0a1d508b4eb5f63d0db3f4551860116e49</x:v>
      </x:c>
      <x:c r="G11" s="59" t="n">
        <x:v>45804</x:v>
      </x:c>
    </x:row>
    <x:row r="12">
      <x:c r="A12" s="47" t="str">
        <x:v>RUN-TRF-112-20260821T052825277633Z</x:v>
      </x:c>
      <x:c r="B12" s="47" t="str">
        <x:v>TRF-112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018d2b5ae7d0daa5a084a4b9184ef17ee840250f86d15f063b303feb4a235b9c</x:v>
      </x:c>
      <x:c r="G12" s="59" t="n">
        <x:v>596</x:v>
      </x:c>
    </x:row>
    <x:row r="13">
      <x:c r="A13" s="47" t="str">
        <x:v>RUN-TRF-112-20260821T052825277633Z</x:v>
      </x:c>
      <x:c r="B13" s="47" t="str">
        <x:v>TRF-112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a4d5c53bad3f25e541fcf6e43df9268c95674583ebbc0e891f4f1dd9590195e7</x:v>
      </x:c>
      <x:c r="G13" s="59" t="n">
        <x:v>49714</x:v>
      </x:c>
    </x:row>
    <x:row r="14">
      <x:c r="A14" s="47" t="str">
        <x:v>RUN-TRF-112-20260821T052825277633Z</x:v>
      </x:c>
      <x:c r="B14" s="47" t="str">
        <x:v>TRF-112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97632d4705f507c7d4501c49c2285c0da3839ad46f2542556d4e1af70bed7c4c</x:v>
      </x:c>
      <x:c r="G14" s="59" t="n">
        <x:v>2983</x:v>
      </x:c>
    </x:row>
    <x:row r="15">
      <x:c r="A15" s="47" t="str">
        <x:v>RUN-TRF-112-20260821T052825277633Z</x:v>
      </x:c>
      <x:c r="B15" s="47" t="str">
        <x:v>TRF-112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d330910dd0a093f2f0a7a80a096bbaf64a235577d149d8dda4b6a5c833209d4a</x:v>
      </x:c>
      <x:c r="G15" s="59" t="n">
        <x:v>2958</x:v>
      </x:c>
    </x:row>
    <x:row r="16">
      <x:c r="A16" s="47" t="str">
        <x:v>RUN-TRF-112-20260821T052825277633Z</x:v>
      </x:c>
      <x:c r="B16" s="47" t="str">
        <x:v>TRF-112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6a0ef57beb5a6e1626c164f687d9a19cbf728f2c3fa1b475a713e3e2bc53cb91</x:v>
      </x:c>
      <x:c r="G16" s="59" t="n">
        <x:v>1021</x:v>
      </x:c>
    </x:row>
    <x:row r="17">
      <x:c r="A17" s="47" t="str">
        <x:v>RUN-TRF-112-20260821T052825277633Z</x:v>
      </x:c>
      <x:c r="B17" s="47" t="str">
        <x:v>TRF-112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eb4387ae991df8729e250fff82a149efc5d714ac3ff684dd019c3c27f4c1986e</x:v>
      </x:c>
      <x:c r="G17" s="59" t="n">
        <x:v>46205</x:v>
      </x:c>
    </x:row>
    <x:row r="18">
      <x:c r="A18" s="47" t="str">
        <x:v>RUN-TRF-112-20260821T052825277633Z</x:v>
      </x:c>
      <x:c r="B18" s="47" t="str">
        <x:v>TRF-112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eb6c826d591b519b8634660610f982fdd81a3ea347c8e5af3bfd9b14d0fae6cf</x:v>
      </x:c>
      <x:c r="G18" s="59" t="n">
        <x:v>492</x:v>
      </x:c>
    </x:row>
    <x:row r="19">
      <x:c r="A19" s="47" t="str">
        <x:v>RUN-TRF-112-20260821T052825277633Z</x:v>
      </x:c>
      <x:c r="B19" s="47" t="str">
        <x:v>TRF-112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2226b674968d4f145ad0030067237ae6a152c3307253c771d7a173a8662e1f5a</x:v>
      </x:c>
      <x:c r="G19" s="59" t="n">
        <x:v>50149</x:v>
      </x:c>
    </x:row>
    <x:row r="20">
      <x:c r="A20" s="47" t="str">
        <x:v>RUN-TRF-112-20260821T052825277633Z</x:v>
      </x:c>
      <x:c r="B20" s="47" t="str">
        <x:v>TRF-112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84210b583331fe7c5501d89af80b256880f0a325a9b3142894f4cf25a7387ae4</x:v>
      </x:c>
      <x:c r="G20" s="59" t="n">
        <x:v>2872</x:v>
      </x:c>
    </x:row>
    <x:row r="21">
      <x:c r="A21" s="47" t="str">
        <x:v>RUN-TRF-112-20260821T052825277633Z</x:v>
      </x:c>
      <x:c r="B21" s="47" t="str">
        <x:v>TRF-112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aac683e0cef89085d616ff0c570870756b7da66cbe925a4f576aa2bc8a4d23f9</x:v>
      </x:c>
      <x:c r="G21" s="59" t="n">
        <x:v>2847</x:v>
      </x:c>
    </x:row>
    <x:row r="22">
      <x:c r="A22" s="47" t="str">
        <x:v>RUN-TRF-112-20260821T052825277633Z</x:v>
      </x:c>
      <x:c r="B22" s="47" t="str">
        <x:v>TRF-112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6a0ef57beb5a6e1626c164f687d9a19cbf728f2c3fa1b475a713e3e2bc53cb91</x:v>
      </x:c>
      <x:c r="G22" s="59" t="n">
        <x:v>1021</x:v>
      </x:c>
    </x:row>
    <x:row r="23">
      <x:c r="A23" s="47" t="str">
        <x:v>RUN-TRF-112-20260821T052825277633Z</x:v>
      </x:c>
      <x:c r="B23" s="47" t="str">
        <x:v>TRF-112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4d331274708897c3491a654c17dfde72f0a2e455cad7397ad22c1fcb700a03a2</x:v>
      </x:c>
      <x:c r="G23" s="59" t="n">
        <x:v>46523</x:v>
      </x:c>
    </x:row>
    <x:row r="24">
      <x:c r="A24" s="47" t="str">
        <x:v>RUN-TRF-112-20260821T052825277633Z</x:v>
      </x:c>
      <x:c r="B24" s="47" t="str">
        <x:v>TRF-112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1359bb6267ffe07cb0feb1a4dad740b9a50fea3a45ee698e88939430f77e4786</x:v>
      </x:c>
      <x:c r="G24" s="59" t="n">
        <x:v>239</x:v>
      </x:c>
    </x:row>
    <x:row r="25">
      <x:c r="A25" s="49" t="str">
        <x:v>RUN-TRF-112-20260821T052825277633Z</x:v>
      </x:c>
      <x:c r="B25" s="49" t="str">
        <x:v>TRF-112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aac683e0cef89085d616ff0c570870756b7da66cbe925a4f576aa2bc8a4d23f9</x:v>
      </x:c>
      <x:c r="G25" s="60" t="n">
        <x:v>2847</x:v>
      </x:c>
    </x:row>
  </x:sheetData>
  <x:pageMargins left="0.7" right="0.7" top="0.75" bottom="0.75" header="0.3" footer="0.3"/>
  <x:tableParts count="1">
    <x:tablePart xmlns:r="http://schemas.openxmlformats.org/officeDocument/2006/relationships" r:id="R676bfdaa574e41a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RUN-TRF-112-20260821T052825277633Z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RUN-TRF-112-20260821T052825277633Z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RUN-TRF-112-20260821T052825277633Z</x:v>
      </x:c>
      <x:c r="B5" s="69" t="str">
        <x:v>TRF-112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1568a02f504d24"/>
  </x:tableParts>
</x:worksheet>
</file>