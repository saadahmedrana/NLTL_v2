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f10ef154d1b412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e6fa52d8114f40df"/>
    <x:sheet xmlns:r="http://schemas.openxmlformats.org/officeDocument/2006/relationships" name="README" sheetId="2" r:id="R2fd8899bb775428b"/>
    <x:sheet xmlns:r="http://schemas.openxmlformats.org/officeDocument/2006/relationships" name="REGULATION_QUEUE" sheetId="3" r:id="Rb4d356853e4f4781"/>
    <x:sheet xmlns:r="http://schemas.openxmlformats.org/officeDocument/2006/relationships" name="RUNS" sheetId="4" r:id="R20cb9e50d80443c9"/>
    <x:sheet xmlns:r="http://schemas.openxmlformats.org/officeDocument/2006/relationships" name="ITERATIONS" sheetId="5" r:id="R699753ebae23405b"/>
    <x:sheet xmlns:r="http://schemas.openxmlformats.org/officeDocument/2006/relationships" name="API_CALLS" sheetId="6" r:id="Rca97151388cc411b"/>
    <x:sheet xmlns:r="http://schemas.openxmlformats.org/officeDocument/2006/relationships" name="TERM_RETRIEVAL" sheetId="7" r:id="R1459a5d518174953"/>
    <x:sheet xmlns:r="http://schemas.openxmlformats.org/officeDocument/2006/relationships" name="FEW_SHOT_SELECTION" sheetId="8" r:id="R7035b0b0ffeb48a9"/>
    <x:sheet xmlns:r="http://schemas.openxmlformats.org/officeDocument/2006/relationships" name="VALIDATION" sheetId="9" r:id="R852321838c4a4375"/>
    <x:sheet xmlns:r="http://schemas.openxmlformats.org/officeDocument/2006/relationships" name="VOCAB_MATCHES" sheetId="10" r:id="R202f1951739f4613"/>
    <x:sheet xmlns:r="http://schemas.openxmlformats.org/officeDocument/2006/relationships" name="ARTIFACTS" sheetId="11" r:id="R917b01940ddd43b2"/>
    <x:sheet xmlns:r="http://schemas.openxmlformats.org/officeDocument/2006/relationships" name="UNRESOLVED" sheetId="12" r:id="R11182537f61d4642"/>
    <x:sheet xmlns:r="http://schemas.openxmlformats.org/officeDocument/2006/relationships" name="RDF_TEST_QUEUE" sheetId="13" r:id="R9a99b98fa129420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508ec7ed6644ace" /><Relationship Type="http://schemas.openxmlformats.org/officeDocument/2006/relationships/theme" Target="/xl/theme/theme1.xml" Id="Rdd628d8e1c284401" /><Relationship Type="http://schemas.microsoft.com/office/2022/11/relationships/FeaturePropertyBag" Target="/xl/featurePropertyBag/featurePropertyBag.xml" Id="R4d9aec5d6c454118" /><Relationship Type="http://schemas.openxmlformats.org/officeDocument/2006/relationships/sharedStrings" Target="/xl/sharedStrings.xml" Id="R8f5c8e27860f4218" /><Relationship Type="http://schemas.openxmlformats.org/officeDocument/2006/relationships/worksheet" Target="/xl/worksheets/sheet1.xml" Id="Re6fa52d8114f40df" /><Relationship Type="http://schemas.openxmlformats.org/officeDocument/2006/relationships/worksheet" Target="/xl/worksheets/sheet2.xml" Id="R2fd8899bb775428b" /><Relationship Type="http://schemas.openxmlformats.org/officeDocument/2006/relationships/worksheet" Target="/xl/worksheets/sheet3.xml" Id="Rb4d356853e4f4781" /><Relationship Type="http://schemas.openxmlformats.org/officeDocument/2006/relationships/worksheet" Target="/xl/worksheets/sheet4.xml" Id="R20cb9e50d80443c9" /><Relationship Type="http://schemas.openxmlformats.org/officeDocument/2006/relationships/worksheet" Target="/xl/worksheets/sheet5.xml" Id="R699753ebae23405b" /><Relationship Type="http://schemas.openxmlformats.org/officeDocument/2006/relationships/worksheet" Target="/xl/worksheets/sheet6.xml" Id="Rca97151388cc411b" /><Relationship Type="http://schemas.openxmlformats.org/officeDocument/2006/relationships/worksheet" Target="/xl/worksheets/sheet7.xml" Id="R1459a5d518174953" /><Relationship Type="http://schemas.openxmlformats.org/officeDocument/2006/relationships/worksheet" Target="/xl/worksheets/sheet8.xml" Id="R7035b0b0ffeb48a9" /><Relationship Type="http://schemas.openxmlformats.org/officeDocument/2006/relationships/worksheet" Target="/xl/worksheets/sheet9.xml" Id="R852321838c4a4375" /><Relationship Type="http://schemas.openxmlformats.org/officeDocument/2006/relationships/worksheet" Target="/xl/worksheets/sheet10.xml" Id="R202f1951739f4613" /><Relationship Type="http://schemas.openxmlformats.org/officeDocument/2006/relationships/worksheet" Target="/xl/worksheets/sheet11.xml" Id="R917b01940ddd43b2" /><Relationship Type="http://schemas.openxmlformats.org/officeDocument/2006/relationships/worksheet" Target="/xl/worksheets/sheet12.xml" Id="R11182537f61d4642" /><Relationship Type="http://schemas.openxmlformats.org/officeDocument/2006/relationships/worksheet" Target="/xl/worksheets/sheet13.xml" Id="R9a99b98fa1294207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3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c4b93de532c467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4377bba3fad43a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368bd6092dac412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af02ef1892d24f2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3c1137f76b7c433f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e19dc7f2b37c46e2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674c04d8c2da4b54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bb6e8563a1eb46b1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6019c2ecb6904a27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2032507a851e447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RUN-TRF-116-20260821T053235639548Z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269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12436.850999999999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RUN-TRF-116-20260821T053235639548Z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7c4b93de532c467e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RUN-TRF-116-20260821T053235639548Z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GENERATION_ACCEPTED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4377bba3fad43a3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RUN-TRF-116-20260821T053235639548Z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SESSION-BATCH-20260820T223322666239Z</x:v>
      </x:c>
      <x:c r="B5" s="69" t="str">
        <x:v>RUN-TRF-116-20260821T053235639548Z</x:v>
      </x:c>
      <x:c r="C5" s="69" t="str">
        <x:v>TRF-116</x:v>
      </x:c>
      <x:c r="D5" s="70" t="n">
        <x:v>46255.23096806713</x:v>
      </x:c>
      <x:c r="E5" s="70" t="n">
        <x:v>46255.23125758102</x:v>
      </x:c>
      <x:c r="F5" s="69" t="str">
        <x:v>1.7.2-development-r10-sol-full269-max7-01</x:v>
      </x:c>
      <x:c r="G5" s="69" t="str">
        <x:v>VOCAB-LOCK-2026-08-20-R10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COMPLETE COMPLEX_READINESS contract: it targets ship, requires all declared operands and the required result on their authoritative owner, uses canonical paths, and applies the declared decimal quantity datatypes and metre/square-metre units without inventing formula execution, thresholds, evidence, or direct checks.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68bd6092dac4122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RUN-TRF-116-20260821T053235639548Z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RUN-TRF-116-20260821T053235639548Z</x:v>
      </x:c>
      <x:c r="B5" s="69" t="str">
        <x:v>TRF-116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faithfully encodes the COMPLETE COMPLEX_READINESS contract: it targets ship, requires all declared operands and the required result on their authoritative owner, uses canonical paths, and applies the declared decimal quantity datatypes and metre/square-metre units without inventing formula execution, thresholds, evidence, or direct checks.</x:v>
      </x:c>
      <x:c r="I5" s="75" t="n">
        <x:v>16564.404</x:v>
      </x:c>
      <x:c r="J5" s="75" t="n">
        <x:v>8310.876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f02ef1892d24f26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RUN-TRF-116-20260821T053235639548Z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EVT-000017</x:v>
      </x:c>
      <x:c r="B5" s="45" t="str">
        <x:v>RUN-TRF-116-20260821T053235639548Z</x:v>
      </x:c>
      <x:c r="C5" s="45" t="str">
        <x:v>TRF-116</x:v>
      </x:c>
      <x:c r="D5" s="88" t="n">
        <x:v>46255.23116005787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16562.836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EVT-000018</x:v>
      </x:c>
      <x:c r="B6" s="47" t="str">
        <x:v>RUN-TRF-116-20260821T053235639548Z</x:v>
      </x:c>
      <x:c r="C6" s="47" t="str">
        <x:v>TRF-116</x:v>
      </x:c>
      <x:c r="D6" s="91" t="n">
        <x:v>46255.23116008102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16564.404</x:v>
      </x:c>
      <x:c r="L6" s="93" t="b">
        <x:v>0</x:v>
      </x:c>
      <x:c r="M6" s="47" t="str">
        <x:v>resp_09aea321f94c98b5006a87e2f3d77c8194b554fd4adde5168e</x:v>
      </x:c>
      <x:c r="N6" s="59" t="n">
        <x:v>7540</x:v>
      </x:c>
      <x:c r="O6" s="59" t="n">
        <x:v>1257</x:v>
      </x:c>
      <x:c r="P6" s="59" t="n">
        <x:v>8797</x:v>
      </x:c>
    </x:row>
    <x:row r="7">
      <x:c r="A7" s="47" t="str">
        <x:v>EVT-000025</x:v>
      </x:c>
      <x:c r="B7" s="47" t="str">
        <x:v>RUN-TRF-116-20260821T053235639548Z</x:v>
      </x:c>
      <x:c r="C7" s="47" t="str">
        <x:v>TRF-116</x:v>
      </x:c>
      <x:c r="D7" s="91" t="n">
        <x:v>46255.23125751157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8309.288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EVT-000026</x:v>
      </x:c>
      <x:c r="B8" s="49" t="str">
        <x:v>RUN-TRF-116-20260821T053235639548Z</x:v>
      </x:c>
      <x:c r="C8" s="49" t="str">
        <x:v>TRF-116</x:v>
      </x:c>
      <x:c r="D8" s="94" t="n">
        <x:v>46255.231257534724</x:v>
      </x:c>
      <x:c r="E8" s="49" t="str">
        <x:v>validator</x:v>
      </x:c>
      <x:c r="F8" s="49" t="str">
        <x:v>gpt-5.6-sol-2026-07-09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8310.876</x:v>
      </x:c>
      <x:c r="L8" s="96" t="b">
        <x:v>0</x:v>
      </x:c>
      <x:c r="M8" s="49" t="str">
        <x:v>resp_07d0a7479c1f2f9a006a87e30472b481969fdf9908716dc4ac</x:v>
      </x:c>
      <x:c r="N8" s="60" t="n">
        <x:v>6097</x:v>
      </x:c>
      <x:c r="O8" s="60" t="n">
        <x:v>433</x:v>
      </x:c>
      <x:c r="P8" s="60" t="n">
        <x:v>6530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c1137f76b7c433f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RUN-TRF-116-20260821T053235639548Z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RUN-TRF-116-20260821T053235639548Z</x:v>
      </x:c>
      <x:c r="B5" s="45" t="str">
        <x:v>TRF-116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equivalentImpactSphereRadius; domain dependency of nonHemisphericalImpactArea</x:v>
      </x:c>
      <x:c r="J5" s="45" t="n">
        <x:v>0</x:v>
      </x:c>
    </x:row>
    <x:row r="6">
      <x:c r="A6" s="47" t="str">
        <x:v>RUN-TRF-116-20260821T053235639548Z</x:v>
      </x:c>
      <x:c r="B6" s="47" t="str">
        <x:v>TRF-116</x:v>
      </x:c>
      <x:c r="C6" s="47" t="str">
        <x:v>designIceThickness</x:v>
      </x:c>
      <x:c r="D6" s="48" t="str">
        <x:v>https://w3id.org/nltl/vocab#designIceThickness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http://qudt.org/vocab/unit/M</x:v>
      </x:c>
      <x:c r="I6" s="48" t="str">
        <x:v>linked by the locked 313-requirement index</x:v>
      </x:c>
      <x:c r="J6" s="47" t="n">
        <x:v>0</x:v>
      </x:c>
    </x:row>
    <x:row r="7">
      <x:c r="A7" s="47" t="str">
        <x:v>RUN-TRF-116-20260821T053235639548Z</x:v>
      </x:c>
      <x:c r="B7" s="47" t="str">
        <x:v>TRF-116</x:v>
      </x:c>
      <x:c r="C7" s="47" t="str">
        <x:v>equivalentImpactSphereRadius</x:v>
      </x:c>
      <x:c r="D7" s="48" t="str">
        <x:v>https://w3id.org/nltl/vocab#equivalentImpactSphereRadius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http://qudt.org/vocab/unit/M</x:v>
      </x:c>
      <x:c r="I7" s="48" t="str">
        <x:v>linked by the locked 313-requirement index</x:v>
      </x:c>
      <x:c r="J7" s="47" t="n">
        <x:v>0</x:v>
      </x:c>
    </x:row>
    <x:row r="8">
      <x:c r="A8" s="47" t="str">
        <x:v>RUN-TRF-116-20260821T053235639548Z</x:v>
      </x:c>
      <x:c r="B8" s="47" t="str">
        <x:v>TRF-116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RUN-TRF-116-20260821T053235639548Z</x:v>
      </x:c>
      <x:c r="B9" s="47" t="str">
        <x:v>TRF-116</x:v>
      </x:c>
      <x:c r="C9" s="47" t="str">
        <x:v>nonHemisphericalImpactArea</x:v>
      </x:c>
      <x:c r="D9" s="48" t="str">
        <x:v>https://w3id.org/nltl/vocab#nonHemisphericalImpactArea</x:v>
      </x:c>
      <x:c r="E9" s="47" t="str">
        <x:v>DatatypeProperty</x:v>
      </x:c>
      <x:c r="F9" s="47" t="str">
        <x:v>xsd:string</x:v>
      </x:c>
      <x:c r="G9" s="47" t="str">
        <x:v>http://www.w3.org/2001/XMLSchema#string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RUN-TRF-116-20260821T053235639548Z</x:v>
      </x:c>
      <x:c r="B10" s="47" t="str">
        <x:v>TRF-116</x:v>
      </x:c>
      <x:c r="C10" s="47" t="str">
        <x:v>nonHemisphericalImpactContactArea</x:v>
      </x:c>
      <x:c r="D10" s="48" t="str">
        <x:v>https://w3id.org/nltl/vocab#nonHemisphericalImpactContactArea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http://qudt.org/vocab/unit/M2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RUN-TRF-116-20260821T053235639548Z</x:v>
      </x:c>
      <x:c r="B11" s="47" t="str">
        <x:v>TRF-116</x:v>
      </x:c>
      <x:c r="C11" s="47" t="str">
        <x:v>propellerHubOrThrusterEndCapImpact</x:v>
      </x:c>
      <x:c r="D11" s="48" t="str">
        <x:v>https://w3id.org/nltl/vocab#propellerHubOrThrusterEndCapImpact</x:v>
      </x:c>
      <x:c r="E11" s="47" t="str">
        <x:v>DatatypeProperty</x:v>
      </x:c>
      <x:c r="F11" s="47" t="str">
        <x:v>xsd:boolean</x:v>
      </x:c>
      <x:c r="G11" s="47" t="str">
        <x:v>http://www.w3.org/2001/XMLSchema#boolean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RUN-TRF-116-20260821T053235639548Z</x:v>
      </x:c>
      <x:c r="B12" s="47" t="str">
        <x:v>TRF-116</x:v>
      </x:c>
      <x:c r="C12" s="47" t="str">
        <x:v>ship</x:v>
      </x:c>
      <x:c r="D12" s="48" t="str">
        <x:v>https://w3id.org/nltl/vocab#ship</x:v>
      </x:c>
      <x:c r="E12" s="47" t="str">
        <x:v>Class</x:v>
      </x:c>
      <x:c r="F12" s="47" t="str"/>
      <x:c r="G12" s="47" t="str"/>
      <x:c r="H12" s="47" t="str"/>
      <x:c r="I12" s="48" t="str">
        <x:v>authoritative required owner class; authoritative requirement target owner; baseline target infrastructure; domain dependency of designIceThickness; domain dependency of nonHemisphericalImpactContactArea; domain dependency of propellerHubOrThrusterEndCapImpact</x:v>
      </x:c>
      <x:c r="J12" s="47" t="n">
        <x:v>0</x:v>
      </x:c>
    </x:row>
    <x:row r="13">
      <x:c r="A13" s="49" t="str">
        <x:v>RUN-TRF-116-20260821T053235639548Z</x:v>
      </x:c>
      <x:c r="B13" s="49" t="str">
        <x:v>TRF-116</x:v>
      </x:c>
      <x:c r="C13" s="49" t="str">
        <x:v>shipComponent</x:v>
      </x:c>
      <x:c r="D13" s="50" t="str">
        <x:v>https://w3id.org/nltl/vocab#shipComponent</x:v>
      </x:c>
      <x:c r="E13" s="49" t="str">
        <x:v>Class</x:v>
      </x:c>
      <x:c r="F13" s="49" t="str"/>
      <x:c r="G13" s="49" t="str"/>
      <x:c r="H13" s="49" t="str"/>
      <x:c r="I13" s="50" t="str">
        <x:v>component-path dependency inferred from the linked term module</x:v>
      </x:c>
      <x:c r="J13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e19dc7f2b37c46e2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RUN-TRF-116-20260821T053235639548Z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RUN-TRF-116-20260821T053235639548Z</x:v>
      </x:c>
      <x:c r="B5" s="45" t="str">
        <x:v>TRF-116</x:v>
      </x:c>
      <x:c r="C5" s="45" t="str">
        <x:v>FS-COMPLEX-READINESS-01</x:v>
      </x:c>
      <x:c r="D5" s="45" t="str">
        <x:v>complex_readiness_external_calculation</x:v>
      </x:c>
      <x:c r="E5" s="99" t="n">
        <x:v>2.205128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RUN-TRF-116-20260821T053235639548Z</x:v>
      </x:c>
      <x:c r="B6" s="49" t="str">
        <x:v>TRF-116</x:v>
      </x:c>
      <x:c r="C6" s="49" t="str">
        <x:v>FS-COMPLEX-READINESS-02</x:v>
      </x:c>
      <x:c r="D6" s="49" t="str">
        <x:v>complex_readiness_with_direct_residual_check</x:v>
      </x:c>
      <x:c r="E6" s="100" t="n">
        <x:v>2.088889</x:v>
      </x:c>
      <x:c r="F6" s="49" t="str">
        <x:v>complex | engineering | evidence | readiness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74c04d8c2da4b54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RUN-TRF-116-20260821T053235639548Z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RUN-TRF-116-20260821T053235639548Z</x:v>
      </x:c>
      <x:c r="B5" s="69" t="str">
        <x:v>TRF-116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https://w3id.org/nltl/vocab#designIceThickness | https://w3id.org/nltl/vocab#equivalentImpactSphereRadius | https://w3id.org/nltl/vocab#nonHemisphericalImpactContactArea | https://w3id.org/nltl/vocab#propellerHubOrThrusterEndCapImpact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bb6e8563a1eb46b1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RUN-TRF-116-20260821T053235639548Z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RUN-TRF-116-20260821T053235639548Z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RUN-TRF-116-20260821T053235639548Z</x:v>
      </x:c>
      <x:c r="B5" s="45" t="str">
        <x:v>TRF-116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c2c2cadbc78668babe654b4ff55a9a196eb48e6d71bf447037fba6ebd0e2e2e6</x:v>
      </x:c>
      <x:c r="G5" s="58" t="n">
        <x:v>14148</x:v>
      </x:c>
    </x:row>
    <x:row r="6">
      <x:c r="A6" s="47" t="str">
        <x:v>RUN-TRF-116-20260821T053235639548Z</x:v>
      </x:c>
      <x:c r="B6" s="47" t="str">
        <x:v>TRF-116</x:v>
      </x:c>
      <x:c r="C6" s="59"/>
      <x:c r="D6" s="47" t="str">
        <x:v>few_shot_selection</x:v>
      </x:c>
      <x:c r="E6" s="48" t="str">
        <x:v>artifacts/few_shots_selected.json</x:v>
      </x:c>
      <x:c r="F6" s="47" t="str">
        <x:v>8c9978177d4dd2c88027b5ec66e92915047423f90e4aef2f7c37257324cad7fd</x:v>
      </x:c>
      <x:c r="G6" s="59" t="n">
        <x:v>6555</x:v>
      </x:c>
    </x:row>
    <x:row r="7">
      <x:c r="A7" s="47" t="str">
        <x:v>RUN-TRF-116-20260821T053235639548Z</x:v>
      </x:c>
      <x:c r="B7" s="47" t="str">
        <x:v>TRF-116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b2b1628c0494d4f5640023d3f84e9c1eda26b95de76b6dcb0be9df917d5129ae</x:v>
      </x:c>
      <x:c r="G7" s="59" t="n">
        <x:v>32054</x:v>
      </x:c>
    </x:row>
    <x:row r="8">
      <x:c r="A8" s="47" t="str">
        <x:v>RUN-TRF-116-20260821T053235639548Z</x:v>
      </x:c>
      <x:c r="B8" s="47" t="str">
        <x:v>TRF-116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81b8623860ceac581701ef70ac4f60db2493d60982570383d09de2196df92615</x:v>
      </x:c>
      <x:c r="G8" s="59" t="n">
        <x:v>2214</x:v>
      </x:c>
    </x:row>
    <x:row r="9">
      <x:c r="A9" s="47" t="str">
        <x:v>RUN-TRF-116-20260821T053235639548Z</x:v>
      </x:c>
      <x:c r="B9" s="47" t="str">
        <x:v>TRF-116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6b8f1e6d5a17c2e04b6d15bfbc696e2b0fb341abeffa49f7d783c7ae916040ae</x:v>
      </x:c>
      <x:c r="G9" s="59" t="n">
        <x:v>2189</x:v>
      </x:c>
    </x:row>
    <x:row r="10">
      <x:c r="A10" s="47" t="str">
        <x:v>RUN-TRF-116-20260821T053235639548Z</x:v>
      </x:c>
      <x:c r="B10" s="47" t="str">
        <x:v>TRF-116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c66bc3874388e7470f1f3b77517ccaa7248b50453456285382b38a0005fdca78</x:v>
      </x:c>
      <x:c r="G10" s="59" t="n">
        <x:v>686</x:v>
      </x:c>
    </x:row>
    <x:row r="11">
      <x:c r="A11" s="47" t="str">
        <x:v>RUN-TRF-116-20260821T053235639548Z</x:v>
      </x:c>
      <x:c r="B11" s="47" t="str">
        <x:v>TRF-116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3d72ce3f7a41cf1593962a4af20cf1b8bd4947a0ab9ec9175eb0d21ecac1f1b2</x:v>
      </x:c>
      <x:c r="G11" s="59" t="n">
        <x:v>25239</x:v>
      </x:c>
    </x:row>
    <x:row r="12">
      <x:c r="A12" s="47" t="str">
        <x:v>RUN-TRF-116-20260821T053235639548Z</x:v>
      </x:c>
      <x:c r="B12" s="47" t="str">
        <x:v>TRF-116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2d8f716a9afa956f413c7e7bb639d9270f9e2bcbbd4d97ce5a7abd246b166d04</x:v>
      </x:c>
      <x:c r="G12" s="59" t="n">
        <x:v>414</x:v>
      </x:c>
    </x:row>
    <x:row r="13">
      <x:c r="A13" s="49" t="str">
        <x:v>RUN-TRF-116-20260821T053235639548Z</x:v>
      </x:c>
      <x:c r="B13" s="49" t="str">
        <x:v>TRF-116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6b8f1e6d5a17c2e04b6d15bfbc696e2b0fb341abeffa49f7d783c7ae916040ae</x:v>
      </x:c>
      <x:c r="G13" s="60" t="n">
        <x:v>2189</x:v>
      </x:c>
    </x:row>
  </x:sheetData>
  <x:pageMargins left="0.7" right="0.7" top="0.75" bottom="0.75" header="0.3" footer="0.3"/>
  <x:tableParts count="1">
    <x:tablePart xmlns:r="http://schemas.openxmlformats.org/officeDocument/2006/relationships" r:id="R6019c2ecb6904a27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RUN-TRF-116-20260821T053235639548Z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RUN-TRF-116-20260821T053235639548Z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RUN-TRF-116-20260821T053235639548Z</x:v>
      </x:c>
      <x:c r="B5" s="69" t="str">
        <x:v>TRF-116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032507a851e4472"/>
  </x:tableParts>
</x:worksheet>
</file>