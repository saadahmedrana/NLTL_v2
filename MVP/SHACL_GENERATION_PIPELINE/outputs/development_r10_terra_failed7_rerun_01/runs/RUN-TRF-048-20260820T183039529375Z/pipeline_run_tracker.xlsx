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b030e1bb243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06e12a8df44177"/>
    <x:sheet xmlns:r="http://schemas.openxmlformats.org/officeDocument/2006/relationships" name="README" sheetId="2" r:id="Rf18c1a5613834cae"/>
    <x:sheet xmlns:r="http://schemas.openxmlformats.org/officeDocument/2006/relationships" name="REGULATION_QUEUE" sheetId="3" r:id="R98b6a1aa62c645b7"/>
    <x:sheet xmlns:r="http://schemas.openxmlformats.org/officeDocument/2006/relationships" name="RUNS" sheetId="4" r:id="Rb436506a361c43d7"/>
    <x:sheet xmlns:r="http://schemas.openxmlformats.org/officeDocument/2006/relationships" name="ITERATIONS" sheetId="5" r:id="Rb62b0eee1f114d79"/>
    <x:sheet xmlns:r="http://schemas.openxmlformats.org/officeDocument/2006/relationships" name="API_CALLS" sheetId="6" r:id="Rdb749d140b0b4446"/>
    <x:sheet xmlns:r="http://schemas.openxmlformats.org/officeDocument/2006/relationships" name="TERM_RETRIEVAL" sheetId="7" r:id="R4d2b7a489ad44169"/>
    <x:sheet xmlns:r="http://schemas.openxmlformats.org/officeDocument/2006/relationships" name="FEW_SHOT_SELECTION" sheetId="8" r:id="R293ac46f5ad34477"/>
    <x:sheet xmlns:r="http://schemas.openxmlformats.org/officeDocument/2006/relationships" name="VALIDATION" sheetId="9" r:id="R508eb323e68e4aee"/>
    <x:sheet xmlns:r="http://schemas.openxmlformats.org/officeDocument/2006/relationships" name="VOCAB_MATCHES" sheetId="10" r:id="R437a001ef9aa4717"/>
    <x:sheet xmlns:r="http://schemas.openxmlformats.org/officeDocument/2006/relationships" name="ARTIFACTS" sheetId="11" r:id="R311926bee3d94ffb"/>
    <x:sheet xmlns:r="http://schemas.openxmlformats.org/officeDocument/2006/relationships" name="UNRESOLVED" sheetId="12" r:id="R90dfc16bd37f4fed"/>
    <x:sheet xmlns:r="http://schemas.openxmlformats.org/officeDocument/2006/relationships" name="RDF_TEST_QUEUE" sheetId="13" r:id="R4957bdcb756b40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d160a2992f4282" /><Relationship Type="http://schemas.openxmlformats.org/officeDocument/2006/relationships/theme" Target="/xl/theme/theme1.xml" Id="R68f99820a2954cef" /><Relationship Type="http://schemas.microsoft.com/office/2022/11/relationships/FeaturePropertyBag" Target="/xl/featurePropertyBag/featurePropertyBag.xml" Id="R93ca6cb28125431c" /><Relationship Type="http://schemas.openxmlformats.org/officeDocument/2006/relationships/sharedStrings" Target="/xl/sharedStrings.xml" Id="Ra41fdaf40b9a4902" /><Relationship Type="http://schemas.openxmlformats.org/officeDocument/2006/relationships/worksheet" Target="/xl/worksheets/sheet1.xml" Id="Ra006e12a8df44177" /><Relationship Type="http://schemas.openxmlformats.org/officeDocument/2006/relationships/worksheet" Target="/xl/worksheets/sheet2.xml" Id="Rf18c1a5613834cae" /><Relationship Type="http://schemas.openxmlformats.org/officeDocument/2006/relationships/worksheet" Target="/xl/worksheets/sheet3.xml" Id="R98b6a1aa62c645b7" /><Relationship Type="http://schemas.openxmlformats.org/officeDocument/2006/relationships/worksheet" Target="/xl/worksheets/sheet4.xml" Id="Rb436506a361c43d7" /><Relationship Type="http://schemas.openxmlformats.org/officeDocument/2006/relationships/worksheet" Target="/xl/worksheets/sheet5.xml" Id="Rb62b0eee1f114d79" /><Relationship Type="http://schemas.openxmlformats.org/officeDocument/2006/relationships/worksheet" Target="/xl/worksheets/sheet6.xml" Id="Rdb749d140b0b4446" /><Relationship Type="http://schemas.openxmlformats.org/officeDocument/2006/relationships/worksheet" Target="/xl/worksheets/sheet7.xml" Id="R4d2b7a489ad44169" /><Relationship Type="http://schemas.openxmlformats.org/officeDocument/2006/relationships/worksheet" Target="/xl/worksheets/sheet8.xml" Id="R293ac46f5ad34477" /><Relationship Type="http://schemas.openxmlformats.org/officeDocument/2006/relationships/worksheet" Target="/xl/worksheets/sheet9.xml" Id="R508eb323e68e4aee" /><Relationship Type="http://schemas.openxmlformats.org/officeDocument/2006/relationships/worksheet" Target="/xl/worksheets/sheet10.xml" Id="R437a001ef9aa4717" /><Relationship Type="http://schemas.openxmlformats.org/officeDocument/2006/relationships/worksheet" Target="/xl/worksheets/sheet11.xml" Id="R311926bee3d94ffb" /><Relationship Type="http://schemas.openxmlformats.org/officeDocument/2006/relationships/worksheet" Target="/xl/worksheets/sheet12.xml" Id="R90dfc16bd37f4fed" /><Relationship Type="http://schemas.openxmlformats.org/officeDocument/2006/relationships/worksheet" Target="/xl/worksheets/sheet13.xml" Id="R4957bdcb756b40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07029f8a1b4b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eb0a478c9f43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f2c5d2904a48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2ca4f52d1945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bda37e0ea247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0ed9b2b99c43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aac64884d640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7c53586ef744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9f1ee9521b24a4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fd5d8624d5f4f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RUN-TRF-048-20260820T183039529375Z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25238.85241666666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RUN-TRF-048-20260820T183039529375Z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307029f8a1b4b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RUN-TRF-048-20260820T183039529375Z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MAX_ATTEMPTS_REACHED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eb0a478c9f43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RUN-TRF-048-20260820T183039529375Z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SESSION-BATCH-20260820T182959722045Z</x:v>
      </x:c>
      <x:c r="B5" s="69" t="str">
        <x:v>RUN-TRF-048-20260820T183039529375Z</x:v>
      </x:c>
      <x:c r="C5" s="69" t="str">
        <x:v>TRF-048</x:v>
      </x:c>
      <x:c r="D5" s="70" t="n">
        <x:v>46254.77129085648</x:v>
      </x:c>
      <x:c r="E5" s="70" t="n">
        <x:v>46254.773057453705</x:v>
      </x:c>
      <x:c r="F5" s="69" t="str">
        <x:v>1.7.0-development-r10-terra-failed7-rerun-01</x:v>
      </x:c>
      <x:c r="G5" s="69" t="str">
        <x:v>VOCAB-LOCK-2026-08-20-R10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Repair the shear-area formula query to bind nltl:longitudinalFrameShearFactorF5 and use ?f5Val as the f_5 operand rather than hard-coding 2.16; retain the existing equal inclusive 2.16 bounds on f_5. Make nltl:significantlyDifferentBoundaryConditions a single required boolean selector (outer sh:minCount 1, sh:maxCount 1, sh:datatype xsd:boolean) so both branches cannot be asserted simultaneously. In the false/default branch enforce m = 13.3 through equal sh:minInclusive and sh:maxInclusive bounds on qudt:numericValue of frameMomentFactorM, rather than relying only on SPARQL inequality; retain the true branch evidence requirement and its strict smaller-than-13.3 check.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f2c5d2904a48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RUN-TRF-048-20260820T183039529375Z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RUN-TRF-048-20260820T183039529375Z</x:v>
      </x:c>
      <x:c r="B5" s="45" t="str">
        <x:v>TRF-048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Encode the omitted exclusion and boundary-condition evidence semantics. Require nltl:hasFrameBoundaryConditionEvidence to an nltl:frameBoundaryConditionEvidence when nltl:significantlyDifferentBoundaryConditions is true, so the smaller-than-13.3 m branch cannot be selected by an unsupported boolean alone. Also require nltl:grossFrameShearArea and nltl:bracketArea on the longitudinal frame and add a bounded calculation check that nltl:actualFrameShearArea equals gross frame shear area minus bracket area (with tolerance scaled from that expected result), while retaining the required A formula check; this is necessary to enforce that bracket shear area is excluded rather than merely asserting an unverified actual area.</x:v>
      </x:c>
      <x:c r="I5" s="84" t="n">
        <x:v>38285.338</x:v>
      </x:c>
      <x:c r="J5" s="84" t="n">
        <x:v>12769.045</x:v>
      </x:c>
    </x:row>
    <x:row r="6">
      <x:c r="A6" s="47" t="str">
        <x:v>RUN-TRF-048-20260820T183039529375Z</x:v>
      </x:c>
      <x:c r="B6" s="47" t="str">
        <x:v>TRF-048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Enforce the declared QUDT range for every quantity-valued operand/result: add sh:class qudt:QuantityValue (on each outer quantity property shape or equivalently in its sh:node) for designIceLoadHeight, spacing, span, icePressure, yieldStrength, frameMomentFactorM, f4, f5, sectionModulus, grossFrameShearArea, bracketArea, and actualFrameShearArea. The current nested numericValue/unit constraints allow arbitrary non-QuantityValue resources, contrary to the verified ranges.</x:v>
      </x:c>
      <x:c r="I6" s="86" t="n">
        <x:v>35320.537</x:v>
      </x:c>
      <x:c r="J6" s="86" t="n">
        <x:v>16253.756</x:v>
      </x:c>
    </x:row>
    <x:row r="7">
      <x:c r="A7" s="49" t="str">
        <x:v>RUN-TRF-048-20260820T183039529375Z</x:v>
      </x:c>
      <x:c r="B7" s="49" t="str">
        <x:v>TRF-048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Repair the shear-area formula query to bind nltl:longitudinalFrameShearFactorF5 and use ?f5Val as the f_5 operand rather than hard-coding 2.16; retain the existing equal inclusive 2.16 bounds on f_5. Make nltl:significantlyDifferentBoundaryConditions a single required boolean selector (outer sh:minCount 1, sh:maxCount 1, sh:datatype xsd:boolean) so both branches cannot be asserted simultaneously. In the false/default branch enforce m = 13.3 through equal sh:minInclusive and sh:maxInclusive bounds on qudt:numericValue of frameMomentFactorM, rather than relying only on SPARQL inequality; retain the true branch evidence requirement and its strict smaller-than-13.3 check.</x:v>
      </x:c>
      <x:c r="I7" s="88" t="n">
        <x:v>36446.816</x:v>
      </x:c>
      <x:c r="J7" s="88" t="n">
        <x:v>12362.48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2ca4f52d1945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RUN-TRF-048-20260820T183039529375Z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RUN-TRF-048-20260820T183039529375Z</x:v>
      </x:c>
      <x:c r="C5" s="45" t="str">
        <x:v>TRF-048</x:v>
      </x:c>
      <x:c r="D5" s="92" t="n">
        <x:v>46254.77173399305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38283.578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RUN-TRF-048-20260820T183039529375Z</x:v>
      </x:c>
      <x:c r="C6" s="47" t="str">
        <x:v>TRF-048</x:v>
      </x:c>
      <x:c r="D6" s="93" t="n">
        <x:v>46254.771734016205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38285.338</x:v>
      </x:c>
      <x:c r="L6" s="85" t="b">
        <x:v>0</x:v>
      </x:c>
      <x:c r="M6" s="47" t="str">
        <x:v>resp_09d624541c945451006a8747cfc4cc819691858adf5d63225b</x:v>
      </x:c>
      <x:c r="N6" s="59" t="n">
        <x:v>11918</x:v>
      </x:c>
      <x:c r="O6" s="59" t="n">
        <x:v>4332</x:v>
      </x:c>
      <x:c r="P6" s="59" t="n">
        <x:v>16250</x:v>
      </x:c>
    </x:row>
    <x:row r="7">
      <x:c r="A7" s="47" t="str">
        <x:v>EVT-000040</x:v>
      </x:c>
      <x:c r="B7" s="47" t="str">
        <x:v>RUN-TRF-048-20260820T183039529375Z</x:v>
      </x:c>
      <x:c r="C7" s="47" t="str">
        <x:v>TRF-048</x:v>
      </x:c>
      <x:c r="D7" s="93" t="n">
        <x:v>46254.771886435185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12767.424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RUN-TRF-048-20260820T183039529375Z</x:v>
      </x:c>
      <x:c r="C8" s="47" t="str">
        <x:v>TRF-048</x:v>
      </x:c>
      <x:c r="D8" s="93" t="n">
        <x:v>46254.77188645834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12769.045</x:v>
      </x:c>
      <x:c r="L8" s="85" t="b">
        <x:v>0</x:v>
      </x:c>
      <x:c r="M8" s="47" t="str">
        <x:v>resp_0a849e78ea57ea69006a8747f672048195ba692efc69bd67fb</x:v>
      </x:c>
      <x:c r="N8" s="59" t="n">
        <x:v>13923</x:v>
      </x:c>
      <x:c r="O8" s="59" t="n">
        <x:v>1080</x:v>
      </x:c>
      <x:c r="P8" s="59" t="n">
        <x:v>15003</x:v>
      </x:c>
    </x:row>
    <x:row r="9">
      <x:c r="A9" s="47" t="str">
        <x:v>EVT-000046</x:v>
      </x:c>
      <x:c r="B9" s="47" t="str">
        <x:v>RUN-TRF-048-20260820T183039529375Z</x:v>
      </x:c>
      <x:c r="C9" s="47" t="str">
        <x:v>TRF-048</x:v>
      </x:c>
      <x:c r="D9" s="93" t="n">
        <x:v>46254.77229530093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35319.394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RUN-TRF-048-20260820T183039529375Z</x:v>
      </x:c>
      <x:c r="C10" s="47" t="str">
        <x:v>TRF-048</x:v>
      </x:c>
      <x:c r="D10" s="93" t="n">
        <x:v>46254.772295324074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35320.537</x:v>
      </x:c>
      <x:c r="L10" s="85" t="b">
        <x:v>0</x:v>
      </x:c>
      <x:c r="M10" s="47" t="str">
        <x:v>resp_05eb05b466e08915006a87480324c081978d9bb184587bdd7e</x:v>
      </x:c>
      <x:c r="N10" s="59" t="n">
        <x:v>12066</x:v>
      </x:c>
      <x:c r="O10" s="59" t="n">
        <x:v>3766</x:v>
      </x:c>
      <x:c r="P10" s="59" t="n">
        <x:v>15832</x:v>
      </x:c>
    </x:row>
    <x:row r="11">
      <x:c r="A11" s="47" t="str">
        <x:v>EVT-000054</x:v>
      </x:c>
      <x:c r="B11" s="47" t="str">
        <x:v>RUN-TRF-048-20260820T183039529375Z</x:v>
      </x:c>
      <x:c r="C11" s="47" t="str">
        <x:v>TRF-048</x:v>
      </x:c>
      <x:c r="D11" s="93" t="n">
        <x:v>46254.77248850695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16252.049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RUN-TRF-048-20260820T183039529375Z</x:v>
      </x:c>
      <x:c r="C12" s="47" t="str">
        <x:v>TRF-048</x:v>
      </x:c>
      <x:c r="D12" s="93" t="n">
        <x:v>46254.77248853009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16253.756</x:v>
      </x:c>
      <x:c r="L12" s="85" t="b">
        <x:v>0</x:v>
      </x:c>
      <x:c r="M12" s="47" t="str">
        <x:v>resp_0729e88ef47a42a5006a874826e6e88196ba1d4835df02859c</x:v>
      </x:c>
      <x:c r="N12" s="59" t="n">
        <x:v>14838</x:v>
      </x:c>
      <x:c r="O12" s="59" t="n">
        <x:v>1457</x:v>
      </x:c>
      <x:c r="P12" s="59" t="n">
        <x:v>16295</x:v>
      </x:c>
    </x:row>
    <x:row r="13">
      <x:c r="A13" s="47" t="str">
        <x:v>EVT-000060</x:v>
      </x:c>
      <x:c r="B13" s="47" t="str">
        <x:v>RUN-TRF-048-20260820T183039529375Z</x:v>
      </x:c>
      <x:c r="C13" s="47" t="str">
        <x:v>TRF-048</x:v>
      </x:c>
      <x:c r="D13" s="93" t="n">
        <x:v>46254.772910416665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36445.039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RUN-TRF-048-20260820T183039529375Z</x:v>
      </x:c>
      <x:c r="C14" s="47" t="str">
        <x:v>TRF-048</x:v>
      </x:c>
      <x:c r="D14" s="93" t="n">
        <x:v>46254.77291043982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36446.816</x:v>
      </x:c>
      <x:c r="L14" s="85" t="b">
        <x:v>0</x:v>
      </x:c>
      <x:c r="M14" s="47" t="str">
        <x:v>resp_08d571ee38aa155a006a87483743d08195b38d68f4e281e99a</x:v>
      </x:c>
      <x:c r="N14" s="59" t="n">
        <x:v>12179</x:v>
      </x:c>
      <x:c r="O14" s="59" t="n">
        <x:v>4434</x:v>
      </x:c>
      <x:c r="P14" s="59" t="n">
        <x:v>16613</x:v>
      </x:c>
    </x:row>
    <x:row r="15">
      <x:c r="A15" s="47" t="str">
        <x:v>EVT-000068</x:v>
      </x:c>
      <x:c r="B15" s="47" t="str">
        <x:v>RUN-TRF-048-20260820T183039529375Z</x:v>
      </x:c>
      <x:c r="C15" s="47" t="str">
        <x:v>TRF-048</x:v>
      </x:c>
      <x:c r="D15" s="93" t="n">
        <x:v>46254.77305739583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12360.773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EVT-000069</x:v>
      </x:c>
      <x:c r="B16" s="49" t="str">
        <x:v>RUN-TRF-048-20260820T183039529375Z</x:v>
      </x:c>
      <x:c r="C16" s="49" t="str">
        <x:v>TRF-048</x:v>
      </x:c>
      <x:c r="D16" s="94" t="n">
        <x:v>46254.773057418985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12362.48</x:v>
      </x:c>
      <x:c r="L16" s="87" t="b">
        <x:v>0</x:v>
      </x:c>
      <x:c r="M16" s="49" t="str">
        <x:v>resp_0f20f05680096280006a87485bf3ac81949f4517d7beded29a</x:v>
      </x:c>
      <x:c r="N16" s="60" t="n">
        <x:v>15373</x:v>
      </x:c>
      <x:c r="O16" s="60" t="n">
        <x:v>1061</x:v>
      </x:c>
      <x:c r="P16" s="60" t="n">
        <x:v>16434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bda37e0ea247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RUN-TRF-048-20260820T183039529375Z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RUN-TRF-048-20260820T183039529375Z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RUN-TRF-048-20260820T183039529375Z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sectionModulus; domain dependency of significantlyDifferentBoundaryConditions; domain dependency of spacing; domain dependency of span; domain dependency of yieldStrength</x:v>
      </x:c>
      <x:c r="J6" s="47" t="n">
        <x:v>0</x:v>
      </x:c>
    </x:row>
    <x:row r="7">
      <x:c r="A7" s="47" t="str">
        <x:v>RUN-TRF-048-20260820T183039529375Z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RUN-TRF-048-20260820T183039529375Z</x:v>
      </x:c>
      <x:c r="B8" s="47" t="str">
        <x:v>TRF-048</x:v>
      </x:c>
      <x:c r="C8" s="47" t="str">
        <x:v>connectionBracket</x:v>
      </x:c>
      <x:c r="D8" s="48" t="str">
        <x:v>https://w3id.org/nltl/vocab#connectionBracket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RUN-TRF-048-20260820T183039529375Z</x:v>
      </x:c>
      <x:c r="B9" s="47" t="str">
        <x:v>TRF-048</x:v>
      </x:c>
      <x:c r="C9" s="47" t="str">
        <x:v>designIceLoadHeight</x:v>
      </x:c>
      <x:c r="D9" s="48" t="str">
        <x:v>https://w3id.org/nltl/vocab#designIceLoadHeight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RUN-TRF-048-20260820T183039529375Z</x:v>
      </x:c>
      <x:c r="B10" s="47" t="str">
        <x:v>TRF-048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frameBoundaryConditionEvidence</x:v>
      </x:c>
      <x:c r="J10" s="47" t="n">
        <x:v>0</x:v>
      </x:c>
    </x:row>
    <x:row r="11">
      <x:c r="A11" s="47" t="str">
        <x:v>RUN-TRF-048-20260820T183039529375Z</x:v>
      </x:c>
      <x:c r="B11" s="47" t="str">
        <x:v>TRF-048</x:v>
      </x:c>
      <x:c r="C11" s="47" t="str">
        <x:v>frame</x:v>
      </x:c>
      <x:c r="D11" s="48" t="str">
        <x:v>https://w3id.org/nltl/vocab#frame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range dependency of longitudinalFrame</x:v>
      </x:c>
      <x:c r="J11" s="47" t="n">
        <x:v>0</x:v>
      </x:c>
    </x:row>
    <x:row r="12">
      <x:c r="A12" s="47" t="str">
        <x:v>RUN-TRF-048-20260820T183039529375Z</x:v>
      </x:c>
      <x:c r="B12" s="47" t="str">
        <x:v>TRF-048</x:v>
      </x:c>
      <x:c r="C12" s="47" t="str">
        <x:v>frameBoundaryConditionEvidence</x:v>
      </x:c>
      <x:c r="D12" s="48" t="str">
        <x:v>https://w3id.org/nltl/vocab#frameBoundaryConditionEvidence</x:v>
      </x:c>
      <x:c r="E12" s="47" t="str">
        <x:v>Class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index; range dependency of hasFrameBoundaryConditionEvidence</x:v>
      </x:c>
      <x:c r="J12" s="47" t="n">
        <x:v>0</x:v>
      </x:c>
    </x:row>
    <x:row r="13">
      <x:c r="A13" s="47" t="str">
        <x:v>RUN-TRF-048-20260820T183039529375Z</x:v>
      </x:c>
      <x:c r="B13" s="47" t="str">
        <x:v>TRF-048</x:v>
      </x:c>
      <x:c r="C13" s="47" t="str">
        <x:v>frameMomentFactorM</x:v>
      </x:c>
      <x:c r="D13" s="48" t="str">
        <x:v>https://w3id.org/nltl/vocab#frameMomentFactorM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RUN-TRF-048-20260820T183039529375Z</x:v>
      </x:c>
      <x:c r="B14" s="47" t="str">
        <x:v>TRF-048</x:v>
      </x:c>
      <x:c r="C14" s="47" t="str">
        <x:v>grossFrameShearArea</x:v>
      </x:c>
      <x:c r="D14" s="48" t="str">
        <x:v>https://w3id.org/nltl/vocab#grossFrameShearArea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RUN-TRF-048-20260820T183039529375Z</x:v>
      </x:c>
      <x:c r="B15" s="47" t="str">
        <x:v>TRF-048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RUN-TRF-048-20260820T183039529375Z</x:v>
      </x:c>
      <x:c r="B16" s="47" t="str">
        <x:v>TRF-048</x:v>
      </x:c>
      <x:c r="C16" s="47" t="str">
        <x:v>hasFrameBoundaryConditionEvidence</x:v>
      </x:c>
      <x:c r="D16" s="48" t="str">
        <x:v>https://w3id.org/nltl/vocab#hasFrameBoundaryConditionEvidence</x:v>
      </x:c>
      <x:c r="E16" s="47" t="str">
        <x:v>ObjectProperty</x:v>
      </x:c>
      <x:c r="F16" s="47" t="str"/>
      <x:c r="G16" s="47" t="str">
        <x:v>https://w3id.org/nltl/vocab#frameBoundaryConditionEvidence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RUN-TRF-048-20260820T183039529375Z</x:v>
      </x:c>
      <x:c r="B17" s="47" t="str">
        <x:v>TRF-048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connectionBracket</x:v>
      </x:c>
      <x:c r="J17" s="47" t="n">
        <x:v>0</x:v>
      </x:c>
    </x:row>
    <x:row r="18">
      <x:c r="A18" s="47" t="str">
        <x:v>RUN-TRF-048-20260820T183039529375Z</x:v>
      </x:c>
      <x:c r="B18" s="47" t="str">
        <x:v>TRF-048</x:v>
      </x:c>
      <x:c r="C18" s="47" t="str">
        <x:v>icePressure</x:v>
      </x:c>
      <x:c r="D18" s="48" t="str">
        <x:v>https://w3id.org/nltl/vocab#icePressure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RUN-TRF-048-20260820T183039529375Z</x:v>
      </x:c>
      <x:c r="B19" s="47" t="str">
        <x:v>TRF-048</x:v>
      </x:c>
      <x:c r="C19" s="47" t="str">
        <x:v>longitudinalFrame</x:v>
      </x:c>
      <x:c r="D19" s="48" t="str">
        <x:v>https://w3id.org/nltl/vocab#longitudinalFrame</x:v>
      </x:c>
      <x:c r="E19" s="47" t="str">
        <x:v>Class</x:v>
      </x:c>
      <x:c r="F19" s="47" t="str"/>
      <x:c r="G19" s="47" t="str">
        <x:v>https://w3id.org/nltl/vocab#frame</x:v>
      </x:c>
      <x:c r="H19" s="47" t="str"/>
      <x:c r="I19" s="48" t="str">
        <x:v>authoritative required owner class; authoritative requirement target owner; domain dependency of hasFrameBoundaryConditionEvidence; linked by the locked 313-requirement index</x:v>
      </x:c>
      <x:c r="J19" s="47" t="n">
        <x:v>0</x:v>
      </x:c>
    </x:row>
    <x:row r="20">
      <x:c r="A20" s="47" t="str">
        <x:v>RUN-TRF-048-20260820T183039529375Z</x:v>
      </x:c>
      <x:c r="B20" s="47" t="str">
        <x:v>TRF-048</x:v>
      </x:c>
      <x:c r="C20" s="47" t="str">
        <x:v>longitudinalFrameLoadDistributionFactorF4</x:v>
      </x:c>
      <x:c r="D20" s="48" t="str">
        <x:v>https://w3id.org/nltl/vocab#longitudinalFrameLoadDistributionFactorF4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RUN-TRF-048-20260820T183039529375Z</x:v>
      </x:c>
      <x:c r="B21" s="47" t="str">
        <x:v>TRF-048</x:v>
      </x:c>
      <x:c r="C21" s="47" t="str">
        <x:v>longitudinalFrameShearFactorF5</x:v>
      </x:c>
      <x:c r="D21" s="48" t="str">
        <x:v>https://w3id.org/nltl/vocab#longitudinalFrameShearFactorF5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RUN-TRF-048-20260820T183039529375Z</x:v>
      </x:c>
      <x:c r="B22" s="47" t="str">
        <x:v>TRF-048</x:v>
      </x:c>
      <x:c r="C22" s="47" t="str">
        <x:v>sectionModulus</x:v>
      </x:c>
      <x:c r="D22" s="48" t="str">
        <x:v>https://w3id.org/nltl/vocab#sectionModulus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http://qudt.org/vocab/unit/CentiM3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RUN-TRF-048-20260820T183039529375Z</x:v>
      </x:c>
      <x:c r="B23" s="47" t="str">
        <x:v>TRF-048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RUN-TRF-048-20260820T183039529375Z</x:v>
      </x:c>
      <x:c r="B24" s="47" t="str">
        <x:v>TRF-048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RUN-TRF-048-20260820T183039529375Z</x:v>
      </x:c>
      <x:c r="B25" s="47" t="str">
        <x:v>TRF-048</x:v>
      </x:c>
      <x:c r="C25" s="47" t="str">
        <x:v>significantlyDifferentBoundaryConditions</x:v>
      </x:c>
      <x:c r="D25" s="48" t="str">
        <x:v>https://w3id.org/nltl/vocab#significantlyDifferentBoundaryConditions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RUN-TRF-048-20260820T183039529375Z</x:v>
      </x:c>
      <x:c r="B26" s="47" t="str">
        <x:v>TRF-048</x:v>
      </x:c>
      <x:c r="C26" s="47" t="str">
        <x:v>spacing</x:v>
      </x:c>
      <x:c r="D26" s="48" t="str">
        <x:v>https://w3id.org/nltl/vocab#spacing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RUN-TRF-048-20260820T183039529375Z</x:v>
      </x:c>
      <x:c r="B27" s="47" t="str">
        <x:v>TRF-048</x:v>
      </x:c>
      <x:c r="C27" s="47" t="str">
        <x:v>span</x:v>
      </x:c>
      <x:c r="D27" s="48" t="str">
        <x:v>https://w3id.org/nltl/vocab#span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RUN-TRF-048-20260820T183039529375Z</x:v>
      </x:c>
      <x:c r="B28" s="49" t="str">
        <x:v>TRF-048</x:v>
      </x:c>
      <x:c r="C28" s="49" t="str">
        <x:v>yieldStrength</x:v>
      </x:c>
      <x:c r="D28" s="50" t="str">
        <x:v>https://w3id.org/nltl/vocab#yieldStrength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http://qudt.org/vocab/unit/MegaPA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0ed9b2b99c43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RUN-TRF-048-20260820T183039529375Z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RUN-TRF-048-20260820T183039529375Z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RUN-TRF-048-20260820T183039529375Z</x:v>
      </x:c>
      <x:c r="B6" s="49" t="str">
        <x:v>TRF-048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aac64884d640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RUN-TRF-048-20260820T183039529375Z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RUN-TRF-048-20260820T183039529375Z</x:v>
      </x:c>
      <x:c r="B5" s="45" t="str">
        <x:v>TRF-048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https://w3id.org/nltl/vocab#actualFrameShearArea | https://w3id.org/nltl/vocab#designIceLoadHeight | https://w3id.org/nltl/vocab#frameMomentFactorM | https://w3id.org/nltl/vocab#icePressure | https://w3id.org/nltl/vocab#longitudinalFrame | https://w3id.org/nltl/vocab#longitudinalFrameLoadDistributionFactorF4 | https://w3id.org/nltl/vocab#longitudinalFrameShearFactorF5 | https://w3id.org/nltl/vocab#sectionModulus | https://w3id.org/nltl/vocab#significantlyDifferentBoundaryConditions | https://w3id.org/nltl/vocab#spacing | https://w3id.org/nltl/vocab#span | https://w3id.org/nltl/vocab#yieldStrength</x:v>
      </x:c>
      <x:c r="O5" s="46" t="str"/>
      <x:c r="P5" s="46" t="str"/>
      <x:c r="Q5" s="46" t="str"/>
    </x:row>
    <x:row r="6">
      <x:c r="A6" s="47" t="str">
        <x:v>RUN-TRF-048-20260820T183039529375Z</x:v>
      </x:c>
      <x:c r="B6" s="47" t="str">
        <x:v>TRF-048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https://w3id.org/nltl/vocab#actualFrameShearArea | https://w3id.org/nltl/vocab#bracketArea | https://w3id.org/nltl/vocab#designIceLoadHeight | https://w3id.org/nltl/vocab#frameBoundaryConditionEvidence | https://w3id.org/nltl/vocab#frameMomentFactorM | https://w3id.org/nltl/vocab#grossFrameShearArea | https://w3id.org/nltl/vocab#hasFrameBoundaryConditionEvidence | https://w3id.org/nltl/vocab#icePressure | https://w3id.org/nltl/vocab#longitudinalFrame | https://w3id.org/nltl/vocab#longitudinalFrameLoadDistributionFactorF4 | https://w3id.org/nltl/vocab#longitudinalFrameShearFactorF5 | https://w3id.org/nltl/vocab#sectionModulus | https://w3id.org/nltl/vocab#significantlyDifferentBoundaryConditions | https://w3id.org/nltl/vocab#spacing | https://w3id.org/nltl/vocab#span | https://w3id.org/nltl/vocab#yieldStrength</x:v>
      </x:c>
      <x:c r="O6" s="48" t="str"/>
      <x:c r="P6" s="48" t="str"/>
      <x:c r="Q6" s="48" t="str"/>
    </x:row>
    <x:row r="7">
      <x:c r="A7" s="49" t="str">
        <x:v>RUN-TRF-048-20260820T183039529375Z</x:v>
      </x:c>
      <x:c r="B7" s="49" t="str">
        <x:v>TRF-048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https://w3id.org/nltl/vocab#actualFrameShearArea | https://w3id.org/nltl/vocab#bracketArea | https://w3id.org/nltl/vocab#designIceLoadHeight | https://w3id.org/nltl/vocab#frameBoundaryConditionEvidence | https://w3id.org/nltl/vocab#frameMomentFactorM | https://w3id.org/nltl/vocab#grossFrameShearArea | https://w3id.org/nltl/vocab#hasFrameBoundaryConditionEvidence | https://w3id.org/nltl/vocab#icePressure | https://w3id.org/nltl/vocab#longitudinalFrame | https://w3id.org/nltl/vocab#longitudinalFrameLoadDistributionFactorF4 | https://w3id.org/nltl/vocab#longitudinalFrameShearFactorF5 | https://w3id.org/nltl/vocab#sectionModulus | https://w3id.org/nltl/vocab#significantlyDifferentBoundaryConditions | https://w3id.org/nltl/vocab#spacing | https://w3id.org/nltl/vocab#span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37c53586ef744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RUN-TRF-048-20260820T183039529375Z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RUN-TRF-048-20260820T183039529375Z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RUN-TRF-048-20260820T183039529375Z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965df6fefc8d3c51e9d04efd1c4c6c1a40e1db1ada41080af04fb1a2643c8799</x:v>
      </x:c>
      <x:c r="G5" s="58" t="n">
        <x:v>31453</x:v>
      </x:c>
    </x:row>
    <x:row r="6">
      <x:c r="A6" s="47" t="str">
        <x:v>RUN-TRF-048-20260820T183039529375Z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RUN-TRF-048-20260820T183039529375Z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a4bbc75ff2acec1552b46005a9e129e7173e5de114a39793079506356ed4b4f5</x:v>
      </x:c>
      <x:c r="G7" s="59" t="n">
        <x:v>47463</x:v>
      </x:c>
    </x:row>
    <x:row r="8">
      <x:c r="A8" s="47" t="str">
        <x:v>RUN-TRF-048-20260820T183039529375Z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8977c426155a7d9ac5e7ea88454a2dee61670496023e01ace88a362ea2178d3c</x:v>
      </x:c>
      <x:c r="G8" s="59" t="n">
        <x:v>9328</x:v>
      </x:c>
    </x:row>
    <x:row r="9">
      <x:c r="A9" s="47" t="str">
        <x:v>RUN-TRF-048-20260820T183039529375Z</x:v>
      </x:c>
      <x:c r="B9" s="47" t="str">
        <x:v>TRF-048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2161c9bfe07bbddb9a0982dfb81643abf683c809c289d53ea62e7d789d33b8ae</x:v>
      </x:c>
      <x:c r="G9" s="59" t="n">
        <x:v>9303</x:v>
      </x:c>
    </x:row>
    <x:row r="10">
      <x:c r="A10" s="47" t="str">
        <x:v>RUN-TRF-048-20260820T183039529375Z</x:v>
      </x:c>
      <x:c r="B10" s="47" t="str">
        <x:v>TRF-048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45929d0e4df24029b070fa1dd60ad298ed78673744301467690a84195a0794d2</x:v>
      </x:c>
      <x:c r="G10" s="59" t="n">
        <x:v>1055</x:v>
      </x:c>
    </x:row>
    <x:row r="11">
      <x:c r="A11" s="47" t="str">
        <x:v>RUN-TRF-048-20260820T183039529375Z</x:v>
      </x:c>
      <x:c r="B11" s="47" t="str">
        <x:v>TRF-048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fcbc35f2f377946f22ff4ff20c7bdc61e81454444336a8e18beb7086d2e9b00f</x:v>
      </x:c>
      <x:c r="G11" s="59" t="n">
        <x:v>52911</x:v>
      </x:c>
    </x:row>
    <x:row r="12">
      <x:c r="A12" s="47" t="str">
        <x:v>RUN-TRF-048-20260820T183039529375Z</x:v>
      </x:c>
      <x:c r="B12" s="47" t="str">
        <x:v>TRF-048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adec2584b57dbed38cba3c250e856a1f80cb72075d51f5ba2955ac11dc42af71</x:v>
      </x:c>
      <x:c r="G12" s="59" t="n">
        <x:v>789</x:v>
      </x:c>
    </x:row>
    <x:row r="13">
      <x:c r="A13" s="47" t="str">
        <x:v>RUN-TRF-048-20260820T183039529375Z</x:v>
      </x:c>
      <x:c r="B13" s="47" t="str">
        <x:v>TRF-048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6293b7a5ed40377185c7f37fd0b74922671beb90ddd246c67c87786478df5a06</x:v>
      </x:c>
      <x:c r="G13" s="59" t="n">
        <x:v>48187</x:v>
      </x:c>
    </x:row>
    <x:row r="14">
      <x:c r="A14" s="47" t="str">
        <x:v>RUN-TRF-048-20260820T183039529375Z</x:v>
      </x:c>
      <x:c r="B14" s="47" t="str">
        <x:v>TRF-048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73c00801372aea24a28a47a37cdd76648adf9a5b25078756a8e4b56ccf131745</x:v>
      </x:c>
      <x:c r="G14" s="59" t="n">
        <x:v>10441</x:v>
      </x:c>
    </x:row>
    <x:row r="15">
      <x:c r="A15" s="47" t="str">
        <x:v>RUN-TRF-048-20260820T183039529375Z</x:v>
      </x:c>
      <x:c r="B15" s="47" t="str">
        <x:v>TRF-048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11163fdc93752eac5793fcb7c93ca15fa6dbae78fdda5998530fd53a7d31a03a</x:v>
      </x:c>
      <x:c r="G15" s="59" t="n">
        <x:v>10416</x:v>
      </x:c>
    </x:row>
    <x:row r="16">
      <x:c r="A16" s="47" t="str">
        <x:v>RUN-TRF-048-20260820T183039529375Z</x:v>
      </x:c>
      <x:c r="B16" s="47" t="str">
        <x:v>TRF-048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fdf10add659e33586875147330e5d73365ce30527d65379ed6950551ada565eb</x:v>
      </x:c>
      <x:c r="G16" s="59" t="n">
        <x:v>1292</x:v>
      </x:c>
    </x:row>
    <x:row r="17">
      <x:c r="A17" s="47" t="str">
        <x:v>RUN-TRF-048-20260820T183039529375Z</x:v>
      </x:c>
      <x:c r="B17" s="47" t="str">
        <x:v>TRF-048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989f1e579c191a0c4e53e5d910833d1364bc1920ae34eff428f1b16dab2b3124</x:v>
      </x:c>
      <x:c r="G17" s="59" t="n">
        <x:v>56473</x:v>
      </x:c>
    </x:row>
    <x:row r="18">
      <x:c r="A18" s="47" t="str">
        <x:v>RUN-TRF-048-20260820T183039529375Z</x:v>
      </x:c>
      <x:c r="B18" s="47" t="str">
        <x:v>TRF-048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596790d42e19035bb7114a3e92ac434f29980506298e916b971baa74b672ec3f</x:v>
      </x:c>
      <x:c r="G18" s="59" t="n">
        <x:v>539</x:v>
      </x:c>
    </x:row>
    <x:row r="19">
      <x:c r="A19" s="47" t="str">
        <x:v>RUN-TRF-048-20260820T183039529375Z</x:v>
      </x:c>
      <x:c r="B19" s="47" t="str">
        <x:v>TRF-048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12f99a58f577e2fe4dd21767b4fe6f2406f4fdf9569873916d84f6fbb8adf7c8</x:v>
      </x:c>
      <x:c r="G19" s="59" t="n">
        <x:v>48669</x:v>
      </x:c>
    </x:row>
    <x:row r="20">
      <x:c r="A20" s="47" t="str">
        <x:v>RUN-TRF-048-20260820T183039529375Z</x:v>
      </x:c>
      <x:c r="B20" s="47" t="str">
        <x:v>TRF-048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afa5e6e22a64cd4b6c21eee1900de307d2be83f22ae65d04a77a748dff46a8f1</x:v>
      </x:c>
      <x:c r="G20" s="59" t="n">
        <x:v>11205</x:v>
      </x:c>
    </x:row>
    <x:row r="21">
      <x:c r="A21" s="47" t="str">
        <x:v>RUN-TRF-048-20260820T183039529375Z</x:v>
      </x:c>
      <x:c r="B21" s="47" t="str">
        <x:v>TRF-048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894824193362e1317513b33638692a571bad2b25799d750b0e1d18380ba43182</x:v>
      </x:c>
      <x:c r="G21" s="59" t="n">
        <x:v>11180</x:v>
      </x:c>
    </x:row>
    <x:row r="22">
      <x:c r="A22" s="47" t="str">
        <x:v>RUN-TRF-048-20260820T183039529375Z</x:v>
      </x:c>
      <x:c r="B22" s="47" t="str">
        <x:v>TRF-048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fdf10add659e33586875147330e5d73365ce30527d65379ed6950551ada565eb</x:v>
      </x:c>
      <x:c r="G22" s="59" t="n">
        <x:v>1292</x:v>
      </x:c>
    </x:row>
    <x:row r="23">
      <x:c r="A23" s="47" t="str">
        <x:v>RUN-TRF-048-20260820T183039529375Z</x:v>
      </x:c>
      <x:c r="B23" s="47" t="str">
        <x:v>TRF-048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b092663526428004eb2d3882e028e89905715c148dc636907529540ef6e8e1d8</x:v>
      </x:c>
      <x:c r="G23" s="59" t="n">
        <x:v>57733</x:v>
      </x:c>
    </x:row>
    <x:row r="24">
      <x:c r="A24" s="49" t="str">
        <x:v>RUN-TRF-048-20260820T183039529375Z</x:v>
      </x:c>
      <x:c r="B24" s="49" t="str">
        <x:v>TRF-048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1fb43e93a93394b42359e459525cd609ed7485265241071a4f923dfacd851906</x:v>
      </x:c>
      <x:c r="G24" s="60" t="n">
        <x:v>740</x:v>
      </x:c>
    </x:row>
  </x:sheetData>
  <x:pageMargins left="0.7" right="0.7" top="0.75" bottom="0.75" header="0.3" footer="0.3"/>
  <x:tableParts count="1">
    <x:tablePart xmlns:r="http://schemas.openxmlformats.org/officeDocument/2006/relationships" r:id="Re9f1ee9521b24a4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RUN-TRF-048-20260820T183039529375Z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RUN-TRF-048-20260820T183039529375Z</x:v>
      </x:c>
      <x:c r="B5" s="69" t="str">
        <x:v>TRF-048</x:v>
      </x:c>
      <x:c r="C5" s="71" t="n">
        <x:v>3</x:v>
      </x:c>
      <x:c r="D5" s="69" t="str">
        <x:v>MAX_ATTEMPTS_REACHED</x:v>
      </x:c>
      <x:c r="E5" s="73" t="str">
        <x:v>Repair the shear-area formula query to bind nltl:longitudinalFrameShearFactorF5 and use ?f5Val as the f_5 operand rather than hard-coding 2.16; retain the existing equal inclusive 2.16 bounds on f_5. Make nltl:significantlyDifferentBoundaryConditions a single required boolean selector (outer sh:minCount 1, sh:maxCount 1, sh:datatype xsd:boolean) so both branches cannot be asserted simultaneously. In the false/default branch enforce m = 13.3 through equal sh:minInclusive and sh:maxInclusive bounds on qudt:numericValue of frameMomentFactorM, rather than relying only on SPARQL inequality; retain the true branch evidence requirement and its strict smaller-than-13.3 check.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d5d8624d5f4f7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RUN-TRF-048-20260820T183039529375Z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