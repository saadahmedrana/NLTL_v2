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c38ce1120244a39" /></Relationships>
</file>

<file path=xl/workbook.xml><?xml version="1.0" encoding="utf-8"?>
<x:workbook xmlns:x="http://schemas.openxmlformats.org/spreadsheetml/2006/main">
  <x:sheets>
    <x:sheet xmlns:r="http://schemas.openxmlformats.org/officeDocument/2006/relationships" name="SUMMARY" sheetId="1" r:id="R04c9a6fe950340de"/>
    <x:sheet xmlns:r="http://schemas.openxmlformats.org/officeDocument/2006/relationships" name="README" sheetId="2" r:id="R30451109f6a143be"/>
    <x:sheet xmlns:r="http://schemas.openxmlformats.org/officeDocument/2006/relationships" name="REGULATION_QUEUE" sheetId="3" r:id="R5d003a4d66dc41e6"/>
    <x:sheet xmlns:r="http://schemas.openxmlformats.org/officeDocument/2006/relationships" name="RUNS" sheetId="4" r:id="R37fc6d9415ed4ec7"/>
    <x:sheet xmlns:r="http://schemas.openxmlformats.org/officeDocument/2006/relationships" name="ITERATIONS" sheetId="5" r:id="Ra716c45e391b4552"/>
    <x:sheet xmlns:r="http://schemas.openxmlformats.org/officeDocument/2006/relationships" name="API_CALLS" sheetId="6" r:id="R8b2c7f9f4d0b4ed5"/>
    <x:sheet xmlns:r="http://schemas.openxmlformats.org/officeDocument/2006/relationships" name="TERM_RETRIEVAL" sheetId="7" r:id="R1888d2a031f5403a"/>
    <x:sheet xmlns:r="http://schemas.openxmlformats.org/officeDocument/2006/relationships" name="FEW_SHOT_SELECTION" sheetId="8" r:id="R63cce4e4846940e5"/>
    <x:sheet xmlns:r="http://schemas.openxmlformats.org/officeDocument/2006/relationships" name="VALIDATION" sheetId="9" r:id="R1cfb33011dcc41a7"/>
    <x:sheet xmlns:r="http://schemas.openxmlformats.org/officeDocument/2006/relationships" name="VOCAB_MATCHES" sheetId="10" r:id="R277dbe512ee64c59"/>
    <x:sheet xmlns:r="http://schemas.openxmlformats.org/officeDocument/2006/relationships" name="ARTIFACTS" sheetId="11" r:id="R5e15e5b964c24959"/>
    <x:sheet xmlns:r="http://schemas.openxmlformats.org/officeDocument/2006/relationships" name="UNRESOLVED" sheetId="12" r:id="Rb0c19e97cbf549f4"/>
    <x:sheet xmlns:r="http://schemas.openxmlformats.org/officeDocument/2006/relationships" name="RDF_TEST_QUEUE" sheetId="13" r:id="R7725e3ec50fc405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9922bb6be3d4683" /><Relationship Type="http://schemas.openxmlformats.org/officeDocument/2006/relationships/theme" Target="/xl/theme/theme1.xml" Id="R5d52e09d2b2940d5" /><Relationship Type="http://schemas.microsoft.com/office/2022/11/relationships/FeaturePropertyBag" Target="/xl/featurePropertyBag/featurePropertyBag.xml" Id="R8330735fc4f54d8e" /><Relationship Type="http://schemas.openxmlformats.org/officeDocument/2006/relationships/sharedStrings" Target="/xl/sharedStrings.xml" Id="R60cf0062c3bf4b7e" /><Relationship Type="http://schemas.openxmlformats.org/officeDocument/2006/relationships/worksheet" Target="/xl/worksheets/sheet1.xml" Id="R04c9a6fe950340de" /><Relationship Type="http://schemas.openxmlformats.org/officeDocument/2006/relationships/worksheet" Target="/xl/worksheets/sheet2.xml" Id="R30451109f6a143be" /><Relationship Type="http://schemas.openxmlformats.org/officeDocument/2006/relationships/worksheet" Target="/xl/worksheets/sheet3.xml" Id="R5d003a4d66dc41e6" /><Relationship Type="http://schemas.openxmlformats.org/officeDocument/2006/relationships/worksheet" Target="/xl/worksheets/sheet4.xml" Id="R37fc6d9415ed4ec7" /><Relationship Type="http://schemas.openxmlformats.org/officeDocument/2006/relationships/worksheet" Target="/xl/worksheets/sheet5.xml" Id="Ra716c45e391b4552" /><Relationship Type="http://schemas.openxmlformats.org/officeDocument/2006/relationships/worksheet" Target="/xl/worksheets/sheet6.xml" Id="R8b2c7f9f4d0b4ed5" /><Relationship Type="http://schemas.openxmlformats.org/officeDocument/2006/relationships/worksheet" Target="/xl/worksheets/sheet7.xml" Id="R1888d2a031f5403a" /><Relationship Type="http://schemas.openxmlformats.org/officeDocument/2006/relationships/worksheet" Target="/xl/worksheets/sheet8.xml" Id="R63cce4e4846940e5" /><Relationship Type="http://schemas.openxmlformats.org/officeDocument/2006/relationships/worksheet" Target="/xl/worksheets/sheet9.xml" Id="R1cfb33011dcc41a7" /><Relationship Type="http://schemas.openxmlformats.org/officeDocument/2006/relationships/worksheet" Target="/xl/worksheets/sheet10.xml" Id="R277dbe512ee64c59" /><Relationship Type="http://schemas.openxmlformats.org/officeDocument/2006/relationships/worksheet" Target="/xl/worksheets/sheet11.xml" Id="R5e15e5b964c24959" /><Relationship Type="http://schemas.openxmlformats.org/officeDocument/2006/relationships/worksheet" Target="/xl/worksheets/sheet12.xml" Id="Rb0c19e97cbf549f4" /><Relationship Type="http://schemas.openxmlformats.org/officeDocument/2006/relationships/worksheet" Target="/xl/worksheets/sheet13.xml" Id="R7725e3ec50fc405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ae2abead5af4a02" /></Relationships>
</file>

<file path=xl/worksheets/_rels/sheet3.xml.rels>&#65279;<?xml version="1.0" encoding="utf-8"?><Relationships xmlns="http://schemas.openxmlformats.org/package/2006/relationships"><Relationship Type="http://schemas.openxmlformats.org/officeDocument/2006/relationships/table" Target="/xl/tables/table2.xml" Id="R8112fcbf95634825" /></Relationships>
</file>

<file path=xl/worksheets/_rels/sheet4.xml.rels>&#65279;<?xml version="1.0" encoding="utf-8"?><Relationships xmlns="http://schemas.openxmlformats.org/package/2006/relationships"><Relationship Type="http://schemas.openxmlformats.org/officeDocument/2006/relationships/table" Target="/xl/tables/table3.xml" Id="R5222821aedff4683" /></Relationships>
</file>

<file path=xl/worksheets/_rels/sheet5.xml.rels>&#65279;<?xml version="1.0" encoding="utf-8"?><Relationships xmlns="http://schemas.openxmlformats.org/package/2006/relationships"><Relationship Type="http://schemas.openxmlformats.org/officeDocument/2006/relationships/table" Target="/xl/tables/table4.xml" Id="Raafb2ee315f24526" /></Relationships>
</file>

<file path=xl/worksheets/_rels/sheet6.xml.rels>&#65279;<?xml version="1.0" encoding="utf-8"?><Relationships xmlns="http://schemas.openxmlformats.org/package/2006/relationships"><Relationship Type="http://schemas.openxmlformats.org/officeDocument/2006/relationships/table" Target="/xl/tables/table5.xml" Id="Rbc13cf8788bf4059" /></Relationships>
</file>

<file path=xl/worksheets/_rels/sheet7.xml.rels>&#65279;<?xml version="1.0" encoding="utf-8"?><Relationships xmlns="http://schemas.openxmlformats.org/package/2006/relationships"><Relationship Type="http://schemas.openxmlformats.org/officeDocument/2006/relationships/table" Target="/xl/tables/table6.xml" Id="R3e297f29fb264c5a" /></Relationships>
</file>

<file path=xl/worksheets/_rels/sheet8.xml.rels>&#65279;<?xml version="1.0" encoding="utf-8"?><Relationships xmlns="http://schemas.openxmlformats.org/package/2006/relationships"><Relationship Type="http://schemas.openxmlformats.org/officeDocument/2006/relationships/table" Target="/xl/tables/table7.xml" Id="Rc663892b74b04436" /></Relationships>
</file>

<file path=xl/worksheets/_rels/sheet9.xml.rels>&#65279;<?xml version="1.0" encoding="utf-8"?><Relationships xmlns="http://schemas.openxmlformats.org/package/2006/relationships"><Relationship Type="http://schemas.openxmlformats.org/officeDocument/2006/relationships/table" Target="/xl/tables/table8.xml" Id="Re6d6b0c583da4985" /></Relationships>
</file>

<file path=xl/worksheets/_rels/sheet10.xml.rels>&#65279;<?xml version="1.0" encoding="utf-8"?><Relationships xmlns="http://schemas.openxmlformats.org/package/2006/relationships"><Relationship Type="http://schemas.openxmlformats.org/officeDocument/2006/relationships/table" Target="/xl/tables/table9.xml" Id="R98b7343a307d454a" /></Relationships>
</file>

<file path=xl/worksheets/_rels/sheet11.xml.rels>&#65279;<?xml version="1.0" encoding="utf-8"?><Relationships xmlns="http://schemas.openxmlformats.org/package/2006/relationships"><Relationship Type="http://schemas.openxmlformats.org/officeDocument/2006/relationships/table" Target="/xl/tables/table10.xml" Id="R7c5c561b07ca407e" /></Relationships>
</file>

<file path=xl/worksheets/_rels/sheet12.xml.rels>&#65279;<?xml version="1.0" encoding="utf-8"?><Relationships xmlns="http://schemas.openxmlformats.org/package/2006/relationships"><Relationship Type="http://schemas.openxmlformats.org/officeDocument/2006/relationships/table" Target="/xl/tables/table11.xml" Id="R947d6279456049c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RUN-I2-014-20260813T221520531337Z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COUNTA('API_CALLS'!$A$5:$A$18)</x:f>
        <x:v>14</x:v>
      </x:c>
      <x:c r="C9" s="21"/>
      <x:c r="D9" s="21"/>
    </x:row>
    <x:row r="10">
      <x:c r="A10" s="27" t="str">
        <x:v>Mean API/LLM elapsed ms</x:v>
      </x:c>
      <x:c r="B10" s="28" t="n">
        <x:f>IFERROR(AVERAGE('API_CALLS'!$K$5:$K$18),0)</x:f>
        <x:v>27440.424285714285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RUN-I2-014-20260813T221520531337Z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ae2abead5af4a0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RUN-I2-014-20260813T221520531337Z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TERM_RESOLUTION_UNRESOLVED</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112fcbf9563482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RUN-I2-014-20260813T221520531337Z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SESSION-BATCH-20260813T221520531173Z</x:v>
      </x:c>
      <x:c r="B5" s="69" t="str">
        <x:v>RUN-I2-014-20260813T221520531337Z</x:v>
      </x:c>
      <x:c r="C5" s="69" t="str">
        <x:v>I2-014</x:v>
      </x:c>
      <x:c r="D5" s="70" t="n">
        <x:v>46247.92732096065</x:v>
      </x:c>
      <x:c r="E5" s="70" t="n">
        <x:v>46247.92956556713</x:v>
      </x:c>
      <x:c r="F5" s="69" t="str">
        <x:v>0.11.0-dev-r11-failure-closure</x:v>
      </x:c>
      <x:c r="G5" s="69" t="str">
        <x:v>VOCAB-DEV-2026-08-14-R11-FAILURE-CLOSURE</x:v>
      </x:c>
      <x:c r="H5" s="71" t="n">
        <x:v>3</x:v>
      </x:c>
      <x:c r="I5" s="69" t="str">
        <x:v>TERM_RESOLUTION_UNRESOLVED</x:v>
      </x:c>
      <x:c r="J5" s="72" t="b">
        <x:v>0</x:v>
      </x:c>
      <x:c r="K5" s="69" t="str"/>
      <x:c r="L5" s="73" t="str">
        <x:v>Remove the unsupported equations equating glancing values to calculated values and deriving total force, Pavg, b, and w from maxima; I2-014 supplies no such formula. Obtain canonical calculation/provenance relationship or formula-model terms to validate that each case's F, Q, P, and AR is calculated at its midpoint and that the respective maxima are used to calculate Pavg, b, and w, rather than imposing invented arithmetic.</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222821aedff468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RUN-I2-014-20260813T221520531337Z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RUN-I2-014-20260813T221520531337Z</x:v>
      </x:c>
      <x:c r="B5" s="45" t="str">
        <x:v>I2-014</x:v>
      </x:c>
      <x:c r="C5" s="58" t="n">
        <x:v>1</x:v>
      </x:c>
      <x:c r="D5" s="83" t="b">
        <x:v>1</x:v>
      </x:c>
      <x:c r="E5" s="83" t="b">
        <x:v>0</x:v>
      </x:c>
      <x:c r="F5" s="83" t="b">
        <x:v>0</x:v>
      </x:c>
      <x:c r="G5" s="45" t="str">
        <x:v>REVISE</x:v>
      </x:c>
      <x:c r="H5" s="46" t="str">
        <x:v>Replace nltl:glancingImpactLineLoad and nltl:glancingImpactPressure on bowSubregionCalculationCase with the supplied canonical nltl:bowSubregionCalculatedLineLoad and nltl:bowSubregionCalculatedPressure, including in the maximum-selection SPARQL query. The current graph checks different glancing-impact properties rather than the required per-subregion calculated Q and P values.</x:v>
      </x:c>
      <x:c r="I5" s="84" t="n">
        <x:v>58347.966</x:v>
      </x:c>
      <x:c r="J5" s="84" t="n">
        <x:v>6028.921</x:v>
      </x:c>
    </x:row>
    <x:row r="6">
      <x:c r="A6" s="47" t="str">
        <x:v>RUN-I2-014-20260813T221520531337Z</x:v>
      </x:c>
      <x:c r="B6" s="47" t="str">
        <x:v>I2-014</x:v>
      </x:c>
      <x:c r="C6" s="59" t="n">
        <x:v>2</x:v>
      </x:c>
      <x:c r="D6" s="85" t="b">
        <x:v>1</x:v>
      </x:c>
      <x:c r="E6" s="85" t="b">
        <x:v>0</x:v>
      </x:c>
      <x:c r="F6" s="85" t="b">
        <x:v>0</x:v>
      </x:c>
      <x:c r="G6" s="47" t="str">
        <x:v>REVISE</x:v>
      </x:c>
      <x:c r="H6" s="48" t="str">
        <x:v>Add and constrain the supplied glancingImpactLineLoad and glancingImpactPressure on each bowSubregionCalculationCase (with their required units), and encode the required dependency that the selected maxima of F, Q, and P are used in deriving the required ice-load results, including totalGlancingImpactForce and the Pavg/load-patch outputs. Presence-only constraints on averageIcePressure, loadPatchHeight, loadPatchLength, and totalGlancingImpactForce do not satisfy the complete comparison model or the declared operand/result contract.</x:v>
      </x:c>
      <x:c r="I6" s="86" t="n">
        <x:v>46179.391</x:v>
      </x:c>
      <x:c r="J6" s="86" t="n">
        <x:v>6929.711</x:v>
      </x:c>
    </x:row>
    <x:row r="7">
      <x:c r="A7" s="49" t="str">
        <x:v>RUN-I2-014-20260813T221520531337Z</x:v>
      </x:c>
      <x:c r="B7" s="49" t="str">
        <x:v>I2-014</x:v>
      </x:c>
      <x:c r="C7" s="60" t="n">
        <x:v>3</x:v>
      </x:c>
      <x:c r="D7" s="87" t="b">
        <x:v>1</x:v>
      </x:c>
      <x:c r="E7" s="87" t="b">
        <x:v>0</x:v>
      </x:c>
      <x:c r="F7" s="87" t="b">
        <x:v>1</x:v>
      </x:c>
      <x:c r="G7" s="49" t="str">
        <x:v>STOP_TERM_RESOLUTION</x:v>
      </x:c>
      <x:c r="H7" s="50" t="str">
        <x:v>Remove the unsupported equations equating glancing values to calculated values and deriving total force, Pavg, b, and w from maxima; I2-014 supplies no such formula. Obtain canonical calculation/provenance relationship or formula-model terms to validate that each case's F, Q, P, and AR is calculated at its midpoint and that the respective maxima are used to calculate Pavg, b, and w, rather than imposing invented arithmetic.</x:v>
      </x:c>
      <x:c r="I7" s="88" t="n">
        <x:v>53858.037</x:v>
      </x:c>
      <x:c r="J7" s="88" t="n">
        <x:v>17632.189</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afb2ee315f2452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RUN-I2-014-20260813T221520531337Z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EVT-000031</x:v>
      </x:c>
      <x:c r="B5" s="45" t="str">
        <x:v>RUN-I2-014-20260813T221520531337Z</x:v>
      </x:c>
      <x:c r="C5" s="45" t="str">
        <x:v>I2-014</x:v>
      </x:c>
      <x:c r="D5" s="92" t="n">
        <x:v>46247.92799630787</x:v>
      </x:c>
      <x:c r="E5" s="45" t="str">
        <x:v>generator</x:v>
      </x:c>
      <x:c r="F5" s="45" t="str">
        <x:v>gpt-5.6-sol-2026-07-09</x:v>
      </x:c>
      <x:c r="G5" s="45" t="n">
        <x:v>1</x:v>
      </x:c>
      <x:c r="H5" s="45" t="n">
        <x:v>200</x:v>
      </x:c>
      <x:c r="I5" s="45" t="str">
        <x:v>Ocp-Apim-Subscription-Key</x:v>
      </x:c>
      <x:c r="J5" s="84" t="n">
        <x:v>0</x:v>
      </x:c>
      <x:c r="K5" s="84" t="n">
        <x:v>58346.342</x:v>
      </x:c>
      <x:c r="L5" s="83" t="b">
        <x:v>0</x:v>
      </x:c>
      <x:c r="M5" s="45" t="str"/>
      <x:c r="N5" s="58" t="str"/>
      <x:c r="O5" s="58" t="str"/>
      <x:c r="P5" s="58" t="str"/>
    </x:row>
    <x:row r="6">
      <x:c r="A6" s="47" t="str">
        <x:v>EVT-000032</x:v>
      </x:c>
      <x:c r="B6" s="47" t="str">
        <x:v>RUN-I2-014-20260813T221520531337Z</x:v>
      </x:c>
      <x:c r="C6" s="47" t="str">
        <x:v>I2-014</x:v>
      </x:c>
      <x:c r="D6" s="93" t="n">
        <x:v>46247.92799633102</x:v>
      </x:c>
      <x:c r="E6" s="47" t="str">
        <x:v>generator</x:v>
      </x:c>
      <x:c r="F6" s="47" t="str">
        <x:v>gpt-5.6-sol-2026-07-09</x:v>
      </x:c>
      <x:c r="G6" s="47" t="n">
        <x:v>1</x:v>
      </x:c>
      <x:c r="H6" s="47" t="str">
        <x:v>COMPLETED</x:v>
      </x:c>
      <x:c r="I6" s="47" t="str"/>
      <x:c r="J6" s="86" t="n">
        <x:v>0</x:v>
      </x:c>
      <x:c r="K6" s="86" t="n">
        <x:v>58347.966</x:v>
      </x:c>
      <x:c r="L6" s="85" t="b">
        <x:v>0</x:v>
      </x:c>
      <x:c r="M6" s="47" t="str">
        <x:v>resp_031ae3b4f7b741e8006a7e41f8e2a481959a624f1fb527e7a2</x:v>
      </x:c>
      <x:c r="N6" s="59" t="n">
        <x:v>11164</x:v>
      </x:c>
      <x:c r="O6" s="59" t="n">
        <x:v>5733</x:v>
      </x:c>
      <x:c r="P6" s="59" t="n">
        <x:v>16897</x:v>
      </x:c>
    </x:row>
    <x:row r="7">
      <x:c r="A7" s="47" t="str">
        <x:v>EVT-000039</x:v>
      </x:c>
      <x:c r="B7" s="47" t="str">
        <x:v>RUN-I2-014-20260813T221520531337Z</x:v>
      </x:c>
      <x:c r="C7" s="47" t="str">
        <x:v>I2-014</x:v>
      </x:c>
      <x:c r="D7" s="93" t="n">
        <x:v>46247.928070567126</x:v>
      </x:c>
      <x:c r="E7" s="47" t="str">
        <x:v>validator</x:v>
      </x:c>
      <x:c r="F7" s="47" t="str">
        <x:v>gpt-5.6-terra-2026-07-09</x:v>
      </x:c>
      <x:c r="G7" s="47" t="n">
        <x:v>1</x:v>
      </x:c>
      <x:c r="H7" s="47" t="n">
        <x:v>200</x:v>
      </x:c>
      <x:c r="I7" s="47" t="str">
        <x:v>Ocp-Apim-Subscription-Key</x:v>
      </x:c>
      <x:c r="J7" s="86" t="n">
        <x:v>0</x:v>
      </x:c>
      <x:c r="K7" s="86" t="n">
        <x:v>6027.274</x:v>
      </x:c>
      <x:c r="L7" s="85" t="b">
        <x:v>0</x:v>
      </x:c>
      <x:c r="M7" s="47" t="str"/>
      <x:c r="N7" s="59" t="str"/>
      <x:c r="O7" s="59" t="str"/>
      <x:c r="P7" s="59" t="str"/>
    </x:row>
    <x:row r="8">
      <x:c r="A8" s="47" t="str">
        <x:v>EVT-000040</x:v>
      </x:c>
      <x:c r="B8" s="47" t="str">
        <x:v>RUN-I2-014-20260813T221520531337Z</x:v>
      </x:c>
      <x:c r="C8" s="47" t="str">
        <x:v>I2-014</x:v>
      </x:c>
      <x:c r="D8" s="93" t="n">
        <x:v>46247.92807059028</x:v>
      </x:c>
      <x:c r="E8" s="47" t="str">
        <x:v>validator</x:v>
      </x:c>
      <x:c r="F8" s="47" t="str">
        <x:v>gpt-5.6-terra-2026-07-09</x:v>
      </x:c>
      <x:c r="G8" s="47" t="n">
        <x:v>1</x:v>
      </x:c>
      <x:c r="H8" s="47" t="str">
        <x:v>COMPLETED</x:v>
      </x:c>
      <x:c r="I8" s="47" t="str"/>
      <x:c r="J8" s="86" t="n">
        <x:v>0</x:v>
      </x:c>
      <x:c r="K8" s="86" t="n">
        <x:v>6028.921</x:v>
      </x:c>
      <x:c r="L8" s="85" t="b">
        <x:v>0</x:v>
      </x:c>
      <x:c r="M8" s="47" t="str">
        <x:v>resp_0881b751f0d861af006a7e423369248190b62bd0c0bdd9d804</x:v>
      </x:c>
      <x:c r="N8" s="59" t="n">
        <x:v>14468</x:v>
      </x:c>
      <x:c r="O8" s="59" t="n">
        <x:v>511</x:v>
      </x:c>
      <x:c r="P8" s="59" t="n">
        <x:v>14979</x:v>
      </x:c>
    </x:row>
    <x:row r="9">
      <x:c r="A9" s="47" t="str">
        <x:v>EVT-000045</x:v>
      </x:c>
      <x:c r="B9" s="47" t="str">
        <x:v>RUN-I2-014-20260813T221520531337Z</x:v>
      </x:c>
      <x:c r="C9" s="47" t="str">
        <x:v>I2-014</x:v>
      </x:c>
      <x:c r="D9" s="93" t="n">
        <x:v>46247.92860510416</x:v>
      </x:c>
      <x:c r="E9" s="47" t="str">
        <x:v>generator</x:v>
      </x:c>
      <x:c r="F9" s="47" t="str">
        <x:v>gpt-5.6-sol-2026-07-09</x:v>
      </x:c>
      <x:c r="G9" s="47" t="n">
        <x:v>1</x:v>
      </x:c>
      <x:c r="H9" s="47" t="n">
        <x:v>200</x:v>
      </x:c>
      <x:c r="I9" s="47" t="str">
        <x:v>Ocp-Apim-Subscription-Key</x:v>
      </x:c>
      <x:c r="J9" s="86" t="n">
        <x:v>0</x:v>
      </x:c>
      <x:c r="K9" s="86" t="n">
        <x:v>46177.591</x:v>
      </x:c>
      <x:c r="L9" s="85" t="b">
        <x:v>0</x:v>
      </x:c>
      <x:c r="M9" s="47" t="str"/>
      <x:c r="N9" s="59" t="str"/>
      <x:c r="O9" s="59" t="str"/>
      <x:c r="P9" s="59" t="str"/>
    </x:row>
    <x:row r="10">
      <x:c r="A10" s="47" t="str">
        <x:v>EVT-000046</x:v>
      </x:c>
      <x:c r="B10" s="47" t="str">
        <x:v>RUN-I2-014-20260813T221520531337Z</x:v>
      </x:c>
      <x:c r="C10" s="47" t="str">
        <x:v>I2-014</x:v>
      </x:c>
      <x:c r="D10" s="93" t="n">
        <x:v>46247.928605127316</x:v>
      </x:c>
      <x:c r="E10" s="47" t="str">
        <x:v>generator</x:v>
      </x:c>
      <x:c r="F10" s="47" t="str">
        <x:v>gpt-5.6-sol-2026-07-09</x:v>
      </x:c>
      <x:c r="G10" s="47" t="n">
        <x:v>1</x:v>
      </x:c>
      <x:c r="H10" s="47" t="str">
        <x:v>COMPLETED</x:v>
      </x:c>
      <x:c r="I10" s="47" t="str"/>
      <x:c r="J10" s="86" t="n">
        <x:v>0</x:v>
      </x:c>
      <x:c r="K10" s="86" t="n">
        <x:v>46179.391</x:v>
      </x:c>
      <x:c r="L10" s="85" t="b">
        <x:v>0</x:v>
      </x:c>
      <x:c r="M10" s="47" t="str">
        <x:v>resp_080f96b166c9fca8006a7e42396cac819799752378da31c4c1</x:v>
      </x:c>
      <x:c r="N10" s="59" t="n">
        <x:v>11246</x:v>
      </x:c>
      <x:c r="O10" s="59" t="n">
        <x:v>4784</x:v>
      </x:c>
      <x:c r="P10" s="59" t="n">
        <x:v>16030</x:v>
      </x:c>
    </x:row>
    <x:row r="11">
      <x:c r="A11" s="47" t="str">
        <x:v>EVT-000053</x:v>
      </x:c>
      <x:c r="B11" s="47" t="str">
        <x:v>RUN-I2-014-20260813T221520531337Z</x:v>
      </x:c>
      <x:c r="C11" s="47" t="str">
        <x:v>I2-014</x:v>
      </x:c>
      <x:c r="D11" s="93" t="n">
        <x:v>46247.928689224536</x:v>
      </x:c>
      <x:c r="E11" s="47" t="str">
        <x:v>validator</x:v>
      </x:c>
      <x:c r="F11" s="47" t="str">
        <x:v>gpt-5.6-terra-2026-07-09</x:v>
      </x:c>
      <x:c r="G11" s="47" t="n">
        <x:v>1</x:v>
      </x:c>
      <x:c r="H11" s="47" t="n">
        <x:v>200</x:v>
      </x:c>
      <x:c r="I11" s="47" t="str">
        <x:v>Ocp-Apim-Subscription-Key</x:v>
      </x:c>
      <x:c r="J11" s="86" t="n">
        <x:v>0</x:v>
      </x:c>
      <x:c r="K11" s="86" t="n">
        <x:v>6928.069</x:v>
      </x:c>
      <x:c r="L11" s="85" t="b">
        <x:v>0</x:v>
      </x:c>
      <x:c r="M11" s="47" t="str"/>
      <x:c r="N11" s="59" t="str"/>
      <x:c r="O11" s="59" t="str"/>
      <x:c r="P11" s="59" t="str"/>
    </x:row>
    <x:row r="12">
      <x:c r="A12" s="47" t="str">
        <x:v>EVT-000054</x:v>
      </x:c>
      <x:c r="B12" s="47" t="str">
        <x:v>RUN-I2-014-20260813T221520531337Z</x:v>
      </x:c>
      <x:c r="C12" s="47" t="str">
        <x:v>I2-014</x:v>
      </x:c>
      <x:c r="D12" s="93" t="n">
        <x:v>46247.92868923611</x:v>
      </x:c>
      <x:c r="E12" s="47" t="str">
        <x:v>validator</x:v>
      </x:c>
      <x:c r="F12" s="47" t="str">
        <x:v>gpt-5.6-terra-2026-07-09</x:v>
      </x:c>
      <x:c r="G12" s="47" t="n">
        <x:v>1</x:v>
      </x:c>
      <x:c r="H12" s="47" t="str">
        <x:v>COMPLETED</x:v>
      </x:c>
      <x:c r="I12" s="47" t="str"/>
      <x:c r="J12" s="86" t="n">
        <x:v>0</x:v>
      </x:c>
      <x:c r="K12" s="86" t="n">
        <x:v>6929.711</x:v>
      </x:c>
      <x:c r="L12" s="85" t="b">
        <x:v>0</x:v>
      </x:c>
      <x:c r="M12" s="47" t="str">
        <x:v>resp_0ad95d2c3ba994c1006a7e4267f2f08194bddc6a7f9cc3f0f9</x:v>
      </x:c>
      <x:c r="N12" s="59" t="n">
        <x:v>14343</x:v>
      </x:c>
      <x:c r="O12" s="59" t="n">
        <x:v>552</x:v>
      </x:c>
      <x:c r="P12" s="59" t="n">
        <x:v>14895</x:v>
      </x:c>
    </x:row>
    <x:row r="13">
      <x:c r="A13" s="47" t="str">
        <x:v>EVT-000059</x:v>
      </x:c>
      <x:c r="B13" s="47" t="str">
        <x:v>RUN-I2-014-20260813T221520531337Z</x:v>
      </x:c>
      <x:c r="C13" s="47" t="str">
        <x:v>I2-014</x:v>
      </x:c>
      <x:c r="D13" s="93" t="n">
        <x:v>46247.92931263889</x:v>
      </x:c>
      <x:c r="E13" s="47" t="str">
        <x:v>generator</x:v>
      </x:c>
      <x:c r="F13" s="47" t="str">
        <x:v>gpt-5.6-sol-2026-07-09</x:v>
      </x:c>
      <x:c r="G13" s="47" t="n">
        <x:v>1</x:v>
      </x:c>
      <x:c r="H13" s="47" t="n">
        <x:v>200</x:v>
      </x:c>
      <x:c r="I13" s="47" t="str">
        <x:v>Ocp-Apim-Subscription-Key</x:v>
      </x:c>
      <x:c r="J13" s="86" t="n">
        <x:v>0</x:v>
      </x:c>
      <x:c r="K13" s="86" t="n">
        <x:v>53856.182</x:v>
      </x:c>
      <x:c r="L13" s="85" t="b">
        <x:v>0</x:v>
      </x:c>
      <x:c r="M13" s="47" t="str"/>
      <x:c r="N13" s="59" t="str"/>
      <x:c r="O13" s="59" t="str"/>
      <x:c r="P13" s="59" t="str"/>
    </x:row>
    <x:row r="14">
      <x:c r="A14" s="47" t="str">
        <x:v>EVT-000060</x:v>
      </x:c>
      <x:c r="B14" s="47" t="str">
        <x:v>RUN-I2-014-20260813T221520531337Z</x:v>
      </x:c>
      <x:c r="C14" s="47" t="str">
        <x:v>I2-014</x:v>
      </x:c>
      <x:c r="D14" s="93" t="n">
        <x:v>46247.92931266204</x:v>
      </x:c>
      <x:c r="E14" s="47" t="str">
        <x:v>generator</x:v>
      </x:c>
      <x:c r="F14" s="47" t="str">
        <x:v>gpt-5.6-sol-2026-07-09</x:v>
      </x:c>
      <x:c r="G14" s="47" t="n">
        <x:v>1</x:v>
      </x:c>
      <x:c r="H14" s="47" t="str">
        <x:v>COMPLETED</x:v>
      </x:c>
      <x:c r="I14" s="47" t="str"/>
      <x:c r="J14" s="86" t="n">
        <x:v>0</x:v>
      </x:c>
      <x:c r="K14" s="86" t="n">
        <x:v>53858.037</x:v>
      </x:c>
      <x:c r="L14" s="85" t="b">
        <x:v>0</x:v>
      </x:c>
      <x:c r="M14" s="47" t="str">
        <x:v>resp_0f9fe2e767260832006a7e426ed4e081938e28e0be4a9c01ee</x:v>
      </x:c>
      <x:c r="N14" s="59" t="n">
        <x:v>11355</x:v>
      </x:c>
      <x:c r="O14" s="59" t="n">
        <x:v>5694</x:v>
      </x:c>
      <x:c r="P14" s="59" t="n">
        <x:v>17049</x:v>
      </x:c>
    </x:row>
    <x:row r="15">
      <x:c r="A15" s="47" t="str">
        <x:v>EVT-000067</x:v>
      </x:c>
      <x:c r="B15" s="47" t="str">
        <x:v>RUN-I2-014-20260813T221520531337Z</x:v>
      </x:c>
      <x:c r="C15" s="47" t="str">
        <x:v>I2-014</x:v>
      </x:c>
      <x:c r="D15" s="93" t="n">
        <x:v>46247.929521238424</x:v>
      </x:c>
      <x:c r="E15" s="47" t="str">
        <x:v>validator</x:v>
      </x:c>
      <x:c r="F15" s="47" t="str">
        <x:v>gpt-5.6-terra-2026-07-09</x:v>
      </x:c>
      <x:c r="G15" s="47" t="n">
        <x:v>1</x:v>
      </x:c>
      <x:c r="H15" s="47" t="n">
        <x:v>200</x:v>
      </x:c>
      <x:c r="I15" s="47" t="str">
        <x:v>Ocp-Apim-Subscription-Key</x:v>
      </x:c>
      <x:c r="J15" s="86" t="n">
        <x:v>0</x:v>
      </x:c>
      <x:c r="K15" s="86" t="n">
        <x:v>17630.339</x:v>
      </x:c>
      <x:c r="L15" s="85" t="b">
        <x:v>0</x:v>
      </x:c>
      <x:c r="M15" s="47" t="str"/>
      <x:c r="N15" s="59" t="str"/>
      <x:c r="O15" s="59" t="str"/>
      <x:c r="P15" s="59" t="str"/>
    </x:row>
    <x:row r="16">
      <x:c r="A16" s="47" t="str">
        <x:v>EVT-000068</x:v>
      </x:c>
      <x:c r="B16" s="47" t="str">
        <x:v>RUN-I2-014-20260813T221520531337Z</x:v>
      </x:c>
      <x:c r="C16" s="47" t="str">
        <x:v>I2-014</x:v>
      </x:c>
      <x:c r="D16" s="93" t="n">
        <x:v>46247.929521273145</x:v>
      </x:c>
      <x:c r="E16" s="47" t="str">
        <x:v>validator</x:v>
      </x:c>
      <x:c r="F16" s="47" t="str">
        <x:v>gpt-5.6-terra-2026-07-09</x:v>
      </x:c>
      <x:c r="G16" s="47" t="n">
        <x:v>1</x:v>
      </x:c>
      <x:c r="H16" s="47" t="str">
        <x:v>COMPLETED</x:v>
      </x:c>
      <x:c r="I16" s="47" t="str"/>
      <x:c r="J16" s="86" t="n">
        <x:v>0</x:v>
      </x:c>
      <x:c r="K16" s="86" t="n">
        <x:v>17632.189</x:v>
      </x:c>
      <x:c r="L16" s="85" t="b">
        <x:v>0</x:v>
      </x:c>
      <x:c r="M16" s="47" t="str">
        <x:v>resp_046ddb965b39859a006a7e42a51a508197a48df9e462a41f09</x:v>
      </x:c>
      <x:c r="N16" s="59" t="n">
        <x:v>15415</x:v>
      </x:c>
      <x:c r="O16" s="59" t="n">
        <x:v>1549</x:v>
      </x:c>
      <x:c r="P16" s="59" t="n">
        <x:v>16964</x:v>
      </x:c>
    </x:row>
    <x:row r="17">
      <x:c r="A17" s="47" t="str">
        <x:v>EVT-000074</x:v>
      </x:c>
      <x:c r="B17" s="47" t="str">
        <x:v>RUN-I2-014-20260813T221520531337Z</x:v>
      </x:c>
      <x:c r="C17" s="47" t="str">
        <x:v>I2-014</x:v>
      </x:c>
      <x:c r="D17" s="93" t="n">
        <x:v>46247.92956552083</x:v>
      </x:c>
      <x:c r="E17" s="47" t="str">
        <x:v>vocabulary_matcher</x:v>
      </x:c>
      <x:c r="F17" s="47" t="str">
        <x:v>gpt-5.6-luna-2026-07-09</x:v>
      </x:c>
      <x:c r="G17" s="47" t="n">
        <x:v>1</x:v>
      </x:c>
      <x:c r="H17" s="47" t="n">
        <x:v>200</x:v>
      </x:c>
      <x:c r="I17" s="47" t="str">
        <x:v>Ocp-Apim-Subscription-Key</x:v>
      </x:c>
      <x:c r="J17" s="86" t="n">
        <x:v>0</x:v>
      </x:c>
      <x:c r="K17" s="86" t="n">
        <x:v>3111.282</x:v>
      </x:c>
      <x:c r="L17" s="85" t="b">
        <x:v>0</x:v>
      </x:c>
      <x:c r="M17" s="47" t="str"/>
      <x:c r="N17" s="59" t="str"/>
      <x:c r="O17" s="59" t="str"/>
      <x:c r="P17" s="59" t="str"/>
    </x:row>
    <x:row r="18">
      <x:c r="A18" s="49" t="str">
        <x:v>EVT-000075</x:v>
      </x:c>
      <x:c r="B18" s="49" t="str">
        <x:v>RUN-I2-014-20260813T221520531337Z</x:v>
      </x:c>
      <x:c r="C18" s="49" t="str">
        <x:v>I2-014</x:v>
      </x:c>
      <x:c r="D18" s="94" t="n">
        <x:v>46247.92956553241</x:v>
      </x:c>
      <x:c r="E18" s="49" t="str">
        <x:v>vocabulary_matcher</x:v>
      </x:c>
      <x:c r="F18" s="49" t="str">
        <x:v>gpt-5.6-luna-2026-07-09</x:v>
      </x:c>
      <x:c r="G18" s="49" t="n">
        <x:v>1</x:v>
      </x:c>
      <x:c r="H18" s="49" t="str">
        <x:v>COMPLETED</x:v>
      </x:c>
      <x:c r="I18" s="49" t="str"/>
      <x:c r="J18" s="88" t="n">
        <x:v>0</x:v>
      </x:c>
      <x:c r="K18" s="88" t="n">
        <x:v>3112.646</x:v>
      </x:c>
      <x:c r="L18" s="87" t="b">
        <x:v>0</x:v>
      </x:c>
      <x:c r="M18" s="49" t="str">
        <x:v>resp_0c01bfbe8c0e7d85006a7e42b7bcf88197873747559a8d925c</x:v>
      </x:c>
      <x:c r="N18" s="60" t="n">
        <x:v>1447</x:v>
      </x:c>
      <x:c r="O18" s="60" t="n">
        <x:v>67</x:v>
      </x:c>
      <x:c r="P18" s="60" t="n">
        <x:v>1514</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c13cf8788bf405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RUN-I2-014-20260813T221520531337Z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RUN-I2-014-20260813T221520531337Z</x:v>
      </x:c>
      <x:c r="B5" s="45" t="str">
        <x:v>I2-014</x:v>
      </x:c>
      <x:c r="C5" s="45" t="str">
        <x:v>averageIcePressure</x:v>
      </x:c>
      <x:c r="D5" s="46" t="str">
        <x:v>https://w3id.org/nltl-benchmark/vocab#averageIcePressure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RUN-I2-014-20260813T221520531337Z</x:v>
      </x:c>
      <x:c r="B6" s="47" t="str">
        <x:v>I2-014</x:v>
      </x:c>
      <x:c r="C6" s="47" t="str">
        <x:v>benchmarkEntity</x:v>
      </x:c>
      <x:c r="D6" s="48" t="str">
        <x:v>https://w3id.org/nltl-benchmark/vocab#benchmarkEntity</x:v>
      </x:c>
      <x:c r="E6" s="47" t="str">
        <x:v>Class</x:v>
      </x:c>
      <x:c r="F6" s="47" t="str"/>
      <x:c r="G6" s="47" t="str"/>
      <x:c r="H6" s="47" t="str"/>
      <x:c r="I6" s="48" t="str">
        <x:v>baseline target infrastructure; domain dependency of averageIcePressure; domain dependency of bowLength; domain dependency of loadPatchHeight; domain dependency of loadPatchLength; domain dependency of totalGlancingImpactForce</x:v>
      </x:c>
      <x:c r="J6" s="47" t="n">
        <x:v>0</x:v>
      </x:c>
    </x:row>
    <x:row r="7">
      <x:c r="A7" s="47" t="str">
        <x:v>RUN-I2-014-20260813T221520531337Z</x:v>
      </x:c>
      <x:c r="B7" s="47" t="str">
        <x:v>I2-014</x:v>
      </x:c>
      <x:c r="C7" s="47" t="str">
        <x:v>bowLength</x:v>
      </x:c>
      <x:c r="D7" s="48" t="str">
        <x:v>https://w3id.org/nltl-benchmark/vocab#bowLength</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RUN-I2-014-20260813T221520531337Z</x:v>
      </x:c>
      <x:c r="B8" s="47" t="str">
        <x:v>I2-014</x:v>
      </x:c>
      <x:c r="C8" s="47" t="str">
        <x:v>bowSubregionAspectRatio</x:v>
      </x:c>
      <x:c r="D8" s="48" t="str">
        <x:v>https://w3id.org/nltl-benchmark/vocab#bowSubregionAspectRatio</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RUN-I2-014-20260813T221520531337Z</x:v>
      </x:c>
      <x:c r="B9" s="47" t="str">
        <x:v>I2-014</x:v>
      </x:c>
      <x:c r="C9" s="47" t="str">
        <x:v>bowSubregionCalculatedForce</x:v>
      </x:c>
      <x:c r="D9" s="48" t="str">
        <x:v>https://w3id.org/nltl-benchmark/vocab#bowSubregionCalculatedForce</x:v>
      </x:c>
      <x:c r="E9" s="47" t="str">
        <x:v>QuantityProperty</x:v>
      </x:c>
      <x:c r="F9" s="47" t="str"/>
      <x:c r="G9" s="47" t="str">
        <x:v>http://qudt.org/schema/qudt/QuantityValue</x:v>
      </x:c>
      <x:c r="H9" s="47" t="str">
        <x:v>http://qudt.org/vocab/unit/MegaN</x:v>
      </x:c>
      <x:c r="I9" s="48" t="str">
        <x:v>linked by the locked 313-requirement index</x:v>
      </x:c>
      <x:c r="J9" s="47" t="n">
        <x:v>0</x:v>
      </x:c>
    </x:row>
    <x:row r="10">
      <x:c r="A10" s="47" t="str">
        <x:v>RUN-I2-014-20260813T221520531337Z</x:v>
      </x:c>
      <x:c r="B10" s="47" t="str">
        <x:v>I2-014</x:v>
      </x:c>
      <x:c r="C10" s="47" t="str">
        <x:v>bowSubregionCalculatedLineLoad</x:v>
      </x:c>
      <x:c r="D10" s="48" t="str">
        <x:v>https://w3id.org/nltl-benchmark/vocab#bowSubregionCalculatedLineLoad</x:v>
      </x:c>
      <x:c r="E10" s="47" t="str">
        <x:v>QuantityProperty</x:v>
      </x:c>
      <x:c r="F10" s="47" t="str"/>
      <x:c r="G10" s="47" t="str">
        <x:v>http://qudt.org/schema/qudt/QuantityValue</x:v>
      </x:c>
      <x:c r="H10" s="47" t="str">
        <x:v>http://qudt.org/vocab/unit/MegaN-M-PER-M2</x:v>
      </x:c>
      <x:c r="I10" s="48" t="str">
        <x:v>linked by the locked 313-requirement index</x:v>
      </x:c>
      <x:c r="J10" s="47" t="n">
        <x:v>0</x:v>
      </x:c>
    </x:row>
    <x:row r="11">
      <x:c r="A11" s="47" t="str">
        <x:v>RUN-I2-014-20260813T221520531337Z</x:v>
      </x:c>
      <x:c r="B11" s="47" t="str">
        <x:v>I2-014</x:v>
      </x:c>
      <x:c r="C11" s="47" t="str">
        <x:v>bowSubregionCalculatedPressure</x:v>
      </x:c>
      <x:c r="D11" s="48" t="str">
        <x:v>https://w3id.org/nltl-benchmark/vocab#bowSubregionCalculatedPressure</x:v>
      </x:c>
      <x:c r="E11" s="47" t="str">
        <x:v>QuantityProperty</x:v>
      </x:c>
      <x:c r="F11" s="47" t="str"/>
      <x:c r="G11" s="47" t="str">
        <x:v>http://qudt.org/schema/qudt/QuantityValue</x:v>
      </x:c>
      <x:c r="H11" s="47" t="str">
        <x:v>http://qudt.org/vocab/unit/MegaPA</x:v>
      </x:c>
      <x:c r="I11" s="48" t="str">
        <x:v>linked by the locked 313-requirement index</x:v>
      </x:c>
      <x:c r="J11" s="47" t="n">
        <x:v>0</x:v>
      </x:c>
    </x:row>
    <x:row r="12">
      <x:c r="A12" s="47" t="str">
        <x:v>RUN-I2-014-20260813T221520531337Z</x:v>
      </x:c>
      <x:c r="B12" s="47" t="str">
        <x:v>I2-014</x:v>
      </x:c>
      <x:c r="C12" s="47" t="str">
        <x:v>bowSubregionCalculationCase</x:v>
      </x:c>
      <x:c r="D12" s="48" t="str">
        <x:v>https://w3id.org/nltl-benchmark/vocab#bowSubregionCalculationCase</x:v>
      </x:c>
      <x:c r="E12" s="47" t="str">
        <x:v>Class</x:v>
      </x:c>
      <x:c r="F12" s="47" t="str"/>
      <x:c r="G12" s="47" t="str">
        <x:v>https://w3id.org/nltl-benchmark/vocab#calculationCase</x:v>
      </x:c>
      <x:c r="H12" s="47" t="str"/>
      <x:c r="I12" s="48" t="str">
        <x:v>authoritative required owner class; domain dependency of bowSubregionAspectRatio; domain dependency of bowSubregionCalculatedForce; domain dependency of bowSubregionCalculatedLineLoad; domain dependency of bowSubregionCalculatedPressure; domain dependency of bowSubregionMidLengthPosition; domain dependency of glancingImpactLineLoad; domain dependency of glancingImpactPressure; linked by the locked 313-requirement index; range dependency of hasBowSubregionCalculationCase</x:v>
      </x:c>
      <x:c r="J12" s="47" t="n">
        <x:v>0</x:v>
      </x:c>
    </x:row>
    <x:row r="13">
      <x:c r="A13" s="47" t="str">
        <x:v>RUN-I2-014-20260813T221520531337Z</x:v>
      </x:c>
      <x:c r="B13" s="47" t="str">
        <x:v>I2-014</x:v>
      </x:c>
      <x:c r="C13" s="47" t="str">
        <x:v>bowSubregionCount</x:v>
      </x:c>
      <x:c r="D13" s="48" t="str">
        <x:v>https://w3id.org/nltl-benchmark/vocab#bowSubregionCount</x:v>
      </x:c>
      <x:c r="E13" s="47" t="str">
        <x:v>DatatypeProperty</x:v>
      </x:c>
      <x:c r="F13" s="47" t="str">
        <x:v>xsd:integer</x:v>
      </x:c>
      <x:c r="G13" s="47" t="str">
        <x:v>http://www.w3.org/2001/XMLSchema#integer</x:v>
      </x:c>
      <x:c r="H13" s="47" t="str"/>
      <x:c r="I13" s="48" t="str">
        <x:v>linked by the locked 313-requirement index</x:v>
      </x:c>
      <x:c r="J13" s="47" t="n">
        <x:v>0</x:v>
      </x:c>
    </x:row>
    <x:row r="14">
      <x:c r="A14" s="47" t="str">
        <x:v>RUN-I2-014-20260813T221520531337Z</x:v>
      </x:c>
      <x:c r="B14" s="47" t="str">
        <x:v>I2-014</x:v>
      </x:c>
      <x:c r="C14" s="47" t="str">
        <x:v>bowSubregionMidLengthPosition</x:v>
      </x:c>
      <x:c r="D14" s="48" t="str">
        <x:v>https://w3id.org/nltl-benchmark/vocab#bowSubregionMidLengthPosition</x:v>
      </x:c>
      <x:c r="E14" s="47" t="str">
        <x:v>QuantityProperty</x:v>
      </x:c>
      <x:c r="F14" s="47" t="str"/>
      <x:c r="G14" s="47" t="str">
        <x:v>http://qudt.org/schema/qudt/QuantityValue</x:v>
      </x:c>
      <x:c r="H14" s="47" t="str">
        <x:v>http://qudt.org/vocab/unit/M</x:v>
      </x:c>
      <x:c r="I14" s="48" t="str">
        <x:v>linked by the locked 313-requirement index</x:v>
      </x:c>
      <x:c r="J14" s="47" t="n">
        <x:v>0</x:v>
      </x:c>
    </x:row>
    <x:row r="15">
      <x:c r="A15" s="47" t="str">
        <x:v>RUN-I2-014-20260813T221520531337Z</x:v>
      </x:c>
      <x:c r="B15" s="47" t="str">
        <x:v>I2-014</x:v>
      </x:c>
      <x:c r="C15" s="47" t="str">
        <x:v>calculationCase</x:v>
      </x:c>
      <x:c r="D15" s="48" t="str">
        <x:v>https://w3id.org/nltl-benchmark/vocab#calculationCase</x:v>
      </x:c>
      <x:c r="E15" s="47" t="str">
        <x:v>Class</x:v>
      </x:c>
      <x:c r="F15" s="47" t="str"/>
      <x:c r="G15" s="47" t="str">
        <x:v>https://w3id.org/nltl-benchmark/vocab#benchmarkEntity</x:v>
      </x:c>
      <x:c r="H15" s="47" t="str"/>
      <x:c r="I15" s="48" t="str">
        <x:v>range dependency of bowSubregionCalculationCase</x:v>
      </x:c>
      <x:c r="J15" s="47" t="n">
        <x:v>0</x:v>
      </x:c>
    </x:row>
    <x:row r="16">
      <x:c r="A16" s="47" t="str">
        <x:v>RUN-I2-014-20260813T221520531337Z</x:v>
      </x:c>
      <x:c r="B16" s="47" t="str">
        <x:v>I2-014</x:v>
      </x:c>
      <x:c r="C16" s="47" t="str">
        <x:v>glancingImpactLineLoad</x:v>
      </x:c>
      <x:c r="D16" s="48" t="str">
        <x:v>https://w3id.org/nltl-benchmark/vocab#glancingImpactLineLoad</x:v>
      </x:c>
      <x:c r="E16" s="47" t="str">
        <x:v>QuantityProperty</x:v>
      </x:c>
      <x:c r="F16" s="47" t="str"/>
      <x:c r="G16" s="47" t="str">
        <x:v>http://qudt.org/schema/qudt/QuantityValue</x:v>
      </x:c>
      <x:c r="H16" s="47" t="str">
        <x:v>http://qudt.org/vocab/unit/MegaN-M-PER-M2</x:v>
      </x:c>
      <x:c r="I16" s="48" t="str">
        <x:v>linked by the locked 313-requirement index</x:v>
      </x:c>
      <x:c r="J16" s="47" t="n">
        <x:v>0</x:v>
      </x:c>
    </x:row>
    <x:row r="17">
      <x:c r="A17" s="47" t="str">
        <x:v>RUN-I2-014-20260813T221520531337Z</x:v>
      </x:c>
      <x:c r="B17" s="47" t="str">
        <x:v>I2-014</x:v>
      </x:c>
      <x:c r="C17" s="47" t="str">
        <x:v>glancingImpactPressure</x:v>
      </x:c>
      <x:c r="D17" s="48" t="str">
        <x:v>https://w3id.org/nltl-benchmark/vocab#glancingImpactPressure</x:v>
      </x:c>
      <x:c r="E17" s="47" t="str">
        <x:v>QuantityProperty</x:v>
      </x:c>
      <x:c r="F17" s="47" t="str"/>
      <x:c r="G17" s="47" t="str">
        <x:v>http://qudt.org/schema/qudt/QuantityValue</x:v>
      </x:c>
      <x:c r="H17" s="47" t="str">
        <x:v>http://qudt.org/vocab/unit/MegaPA</x:v>
      </x:c>
      <x:c r="I17" s="48" t="str">
        <x:v>linked by the locked 313-requirement index</x:v>
      </x:c>
      <x:c r="J17" s="47" t="n">
        <x:v>0</x:v>
      </x:c>
    </x:row>
    <x:row r="18">
      <x:c r="A18" s="47" t="str">
        <x:v>RUN-I2-014-20260813T221520531337Z</x:v>
      </x:c>
      <x:c r="B18" s="47" t="str">
        <x:v>I2-014</x:v>
      </x:c>
      <x:c r="C18" s="47" t="str">
        <x:v>hasBowSubregionCalculationCase</x:v>
      </x:c>
      <x:c r="D18" s="48" t="str">
        <x:v>https://w3id.org/nltl-benchmark/vocab#hasBowSubregionCalculationCase</x:v>
      </x:c>
      <x:c r="E18" s="47" t="str">
        <x:v>ObjectProperty</x:v>
      </x:c>
      <x:c r="F18" s="47" t="str"/>
      <x:c r="G18" s="47" t="str">
        <x:v>https://w3id.org/nltl-benchmark/vocab#bowSubregionCalculationCase</x:v>
      </x:c>
      <x:c r="H18" s="47" t="str"/>
      <x:c r="I18" s="48" t="str">
        <x:v>canonical path from target owner ship to required owner bowSubregionCalculationCase; linked by the locked 313-requirement index</x:v>
      </x:c>
      <x:c r="J18" s="47" t="n">
        <x:v>0</x:v>
      </x:c>
    </x:row>
    <x:row r="19">
      <x:c r="A19" s="47" t="str">
        <x:v>RUN-I2-014-20260813T221520531337Z</x:v>
      </x:c>
      <x:c r="B19" s="47" t="str">
        <x:v>I2-014</x:v>
      </x:c>
      <x:c r="C19" s="47" t="str">
        <x:v>hasComponent</x:v>
      </x:c>
      <x:c r="D19" s="48" t="str">
        <x:v>https://w3id.org/nltl-benchmark/vocab#hasComponent</x:v>
      </x:c>
      <x:c r="E19" s="47" t="str">
        <x:v>ObjectProperty</x:v>
      </x:c>
      <x:c r="F19" s="47" t="str"/>
      <x:c r="G19" s="47" t="str">
        <x:v>https://w3id.org/nltl-benchmark/vocab#shipComponent</x:v>
      </x:c>
      <x:c r="H19" s="47" t="str"/>
      <x:c r="I19" s="48" t="str">
        <x:v>component-path dependency inferred from the linked term module</x:v>
      </x:c>
      <x:c r="J19" s="47" t="n">
        <x:v>0</x:v>
      </x:c>
    </x:row>
    <x:row r="20">
      <x:c r="A20" s="47" t="str">
        <x:v>RUN-I2-014-20260813T221520531337Z</x:v>
      </x:c>
      <x:c r="B20" s="47" t="str">
        <x:v>I2-014</x:v>
      </x:c>
      <x:c r="C20" s="47" t="str">
        <x:v>loadPatchHeight</x:v>
      </x:c>
      <x:c r="D20" s="48" t="str">
        <x:v>https://w3id.org/nltl-benchmark/vocab#loadPatchHeight</x:v>
      </x:c>
      <x:c r="E20" s="47" t="str">
        <x:v>QuantityProperty</x:v>
      </x:c>
      <x:c r="F20" s="47" t="str"/>
      <x:c r="G20" s="47" t="str">
        <x:v>http://qudt.org/schema/qudt/QuantityValue</x:v>
      </x:c>
      <x:c r="H20" s="47" t="str">
        <x:v>http://qudt.org/vocab/unit/M</x:v>
      </x:c>
      <x:c r="I20" s="48" t="str">
        <x:v>linked by the locked 313-requirement index</x:v>
      </x:c>
      <x:c r="J20" s="47" t="n">
        <x:v>0</x:v>
      </x:c>
    </x:row>
    <x:row r="21">
      <x:c r="A21" s="47" t="str">
        <x:v>RUN-I2-014-20260813T221520531337Z</x:v>
      </x:c>
      <x:c r="B21" s="47" t="str">
        <x:v>I2-014</x:v>
      </x:c>
      <x:c r="C21" s="47" t="str">
        <x:v>loadPatchLength</x:v>
      </x:c>
      <x:c r="D21" s="48" t="str">
        <x:v>https://w3id.org/nltl-benchmark/vocab#loadPatchLength</x:v>
      </x:c>
      <x:c r="E21" s="47" t="str">
        <x:v>QuantityProperty</x:v>
      </x:c>
      <x:c r="F21" s="47" t="str"/>
      <x:c r="G21" s="47" t="str">
        <x:v>http://qudt.org/schema/qudt/QuantityValue</x:v>
      </x:c>
      <x:c r="H21" s="47" t="str">
        <x:v>http://qudt.org/vocab/unit/M</x:v>
      </x:c>
      <x:c r="I21" s="48" t="str">
        <x:v>linked by the locked 313-requirement index</x:v>
      </x:c>
      <x:c r="J21" s="47" t="n">
        <x:v>0</x:v>
      </x:c>
    </x:row>
    <x:row r="22">
      <x:c r="A22" s="47" t="str">
        <x:v>RUN-I2-014-20260813T221520531337Z</x:v>
      </x:c>
      <x:c r="B22" s="47" t="str">
        <x:v>I2-014</x:v>
      </x:c>
      <x:c r="C22" s="47" t="str">
        <x:v>selectedMaximumBowForce</x:v>
      </x:c>
      <x:c r="D22" s="48" t="str">
        <x:v>https://w3id.org/nltl-benchmark/vocab#selectedMaximumBowForce</x:v>
      </x:c>
      <x:c r="E22" s="47" t="str">
        <x:v>QuantityProperty</x:v>
      </x:c>
      <x:c r="F22" s="47" t="str"/>
      <x:c r="G22" s="47" t="str">
        <x:v>http://qudt.org/schema/qudt/QuantityValue</x:v>
      </x:c>
      <x:c r="H22" s="47" t="str">
        <x:v>http://qudt.org/vocab/unit/MegaN</x:v>
      </x:c>
      <x:c r="I22" s="48" t="str">
        <x:v>linked by the locked 313-requirement index</x:v>
      </x:c>
      <x:c r="J22" s="47" t="n">
        <x:v>0</x:v>
      </x:c>
    </x:row>
    <x:row r="23">
      <x:c r="A23" s="47" t="str">
        <x:v>RUN-I2-014-20260813T221520531337Z</x:v>
      </x:c>
      <x:c r="B23" s="47" t="str">
        <x:v>I2-014</x:v>
      </x:c>
      <x:c r="C23" s="47" t="str">
        <x:v>selectedMaximumBowLineLoad</x:v>
      </x:c>
      <x:c r="D23" s="48" t="str">
        <x:v>https://w3id.org/nltl-benchmark/vocab#selectedMaximumBowLineLoad</x:v>
      </x:c>
      <x:c r="E23" s="47" t="str">
        <x:v>QuantityProperty</x:v>
      </x:c>
      <x:c r="F23" s="47" t="str"/>
      <x:c r="G23" s="47" t="str">
        <x:v>http://qudt.org/schema/qudt/QuantityValue</x:v>
      </x:c>
      <x:c r="H23" s="47" t="str">
        <x:v>http://qudt.org/vocab/unit/MegaN-M-PER-M2</x:v>
      </x:c>
      <x:c r="I23" s="48" t="str">
        <x:v>linked by the locked 313-requirement index</x:v>
      </x:c>
      <x:c r="J23" s="47" t="n">
        <x:v>0</x:v>
      </x:c>
    </x:row>
    <x:row r="24">
      <x:c r="A24" s="47" t="str">
        <x:v>RUN-I2-014-20260813T221520531337Z</x:v>
      </x:c>
      <x:c r="B24" s="47" t="str">
        <x:v>I2-014</x:v>
      </x:c>
      <x:c r="C24" s="47" t="str">
        <x:v>selectedMaximumBowPressure</x:v>
      </x:c>
      <x:c r="D24" s="48" t="str">
        <x:v>https://w3id.org/nltl-benchmark/vocab#selectedMaximumBowPressure</x:v>
      </x:c>
      <x:c r="E24" s="47" t="str">
        <x:v>QuantityProperty</x:v>
      </x:c>
      <x:c r="F24" s="47" t="str"/>
      <x:c r="G24" s="47" t="str">
        <x:v>http://qudt.org/schema/qudt/QuantityValue</x:v>
      </x:c>
      <x:c r="H24" s="47" t="str">
        <x:v>http://qudt.org/vocab/unit/MegaPA</x:v>
      </x:c>
      <x:c r="I24" s="48" t="str">
        <x:v>linked by the locked 313-requirement index</x:v>
      </x:c>
      <x:c r="J24" s="47" t="n">
        <x:v>0</x:v>
      </x:c>
    </x:row>
    <x:row r="25">
      <x:c r="A25" s="47" t="str">
        <x:v>RUN-I2-014-20260813T221520531337Z</x:v>
      </x:c>
      <x:c r="B25" s="47" t="str">
        <x:v>I2-014</x:v>
      </x:c>
      <x:c r="C25" s="47" t="str">
        <x:v>ship</x:v>
      </x:c>
      <x:c r="D25" s="48" t="str">
        <x:v>https://w3id.org/nltl-benchmark/vocab#ship</x:v>
      </x:c>
      <x:c r="E25" s="47" t="str">
        <x:v>Class</x:v>
      </x:c>
      <x:c r="F25" s="47" t="str"/>
      <x:c r="G25" s="47" t="str"/>
      <x:c r="H25" s="47" t="str"/>
      <x:c r="I25" s="48" t="str">
        <x:v>authoritative required owner class; authoritative requirement target owner; baseline target infrastructure; domain dependency of bowSubregionCount; domain dependency of hasBowSubregionCalculationCase; domain dependency of selectedMaximumBowForce; domain dependency of selectedMaximumBowLineLoad; domain dependency of selectedMaximumBowPressure</x:v>
      </x:c>
      <x:c r="J25" s="47" t="n">
        <x:v>0</x:v>
      </x:c>
    </x:row>
    <x:row r="26">
      <x:c r="A26" s="47" t="str">
        <x:v>RUN-I2-014-20260813T221520531337Z</x:v>
      </x:c>
      <x:c r="B26" s="47" t="str">
        <x:v>I2-014</x:v>
      </x:c>
      <x:c r="C26" s="47" t="str">
        <x:v>shipComponent</x:v>
      </x:c>
      <x:c r="D26" s="48" t="str">
        <x:v>https://w3id.org/nltl-benchmark/vocab#shipComponent</x:v>
      </x:c>
      <x:c r="E26" s="47" t="str">
        <x:v>Class</x:v>
      </x:c>
      <x:c r="F26" s="47" t="str"/>
      <x:c r="G26" s="47" t="str"/>
      <x:c r="H26" s="47" t="str"/>
      <x:c r="I26" s="48" t="str">
        <x:v>component-path dependency inferred from the linked term module</x:v>
      </x:c>
      <x:c r="J26" s="47" t="n">
        <x:v>0</x:v>
      </x:c>
    </x:row>
    <x:row r="27">
      <x:c r="A27" s="49" t="str">
        <x:v>RUN-I2-014-20260813T221520531337Z</x:v>
      </x:c>
      <x:c r="B27" s="49" t="str">
        <x:v>I2-014</x:v>
      </x:c>
      <x:c r="C27" s="49" t="str">
        <x:v>totalGlancingImpactForce</x:v>
      </x:c>
      <x:c r="D27" s="50" t="str">
        <x:v>https://w3id.org/nltl-benchmark/vocab#totalGlancingImpactForce</x:v>
      </x:c>
      <x:c r="E27" s="49" t="str">
        <x:v>QuantityProperty</x:v>
      </x:c>
      <x:c r="F27" s="49" t="str"/>
      <x:c r="G27" s="49" t="str">
        <x:v>http://qudt.org/schema/qudt/QuantityValue</x:v>
      </x:c>
      <x:c r="H27" s="49" t="str">
        <x:v>http://qudt.org/vocab/unit/KiloN</x:v>
      </x:c>
      <x:c r="I27" s="50" t="str">
        <x:v>linked by the locked 313-requirement index</x:v>
      </x:c>
      <x:c r="J27" s="49" t="n">
        <x:v>0</x:v>
      </x:c>
    </x:row>
  </x:sheetData>
  <x:pageMargins left="0.7" right="0.7" top="0.75" bottom="0.75" header="0.3" footer="0.3"/>
  <x:tableParts count="1">
    <x:tablePart xmlns:r="http://schemas.openxmlformats.org/officeDocument/2006/relationships" r:id="R3e297f29fb264c5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RUN-I2-014-20260813T221520531337Z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RUN-I2-014-20260813T221520531337Z</x:v>
      </x:c>
      <x:c r="B5" s="45" t="str">
        <x:v>I2-014</x:v>
      </x:c>
      <x:c r="C5" s="45" t="str">
        <x:v>FS-CALC-02</x:v>
      </x:c>
      <x:c r="D5" s="45" t="str">
        <x:v>comparison_calculation</x:v>
      </x:c>
      <x:c r="E5" s="97" t="n">
        <x:v>0.070175</x:v>
      </x:c>
      <x:c r="F5" s="45" t="str">
        <x:v>calculation | comparison | formula | sparql</x:v>
      </x:c>
      <x:c r="G5" s="45" t="str">
        <x:v>synthetic-few-shot-not-benchmark-ground-truth</x:v>
      </x:c>
    </x:row>
    <x:row r="6">
      <x:c r="A6" s="49" t="str">
        <x:v>RUN-I2-014-20260813T221520531337Z</x:v>
      </x:c>
      <x:c r="B6" s="49" t="str">
        <x:v>I2-014</x:v>
      </x:c>
      <x:c r="C6" s="49" t="str">
        <x:v>FS-QTY-01</x:v>
      </x:c>
      <x:c r="D6" s="49" t="str">
        <x:v>qudt_quantity</x:v>
      </x:c>
      <x:c r="E6" s="98" t="n">
        <x:v>0.034483</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663892b74b0443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RUN-I2-014-20260813T221520531337Z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RUN-I2-014-20260813T221520531337Z</x:v>
      </x:c>
      <x:c r="B5" s="45" t="str">
        <x:v>I2-014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https://w3id.org/nltl-benchmark/vocab#averageIcePressure | https://w3id.org/nltl-benchmark/vocab#bowLength | https://w3id.org/nltl-benchmark/vocab#bowSubregionAspectRatio | https://w3id.org/nltl-benchmark/vocab#bowSubregionCalculatedForce | https://w3id.org/nltl-benchmark/vocab#bowSubregionCalculationCase | https://w3id.org/nltl-benchmark/vocab#bowSubregionCount | https://w3id.org/nltl-benchmark/vocab#bowSubregionMidLengthPosition | https://w3id.org/nltl-benchmark/vocab#glancingImpactLineLoad | https://w3id.org/nltl-benchmark/vocab#glancingImpactPressure | https://w3id.org/nltl-benchmark/vocab#hasBowSubregionCalculationCase | https://w3id.org/nltl-benchmark/vocab#loadPatchHeight | https://w3id.org/nltl-benchmark/vocab#loadPatchLength | https://w3id.org/nltl-benchmark/vocab#selectedMaximumBowForce | https://w3id.org/nltl-benchmark/vocab#selectedMaximumBowLineLoad | https://w3id.org/nltl-benchmark/vocab#selectedMaximumBowPressure | https://w3id.org/nltl-benchmark/vocab#ship | https://w3id.org/nltl-benchmark/vocab#totalGlancingImpactForce</x:v>
      </x:c>
      <x:c r="O5" s="46" t="str"/>
      <x:c r="P5" s="46" t="str"/>
      <x:c r="Q5" s="46" t="str"/>
    </x:row>
    <x:row r="6">
      <x:c r="A6" s="47" t="str">
        <x:v>RUN-I2-014-20260813T221520531337Z</x:v>
      </x:c>
      <x:c r="B6" s="47" t="str">
        <x:v>I2-014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https://w3id.org/nltl-benchmark/vocab#averageIcePressure | https://w3id.org/nltl-benchmark/vocab#bowLength | https://w3id.org/nltl-benchmark/vocab#bowSubregionAspectRatio | https://w3id.org/nltl-benchmark/vocab#bowSubregionCalculatedForce | https://w3id.org/nltl-benchmark/vocab#bowSubregionCalculatedLineLoad | https://w3id.org/nltl-benchmark/vocab#bowSubregionCalculatedPressure | https://w3id.org/nltl-benchmark/vocab#bowSubregionCalculationCase | https://w3id.org/nltl-benchmark/vocab#bowSubregionCount | https://w3id.org/nltl-benchmark/vocab#bowSubregionMidLengthPosition | https://w3id.org/nltl-benchmark/vocab#hasBowSubregionCalculationCase | https://w3id.org/nltl-benchmark/vocab#loadPatchHeight | https://w3id.org/nltl-benchmark/vocab#loadPatchLength | https://w3id.org/nltl-benchmark/vocab#selectedMaximumBowForce | https://w3id.org/nltl-benchmark/vocab#selectedMaximumBowLineLoad | https://w3id.org/nltl-benchmark/vocab#selectedMaximumBowPressure | https://w3id.org/nltl-benchmark/vocab#ship | https://w3id.org/nltl-benchmark/vocab#totalGlancingImpactForce</x:v>
      </x:c>
      <x:c r="O6" s="48" t="str"/>
      <x:c r="P6" s="48" t="str"/>
      <x:c r="Q6" s="48" t="str"/>
    </x:row>
    <x:row r="7">
      <x:c r="A7" s="49" t="str">
        <x:v>RUN-I2-014-20260813T221520531337Z</x:v>
      </x:c>
      <x:c r="B7" s="49" t="str">
        <x:v>I2-014</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https://w3id.org/nltl-benchmark/vocab#averageIcePressure | https://w3id.org/nltl-benchmark/vocab#bowLength | https://w3id.org/nltl-benchmark/vocab#bowSubregionAspectRatio | https://w3id.org/nltl-benchmark/vocab#bowSubregionCalculatedForce | https://w3id.org/nltl-benchmark/vocab#bowSubregionCalculatedLineLoad | https://w3id.org/nltl-benchmark/vocab#bowSubregionCalculatedPressure | https://w3id.org/nltl-benchmark/vocab#bowSubregionCalculationCase | https://w3id.org/nltl-benchmark/vocab#bowSubregionCount | https://w3id.org/nltl-benchmark/vocab#bowSubregionMidLengthPosition | https://w3id.org/nltl-benchmark/vocab#glancingImpactLineLoad | https://w3id.org/nltl-benchmark/vocab#glancingImpactPressure | https://w3id.org/nltl-benchmark/vocab#hasBowSubregionCalculationCase | https://w3id.org/nltl-benchmark/vocab#loadPatchHeight | https://w3id.org/nltl-benchmark/vocab#loadPatchLength | https://w3id.org/nltl-benchmark/vocab#selectedMaximumBowForce | https://w3id.org/nltl-benchmark/vocab#selectedMaximumBowLineLoad | https://w3id.org/nltl-benchmark/vocab#selectedMaximumBowPressure | https://w3id.org/nltl-benchmark/vocab#ship | https://w3id.org/nltl-benchmark/vocab#totalGlancingImpactForce</x:v>
      </x:c>
      <x:c r="O7" s="50" t="str"/>
      <x:c r="P7" s="50" t="str"/>
      <x:c r="Q7" s="50" t="str"/>
    </x:row>
  </x:sheetData>
  <x:pageMargins left="0.7" right="0.7" top="0.75" bottom="0.75" header="0.3" footer="0.3"/>
  <x:tableParts count="1">
    <x:tablePart xmlns:r="http://schemas.openxmlformats.org/officeDocument/2006/relationships" r:id="Re6d6b0c583da4985"/>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20" hidden="0" customWidth="1"/>
  </x:cols>
  <x:sheetData>
    <x:row r="1">
      <x:c r="A1" s="18" t="str">
        <x:v>NLTL SHACL Pipeline Run Tracker</x:v>
      </x:c>
      <x:c r="B1" s="19"/>
      <x:c r="C1" s="19"/>
      <x:c r="D1" s="19"/>
      <x:c r="E1" s="19"/>
      <x:c r="F1" s="19"/>
      <x:c r="G1" s="19"/>
      <x:c r="H1" s="19"/>
      <x:c r="I1" s="19"/>
      <x:c r="J1" s="19"/>
    </x:row>
    <x:row r="2">
      <x:c r="A2" s="20" t="str">
        <x:v>VOCAB_MATCHES | Run folder: RUN-I2-014-20260813T221520531337Z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RUN-I2-014-20260813T221520531337Z</x:v>
      </x:c>
      <x:c r="B5" s="45" t="str">
        <x:v>I2-014</x:v>
      </x:c>
      <x:c r="C5" s="58" t="n">
        <x:v>3</x:v>
      </x:c>
      <x:c r="D5" s="45" t="str">
        <x:v>matcher_search</x:v>
      </x:c>
      <x:c r="E5" s="46" t="str">
        <x:v>Remove the unsupported equations equating glancing values to calculated values and deriving total force, Pavg, b, and w from maxima; I2-014 supplies no such formula. Obtain canonical calculation/provenance relationship or formula-model terms to validate that each case's F, Q, P, and AR is calculated at its midpoint and that the respective maxima are used to calculate Pavg, b, and w, rather than imposing invented arithmetic.</x:v>
      </x:c>
      <x:c r="F5" s="58" t="n">
        <x:v>1</x:v>
      </x:c>
      <x:c r="G5" s="45" t="str"/>
      <x:c r="H5" s="45" t="str"/>
      <x:c r="I5" s="46" t="str"/>
      <x:c r="J5" s="46" t="str"/>
    </x:row>
    <x:row r="6">
      <x:c r="A6" s="49" t="str">
        <x:v>RUN-I2-014-20260813T221520531337Z</x:v>
      </x:c>
      <x:c r="B6" s="49" t="str">
        <x:v>I2-014</x:v>
      </x:c>
      <x:c r="C6" s="60" t="n">
        <x:v>3</x:v>
      </x:c>
      <x:c r="D6" s="49" t="str">
        <x:v>matcher_decision</x:v>
      </x:c>
      <x:c r="E6" s="50" t="str"/>
      <x:c r="F6" s="60" t="str"/>
      <x:c r="G6" s="87" t="b">
        <x:v>0</x:v>
      </x:c>
      <x:c r="H6" s="49" t="str"/>
      <x:c r="I6" s="50" t="str"/>
      <x:c r="J6" s="50" t="str"/>
    </x:row>
  </x:sheetData>
  <x:pageMargins left="0.7" right="0.7" top="0.75" bottom="0.75" header="0.3" footer="0.3"/>
  <x:tableParts count="1">
    <x:tablePart xmlns:r="http://schemas.openxmlformats.org/officeDocument/2006/relationships" r:id="R98b7343a307d454a"/>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RUN-I2-014-20260813T221520531337Z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RUN-I2-014-20260813T221520531337Z</x:v>
      </x:c>
      <x:c r="B5" s="45" t="str">
        <x:v>I2-014</x:v>
      </x:c>
      <x:c r="C5" s="58"/>
      <x:c r="D5" s="45" t="str">
        <x:v>initial_context_pack</x:v>
      </x:c>
      <x:c r="E5" s="46" t="str">
        <x:v>artifacts/context_pack_initial.json</x:v>
      </x:c>
      <x:c r="F5" s="45" t="str">
        <x:v>b01e69d678ac253c6d98ce7672819c99a1851bda717a516a96a92445601671d9</x:v>
      </x:c>
      <x:c r="G5" s="58" t="n">
        <x:v>32007</x:v>
      </x:c>
    </x:row>
    <x:row r="6">
      <x:c r="A6" s="47" t="str">
        <x:v>RUN-I2-014-20260813T221520531337Z</x:v>
      </x:c>
      <x:c r="B6" s="47" t="str">
        <x:v>I2-014</x:v>
      </x:c>
      <x:c r="C6" s="59"/>
      <x:c r="D6" s="47" t="str">
        <x:v>few_shot_selection</x:v>
      </x:c>
      <x:c r="E6" s="48" t="str">
        <x:v>artifacts/few_shots_selected.json</x:v>
      </x:c>
      <x:c r="F6" s="47" t="str">
        <x:v>e27eee5e638b9d85b2132264551303b0b689748db9555ef7679b9549432af94b</x:v>
      </x:c>
      <x:c r="G6" s="59" t="n">
        <x:v>5365</x:v>
      </x:c>
    </x:row>
    <x:row r="7">
      <x:c r="A7" s="47" t="str">
        <x:v>RUN-I2-014-20260813T221520531337Z</x:v>
      </x:c>
      <x:c r="B7" s="47" t="str">
        <x:v>I2-014</x:v>
      </x:c>
      <x:c r="C7" s="59" t="n">
        <x:v>1</x:v>
      </x:c>
      <x:c r="D7" s="47" t="str">
        <x:v>generator_prompt</x:v>
      </x:c>
      <x:c r="E7" s="48" t="str">
        <x:v>artifacts/attempt_01/generator_prompt.txt</x:v>
      </x:c>
      <x:c r="F7" s="47" t="str">
        <x:v>4bf2d5e2b6648ac213e180fc4f9c4f6408894fcdcdc05d3d45ec0c0b8b787bcd</x:v>
      </x:c>
      <x:c r="G7" s="59" t="n">
        <x:v>44654</x:v>
      </x:c>
    </x:row>
    <x:row r="8">
      <x:c r="A8" s="47" t="str">
        <x:v>RUN-I2-014-20260813T221520531337Z</x:v>
      </x:c>
      <x:c r="B8" s="47" t="str">
        <x:v>I2-014</x:v>
      </x:c>
      <x:c r="C8" s="59" t="n">
        <x:v>1</x:v>
      </x:c>
      <x:c r="D8" s="47" t="str">
        <x:v>generator_raw_response</x:v>
      </x:c>
      <x:c r="E8" s="48" t="str">
        <x:v>artifacts/attempt_01/generator_raw.txt</x:v>
      </x:c>
      <x:c r="F8" s="47" t="str">
        <x:v>7fc927e868749baf0f1ade258dc62b268d9976896142eb5b750aa9feed824a57</x:v>
      </x:c>
      <x:c r="G8" s="59" t="n">
        <x:v>10813</x:v>
      </x:c>
    </x:row>
    <x:row r="9">
      <x:c r="A9" s="47" t="str">
        <x:v>RUN-I2-014-20260813T221520531337Z</x:v>
      </x:c>
      <x:c r="B9" s="47" t="str">
        <x:v>I2-014</x:v>
      </x:c>
      <x:c r="C9" s="59" t="n">
        <x:v>1</x:v>
      </x:c>
      <x:c r="D9" s="47" t="str">
        <x:v>candidate_shape</x:v>
      </x:c>
      <x:c r="E9" s="48" t="str">
        <x:v>artifacts/attempt_01/candidate_shape.ttl</x:v>
      </x:c>
      <x:c r="F9" s="47" t="str">
        <x:v>91872433ff0125c77583bff6d2a3967dd35ce7b7faa799c260e38968bc59cc84</x:v>
      </x:c>
      <x:c r="G9" s="59" t="n">
        <x:v>10788</x:v>
      </x:c>
    </x:row>
    <x:row r="10">
      <x:c r="A10" s="47" t="str">
        <x:v>RUN-I2-014-20260813T221520531337Z</x:v>
      </x:c>
      <x:c r="B10" s="47" t="str">
        <x:v>I2-014</x:v>
      </x:c>
      <x:c r="C10" s="59" t="n">
        <x:v>1</x:v>
      </x:c>
      <x:c r="D10" s="47" t="str">
        <x:v>deterministic_validation</x:v>
      </x:c>
      <x:c r="E10" s="48" t="str">
        <x:v>artifacts/attempt_01/deterministic_validation.json</x:v>
      </x:c>
      <x:c r="F10" s="47" t="str">
        <x:v>3051854ce807fa7e26f0a93a14731f05fbf3554ffa47cf23bbdab0883496b53d</x:v>
      </x:c>
      <x:c r="G10" s="59" t="n">
        <x:v>1528</x:v>
      </x:c>
    </x:row>
    <x:row r="11">
      <x:c r="A11" s="47" t="str">
        <x:v>RUN-I2-014-20260813T221520531337Z</x:v>
      </x:c>
      <x:c r="B11" s="47" t="str">
        <x:v>I2-014</x:v>
      </x:c>
      <x:c r="C11" s="59" t="n">
        <x:v>1</x:v>
      </x:c>
      <x:c r="D11" s="47" t="str">
        <x:v>validator_prompt</x:v>
      </x:c>
      <x:c r="E11" s="48" t="str">
        <x:v>artifacts/attempt_01/validator_prompt_01.txt</x:v>
      </x:c>
      <x:c r="F11" s="47" t="str">
        <x:v>ecfc69a425e35e3ed5aa3e69f452e3a123726203b4e965344dcf4be3156cb19d</x:v>
      </x:c>
      <x:c r="G11" s="59" t="n">
        <x:v>54942</x:v>
      </x:c>
    </x:row>
    <x:row r="12">
      <x:c r="A12" s="47" t="str">
        <x:v>RUN-I2-014-20260813T221520531337Z</x:v>
      </x:c>
      <x:c r="B12" s="47" t="str">
        <x:v>I2-014</x:v>
      </x:c>
      <x:c r="C12" s="59" t="n">
        <x:v>1</x:v>
      </x:c>
      <x:c r="D12" s="47" t="str">
        <x:v>validator_raw_response</x:v>
      </x:c>
      <x:c r="E12" s="48" t="str">
        <x:v>artifacts/attempt_01/validator_raw_01.txt</x:v>
      </x:c>
      <x:c r="F12" s="47" t="str">
        <x:v>c6103ee1194c3e69ccfb5123ff6e2f8a36588466c8ea18e8eab2e6cd90feb777</x:v>
      </x:c>
      <x:c r="G12" s="59" t="n">
        <x:v>444</x:v>
      </x:c>
    </x:row>
    <x:row r="13">
      <x:c r="A13" s="47" t="str">
        <x:v>RUN-I2-014-20260813T221520531337Z</x:v>
      </x:c>
      <x:c r="B13" s="47" t="str">
        <x:v>I2-014</x:v>
      </x:c>
      <x:c r="C13" s="59" t="n">
        <x:v>2</x:v>
      </x:c>
      <x:c r="D13" s="47" t="str">
        <x:v>generator_prompt</x:v>
      </x:c>
      <x:c r="E13" s="48" t="str">
        <x:v>artifacts/attempt_02/generator_prompt.txt</x:v>
      </x:c>
      <x:c r="F13" s="47" t="str">
        <x:v>d18eb8cb3551101a4ecd28b93d3273ebe6277720206b7b0cafe2fe0f38bf1496</x:v>
      </x:c>
      <x:c r="G13" s="59" t="n">
        <x:v>45033</x:v>
      </x:c>
    </x:row>
    <x:row r="14">
      <x:c r="A14" s="47" t="str">
        <x:v>RUN-I2-014-20260813T221520531337Z</x:v>
      </x:c>
      <x:c r="B14" s="47" t="str">
        <x:v>I2-014</x:v>
      </x:c>
      <x:c r="C14" s="59" t="n">
        <x:v>2</x:v>
      </x:c>
      <x:c r="D14" s="47" t="str">
        <x:v>generator_raw_response</x:v>
      </x:c>
      <x:c r="E14" s="48" t="str">
        <x:v>artifacts/attempt_02/generator_raw.txt</x:v>
      </x:c>
      <x:c r="F14" s="47" t="str">
        <x:v>a1ffe73ea29adb9ab2c21b74cb8f081a8ef63646473b293b0ff4fe12ae7d35e8</x:v>
      </x:c>
      <x:c r="G14" s="59" t="n">
        <x:v>10334</x:v>
      </x:c>
    </x:row>
    <x:row r="15">
      <x:c r="A15" s="47" t="str">
        <x:v>RUN-I2-014-20260813T221520531337Z</x:v>
      </x:c>
      <x:c r="B15" s="47" t="str">
        <x:v>I2-014</x:v>
      </x:c>
      <x:c r="C15" s="59" t="n">
        <x:v>2</x:v>
      </x:c>
      <x:c r="D15" s="47" t="str">
        <x:v>candidate_shape</x:v>
      </x:c>
      <x:c r="E15" s="48" t="str">
        <x:v>artifacts/attempt_02/candidate_shape.ttl</x:v>
      </x:c>
      <x:c r="F15" s="47" t="str">
        <x:v>782a7d69be92ea38fb7f0c8c6f7dc93feef7055ddaccd5a75b08b702990543a0</x:v>
      </x:c>
      <x:c r="G15" s="59" t="n">
        <x:v>10309</x:v>
      </x:c>
    </x:row>
    <x:row r="16">
      <x:c r="A16" s="47" t="str">
        <x:v>RUN-I2-014-20260813T221520531337Z</x:v>
      </x:c>
      <x:c r="B16" s="47" t="str">
        <x:v>I2-014</x:v>
      </x:c>
      <x:c r="C16" s="59" t="n">
        <x:v>2</x:v>
      </x:c>
      <x:c r="D16" s="47" t="str">
        <x:v>deterministic_validation</x:v>
      </x:c>
      <x:c r="E16" s="48" t="str">
        <x:v>artifacts/attempt_02/deterministic_validation.json</x:v>
      </x:c>
      <x:c r="F16" s="47" t="str">
        <x:v>a2ce512287c2ad55c94b62a5d8e9038f6cf1a26f18b57d01f4027b1bff5d3c54</x:v>
      </x:c>
      <x:c r="G16" s="59" t="n">
        <x:v>1544</x:v>
      </x:c>
    </x:row>
    <x:row r="17">
      <x:c r="A17" s="47" t="str">
        <x:v>RUN-I2-014-20260813T221520531337Z</x:v>
      </x:c>
      <x:c r="B17" s="47" t="str">
        <x:v>I2-014</x:v>
      </x:c>
      <x:c r="C17" s="59" t="n">
        <x:v>2</x:v>
      </x:c>
      <x:c r="D17" s="47" t="str">
        <x:v>validator_prompt</x:v>
      </x:c>
      <x:c r="E17" s="48" t="str">
        <x:v>artifacts/attempt_02/validator_prompt_01.txt</x:v>
      </x:c>
      <x:c r="F17" s="47" t="str">
        <x:v>0f6bcdcbe7f48078f62b46b9aa867f51160a71733e0ed1c31ec227c62cca0ffa</x:v>
      </x:c>
      <x:c r="G17" s="59" t="n">
        <x:v>54428</x:v>
      </x:c>
    </x:row>
    <x:row r="18">
      <x:c r="A18" s="47" t="str">
        <x:v>RUN-I2-014-20260813T221520531337Z</x:v>
      </x:c>
      <x:c r="B18" s="47" t="str">
        <x:v>I2-014</x:v>
      </x:c>
      <x:c r="C18" s="59" t="n">
        <x:v>2</x:v>
      </x:c>
      <x:c r="D18" s="47" t="str">
        <x:v>validator_raw_response</x:v>
      </x:c>
      <x:c r="E18" s="48" t="str">
        <x:v>artifacts/attempt_02/validator_raw_01.txt</x:v>
      </x:c>
      <x:c r="F18" s="47" t="str">
        <x:v>090fa073cb4b8d99ac0ee0cbe920333706c299a4371d364ff61d1d748c5259ed</x:v>
      </x:c>
      <x:c r="G18" s="59" t="n">
        <x:v>602</x:v>
      </x:c>
    </x:row>
    <x:row r="19">
      <x:c r="A19" s="47" t="str">
        <x:v>RUN-I2-014-20260813T221520531337Z</x:v>
      </x:c>
      <x:c r="B19" s="47" t="str">
        <x:v>I2-014</x:v>
      </x:c>
      <x:c r="C19" s="59" t="n">
        <x:v>3</x:v>
      </x:c>
      <x:c r="D19" s="47" t="str">
        <x:v>generator_prompt</x:v>
      </x:c>
      <x:c r="E19" s="48" t="str">
        <x:v>artifacts/attempt_03/generator_prompt.txt</x:v>
      </x:c>
      <x:c r="F19" s="47" t="str">
        <x:v>63b550d8cd9787c122f1d66672d5aa48e00e7660a6d1369e67c9a638bfcfef25</x:v>
      </x:c>
      <x:c r="G19" s="59" t="n">
        <x:v>45578</x:v>
      </x:c>
    </x:row>
    <x:row r="20">
      <x:c r="A20" s="47" t="str">
        <x:v>RUN-I2-014-20260813T221520531337Z</x:v>
      </x:c>
      <x:c r="B20" s="47" t="str">
        <x:v>I2-014</x:v>
      </x:c>
      <x:c r="C20" s="59" t="n">
        <x:v>3</x:v>
      </x:c>
      <x:c r="D20" s="47" t="str">
        <x:v>generator_raw_response</x:v>
      </x:c>
      <x:c r="E20" s="48" t="str">
        <x:v>artifacts/attempt_03/generator_raw.txt</x:v>
      </x:c>
      <x:c r="F20" s="47" t="str">
        <x:v>7d4fa254bbcfdb15db5db5278ec9392e653f789fb7be7ea50850a5838f8fff30</x:v>
      </x:c>
      <x:c r="G20" s="59" t="n">
        <x:v>13022</x:v>
      </x:c>
    </x:row>
    <x:row r="21">
      <x:c r="A21" s="47" t="str">
        <x:v>RUN-I2-014-20260813T221520531337Z</x:v>
      </x:c>
      <x:c r="B21" s="47" t="str">
        <x:v>I2-014</x:v>
      </x:c>
      <x:c r="C21" s="59" t="n">
        <x:v>3</x:v>
      </x:c>
      <x:c r="D21" s="47" t="str">
        <x:v>candidate_shape</x:v>
      </x:c>
      <x:c r="E21" s="48" t="str">
        <x:v>artifacts/attempt_03/candidate_shape.ttl</x:v>
      </x:c>
      <x:c r="F21" s="47" t="str">
        <x:v>1962d6a1ea0d77ea7378fcdb94c3fee3e564f25c1797a3c9af89a10b9e6b9b74</x:v>
      </x:c>
      <x:c r="G21" s="59" t="n">
        <x:v>12997</x:v>
      </x:c>
    </x:row>
    <x:row r="22">
      <x:c r="A22" s="47" t="str">
        <x:v>RUN-I2-014-20260813T221520531337Z</x:v>
      </x:c>
      <x:c r="B22" s="47" t="str">
        <x:v>I2-014</x:v>
      </x:c>
      <x:c r="C22" s="59" t="n">
        <x:v>3</x:v>
      </x:c>
      <x:c r="D22" s="47" t="str">
        <x:v>deterministic_validation</x:v>
      </x:c>
      <x:c r="E22" s="48" t="str">
        <x:v>artifacts/attempt_03/deterministic_validation.json</x:v>
      </x:c>
      <x:c r="F22" s="47" t="str">
        <x:v>830a93741ac8b93221c605ca567655b3bd9457833a48a320ce4c973c8ae4224b</x:v>
      </x:c>
      <x:c r="G22" s="59" t="n">
        <x:v>1680</x:v>
      </x:c>
    </x:row>
    <x:row r="23">
      <x:c r="A23" s="47" t="str">
        <x:v>RUN-I2-014-20260813T221520531337Z</x:v>
      </x:c>
      <x:c r="B23" s="47" t="str">
        <x:v>I2-014</x:v>
      </x:c>
      <x:c r="C23" s="59" t="n">
        <x:v>3</x:v>
      </x:c>
      <x:c r="D23" s="47" t="str">
        <x:v>validator_prompt</x:v>
      </x:c>
      <x:c r="E23" s="48" t="str">
        <x:v>artifacts/attempt_03/validator_prompt_01.txt</x:v>
      </x:c>
      <x:c r="F23" s="47" t="str">
        <x:v>a02cba38627ffdd4b4a8197fd2c0ffb6d35af6c27093cbe018fe07e8bd063588</x:v>
      </x:c>
      <x:c r="G23" s="59" t="n">
        <x:v>58130</x:v>
      </x:c>
    </x:row>
    <x:row r="24">
      <x:c r="A24" s="47" t="str">
        <x:v>RUN-I2-014-20260813T221520531337Z</x:v>
      </x:c>
      <x:c r="B24" s="47" t="str">
        <x:v>I2-014</x:v>
      </x:c>
      <x:c r="C24" s="59" t="n">
        <x:v>3</x:v>
      </x:c>
      <x:c r="D24" s="47" t="str">
        <x:v>validator_raw_response</x:v>
      </x:c>
      <x:c r="E24" s="48" t="str">
        <x:v>artifacts/attempt_03/validator_raw_01.txt</x:v>
      </x:c>
      <x:c r="F24" s="47" t="str">
        <x:v>50f8733749b5c29f2c5ea8256c14657fd3324bbbbf29f51ecd157641c5573c8d</x:v>
      </x:c>
      <x:c r="G24" s="59" t="n">
        <x:v>490</x:v>
      </x:c>
    </x:row>
    <x:row r="25">
      <x:c r="A25" s="47" t="str">
        <x:v>RUN-I2-014-20260813T221520531337Z</x:v>
      </x:c>
      <x:c r="B25" s="47" t="str">
        <x:v>I2-014</x:v>
      </x:c>
      <x:c r="C25" s="59" t="n">
        <x:v>3</x:v>
      </x:c>
      <x:c r="D25" s="47" t="str">
        <x:v>matcher_candidates</x:v>
      </x:c>
      <x:c r="E25" s="48" t="str">
        <x:v>artifacts/attempt_03/matcher_candidates.json</x:v>
      </x:c>
      <x:c r="F25" s="47" t="str">
        <x:v>2da542808621bd264a7629d7781ebafd937bf611f034d2862cca424d610d9ba7</x:v>
      </x:c>
      <x:c r="G25" s="59" t="n">
        <x:v>379</x:v>
      </x:c>
    </x:row>
    <x:row r="26">
      <x:c r="A26" s="47" t="str">
        <x:v>RUN-I2-014-20260813T221520531337Z</x:v>
      </x:c>
      <x:c r="B26" s="47" t="str">
        <x:v>I2-014</x:v>
      </x:c>
      <x:c r="C26" s="59" t="n">
        <x:v>3</x:v>
      </x:c>
      <x:c r="D26" s="47" t="str">
        <x:v>vocabulary_matcher_prompt</x:v>
      </x:c>
      <x:c r="E26" s="48" t="str">
        <x:v>artifacts/attempt_03/vocabulary_matcher_prompt_01.txt</x:v>
      </x:c>
      <x:c r="F26" s="47" t="str">
        <x:v>5b56dd09e30ecff5c540ed94d21374799560c0a544f5460b542177ad46a0f40d</x:v>
      </x:c>
      <x:c r="G26" s="59" t="n">
        <x:v>5863</x:v>
      </x:c>
    </x:row>
    <x:row r="27">
      <x:c r="A27" s="49" t="str">
        <x:v>RUN-I2-014-20260813T221520531337Z</x:v>
      </x:c>
      <x:c r="B27" s="49" t="str">
        <x:v>I2-014</x:v>
      </x:c>
      <x:c r="C27" s="60" t="n">
        <x:v>3</x:v>
      </x:c>
      <x:c r="D27" s="49" t="str">
        <x:v>vocabulary_matcher_raw_response</x:v>
      </x:c>
      <x:c r="E27" s="50" t="str">
        <x:v>artifacts/attempt_03/vocabulary_matcher_raw_01.txt</x:v>
      </x:c>
      <x:c r="F27" s="49" t="str">
        <x:v>a47f3adf9d135202e9946cf125e30bbbd6d394508e1f0b8e8b43635fa3d4d053</x:v>
      </x:c>
      <x:c r="G27" s="60" t="n">
        <x:v>89</x:v>
      </x:c>
    </x:row>
  </x:sheetData>
  <x:pageMargins left="0.7" right="0.7" top="0.75" bottom="0.75" header="0.3" footer="0.3"/>
  <x:tableParts count="1">
    <x:tablePart xmlns:r="http://schemas.openxmlformats.org/officeDocument/2006/relationships" r:id="R7c5c561b07ca407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RUN-I2-014-20260813T221520531337Z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RUN-I2-014-20260813T221520531337Z</x:v>
      </x:c>
      <x:c r="B5" s="69" t="str">
        <x:v>I2-014</x:v>
      </x:c>
      <x:c r="C5" s="71" t="n">
        <x:v>3</x:v>
      </x:c>
      <x:c r="D5" s="69" t="str">
        <x:v>TERM_RESOLUTION_UNRESOLVED</x:v>
      </x:c>
      <x:c r="E5" s="73" t="str">
        <x:v>Remove the unsupported equations equating glancing values to calculated values and deriving total force, Pavg, b, and w from maxima; I2-014 supplies no such formula. Obtain canonical calculation/provenance relationship or formula-model terms to validate that each case's F, Q, P, and AR is calculated at its midpoint and that the respective maxima are used to calculate Pavg, b, and w, rather than imposing invented arithmetic.</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947d6279456049cf"/>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RUN-I2-014-20260813T221520531337Z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