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4068a2042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e1e00d435d44e3"/>
    <x:sheet xmlns:r="http://schemas.openxmlformats.org/officeDocument/2006/relationships" name="README" sheetId="2" r:id="Rb509afe7fbde4860"/>
    <x:sheet xmlns:r="http://schemas.openxmlformats.org/officeDocument/2006/relationships" name="REGULATION_QUEUE" sheetId="3" r:id="R6f4f94a551e34c8c"/>
    <x:sheet xmlns:r="http://schemas.openxmlformats.org/officeDocument/2006/relationships" name="RUNS" sheetId="4" r:id="Rb64d072d9ca84d78"/>
    <x:sheet xmlns:r="http://schemas.openxmlformats.org/officeDocument/2006/relationships" name="ITERATIONS" sheetId="5" r:id="R558add6a72294122"/>
    <x:sheet xmlns:r="http://schemas.openxmlformats.org/officeDocument/2006/relationships" name="API_CALLS" sheetId="6" r:id="R8967eb0298c04458"/>
    <x:sheet xmlns:r="http://schemas.openxmlformats.org/officeDocument/2006/relationships" name="TERM_RETRIEVAL" sheetId="7" r:id="Rbfd40e616e6c4fc2"/>
    <x:sheet xmlns:r="http://schemas.openxmlformats.org/officeDocument/2006/relationships" name="FEW_SHOT_SELECTION" sheetId="8" r:id="R3edf0af3503442e8"/>
    <x:sheet xmlns:r="http://schemas.openxmlformats.org/officeDocument/2006/relationships" name="VALIDATION" sheetId="9" r:id="Rec4054b100984f42"/>
    <x:sheet xmlns:r="http://schemas.openxmlformats.org/officeDocument/2006/relationships" name="VOCAB_MATCHES" sheetId="10" r:id="R0feb387fdfad4e7f"/>
    <x:sheet xmlns:r="http://schemas.openxmlformats.org/officeDocument/2006/relationships" name="ARTIFACTS" sheetId="11" r:id="R0510affb81284775"/>
    <x:sheet xmlns:r="http://schemas.openxmlformats.org/officeDocument/2006/relationships" name="UNRESOLVED" sheetId="12" r:id="Rfc8cc90576874813"/>
    <x:sheet xmlns:r="http://schemas.openxmlformats.org/officeDocument/2006/relationships" name="RDF_TEST_QUEUE" sheetId="13" r:id="Rdb28c41527ed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865fcb7c5446c" /><Relationship Type="http://schemas.openxmlformats.org/officeDocument/2006/relationships/theme" Target="/xl/theme/theme1.xml" Id="R5d5c9048cc024d41" /><Relationship Type="http://schemas.microsoft.com/office/2022/11/relationships/FeaturePropertyBag" Target="/xl/featurePropertyBag/featurePropertyBag.xml" Id="R18bb9cbb833d4f43" /><Relationship Type="http://schemas.openxmlformats.org/officeDocument/2006/relationships/sharedStrings" Target="/xl/sharedStrings.xml" Id="Re1778dd50f854bd2" /><Relationship Type="http://schemas.openxmlformats.org/officeDocument/2006/relationships/worksheet" Target="/xl/worksheets/sheet1.xml" Id="R28e1e00d435d44e3" /><Relationship Type="http://schemas.openxmlformats.org/officeDocument/2006/relationships/worksheet" Target="/xl/worksheets/sheet2.xml" Id="Rb509afe7fbde4860" /><Relationship Type="http://schemas.openxmlformats.org/officeDocument/2006/relationships/worksheet" Target="/xl/worksheets/sheet3.xml" Id="R6f4f94a551e34c8c" /><Relationship Type="http://schemas.openxmlformats.org/officeDocument/2006/relationships/worksheet" Target="/xl/worksheets/sheet4.xml" Id="Rb64d072d9ca84d78" /><Relationship Type="http://schemas.openxmlformats.org/officeDocument/2006/relationships/worksheet" Target="/xl/worksheets/sheet5.xml" Id="R558add6a72294122" /><Relationship Type="http://schemas.openxmlformats.org/officeDocument/2006/relationships/worksheet" Target="/xl/worksheets/sheet6.xml" Id="R8967eb0298c04458" /><Relationship Type="http://schemas.openxmlformats.org/officeDocument/2006/relationships/worksheet" Target="/xl/worksheets/sheet7.xml" Id="Rbfd40e616e6c4fc2" /><Relationship Type="http://schemas.openxmlformats.org/officeDocument/2006/relationships/worksheet" Target="/xl/worksheets/sheet8.xml" Id="R3edf0af3503442e8" /><Relationship Type="http://schemas.openxmlformats.org/officeDocument/2006/relationships/worksheet" Target="/xl/worksheets/sheet9.xml" Id="Rec4054b100984f42" /><Relationship Type="http://schemas.openxmlformats.org/officeDocument/2006/relationships/worksheet" Target="/xl/worksheets/sheet10.xml" Id="R0feb387fdfad4e7f" /><Relationship Type="http://schemas.openxmlformats.org/officeDocument/2006/relationships/worksheet" Target="/xl/worksheets/sheet11.xml" Id="R0510affb81284775" /><Relationship Type="http://schemas.openxmlformats.org/officeDocument/2006/relationships/worksheet" Target="/xl/worksheets/sheet12.xml" Id="Rfc8cc90576874813" /><Relationship Type="http://schemas.openxmlformats.org/officeDocument/2006/relationships/worksheet" Target="/xl/worksheets/sheet13.xml" Id="Rdb28c41527ed4f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474336859445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be06abfa6d40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1f4762611c4e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bc9b41929143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1ad510b92548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97911fe6024a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929510ba7043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90e17370e041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df434421ab341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f218247761b47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1d4c3b69f534f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RUN-I2-015-20260813T221845120222Z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23264.885333333335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RUN-I2-015-20260813T221845120222Z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474336859445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RUN-I2-015-20260813T221845120222Z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TERM_RESOLUTION_UNRESOLVED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be06abfa6d40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RUN-I2-015-20260813T221845120222Z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RUN-I2-015-20260813T221845120222Z</x:v>
      </x:c>
      <x:c r="C5" s="69" t="str">
        <x:v>I2-015</x:v>
      </x:c>
      <x:c r="D5" s="70" t="n">
        <x:v>46247.92968891204</x:v>
      </x:c>
      <x:c r="E5" s="70" t="n">
        <x:v>46247.93133759259</x:v>
      </x:c>
      <x:c r="F5" s="69" t="str">
        <x:v>0.11.0-dev-r11-failure-closure</x:v>
      </x:c>
      <x:c r="G5" s="69" t="str">
        <x:v>VOCAB-DEV-2026-08-14-R11-FAILURE-CLOSURE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calculationCase is a generic calculation-case class and ship is an owner class, while the feedback requires a canonical bow-form classification/selection term or path for I2.3.1(v).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f4762611c4e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RUN-I2-015-20260813T221845120222Z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RUN-I2-015-20260813T221845120222Z</x:v>
      </x:c>
      <x:c r="B5" s="45" t="str">
        <x:v>I2-015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Replace the presence-and-cap approximation with a bounded SHACL-SPARQL formula constraint on each bowSubregionCalculationCase: obtain x, alpha_i, and reported f_ai from that case, beta_i_prime and L_UI from its owning ship via hasBowSubregionCalculationCase, and C_FF/C_FC from its paired hasFailureClassFactorLookupCase; enforce f_ai = min(f_ai1,f_ai2,0.60) using a tolerance scaled from the computed expected result, not a mere maxInclusive 0.60. Use the registered math:sin function IRI, not bare SIN syntax. Locate and use the canonical quantity/path for the required D_UI^0.64 operand, which is absent from the supplied scoped vocabulary, with its declared owner, datatype, and unit; do not invent or relocate it. Retain the case-to-lookup relationship and quantity/unit validations, but ensure the completed formula constraint covers every declared operand and the result.</x:v>
      </x:c>
      <x:c r="I5" s="81" t="n">
        <x:v>48007.69</x:v>
      </x:c>
      <x:c r="J5" s="81" t="n">
        <x:v>6807.836</x:v>
      </x:c>
    </x:row>
    <x:row r="6">
      <x:c r="A6" s="49" t="str">
        <x:v>RUN-I2-015-20260813T221845120222Z</x:v>
      </x:c>
      <x:c r="B6" s="49" t="str">
        <x:v>I2-015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Obtain the canonical bow-form classification/selection term or path for I2.3.1(v) and use it to gate this rule; do not let the sh:or branch with zero calculation cases pass merely because branch-selection evidence is absent. Require the applicable branch’s case, operands, lookup relationship, and result only when that evidenced selector applies, and make absent/ambiguous selection evidence a violation rather than a non-applicable pass. Also remove the invented 1e-15 denominator cutoff: handle only an actually zero/undefined denominator as invalid while evaluating the stated formula for every nonzero denominator.</x:v>
      </x:c>
      <x:c r="I6" s="83" t="n">
        <x:v>58636.478</x:v>
      </x:c>
      <x:c r="J6" s="83" t="n">
        <x:v>22049.624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c9b41929143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RUN-I2-015-20260813T221845120222Z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RUN-I2-015-20260813T221845120222Z</x:v>
      </x:c>
      <x:c r="C5" s="45" t="str">
        <x:v>I2-015</x:v>
      </x:c>
      <x:c r="D5" s="90" t="n">
        <x:v>46247.93024457176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48006.103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RUN-I2-015-20260813T221845120222Z</x:v>
      </x:c>
      <x:c r="C6" s="47" t="str">
        <x:v>I2-015</x:v>
      </x:c>
      <x:c r="D6" s="91" t="n">
        <x:v>46247.93024459491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48007.69</x:v>
      </x:c>
      <x:c r="L6" s="93" t="b">
        <x:v>0</x:v>
      </x:c>
      <x:c r="M6" s="47" t="str">
        <x:v>resp_0f4facc725d7156a006a7e42c536788193a30e9038a522a820</x:v>
      </x:c>
      <x:c r="N6" s="59" t="n">
        <x:v>9359</x:v>
      </x:c>
      <x:c r="O6" s="59" t="n">
        <x:v>3906</x:v>
      </x:c>
      <x:c r="P6" s="59" t="n">
        <x:v>13265</x:v>
      </x:c>
    </x:row>
    <x:row r="7">
      <x:c r="A7" s="47" t="str">
        <x:v>EVT-000033</x:v>
      </x:c>
      <x:c r="B7" s="47" t="str">
        <x:v>RUN-I2-015-20260813T221845120222Z</x:v>
      </x:c>
      <x:c r="C7" s="47" t="str">
        <x:v>I2-015</x:v>
      </x:c>
      <x:c r="D7" s="91" t="n">
        <x:v>46247.930325995374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6806.566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RUN-I2-015-20260813T221845120222Z</x:v>
      </x:c>
      <x:c r="C8" s="47" t="str">
        <x:v>I2-015</x:v>
      </x:c>
      <x:c r="D8" s="91" t="n">
        <x:v>46247.93032600694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6807.836</x:v>
      </x:c>
      <x:c r="L8" s="93" t="b">
        <x:v>0</x:v>
      </x:c>
      <x:c r="M8" s="47" t="str">
        <x:v>resp_0ffb9a6fa42bc361006a7e42f56e608196b4f1bd3d7960bb57</x:v>
      </x:c>
      <x:c r="N8" s="59" t="n">
        <x:v>10515</x:v>
      </x:c>
      <x:c r="O8" s="59" t="n">
        <x:v>584</x:v>
      </x:c>
      <x:c r="P8" s="59" t="n">
        <x:v>11099</x:v>
      </x:c>
    </x:row>
    <x:row r="9">
      <x:c r="A9" s="47" t="str">
        <x:v>EVT-000040</x:v>
      </x:c>
      <x:c r="B9" s="47" t="str">
        <x:v>RUN-I2-015-20260813T221845120222Z</x:v>
      </x:c>
      <x:c r="C9" s="47" t="str">
        <x:v>I2-015</x:v>
      </x:c>
      <x:c r="D9" s="91" t="n">
        <x:v>46247.9303690625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2374.565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RUN-I2-015-20260813T221845120222Z</x:v>
      </x:c>
      <x:c r="C10" s="47" t="str">
        <x:v>I2-015</x:v>
      </x:c>
      <x:c r="D10" s="91" t="n">
        <x:v>46247.93036907407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2375.183</x:v>
      </x:c>
      <x:c r="L10" s="93" t="b">
        <x:v>0</x:v>
      </x:c>
      <x:c r="M10" s="47" t="str">
        <x:v>resp_0f28bba9ad2bdede006a7e42fd97f08190b55f90d1ffb6b9e3</x:v>
      </x:c>
      <x:c r="N10" s="59" t="n">
        <x:v>3768</x:v>
      </x:c>
      <x:c r="O10" s="59" t="n">
        <x:v>221</x:v>
      </x:c>
      <x:c r="P10" s="59" t="n">
        <x:v>3989</x:v>
      </x:c>
    </x:row>
    <x:row r="11">
      <x:c r="A11" s="47" t="str">
        <x:v>EVT-000066</x:v>
      </x:c>
      <x:c r="B11" s="47" t="str">
        <x:v>RUN-I2-015-20260813T221845120222Z</x:v>
      </x:c>
      <x:c r="C11" s="47" t="str">
        <x:v>I2-015</x:v>
      </x:c>
      <x:c r="D11" s="91" t="n">
        <x:v>46247.931047777776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58634.788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EVT-000067</x:v>
      </x:c>
      <x:c r="B12" s="47" t="str">
        <x:v>RUN-I2-015-20260813T221845120222Z</x:v>
      </x:c>
      <x:c r="C12" s="47" t="str">
        <x:v>I2-015</x:v>
      </x:c>
      <x:c r="D12" s="91" t="n">
        <x:v>46247.93104780093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58636.478</x:v>
      </x:c>
      <x:c r="L12" s="93" t="b">
        <x:v>0</x:v>
      </x:c>
      <x:c r="M12" s="47" t="str">
        <x:v>resp_0d820fdad86d0f76006a7e42fff85881948ad5c2e425ab388b</x:v>
      </x:c>
      <x:c r="N12" s="59" t="n">
        <x:v>9929</x:v>
      </x:c>
      <x:c r="O12" s="59" t="n">
        <x:v>4861</x:v>
      </x:c>
      <x:c r="P12" s="59" t="n">
        <x:v>14790</x:v>
      </x:c>
    </x:row>
    <x:row r="13">
      <x:c r="A13" s="47" t="str">
        <x:v>EVT-000074</x:v>
      </x:c>
      <x:c r="B13" s="47" t="str">
        <x:v>RUN-I2-015-20260813T221845120222Z</x:v>
      </x:c>
      <x:c r="C13" s="47" t="str">
        <x:v>I2-015</x:v>
      </x:c>
      <x:c r="D13" s="91" t="n">
        <x:v>46247.93130615741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22048.072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EVT-000075</x:v>
      </x:c>
      <x:c r="B14" s="47" t="str">
        <x:v>RUN-I2-015-20260813T221845120222Z</x:v>
      </x:c>
      <x:c r="C14" s="47" t="str">
        <x:v>I2-015</x:v>
      </x:c>
      <x:c r="D14" s="91" t="n">
        <x:v>46247.93130616898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22049.624</x:v>
      </x:c>
      <x:c r="L14" s="93" t="b">
        <x:v>0</x:v>
      </x:c>
      <x:c r="M14" s="47" t="str">
        <x:v>resp_0fddfbe463b671f9006a7e433adf488196bf2fedfeb78de0d0</x:v>
      </x:c>
      <x:c r="N14" s="59" t="n">
        <x:v>11618</x:v>
      </x:c>
      <x:c r="O14" s="59" t="n">
        <x:v>2078</x:v>
      </x:c>
      <x:c r="P14" s="59" t="n">
        <x:v>13696</x:v>
      </x:c>
    </x:row>
    <x:row r="15">
      <x:c r="A15" s="47" t="str">
        <x:v>EVT-000081</x:v>
      </x:c>
      <x:c r="B15" s="47" t="str">
        <x:v>RUN-I2-015-20260813T221845120222Z</x:v>
      </x:c>
      <x:c r="C15" s="47" t="str">
        <x:v>I2-015</x:v>
      </x:c>
      <x:c r="D15" s="91" t="n">
        <x:v>46247.93133752315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1715.089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EVT-000082</x:v>
      </x:c>
      <x:c r="B16" s="49" t="str">
        <x:v>RUN-I2-015-20260813T221845120222Z</x:v>
      </x:c>
      <x:c r="C16" s="49" t="str">
        <x:v>I2-015</x:v>
      </x:c>
      <x:c r="D16" s="94" t="n">
        <x:v>46247.931337546295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1716.63</x:v>
      </x:c>
      <x:c r="L16" s="82" t="b">
        <x:v>0</x:v>
      </x:c>
      <x:c r="M16" s="49" t="str">
        <x:v>resp_07959101897df656006a7e4351ec488190998cf26ed4b61873</x:v>
      </x:c>
      <x:c r="N16" s="60" t="n">
        <x:v>1831</x:v>
      </x:c>
      <x:c r="O16" s="60" t="n">
        <x:v>120</x:v>
      </x:c>
      <x:c r="P16" s="60" t="n">
        <x:v>1951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ad510b92548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RUN-I2-015-20260813T221845120222Z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RUN-I2-015-20260813T221845120222Z</x:v>
      </x:c>
      <x:c r="B5" s="45" t="str">
        <x:v>I2-015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</x:v>
      </x:c>
      <x:c r="J5" s="45" t="n">
        <x:v>0</x:v>
      </x:c>
    </x:row>
    <x:row r="6">
      <x:c r="A6" s="47" t="str">
        <x:v>RUN-I2-015-20260813T221845120222Z</x:v>
      </x:c>
      <x:c r="B6" s="47" t="str">
        <x:v>I2-015</x:v>
      </x:c>
      <x:c r="C6" s="47" t="str">
        <x:v>betaIPrime</x:v>
      </x:c>
      <x:c r="D6" s="48" t="str">
        <x:v>https://w3id.org/nltl-benchmark/vocab#betaIPrime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RUN-I2-015-20260813T221845120222Z</x:v>
      </x:c>
      <x:c r="B7" s="47" t="str">
        <x:v>I2-015</x:v>
      </x:c>
      <x:c r="C7" s="47" t="str">
        <x:v>bowShapeCoefficient</x:v>
      </x:c>
      <x:c r="D7" s="48" t="str">
        <x:v>https://w3id.org/nltl-benchmark/vocab#bowShapeCoefficient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RUN-I2-015-20260813T221845120222Z</x:v>
      </x:c>
      <x:c r="B8" s="47" t="str">
        <x:v>I2-015</x:v>
      </x:c>
      <x:c r="C8" s="47" t="str">
        <x:v>bowSubregionCalculationCase</x:v>
      </x:c>
      <x:c r="D8" s="48" t="str">
        <x:v>https://w3id.org/nltl-benchmark/vocab#bowSubregionCalculationCase</x:v>
      </x:c>
      <x:c r="E8" s="47" t="str">
        <x:v>Class</x:v>
      </x:c>
      <x:c r="F8" s="47" t="str"/>
      <x:c r="G8" s="47" t="str">
        <x:v>https://w3id.org/nltl-benchmark/vocab#calculationCase</x:v>
      </x:c>
      <x:c r="H8" s="47" t="str"/>
      <x:c r="I8" s="48" t="str">
        <x:v>authoritative required owner class;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8" s="47" t="n">
        <x:v>0</x:v>
      </x:c>
    </x:row>
    <x:row r="9">
      <x:c r="A9" s="47" t="str">
        <x:v>RUN-I2-015-20260813T221845120222Z</x:v>
      </x:c>
      <x:c r="B9" s="47" t="str">
        <x:v>I2-015</x:v>
      </x:c>
      <x:c r="C9" s="47" t="str">
        <x:v>bowSubregionMidLengthPosition</x:v>
      </x:c>
      <x:c r="D9" s="48" t="str">
        <x:v>https://w3id.org/nltl-benchmark/vocab#bowSubregionMidLengthPosition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RUN-I2-015-20260813T221845120222Z</x:v>
      </x:c>
      <x:c r="B10" s="47" t="str">
        <x:v>I2-015</x:v>
      </x:c>
      <x:c r="C10" s="47" t="str">
        <x:v>bowSubregionWaterlineAngle</x:v>
      </x:c>
      <x:c r="D10" s="48" t="str">
        <x:v>https://w3id.org/nltl-benchmark/vocab#bowSubregionWaterlineAngle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RUN-I2-015-20260813T221845120222Z</x:v>
      </x:c>
      <x:c r="B11" s="47" t="str">
        <x:v>I2-015</x:v>
      </x:c>
      <x:c r="C11" s="47" t="str">
        <x:v>calculationCase</x:v>
      </x:c>
      <x:c r="D11" s="48" t="str">
        <x:v>https://w3id.org/nltl-benchmark/vocab#calculationCase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bowSubregionCalculationCase</x:v>
      </x:c>
      <x:c r="J11" s="47" t="n">
        <x:v>0</x:v>
      </x:c>
    </x:row>
    <x:row r="12">
      <x:c r="A12" s="47" t="str">
        <x:v>RUN-I2-015-20260813T221845120222Z</x:v>
      </x:c>
      <x:c r="B12" s="47" t="str">
        <x:v>I2-015</x:v>
      </x:c>
      <x:c r="C12" s="47" t="str">
        <x:v>crushingFailureClassFactor</x:v>
      </x:c>
      <x:c r="D12" s="48" t="str">
        <x:v>https://w3id.org/nltl-benchmark/vocab#crushingFailureClassFactor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RUN-I2-015-20260813T221845120222Z</x:v>
      </x:c>
      <x:c r="B13" s="47" t="str">
        <x:v>I2-015</x:v>
      </x:c>
      <x:c r="C13" s="47" t="str">
        <x:v>flexuralFailureClassFactor</x:v>
      </x:c>
      <x:c r="D13" s="48" t="str">
        <x:v>https://w3id.org/nltl-benchmark/vocab#flexuralFailureClassFactor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RUN-I2-015-20260813T221845120222Z</x:v>
      </x:c>
      <x:c r="B14" s="47" t="str">
        <x:v>I2-015</x:v>
      </x:c>
      <x:c r="C14" s="47" t="str">
        <x:v>hasBowSubregionCalculationCase</x:v>
      </x:c>
      <x:c r="D14" s="48" t="str">
        <x:v>https://w3id.org/nltl-benchmark/vocab#hasBowSubregionCalculationCase</x:v>
      </x:c>
      <x:c r="E14" s="47" t="str">
        <x:v>ObjectProperty</x:v>
      </x:c>
      <x:c r="F14" s="47" t="str"/>
      <x:c r="G14" s="47" t="str">
        <x:v>https://w3id.org/nltl-benchmark/vocab#bowSubregionCalculationCase</x:v>
      </x:c>
      <x:c r="H14" s="47" t="str"/>
      <x:c r="I14" s="48" t="str">
        <x:v>canonical path from target owner ship to required owner bowSubregionCalculationCase; linked by the locked 313-requirement index</x:v>
      </x:c>
      <x:c r="J14" s="47" t="n">
        <x:v>0</x:v>
      </x:c>
    </x:row>
    <x:row r="15">
      <x:c r="A15" s="47" t="str">
        <x:v>RUN-I2-015-20260813T221845120222Z</x:v>
      </x:c>
      <x:c r="B15" s="47" t="str">
        <x:v>I2-015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RUN-I2-015-20260813T221845120222Z</x:v>
      </x:c>
      <x:c r="B16" s="47" t="str">
        <x:v>I2-015</x:v>
      </x:c>
      <x:c r="C16" s="47" t="str">
        <x:v>hasFailureClassFactorLookupCase</x:v>
      </x:c>
      <x:c r="D16" s="48" t="str">
        <x:v>https://w3id.org/nltl-benchmark/vocab#hasFailureClassFactorLookupCase</x:v>
      </x:c>
      <x:c r="E16" s="47" t="str">
        <x:v>ObjectProperty</x:v>
      </x:c>
      <x:c r="F16" s="47" t="str"/>
      <x:c r="G16" s="47" t="str">
        <x:v>https://w3id.org/nltl-benchmark/vocab#tableLookupCase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RUN-I2-015-20260813T221845120222Z</x:v>
      </x:c>
      <x:c r="B17" s="47" t="str">
        <x:v>I2-015</x:v>
      </x:c>
      <x:c r="C17" s="47" t="str">
        <x:v>hasTableLookupCase</x:v>
      </x:c>
      <x:c r="D17" s="48" t="str">
        <x:v>https://w3id.org/nltl-benchmark/vocab#hasTableLookupCase</x:v>
      </x:c>
      <x:c r="E17" s="47" t="str">
        <x:v>ObjectProperty</x:v>
      </x:c>
      <x:c r="F17" s="47" t="str"/>
      <x:c r="G17" s="47" t="str">
        <x:v>https://w3id.org/nltl-benchmark/vocab#tableLookupCase</x:v>
      </x:c>
      <x:c r="H17" s="47" t="str"/>
      <x:c r="I17" s="48" t="str">
        <x:v>canonical path from target owner ship to required owner tableLookupCase</x:v>
      </x:c>
      <x:c r="J17" s="47" t="n">
        <x:v>0</x:v>
      </x:c>
    </x:row>
    <x:row r="18">
      <x:c r="A18" s="47" t="str">
        <x:v>RUN-I2-015-20260813T221845120222Z</x:v>
      </x:c>
      <x:c r="B18" s="47" t="str">
        <x:v>I2-015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hasBowSubregionCalculationCase; domain dependency of upperIceWaterlineLengthLUI</x:v>
      </x:c>
      <x:c r="J18" s="47" t="n">
        <x:v>0</x:v>
      </x:c>
    </x:row>
    <x:row r="19">
      <x:c r="A19" s="47" t="str">
        <x:v>RUN-I2-015-20260813T221845120222Z</x:v>
      </x:c>
      <x:c r="B19" s="47" t="str">
        <x:v>I2-015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RUN-I2-015-20260813T221845120222Z</x:v>
      </x:c>
      <x:c r="B20" s="47" t="str">
        <x:v>I2-015</x:v>
      </x:c>
      <x:c r="C20" s="47" t="str">
        <x:v>tableLookupCase</x:v>
      </x:c>
      <x:c r="D20" s="48" t="str">
        <x:v>https://w3id.org/nltl-benchmark/vocab#tableLookupCase</x:v>
      </x:c>
      <x:c r="E20" s="47" t="str">
        <x:v>Class</x:v>
      </x:c>
      <x:c r="F20" s="47" t="str"/>
      <x:c r="G20" s="47" t="str">
        <x:v>https://w3id.org/nltl-benchmark/vocab#calculationCase</x:v>
      </x:c>
      <x:c r="H20" s="47" t="str"/>
      <x:c r="I20" s="48" t="str">
        <x:v>authoritative required owner class; domain dependency of crushingFailureClassFactor; domain dependency of flexuralFailureClassFactor; range dependency of hasFailureClassFactorLookupCase</x:v>
      </x:c>
      <x:c r="J20" s="47" t="n">
        <x:v>0</x:v>
      </x:c>
    </x:row>
    <x:row r="21">
      <x:c r="A21" s="47" t="str">
        <x:v>RUN-I2-015-20260813T221845120222Z</x:v>
      </x:c>
      <x:c r="B21" s="47" t="str">
        <x:v>I2-015</x:v>
      </x:c>
      <x:c r="C21" s="47" t="str">
        <x:v>upperIceWaterlineLengthLUI</x:v>
      </x:c>
      <x:c r="D21" s="48" t="str">
        <x:v>https://w3id.org/nltl-benchmark/vocab#upperIceWaterlineLengthLUI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RUN-I2-015-20260813T221845120222Z</x:v>
      </x:c>
      <x:c r="B22" s="47" t="str">
        <x:v>I2-015</x:v>
      </x:c>
      <x:c r="C22" s="47" t="str">
        <x:v>benchmarkEntity</x:v>
      </x:c>
      <x:c r="D22" s="48" t="str">
        <x:v>https://w3id.org/nltl-benchmark/vocab#benchmarkEntity</x:v>
      </x:c>
      <x:c r="E22" s="47" t="str">
        <x:v>Class</x:v>
      </x:c>
      <x:c r="F22" s="47" t="str"/>
      <x:c r="G22" s="47" t="str"/>
      <x:c r="H22" s="47" t="str"/>
      <x:c r="I22" s="48" t="str">
        <x:v>baseline target infrastructure; domain dependency of betaIPrime</x:v>
      </x:c>
      <x:c r="J22" s="47" t="n">
        <x:v>2</x:v>
      </x:c>
    </x:row>
    <x:row r="23">
      <x:c r="A23" s="47" t="str">
        <x:v>RUN-I2-015-20260813T221845120222Z</x:v>
      </x:c>
      <x:c r="B23" s="47" t="str">
        <x:v>I2-015</x:v>
      </x:c>
      <x:c r="C23" s="47" t="str">
        <x:v>betaIPrime</x:v>
      </x:c>
      <x:c r="D23" s="48" t="str">
        <x:v>https://w3id.org/nltl-benchmark/vocab#betaIPrime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RUN-I2-015-20260813T221845120222Z</x:v>
      </x:c>
      <x:c r="B24" s="47" t="str">
        <x:v>I2-015</x:v>
      </x:c>
      <x:c r="C24" s="47" t="str">
        <x:v>bowShapeCoefficient</x:v>
      </x:c>
      <x:c r="D24" s="48" t="str">
        <x:v>https://w3id.org/nltl-benchmark/vocab#bowShapeCoefficient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RUN-I2-015-20260813T221845120222Z</x:v>
      </x:c>
      <x:c r="B25" s="47" t="str">
        <x:v>I2-015</x:v>
      </x:c>
      <x:c r="C25" s="47" t="str">
        <x:v>bowSubregionCalculationCase</x:v>
      </x:c>
      <x:c r="D25" s="48" t="str">
        <x:v>https://w3id.org/nltl-benchmark/vocab#bowSubregionCalculationCase</x:v>
      </x:c>
      <x:c r="E25" s="47" t="str">
        <x:v>Class</x:v>
      </x:c>
      <x:c r="F25" s="47" t="str"/>
      <x:c r="G25" s="47" t="str">
        <x:v>https://w3id.org/nltl-benchmark/vocab#calculationCase</x:v>
      </x:c>
      <x:c r="H25" s="47" t="str"/>
      <x:c r="I25" s="48" t="str">
        <x:v>authoritative required owner class;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25" s="47" t="n">
        <x:v>2</x:v>
      </x:c>
    </x:row>
    <x:row r="26">
      <x:c r="A26" s="47" t="str">
        <x:v>RUN-I2-015-20260813T221845120222Z</x:v>
      </x:c>
      <x:c r="B26" s="47" t="str">
        <x:v>I2-015</x:v>
      </x:c>
      <x:c r="C26" s="47" t="str">
        <x:v>bowSubregionMidLengthPosition</x:v>
      </x:c>
      <x:c r="D26" s="48" t="str">
        <x:v>https://w3id.org/nltl-benchmark/vocab#bowSubregionMidLengthPosition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RUN-I2-015-20260813T221845120222Z</x:v>
      </x:c>
      <x:c r="B27" s="47" t="str">
        <x:v>I2-015</x:v>
      </x:c>
      <x:c r="C27" s="47" t="str">
        <x:v>bowSubregionWaterlineAngle</x:v>
      </x:c>
      <x:c r="D27" s="48" t="str">
        <x:v>https://w3id.org/nltl-benchmark/vocab#bowSubregionWaterlineAngle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http://qudt.org/vocab/unit/DEG</x:v>
      </x:c>
      <x:c r="I27" s="48" t="str">
        <x:v>linked by the locked 313-requirement index</x:v>
      </x:c>
      <x:c r="J27" s="47" t="n">
        <x:v>2</x:v>
      </x:c>
    </x:row>
    <x:row r="28">
      <x:c r="A28" s="47" t="str">
        <x:v>RUN-I2-015-20260813T221845120222Z</x:v>
      </x:c>
      <x:c r="B28" s="47" t="str">
        <x:v>I2-015</x:v>
      </x:c>
      <x:c r="C28" s="47" t="str">
        <x:v>calculationCase</x:v>
      </x:c>
      <x:c r="D28" s="48" t="str">
        <x:v>https://w3id.org/nltl-benchmark/vocab#calculationCase</x:v>
      </x:c>
      <x:c r="E28" s="47" t="str">
        <x:v>Class</x:v>
      </x:c>
      <x:c r="F28" s="47" t="str"/>
      <x:c r="G28" s="47" t="str">
        <x:v>https://w3id.org/nltl-benchmark/vocab#benchmarkEntity</x:v>
      </x:c>
      <x:c r="H28" s="47" t="str"/>
      <x:c r="I28" s="48" t="str">
        <x:v>range dependency of bowSubregionCalculationCase</x:v>
      </x:c>
      <x:c r="J28" s="47" t="n">
        <x:v>2</x:v>
      </x:c>
    </x:row>
    <x:row r="29">
      <x:c r="A29" s="47" t="str">
        <x:v>RUN-I2-015-20260813T221845120222Z</x:v>
      </x:c>
      <x:c r="B29" s="47" t="str">
        <x:v>I2-015</x:v>
      </x:c>
      <x:c r="C29" s="47" t="str">
        <x:v>crushingFailureClassFactor</x:v>
      </x:c>
      <x:c r="D29" s="48" t="str">
        <x:v>https://w3id.org/nltl-benchmark/vocab#crushingFailureClassFactor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RUN-I2-015-20260813T221845120222Z</x:v>
      </x:c>
      <x:c r="B30" s="47" t="str">
        <x:v>I2-015</x:v>
      </x:c>
      <x:c r="C30" s="47" t="str">
        <x:v>flexuralFailureClassFactor</x:v>
      </x:c>
      <x:c r="D30" s="48" t="str">
        <x:v>https://w3id.org/nltl-benchmark/vocab#flexuralFailureClassFactor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http://qudt.org/vocab/unit/UNITLESS</x:v>
      </x:c>
      <x:c r="I30" s="48" t="str">
        <x:v>linked by the locked 313-requirement index</x:v>
      </x:c>
      <x:c r="J30" s="47" t="n">
        <x:v>2</x:v>
      </x:c>
    </x:row>
    <x:row r="31">
      <x:c r="A31" s="47" t="str">
        <x:v>RUN-I2-015-20260813T221845120222Z</x:v>
      </x:c>
      <x:c r="B31" s="47" t="str">
        <x:v>I2-015</x:v>
      </x:c>
      <x:c r="C31" s="47" t="str">
        <x:v>hasBowSubregionCalculationCase</x:v>
      </x:c>
      <x:c r="D31" s="48" t="str">
        <x:v>https://w3id.org/nltl-benchmark/vocab#hasBowSubregionCalculationCase</x:v>
      </x:c>
      <x:c r="E31" s="47" t="str">
        <x:v>ObjectProperty</x:v>
      </x:c>
      <x:c r="F31" s="47" t="str"/>
      <x:c r="G31" s="47" t="str">
        <x:v>https://w3id.org/nltl-benchmark/vocab#bowSubregionCalculationCase</x:v>
      </x:c>
      <x:c r="H31" s="47" t="str"/>
      <x:c r="I31" s="48" t="str">
        <x:v>canonical path from target owner ship to required owner bowSubregionCalculationCase; linked by the locked 313-requirement index</x:v>
      </x:c>
      <x:c r="J31" s="47" t="n">
        <x:v>2</x:v>
      </x:c>
    </x:row>
    <x:row r="32">
      <x:c r="A32" s="47" t="str">
        <x:v>RUN-I2-015-20260813T221845120222Z</x:v>
      </x:c>
      <x:c r="B32" s="47" t="str">
        <x:v>I2-015</x:v>
      </x:c>
      <x:c r="C32" s="47" t="str">
        <x:v>hasComponent</x:v>
      </x:c>
      <x:c r="D32" s="48" t="str">
        <x:v>https://w3id.org/nltl-benchmark/vocab#hasComponent</x:v>
      </x:c>
      <x:c r="E32" s="47" t="str">
        <x:v>ObjectProperty</x:v>
      </x:c>
      <x:c r="F32" s="47" t="str"/>
      <x:c r="G32" s="47" t="str">
        <x:v>https://w3id.org/nltl-benchmark/vocab#shipComponent</x:v>
      </x:c>
      <x:c r="H32" s="47" t="str"/>
      <x:c r="I32" s="48" t="str">
        <x:v>component-path dependency inferred from the linked term module</x:v>
      </x:c>
      <x:c r="J32" s="47" t="n">
        <x:v>2</x:v>
      </x:c>
    </x:row>
    <x:row r="33">
      <x:c r="A33" s="47" t="str">
        <x:v>RUN-I2-015-20260813T221845120222Z</x:v>
      </x:c>
      <x:c r="B33" s="47" t="str">
        <x:v>I2-015</x:v>
      </x:c>
      <x:c r="C33" s="47" t="str">
        <x:v>hasFailureClassFactorLookupCase</x:v>
      </x:c>
      <x:c r="D33" s="48" t="str">
        <x:v>https://w3id.org/nltl-benchmark/vocab#hasFailureClassFactorLookupCase</x:v>
      </x:c>
      <x:c r="E33" s="47" t="str">
        <x:v>ObjectProperty</x:v>
      </x:c>
      <x:c r="F33" s="47" t="str"/>
      <x:c r="G33" s="47" t="str">
        <x:v>https://w3id.org/nltl-benchmark/vocab#tableLookupCase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RUN-I2-015-20260813T221845120222Z</x:v>
      </x:c>
      <x:c r="B34" s="47" t="str">
        <x:v>I2-015</x:v>
      </x:c>
      <x:c r="C34" s="47" t="str">
        <x:v>hasTableLookupCase</x:v>
      </x:c>
      <x:c r="D34" s="48" t="str">
        <x:v>https://w3id.org/nltl-benchmark/vocab#hasTableLookupCase</x:v>
      </x:c>
      <x:c r="E34" s="47" t="str">
        <x:v>ObjectProperty</x:v>
      </x:c>
      <x:c r="F34" s="47" t="str"/>
      <x:c r="G34" s="47" t="str">
        <x:v>https://w3id.org/nltl-benchmark/vocab#tableLookupCase</x:v>
      </x:c>
      <x:c r="H34" s="47" t="str"/>
      <x:c r="I34" s="48" t="str">
        <x:v>canonical path from target owner ship to required owner tableLookupCase</x:v>
      </x:c>
      <x:c r="J34" s="47" t="n">
        <x:v>2</x:v>
      </x:c>
    </x:row>
    <x:row r="35">
      <x:c r="A35" s="47" t="str">
        <x:v>RUN-I2-015-20260813T221845120222Z</x:v>
      </x:c>
      <x:c r="B35" s="47" t="str">
        <x:v>I2-015</x:v>
      </x:c>
      <x:c r="C35" s="47" t="str">
        <x:v>ship</x:v>
      </x:c>
      <x:c r="D35" s="48" t="str">
        <x:v>https://w3id.org/nltl-benchmark/vocab#ship</x:v>
      </x:c>
      <x:c r="E35" s="47" t="str">
        <x:v>Class</x:v>
      </x:c>
      <x:c r="F35" s="47" t="str"/>
      <x:c r="G35" s="47" t="str"/>
      <x:c r="H35" s="47" t="str"/>
      <x:c r="I35" s="48" t="str">
        <x:v>authoritative required owner class; authoritative requirement target owner; baseline target infrastructure; domain dependency of hasBowSubregionCalculationCase; domain dependency of upperIceWaterlineLengthLUI</x:v>
      </x:c>
      <x:c r="J35" s="47" t="n">
        <x:v>2</x:v>
      </x:c>
    </x:row>
    <x:row r="36">
      <x:c r="A36" s="47" t="str">
        <x:v>RUN-I2-015-20260813T221845120222Z</x:v>
      </x:c>
      <x:c r="B36" s="47" t="str">
        <x:v>I2-015</x:v>
      </x:c>
      <x:c r="C36" s="47" t="str">
        <x:v>shipComponent</x:v>
      </x:c>
      <x:c r="D36" s="48" t="str">
        <x:v>https://w3id.org/nltl-benchmark/vocab#shipComponent</x:v>
      </x:c>
      <x:c r="E36" s="47" t="str">
        <x:v>Class</x:v>
      </x:c>
      <x:c r="F36" s="47" t="str"/>
      <x:c r="G36" s="47" t="str"/>
      <x:c r="H36" s="47" t="str"/>
      <x:c r="I36" s="48" t="str">
        <x:v>component-path dependency inferred from the linked term module</x:v>
      </x:c>
      <x:c r="J36" s="47" t="n">
        <x:v>2</x:v>
      </x:c>
    </x:row>
    <x:row r="37">
      <x:c r="A37" s="47" t="str">
        <x:v>RUN-I2-015-20260813T221845120222Z</x:v>
      </x:c>
      <x:c r="B37" s="47" t="str">
        <x:v>I2-015</x:v>
      </x:c>
      <x:c r="C37" s="47" t="str">
        <x:v>tableLookupCase</x:v>
      </x:c>
      <x:c r="D37" s="48" t="str">
        <x:v>https://w3id.org/nltl-benchmark/vocab#tableLookupCase</x:v>
      </x:c>
      <x:c r="E37" s="47" t="str">
        <x:v>Class</x:v>
      </x:c>
      <x:c r="F37" s="47" t="str"/>
      <x:c r="G37" s="47" t="str">
        <x:v>https://w3id.org/nltl-benchmark/vocab#calculationCase</x:v>
      </x:c>
      <x:c r="H37" s="47" t="str"/>
      <x:c r="I37" s="48" t="str">
        <x:v>authoritative required owner class; domain dependency of crushingFailureClassFactor; domain dependency of flexuralFailureClassFactor; range dependency of hasFailureClassFactorLookupCase</x:v>
      </x:c>
      <x:c r="J37" s="47" t="n">
        <x:v>2</x:v>
      </x:c>
    </x:row>
    <x:row r="38">
      <x:c r="A38" s="47" t="str">
        <x:v>RUN-I2-015-20260813T221845120222Z</x:v>
      </x:c>
      <x:c r="B38" s="47" t="str">
        <x:v>I2-015</x:v>
      </x:c>
      <x:c r="C38" s="47" t="str">
        <x:v>upperIceWaterlineDraughtDUI</x:v>
      </x:c>
      <x:c r="D38" s="48" t="str">
        <x:v>https://w3id.org/nltl-benchmark/vocab#upperIceWaterlineDraughtDUI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</x:v>
      </x:c>
      <x:c r="I38" s="48" t="str">
        <x:v>verified vocabulary-matcher addition</x:v>
      </x:c>
      <x:c r="J38" s="47" t="n">
        <x:v>2</x:v>
      </x:c>
    </x:row>
    <x:row r="39">
      <x:c r="A39" s="49" t="str">
        <x:v>RUN-I2-015-20260813T221845120222Z</x:v>
      </x:c>
      <x:c r="B39" s="49" t="str">
        <x:v>I2-015</x:v>
      </x:c>
      <x:c r="C39" s="49" t="str">
        <x:v>upperIceWaterlineLengthLUI</x:v>
      </x:c>
      <x:c r="D39" s="50" t="str">
        <x:v>https://w3id.org/nltl-benchmark/vocab#upperIceWaterlineLengthLUI</x:v>
      </x:c>
      <x:c r="E39" s="49" t="str">
        <x:v>QuantityProperty</x:v>
      </x:c>
      <x:c r="F39" s="49" t="str"/>
      <x:c r="G39" s="49" t="str">
        <x:v>http://qudt.org/schema/qudt/QuantityValue</x:v>
      </x:c>
      <x:c r="H39" s="49" t="str">
        <x:v>http://qudt.org/vocab/unit/M</x:v>
      </x:c>
      <x:c r="I39" s="50" t="str">
        <x:v>linked by the locked 313-requirement index</x:v>
      </x:c>
      <x:c r="J39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397911fe6024a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RUN-I2-015-20260813T221845120222Z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RUN-I2-015-20260813T221845120222Z</x:v>
      </x:c>
      <x:c r="B5" s="45" t="str">
        <x:v>I2-015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RUN-I2-015-20260813T221845120222Z</x:v>
      </x:c>
      <x:c r="B6" s="49" t="str">
        <x:v>I2-015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929510ba7043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RUN-I2-015-20260813T221845120222Z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RUN-I2-015-20260813T221845120222Z</x:v>
      </x:c>
      <x:c r="B5" s="45" t="str">
        <x:v>I2-015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https://w3id.org/nltl-benchmark/vocab#betaIPrime | https://w3id.org/nltl-benchmark/vocab#bowShapeCoefficient | https://w3id.org/nltl-benchmark/vocab#bowSubregionCalculationCase | https://w3id.org/nltl-benchmark/vocab#bowSubregionMidLengthPosition | https://w3id.org/nltl-benchmark/vocab#bowSubregionWaterlineAngle | https://w3id.org/nltl-benchmark/vocab#crushingFailureClassFactor | https://w3id.org/nltl-benchmark/vocab#flexuralFailureClassFactor | https://w3id.org/nltl-benchmark/vocab#hasBowSubregionCalculationCase | https://w3id.org/nltl-benchmark/vocab#hasFailureClassFactorLookupCase | https://w3id.org/nltl-benchmark/vocab#ship | https://w3id.org/nltl-benchmark/vocab#tableLookupCase | https://w3id.org/nltl-benchmark/vocab#upperIceWaterlineLengthLUI</x:v>
      </x:c>
      <x:c r="O5" s="46" t="str"/>
      <x:c r="P5" s="46" t="str"/>
      <x:c r="Q5" s="46" t="str"/>
    </x:row>
    <x:row r="6">
      <x:c r="A6" s="49" t="str">
        <x:v>RUN-I2-015-20260813T221845120222Z</x:v>
      </x:c>
      <x:c r="B6" s="49" t="str">
        <x:v>I2-015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https://w3id.org/nltl-benchmark/vocab#betaIPrime | https://w3id.org/nltl-benchmark/vocab#bowShapeCoefficient | https://w3id.org/nltl-benchmark/vocab#bowSubregionCalculationCase | https://w3id.org/nltl-benchmark/vocab#bowSubregionMidLengthPosition | https://w3id.org/nltl-benchmark/vocab#bowSubregionWaterlineAngle | https://w3id.org/nltl-benchmark/vocab#crushingFailureClassFactor | https://w3id.org/nltl-benchmark/vocab#flexuralFailureClassFactor | https://w3id.org/nltl-benchmark/vocab#hasBowSubregionCalculationCase | https://w3id.org/nltl-benchmark/vocab#hasFailureClassFactorLookupCase | https://w3id.org/nltl-benchmark/vocab#ship | https://w3id.org/nltl-benchmark/vocab#tableLookupCase | https://w3id.org/nltl-benchmark/vocab#upperIceWaterlineDraughtDUI | https://w3id.org/nltl-benchmark/vocab#upperIceWaterlineLengthLUI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890e17370e041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RUN-I2-015-20260813T221845120222Z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RUN-I2-015-20260813T221845120222Z</x:v>
      </x:c>
      <x:c r="B5" s="45" t="str">
        <x:v>I2-015</x:v>
      </x:c>
      <x:c r="C5" s="58" t="n">
        <x:v>1</x:v>
      </x:c>
      <x:c r="D5" s="45" t="str">
        <x:v>matcher_search</x:v>
      </x:c>
      <x:c r="E5" s="46" t="str">
        <x:v>Replace the presence-and-cap approximation with a bounded SHACL-SPARQL formula constraint on each bowSubregionCalculationCase: obtain x, alpha_i, and reported f_ai from that case, beta_i_prime and L_UI from its owning ship via hasBowSubregionCalculationCase, and C_FF/C_FC from its paired hasFailureClassFactorLookupCase; enforce f_ai = min(f_ai1,f_ai2,0.60) using a tolerance scaled from the computed expected result, not a mere maxInclusive 0.60. Use the registered math:sin function IRI, not bare SIN syntax. Locate and use the canonical quantity/path for the required D_UI^0.64 operand, which is absent from the supplied scoped vocabulary, with its declared owner, datatype, and unit; do not invent or relocate it. Retain the case-to-lookup relationship and quantity/unit validations, but ensure the completed formula constraint covers every declared operand and the result.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7" t="str">
        <x:v>RUN-I2-015-20260813T221845120222Z</x:v>
      </x:c>
      <x:c r="B6" s="47" t="str">
        <x:v>I2-015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upperIceWaterlineDraughtDUI</x:v>
      </x:c>
      <x:c r="I6" s="48" t="str">
        <x:v>https://w3id.org/nltl-benchmark/vocab#upperIceWaterlineDraughtDUI</x:v>
      </x:c>
      <x:c r="J6" s="48" t="str">
        <x:v>Use this exact term because it is the canonical QuantityProperty for the required D_UI operand in the formula, with alias D_UI, QuantityValue range, and metre unit.</x:v>
      </x:c>
    </x:row>
    <x:row r="7">
      <x:c r="A7" s="47" t="str">
        <x:v>RUN-I2-015-20260813T221845120222Z</x:v>
      </x:c>
      <x:c r="B7" s="47" t="str">
        <x:v>I2-015</x:v>
      </x:c>
      <x:c r="C7" s="59" t="n">
        <x:v>2</x:v>
      </x:c>
      <x:c r="D7" s="47" t="str">
        <x:v>matcher_search</x:v>
      </x:c>
      <x:c r="E7" s="48" t="str">
        <x:v>Obtain the canonical bow-form classification/selection term or path for I2.3.1(v) and use it to gate this rule; do not let the sh:or branch with zero calculation cases pass merely because branch-selection evidence is absent. Require the applicable branch’s case, operands, lookup relationship, and result only when that evidenced selector applies, and make absent/ambiguous selection evidence a violation rather than a non-applicable pass. Also remove the invented 1e-15 denominator cutoff: handle only an actually zero/undefined denominator as invalid while evaluating the stated formula for every nonzero denominator.</x:v>
      </x:c>
      <x:c r="F7" s="59" t="n">
        <x:v>2</x:v>
      </x:c>
      <x:c r="G7" s="47" t="str"/>
      <x:c r="H7" s="47" t="str"/>
      <x:c r="I7" s="48" t="str"/>
      <x:c r="J7" s="48" t="str"/>
    </x:row>
    <x:row r="8">
      <x:c r="A8" s="49" t="str">
        <x:v>RUN-I2-015-20260813T221845120222Z</x:v>
      </x:c>
      <x:c r="B8" s="49" t="str">
        <x:v>I2-015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semantically verified: calculationCase is a generic calculation-case class and ship is an owner class, while the feedback requires a canonical bow-form classification/selection term or path for I2.3.1(v).</x:v>
      </x:c>
    </x:row>
  </x:sheetData>
  <x:pageMargins left="0.7" right="0.7" top="0.75" bottom="0.75" header="0.3" footer="0.3"/>
  <x:tableParts count="1">
    <x:tablePart xmlns:r="http://schemas.openxmlformats.org/officeDocument/2006/relationships" r:id="R5df434421ab341e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RUN-I2-015-20260813T221845120222Z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RUN-I2-015-20260813T221845120222Z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d55017a1b4a1a32dd66fcf215b8cc63afbeb8cbd0c79674644cd9bcb45b7e1d1</x:v>
      </x:c>
      <x:c r="G5" s="58" t="n">
        <x:v>24578</x:v>
      </x:c>
    </x:row>
    <x:row r="6">
      <x:c r="A6" s="47" t="str">
        <x:v>RUN-I2-015-20260813T221845120222Z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35d044ee949f3f6a83e4be34e359e618ff515d962a649ff3593b7346c1abe77b</x:v>
      </x:c>
      <x:c r="G6" s="59" t="n">
        <x:v>5365</x:v>
      </x:c>
    </x:row>
    <x:row r="7">
      <x:c r="A7" s="47" t="str">
        <x:v>RUN-I2-015-20260813T221845120222Z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49cd664afc352d0fa5065c281b678d7e13152667a7aae4231bf5a091a1c1a93f</x:v>
      </x:c>
      <x:c r="G7" s="59" t="n">
        <x:v>37225</x:v>
      </x:c>
    </x:row>
    <x:row r="8">
      <x:c r="A8" s="47" t="str">
        <x:v>RUN-I2-015-20260813T221845120222Z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b2d6861ca7bd3dce80e147f9fa55344c9402896c87b384d532062c7a49728188</x:v>
      </x:c>
      <x:c r="G8" s="59" t="n">
        <x:v>5611</x:v>
      </x:c>
    </x:row>
    <x:row r="9">
      <x:c r="A9" s="47" t="str">
        <x:v>RUN-I2-015-20260813T221845120222Z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af2737854b6664f17098c12c2d79103e4a34b6d7aa61bfd94c54f1ba0e152a3c</x:v>
      </x:c>
      <x:c r="G9" s="59" t="n">
        <x:v>5586</x:v>
      </x:c>
    </x:row>
    <x:row r="10">
      <x:c r="A10" s="47" t="str">
        <x:v>RUN-I2-015-20260813T221845120222Z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b7a57e7e09536f6c576c8c7ea7e90724ff8fae1aa8b987c6f8280ea0917f4f44</x:v>
      </x:c>
      <x:c r="G10" s="59" t="n">
        <x:v>1210</x:v>
      </x:c>
    </x:row>
    <x:row r="11">
      <x:c r="A11" s="47" t="str">
        <x:v>RUN-I2-015-20260813T221845120222Z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5cf43942ca3d7a2d34537e1bbaf24027a1f4f37fe27524237329c594e7d8a230</x:v>
      </x:c>
      <x:c r="G11" s="59" t="n">
        <x:v>39911</x:v>
      </x:c>
    </x:row>
    <x:row r="12">
      <x:c r="A12" s="47" t="str">
        <x:v>RUN-I2-015-20260813T221845120222Z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a14375189c2bf10f3f6c6ac284d92a0f2e378683a5500c049f0213dc2db1ab82</x:v>
      </x:c>
      <x:c r="G12" s="59" t="n">
        <x:v>941</x:v>
      </x:c>
    </x:row>
    <x:row r="13">
      <x:c r="A13" s="47" t="str">
        <x:v>RUN-I2-015-20260813T221845120222Z</x:v>
      </x:c>
      <x:c r="B13" s="47" t="str">
        <x:v>I2-015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d829901002e1855802aaf164147550bae8fda179545a3d96ea8192ecf5a1c6ef</x:v>
      </x:c>
      <x:c r="G13" s="59" t="n">
        <x:v>7202</x:v>
      </x:c>
    </x:row>
    <x:row r="14">
      <x:c r="A14" s="47" t="str">
        <x:v>RUN-I2-015-20260813T221845120222Z</x:v>
      </x:c>
      <x:c r="B14" s="47" t="str">
        <x:v>I2-015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14f98ed88a55a8c54f677aa2c978a7deb403ddf7c83ffce9d81c0d693c0d5c34</x:v>
      </x:c>
      <x:c r="G14" s="59" t="n">
        <x:v>13519</x:v>
      </x:c>
    </x:row>
    <x:row r="15">
      <x:c r="A15" s="47" t="str">
        <x:v>RUN-I2-015-20260813T221845120222Z</x:v>
      </x:c>
      <x:c r="B15" s="47" t="str">
        <x:v>I2-015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f3e616c8356d9f0065694f4daf3177439a740492731d14ffaf2405716af336d4</x:v>
      </x:c>
      <x:c r="G15" s="59" t="n">
        <x:v>344</x:v>
      </x:c>
    </x:row>
    <x:row r="16">
      <x:c r="A16" s="47" t="str">
        <x:v>RUN-I2-015-20260813T221845120222Z</x:v>
      </x:c>
      <x:c r="B16" s="47" t="str">
        <x:v>I2-015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1c32bcab110d481147eb2e2f2574b1922f1ff62d3f921e7a3f8061478aa52d9e</x:v>
      </x:c>
      <x:c r="G16" s="59" t="n">
        <x:v>25771</x:v>
      </x:c>
    </x:row>
    <x:row r="17">
      <x:c r="A17" s="47" t="str">
        <x:v>RUN-I2-015-20260813T221845120222Z</x:v>
      </x:c>
      <x:c r="B17" s="47" t="str">
        <x:v>I2-015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ff6827270107788c2fc5256fd75c23c4e52662251d60d8c3bcd32259523d2a70</x:v>
      </x:c>
      <x:c r="G17" s="59" t="n">
        <x:v>39573</x:v>
      </x:c>
    </x:row>
    <x:row r="18">
      <x:c r="A18" s="47" t="str">
        <x:v>RUN-I2-015-20260813T221845120222Z</x:v>
      </x:c>
      <x:c r="B18" s="47" t="str">
        <x:v>I2-015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d69f3cea5f60ef52cbc580f8bd8f88b7e7c4b09cf4ecd1220bdf65963b0eb000</x:v>
      </x:c>
      <x:c r="G18" s="59" t="n">
        <x:v>8205</x:v>
      </x:c>
    </x:row>
    <x:row r="19">
      <x:c r="A19" s="47" t="str">
        <x:v>RUN-I2-015-20260813T221845120222Z</x:v>
      </x:c>
      <x:c r="B19" s="47" t="str">
        <x:v>I2-015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aeb5b96ec01368bd5e542bfa71caa53e3975da3a97bf7867439a7565e5348209</x:v>
      </x:c>
      <x:c r="G19" s="59" t="n">
        <x:v>8180</x:v>
      </x:c>
    </x:row>
    <x:row r="20">
      <x:c r="A20" s="47" t="str">
        <x:v>RUN-I2-015-20260813T221845120222Z</x:v>
      </x:c>
      <x:c r="B20" s="47" t="str">
        <x:v>I2-015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e71f7f4c921154f4b00912681c6bfb67fee7b67bc0025917a80f38a6ad8759a6</x:v>
      </x:c>
      <x:c r="G20" s="59" t="n">
        <x:v>1283</x:v>
      </x:c>
    </x:row>
    <x:row r="21">
      <x:c r="A21" s="47" t="str">
        <x:v>RUN-I2-015-20260813T221845120222Z</x:v>
      </x:c>
      <x:c r="B21" s="47" t="str">
        <x:v>I2-015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299607438ee1914728280dc9dcd0f9ae300616dfae043da7812880535f6398a3</x:v>
      </x:c>
      <x:c r="G21" s="59" t="n">
        <x:v>44275</x:v>
      </x:c>
    </x:row>
    <x:row r="22">
      <x:c r="A22" s="47" t="str">
        <x:v>RUN-I2-015-20260813T221845120222Z</x:v>
      </x:c>
      <x:c r="B22" s="47" t="str">
        <x:v>I2-015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9e622f51c8a0ee4f3d15c2b6fec32e235907232e6947392fa4067fafaa702b26</x:v>
      </x:c>
      <x:c r="G22" s="59" t="n">
        <x:v>684</x:v>
      </x:c>
    </x:row>
    <x:row r="23">
      <x:c r="A23" s="47" t="str">
        <x:v>RUN-I2-015-20260813T221845120222Z</x:v>
      </x:c>
      <x:c r="B23" s="47" t="str">
        <x:v>I2-015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35eddb24a823bf9f97acedcd977a886f3dbaedba16707c2210631e682f93976a</x:v>
      </x:c>
      <x:c r="G23" s="59" t="n">
        <x:v>1006</x:v>
      </x:c>
    </x:row>
    <x:row r="24">
      <x:c r="A24" s="47" t="str">
        <x:v>RUN-I2-015-20260813T221845120222Z</x:v>
      </x:c>
      <x:c r="B24" s="47" t="str">
        <x:v>I2-015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108ba33586ea43091641fefb6e3a6160fcb84636f88fb7a5a480c3d116ef3aaa</x:v>
      </x:c>
      <x:c r="G24" s="59" t="n">
        <x:v>6765</x:v>
      </x:c>
    </x:row>
    <x:row r="25">
      <x:c r="A25" s="49" t="str">
        <x:v>RUN-I2-015-20260813T221845120222Z</x:v>
      </x:c>
      <x:c r="B25" s="49" t="str">
        <x:v>I2-015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7caa609c2dfebc57c80df61c190fb92dc9ab7a02584d3929f537f1736dc0055a</x:v>
      </x:c>
      <x:c r="G25" s="60" t="n">
        <x:v>318</x:v>
      </x:c>
    </x:row>
  </x:sheetData>
  <x:pageMargins left="0.7" right="0.7" top="0.75" bottom="0.75" header="0.3" footer="0.3"/>
  <x:tableParts count="1">
    <x:tablePart xmlns:r="http://schemas.openxmlformats.org/officeDocument/2006/relationships" r:id="R6f218247761b47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RUN-I2-015-20260813T221845120222Z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RUN-I2-015-20260813T221845120222Z</x:v>
      </x:c>
      <x:c r="B5" s="69" t="str">
        <x:v>I2-015</x:v>
      </x:c>
      <x:c r="C5" s="71" t="n">
        <x:v>2</x:v>
      </x:c>
      <x:c r="D5" s="69" t="str">
        <x:v>TERM_RESOLUTION_UNRESOLVED</x:v>
      </x:c>
      <x:c r="E5" s="73" t="str">
        <x:v>No supplied candidate is semantically verified: calculationCase is a generic calculation-case class and ship is an owner class, while the feedback requires a canonical bow-form classification/selection term or path for I2.3.1(v).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4c3b69f534fc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RUN-I2-015-20260813T221845120222Z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