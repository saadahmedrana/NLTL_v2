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ea6c97103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a007e146b54ed6"/>
    <x:sheet xmlns:r="http://schemas.openxmlformats.org/officeDocument/2006/relationships" name="README" sheetId="2" r:id="Re2e7a940127b4cd7"/>
    <x:sheet xmlns:r="http://schemas.openxmlformats.org/officeDocument/2006/relationships" name="REGULATION_QUEUE" sheetId="3" r:id="Rd4ddb42f144a4cca"/>
    <x:sheet xmlns:r="http://schemas.openxmlformats.org/officeDocument/2006/relationships" name="RUNS" sheetId="4" r:id="R694a0bcfc3c843af"/>
    <x:sheet xmlns:r="http://schemas.openxmlformats.org/officeDocument/2006/relationships" name="ITERATIONS" sheetId="5" r:id="R7a8fd97d09b74689"/>
    <x:sheet xmlns:r="http://schemas.openxmlformats.org/officeDocument/2006/relationships" name="API_CALLS" sheetId="6" r:id="R0751a5c0ce51409b"/>
    <x:sheet xmlns:r="http://schemas.openxmlformats.org/officeDocument/2006/relationships" name="TERM_RETRIEVAL" sheetId="7" r:id="Re12a9da38ae64de6"/>
    <x:sheet xmlns:r="http://schemas.openxmlformats.org/officeDocument/2006/relationships" name="FEW_SHOT_SELECTION" sheetId="8" r:id="Rff164b6cde8345e9"/>
    <x:sheet xmlns:r="http://schemas.openxmlformats.org/officeDocument/2006/relationships" name="VALIDATION" sheetId="9" r:id="Rd533604dfed84d71"/>
    <x:sheet xmlns:r="http://schemas.openxmlformats.org/officeDocument/2006/relationships" name="VOCAB_MATCHES" sheetId="10" r:id="R5ce05422004f49ae"/>
    <x:sheet xmlns:r="http://schemas.openxmlformats.org/officeDocument/2006/relationships" name="ARTIFACTS" sheetId="11" r:id="Ra1e9fbcf0b8443da"/>
    <x:sheet xmlns:r="http://schemas.openxmlformats.org/officeDocument/2006/relationships" name="UNRESOLVED" sheetId="12" r:id="Racd174c53e854a6d"/>
    <x:sheet xmlns:r="http://schemas.openxmlformats.org/officeDocument/2006/relationships" name="RDF_TEST_QUEUE" sheetId="13" r:id="R9b013e0d09bf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7f5bcb42b4da9" /><Relationship Type="http://schemas.openxmlformats.org/officeDocument/2006/relationships/theme" Target="/xl/theme/theme1.xml" Id="Reec7fe0d2fce4a75" /><Relationship Type="http://schemas.microsoft.com/office/2022/11/relationships/FeaturePropertyBag" Target="/xl/featurePropertyBag/featurePropertyBag.xml" Id="R26428b83a7844fbb" /><Relationship Type="http://schemas.openxmlformats.org/officeDocument/2006/relationships/sharedStrings" Target="/xl/sharedStrings.xml" Id="Rd82c110ffaad4aa0" /><Relationship Type="http://schemas.openxmlformats.org/officeDocument/2006/relationships/worksheet" Target="/xl/worksheets/sheet1.xml" Id="R1ea007e146b54ed6" /><Relationship Type="http://schemas.openxmlformats.org/officeDocument/2006/relationships/worksheet" Target="/xl/worksheets/sheet2.xml" Id="Re2e7a940127b4cd7" /><Relationship Type="http://schemas.openxmlformats.org/officeDocument/2006/relationships/worksheet" Target="/xl/worksheets/sheet3.xml" Id="Rd4ddb42f144a4cca" /><Relationship Type="http://schemas.openxmlformats.org/officeDocument/2006/relationships/worksheet" Target="/xl/worksheets/sheet4.xml" Id="R694a0bcfc3c843af" /><Relationship Type="http://schemas.openxmlformats.org/officeDocument/2006/relationships/worksheet" Target="/xl/worksheets/sheet5.xml" Id="R7a8fd97d09b74689" /><Relationship Type="http://schemas.openxmlformats.org/officeDocument/2006/relationships/worksheet" Target="/xl/worksheets/sheet6.xml" Id="R0751a5c0ce51409b" /><Relationship Type="http://schemas.openxmlformats.org/officeDocument/2006/relationships/worksheet" Target="/xl/worksheets/sheet7.xml" Id="Re12a9da38ae64de6" /><Relationship Type="http://schemas.openxmlformats.org/officeDocument/2006/relationships/worksheet" Target="/xl/worksheets/sheet8.xml" Id="Rff164b6cde8345e9" /><Relationship Type="http://schemas.openxmlformats.org/officeDocument/2006/relationships/worksheet" Target="/xl/worksheets/sheet9.xml" Id="Rd533604dfed84d71" /><Relationship Type="http://schemas.openxmlformats.org/officeDocument/2006/relationships/worksheet" Target="/xl/worksheets/sheet10.xml" Id="R5ce05422004f49ae" /><Relationship Type="http://schemas.openxmlformats.org/officeDocument/2006/relationships/worksheet" Target="/xl/worksheets/sheet11.xml" Id="Ra1e9fbcf0b8443da" /><Relationship Type="http://schemas.openxmlformats.org/officeDocument/2006/relationships/worksheet" Target="/xl/worksheets/sheet12.xml" Id="Racd174c53e854a6d" /><Relationship Type="http://schemas.openxmlformats.org/officeDocument/2006/relationships/worksheet" Target="/xl/worksheets/sheet13.xml" Id="R9b013e0d09bf4c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b33928f17c43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8a946a90af42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2680d470d241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baa79038346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5088e8aae942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073fef11e34e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25704cdb154f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b43db94ed24d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0e6a41c6ee4d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2a3661acf7740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RUN-I2-054-20260813T225238082753Z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44268.44175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RUN-I2-054-20260813T225238082753Z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b33928f17c43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MAX_ATTEMPTS_REACHED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a946a90af42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RUN-I2-054-20260813T225238082753Z</x:v>
      </x:c>
      <x:c r="C5" s="69" t="str">
        <x:v>I2-054</x:v>
      </x:c>
      <x:c r="D5" s="70" t="n">
        <x:v>46247.95321856481</x:v>
      </x:c>
      <x:c r="E5" s="70" t="n">
        <x:v>46247.95630795139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calculation-case ownership and formula comparison: do not impose the invented requirement that every hull-girder case must also be linked by hasCalculationCase merely to associate evidence. Model hasCalculationCase and its calculationCase-owned interpolation evidence on the declared calculationCase owner, and ensure any hull-girder case receiving hasInterpolationPoint is explicitly a calculationCase as required by that property's owner/domain. Replace the fifth-power ratio test with a bounded derived-result comparison whose tolerance is scaled from the expected M_I formula result (with the absolute fallback), not from a transformed power ratio; retain math:sin and the sin(gamma_stem)^(-0.2) operand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680d470d241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RUN-I2-054-20260813T225238082753Z</x:v>
      </x:c>
      <x:c r="B5" s="45" t="str">
        <x:v>I2-054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disconnected, presence-only interpolation model: validate each relevant calculation case's nltl:hasInterpolationPoint nodes with nltl:interpolationPointCoordinate and nltl:interpolationPointResult (dimensionless quantities), enforce the required anchor pairs (0,0), (0.5,1), (0.7,1), (0.95,0.3), and (1,0) using inclusive equal bounds rather than numeric sh:hasValue, and ensure the interpolation evidence is associated with the hull-girder calculation being checked. Do not merely require an unrelated ship nltl:hasCalculationCase containing an unqualified interpolation point; either connect the applicable case model correctly or remove that needless indirection while retaining the bounded envelope/formula validation.</x:v>
      </x:c>
      <x:c r="I5" s="84" t="n">
        <x:v>71024.057</x:v>
      </x:c>
      <x:c r="J5" s="84" t="n">
        <x:v>12632.514</x:v>
      </x:c>
    </x:row>
    <x:row r="6">
      <x:c r="A6" s="47" t="str">
        <x:v>RUN-I2-054-20260813T225238082753Z</x:v>
      </x:c>
      <x:c r="B6" s="47" t="str">
        <x:v>I2-054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the derived M_I comparison tolerance: it must be scaled from the expected M_I formula result, with an absolute fallback, not from ?expectedPower. If retaining the algebraically equivalent fifth-power comparison for sin(gamma_stem)^(-0.2), transform an expected-M_I-scaled tolerance consistently into the powered comparison space.</x:v>
      </x:c>
      <x:c r="I6" s="86" t="n">
        <x:v>67568.601</x:v>
      </x:c>
      <x:c r="J6" s="86" t="n">
        <x:v>26429.685</x:v>
      </x:c>
    </x:row>
    <x:row r="7">
      <x:c r="A7" s="49" t="str">
        <x:v>RUN-I2-054-20260813T225238082753Z</x:v>
      </x:c>
      <x:c r="B7" s="49" t="str">
        <x:v>I2-054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calculation-case ownership and formula comparison: do not impose the invented requirement that every hull-girder case must also be linked by hasCalculationCase merely to associate evidence. Model hasCalculationCase and its calculationCase-owned interpolation evidence on the declared calculationCase owner, and ensure any hull-girder case receiving hasInterpolationPoint is explicitly a calculationCase as required by that property's owner/domain. Replace the fifth-power ratio test with a bounded derived-result comparison whose tolerance is scaled from the expected M_I formula result (with the absolute fallback), not from a transformed power ratio; retain math:sin and the sin(gamma_stem)^(-0.2) operand semantics.</x:v>
      </x:c>
      <x:c r="I7" s="88" t="n">
        <x:v>68602.058</x:v>
      </x:c>
      <x:c r="J7" s="88" t="n">
        <x:v>19358.903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baa79038346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RUN-I2-054-20260813T225238082753Z</x:v>
      </x:c>
      <x:c r="C5" s="45" t="str">
        <x:v>I2-054</x:v>
      </x:c>
      <x:c r="D5" s="92" t="n">
        <x:v>46247.954040625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71022.363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RUN-I2-054-20260813T225238082753Z</x:v>
      </x:c>
      <x:c r="C6" s="47" t="str">
        <x:v>I2-054</x:v>
      </x:c>
      <x:c r="D6" s="93" t="n">
        <x:v>46247.95404064815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71024.057</x:v>
      </x:c>
      <x:c r="L6" s="85" t="b">
        <x:v>0</x:v>
      </x:c>
      <x:c r="M6" s="47" t="str">
        <x:v>resp_01e55d28e51a8f96006a7e4ab62e94819782d44ca626731430</x:v>
      </x:c>
      <x:c r="N6" s="59" t="n">
        <x:v>10830</x:v>
      </x:c>
      <x:c r="O6" s="59" t="n">
        <x:v>5706</x:v>
      </x:c>
      <x:c r="P6" s="59" t="n">
        <x:v>16536</x:v>
      </x:c>
    </x:row>
    <x:row r="7">
      <x:c r="A7" s="47" t="str">
        <x:v>EVT-000037</x:v>
      </x:c>
      <x:c r="B7" s="47" t="str">
        <x:v>RUN-I2-054-20260813T225238082753Z</x:v>
      </x:c>
      <x:c r="C7" s="47" t="str">
        <x:v>I2-054</x:v>
      </x:c>
      <x:c r="D7" s="93" t="n">
        <x:v>46247.95419009259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12630.746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RUN-I2-054-20260813T225238082753Z</x:v>
      </x:c>
      <x:c r="C8" s="47" t="str">
        <x:v>I2-054</x:v>
      </x:c>
      <x:c r="D8" s="93" t="n">
        <x:v>46247.95419011574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12632.514</x:v>
      </x:c>
      <x:c r="L8" s="85" t="b">
        <x:v>0</x:v>
      </x:c>
      <x:c r="M8" s="47" t="str">
        <x:v>resp_0327afd5257ebaa3006a7e4afd75f081968941a5af0a8dc92b</x:v>
      </x:c>
      <x:c r="N8" s="59" t="n">
        <x:v>12744</x:v>
      </x:c>
      <x:c r="O8" s="59" t="n">
        <x:v>1152</x:v>
      </x:c>
      <x:c r="P8" s="59" t="n">
        <x:v>13896</x:v>
      </x:c>
    </x:row>
    <x:row r="9">
      <x:c r="A9" s="47" t="str">
        <x:v>EVT-000043</x:v>
      </x:c>
      <x:c r="B9" s="47" t="str">
        <x:v>RUN-I2-054-20260813T225238082753Z</x:v>
      </x:c>
      <x:c r="C9" s="47" t="str">
        <x:v>I2-054</x:v>
      </x:c>
      <x:c r="D9" s="93" t="n">
        <x:v>46247.954972210646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67566.808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RUN-I2-054-20260813T225238082753Z</x:v>
      </x:c>
      <x:c r="C10" s="47" t="str">
        <x:v>I2-054</x:v>
      </x:c>
      <x:c r="D10" s="93" t="n">
        <x:v>46247.9549722338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67568.601</x:v>
      </x:c>
      <x:c r="L10" s="85" t="b">
        <x:v>0</x:v>
      </x:c>
      <x:c r="M10" s="47" t="str">
        <x:v>resp_008b7ce3f5f79f42006a7e4b0a1a84819783ca9d104f25f875</x:v>
      </x:c>
      <x:c r="N10" s="59" t="n">
        <x:v>10987</x:v>
      </x:c>
      <x:c r="O10" s="59" t="n">
        <x:v>6750</x:v>
      </x:c>
      <x:c r="P10" s="59" t="n">
        <x:v>17737</x:v>
      </x:c>
    </x:row>
    <x:row r="11">
      <x:c r="A11" s="47" t="str">
        <x:v>EVT-000051</x:v>
      </x:c>
      <x:c r="B11" s="47" t="str">
        <x:v>RUN-I2-054-20260813T225238082753Z</x:v>
      </x:c>
      <x:c r="C11" s="47" t="str">
        <x:v>I2-054</x:v>
      </x:c>
      <x:c r="D11" s="93" t="n">
        <x:v>46247.95528388889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26427.839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RUN-I2-054-20260813T225238082753Z</x:v>
      </x:c>
      <x:c r="C12" s="47" t="str">
        <x:v>I2-054</x:v>
      </x:c>
      <x:c r="D12" s="93" t="n">
        <x:v>46247.95528391204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26429.685</x:v>
      </x:c>
      <x:c r="L12" s="85" t="b">
        <x:v>0</x:v>
      </x:c>
      <x:c r="M12" s="47" t="str">
        <x:v>resp_0375174aaebad514006a7e4b4e2afc819493f6cf2eaec8681e</x:v>
      </x:c>
      <x:c r="N12" s="59" t="n">
        <x:v>15389</x:v>
      </x:c>
      <x:c r="O12" s="59" t="n">
        <x:v>2506</x:v>
      </x:c>
      <x:c r="P12" s="59" t="n">
        <x:v>17895</x:v>
      </x:c>
    </x:row>
    <x:row r="13">
      <x:c r="A13" s="47" t="str">
        <x:v>EVT-000057</x:v>
      </x:c>
      <x:c r="B13" s="47" t="str">
        <x:v>RUN-I2-054-20260813T225238082753Z</x:v>
      </x:c>
      <x:c r="C13" s="47" t="str">
        <x:v>I2-054</x:v>
      </x:c>
      <x:c r="D13" s="93" t="n">
        <x:v>46247.95607797454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68600.447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RUN-I2-054-20260813T225238082753Z</x:v>
      </x:c>
      <x:c r="C14" s="47" t="str">
        <x:v>I2-054</x:v>
      </x:c>
      <x:c r="D14" s="93" t="n">
        <x:v>46247.95607799768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68602.058</x:v>
      </x:c>
      <x:c r="L14" s="85" t="b">
        <x:v>0</x:v>
      </x:c>
      <x:c r="M14" s="47" t="str">
        <x:v>resp_0dc202c74ea45392006a7e4b6899808194b85d00af3215f750</x:v>
      </x:c>
      <x:c r="N14" s="59" t="n">
        <x:v>11058</x:v>
      </x:c>
      <x:c r="O14" s="59" t="n">
        <x:v>7161</x:v>
      </x:c>
      <x:c r="P14" s="59" t="n">
        <x:v>18219</x:v>
      </x:c>
    </x:row>
    <x:row r="15">
      <x:c r="A15" s="47" t="str">
        <x:v>EVT-000065</x:v>
      </x:c>
      <x:c r="B15" s="47" t="str">
        <x:v>RUN-I2-054-20260813T225238082753Z</x:v>
      </x:c>
      <x:c r="C15" s="47" t="str">
        <x:v>I2-054</x:v>
      </x:c>
      <x:c r="D15" s="93" t="n">
        <x:v>46247.95630789352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19357.28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RUN-I2-054-20260813T225238082753Z</x:v>
      </x:c>
      <x:c r="C16" s="49" t="str">
        <x:v>I2-054</x:v>
      </x:c>
      <x:c r="D16" s="94" t="n">
        <x:v>46247.95630791667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19358.903</x:v>
      </x:c>
      <x:c r="L16" s="87" t="b">
        <x:v>0</x:v>
      </x:c>
      <x:c r="M16" s="49" t="str">
        <x:v>resp_0d47719032a93ac4006a7e4badb7b08195a0f3f53392dd31bf</x:v>
      </x:c>
      <x:c r="N16" s="60" t="n">
        <x:v>15699</x:v>
      </x:c>
      <x:c r="O16" s="60" t="n">
        <x:v>1698</x:v>
      </x:c>
      <x:c r="P16" s="60" t="n">
        <x:v>17397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088e8aae942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RUN-I2-054-20260813T225238082753Z</x:v>
      </x:c>
      <x:c r="B5" s="45" t="str">
        <x:v>I2-054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RUN-I2-054-20260813T225238082753Z</x:v>
      </x:c>
      <x:c r="B6" s="47" t="str">
        <x:v>I2-054</x:v>
      </x:c>
      <x:c r="C6" s="47" t="str">
        <x:v>bendingMomentDistributionFactor</x:v>
      </x:c>
      <x:c r="D6" s="48" t="str">
        <x:v>https://w3id.org/nltl-benchmark/vocab#bendingMomentDistributionFactor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RUN-I2-054-20260813T225238082753Z</x:v>
      </x:c>
      <x:c r="B7" s="47" t="str">
        <x:v>I2-054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RUN-I2-054-20260813T225238082753Z</x:v>
      </x:c>
      <x:c r="B8" s="47" t="str">
        <x:v>I2-054</x:v>
      </x:c>
      <x:c r="C8" s="47" t="str">
        <x:v>caseBendingMomentDistributionFactor</x:v>
      </x:c>
      <x:c r="D8" s="48" t="str">
        <x:v>https://w3id.org/nltl-benchmark/vocab#caseBendingMomentDistributionFactor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RUN-I2-054-20260813T225238082753Z</x:v>
      </x:c>
      <x:c r="B9" s="47" t="str">
        <x:v>I2-054</x:v>
      </x:c>
      <x:c r="C9" s="47" t="str">
        <x:v>caseDesignVerticalIceBendingMoment</x:v>
      </x:c>
      <x:c r="D9" s="48" t="str">
        <x:v>https://w3id.org/nltl-benchmark/vocab#caseDesignVerticalIceBendingMoment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RUN-I2-054-20260813T225238082753Z</x:v>
      </x:c>
      <x:c r="B10" s="47" t="str">
        <x:v>I2-054</x:v>
      </x:c>
      <x:c r="C10" s="47" t="str">
        <x:v>caseHullGirderLongitudinalPositionFromAft</x:v>
      </x:c>
      <x:c r="D10" s="48" t="str">
        <x:v>https://w3id.org/nltl-benchmark/vocab#caseHullGirderLongitudinalPositionFromAft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RUN-I2-054-20260813T225238082753Z</x:v>
      </x:c>
      <x:c r="B11" s="47" t="str">
        <x:v>I2-054</x:v>
      </x:c>
      <x:c r="C11" s="47" t="str">
        <x:v>designVerticalIceBendingMoment</x:v>
      </x:c>
      <x:c r="D11" s="48" t="str">
        <x:v>https://w3id.org/nltl-benchmark/vocab#designVerticalIceBendingMoment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RUN-I2-054-20260813T225238082753Z</x:v>
      </x:c>
      <x:c r="B12" s="47" t="str">
        <x:v>I2-054</x:v>
      </x:c>
      <x:c r="C12" s="47" t="str">
        <x:v>designVerticalIceForceAtBow</x:v>
      </x:c>
      <x:c r="D12" s="48" t="str">
        <x:v>https://w3id.org/nltl-benchmark/vocab#designVerticalIceForceAtBow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RUN-I2-054-20260813T225238082753Z</x:v>
      </x:c>
      <x:c r="B13" s="47" t="str">
        <x:v>I2-054</x:v>
      </x:c>
      <x:c r="C13" s="47" t="str">
        <x:v>hasCalculationCase</x:v>
      </x:c>
      <x:c r="D13" s="48" t="str">
        <x:v>https://w3id.org/nltl-benchmark/vocab#hasCalculationCase</x:v>
      </x:c>
      <x:c r="E13" s="47" t="str">
        <x:v>ObjectProperty</x:v>
      </x:c>
      <x:c r="F13" s="47" t="str"/>
      <x:c r="G13" s="47" t="str">
        <x:v>https://w3id.org/nltl-benchmark/vocab#calculationCase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RUN-I2-054-20260813T225238082753Z</x:v>
      </x:c>
      <x:c r="B14" s="47" t="str">
        <x:v>I2-054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RUN-I2-054-20260813T225238082753Z</x:v>
      </x:c>
      <x:c r="B15" s="47" t="str">
        <x:v>I2-054</x:v>
      </x:c>
      <x:c r="C15" s="47" t="str">
        <x:v>hasHullGirderBendingMomentCalculationCase</x:v>
      </x:c>
      <x:c r="D15" s="48" t="str">
        <x:v>https://w3id.org/nltl-benchmark/vocab#hasHullGirderBendingMomentCalculationCase</x:v>
      </x:c>
      <x:c r="E15" s="47" t="str">
        <x:v>ObjectProperty</x:v>
      </x:c>
      <x:c r="F15" s="47" t="str"/>
      <x:c r="G15" s="47" t="str">
        <x:v>https://w3id.org/nltl-benchmark/vocab#hullGirderBendingMomentCalculationCase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RUN-I2-054-20260813T225238082753Z</x:v>
      </x:c>
      <x:c r="B16" s="47" t="str">
        <x:v>I2-054</x:v>
      </x:c>
      <x:c r="C16" s="47" t="str">
        <x:v>hasInterpolationPoint</x:v>
      </x:c>
      <x:c r="D16" s="48" t="str">
        <x:v>https://w3id.org/nltl-benchmark/vocab#hasInterpolationPoint</x:v>
      </x:c>
      <x:c r="E16" s="47" t="str">
        <x:v>ObjectProperty</x:v>
      </x:c>
      <x:c r="F16" s="47" t="str"/>
      <x:c r="G16" s="47" t="str">
        <x:v>https://w3id.org/nltl-benchmark/vocab#interpolationPoint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RUN-I2-054-20260813T225238082753Z</x:v>
      </x:c>
      <x:c r="B17" s="47" t="str">
        <x:v>I2-054</x:v>
      </x:c>
      <x:c r="C17" s="47" t="str">
        <x:v>hullGirderBendingMomentCalculationCase</x:v>
      </x:c>
      <x:c r="D17" s="48" t="str">
        <x:v>https://w3id.org/nltl-benchmark/vocab#hullGirderBendingMomentCalculationCase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RUN-I2-054-20260813T225238082753Z</x:v>
      </x:c>
      <x:c r="B18" s="47" t="str">
        <x:v>I2-054</x:v>
      </x:c>
      <x:c r="C18" s="47" t="str">
        <x:v>hullGirderLongitudinalPositionFromAft</x:v>
      </x:c>
      <x:c r="D18" s="48" t="str">
        <x:v>https://w3id.org/nltl-benchmark/vocab#hullGirderLongitudinalPositionFromAft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RUN-I2-054-20260813T225238082753Z</x:v>
      </x:c>
      <x:c r="B19" s="47" t="str">
        <x:v>I2-054</x:v>
      </x:c>
      <x:c r="C19" s="47" t="str">
        <x:v>interpolationPoint</x:v>
      </x:c>
      <x:c r="D19" s="48" t="str">
        <x:v>https://w3id.org/nltl-benchmark/vocab#interpolationPoint</x:v>
      </x:c>
      <x:c r="E19" s="47" t="str">
        <x:v>Class</x:v>
      </x:c>
      <x:c r="F19" s="47" t="str"/>
      <x:c r="G19" s="47" t="str">
        <x:v>https://w3id.org/nltl-benchmark/vocab#calculationCase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RUN-I2-054-20260813T225238082753Z</x:v>
      </x:c>
      <x:c r="B20" s="47" t="str">
        <x:v>I2-054</x:v>
      </x:c>
      <x:c r="C20" s="47" t="str">
        <x:v>interpolationPointCoordinate</x:v>
      </x:c>
      <x:c r="D20" s="48" t="str">
        <x:v>https://w3id.org/nltl-benchmark/vocab#interpolationPointCoordinate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RUN-I2-054-20260813T225238082753Z</x:v>
      </x:c>
      <x:c r="B21" s="47" t="str">
        <x:v>I2-054</x:v>
      </x:c>
      <x:c r="C21" s="47" t="str">
        <x:v>interpolationPointResult</x:v>
      </x:c>
      <x:c r="D21" s="48" t="str">
        <x:v>https://w3id.org/nltl-benchmark/vocab#interpolationPointResult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RUN-I2-054-20260813T225238082753Z</x:v>
      </x:c>
      <x:c r="B22" s="47" t="str">
        <x:v>I2-054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RUN-I2-054-20260813T225238082753Z</x:v>
      </x:c>
      <x:c r="B23" s="47" t="str">
        <x:v>I2-054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RUN-I2-054-20260813T225238082753Z</x:v>
      </x:c>
      <x:c r="B24" s="47" t="str">
        <x:v>I2-054</x:v>
      </x:c>
      <x:c r="C24" s="47" t="str">
        <x:v>stemAngle</x:v>
      </x:c>
      <x:c r="D24" s="48" t="str">
        <x:v>https://w3id.org/nltl-benchmark/vocab#stemAngle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RUN-I2-054-20260813T225238082753Z</x:v>
      </x:c>
      <x:c r="B25" s="49" t="str">
        <x:v>I2-054</x:v>
      </x:c>
      <x:c r="C25" s="49" t="str">
        <x:v>upperIceWaterlineLengthLUI</x:v>
      </x:c>
      <x:c r="D25" s="50" t="str">
        <x:v>https://w3id.org/nltl-benchmark/vocab#upperIceWaterlineLengthLUI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073fef11e34e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RUN-I2-054-20260813T225238082753Z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RUN-I2-054-20260813T225238082753Z</x:v>
      </x:c>
      <x:c r="B5" s="45" t="str">
        <x:v>I2-054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RUN-I2-054-20260813T225238082753Z</x:v>
      </x:c>
      <x:c r="B6" s="49" t="str">
        <x:v>I2-054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5704cdb154f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RUN-I2-054-20260813T225238082753Z</x:v>
      </x:c>
      <x:c r="B5" s="45" t="str">
        <x:v>I2-054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https://w3id.org/nltl-benchmark/vocab#caseBendingMomentDistributionFactor | https://w3id.org/nltl-benchmark/vocab#caseDesignVerticalIceBendingMoment | https://w3id.org/nltl-benchmark/vocab#caseHullGirderLongitudinalPositionFromAft | https://w3id.org/nltl-benchmark/vocab#designVerticalIceForceAtBow | https://w3id.org/nltl-benchmark/vocab#hasCalculationCase | https://w3id.org/nltl-benchmark/vocab#hasHullGirderBendingMomentCalculationCase | https://w3id.org/nltl-benchmark/vocab#hasInterpolationPoint | https://w3id.org/nltl-benchmark/vocab#hullGirderBendingMomentCalculationCase | https://w3id.org/nltl-benchmark/vocab#interpolationPoint | https://w3id.org/nltl-benchmark/vocab#ship | https://w3id.org/nltl-benchmark/vocab#stemAngle | https://w3id.org/nltl-benchmark/vocab#upperIceWaterlineLengthLUI</x:v>
      </x:c>
      <x:c r="O5" s="46" t="str"/>
      <x:c r="P5" s="46" t="str"/>
      <x:c r="Q5" s="46" t="str"/>
    </x:row>
    <x:row r="6">
      <x:c r="A6" s="47" t="str">
        <x:v>RUN-I2-054-20260813T225238082753Z</x:v>
      </x:c>
      <x:c r="B6" s="47" t="str">
        <x:v>I2-054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https://w3id.org/nltl-benchmark/vocab#caseBendingMomentDistributionFactor | https://w3id.org/nltl-benchmark/vocab#caseDesignVerticalIceBendingMoment | https://w3id.org/nltl-benchmark/vocab#caseHullGirderLongitudinalPositionFromAft | https://w3id.org/nltl-benchmark/vocab#designVerticalIceForceAtBow | https://w3id.org/nltl-benchmark/vocab#hasCalculationCase | https://w3id.org/nltl-benchmark/vocab#hasHullGirderBendingMomentCalculationCase | https://w3id.org/nltl-benchmark/vocab#hasInterpolationPoint | https://w3id.org/nltl-benchmark/vocab#hullGirderBendingMomentCalculationCase | https://w3id.org/nltl-benchmark/vocab#interpolationPoint | https://w3id.org/nltl-benchmark/vocab#interpolationPointCoordinate | https://w3id.org/nltl-benchmark/vocab#interpolationPointResult | https://w3id.org/nltl-benchmark/vocab#ship | https://w3id.org/nltl-benchmark/vocab#stemAngle | https://w3id.org/nltl-benchmark/vocab#upperIceWaterlineLengthLUI</x:v>
      </x:c>
      <x:c r="O6" s="48" t="str"/>
      <x:c r="P6" s="48" t="str"/>
      <x:c r="Q6" s="48" t="str"/>
    </x:row>
    <x:row r="7">
      <x:c r="A7" s="49" t="str">
        <x:v>RUN-I2-054-20260813T225238082753Z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https://w3id.org/nltl-benchmark/vocab#caseBendingMomentDistributionFactor | https://w3id.org/nltl-benchmark/vocab#caseDesignVerticalIceBendingMoment | https://w3id.org/nltl-benchmark/vocab#caseHullGirderLongitudinalPositionFromAft | https://w3id.org/nltl-benchmark/vocab#designVerticalIceForceAtBow | https://w3id.org/nltl-benchmark/vocab#hasCalculationCase | https://w3id.org/nltl-benchmark/vocab#hasHullGirderBendingMomentCalculationCase | https://w3id.org/nltl-benchmark/vocab#hasInterpolationPoint | https://w3id.org/nltl-benchmark/vocab#hullGirderBendingMomentCalculationCase | https://w3id.org/nltl-benchmark/vocab#interpolationPoint | https://w3id.org/nltl-benchmark/vocab#interpolationPointCoordinate | https://w3id.org/nltl-benchmark/vocab#interpolationPointResult | https://w3id.org/nltl-benchmark/vocab#ship | https://w3id.org/nltl-benchmark/vocab#stemAngle | https://w3id.org/nltl-benchmark/vocab#upperIceWaterlineLengthLUI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1b43db94ed24d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RUN-I2-054-20260813T225238082753Z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RUN-I2-054-20260813T225238082753Z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RUN-I2-054-20260813T225238082753Z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fa70295203217cd45d3fca0d78f2b16561f2c8d2ade278613dd60016ce1811c7</x:v>
      </x:c>
      <x:c r="G5" s="58" t="n">
        <x:v>30699</x:v>
      </x:c>
    </x:row>
    <x:row r="6">
      <x:c r="A6" s="47" t="str">
        <x:v>RUN-I2-054-20260813T225238082753Z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792be0be5c291403c9712d00d5a0809a6fb605ec8cd3bfdd482efcd4c0789953</x:v>
      </x:c>
      <x:c r="G6" s="59" t="n">
        <x:v>5365</x:v>
      </x:c>
    </x:row>
    <x:row r="7">
      <x:c r="A7" s="47" t="str">
        <x:v>RUN-I2-054-20260813T225238082753Z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90e28b9b874f94a6fa98aa7648ca90b834368fa25788ca2cb65dc6be38a9fdc8</x:v>
      </x:c>
      <x:c r="G7" s="59" t="n">
        <x:v>43346</x:v>
      </x:c>
    </x:row>
    <x:row r="8">
      <x:c r="A8" s="47" t="str">
        <x:v>RUN-I2-054-20260813T225238082753Z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304070f576c9cf626549671bd0dfce7136172e23a9182abda16fdff97310db87</x:v>
      </x:c>
      <x:c r="G8" s="59" t="n">
        <x:v>8765</x:v>
      </x:c>
    </x:row>
    <x:row r="9">
      <x:c r="A9" s="47" t="str">
        <x:v>RUN-I2-054-20260813T225238082753Z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2388056823ff631b6318c0b4246451efe6577c04a9f9fd31d141effd1bd26603</x:v>
      </x:c>
      <x:c r="G9" s="59" t="n">
        <x:v>8740</x:v>
      </x:c>
    </x:row>
    <x:row r="10">
      <x:c r="A10" s="47" t="str">
        <x:v>RUN-I2-054-20260813T225238082753Z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e4348257a1a8de53251302560da9d1ff1cfba2d075179c7d3939750107901ca5</x:v>
      </x:c>
      <x:c r="G10" s="59" t="n">
        <x:v>1314</x:v>
      </x:c>
    </x:row>
    <x:row r="11">
      <x:c r="A11" s="47" t="str">
        <x:v>RUN-I2-054-20260813T225238082753Z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6f5f4bf05b6d5dc10ca0c5f7cb9b68e026bbfd8ed99a0765ddfe11c0d6b3d32d</x:v>
      </x:c>
      <x:c r="G11" s="59" t="n">
        <x:v>49779</x:v>
      </x:c>
    </x:row>
    <x:row r="12">
      <x:c r="A12" s="47" t="str">
        <x:v>RUN-I2-054-20260813T225238082753Z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e677874762bc6ab5032f9a3202bd2196d36b25a0319ba9c245104f6219740cbe</x:v>
      </x:c>
      <x:c r="G12" s="59" t="n">
        <x:v>797</x:v>
      </x:c>
    </x:row>
    <x:row r="13">
      <x:c r="A13" s="47" t="str">
        <x:v>RUN-I2-054-20260813T225238082753Z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339e50d509a012a7c1d524cad0eac1d03a9301f73d03cd922ca6384c36125f22</x:v>
      </x:c>
      <x:c r="G13" s="59" t="n">
        <x:v>44078</x:v>
      </x:c>
    </x:row>
    <x:row r="14">
      <x:c r="A14" s="47" t="str">
        <x:v>RUN-I2-054-20260813T225238082753Z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f698c4bba2bc762813472a9c679ff883477467d5dc993a0f0de040a888d9b897</x:v>
      </x:c>
      <x:c r="G14" s="59" t="n">
        <x:v>14664</x:v>
      </x:c>
    </x:row>
    <x:row r="15">
      <x:c r="A15" s="47" t="str">
        <x:v>RUN-I2-054-20260813T225238082753Z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16b8b9113df6cd0adf8104706f21f0078f9cce3e8af13a294af4d6beb4b34947</x:v>
      </x:c>
      <x:c r="G15" s="59" t="n">
        <x:v>14639</x:v>
      </x:c>
    </x:row>
    <x:row r="16">
      <x:c r="A16" s="47" t="str">
        <x:v>RUN-I2-054-20260813T225238082753Z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d0a70324a86ffb25d97ccb58796083d539db9096002a71dacc9703fc9864ee56</x:v>
      </x:c>
      <x:c r="G16" s="59" t="n">
        <x:v>1458</x:v>
      </x:c>
    </x:row>
    <x:row r="17">
      <x:c r="A17" s="47" t="str">
        <x:v>RUN-I2-054-20260813T225238082753Z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ffa1ff13f99c62835ea07ba6d1ddb10efd77f03d680093b8fe7364fcddae98ac</x:v>
      </x:c>
      <x:c r="G17" s="59" t="n">
        <x:v>56853</x:v>
      </x:c>
    </x:row>
    <x:row r="18">
      <x:c r="A18" s="47" t="str">
        <x:v>RUN-I2-054-20260813T225238082753Z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8e324d15b2fd35272c9b5770b9f4acf8be645b030d8be1e528f8ac864f54d8a5</x:v>
      </x:c>
      <x:c r="G18" s="59" t="n">
        <x:v>401</x:v>
      </x:c>
    </x:row>
    <x:row r="19">
      <x:c r="A19" s="47" t="str">
        <x:v>RUN-I2-054-20260813T225238082753Z</x:v>
      </x:c>
      <x:c r="B19" s="47" t="str">
        <x:v>I2-054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36cafc3705db1fed23d6cc7d510908b201dca6228af2fef94a2f3caf0c1cfe8f</x:v>
      </x:c>
      <x:c r="G19" s="59" t="n">
        <x:v>44422</x:v>
      </x:c>
    </x:row>
    <x:row r="20">
      <x:c r="A20" s="47" t="str">
        <x:v>RUN-I2-054-20260813T225238082753Z</x:v>
      </x:c>
      <x:c r="B20" s="47" t="str">
        <x:v>I2-054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5fe10b805d900d08e8920f83a1d72dda5c8525c05dacedd1160a12eae1067c70</x:v>
      </x:c>
      <x:c r="G20" s="59" t="n">
        <x:v>16763</x:v>
      </x:c>
    </x:row>
    <x:row r="21">
      <x:c r="A21" s="47" t="str">
        <x:v>RUN-I2-054-20260813T225238082753Z</x:v>
      </x:c>
      <x:c r="B21" s="47" t="str">
        <x:v>I2-054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d1a4ff25b1b75426c9d7f5ea24c0bf861d51a37bfdd3f9da3b48facff5f3a345</x:v>
      </x:c>
      <x:c r="G21" s="59" t="n">
        <x:v>16738</x:v>
      </x:c>
    </x:row>
    <x:row r="22">
      <x:c r="A22" s="47" t="str">
        <x:v>RUN-I2-054-20260813T225238082753Z</x:v>
      </x:c>
      <x:c r="B22" s="47" t="str">
        <x:v>I2-054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90cea1079cf39464d215fa95f03b65ce19288cd6216b403b817eb6f7061dc0f7</x:v>
      </x:c>
      <x:c r="G22" s="59" t="n">
        <x:v>1397</x:v>
      </x:c>
    </x:row>
    <x:row r="23">
      <x:c r="A23" s="47" t="str">
        <x:v>RUN-I2-054-20260813T225238082753Z</x:v>
      </x:c>
      <x:c r="B23" s="47" t="str">
        <x:v>I2-054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53ae8c310e6d40a580fb3e1a511f97bafa3fc65a0086896ad9ff3ec0ff91a328</x:v>
      </x:c>
      <x:c r="G23" s="59" t="n">
        <x:v>58623</x:v>
      </x:c>
    </x:row>
    <x:row r="24">
      <x:c r="A24" s="49" t="str">
        <x:v>RUN-I2-054-20260813T225238082753Z</x:v>
      </x:c>
      <x:c r="B24" s="49" t="str">
        <x:v>I2-054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8638818b640e36eea339dab9e09bb59e30c18b8b974276176be5a4b028541eb7</x:v>
      </x:c>
      <x:c r="G24" s="60" t="n">
        <x:v>793</x:v>
      </x:c>
    </x:row>
  </x:sheetData>
  <x:pageMargins left="0.7" right="0.7" top="0.75" bottom="0.75" header="0.3" footer="0.3"/>
  <x:tableParts count="1">
    <x:tablePart xmlns:r="http://schemas.openxmlformats.org/officeDocument/2006/relationships" r:id="Re30e6a41c6ee4d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RUN-I2-054-20260813T225238082753Z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RUN-I2-054-20260813T225238082753Z</x:v>
      </x:c>
      <x:c r="B5" s="69" t="str">
        <x:v>I2-054</x:v>
      </x:c>
      <x:c r="C5" s="71" t="n">
        <x:v>3</x:v>
      </x:c>
      <x:c r="D5" s="69" t="str">
        <x:v>MAX_ATTEMPTS_REACHED</x:v>
      </x:c>
      <x:c r="E5" s="73" t="str">
        <x:v>Repair the calculation-case ownership and formula comparison: do not impose the invented requirement that every hull-girder case must also be linked by hasCalculationCase merely to associate evidence. Model hasCalculationCase and its calculationCase-owned interpolation evidence on the declared calculationCase owner, and ensure any hull-girder case receiving hasInterpolationPoint is explicitly a calculationCase as required by that property's owner/domain. Replace the fifth-power ratio test with a bounded derived-result comparison whose tolerance is scaled from the expected M_I formula result (with the absolute fallback), not from a transformed power ratio; retain math:sin and the sin(gamma_stem)^(-0.2) operand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3661acf7740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RUN-I2-054-20260813T225238082753Z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