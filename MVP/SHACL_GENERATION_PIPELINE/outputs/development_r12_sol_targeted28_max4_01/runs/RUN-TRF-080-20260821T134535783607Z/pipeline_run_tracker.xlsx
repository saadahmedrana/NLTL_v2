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ecb9bf04e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cbc0a621cf44fc"/>
    <x:sheet xmlns:r="http://schemas.openxmlformats.org/officeDocument/2006/relationships" name="README" sheetId="2" r:id="R2701e1c23a04477c"/>
    <x:sheet xmlns:r="http://schemas.openxmlformats.org/officeDocument/2006/relationships" name="REGULATION_QUEUE" sheetId="3" r:id="R5968723b705b41c0"/>
    <x:sheet xmlns:r="http://schemas.openxmlformats.org/officeDocument/2006/relationships" name="RUNS" sheetId="4" r:id="Ra7e339cd460745d5"/>
    <x:sheet xmlns:r="http://schemas.openxmlformats.org/officeDocument/2006/relationships" name="ITERATIONS" sheetId="5" r:id="R9c9b758fd3134bba"/>
    <x:sheet xmlns:r="http://schemas.openxmlformats.org/officeDocument/2006/relationships" name="API_CALLS" sheetId="6" r:id="R89dfbac47e684d38"/>
    <x:sheet xmlns:r="http://schemas.openxmlformats.org/officeDocument/2006/relationships" name="TERM_RETRIEVAL" sheetId="7" r:id="Reb2c1ede57a64897"/>
    <x:sheet xmlns:r="http://schemas.openxmlformats.org/officeDocument/2006/relationships" name="FEW_SHOT_SELECTION" sheetId="8" r:id="R8199e2c27bd448db"/>
    <x:sheet xmlns:r="http://schemas.openxmlformats.org/officeDocument/2006/relationships" name="VALIDATION" sheetId="9" r:id="R919ae3406b354e16"/>
    <x:sheet xmlns:r="http://schemas.openxmlformats.org/officeDocument/2006/relationships" name="VOCAB_MATCHES" sheetId="10" r:id="R35c81669ec044c2b"/>
    <x:sheet xmlns:r="http://schemas.openxmlformats.org/officeDocument/2006/relationships" name="ARTIFACTS" sheetId="11" r:id="R86a748bd513449af"/>
    <x:sheet xmlns:r="http://schemas.openxmlformats.org/officeDocument/2006/relationships" name="UNRESOLVED" sheetId="12" r:id="Rd39eb64386854837"/>
    <x:sheet xmlns:r="http://schemas.openxmlformats.org/officeDocument/2006/relationships" name="RDF_TEST_QUEUE" sheetId="13" r:id="Ref149c88670348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7bd0348dc4ef8" /><Relationship Type="http://schemas.openxmlformats.org/officeDocument/2006/relationships/theme" Target="/xl/theme/theme1.xml" Id="R5437841e008b443c" /><Relationship Type="http://schemas.microsoft.com/office/2022/11/relationships/FeaturePropertyBag" Target="/xl/featurePropertyBag/featurePropertyBag.xml" Id="R020f05cb8f2149f3" /><Relationship Type="http://schemas.openxmlformats.org/officeDocument/2006/relationships/sharedStrings" Target="/xl/sharedStrings.xml" Id="R77271c193b2245ad" /><Relationship Type="http://schemas.openxmlformats.org/officeDocument/2006/relationships/worksheet" Target="/xl/worksheets/sheet1.xml" Id="Rc9cbc0a621cf44fc" /><Relationship Type="http://schemas.openxmlformats.org/officeDocument/2006/relationships/worksheet" Target="/xl/worksheets/sheet2.xml" Id="R2701e1c23a04477c" /><Relationship Type="http://schemas.openxmlformats.org/officeDocument/2006/relationships/worksheet" Target="/xl/worksheets/sheet3.xml" Id="R5968723b705b41c0" /><Relationship Type="http://schemas.openxmlformats.org/officeDocument/2006/relationships/worksheet" Target="/xl/worksheets/sheet4.xml" Id="Ra7e339cd460745d5" /><Relationship Type="http://schemas.openxmlformats.org/officeDocument/2006/relationships/worksheet" Target="/xl/worksheets/sheet5.xml" Id="R9c9b758fd3134bba" /><Relationship Type="http://schemas.openxmlformats.org/officeDocument/2006/relationships/worksheet" Target="/xl/worksheets/sheet6.xml" Id="R89dfbac47e684d38" /><Relationship Type="http://schemas.openxmlformats.org/officeDocument/2006/relationships/worksheet" Target="/xl/worksheets/sheet7.xml" Id="Reb2c1ede57a64897" /><Relationship Type="http://schemas.openxmlformats.org/officeDocument/2006/relationships/worksheet" Target="/xl/worksheets/sheet8.xml" Id="R8199e2c27bd448db" /><Relationship Type="http://schemas.openxmlformats.org/officeDocument/2006/relationships/worksheet" Target="/xl/worksheets/sheet9.xml" Id="R919ae3406b354e16" /><Relationship Type="http://schemas.openxmlformats.org/officeDocument/2006/relationships/worksheet" Target="/xl/worksheets/sheet10.xml" Id="R35c81669ec044c2b" /><Relationship Type="http://schemas.openxmlformats.org/officeDocument/2006/relationships/worksheet" Target="/xl/worksheets/sheet11.xml" Id="R86a748bd513449af" /><Relationship Type="http://schemas.openxmlformats.org/officeDocument/2006/relationships/worksheet" Target="/xl/worksheets/sheet12.xml" Id="Rd39eb64386854837" /><Relationship Type="http://schemas.openxmlformats.org/officeDocument/2006/relationships/worksheet" Target="/xl/worksheets/sheet13.xml" Id="Ref149c88670348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56576cb2da44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4a53de452d4a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1f40e7a4514f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9d521fc54849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d439343b1149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6d6ea4a91a45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02b791e9084f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44122491cd4e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ee04d337fd44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7a8ba8ab89f4a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RUN-TRF-080-20260821T134535783607Z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16469.567875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RUN-TRF-080-20260821T134535783607Z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56576cb2da44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RUN-TRF-080-20260821T134535783607Z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GENERATION_ACCEPTED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4a53de452d4a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RUN-TRF-080-20260821T134535783607Z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RUN-TRF-080-20260821T134535783607Z</x:v>
      </x:c>
      <x:c r="C5" s="69" t="str">
        <x:v>TRF-080</x:v>
      </x:c>
      <x:c r="D5" s="70" t="n">
        <x:v>46255.57333083334</x:v>
      </x:c>
      <x:c r="E5" s="70" t="n">
        <x:v>46255.574095648146</x:v>
      </x:c>
      <x:c r="F5" s="69" t="str">
        <x:v>1.9.0-development-r12-sol-targeted28-max4-01</x:v>
      </x:c>
      <x:c r="G5" s="69" t="str">
        <x:v>VOCAB-LOCK-2026-08-21-R12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approved direct calculation, authoritative ship ownership, component-based applicability, required operands and result, unit/datatype constraints, multiplication direction, and expected-value-scaled tolerance. It is ready to freeze.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1f40e7a4514f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RUN-TRF-080-20260821T134535783607Z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RUN-TRF-080-20260821T134535783607Z</x:v>
      </x:c>
      <x:c r="B5" s="45" t="str">
        <x:v>TRF-080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applicability: the formula must not be imposed unconditionally on every ship. Keep the authoritative target and all three operands/results on nltl:ship, but restrict evaluation to ships linked through nltl:hasComponent to a nltl:propellerIceInteractionComponent, representing components subject to propeller/ice interaction with all blades. Both canonical terms are already supplied, so no vocabulary matcher is needed. Preserve the current multiplication direction and expected-value-scaled tolerance.</x:v>
      </x:c>
      <x:c r="I5" s="81" t="n">
        <x:v>14877.723</x:v>
      </x:c>
      <x:c r="J5" s="81" t="n">
        <x:v>15051.982</x:v>
      </x:c>
    </x:row>
    <x:row r="6">
      <x:c r="A6" s="49" t="str">
        <x:v>RUN-TRF-080-20260821T134535783607Z</x:v>
      </x:c>
      <x:c r="B6" s="49" t="str">
        <x:v>TRF-080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approved direct calculation, authoritative ship ownership, component-based applicability, required operands and result, unit/datatype constraints, multiplication direction, and expected-value-scaled tolerance. It is ready to freeze.</x:v>
      </x:c>
      <x:c r="I6" s="83" t="n">
        <x:v>31843.837</x:v>
      </x:c>
      <x:c r="J6" s="83" t="n">
        <x:v>4107.662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9d521fc54849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RUN-TRF-080-20260821T134535783607Z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RUN-TRF-080-20260821T134535783607Z</x:v>
      </x:c>
      <x:c r="C5" s="45" t="str">
        <x:v>TRF-080</x:v>
      </x:c>
      <x:c r="D5" s="90" t="n">
        <x:v>46255.57350304398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14876.187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RUN-TRF-080-20260821T134535783607Z</x:v>
      </x:c>
      <x:c r="C6" s="47" t="str">
        <x:v>TRF-080</x:v>
      </x:c>
      <x:c r="D6" s="91" t="n">
        <x:v>46255.57350305556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14877.723</x:v>
      </x:c>
      <x:c r="L6" s="93" t="b">
        <x:v>0</x:v>
      </x:c>
      <x:c r="M6" s="47" t="str">
        <x:v>resp_0a2e275785469417006a88567fe5b88194aee32f70e2cfe612</x:v>
      </x:c>
      <x:c r="N6" s="59" t="n">
        <x:v>7005</x:v>
      </x:c>
      <x:c r="O6" s="59" t="n">
        <x:v>1201</x:v>
      </x:c>
      <x:c r="P6" s="59" t="n">
        <x:v>8206</x:v>
      </x:c>
    </x:row>
    <x:row r="7">
      <x:c r="A7" s="47" t="str">
        <x:v>EVT-000025</x:v>
      </x:c>
      <x:c r="B7" s="47" t="str">
        <x:v>RUN-TRF-080-20260821T134535783607Z</x:v>
      </x:c>
      <x:c r="C7" s="47" t="str">
        <x:v>TRF-080</x:v>
      </x:c>
      <x:c r="D7" s="91" t="n">
        <x:v>46255.57367839121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15050.615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RUN-TRF-080-20260821T134535783607Z</x:v>
      </x:c>
      <x:c r="C8" s="47" t="str">
        <x:v>TRF-080</x:v>
      </x:c>
      <x:c r="D8" s="91" t="n">
        <x:v>46255.573678402776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15051.982</x:v>
      </x:c>
      <x:c r="L8" s="93" t="b">
        <x:v>0</x:v>
      </x:c>
      <x:c r="M8" s="47" t="str">
        <x:v>resp_00727bbf4cb9d645006a88568f4a5881939a2907316b8ae9cc</x:v>
      </x:c>
      <x:c r="N8" s="59" t="n">
        <x:v>5779</x:v>
      </x:c>
      <x:c r="O8" s="59" t="n">
        <x:v>633</x:v>
      </x:c>
      <x:c r="P8" s="59" t="n">
        <x:v>6412</x:v>
      </x:c>
    </x:row>
    <x:row r="9">
      <x:c r="A9" s="47" t="str">
        <x:v>EVT-000031</x:v>
      </x:c>
      <x:c r="B9" s="47" t="str">
        <x:v>RUN-TRF-080-20260821T134535783607Z</x:v>
      </x:c>
      <x:c r="C9" s="47" t="str">
        <x:v>TRF-080</x:v>
      </x:c>
      <x:c r="D9" s="91" t="n">
        <x:v>46255.574047002316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31842.304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RUN-TRF-080-20260821T134535783607Z</x:v>
      </x:c>
      <x:c r="C10" s="47" t="str">
        <x:v>TRF-080</x:v>
      </x:c>
      <x:c r="D10" s="91" t="n">
        <x:v>46255.57404701389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31843.837</x:v>
      </x:c>
      <x:c r="L10" s="93" t="b">
        <x:v>0</x:v>
      </x:c>
      <x:c r="M10" s="47" t="str">
        <x:v>resp_09477b72058100c0006a88569e00a08196be01192d708c3dd7</x:v>
      </x:c>
      <x:c r="N10" s="59" t="n">
        <x:v>7101</x:v>
      </x:c>
      <x:c r="O10" s="59" t="n">
        <x:v>2342</x:v>
      </x:c>
      <x:c r="P10" s="59" t="n">
        <x:v>9443</x:v>
      </x:c>
    </x:row>
    <x:row r="11">
      <x:c r="A11" s="47" t="str">
        <x:v>EVT-000039</x:v>
      </x:c>
      <x:c r="B11" s="47" t="str">
        <x:v>RUN-TRF-080-20260821T134535783607Z</x:v>
      </x:c>
      <x:c r="C11" s="47" t="str">
        <x:v>TRF-080</x:v>
      </x:c>
      <x:c r="D11" s="91" t="n">
        <x:v>46255.574095578704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4106.233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RUN-TRF-080-20260821T134535783607Z</x:v>
      </x:c>
      <x:c r="C12" s="49" t="str">
        <x:v>TRF-080</x:v>
      </x:c>
      <x:c r="D12" s="94" t="n">
        <x:v>46255.57409559028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4107.662</x:v>
      </x:c>
      <x:c r="L12" s="82" t="b">
        <x:v>0</x:v>
      </x:c>
      <x:c r="M12" s="49" t="str">
        <x:v>resp_0e0a2bf7b60bc07f006a8856bde23481979e01a2fb2637be33</x:v>
      </x:c>
      <x:c r="N12" s="60" t="n">
        <x:v>6231</x:v>
      </x:c>
      <x:c r="O12" s="60" t="n">
        <x:v>217</x:v>
      </x:c>
      <x:c r="P12" s="60" t="n">
        <x:v>6448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d439343b1149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RUN-TRF-080-20260821T134535783607Z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RUN-TRF-080-20260821T134535783607Z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RUN-TRF-080-20260821T134535783607Z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RUN-TRF-080-20260821T134535783607Z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RUN-TRF-080-20260821T134535783607Z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RUN-TRF-080-20260821T134535783607Z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RUN-TRF-080-20260821T134535783607Z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RUN-TRF-080-20260821T134535783607Z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RUN-TRF-080-20260821T134535783607Z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RUN-TRF-080-20260821T134535783607Z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6d6ea4a91a45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RUN-TRF-080-20260821T134535783607Z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RUN-TRF-080-20260821T134535783607Z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7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RUN-TRF-080-20260821T134535783607Z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8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02b791e9084f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RUN-TRF-080-20260821T134535783607Z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RUN-TRF-080-20260821T134535783607Z</x:v>
      </x:c>
      <x:c r="B5" s="45" t="str">
        <x:v>TRF-080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https://w3id.org/nltl/vocab#effectiveIceLoadCycleCount | https://w3id.org/nltl/vocab#iceLoadCycleCount | https://w3id.org/nltl/vocab#propellerBladeCount | https://w3id.org/nltl/vocab#ship</x:v>
      </x:c>
      <x:c r="O5" s="46" t="str"/>
      <x:c r="P5" s="46" t="str"/>
      <x:c r="Q5" s="46" t="str"/>
    </x:row>
    <x:row r="6">
      <x:c r="A6" s="49" t="str">
        <x:v>RUN-TRF-080-20260821T134535783607Z</x:v>
      </x:c>
      <x:c r="B6" s="49" t="str">
        <x:v>TRF-080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https://w3id.org/nltl/vocab#effectiveIceLoadCycleCount | https://w3id.org/nltl/vocab#hasComponent | https://w3id.org/nltl/vocab#iceLoadCycleCount | https://w3id.org/nltl/vocab#propellerBladeCount | https://w3id.org/nltl/vocab#propellerIceInteractionComponent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144122491cd4e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RUN-TRF-080-20260821T134535783607Z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RUN-TRF-080-20260821T134535783607Z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RUN-TRF-080-20260821T134535783607Z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eda6b6a5e8ef9cd96bc1c43000f7c77eada0341128817f17a20e927d42133112</x:v>
      </x:c>
      <x:c r="G5" s="58" t="n">
        <x:v>12959</x:v>
      </x:c>
    </x:row>
    <x:row r="6">
      <x:c r="A6" s="47" t="str">
        <x:v>RUN-TRF-080-20260821T134535783607Z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RUN-TRF-080-20260821T134535783607Z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RUN-TRF-080-20260821T134535783607Z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bf78abd142893a135f8046c067565032e64dfe7a58f51fdaf215b41a5984a3d1</x:v>
      </x:c>
      <x:c r="G8" s="59" t="n">
        <x:v>2688</x:v>
      </x:c>
    </x:row>
    <x:row r="9">
      <x:c r="A9" s="47" t="str">
        <x:v>RUN-TRF-080-20260821T134535783607Z</x:v>
      </x:c>
      <x:c r="B9" s="47" t="str">
        <x:v>TRF-080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1de854e6519fd51e41fc6e7fdd960628ae6859115f8f42d84cfc6053e9e652d6</x:v>
      </x:c>
      <x:c r="G9" s="59" t="n">
        <x:v>2663</x:v>
      </x:c>
    </x:row>
    <x:row r="10">
      <x:c r="A10" s="47" t="str">
        <x:v>RUN-TRF-080-20260821T134535783607Z</x:v>
      </x:c>
      <x:c r="B10" s="47" t="str">
        <x:v>TRF-080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5ec4229b108fb5a534337a8cd5f1d7142213a6284645055033fda2412768f029</x:v>
      </x:c>
      <x:c r="G10" s="59" t="n">
        <x:v>599</x:v>
      </x:c>
    </x:row>
    <x:row r="11">
      <x:c r="A11" s="47" t="str">
        <x:v>RUN-TRF-080-20260821T134535783607Z</x:v>
      </x:c>
      <x:c r="B11" s="47" t="str">
        <x:v>TRF-080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4beb9a4ed2692beab7000e5aa8bbd812e851eb9a5524c1e391e160c096b1aa05</x:v>
      </x:c>
      <x:c r="G11" s="59" t="n">
        <x:v>24234</x:v>
      </x:c>
    </x:row>
    <x:row r="12">
      <x:c r="A12" s="47" t="str">
        <x:v>RUN-TRF-080-20260821T134535783607Z</x:v>
      </x:c>
      <x:c r="B12" s="47" t="str">
        <x:v>TRF-080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dc4310296b96a8c344cfe55032ece381781c002ae978a14080978ba52a296ebe</x:v>
      </x:c>
      <x:c r="G12" s="59" t="n">
        <x:v>577</x:v>
      </x:c>
    </x:row>
    <x:row r="13">
      <x:c r="A13" s="47" t="str">
        <x:v>RUN-TRF-080-20260821T134535783607Z</x:v>
      </x:c>
      <x:c r="B13" s="47" t="str">
        <x:v>TRF-080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43fea52b313c89088e95d72627379e98f82fc1f3ffb76e86753e1c986341ea52</x:v>
      </x:c>
      <x:c r="G13" s="59" t="n">
        <x:v>30293</x:v>
      </x:c>
    </x:row>
    <x:row r="14">
      <x:c r="A14" s="47" t="str">
        <x:v>RUN-TRF-080-20260821T134535783607Z</x:v>
      </x:c>
      <x:c r="B14" s="47" t="str">
        <x:v>TRF-080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0545225b872ab119492f1cb62c4d8404f39e25ecc98bb5e9d734e4e5fc110fe4</x:v>
      </x:c>
      <x:c r="G14" s="59" t="n">
        <x:v>3130</x:v>
      </x:c>
    </x:row>
    <x:row r="15">
      <x:c r="A15" s="47" t="str">
        <x:v>RUN-TRF-080-20260821T134535783607Z</x:v>
      </x:c>
      <x:c r="B15" s="47" t="str">
        <x:v>TRF-080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3435f5a0ce30f0a3a7cea0d490b47af20b72f388f6414b2440bef5e7bfafac87</x:v>
      </x:c>
      <x:c r="G15" s="59" t="n">
        <x:v>3105</x:v>
      </x:c>
    </x:row>
    <x:row r="16">
      <x:c r="A16" s="47" t="str">
        <x:v>RUN-TRF-080-20260821T134535783607Z</x:v>
      </x:c>
      <x:c r="B16" s="47" t="str">
        <x:v>TRF-080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a574765d7430b592ec1fa73e030dc5489c6897340b06b67dccffb13adfb5bd56</x:v>
      </x:c>
      <x:c r="G16" s="59" t="n">
        <x:v>715</x:v>
      </x:c>
    </x:row>
    <x:row r="17">
      <x:c r="A17" s="47" t="str">
        <x:v>RUN-TRF-080-20260821T134535783607Z</x:v>
      </x:c>
      <x:c r="B17" s="47" t="str">
        <x:v>TRF-080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e487daa3519a8ab7f1b6c6cf41235ec5941a8e0afdeb1f5ae01f86912611a975</x:v>
      </x:c>
      <x:c r="G17" s="59" t="n">
        <x:v>26054</x:v>
      </x:c>
    </x:row>
    <x:row r="18">
      <x:c r="A18" s="47" t="str">
        <x:v>RUN-TRF-080-20260821T134535783607Z</x:v>
      </x:c>
      <x:c r="B18" s="47" t="str">
        <x:v>TRF-080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537cd84a3624f95c0aeac0ee52b3f89fe1613139717c83f029b7019835117fcb</x:v>
      </x:c>
      <x:c r="G18" s="59" t="n">
        <x:v>328</x:v>
      </x:c>
    </x:row>
    <x:row r="19">
      <x:c r="A19" s="49" t="str">
        <x:v>RUN-TRF-080-20260821T134535783607Z</x:v>
      </x:c>
      <x:c r="B19" s="49" t="str">
        <x:v>TRF-080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3435f5a0ce30f0a3a7cea0d490b47af20b72f388f6414b2440bef5e7bfafac87</x:v>
      </x:c>
      <x:c r="G19" s="60" t="n">
        <x:v>3105</x:v>
      </x:c>
    </x:row>
  </x:sheetData>
  <x:pageMargins left="0.7" right="0.7" top="0.75" bottom="0.75" header="0.3" footer="0.3"/>
  <x:tableParts count="1">
    <x:tablePart xmlns:r="http://schemas.openxmlformats.org/officeDocument/2006/relationships" r:id="R4fee04d337fd44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RUN-TRF-080-20260821T134535783607Z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RUN-TRF-080-20260821T134535783607Z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RUN-TRF-080-20260821T134535783607Z</x:v>
      </x:c>
      <x:c r="B5" s="69" t="str">
        <x:v>TRF-080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a8ba8ab89f4aa3"/>
  </x:tableParts>
</x:worksheet>
</file>