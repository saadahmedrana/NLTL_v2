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9f57aae009564254" /></Relationships>
</file>

<file path=xl/workbook.xml><?xml version="1.0" encoding="utf-8"?>
<x:workbook xmlns:x="http://schemas.openxmlformats.org/spreadsheetml/2006/main">
  <x:sheets>
    <x:sheet xmlns:r="http://schemas.openxmlformats.org/officeDocument/2006/relationships" name="SUMMARY" sheetId="1" r:id="Rbf00d2226b2b4f60"/>
    <x:sheet xmlns:r="http://schemas.openxmlformats.org/officeDocument/2006/relationships" name="README" sheetId="2" r:id="R11aab3ba6d9b4e68"/>
    <x:sheet xmlns:r="http://schemas.openxmlformats.org/officeDocument/2006/relationships" name="REGULATION_QUEUE" sheetId="3" r:id="R7592f14567844630"/>
    <x:sheet xmlns:r="http://schemas.openxmlformats.org/officeDocument/2006/relationships" name="RUNS" sheetId="4" r:id="R3c74760e531a48b0"/>
    <x:sheet xmlns:r="http://schemas.openxmlformats.org/officeDocument/2006/relationships" name="ITERATIONS" sheetId="5" r:id="R8f137a7c634f4c8d"/>
    <x:sheet xmlns:r="http://schemas.openxmlformats.org/officeDocument/2006/relationships" name="API_CALLS" sheetId="6" r:id="R4540fdb7a09148b3"/>
    <x:sheet xmlns:r="http://schemas.openxmlformats.org/officeDocument/2006/relationships" name="TERM_RETRIEVAL" sheetId="7" r:id="R47fc9c406e7240d3"/>
    <x:sheet xmlns:r="http://schemas.openxmlformats.org/officeDocument/2006/relationships" name="FEW_SHOT_SELECTION" sheetId="8" r:id="Rf6653b677a03479a"/>
    <x:sheet xmlns:r="http://schemas.openxmlformats.org/officeDocument/2006/relationships" name="VALIDATION" sheetId="9" r:id="R6d17430c0f0f47f6"/>
    <x:sheet xmlns:r="http://schemas.openxmlformats.org/officeDocument/2006/relationships" name="VOCAB_MATCHES" sheetId="10" r:id="Rb9d3bac55fff4f0e"/>
    <x:sheet xmlns:r="http://schemas.openxmlformats.org/officeDocument/2006/relationships" name="ARTIFACTS" sheetId="11" r:id="R9f2e5723fb534a88"/>
    <x:sheet xmlns:r="http://schemas.openxmlformats.org/officeDocument/2006/relationships" name="UNRESOLVED" sheetId="12" r:id="Rc8650f89557d4dc1"/>
    <x:sheet xmlns:r="http://schemas.openxmlformats.org/officeDocument/2006/relationships" name="RDF_TEST_QUEUE" sheetId="13" r:id="R4eee7493206d421f"/>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910bc3016bd430a" /><Relationship Type="http://schemas.openxmlformats.org/officeDocument/2006/relationships/theme" Target="/xl/theme/theme1.xml" Id="R0e04e86345ea4109" /><Relationship Type="http://schemas.microsoft.com/office/2022/11/relationships/FeaturePropertyBag" Target="/xl/featurePropertyBag/featurePropertyBag.xml" Id="R3302f36626b84405" /><Relationship Type="http://schemas.openxmlformats.org/officeDocument/2006/relationships/sharedStrings" Target="/xl/sharedStrings.xml" Id="R3b67c904e2204124" /><Relationship Type="http://schemas.openxmlformats.org/officeDocument/2006/relationships/worksheet" Target="/xl/worksheets/sheet1.xml" Id="Rbf00d2226b2b4f60" /><Relationship Type="http://schemas.openxmlformats.org/officeDocument/2006/relationships/worksheet" Target="/xl/worksheets/sheet2.xml" Id="R11aab3ba6d9b4e68" /><Relationship Type="http://schemas.openxmlformats.org/officeDocument/2006/relationships/worksheet" Target="/xl/worksheets/sheet3.xml" Id="R7592f14567844630" /><Relationship Type="http://schemas.openxmlformats.org/officeDocument/2006/relationships/worksheet" Target="/xl/worksheets/sheet4.xml" Id="R3c74760e531a48b0" /><Relationship Type="http://schemas.openxmlformats.org/officeDocument/2006/relationships/worksheet" Target="/xl/worksheets/sheet5.xml" Id="R8f137a7c634f4c8d" /><Relationship Type="http://schemas.openxmlformats.org/officeDocument/2006/relationships/worksheet" Target="/xl/worksheets/sheet6.xml" Id="R4540fdb7a09148b3" /><Relationship Type="http://schemas.openxmlformats.org/officeDocument/2006/relationships/worksheet" Target="/xl/worksheets/sheet7.xml" Id="R47fc9c406e7240d3" /><Relationship Type="http://schemas.openxmlformats.org/officeDocument/2006/relationships/worksheet" Target="/xl/worksheets/sheet8.xml" Id="Rf6653b677a03479a" /><Relationship Type="http://schemas.openxmlformats.org/officeDocument/2006/relationships/worksheet" Target="/xl/worksheets/sheet9.xml" Id="R6d17430c0f0f47f6" /><Relationship Type="http://schemas.openxmlformats.org/officeDocument/2006/relationships/worksheet" Target="/xl/worksheets/sheet10.xml" Id="Rb9d3bac55fff4f0e" /><Relationship Type="http://schemas.openxmlformats.org/officeDocument/2006/relationships/worksheet" Target="/xl/worksheets/sheet11.xml" Id="R9f2e5723fb534a88" /><Relationship Type="http://schemas.openxmlformats.org/officeDocument/2006/relationships/worksheet" Target="/xl/worksheets/sheet12.xml" Id="Rc8650f89557d4dc1" /><Relationship Type="http://schemas.openxmlformats.org/officeDocument/2006/relationships/worksheet" Target="/xl/worksheets/sheet13.xml" Id="R4eee7493206d421f"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4"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6b338e8621094ec5" /></Relationships>
</file>

<file path=xl/worksheets/_rels/sheet3.xml.rels>&#65279;<?xml version="1.0" encoding="utf-8"?><Relationships xmlns="http://schemas.openxmlformats.org/package/2006/relationships"><Relationship Type="http://schemas.openxmlformats.org/officeDocument/2006/relationships/table" Target="/xl/tables/table2.xml" Id="R07066a1d284546ec" /></Relationships>
</file>

<file path=xl/worksheets/_rels/sheet4.xml.rels>&#65279;<?xml version="1.0" encoding="utf-8"?><Relationships xmlns="http://schemas.openxmlformats.org/package/2006/relationships"><Relationship Type="http://schemas.openxmlformats.org/officeDocument/2006/relationships/table" Target="/xl/tables/table3.xml" Id="Rc1d0046c3f33433b" /></Relationships>
</file>

<file path=xl/worksheets/_rels/sheet5.xml.rels>&#65279;<?xml version="1.0" encoding="utf-8"?><Relationships xmlns="http://schemas.openxmlformats.org/package/2006/relationships"><Relationship Type="http://schemas.openxmlformats.org/officeDocument/2006/relationships/table" Target="/xl/tables/table4.xml" Id="R3a0cd8b4ff444349" /></Relationships>
</file>

<file path=xl/worksheets/_rels/sheet6.xml.rels>&#65279;<?xml version="1.0" encoding="utf-8"?><Relationships xmlns="http://schemas.openxmlformats.org/package/2006/relationships"><Relationship Type="http://schemas.openxmlformats.org/officeDocument/2006/relationships/table" Target="/xl/tables/table5.xml" Id="Rf7c140f0f24942b3" /></Relationships>
</file>

<file path=xl/worksheets/_rels/sheet7.xml.rels>&#65279;<?xml version="1.0" encoding="utf-8"?><Relationships xmlns="http://schemas.openxmlformats.org/package/2006/relationships"><Relationship Type="http://schemas.openxmlformats.org/officeDocument/2006/relationships/table" Target="/xl/tables/table6.xml" Id="Rd54736785ae445fc" /></Relationships>
</file>

<file path=xl/worksheets/_rels/sheet8.xml.rels>&#65279;<?xml version="1.0" encoding="utf-8"?><Relationships xmlns="http://schemas.openxmlformats.org/package/2006/relationships"><Relationship Type="http://schemas.openxmlformats.org/officeDocument/2006/relationships/table" Target="/xl/tables/table7.xml" Id="R2c4fd363e6a1460c" /></Relationships>
</file>

<file path=xl/worksheets/_rels/sheet9.xml.rels>&#65279;<?xml version="1.0" encoding="utf-8"?><Relationships xmlns="http://schemas.openxmlformats.org/package/2006/relationships"><Relationship Type="http://schemas.openxmlformats.org/officeDocument/2006/relationships/table" Target="/xl/tables/table8.xml" Id="Rcd02ccc3b19a451e" /></Relationships>
</file>

<file path=xl/worksheets/_rels/sheet11.xml.rels>&#65279;<?xml version="1.0" encoding="utf-8"?><Relationships xmlns="http://schemas.openxmlformats.org/package/2006/relationships"><Relationship Type="http://schemas.openxmlformats.org/officeDocument/2006/relationships/table" Target="/xl/tables/table9.xml" Id="R5408461225b94132" /></Relationships>
</file>

<file path=xl/worksheets/_rels/sheet13.xml.rels>&#65279;<?xml version="1.0" encoding="utf-8"?><Relationships xmlns="http://schemas.openxmlformats.org/package/2006/relationships"><Relationship Type="http://schemas.openxmlformats.org/officeDocument/2006/relationships/table" Target="/xl/tables/table10.xml" Id="Rd7587ac984b34a85"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RUN-I2-004-20260824T084130668148Z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COUNTA('API_CALLS'!$A$5:$A$8)</x:f>
        <x:v>4</x:v>
      </x:c>
      <x:c r="C9" s="21"/>
      <x:c r="D9" s="21"/>
    </x:row>
    <x:row r="10">
      <x:c r="A10" s="27" t="str">
        <x:v>Mean API/LLM elapsed ms</x:v>
      </x:c>
      <x:c r="B10" s="28" t="n">
        <x:f>IFERROR(AVERAGE('API_CALLS'!$K$5:$K$8),0)</x:f>
        <x:v>20762.577</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RUN-I2-004-20260824T084130668148Z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6b338e8621094ec5"/>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RUN-I2-004-20260824T084130668148Z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GENERATION_ACCEPTED</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07066a1d284546ec"/>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RUN-I2-004-20260824T084130668148Z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SESSION-BATCH-20260824T084007661319Z</x:v>
      </x:c>
      <x:c r="B5" s="69" t="str">
        <x:v>RUN-I2-004-20260824T084130668148Z</x:v>
      </x:c>
      <x:c r="C5" s="69" t="str">
        <x:v>I2-004</x:v>
      </x:c>
      <x:c r="D5" s="70" t="n">
        <x:v>46258.36216052083</x:v>
      </x:c>
      <x:c r="E5" s="70" t="n">
        <x:v>46258.36264290509</x:v>
      </x:c>
      <x:c r="F5" s="69" t="str">
        <x:v>development-r13-luna-full268-max4-01</x:v>
      </x:c>
      <x:c r="G5" s="69" t="str">
        <x:v>VOCAB-LOCK-2026-08-22-R13</x:v>
      </x:c>
      <x:c r="H5" s="71" t="n">
        <x:v>1</x:v>
      </x:c>
      <x:c r="I5" s="69" t="str">
        <x:v>GENERATION_ACCEPTED</x:v>
      </x:c>
      <x:c r="J5" s="72" t="b">
        <x:v>1</x:v>
      </x:c>
      <x:c r="K5" s="69" t="str">
        <x:v>final/final_shape.ttl</x:v>
      </x:c>
      <x:c r="L5" s="73" t="str">
        <x:v>The candidate is semantically faithful: it targets the ship, encodes UIWL and DUI with the canonical owners, requires the declared case relationship and displacement operands in metric kilotonnes, and checks that DUI matches the greatest declared case displacement using a tolerance scaled from the expected case value. Deterministic validation is valid and no canonical vocabulary repair is required.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c1d0046c3f33433b"/>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RUN-I2-004-20260824T084130668148Z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RUN-I2-004-20260824T084130668148Z</x:v>
      </x:c>
      <x:c r="B5" s="69" t="str">
        <x:v>I2-004</x:v>
      </x:c>
      <x:c r="C5" s="71" t="n">
        <x:v>1</x:v>
      </x:c>
      <x:c r="D5" s="72" t="b">
        <x:v>1</x:v>
      </x:c>
      <x:c r="E5" s="72" t="b">
        <x:v>1</x:v>
      </x:c>
      <x:c r="F5" s="72" t="b">
        <x:v>0</x:v>
      </x:c>
      <x:c r="G5" s="69" t="str">
        <x:v>ACCEPT</x:v>
      </x:c>
      <x:c r="H5" s="73" t="str">
        <x:v>The candidate is semantically faithful: it targets the ship, encodes UIWL and DUI with the canonical owners, requires the declared case relationship and displacement operands in metric kilotonnes, and checks that DUI matches the greatest declared case displacement using a tolerance scaled from the expected case value. Deterministic validation is valid and no canonical vocabulary repair is required.</x:v>
      </x:c>
      <x:c r="I5" s="75" t="n">
        <x:v>23097.567</x:v>
      </x:c>
      <x:c r="J5" s="75" t="n">
        <x:v>18429.226</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3a0cd8b4ff444349"/>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RUN-I2-004-20260824T084130668148Z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EVT-000018</x:v>
      </x:c>
      <x:c r="B5" s="45" t="str">
        <x:v>RUN-I2-004-20260824T084130668148Z</x:v>
      </x:c>
      <x:c r="C5" s="45" t="str">
        <x:v>I2-004</x:v>
      </x:c>
      <x:c r="D5" s="88" t="n">
        <x:v>46258.36242787037</x:v>
      </x:c>
      <x:c r="E5" s="45" t="str">
        <x:v>generator</x:v>
      </x:c>
      <x:c r="F5" s="45" t="str">
        <x:v>gpt-5.6-luna-2026-07-09</x:v>
      </x:c>
      <x:c r="G5" s="45" t="n">
        <x:v>1</x:v>
      </x:c>
      <x:c r="H5" s="45" t="n">
        <x:v>200</x:v>
      </x:c>
      <x:c r="I5" s="45" t="str">
        <x:v>Ocp-Apim-Subscription-Key</x:v>
      </x:c>
      <x:c r="J5" s="89" t="n">
        <x:v>0</x:v>
      </x:c>
      <x:c r="K5" s="89" t="n">
        <x:v>23096.006</x:v>
      </x:c>
      <x:c r="L5" s="90" t="b">
        <x:v>0</x:v>
      </x:c>
      <x:c r="M5" s="45" t="str"/>
      <x:c r="N5" s="58" t="str"/>
      <x:c r="O5" s="58" t="str"/>
      <x:c r="P5" s="58" t="str"/>
    </x:row>
    <x:row r="6">
      <x:c r="A6" s="47" t="str">
        <x:v>EVT-000019</x:v>
      </x:c>
      <x:c r="B6" s="47" t="str">
        <x:v>RUN-I2-004-20260824T084130668148Z</x:v>
      </x:c>
      <x:c r="C6" s="47" t="str">
        <x:v>I2-004</x:v>
      </x:c>
      <x:c r="D6" s="91" t="n">
        <x:v>46258.36242789352</x:v>
      </x:c>
      <x:c r="E6" s="47" t="str">
        <x:v>generator</x:v>
      </x:c>
      <x:c r="F6" s="47" t="str">
        <x:v>gpt-5.6-luna-2026-07-09</x:v>
      </x:c>
      <x:c r="G6" s="47" t="n">
        <x:v>1</x:v>
      </x:c>
      <x:c r="H6" s="47" t="str">
        <x:v>COMPLETED</x:v>
      </x:c>
      <x:c r="I6" s="47" t="str"/>
      <x:c r="J6" s="92" t="n">
        <x:v>0</x:v>
      </x:c>
      <x:c r="K6" s="92" t="n">
        <x:v>23097.567</x:v>
      </x:c>
      <x:c r="L6" s="93" t="b">
        <x:v>0</x:v>
      </x:c>
      <x:c r="M6" s="47" t="str">
        <x:v>resp_0021835545c1e0b5006a8c03badbe081908eee051685b83f9a</x:v>
      </x:c>
      <x:c r="N6" s="59" t="n">
        <x:v>7204</x:v>
      </x:c>
      <x:c r="O6" s="59" t="n">
        <x:v>1931</x:v>
      </x:c>
      <x:c r="P6" s="59" t="n">
        <x:v>9135</x:v>
      </x:c>
    </x:row>
    <x:row r="7">
      <x:c r="A7" s="47" t="str">
        <x:v>EVT-000026</x:v>
      </x:c>
      <x:c r="B7" s="47" t="str">
        <x:v>RUN-I2-004-20260824T084130668148Z</x:v>
      </x:c>
      <x:c r="C7" s="47" t="str">
        <x:v>I2-004</x:v>
      </x:c>
      <x:c r="D7" s="91" t="n">
        <x:v>46258.362642824075</x:v>
      </x:c>
      <x:c r="E7" s="47" t="str">
        <x:v>validator</x:v>
      </x:c>
      <x:c r="F7" s="47" t="str">
        <x:v>gpt-5.6-luna-2026-07-09</x:v>
      </x:c>
      <x:c r="G7" s="47" t="n">
        <x:v>1</x:v>
      </x:c>
      <x:c r="H7" s="47" t="n">
        <x:v>200</x:v>
      </x:c>
      <x:c r="I7" s="47" t="str">
        <x:v>Ocp-Apim-Subscription-Key</x:v>
      </x:c>
      <x:c r="J7" s="92" t="n">
        <x:v>0</x:v>
      </x:c>
      <x:c r="K7" s="92" t="n">
        <x:v>18427.509</x:v>
      </x:c>
      <x:c r="L7" s="93" t="b">
        <x:v>0</x:v>
      </x:c>
      <x:c r="M7" s="47" t="str"/>
      <x:c r="N7" s="59" t="str"/>
      <x:c r="O7" s="59" t="str"/>
      <x:c r="P7" s="59" t="str"/>
    </x:row>
    <x:row r="8">
      <x:c r="A8" s="49" t="str">
        <x:v>EVT-000027</x:v>
      </x:c>
      <x:c r="B8" s="49" t="str">
        <x:v>RUN-I2-004-20260824T084130668148Z</x:v>
      </x:c>
      <x:c r="C8" s="49" t="str">
        <x:v>I2-004</x:v>
      </x:c>
      <x:c r="D8" s="94" t="n">
        <x:v>46258.36264284722</x:v>
      </x:c>
      <x:c r="E8" s="49" t="str">
        <x:v>validator</x:v>
      </x:c>
      <x:c r="F8" s="49" t="str">
        <x:v>gpt-5.6-luna-2026-07-09</x:v>
      </x:c>
      <x:c r="G8" s="49" t="n">
        <x:v>1</x:v>
      </x:c>
      <x:c r="H8" s="49" t="str">
        <x:v>COMPLETED</x:v>
      </x:c>
      <x:c r="I8" s="49" t="str"/>
      <x:c r="J8" s="95" t="n">
        <x:v>0</x:v>
      </x:c>
      <x:c r="K8" s="95" t="n">
        <x:v>18429.226</x:v>
      </x:c>
      <x:c r="L8" s="96" t="b">
        <x:v>0</x:v>
      </x:c>
      <x:c r="M8" s="49" t="str">
        <x:v>resp_064b89f44080198c006a8c03d202d88190b3494ec4adcb7e96</x:v>
      </x:c>
      <x:c r="N8" s="60" t="n">
        <x:v>6712</x:v>
      </x:c>
      <x:c r="O8" s="60" t="n">
        <x:v>1126</x:v>
      </x:c>
      <x:c r="P8" s="60" t="n">
        <x:v>7838</x:v>
      </x:c>
    </x:row>
  </x:sheetData>
  <x:conditionalFormatting sqref="H5:H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f7c140f0f24942b3"/>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2"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RUN-I2-004-20260824T084130668148Z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RUN-I2-004-20260824T084130668148Z</x:v>
      </x:c>
      <x:c r="B5" s="45" t="str">
        <x:v>I2-004</x:v>
      </x:c>
      <x:c r="C5" s="45" t="str">
        <x:v>benchmarkEntity</x:v>
      </x:c>
      <x:c r="D5" s="46" t="str">
        <x:v>https://w3id.org/nltl/vocab#benchmarkEntity</x:v>
      </x:c>
      <x:c r="E5" s="45" t="str">
        <x:v>Class</x:v>
      </x:c>
      <x:c r="F5" s="45" t="str"/>
      <x:c r="G5" s="45" t="str"/>
      <x:c r="H5" s="45" t="str"/>
      <x:c r="I5" s="46" t="str">
        <x:v>baseline target infrastructure</x:v>
      </x:c>
      <x:c r="J5" s="45" t="n">
        <x:v>0</x:v>
      </x:c>
    </x:row>
    <x:row r="6">
      <x:c r="A6" s="47" t="str">
        <x:v>RUN-I2-004-20260824T084130668148Z</x:v>
      </x:c>
      <x:c r="B6" s="47" t="str">
        <x:v>I2-004</x:v>
      </x:c>
      <x:c r="C6" s="47" t="str">
        <x:v>designCondition</x:v>
      </x:c>
      <x:c r="D6" s="48" t="str">
        <x:v>https://w3id.org/nltl/vocab#designCondition</x:v>
      </x:c>
      <x:c r="E6" s="47" t="str">
        <x:v>Class</x:v>
      </x:c>
      <x:c r="F6" s="47" t="str"/>
      <x:c r="G6" s="47" t="str">
        <x:v>https://w3id.org/nltl/vocab#benchmarkEntity</x:v>
      </x:c>
      <x:c r="H6" s="47" t="str"/>
      <x:c r="I6" s="48" t="str">
        <x:v>range dependency of upperIceWaterlineCase</x:v>
      </x:c>
      <x:c r="J6" s="47" t="n">
        <x:v>0</x:v>
      </x:c>
    </x:row>
    <x:row r="7">
      <x:c r="A7" s="47" t="str">
        <x:v>RUN-I2-004-20260824T084130668148Z</x:v>
      </x:c>
      <x:c r="B7" s="47" t="str">
        <x:v>I2-004</x:v>
      </x:c>
      <x:c r="C7" s="47" t="str">
        <x:v>hasComponent</x:v>
      </x:c>
      <x:c r="D7" s="48" t="str">
        <x:v>https://w3id.org/nltl/vocab#hasComponent</x:v>
      </x:c>
      <x:c r="E7" s="47" t="str">
        <x:v>ObjectProperty</x:v>
      </x:c>
      <x:c r="F7" s="47" t="str"/>
      <x:c r="G7" s="47" t="str">
        <x:v>https://w3id.org/nltl/vocab#shipComponent</x:v>
      </x:c>
      <x:c r="H7" s="47" t="str"/>
      <x:c r="I7" s="48" t="str">
        <x:v>component-path dependency inferred from the linked term module</x:v>
      </x:c>
      <x:c r="J7" s="47" t="n">
        <x:v>0</x:v>
      </x:c>
    </x:row>
    <x:row r="8">
      <x:c r="A8" s="47" t="str">
        <x:v>RUN-I2-004-20260824T084130668148Z</x:v>
      </x:c>
      <x:c r="B8" s="47" t="str">
        <x:v>I2-004</x:v>
      </x:c>
      <x:c r="C8" s="47" t="str">
        <x:v>hasUpperIceWaterlineCase</x:v>
      </x:c>
      <x:c r="D8" s="48" t="str">
        <x:v>https://w3id.org/nltl/vocab#hasUpperIceWaterlineCase</x:v>
      </x:c>
      <x:c r="E8" s="47" t="str">
        <x:v>ObjectProperty</x:v>
      </x:c>
      <x:c r="F8" s="47" t="str"/>
      <x:c r="G8" s="47" t="str">
        <x:v>https://w3id.org/nltl/vocab#upperIceWaterlineCase</x:v>
      </x:c>
      <x:c r="H8" s="47" t="str"/>
      <x:c r="I8" s="48" t="str">
        <x:v>canonical path from target owner ship to required owner upperIceWaterlineCase; linked by the locked 313-requirement index</x:v>
      </x:c>
      <x:c r="J8" s="47" t="n">
        <x:v>0</x:v>
      </x:c>
    </x:row>
    <x:row r="9">
      <x:c r="A9" s="47" t="str">
        <x:v>RUN-I2-004-20260824T084130668148Z</x:v>
      </x:c>
      <x:c r="B9" s="47" t="str">
        <x:v>I2-004</x:v>
      </x:c>
      <x:c r="C9" s="47" t="str">
        <x:v>ship</x:v>
      </x:c>
      <x:c r="D9" s="48" t="str">
        <x:v>https://w3id.org/nltl/vocab#ship</x:v>
      </x:c>
      <x:c r="E9" s="47" t="str">
        <x:v>Class</x:v>
      </x:c>
      <x:c r="F9" s="47" t="str"/>
      <x:c r="G9" s="47" t="str"/>
      <x:c r="H9" s="47" t="str"/>
      <x:c r="I9" s="48" t="str">
        <x:v>authoritative required owner class; authoritative requirement target owner; baseline target infrastructure; domain dependency of hasUpperIceWaterlineCase; domain dependency of upperIceWaterlineDisplacement</x:v>
      </x:c>
      <x:c r="J9" s="47" t="n">
        <x:v>0</x:v>
      </x:c>
    </x:row>
    <x:row r="10">
      <x:c r="A10" s="47" t="str">
        <x:v>RUN-I2-004-20260824T084130668148Z</x:v>
      </x:c>
      <x:c r="B10" s="47" t="str">
        <x:v>I2-004</x:v>
      </x:c>
      <x:c r="C10" s="47" t="str">
        <x:v>shipComponent</x:v>
      </x:c>
      <x:c r="D10" s="48" t="str">
        <x:v>https://w3id.org/nltl/vocab#shipComponent</x:v>
      </x:c>
      <x:c r="E10" s="47" t="str">
        <x:v>Class</x:v>
      </x:c>
      <x:c r="F10" s="47" t="str"/>
      <x:c r="G10" s="47" t="str"/>
      <x:c r="H10" s="47" t="str"/>
      <x:c r="I10" s="48" t="str">
        <x:v>component-path dependency inferred from the linked term module</x:v>
      </x:c>
      <x:c r="J10" s="47" t="n">
        <x:v>0</x:v>
      </x:c>
    </x:row>
    <x:row r="11">
      <x:c r="A11" s="47" t="str">
        <x:v>RUN-I2-004-20260824T084130668148Z</x:v>
      </x:c>
      <x:c r="B11" s="47" t="str">
        <x:v>I2-004</x:v>
      </x:c>
      <x:c r="C11" s="47" t="str">
        <x:v>upperIceWaterline</x:v>
      </x:c>
      <x:c r="D11" s="48" t="str">
        <x:v>https://w3id.org/nltl/vocab#upperIceWaterline</x:v>
      </x:c>
      <x:c r="E11" s="47" t="str">
        <x:v>DatatypeProperty</x:v>
      </x:c>
      <x:c r="F11" s="47" t="str">
        <x:v>xsd:string</x:v>
      </x:c>
      <x:c r="G11" s="47" t="str">
        <x:v>http://www.w3.org/2001/XMLSchema#string</x:v>
      </x:c>
      <x:c r="H11" s="47" t="str"/>
      <x:c r="I11" s="48" t="str">
        <x:v>linked by the locked 313-requirement index</x:v>
      </x:c>
      <x:c r="J11" s="47" t="n">
        <x:v>0</x:v>
      </x:c>
    </x:row>
    <x:row r="12">
      <x:c r="A12" s="47" t="str">
        <x:v>RUN-I2-004-20260824T084130668148Z</x:v>
      </x:c>
      <x:c r="B12" s="47" t="str">
        <x:v>I2-004</x:v>
      </x:c>
      <x:c r="C12" s="47" t="str">
        <x:v>upperIceWaterlineCase</x:v>
      </x:c>
      <x:c r="D12" s="48" t="str">
        <x:v>https://w3id.org/nltl/vocab#upperIceWaterlineCase</x:v>
      </x:c>
      <x:c r="E12" s="47" t="str">
        <x:v>Class</x:v>
      </x:c>
      <x:c r="F12" s="47" t="str"/>
      <x:c r="G12" s="47" t="str">
        <x:v>https://w3id.org/nltl/vocab#designCondition</x:v>
      </x:c>
      <x:c r="H12" s="47" t="str"/>
      <x:c r="I12" s="48" t="str">
        <x:v>authoritative required owner class; domain dependency of waterlineCaseDisplacement; linked by the locked 313-requirement index; range dependency of hasUpperIceWaterlineCase</x:v>
      </x:c>
      <x:c r="J12" s="47" t="n">
        <x:v>0</x:v>
      </x:c>
    </x:row>
    <x:row r="13">
      <x:c r="A13" s="47" t="str">
        <x:v>RUN-I2-004-20260824T084130668148Z</x:v>
      </x:c>
      <x:c r="B13" s="47" t="str">
        <x:v>I2-004</x:v>
      </x:c>
      <x:c r="C13" s="47" t="str">
        <x:v>upperIceWaterlineDisplacement</x:v>
      </x:c>
      <x:c r="D13" s="48" t="str">
        <x:v>https://w3id.org/nltl/vocab#upperIceWaterlineDisplacement</x:v>
      </x:c>
      <x:c r="E13" s="47" t="str">
        <x:v>QuantityProperty</x:v>
      </x:c>
      <x:c r="F13" s="47" t="str"/>
      <x:c r="G13" s="47" t="str">
        <x:v>http://qudt.org/schema/qudt/QuantityValue</x:v>
      </x:c>
      <x:c r="H13" s="47" t="str">
        <x:v>http://qudt.org/vocab/unit/KiloTON_Metric</x:v>
      </x:c>
      <x:c r="I13" s="48" t="str">
        <x:v>linked by the locked 313-requirement index</x:v>
      </x:c>
      <x:c r="J13" s="47" t="n">
        <x:v>0</x:v>
      </x:c>
    </x:row>
    <x:row r="14">
      <x:c r="A14" s="49" t="str">
        <x:v>RUN-I2-004-20260824T084130668148Z</x:v>
      </x:c>
      <x:c r="B14" s="49" t="str">
        <x:v>I2-004</x:v>
      </x:c>
      <x:c r="C14" s="49" t="str">
        <x:v>waterlineCaseDisplacement</x:v>
      </x:c>
      <x:c r="D14" s="50" t="str">
        <x:v>https://w3id.org/nltl/vocab#waterlineCaseDisplacement</x:v>
      </x:c>
      <x:c r="E14" s="49" t="str">
        <x:v>QuantityProperty</x:v>
      </x:c>
      <x:c r="F14" s="49" t="str"/>
      <x:c r="G14" s="49" t="str">
        <x:v>http://qudt.org/schema/qudt/QuantityValue</x:v>
      </x:c>
      <x:c r="H14" s="49" t="str">
        <x:v>http://qudt.org/vocab/unit/KiloTON_Metric</x:v>
      </x:c>
      <x:c r="I14" s="50" t="str">
        <x:v>linked by the locked 313-requirement index</x:v>
      </x:c>
      <x:c r="J14" s="49" t="n">
        <x:v>0</x:v>
      </x:c>
    </x:row>
  </x:sheetData>
  <x:pageMargins left="0.7" right="0.7" top="0.75" bottom="0.75" header="0.3" footer="0.3"/>
  <x:tableParts count="1">
    <x:tablePart xmlns:r="http://schemas.openxmlformats.org/officeDocument/2006/relationships" r:id="Rd54736785ae445fc"/>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17"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RUN-I2-004-20260824T084130668148Z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RUN-I2-004-20260824T084130668148Z</x:v>
      </x:c>
      <x:c r="B5" s="45" t="str">
        <x:v>I2-004</x:v>
      </x:c>
      <x:c r="C5" s="45" t="str">
        <x:v>FS-QTY-01</x:v>
      </x:c>
      <x:c r="D5" s="45" t="str">
        <x:v>qudt_quantity</x:v>
      </x:c>
      <x:c r="E5" s="99" t="n">
        <x:v>0.054054</x:v>
      </x:c>
      <x:c r="F5" s="45" t="str">
        <x:v>quantity | qudt</x:v>
      </x:c>
      <x:c r="G5" s="45" t="str">
        <x:v>synthetic-few-shot-not-benchmark-ground-truth</x:v>
      </x:c>
    </x:row>
    <x:row r="6">
      <x:c r="A6" s="49" t="str">
        <x:v>RUN-I2-004-20260824T084130668148Z</x:v>
      </x:c>
      <x:c r="B6" s="49" t="str">
        <x:v>I2-004</x:v>
      </x:c>
      <x:c r="C6" s="49" t="str">
        <x:v>FS-QTY-02</x:v>
      </x:c>
      <x:c r="D6" s="49" t="str">
        <x:v>qudt_quantity</x:v>
      </x:c>
      <x:c r="E6" s="100" t="n">
        <x:v>0.054054</x:v>
      </x:c>
      <x:c r="F6" s="49" t="str">
        <x:v>quantity | qudt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2c4fd363e6a1460c"/>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RUN-I2-004-20260824T084130668148Z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RUN-I2-004-20260824T084130668148Z</x:v>
      </x:c>
      <x:c r="B5" s="69" t="str">
        <x:v>I2-004</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https://w3id.org/nltl/vocab#hasUpperIceWaterlineCase | https://w3id.org/nltl/vocab#ship | https://w3id.org/nltl/vocab#upperIceWaterline | https://w3id.org/nltl/vocab#upperIceWaterlineCase | https://w3id.org/nltl/vocab#upperIceWaterlineDisplacement | https://w3id.org/nltl/vocab#waterlineCaseDisplacement</x:v>
      </x:c>
      <x:c r="O5" s="73" t="str"/>
      <x:c r="P5" s="73" t="str"/>
      <x:c r="Q5" s="73" t="str"/>
    </x:row>
  </x:sheetData>
  <x:pageMargins left="0.7" right="0.7" top="0.75" bottom="0.75" header="0.3" footer="0.3"/>
  <x:tableParts count="1">
    <x:tablePart xmlns:r="http://schemas.openxmlformats.org/officeDocument/2006/relationships" r:id="Rcd02ccc3b19a451e"/>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RUN-I2-004-20260824T084130668148Z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RUN-I2-004-20260824T084130668148Z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RUN-I2-004-20260824T084130668148Z</x:v>
      </x:c>
      <x:c r="B5" s="45" t="str">
        <x:v>I2-004</x:v>
      </x:c>
      <x:c r="C5" s="58"/>
      <x:c r="D5" s="45" t="str">
        <x:v>initial_context_pack</x:v>
      </x:c>
      <x:c r="E5" s="46" t="str">
        <x:v>artifacts/context_pack_initial.json</x:v>
      </x:c>
      <x:c r="F5" s="45" t="str">
        <x:v>3bf7ded2b5163f7adb508f03c16fd0df4b5f465e76d3ab877d823f57c738cb25</x:v>
      </x:c>
      <x:c r="G5" s="58" t="n">
        <x:v>14506</x:v>
      </x:c>
    </x:row>
    <x:row r="6">
      <x:c r="A6" s="47" t="str">
        <x:v>RUN-I2-004-20260824T084130668148Z</x:v>
      </x:c>
      <x:c r="B6" s="47" t="str">
        <x:v>I2-004</x:v>
      </x:c>
      <x:c r="C6" s="59"/>
      <x:c r="D6" s="47" t="str">
        <x:v>few_shot_selection</x:v>
      </x:c>
      <x:c r="E6" s="48" t="str">
        <x:v>artifacts/few_shots_selected.json</x:v>
      </x:c>
      <x:c r="F6" s="47" t="str">
        <x:v>1685ec8ed899eadcff3d1ee95972e6f2b33a7223d819ad0e780df97fd223166d</x:v>
      </x:c>
      <x:c r="G6" s="59" t="n">
        <x:v>4294</x:v>
      </x:c>
    </x:row>
    <x:row r="7">
      <x:c r="A7" s="47" t="str">
        <x:v>RUN-I2-004-20260824T084130668148Z</x:v>
      </x:c>
      <x:c r="B7" s="47" t="str">
        <x:v>I2-004</x:v>
      </x:c>
      <x:c r="C7" s="59" t="n">
        <x:v>1</x:v>
      </x:c>
      <x:c r="D7" s="47" t="str">
        <x:v>generator_prompt</x:v>
      </x:c>
      <x:c r="E7" s="48" t="str">
        <x:v>artifacts/attempt_01/generator_prompt.txt</x:v>
      </x:c>
      <x:c r="F7" s="47" t="str">
        <x:v>a9e890d8cf7a6824f5f48a702dab0a4fbc590f4ab39873ccf389d7643cb6a823</x:v>
      </x:c>
      <x:c r="G7" s="59" t="n">
        <x:v>30314</x:v>
      </x:c>
    </x:row>
    <x:row r="8">
      <x:c r="A8" s="47" t="str">
        <x:v>RUN-I2-004-20260824T084130668148Z</x:v>
      </x:c>
      <x:c r="B8" s="47" t="str">
        <x:v>I2-004</x:v>
      </x:c>
      <x:c r="C8" s="59" t="n">
        <x:v>1</x:v>
      </x:c>
      <x:c r="D8" s="47" t="str">
        <x:v>generator_raw_response</x:v>
      </x:c>
      <x:c r="E8" s="48" t="str">
        <x:v>artifacts/attempt_01/generator_raw.txt</x:v>
      </x:c>
      <x:c r="F8" s="47" t="str">
        <x:v>4a72f61b886c3c314cf50de2dec3125688406120b3ce0a99207d0a4aefc22430</x:v>
      </x:c>
      <x:c r="G8" s="59" t="n">
        <x:v>3691</x:v>
      </x:c>
    </x:row>
    <x:row r="9">
      <x:c r="A9" s="47" t="str">
        <x:v>RUN-I2-004-20260824T084130668148Z</x:v>
      </x:c>
      <x:c r="B9" s="47" t="str">
        <x:v>I2-004</x:v>
      </x:c>
      <x:c r="C9" s="59" t="n">
        <x:v>1</x:v>
      </x:c>
      <x:c r="D9" s="47" t="str">
        <x:v>candidate_shape</x:v>
      </x:c>
      <x:c r="E9" s="48" t="str">
        <x:v>artifacts/attempt_01/candidate_shape.ttl</x:v>
      </x:c>
      <x:c r="F9" s="47" t="str">
        <x:v>8977485b943b39732188e6917ab9f1df908ec59fa96a473341c7917d8cde4052</x:v>
      </x:c>
      <x:c r="G9" s="59" t="n">
        <x:v>3666</x:v>
      </x:c>
    </x:row>
    <x:row r="10">
      <x:c r="A10" s="47" t="str">
        <x:v>RUN-I2-004-20260824T084130668148Z</x:v>
      </x:c>
      <x:c r="B10" s="47" t="str">
        <x:v>I2-004</x:v>
      </x:c>
      <x:c r="C10" s="59" t="n">
        <x:v>1</x:v>
      </x:c>
      <x:c r="D10" s="47" t="str">
        <x:v>deterministic_validation</x:v>
      </x:c>
      <x:c r="E10" s="48" t="str">
        <x:v>artifacts/attempt_01/deterministic_validation.json</x:v>
      </x:c>
      <x:c r="F10" s="47" t="str">
        <x:v>d7857704cb34f2ceda8089f121c8c98e738878d1f23448541ac4503d74c525a2</x:v>
      </x:c>
      <x:c r="G10" s="59" t="n">
        <x:v>725</x:v>
      </x:c>
    </x:row>
    <x:row r="11">
      <x:c r="A11" s="47" t="str">
        <x:v>RUN-I2-004-20260824T084130668148Z</x:v>
      </x:c>
      <x:c r="B11" s="47" t="str">
        <x:v>I2-004</x:v>
      </x:c>
      <x:c r="C11" s="59" t="n">
        <x:v>1</x:v>
      </x:c>
      <x:c r="D11" s="47" t="str">
        <x:v>validator_prompt</x:v>
      </x:c>
      <x:c r="E11" s="48" t="str">
        <x:v>artifacts/attempt_01/validator_prompt_01.txt</x:v>
      </x:c>
      <x:c r="F11" s="47" t="str">
        <x:v>7e165a2fc29f8074da84755c439bfd0b589da88340a03470a01e4d8c93e32d39</x:v>
      </x:c>
      <x:c r="G11" s="59" t="n">
        <x:v>27631</x:v>
      </x:c>
    </x:row>
    <x:row r="12">
      <x:c r="A12" s="47" t="str">
        <x:v>RUN-I2-004-20260824T084130668148Z</x:v>
      </x:c>
      <x:c r="B12" s="47" t="str">
        <x:v>I2-004</x:v>
      </x:c>
      <x:c r="C12" s="59" t="n">
        <x:v>1</x:v>
      </x:c>
      <x:c r="D12" s="47" t="str">
        <x:v>validator_raw_response</x:v>
      </x:c>
      <x:c r="E12" s="48" t="str">
        <x:v>artifacts/attempt_01/validator_raw_01.txt</x:v>
      </x:c>
      <x:c r="F12" s="47" t="str">
        <x:v>b35f8c7ab798be9415b9715f4794d8805d5829ce5db8e86f5b30af394b58eae7</x:v>
      </x:c>
      <x:c r="G12" s="59" t="n">
        <x:v>464</x:v>
      </x:c>
    </x:row>
    <x:row r="13">
      <x:c r="A13" s="49" t="str">
        <x:v>RUN-I2-004-20260824T084130668148Z</x:v>
      </x:c>
      <x:c r="B13" s="49" t="str">
        <x:v>I2-004</x:v>
      </x:c>
      <x:c r="C13" s="60" t="n">
        <x:v>1</x:v>
      </x:c>
      <x:c r="D13" s="49" t="str">
        <x:v>final_accepted_shape</x:v>
      </x:c>
      <x:c r="E13" s="50" t="str">
        <x:v>final/final_shape.ttl</x:v>
      </x:c>
      <x:c r="F13" s="49" t="str">
        <x:v>8977485b943b39732188e6917ab9f1df908ec59fa96a473341c7917d8cde4052</x:v>
      </x:c>
      <x:c r="G13" s="60" t="n">
        <x:v>3666</x:v>
      </x:c>
    </x:row>
  </x:sheetData>
  <x:pageMargins left="0.7" right="0.7" top="0.75" bottom="0.75" header="0.3" footer="0.3"/>
  <x:tableParts count="1">
    <x:tablePart xmlns:r="http://schemas.openxmlformats.org/officeDocument/2006/relationships" r:id="R5408461225b94132"/>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RUN-I2-004-20260824T084130668148Z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RUN-I2-004-20260824T084130668148Z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RUN-I2-004-20260824T084130668148Z</x:v>
      </x:c>
      <x:c r="B5" s="69" t="str">
        <x:v>I2-004</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d7587ac984b34a85"/>
  </x:tableParts>
</x:worksheet>
</file>