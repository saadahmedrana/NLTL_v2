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83e4cac6f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29ff45eba04488"/>
    <x:sheet xmlns:r="http://schemas.openxmlformats.org/officeDocument/2006/relationships" name="README" sheetId="2" r:id="Rc29e9b409efa4f2b"/>
    <x:sheet xmlns:r="http://schemas.openxmlformats.org/officeDocument/2006/relationships" name="REGULATION_QUEUE" sheetId="3" r:id="R2323363b8e654a7b"/>
    <x:sheet xmlns:r="http://schemas.openxmlformats.org/officeDocument/2006/relationships" name="RUNS" sheetId="4" r:id="Ra8462328858648b1"/>
    <x:sheet xmlns:r="http://schemas.openxmlformats.org/officeDocument/2006/relationships" name="ITERATIONS" sheetId="5" r:id="R3b720ac5ea60497b"/>
    <x:sheet xmlns:r="http://schemas.openxmlformats.org/officeDocument/2006/relationships" name="API_CALLS" sheetId="6" r:id="Rddd038ade27f4556"/>
    <x:sheet xmlns:r="http://schemas.openxmlformats.org/officeDocument/2006/relationships" name="TERM_RETRIEVAL" sheetId="7" r:id="Rd53cdae41a8c416a"/>
    <x:sheet xmlns:r="http://schemas.openxmlformats.org/officeDocument/2006/relationships" name="FEW_SHOT_SELECTION" sheetId="8" r:id="R78833753cc704eda"/>
    <x:sheet xmlns:r="http://schemas.openxmlformats.org/officeDocument/2006/relationships" name="VALIDATION" sheetId="9" r:id="R879c849385c34396"/>
    <x:sheet xmlns:r="http://schemas.openxmlformats.org/officeDocument/2006/relationships" name="VOCAB_MATCHES" sheetId="10" r:id="Rfc673492f03f4347"/>
    <x:sheet xmlns:r="http://schemas.openxmlformats.org/officeDocument/2006/relationships" name="ARTIFACTS" sheetId="11" r:id="R9e869d9914514fe1"/>
    <x:sheet xmlns:r="http://schemas.openxmlformats.org/officeDocument/2006/relationships" name="UNRESOLVED" sheetId="12" r:id="Re571c75c768b4644"/>
    <x:sheet xmlns:r="http://schemas.openxmlformats.org/officeDocument/2006/relationships" name="RDF_TEST_QUEUE" sheetId="13" r:id="R88d49208c133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cf5ca7b7d4bfe" /><Relationship Type="http://schemas.openxmlformats.org/officeDocument/2006/relationships/theme" Target="/xl/theme/theme1.xml" Id="R293a5f4828bd422c" /><Relationship Type="http://schemas.microsoft.com/office/2022/11/relationships/FeaturePropertyBag" Target="/xl/featurePropertyBag/featurePropertyBag.xml" Id="R6f363f938de64203" /><Relationship Type="http://schemas.openxmlformats.org/officeDocument/2006/relationships/sharedStrings" Target="/xl/sharedStrings.xml" Id="R0e240d2f0b1e4ed1" /><Relationship Type="http://schemas.openxmlformats.org/officeDocument/2006/relationships/worksheet" Target="/xl/worksheets/sheet1.xml" Id="Rde29ff45eba04488" /><Relationship Type="http://schemas.openxmlformats.org/officeDocument/2006/relationships/worksheet" Target="/xl/worksheets/sheet2.xml" Id="Rc29e9b409efa4f2b" /><Relationship Type="http://schemas.openxmlformats.org/officeDocument/2006/relationships/worksheet" Target="/xl/worksheets/sheet3.xml" Id="R2323363b8e654a7b" /><Relationship Type="http://schemas.openxmlformats.org/officeDocument/2006/relationships/worksheet" Target="/xl/worksheets/sheet4.xml" Id="Ra8462328858648b1" /><Relationship Type="http://schemas.openxmlformats.org/officeDocument/2006/relationships/worksheet" Target="/xl/worksheets/sheet5.xml" Id="R3b720ac5ea60497b" /><Relationship Type="http://schemas.openxmlformats.org/officeDocument/2006/relationships/worksheet" Target="/xl/worksheets/sheet6.xml" Id="Rddd038ade27f4556" /><Relationship Type="http://schemas.openxmlformats.org/officeDocument/2006/relationships/worksheet" Target="/xl/worksheets/sheet7.xml" Id="Rd53cdae41a8c416a" /><Relationship Type="http://schemas.openxmlformats.org/officeDocument/2006/relationships/worksheet" Target="/xl/worksheets/sheet8.xml" Id="R78833753cc704eda" /><Relationship Type="http://schemas.openxmlformats.org/officeDocument/2006/relationships/worksheet" Target="/xl/worksheets/sheet9.xml" Id="R879c849385c34396" /><Relationship Type="http://schemas.openxmlformats.org/officeDocument/2006/relationships/worksheet" Target="/xl/worksheets/sheet10.xml" Id="Rfc673492f03f4347" /><Relationship Type="http://schemas.openxmlformats.org/officeDocument/2006/relationships/worksheet" Target="/xl/worksheets/sheet11.xml" Id="R9e869d9914514fe1" /><Relationship Type="http://schemas.openxmlformats.org/officeDocument/2006/relationships/worksheet" Target="/xl/worksheets/sheet12.xml" Id="Re571c75c768b4644" /><Relationship Type="http://schemas.openxmlformats.org/officeDocument/2006/relationships/worksheet" Target="/xl/worksheets/sheet13.xml" Id="R88d49208c13342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bc8a6f248a46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31c3b2876e4a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5bb7745c864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409e24136a47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1d69c8911a42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3129d46a6b47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41623c30c848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e80a2922104c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5f20fdc6f14a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5c08c0d606c4b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RUN-IMO-006-20260824T110844177650Z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16841.544899999997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RUN-IMO-006-20260824T110844177650Z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bc8a6f248a46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RUN-IMO-006-20260824T110844177650Z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31c3b2876e4a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RUN-IMO-006-20260824T110844177650Z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RUN-IMO-006-20260824T110844177650Z</x:v>
      </x:c>
      <x:c r="C5" s="69" t="str">
        <x:v>IMO-006</x:v>
      </x:c>
      <x:c r="D5" s="70" t="n">
        <x:v>46258.464400219906</x:v>
      </x:c>
      <x:c r="E5" s="70" t="n">
        <x:v>46258.465377002314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a ship classified as mediumFirstYearIce must have an iceThickness QuantityValue with unit:M and an xsd:decimal numericValue inclusively between 0.7 and 1.2. Applicability, ship ownership, target, comparison direction, thresholds, and readiness boundary are correct;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5bb7745c864d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RUN-IMO-006-20260824T110844177650Z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RUN-IMO-006-20260824T110844177650Z</x:v>
      </x:c>
      <x:c r="B5" s="45" t="str">
        <x:v>IMO-006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implication without overconstraining applicability: remove sh:minCount 1 and the sh:or alternatives that require iceTypeClassification and restrict it to firstYearIce/thinFirstYearIce, since the verified rule only checks thickness when classification is mediumFirstYearIce. Do not place iceThickness on the iceTypeValue node; its authoritative owner is the ship. Retain or replace the bounded DIRECT_STATIC check with a ship-targeted conditional requiring the ship's iceThickness quantity to have unit:M and decimal numericValue inclusively between 0.7 and 1.2 only when the ship has nltl:iceTypeClassification nltl:mediumFirstYearIce. The existing SPARQL can serve this purpose, but the incorrect nested Core branch must be removed.</x:v>
      </x:c>
      <x:c r="I5" s="81" t="n">
        <x:v>31458.901</x:v>
      </x:c>
      <x:c r="J5" s="81" t="n">
        <x:v>12970.882</x:v>
      </x:c>
    </x:row>
    <x:row r="6">
      <x:c r="A6" s="49" t="str">
        <x:v>RUN-IMO-006-20260824T110844177650Z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a ship classified as mediumFirstYearIce must have an iceThickness QuantityValue with unit:M and an xsd:decimal numericValue inclusively between 0.7 and 1.2. Applicability, ship ownership, target, comparison direction, thresholds, and readiness boundary are correct; deterministic validation is valid.</x:v>
      </x:c>
      <x:c r="I6" s="83" t="n">
        <x:v>12794.025</x:v>
      </x:c>
      <x:c r="J6" s="83" t="n">
        <x:v>3435.197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409e24136a47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RUN-IMO-006-20260824T110844177650Z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RUN-IMO-006-20260824T110844177650Z</x:v>
      </x:c>
      <x:c r="C5" s="45" t="str">
        <x:v>IMO-006</x:v>
      </x:c>
      <x:c r="D5" s="90" t="n">
        <x:v>46258.46476434028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31457.355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RUN-IMO-006-20260824T110844177650Z</x:v>
      </x:c>
      <x:c r="C6" s="47" t="str">
        <x:v>IMO-006</x:v>
      </x:c>
      <x:c r="D6" s="91" t="n">
        <x:v>46258.464764351855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31458.901</x:v>
      </x:c>
      <x:c r="L6" s="93" t="b">
        <x:v>0</x:v>
      </x:c>
      <x:c r="M6" s="47" t="str">
        <x:v>resp_0df14da17fcc927d006a8c263c51688193bf488777bffa124b</x:v>
      </x:c>
      <x:c r="N6" s="59" t="n">
        <x:v>6945</x:v>
      </x:c>
      <x:c r="O6" s="59" t="n">
        <x:v>2709</x:v>
      </x:c>
      <x:c r="P6" s="59" t="n">
        <x:v>9654</x:v>
      </x:c>
    </x:row>
    <x:row r="7">
      <x:c r="A7" s="47" t="str">
        <x:v>EVT-000023</x:v>
      </x:c>
      <x:c r="B7" s="47" t="str">
        <x:v>RUN-IMO-006-20260824T110844177650Z</x:v>
      </x:c>
      <x:c r="C7" s="47" t="str">
        <x:v>IMO-006</x:v>
      </x:c>
      <x:c r="D7" s="91" t="n">
        <x:v>46258.46503701389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23550.626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RUN-IMO-006-20260824T110844177650Z</x:v>
      </x:c>
      <x:c r="C8" s="47" t="str">
        <x:v>IMO-006</x:v>
      </x:c>
      <x:c r="D8" s="91" t="n">
        <x:v>46258.46503702546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23552.299</x:v>
      </x:c>
      <x:c r="L8" s="93" t="b">
        <x:v>0</x:v>
      </x:c>
      <x:c r="M8" s="47" t="str">
        <x:v>resp_0b462db74b99ec54006a8c265bd0948195a13dbd1ad723c8cb</x:v>
      </x:c>
      <x:c r="N8" s="59" t="n">
        <x:v>1064</x:v>
      </x:c>
      <x:c r="O8" s="59" t="n">
        <x:v>2227</x:v>
      </x:c>
      <x:c r="P8" s="59" t="n">
        <x:v>3291</x:v>
      </x:c>
    </x:row>
    <x:row r="9">
      <x:c r="A9" s="47" t="str">
        <x:v>EVT-000032</x:v>
      </x:c>
      <x:c r="B9" s="47" t="str">
        <x:v>RUN-IMO-006-20260824T110844177650Z</x:v>
      </x:c>
      <x:c r="C9" s="47" t="str">
        <x:v>IMO-006</x:v>
      </x:c>
      <x:c r="D9" s="91" t="n">
        <x:v>46258.46518854167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12969.119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RUN-IMO-006-20260824T110844177650Z</x:v>
      </x:c>
      <x:c r="C10" s="47" t="str">
        <x:v>IMO-006</x:v>
      </x:c>
      <x:c r="D10" s="91" t="n">
        <x:v>46258.46518856481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12970.882</x:v>
      </x:c>
      <x:c r="L10" s="93" t="b">
        <x:v>0</x:v>
      </x:c>
      <x:c r="M10" s="47" t="str">
        <x:v>resp_04d7cabca46507e6006a8c267374d48194b616010d1239ff12</x:v>
      </x:c>
      <x:c r="N10" s="59" t="n">
        <x:v>6075</x:v>
      </x:c>
      <x:c r="O10" s="59" t="n">
        <x:v>694</x:v>
      </x:c>
      <x:c r="P10" s="59" t="n">
        <x:v>6769</x:v>
      </x:c>
    </x:row>
    <x:row r="11">
      <x:c r="A11" s="47" t="str">
        <x:v>EVT-000038</x:v>
      </x:c>
      <x:c r="B11" s="47" t="str">
        <x:v>RUN-IMO-006-20260824T110844177650Z</x:v>
      </x:c>
      <x:c r="C11" s="47" t="str">
        <x:v>IMO-006</x:v>
      </x:c>
      <x:c r="D11" s="91" t="n">
        <x:v>46258.46533668981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12792.476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RUN-IMO-006-20260824T110844177650Z</x:v>
      </x:c>
      <x:c r="C12" s="47" t="str">
        <x:v>IMO-006</x:v>
      </x:c>
      <x:c r="D12" s="91" t="n">
        <x:v>46258.465336712965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12794.025</x:v>
      </x:c>
      <x:c r="L12" s="93" t="b">
        <x:v>0</x:v>
      </x:c>
      <x:c r="M12" s="47" t="str">
        <x:v>resp_0abcfe704149074b006a8c268085708196bdbc4d1c1b3df8d5</x:v>
      </x:c>
      <x:c r="N12" s="59" t="n">
        <x:v>7102</x:v>
      </x:c>
      <x:c r="O12" s="59" t="n">
        <x:v>894</x:v>
      </x:c>
      <x:c r="P12" s="59" t="n">
        <x:v>7996</x:v>
      </x:c>
    </x:row>
    <x:row r="13">
      <x:c r="A13" s="47" t="str">
        <x:v>EVT-000046</x:v>
      </x:c>
      <x:c r="B13" s="47" t="str">
        <x:v>RUN-IMO-006-20260824T110844177650Z</x:v>
      </x:c>
      <x:c r="C13" s="47" t="str">
        <x:v>IMO-006</x:v>
      </x:c>
      <x:c r="D13" s="91" t="n">
        <x:v>46258.46537697917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3434.569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RUN-IMO-006-20260824T110844177650Z</x:v>
      </x:c>
      <x:c r="C14" s="49" t="str">
        <x:v>IMO-006</x:v>
      </x:c>
      <x:c r="D14" s="94" t="n">
        <x:v>46258.46537697917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3435.197</x:v>
      </x:c>
      <x:c r="L14" s="82" t="b">
        <x:v>0</x:v>
      </x:c>
      <x:c r="M14" s="49" t="str">
        <x:v>resp_050ebdeb0556cbd4006a8c268d4b5c8190938f68439f3d718f</x:v>
      </x:c>
      <x:c r="N14" s="60" t="n">
        <x:v>5692</x:v>
      </x:c>
      <x:c r="O14" s="60" t="n">
        <x:v>224</x:v>
      </x:c>
      <x:c r="P14" s="60" t="n">
        <x:v>5916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1d69c8911a42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RUN-IMO-006-20260824T110844177650Z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RUN-IMO-006-20260824T110844177650Z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RUN-IMO-006-20260824T110844177650Z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RUN-IMO-006-20260824T110844177650Z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RUN-IMO-006-20260824T110844177650Z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RUN-IMO-006-20260824T110844177650Z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RUN-IMO-006-20260824T110844177650Z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RUN-IMO-006-20260824T110844177650Z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RUN-IMO-006-20260824T110844177650Z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RUN-IMO-006-20260824T110844177650Z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3129d46a6b47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RUN-IMO-006-20260824T110844177650Z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RUN-IMO-006-20260824T110844177650Z</x:v>
      </x:c>
      <x:c r="B5" s="45" t="str">
        <x:v>IMO-006</x:v>
      </x:c>
      <x:c r="C5" s="45" t="str">
        <x:v>FS-QTY-01</x:v>
      </x:c>
      <x:c r="D5" s="45" t="str">
        <x:v>qudt_quantity</x:v>
      </x:c>
      <x:c r="E5" s="97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RUN-IMO-006-20260824T110844177650Z</x:v>
      </x:c>
      <x:c r="B6" s="49" t="str">
        <x:v>IMO-006</x:v>
      </x:c>
      <x:c r="C6" s="49" t="str">
        <x:v>FS-QTY-02</x:v>
      </x:c>
      <x:c r="D6" s="49" t="str">
        <x:v>qudt_quantity</x:v>
      </x:c>
      <x:c r="E6" s="98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1623c30c848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RUN-IMO-006-20260824T110844177650Z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RUN-IMO-006-20260824T110844177650Z</x:v>
      </x:c>
      <x:c r="B5" s="45" t="str">
        <x:v>IMO-006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https://w3id.org/nltl/vocab#firstYearIce | https://w3id.org/nltl/vocab#iceThickness | https://w3id.org/nltl/vocab#iceTypeClassification | https://w3id.org/nltl/vocab#mediumFirstYearIce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RUN-IMO-006-20260824T110844177650Z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https://w3id.org/nltl/vocab#mediumFirstYearIce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fe80a2922104c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RUN-IMO-006-20260824T110844177650Z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RUN-IMO-006-20260824T110844177650Z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RUN-IMO-006-20260824T110844177650Z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RUN-IMO-006-20260824T110844177650Z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RUN-IMO-006-20260824T110844177650Z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RUN-IMO-006-20260824T110844177650Z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81aaa597d0af5a043136d449f4271f4ab09648895e69fe70d8d8ae03ae12a6e1</x:v>
      </x:c>
      <x:c r="G8" s="59" t="n">
        <x:v>2727</x:v>
      </x:c>
    </x:row>
    <x:row r="9">
      <x:c r="A9" s="47" t="str">
        <x:v>RUN-IMO-006-20260824T110844177650Z</x:v>
      </x:c>
      <x:c r="B9" s="47" t="str">
        <x:v>IMO-006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1fdb4183c3d9c510596bc831ead2a1081e5ab95c2cda8851013700f6eef57f78</x:v>
      </x:c>
      <x:c r="G9" s="59" t="n">
        <x:v>4020</x:v>
      </x:c>
    </x:row>
    <x:row r="10">
      <x:c r="A10" s="47" t="str">
        <x:v>RUN-IMO-006-20260824T110844177650Z</x:v>
      </x:c>
      <x:c r="B10" s="47" t="str">
        <x:v>IMO-006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7c613cc73940dc1d73e95560686e60a519718405ff524ff7a3b4228531f34334</x:v>
      </x:c>
      <x:c r="G10" s="59" t="n">
        <x:v>2727</x:v>
      </x:c>
    </x:row>
    <x:row r="11">
      <x:c r="A11" s="47" t="str">
        <x:v>RUN-IMO-006-20260824T110844177650Z</x:v>
      </x:c>
      <x:c r="B11" s="47" t="str">
        <x:v>IMO-006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672386702c016f702aa82daf2e24028bfd48da599ac49fca5e564f7ed377bcfb</x:v>
      </x:c>
      <x:c r="G11" s="59" t="n">
        <x:v>2702</x:v>
      </x:c>
    </x:row>
    <x:row r="12">
      <x:c r="A12" s="47" t="str">
        <x:v>RUN-IMO-006-20260824T110844177650Z</x:v>
      </x:c>
      <x:c r="B12" s="47" t="str">
        <x:v>IMO-006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f92083aa941968b81fef24b79d77d193eebb05126d900334a1e487b39c65b6f8</x:v>
      </x:c>
      <x:c r="G12" s="59" t="n">
        <x:v>688</x:v>
      </x:c>
    </x:row>
    <x:row r="13">
      <x:c r="A13" s="47" t="str">
        <x:v>RUN-IMO-006-20260824T110844177650Z</x:v>
      </x:c>
      <x:c r="B13" s="47" t="str">
        <x:v>IMO-006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8ee400ad6e74d67f0aec15040eaaece70d87a1da8c141289c75f4478dd8fb447</x:v>
      </x:c>
      <x:c r="G13" s="59" t="n">
        <x:v>25415</x:v>
      </x:c>
    </x:row>
    <x:row r="14">
      <x:c r="A14" s="47" t="str">
        <x:v>RUN-IMO-006-20260824T110844177650Z</x:v>
      </x:c>
      <x:c r="B14" s="47" t="str">
        <x:v>IMO-006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6b2c7bf510f8746809091e8279c0fac9af0d27ce8f234d793127fbf689b82071</x:v>
      </x:c>
      <x:c r="G14" s="59" t="n">
        <x:v>808</x:v>
      </x:c>
    </x:row>
    <x:row r="15">
      <x:c r="A15" s="47" t="str">
        <x:v>RUN-IMO-006-20260824T110844177650Z</x:v>
      </x:c>
      <x:c r="B15" s="47" t="str">
        <x:v>IMO-006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19dc17c10c873bd385143e676c125a820eb91e173b056a9411432e5b7ef54c8a</x:v>
      </x:c>
      <x:c r="G15" s="59" t="n">
        <x:v>30053</x:v>
      </x:c>
    </x:row>
    <x:row r="16">
      <x:c r="A16" s="47" t="str">
        <x:v>RUN-IMO-006-20260824T110844177650Z</x:v>
      </x:c>
      <x:c r="B16" s="47" t="str">
        <x:v>IMO-006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d1693b723f37d049b58779ce9809029e876881d4e64b4119b65da970eb638e88</x:v>
      </x:c>
      <x:c r="G16" s="59" t="n">
        <x:v>1413</x:v>
      </x:c>
    </x:row>
    <x:row r="17">
      <x:c r="A17" s="47" t="str">
        <x:v>RUN-IMO-006-20260824T110844177650Z</x:v>
      </x:c>
      <x:c r="B17" s="47" t="str">
        <x:v>IMO-006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0066bf2a8d3014d51c3729766900925028dd2f88a81366616e8cb320f452e3af</x:v>
      </x:c>
      <x:c r="G17" s="59" t="n">
        <x:v>1388</x:v>
      </x:c>
    </x:row>
    <x:row r="18">
      <x:c r="A18" s="47" t="str">
        <x:v>RUN-IMO-006-20260824T110844177650Z</x:v>
      </x:c>
      <x:c r="B18" s="47" t="str">
        <x:v>IMO-006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7a2fbb468e8ed859ec901de3aa4eef9e1056cc86ae88a5ff9c4f5855121ce9e1</x:v>
      </x:c>
      <x:c r="G18" s="59" t="n">
        <x:v>588</x:v>
      </x:c>
    </x:row>
    <x:row r="19">
      <x:c r="A19" s="47" t="str">
        <x:v>RUN-IMO-006-20260824T110844177650Z</x:v>
      </x:c>
      <x:c r="B19" s="47" t="str">
        <x:v>IMO-006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a2c57554fcef07e89de5b2fee095fa528287ac8b1b458ead1167b0a09b026c98</x:v>
      </x:c>
      <x:c r="G19" s="59" t="n">
        <x:v>24083</x:v>
      </x:c>
    </x:row>
    <x:row r="20">
      <x:c r="A20" s="47" t="str">
        <x:v>RUN-IMO-006-20260824T110844177650Z</x:v>
      </x:c>
      <x:c r="B20" s="47" t="str">
        <x:v>IMO-006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781dfabf6d9b717f665a1af85fd9844c0e67b592ea17b34a53be20f4eb245d39</x:v>
      </x:c>
      <x:c r="G20" s="59" t="n">
        <x:v>425</x:v>
      </x:c>
    </x:row>
    <x:row r="21">
      <x:c r="A21" s="49" t="str">
        <x:v>RUN-IMO-006-20260824T110844177650Z</x:v>
      </x:c>
      <x:c r="B21" s="49" t="str">
        <x:v>IMO-006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0066bf2a8d3014d51c3729766900925028dd2f88a81366616e8cb320f452e3af</x:v>
      </x:c>
      <x:c r="G21" s="60" t="n">
        <x:v>1388</x:v>
      </x:c>
    </x:row>
  </x:sheetData>
  <x:pageMargins left="0.7" right="0.7" top="0.75" bottom="0.75" header="0.3" footer="0.3"/>
  <x:tableParts count="1">
    <x:tablePart xmlns:r="http://schemas.openxmlformats.org/officeDocument/2006/relationships" r:id="R7c5f20fdc6f14a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RUN-IMO-006-20260824T110844177650Z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RUN-IMO-006-20260824T110844177650Z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RUN-IMO-006-20260824T110844177650Z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c08c0d606c4b3c"/>
  </x:tableParts>
</x:worksheet>
</file>