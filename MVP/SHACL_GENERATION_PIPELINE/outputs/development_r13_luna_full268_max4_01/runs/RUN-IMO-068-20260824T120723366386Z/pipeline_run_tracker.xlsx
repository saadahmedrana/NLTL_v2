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8a8966521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bf0c6cdafe4b03"/>
    <x:sheet xmlns:r="http://schemas.openxmlformats.org/officeDocument/2006/relationships" name="README" sheetId="2" r:id="Rb4764a1c3a7e4f94"/>
    <x:sheet xmlns:r="http://schemas.openxmlformats.org/officeDocument/2006/relationships" name="REGULATION_QUEUE" sheetId="3" r:id="Rc0be9d8f09264695"/>
    <x:sheet xmlns:r="http://schemas.openxmlformats.org/officeDocument/2006/relationships" name="RUNS" sheetId="4" r:id="R5e6678f60bf2431d"/>
    <x:sheet xmlns:r="http://schemas.openxmlformats.org/officeDocument/2006/relationships" name="ITERATIONS" sheetId="5" r:id="R053a76ea4d0846ef"/>
    <x:sheet xmlns:r="http://schemas.openxmlformats.org/officeDocument/2006/relationships" name="API_CALLS" sheetId="6" r:id="R2c11c807329146de"/>
    <x:sheet xmlns:r="http://schemas.openxmlformats.org/officeDocument/2006/relationships" name="TERM_RETRIEVAL" sheetId="7" r:id="Rfb3991e560684da4"/>
    <x:sheet xmlns:r="http://schemas.openxmlformats.org/officeDocument/2006/relationships" name="FEW_SHOT_SELECTION" sheetId="8" r:id="R2338887bd7024d80"/>
    <x:sheet xmlns:r="http://schemas.openxmlformats.org/officeDocument/2006/relationships" name="VALIDATION" sheetId="9" r:id="Rbe1aa83d4c7e4639"/>
    <x:sheet xmlns:r="http://schemas.openxmlformats.org/officeDocument/2006/relationships" name="VOCAB_MATCHES" sheetId="10" r:id="R2d7d679cbb4b443b"/>
    <x:sheet xmlns:r="http://schemas.openxmlformats.org/officeDocument/2006/relationships" name="ARTIFACTS" sheetId="11" r:id="R14e7e81618c7482f"/>
    <x:sheet xmlns:r="http://schemas.openxmlformats.org/officeDocument/2006/relationships" name="UNRESOLVED" sheetId="12" r:id="R6368f7d092ce40b3"/>
    <x:sheet xmlns:r="http://schemas.openxmlformats.org/officeDocument/2006/relationships" name="RDF_TEST_QUEUE" sheetId="13" r:id="R071c3828dc03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6999f481c4fb7" /><Relationship Type="http://schemas.openxmlformats.org/officeDocument/2006/relationships/theme" Target="/xl/theme/theme1.xml" Id="R67d33bf9466e4438" /><Relationship Type="http://schemas.microsoft.com/office/2022/11/relationships/FeaturePropertyBag" Target="/xl/featurePropertyBag/featurePropertyBag.xml" Id="R3358c99a87ea4d30" /><Relationship Type="http://schemas.openxmlformats.org/officeDocument/2006/relationships/sharedStrings" Target="/xl/sharedStrings.xml" Id="Rbfbeefeaafaf4a29" /><Relationship Type="http://schemas.openxmlformats.org/officeDocument/2006/relationships/worksheet" Target="/xl/worksheets/sheet1.xml" Id="R12bf0c6cdafe4b03" /><Relationship Type="http://schemas.openxmlformats.org/officeDocument/2006/relationships/worksheet" Target="/xl/worksheets/sheet2.xml" Id="Rb4764a1c3a7e4f94" /><Relationship Type="http://schemas.openxmlformats.org/officeDocument/2006/relationships/worksheet" Target="/xl/worksheets/sheet3.xml" Id="Rc0be9d8f09264695" /><Relationship Type="http://schemas.openxmlformats.org/officeDocument/2006/relationships/worksheet" Target="/xl/worksheets/sheet4.xml" Id="R5e6678f60bf2431d" /><Relationship Type="http://schemas.openxmlformats.org/officeDocument/2006/relationships/worksheet" Target="/xl/worksheets/sheet5.xml" Id="R053a76ea4d0846ef" /><Relationship Type="http://schemas.openxmlformats.org/officeDocument/2006/relationships/worksheet" Target="/xl/worksheets/sheet6.xml" Id="R2c11c807329146de" /><Relationship Type="http://schemas.openxmlformats.org/officeDocument/2006/relationships/worksheet" Target="/xl/worksheets/sheet7.xml" Id="Rfb3991e560684da4" /><Relationship Type="http://schemas.openxmlformats.org/officeDocument/2006/relationships/worksheet" Target="/xl/worksheets/sheet8.xml" Id="R2338887bd7024d80" /><Relationship Type="http://schemas.openxmlformats.org/officeDocument/2006/relationships/worksheet" Target="/xl/worksheets/sheet9.xml" Id="Rbe1aa83d4c7e4639" /><Relationship Type="http://schemas.openxmlformats.org/officeDocument/2006/relationships/worksheet" Target="/xl/worksheets/sheet10.xml" Id="R2d7d679cbb4b443b" /><Relationship Type="http://schemas.openxmlformats.org/officeDocument/2006/relationships/worksheet" Target="/xl/worksheets/sheet11.xml" Id="R14e7e81618c7482f" /><Relationship Type="http://schemas.openxmlformats.org/officeDocument/2006/relationships/worksheet" Target="/xl/worksheets/sheet12.xml" Id="R6368f7d092ce40b3" /><Relationship Type="http://schemas.openxmlformats.org/officeDocument/2006/relationships/worksheet" Target="/xl/worksheets/sheet13.xml" Id="R071c3828dc0343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b90f513c47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97d5dccc2641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ec287f11b04c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e1963dc27941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82833754424b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b5f89477f5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310bed5bf54d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0035254b1f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dceae7c85144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1fc26da8da44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RUN-IMO-068-20260824T120723366386Z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11870.139375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RUN-IMO-068-20260824T120723366386Z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b90f513c474b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7d5dccc2641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RUN-IMO-068-20260824T120723366386Z</x:v>
      </x:c>
      <x:c r="C5" s="69" t="str">
        <x:v>IMO-068</x:v>
      </x:c>
      <x:c r="D5" s="70" t="n">
        <x:v>46258.5051315625</x:v>
      </x:c>
      <x:c r="E5" s="70" t="n">
        <x:v>46258.505683993055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ship-owned conditional logic: both false applicability inputs select the non-applicable branch, while either true input requires safe evacuation means and approved deployment status. Targets, canonical terms, datatypes, cardinalities, and controlled value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c287f11b04c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RUN-IMO-068-20260824T120723366386Z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top-level conditional logic. The current sh:or contains only the two triggered branches, so a ship with both applicability booleans explicitly false fails the shape even though the requirement is conditional and should impose no equipment/approval constraint. Preserve the declared ship-owned terms and required input cardinalities, but add a valid non-applicable alternative (for example, a branch requiring shipOperatesInIceCoveredWaters = false or a branch requiring directEvacuationOntoIceApplicable = false, consistent with the OR trigger) alongside a branch that requires both safeEvacuationMeansPresent = true and survivalEquipmentDeploymentApprovalStatus = evidenceStateApproved when either trigger is true. Ensure the repaired logic is equivalent to (not operating-in-ice AND not direct-evacuation) OR (safe means AND approved), without allowing missing applicability evidence to pass.</x:v>
      </x:c>
      <x:c r="I5" s="81" t="n">
        <x:v>11595.777</x:v>
      </x:c>
      <x:c r="J5" s="81" t="n">
        <x:v>11133.156</x:v>
      </x:c>
    </x:row>
    <x:row r="6">
      <x:c r="A6" s="49" t="str">
        <x:v>RUN-IMO-068-20260824T120723366386Z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required ship-owned conditional logic: both false applicability inputs select the non-applicable branch, while either true input requires safe evacuation means and approved deployment status. Targets, canonical terms, datatypes, cardinalities, and controlled value are correct, and deterministic validation is valid.</x:v>
      </x:c>
      <x:c r="I6" s="83" t="n">
        <x:v>19624.751</x:v>
      </x:c>
      <x:c r="J6" s="83" t="n">
        <x:v>5129.452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1963dc27941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RUN-IMO-068-20260824T120723366386Z</x:v>
      </x:c>
      <x:c r="C5" s="45" t="str">
        <x:v>IMO-068</x:v>
      </x:c>
      <x:c r="D5" s="90" t="n">
        <x:v>46258.50526578704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11594.228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RUN-IMO-068-20260824T120723366386Z</x:v>
      </x:c>
      <x:c r="C6" s="47" t="str">
        <x:v>IMO-068</x:v>
      </x:c>
      <x:c r="D6" s="91" t="n">
        <x:v>46258.505265810185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11595.777</x:v>
      </x:c>
      <x:c r="L6" s="93" t="b">
        <x:v>0</x:v>
      </x:c>
      <x:c r="M6" s="47" t="str">
        <x:v>resp_0319bb07a862ccd3006a8c33fb8c3c819699cfc1ec90c03c48</x:v>
      </x:c>
      <x:c r="N6" s="59" t="n">
        <x:v>7531</x:v>
      </x:c>
      <x:c r="O6" s="59" t="n">
        <x:v>1105</x:v>
      </x:c>
      <x:c r="P6" s="59" t="n">
        <x:v>8636</x:v>
      </x:c>
    </x:row>
    <x:row r="7">
      <x:c r="A7" s="47" t="str">
        <x:v>EVT-000030</x:v>
      </x:c>
      <x:c r="B7" s="47" t="str">
        <x:v>RUN-IMO-068-20260824T120723366386Z</x:v>
      </x:c>
      <x:c r="C7" s="47" t="str">
        <x:v>IMO-068</x:v>
      </x:c>
      <x:c r="D7" s="91" t="n">
        <x:v>46258.5053959375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11131.734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RUN-IMO-068-20260824T120723366386Z</x:v>
      </x:c>
      <x:c r="C8" s="47" t="str">
        <x:v>IMO-068</x:v>
      </x:c>
      <x:c r="D8" s="91" t="n">
        <x:v>46258.505395960645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11133.156</x:v>
      </x:c>
      <x:c r="L8" s="93" t="b">
        <x:v>0</x:v>
      </x:c>
      <x:c r="M8" s="47" t="str">
        <x:v>resp_0292631deaec16d8006a8c34073d348197b8fc9cb8ba8d2243</x:v>
      </x:c>
      <x:c r="N8" s="59" t="n">
        <x:v>7198</x:v>
      </x:c>
      <x:c r="O8" s="59" t="n">
        <x:v>709</x:v>
      </x:c>
      <x:c r="P8" s="59" t="n">
        <x:v>7907</x:v>
      </x:c>
    </x:row>
    <x:row r="9">
      <x:c r="A9" s="47" t="str">
        <x:v>EVT-000036</x:v>
      </x:c>
      <x:c r="B9" s="47" t="str">
        <x:v>RUN-IMO-068-20260824T120723366386Z</x:v>
      </x:c>
      <x:c r="C9" s="47" t="str">
        <x:v>IMO-068</x:v>
      </x:c>
      <x:c r="D9" s="91" t="n">
        <x:v>46258.505623125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19623.878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RUN-IMO-068-20260824T120723366386Z</x:v>
      </x:c>
      <x:c r="C10" s="47" t="str">
        <x:v>IMO-068</x:v>
      </x:c>
      <x:c r="D10" s="91" t="n">
        <x:v>46258.505623136574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19624.751</x:v>
      </x:c>
      <x:c r="L10" s="93" t="b">
        <x:v>0</x:v>
      </x:c>
      <x:c r="M10" s="47" t="str">
        <x:v>resp_06ccedeb9d46df2c006a8c3413ff848196bc54e74d964eef00</x:v>
      </x:c>
      <x:c r="N10" s="59" t="n">
        <x:v>7703</x:v>
      </x:c>
      <x:c r="O10" s="59" t="n">
        <x:v>1106</x:v>
      </x:c>
      <x:c r="P10" s="59" t="n">
        <x:v>8809</x:v>
      </x:c>
    </x:row>
    <x:row r="11">
      <x:c r="A11" s="47" t="str">
        <x:v>EVT-000044</x:v>
      </x:c>
      <x:c r="B11" s="47" t="str">
        <x:v>RUN-IMO-068-20260824T120723366386Z</x:v>
      </x:c>
      <x:c r="C11" s="47" t="str">
        <x:v>IMO-068</x:v>
      </x:c>
      <x:c r="D11" s="91" t="n">
        <x:v>46258.50568394676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5128.139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RUN-IMO-068-20260824T120723366386Z</x:v>
      </x:c>
      <x:c r="C12" s="49" t="str">
        <x:v>IMO-068</x:v>
      </x:c>
      <x:c r="D12" s="94" t="n">
        <x:v>46258.505683958334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5129.452</x:v>
      </x:c>
      <x:c r="L12" s="82" t="b">
        <x:v>0</x:v>
      </x:c>
      <x:c r="M12" s="49" t="str">
        <x:v>resp_03dbd60e6349f765006a8c3426242481938b53e2e0b5bab634</x:v>
      </x:c>
      <x:c r="N12" s="60" t="n">
        <x:v>7366</x:v>
      </x:c>
      <x:c r="O12" s="60" t="n">
        <x:v>339</x:v>
      </x:c>
      <x:c r="P12" s="60" t="n">
        <x:v>7705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2833754424b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RUN-IMO-068-20260824T120723366386Z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RUN-IMO-068-20260824T120723366386Z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RUN-IMO-068-20260824T120723366386Z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RUN-IMO-068-20260824T120723366386Z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RUN-IMO-068-20260824T120723366386Z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RUN-IMO-068-20260824T120723366386Z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RUN-IMO-068-20260824T120723366386Z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RUN-IMO-068-20260824T120723366386Z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RUN-IMO-068-20260824T120723366386Z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RUN-IMO-068-20260824T120723366386Z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RUN-IMO-068-20260824T120723366386Z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RUN-IMO-068-20260824T120723366386Z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RUN-IMO-068-20260824T120723366386Z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RUN-IMO-068-20260824T120723366386Z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b5f89477f544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RUN-IMO-068-20260824T120723366386Z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RUN-IMO-068-20260824T120723366386Z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RUN-IMO-068-20260824T120723366386Z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10bed5bf54d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RUN-IMO-068-20260824T120723366386Z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RUN-IMO-068-20260824T120723366386Z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0035254b1f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RUN-IMO-068-20260824T120723366386Z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RUN-IMO-068-20260824T120723366386Z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RUN-IMO-068-20260824T120723366386Z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RUN-IMO-068-20260824T120723366386Z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RUN-IMO-068-20260824T120723366386Z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RUN-IMO-068-20260824T120723366386Z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c73df329106e9e6573094dc485d126ca17bb16364663331b67467c14ae593c73</x:v>
      </x:c>
      <x:c r="G8" s="59" t="n">
        <x:v>2481</x:v>
      </x:c>
    </x:row>
    <x:row r="9">
      <x:c r="A9" s="47" t="str">
        <x:v>RUN-IMO-068-20260824T120723366386Z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98951e609d7ce9a6575d1ab921946da07ebab8f16016e7be4e8597d88f18e44d</x:v>
      </x:c>
      <x:c r="G9" s="59" t="n">
        <x:v>2456</x:v>
      </x:c>
    </x:row>
    <x:row r="10">
      <x:c r="A10" s="47" t="str">
        <x:v>RUN-IMO-068-20260824T120723366386Z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cdaf4a10d9bca086127c0dc309dc7389e33a47fca72902f8af481a8b6ae6c046</x:v>
      </x:c>
      <x:c r="G10" s="59" t="n">
        <x:v>809</x:v>
      </x:c>
    </x:row>
    <x:row r="11">
      <x:c r="A11" s="47" t="str">
        <x:v>RUN-IMO-068-20260824T120723366386Z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f2135e782564afc61723a298ae22023c937fcb194ea58784c0ffcc18fc7f667d</x:v>
      </x:c>
      <x:c r="G11" s="59" t="n">
        <x:v>30378</x:v>
      </x:c>
    </x:row>
    <x:row r="12">
      <x:c r="A12" s="47" t="str">
        <x:v>RUN-IMO-068-20260824T120723366386Z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45ab68544ce5558f6012028be02f7af59504cc151be90fb709498ee1c8cf5315</x:v>
      </x:c>
      <x:c r="G12" s="59" t="n">
        <x:v>969</x:v>
      </x:c>
    </x:row>
    <x:row r="13">
      <x:c r="A13" s="47" t="str">
        <x:v>RUN-IMO-068-20260824T120723366386Z</x:v>
      </x:c>
      <x:c r="B13" s="47" t="str">
        <x:v>IMO-068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af30169db050eeb526df7f9a3dc371ae985f4d3d457c783e6e5d3c2b198b7f50</x:v>
      </x:c>
      <x:c r="G13" s="59" t="n">
        <x:v>33289</x:v>
      </x:c>
    </x:row>
    <x:row r="14">
      <x:c r="A14" s="47" t="str">
        <x:v>RUN-IMO-068-20260824T120723366386Z</x:v>
      </x:c>
      <x:c r="B14" s="47" t="str">
        <x:v>IMO-068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36c2ea31c4523782b85d546f431cbe7dc7696ba6d9b75480b39aaf4069e02bcb</x:v>
      </x:c>
      <x:c r="G14" s="59" t="n">
        <x:v>1992</x:v>
      </x:c>
    </x:row>
    <x:row r="15">
      <x:c r="A15" s="47" t="str">
        <x:v>RUN-IMO-068-20260824T120723366386Z</x:v>
      </x:c>
      <x:c r="B15" s="47" t="str">
        <x:v>IMO-068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f98e84c40a3d8d8667d7488715635f2c0b3aad5e46925b047635dc8619f06528</x:v>
      </x:c>
      <x:c r="G15" s="59" t="n">
        <x:v>1967</x:v>
      </x:c>
    </x:row>
    <x:row r="16">
      <x:c r="A16" s="47" t="str">
        <x:v>RUN-IMO-068-20260824T120723366386Z</x:v>
      </x:c>
      <x:c r="B16" s="47" t="str">
        <x:v>IMO-068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cdaf4a10d9bca086127c0dc309dc7389e33a47fca72902f8af481a8b6ae6c046</x:v>
      </x:c>
      <x:c r="G16" s="59" t="n">
        <x:v>809</x:v>
      </x:c>
    </x:row>
    <x:row r="17">
      <x:c r="A17" s="47" t="str">
        <x:v>RUN-IMO-068-20260824T120723366386Z</x:v>
      </x:c>
      <x:c r="B17" s="47" t="str">
        <x:v>IMO-068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55803a34aef22851dfaacdd2bc9e239d5177f12d2520b0f9619da124a9f197ce</x:v>
      </x:c>
      <x:c r="G17" s="59" t="n">
        <x:v>30801</x:v>
      </x:c>
    </x:row>
    <x:row r="18">
      <x:c r="A18" s="47" t="str">
        <x:v>RUN-IMO-068-20260824T120723366386Z</x:v>
      </x:c>
      <x:c r="B18" s="47" t="str">
        <x:v>IMO-068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925d7295182de1abab5b135513f8674a01e61578cfd5d5844ce17738bdc6491c</x:v>
      </x:c>
      <x:c r="G18" s="59" t="n">
        <x:v>416</x:v>
      </x:c>
    </x:row>
    <x:row r="19">
      <x:c r="A19" s="49" t="str">
        <x:v>RUN-IMO-068-20260824T120723366386Z</x:v>
      </x:c>
      <x:c r="B19" s="49" t="str">
        <x:v>IMO-068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f98e84c40a3d8d8667d7488715635f2c0b3aad5e46925b047635dc8619f06528</x:v>
      </x:c>
      <x:c r="G19" s="60" t="n">
        <x:v>1967</x:v>
      </x:c>
    </x:row>
  </x:sheetData>
  <x:pageMargins left="0.7" right="0.7" top="0.75" bottom="0.75" header="0.3" footer="0.3"/>
  <x:tableParts count="1">
    <x:tablePart xmlns:r="http://schemas.openxmlformats.org/officeDocument/2006/relationships" r:id="R6ddceae7c85144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RUN-IMO-068-20260824T120723366386Z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RUN-IMO-068-20260824T120723366386Z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RUN-IMO-068-20260824T120723366386Z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fc26da8da449d"/>
  </x:tableParts>
</x:worksheet>
</file>