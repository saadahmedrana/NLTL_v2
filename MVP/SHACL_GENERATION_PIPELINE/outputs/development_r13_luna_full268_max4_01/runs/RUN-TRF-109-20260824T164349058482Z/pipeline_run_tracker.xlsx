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5cf49cf98d41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e153f8ac2e74a82"/>
    <x:sheet xmlns:r="http://schemas.openxmlformats.org/officeDocument/2006/relationships" name="README" sheetId="2" r:id="R448dd95739db4edd"/>
    <x:sheet xmlns:r="http://schemas.openxmlformats.org/officeDocument/2006/relationships" name="REGULATION_QUEUE" sheetId="3" r:id="R7dc388835aaa4a1e"/>
    <x:sheet xmlns:r="http://schemas.openxmlformats.org/officeDocument/2006/relationships" name="RUNS" sheetId="4" r:id="R54dcf707f0404e52"/>
    <x:sheet xmlns:r="http://schemas.openxmlformats.org/officeDocument/2006/relationships" name="ITERATIONS" sheetId="5" r:id="R8a234d1146c84954"/>
    <x:sheet xmlns:r="http://schemas.openxmlformats.org/officeDocument/2006/relationships" name="API_CALLS" sheetId="6" r:id="R3edbb2c2b0424f30"/>
    <x:sheet xmlns:r="http://schemas.openxmlformats.org/officeDocument/2006/relationships" name="TERM_RETRIEVAL" sheetId="7" r:id="R92077f9ffe05443b"/>
    <x:sheet xmlns:r="http://schemas.openxmlformats.org/officeDocument/2006/relationships" name="FEW_SHOT_SELECTION" sheetId="8" r:id="Raf9b67c369fe45e9"/>
    <x:sheet xmlns:r="http://schemas.openxmlformats.org/officeDocument/2006/relationships" name="VALIDATION" sheetId="9" r:id="R92fcaadec2374c5e"/>
    <x:sheet xmlns:r="http://schemas.openxmlformats.org/officeDocument/2006/relationships" name="VOCAB_MATCHES" sheetId="10" r:id="R8f499803606f4d23"/>
    <x:sheet xmlns:r="http://schemas.openxmlformats.org/officeDocument/2006/relationships" name="ARTIFACTS" sheetId="11" r:id="R3b68deb34cef41c5"/>
    <x:sheet xmlns:r="http://schemas.openxmlformats.org/officeDocument/2006/relationships" name="UNRESOLVED" sheetId="12" r:id="R489cbc2740b348ba"/>
    <x:sheet xmlns:r="http://schemas.openxmlformats.org/officeDocument/2006/relationships" name="RDF_TEST_QUEUE" sheetId="13" r:id="R1ec846bf9fec4b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54d70d86dc4cec" /><Relationship Type="http://schemas.openxmlformats.org/officeDocument/2006/relationships/theme" Target="/xl/theme/theme1.xml" Id="R3e55a82036324a0a" /><Relationship Type="http://schemas.microsoft.com/office/2022/11/relationships/FeaturePropertyBag" Target="/xl/featurePropertyBag/featurePropertyBag.xml" Id="Rda3016fe23b54937" /><Relationship Type="http://schemas.openxmlformats.org/officeDocument/2006/relationships/sharedStrings" Target="/xl/sharedStrings.xml" Id="R8e55b5124bfa4196" /><Relationship Type="http://schemas.openxmlformats.org/officeDocument/2006/relationships/worksheet" Target="/xl/worksheets/sheet1.xml" Id="R3e153f8ac2e74a82" /><Relationship Type="http://schemas.openxmlformats.org/officeDocument/2006/relationships/worksheet" Target="/xl/worksheets/sheet2.xml" Id="R448dd95739db4edd" /><Relationship Type="http://schemas.openxmlformats.org/officeDocument/2006/relationships/worksheet" Target="/xl/worksheets/sheet3.xml" Id="R7dc388835aaa4a1e" /><Relationship Type="http://schemas.openxmlformats.org/officeDocument/2006/relationships/worksheet" Target="/xl/worksheets/sheet4.xml" Id="R54dcf707f0404e52" /><Relationship Type="http://schemas.openxmlformats.org/officeDocument/2006/relationships/worksheet" Target="/xl/worksheets/sheet5.xml" Id="R8a234d1146c84954" /><Relationship Type="http://schemas.openxmlformats.org/officeDocument/2006/relationships/worksheet" Target="/xl/worksheets/sheet6.xml" Id="R3edbb2c2b0424f30" /><Relationship Type="http://schemas.openxmlformats.org/officeDocument/2006/relationships/worksheet" Target="/xl/worksheets/sheet7.xml" Id="R92077f9ffe05443b" /><Relationship Type="http://schemas.openxmlformats.org/officeDocument/2006/relationships/worksheet" Target="/xl/worksheets/sheet8.xml" Id="Raf9b67c369fe45e9" /><Relationship Type="http://schemas.openxmlformats.org/officeDocument/2006/relationships/worksheet" Target="/xl/worksheets/sheet9.xml" Id="R92fcaadec2374c5e" /><Relationship Type="http://schemas.openxmlformats.org/officeDocument/2006/relationships/worksheet" Target="/xl/worksheets/sheet10.xml" Id="R8f499803606f4d23" /><Relationship Type="http://schemas.openxmlformats.org/officeDocument/2006/relationships/worksheet" Target="/xl/worksheets/sheet11.xml" Id="R3b68deb34cef41c5" /><Relationship Type="http://schemas.openxmlformats.org/officeDocument/2006/relationships/worksheet" Target="/xl/worksheets/sheet12.xml" Id="R489cbc2740b348ba" /><Relationship Type="http://schemas.openxmlformats.org/officeDocument/2006/relationships/worksheet" Target="/xl/worksheets/sheet13.xml" Id="R1ec846bf9fec4b4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b54eb39eb4143c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2b760367dc14b9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fb0f3cc2ede437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951dccf81d9481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51e256f57b146c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af5c28840b3469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98824f3e0e848d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e6a0ac90f25481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19c04f07dd2440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e0bcc03b4ad4e3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RUN-TRF-109-20260824T164349058482Z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16501.656875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RUN-TRF-109-20260824T164349058482Z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b54eb39eb4143c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RUN-TRF-109-20260824T164349058482Z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GENERATION_ACCEPTED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b760367dc14b9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RUN-TRF-109-20260824T164349058482Z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RUN-TRF-109-20260824T164349058482Z</x:v>
      </x:c>
      <x:c r="C5" s="69" t="str">
        <x:v>TRF-109</x:v>
      </x:c>
      <x:c r="D5" s="70" t="n">
        <x:v>46258.69709560185</x:v>
      </x:c>
      <x:c r="E5" s="70" t="n">
        <x:v>46258.69786619213</x:v>
      </x:c>
      <x:c r="F5" s="69" t="str">
        <x:v>development-r13-luna-full268-max4-01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DIRECT_STATIC requirement: it targets the ship, enforces exactly one Table 6-14 lookup case, requires one open or ducted alternative, validates the exact C1-C4 table rows with dimensionless QuantityValue units, and constrains iceLoadCycleCount to the inclusive range 5000000 through 100000000. Freeze for later RDF evaluation.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b0f3cc2ede437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RUN-TRF-109-20260824T164349058482Z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RUN-TRF-109-20260824T164349058482Z</x:v>
      </x:c>
      <x:c r="B5" s="45" t="str">
        <x:v>TRF-109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Add sh:maxCount 1 to the nltl:hasTableLookupCase property at the ship target. Without it, multiple lookup cases—including both open and ducted alternatives—may coexist, so the shape does not enforce selection of exactly one Table 6-14 row.</x:v>
      </x:c>
      <x:c r="I5" s="81" t="n">
        <x:v>28681.087</x:v>
      </x:c>
      <x:c r="J5" s="81" t="n">
        <x:v>8526.492</x:v>
      </x:c>
    </x:row>
    <x:row r="6">
      <x:c r="A6" s="49" t="str">
        <x:v>RUN-TRF-109-20260824T164349058482Z</x:v>
      </x:c>
      <x:c r="B6" s="49" t="str">
        <x:v>TRF-109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DIRECT_STATIC requirement: it targets the ship, enforces exactly one Table 6-14 lookup case, requires one open or ducted alternative, validates the exact C1-C4 table rows with dimensionless QuantityValue units, and constrains iceLoadCycleCount to the inclusive range 5000000 through 100000000. Freeze for later RDF evaluation.</x:v>
      </x:c>
      <x:c r="I6" s="83" t="n">
        <x:v>21702.97</x:v>
      </x:c>
      <x:c r="J6" s="83" t="n">
        <x:v>7099.115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51dccf81d9481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RUN-TRF-109-20260824T164349058482Z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RUN-TRF-109-20260824T164349058482Z</x:v>
      </x:c>
      <x:c r="C5" s="45" t="str">
        <x:v>TRF-109</x:v>
      </x:c>
      <x:c r="D5" s="90" t="n">
        <x:v>46258.69742759259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28679.489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EVT-000035</x:v>
      </x:c>
      <x:c r="B6" s="47" t="str">
        <x:v>RUN-TRF-109-20260824T164349058482Z</x:v>
      </x:c>
      <x:c r="C6" s="47" t="str">
        <x:v>TRF-109</x:v>
      </x:c>
      <x:c r="D6" s="91" t="n">
        <x:v>46258.69742761574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28681.087</x:v>
      </x:c>
      <x:c r="L6" s="93" t="b">
        <x:v>0</x:v>
      </x:c>
      <x:c r="M6" s="47" t="str">
        <x:v>resp_0aa30b83496331d2006a8c74c544fc8193a934fa99a063a5b1</x:v>
      </x:c>
      <x:c r="N6" s="59" t="n">
        <x:v>12078</x:v>
      </x:c>
      <x:c r="O6" s="59" t="n">
        <x:v>2313</x:v>
      </x:c>
      <x:c r="P6" s="59" t="n">
        <x:v>14391</x:v>
      </x:c>
    </x:row>
    <x:row r="7">
      <x:c r="A7" s="47" t="str">
        <x:v>EVT-000042</x:v>
      </x:c>
      <x:c r="B7" s="47" t="str">
        <x:v>RUN-TRF-109-20260824T164349058482Z</x:v>
      </x:c>
      <x:c r="C7" s="47" t="str">
        <x:v>TRF-109</x:v>
      </x:c>
      <x:c r="D7" s="91" t="n">
        <x:v>46258.697529537036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8525.1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EVT-000043</x:v>
      </x:c>
      <x:c r="B8" s="47" t="str">
        <x:v>RUN-TRF-109-20260824T164349058482Z</x:v>
      </x:c>
      <x:c r="C8" s="47" t="str">
        <x:v>TRF-109</x:v>
      </x:c>
      <x:c r="D8" s="91" t="n">
        <x:v>46258.69752956019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8526.492</x:v>
      </x:c>
      <x:c r="L8" s="93" t="b">
        <x:v>0</x:v>
      </x:c>
      <x:c r="M8" s="47" t="str">
        <x:v>resp_0b8611b1186dadbe006a8c74e2b0808194a1661ce5e9978bc3</x:v>
      </x:c>
      <x:c r="N8" s="59" t="n">
        <x:v>13310</x:v>
      </x:c>
      <x:c r="O8" s="59" t="n">
        <x:v>593</x:v>
      </x:c>
      <x:c r="P8" s="59" t="n">
        <x:v>13903</x:v>
      </x:c>
    </x:row>
    <x:row r="9">
      <x:c r="A9" s="47" t="str">
        <x:v>EVT-000048</x:v>
      </x:c>
      <x:c r="B9" s="47" t="str">
        <x:v>RUN-TRF-109-20260824T164349058482Z</x:v>
      </x:c>
      <x:c r="C9" s="47" t="str">
        <x:v>TRF-109</x:v>
      </x:c>
      <x:c r="D9" s="91" t="n">
        <x:v>46258.697780787035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21701.422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EVT-000049</x:v>
      </x:c>
      <x:c r="B10" s="47" t="str">
        <x:v>RUN-TRF-109-20260824T164349058482Z</x:v>
      </x:c>
      <x:c r="C10" s="47" t="str">
        <x:v>TRF-109</x:v>
      </x:c>
      <x:c r="D10" s="91" t="n">
        <x:v>46258.69778081019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21702.97</x:v>
      </x:c>
      <x:c r="L10" s="93" t="b">
        <x:v>0</x:v>
      </x:c>
      <x:c r="M10" s="47" t="str">
        <x:v>resp_0a46693e3d5b351d006a8c74eaa2148196bf0baa9f8919a2d6</x:v>
      </x:c>
      <x:c r="N10" s="59" t="n">
        <x:v>12139</x:v>
      </x:c>
      <x:c r="O10" s="59" t="n">
        <x:v>2727</x:v>
      </x:c>
      <x:c r="P10" s="59" t="n">
        <x:v>14866</x:v>
      </x:c>
    </x:row>
    <x:row r="11">
      <x:c r="A11" s="47" t="str">
        <x:v>EVT-000056</x:v>
      </x:c>
      <x:c r="B11" s="47" t="str">
        <x:v>RUN-TRF-109-20260824T164349058482Z</x:v>
      </x:c>
      <x:c r="C11" s="47" t="str">
        <x:v>TRF-109</x:v>
      </x:c>
      <x:c r="D11" s="91" t="n">
        <x:v>46258.69786612268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7097.58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EVT-000057</x:v>
      </x:c>
      <x:c r="B12" s="49" t="str">
        <x:v>RUN-TRF-109-20260824T164349058482Z</x:v>
      </x:c>
      <x:c r="C12" s="49" t="str">
        <x:v>TRF-109</x:v>
      </x:c>
      <x:c r="D12" s="94" t="n">
        <x:v>46258.697866145834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7099.115</x:v>
      </x:c>
      <x:c r="L12" s="82" t="b">
        <x:v>0</x:v>
      </x:c>
      <x:c r="M12" s="49" t="str">
        <x:v>resp_07288ef4a89c7eb2006a8c75009fe48194a9717129a2ce10eb</x:v>
      </x:c>
      <x:c r="N12" s="60" t="n">
        <x:v>13486</x:v>
      </x:c>
      <x:c r="O12" s="60" t="n">
        <x:v>479</x:v>
      </x:c>
      <x:c r="P12" s="60" t="n">
        <x:v>13965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51e256f57b146c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RUN-TRF-109-20260824T164349058482Z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RUN-TRF-109-20260824T164349058482Z</x:v>
      </x:c>
      <x:c r="B5" s="45" t="str">
        <x:v>TRF-109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iceLoadCycleCount</x:v>
      </x:c>
      <x:c r="J5" s="45" t="n">
        <x:v>0</x:v>
      </x:c>
    </x:row>
    <x:row r="6">
      <x:c r="A6" s="47" t="str">
        <x:v>RUN-TRF-109-20260824T164349058482Z</x:v>
      </x:c>
      <x:c r="B6" s="47" t="str">
        <x:v>TRF-109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range dependency of tableLookupCase</x:v>
      </x:c>
      <x:c r="J6" s="47" t="n">
        <x:v>0</x:v>
      </x:c>
    </x:row>
    <x:row r="7">
      <x:c r="A7" s="47" t="str">
        <x:v>RUN-TRF-109-20260824T164349058482Z</x:v>
      </x:c>
      <x:c r="B7" s="47" t="str">
        <x:v>TRF-109</x:v>
      </x:c>
      <x:c r="C7" s="47" t="str">
        <x:v>fatigueCoefficientC1</x:v>
      </x:c>
      <x:c r="D7" s="48" t="str">
        <x:v>https://w3id.org/nltl/vocab#fatigueCoefficientC1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RUN-TRF-109-20260824T164349058482Z</x:v>
      </x:c>
      <x:c r="B8" s="47" t="str">
        <x:v>TRF-109</x:v>
      </x:c>
      <x:c r="C8" s="47" t="str">
        <x:v>fatigueCoefficientC2</x:v>
      </x:c>
      <x:c r="D8" s="48" t="str">
        <x:v>https://w3id.org/nltl/vocab#fatigueCoefficientC2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RUN-TRF-109-20260824T164349058482Z</x:v>
      </x:c>
      <x:c r="B9" s="47" t="str">
        <x:v>TRF-109</x:v>
      </x:c>
      <x:c r="C9" s="47" t="str">
        <x:v>fatigueCoefficientC3</x:v>
      </x:c>
      <x:c r="D9" s="48" t="str">
        <x:v>https://w3id.org/nltl/vocab#fatigueCoefficientC3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RUN-TRF-109-20260824T164349058482Z</x:v>
      </x:c>
      <x:c r="B10" s="47" t="str">
        <x:v>TRF-109</x:v>
      </x:c>
      <x:c r="C10" s="47" t="str">
        <x:v>fatigueCoefficientC4</x:v>
      </x:c>
      <x:c r="D10" s="48" t="str">
        <x:v>https://w3id.org/nltl/vocab#fatigueCoefficientC4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RUN-TRF-109-20260824T164349058482Z</x:v>
      </x:c>
      <x:c r="B11" s="47" t="str">
        <x:v>TRF-109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RUN-TRF-109-20260824T164349058482Z</x:v>
      </x:c>
      <x:c r="B12" s="47" t="str">
        <x:v>TRF-109</x:v>
      </x:c>
      <x:c r="C12" s="47" t="str">
        <x:v>hasTableLookupCase</x:v>
      </x:c>
      <x:c r="D12" s="48" t="str">
        <x:v>https://w3id.org/nltl/vocab#hasTableLookupCase</x:v>
      </x:c>
      <x:c r="E12" s="47" t="str">
        <x:v>ObjectProperty</x:v>
      </x:c>
      <x:c r="F12" s="47" t="str"/>
      <x:c r="G12" s="47" t="str">
        <x:v>https://w3id.org/nltl/vocab#tableLookupCase</x:v>
      </x:c>
      <x:c r="H12" s="47" t="str"/>
      <x:c r="I12" s="48" t="str">
        <x:v>canonical path from target owner ship to required owner tableLookupCase; linked by the locked 313-requirement index</x:v>
      </x:c>
      <x:c r="J12" s="47" t="n">
        <x:v>0</x:v>
      </x:c>
    </x:row>
    <x:row r="13">
      <x:c r="A13" s="47" t="str">
        <x:v>RUN-TRF-109-20260824T164349058482Z</x:v>
      </x:c>
      <x:c r="B13" s="47" t="str">
        <x:v>TRF-109</x:v>
      </x:c>
      <x:c r="C13" s="47" t="str">
        <x:v>iacsUrI2Table3</x:v>
      </x:c>
      <x:c r="D13" s="48" t="str">
        <x:v>https://w3id.org/nltl/vocab#iacsUrI2Table3</x:v>
      </x:c>
      <x:c r="E13" s="47" t="str">
        <x:v>NamedIndividual</x:v>
      </x:c>
      <x:c r="F13" s="47" t="str"/>
      <x:c r="G13" s="47" t="str">
        <x:v>https://w3id.org/nltl/vocab#tableReferenceValue</x:v>
      </x:c>
      <x:c r="H13" s="47" t="str"/>
      <x:c r="I13" s="48" t="str">
        <x:v>controlled value permitted by the range of tableReference; controlled value permitted by the range of traficomTable6Dash14</x:v>
      </x:c>
      <x:c r="J13" s="47" t="n">
        <x:v>0</x:v>
      </x:c>
    </x:row>
    <x:row r="14">
      <x:c r="A14" s="47" t="str">
        <x:v>RUN-TRF-109-20260824T164349058482Z</x:v>
      </x:c>
      <x:c r="B14" s="47" t="str">
        <x:v>TRF-109</x:v>
      </x:c>
      <x:c r="C14" s="47" t="str">
        <x:v>iacsUrI2Table8</x:v>
      </x:c>
      <x:c r="D14" s="48" t="str">
        <x:v>https://w3id.org/nltl/vocab#iacsUrI2Table8</x:v>
      </x:c>
      <x:c r="E14" s="47" t="str">
        <x:v>NamedIndividual</x:v>
      </x:c>
      <x:c r="F14" s="47" t="str"/>
      <x:c r="G14" s="47" t="str">
        <x:v>https://w3id.org/nltl/vocab#tableReferenceValue</x:v>
      </x:c>
      <x:c r="H14" s="47" t="str"/>
      <x:c r="I14" s="48" t="str">
        <x:v>controlled value permitted by the range of tableReference; controlled value permitted by the range of traficomTable6Dash14</x:v>
      </x:c>
      <x:c r="J14" s="47" t="n">
        <x:v>0</x:v>
      </x:c>
    </x:row>
    <x:row r="15">
      <x:c r="A15" s="47" t="str">
        <x:v>RUN-TRF-109-20260824T164349058482Z</x:v>
      </x:c>
      <x:c r="B15" s="47" t="str">
        <x:v>TRF-109</x:v>
      </x:c>
      <x:c r="C15" s="47" t="str">
        <x:v>iceLoadCycleCount</x:v>
      </x:c>
      <x:c r="D15" s="48" t="str">
        <x:v>https://w3id.org/nltl/vocab#iceLoadCycleCount</x:v>
      </x:c>
      <x:c r="E15" s="47" t="str">
        <x:v>DatatypeProperty</x:v>
      </x:c>
      <x:c r="F15" s="47" t="str">
        <x:v>xsd:integer</x:v>
      </x:c>
      <x:c r="G15" s="47" t="str">
        <x:v>http://www.w3.org/2001/XMLSchema#integer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RUN-TRF-109-20260824T164349058482Z</x:v>
      </x:c>
      <x:c r="B16" s="47" t="str">
        <x:v>TRF-109</x:v>
      </x:c>
      <x:c r="C16" s="47" t="str">
        <x:v>propellerType</x:v>
      </x:c>
      <x:c r="D16" s="48" t="str">
        <x:v>https://w3id.org/nltl/vocab#propellerType</x:v>
      </x:c>
      <x:c r="E16" s="47" t="str">
        <x:v>DatatypeProperty</x:v>
      </x:c>
      <x:c r="F16" s="47" t="str">
        <x:v>xsd:string</x:v>
      </x:c>
      <x:c r="G16" s="47" t="str">
        <x:v>http://www.w3.org/2001/XMLSchema#string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RUN-TRF-109-20260824T164349058482Z</x:v>
      </x:c>
      <x:c r="B17" s="47" t="str">
        <x:v>TRF-109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hasTableLookupCase; linked by the locked 313-requirement index</x:v>
      </x:c>
      <x:c r="J17" s="47" t="n">
        <x:v>0</x:v>
      </x:c>
    </x:row>
    <x:row r="18">
      <x:c r="A18" s="47" t="str">
        <x:v>RUN-TRF-109-20260824T164349058482Z</x:v>
      </x:c>
      <x:c r="B18" s="47" t="str">
        <x:v>TRF-109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RUN-TRF-109-20260824T164349058482Z</x:v>
      </x:c>
      <x:c r="B19" s="47" t="str">
        <x:v>TRF-109</x:v>
      </x:c>
      <x:c r="C19" s="47" t="str">
        <x:v>tableLookupCase</x:v>
      </x:c>
      <x:c r="D19" s="48" t="str">
        <x:v>https://w3id.org/nltl/vocab#tableLookupCase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authoritative required owner class; domain dependency of fatigueCoefficientC1; domain dependency of fatigueCoefficientC2; domain dependency of fatigueCoefficientC3; domain dependency of fatigueCoefficientC4; domain dependency of tableReference; linked by the locked 313-requirement index; range dependency of hasTableLookupCase</x:v>
      </x:c>
      <x:c r="J19" s="47" t="n">
        <x:v>0</x:v>
      </x:c>
    </x:row>
    <x:row r="20">
      <x:c r="A20" s="47" t="str">
        <x:v>RUN-TRF-109-20260824T164349058482Z</x:v>
      </x:c>
      <x:c r="B20" s="47" t="str">
        <x:v>TRF-109</x:v>
      </x:c>
      <x:c r="C20" s="47" t="str">
        <x:v>tableReference</x:v>
      </x:c>
      <x:c r="D20" s="48" t="str">
        <x:v>https://w3id.org/nltl/vocab#tableReference</x:v>
      </x:c>
      <x:c r="E20" s="47" t="str">
        <x:v>ObjectProperty</x:v>
      </x:c>
      <x:c r="F20" s="47" t="str"/>
      <x:c r="G20" s="47" t="str">
        <x:v>https://w3id.org/nltl/vocab#tableReferenceValue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RUN-TRF-109-20260824T164349058482Z</x:v>
      </x:c>
      <x:c r="B21" s="47" t="str">
        <x:v>TRF-109</x:v>
      </x:c>
      <x:c r="C21" s="47" t="str">
        <x:v>tableReferenceValue</x:v>
      </x:c>
      <x:c r="D21" s="48" t="str">
        <x:v>https://w3id.org/nltl/vocab#tableReferenceValue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range dependency of tableReference; range dependency of traficomTable6Dash14</x:v>
      </x:c>
      <x:c r="J21" s="47" t="n">
        <x:v>0</x:v>
      </x:c>
    </x:row>
    <x:row r="22">
      <x:c r="A22" s="47" t="str">
        <x:v>RUN-TRF-109-20260824T164349058482Z</x:v>
      </x:c>
      <x:c r="B22" s="47" t="str">
        <x:v>TRF-109</x:v>
      </x:c>
      <x:c r="C22" s="47" t="str">
        <x:v>traficomTable4Dash8</x:v>
      </x:c>
      <x:c r="D22" s="48" t="str">
        <x:v>https://w3id.org/nltl/vocab#traficomTable4Dash8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traficomTable6Dash14</x:v>
      </x:c>
      <x:c r="J22" s="47" t="n">
        <x:v>0</x:v>
      </x:c>
    </x:row>
    <x:row r="23">
      <x:c r="A23" s="47" t="str">
        <x:v>RUN-TRF-109-20260824T164349058482Z</x:v>
      </x:c>
      <x:c r="B23" s="47" t="str">
        <x:v>TRF-109</x:v>
      </x:c>
      <x:c r="C23" s="47" t="str">
        <x:v>traficomTable6Dash10</x:v>
      </x:c>
      <x:c r="D23" s="48" t="str">
        <x:v>https://w3id.org/nltl/vocab#traficomTable6Dash10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traficomTable6Dash14</x:v>
      </x:c>
      <x:c r="J23" s="47" t="n">
        <x:v>0</x:v>
      </x:c>
    </x:row>
    <x:row r="24">
      <x:c r="A24" s="47" t="str">
        <x:v>RUN-TRF-109-20260824T164349058482Z</x:v>
      </x:c>
      <x:c r="B24" s="47" t="str">
        <x:v>TRF-109</x:v>
      </x:c>
      <x:c r="C24" s="47" t="str">
        <x:v>traficomTable6Dash14</x:v>
      </x:c>
      <x:c r="D24" s="48" t="str">
        <x:v>https://w3id.org/nltl/vocab#traficomTable6Dash14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traficomTable6Dash14; linked by the locked 313-requirement index</x:v>
      </x:c>
      <x:c r="J24" s="47" t="n">
        <x:v>0</x:v>
      </x:c>
    </x:row>
    <x:row r="25">
      <x:c r="A25" s="47" t="str">
        <x:v>RUN-TRF-109-20260824T164349058482Z</x:v>
      </x:c>
      <x:c r="B25" s="47" t="str">
        <x:v>TRF-109</x:v>
      </x:c>
      <x:c r="C25" s="47" t="str">
        <x:v>traficomTable6Dash16Reference</x:v>
      </x:c>
      <x:c r="D25" s="48" t="str">
        <x:v>https://w3id.org/nltl/vocab#traficomTable6Dash16Reference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traficomTable6Dash14</x:v>
      </x:c>
      <x:c r="J25" s="47" t="n">
        <x:v>0</x:v>
      </x:c>
    </x:row>
    <x:row r="26">
      <x:c r="A26" s="47" t="str">
        <x:v>RUN-TRF-109-20260824T164349058482Z</x:v>
      </x:c>
      <x:c r="B26" s="47" t="str">
        <x:v>TRF-109</x:v>
      </x:c>
      <x:c r="C26" s="47" t="str">
        <x:v>traficomTable6Dash3Reference</x:v>
      </x:c>
      <x:c r="D26" s="48" t="str">
        <x:v>https://w3id.org/nltl/vocab#traficomTable6Dash3Reference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traficomTable6Dash14</x:v>
      </x:c>
      <x:c r="J26" s="47" t="n">
        <x:v>0</x:v>
      </x:c>
    </x:row>
    <x:row r="27">
      <x:c r="A27" s="47" t="str">
        <x:v>RUN-TRF-109-20260824T164349058482Z</x:v>
      </x:c>
      <x:c r="B27" s="47" t="str">
        <x:v>TRF-109</x:v>
      </x:c>
      <x:c r="C27" s="47" t="str">
        <x:v>traficomTable6Dash6</x:v>
      </x:c>
      <x:c r="D27" s="48" t="str">
        <x:v>https://w3id.org/nltl/vocab#traficomTable6Dash6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traficomTable6Dash14</x:v>
      </x:c>
      <x:c r="J27" s="47" t="n">
        <x:v>0</x:v>
      </x:c>
    </x:row>
    <x:row r="28">
      <x:c r="A28" s="47" t="str">
        <x:v>RUN-TRF-109-20260824T164349058482Z</x:v>
      </x:c>
      <x:c r="B28" s="47" t="str">
        <x:v>TRF-109</x:v>
      </x:c>
      <x:c r="C28" s="47" t="str">
        <x:v>traficomTable6Dash7</x:v>
      </x:c>
      <x:c r="D28" s="48" t="str">
        <x:v>https://w3id.org/nltl/vocab#traficomTable6Dash7</x:v>
      </x:c>
      <x:c r="E28" s="47" t="str">
        <x:v>NamedIndividual</x:v>
      </x:c>
      <x:c r="F28" s="47" t="str"/>
      <x:c r="G28" s="47" t="str">
        <x:v>https://w3id.org/nltl/vocab#tableReferenceValue</x:v>
      </x:c>
      <x:c r="H28" s="47" t="str"/>
      <x:c r="I28" s="48" t="str">
        <x:v>controlled value permitted by the range of tableReference; controlled value permitted by the range of traficomTable6Dash14</x:v>
      </x:c>
      <x:c r="J28" s="47" t="n">
        <x:v>0</x:v>
      </x:c>
    </x:row>
    <x:row r="29">
      <x:c r="A29" s="47" t="str">
        <x:v>RUN-TRF-109-20260824T164349058482Z</x:v>
      </x:c>
      <x:c r="B29" s="47" t="str">
        <x:v>TRF-109</x:v>
      </x:c>
      <x:c r="C29" s="47" t="str">
        <x:v>traficomTable6Dash8</x:v>
      </x:c>
      <x:c r="D29" s="48" t="str">
        <x:v>https://w3id.org/nltl/vocab#traficomTable6Dash8</x:v>
      </x:c>
      <x:c r="E29" s="47" t="str">
        <x:v>NamedIndividual</x:v>
      </x:c>
      <x:c r="F29" s="47" t="str"/>
      <x:c r="G29" s="47" t="str">
        <x:v>https://w3id.org/nltl/vocab#tableReferenceValue</x:v>
      </x:c>
      <x:c r="H29" s="47" t="str"/>
      <x:c r="I29" s="48" t="str">
        <x:v>controlled value permitted by the range of tableReference; controlled value permitted by the range of traficomTable6Dash14</x:v>
      </x:c>
      <x:c r="J29" s="47" t="n">
        <x:v>0</x:v>
      </x:c>
    </x:row>
    <x:row r="30">
      <x:c r="A30" s="49" t="str">
        <x:v>RUN-TRF-109-20260824T164349058482Z</x:v>
      </x:c>
      <x:c r="B30" s="49" t="str">
        <x:v>TRF-109</x:v>
      </x:c>
      <x:c r="C30" s="49" t="str">
        <x:v>traficomTable6Dash9</x:v>
      </x:c>
      <x:c r="D30" s="50" t="str">
        <x:v>https://w3id.org/nltl/vocab#traficomTable6Dash9</x:v>
      </x:c>
      <x:c r="E30" s="49" t="str">
        <x:v>NamedIndividual</x:v>
      </x:c>
      <x:c r="F30" s="49" t="str"/>
      <x:c r="G30" s="49" t="str">
        <x:v>https://w3id.org/nltl/vocab#tableReferenceValue</x:v>
      </x:c>
      <x:c r="H30" s="49" t="str"/>
      <x:c r="I30" s="50" t="str">
        <x:v>controlled value permitted by the range of tableReference; controlled value permitted by the range of traficomTable6Dash14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af5c28840b3469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RUN-TRF-109-20260824T164349058482Z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RUN-TRF-109-20260824T164349058482Z</x:v>
      </x:c>
      <x:c r="B5" s="45" t="str">
        <x:v>TRF-109</x:v>
      </x:c>
      <x:c r="C5" s="45" t="str">
        <x:v>FS-QTY-01</x:v>
      </x:c>
      <x:c r="D5" s="45" t="str">
        <x:v>qudt_quantity</x:v>
      </x:c>
      <x:c r="E5" s="97" t="n">
        <x:v>0.057143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RUN-TRF-109-20260824T164349058482Z</x:v>
      </x:c>
      <x:c r="B6" s="49" t="str">
        <x:v>TRF-109</x:v>
      </x:c>
      <x:c r="C6" s="49" t="str">
        <x:v>FS-QTY-02</x:v>
      </x:c>
      <x:c r="D6" s="49" t="str">
        <x:v>qudt_quantity</x:v>
      </x:c>
      <x:c r="E6" s="98" t="n">
        <x:v>0.057143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8824f3e0e848d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RUN-TRF-109-20260824T164349058482Z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RUN-TRF-109-20260824T164349058482Z</x:v>
      </x:c>
      <x:c r="B5" s="45" t="str">
        <x:v>TRF-109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https://w3id.org/nltl/vocab#fatigueCoefficientC1 | https://w3id.org/nltl/vocab#fatigueCoefficientC2 | https://w3id.org/nltl/vocab#fatigueCoefficientC3 | https://w3id.org/nltl/vocab#fatigueCoefficientC4 | https://w3id.org/nltl/vocab#hasTableLookupCase | https://w3id.org/nltl/vocab#iceLoadCycleCount | https://w3id.org/nltl/vocab#propellerType | https://w3id.org/nltl/vocab#ship | https://w3id.org/nltl/vocab#tableLookupCase | https://w3id.org/nltl/vocab#tableReference | https://w3id.org/nltl/vocab#traficomTable6Dash14</x:v>
      </x:c>
      <x:c r="O5" s="46" t="str"/>
      <x:c r="P5" s="46" t="str"/>
      <x:c r="Q5" s="46" t="str"/>
    </x:row>
    <x:row r="6">
      <x:c r="A6" s="49" t="str">
        <x:v>RUN-TRF-109-20260824T164349058482Z</x:v>
      </x:c>
      <x:c r="B6" s="49" t="str">
        <x:v>TRF-109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https://w3id.org/nltl/vocab#fatigueCoefficientC1 | https://w3id.org/nltl/vocab#fatigueCoefficientC2 | https://w3id.org/nltl/vocab#fatigueCoefficientC3 | https://w3id.org/nltl/vocab#fatigueCoefficientC4 | https://w3id.org/nltl/vocab#hasTableLookupCase | https://w3id.org/nltl/vocab#iceLoadCycleCount | https://w3id.org/nltl/vocab#propellerType | https://w3id.org/nltl/vocab#ship | https://w3id.org/nltl/vocab#tableLookupCase | https://w3id.org/nltl/vocab#tableReference | https://w3id.org/nltl/vocab#traficomTable6Dash14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fe6a0ac90f25481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RUN-TRF-109-20260824T164349058482Z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RUN-TRF-109-20260824T164349058482Z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RUN-TRF-109-20260824T164349058482Z</x:v>
      </x:c>
      <x:c r="B5" s="45" t="str">
        <x:v>TRF-109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062925c8970bdeace2b684bb9d29de61c97c9c3a31f7127058552340ed26552f</x:v>
      </x:c>
      <x:c r="G5" s="58" t="n">
        <x:v>33840</x:v>
      </x:c>
    </x:row>
    <x:row r="6">
      <x:c r="A6" s="47" t="str">
        <x:v>RUN-TRF-109-20260824T164349058482Z</x:v>
      </x:c>
      <x:c r="B6" s="47" t="str">
        <x:v>TRF-109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637b3382ed7ac45fb7ec7d59d1a8aa97960e6d32c198ad0d32ae82285feccf60</x:v>
      </x:c>
      <x:c r="G6" s="59" t="n">
        <x:v>4294</x:v>
      </x:c>
    </x:row>
    <x:row r="7">
      <x:c r="A7" s="47" t="str">
        <x:v>RUN-TRF-109-20260824T164349058482Z</x:v>
      </x:c>
      <x:c r="B7" s="47" t="str">
        <x:v>TRF-109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435608453731571163bfdecdac723cad72063f59778f63f9d751d5ffa71de483</x:v>
      </x:c>
      <x:c r="G7" s="59" t="n">
        <x:v>49648</x:v>
      </x:c>
    </x:row>
    <x:row r="8">
      <x:c r="A8" s="47" t="str">
        <x:v>RUN-TRF-109-20260824T164349058482Z</x:v>
      </x:c>
      <x:c r="B8" s="47" t="str">
        <x:v>TRF-109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f1849de6129792b6814705b5f085ddde1f038be188e82f24f51f4656c82da2bf</x:v>
      </x:c>
      <x:c r="G8" s="59" t="n">
        <x:v>10231</x:v>
      </x:c>
    </x:row>
    <x:row r="9">
      <x:c r="A9" s="47" t="str">
        <x:v>RUN-TRF-109-20260824T164349058482Z</x:v>
      </x:c>
      <x:c r="B9" s="47" t="str">
        <x:v>TRF-109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fea14ed3841144c5cbb36830d5aa55b8fc01c2086947ce2064dc429c0686366d</x:v>
      </x:c>
      <x:c r="G9" s="59" t="n">
        <x:v>10206</x:v>
      </x:c>
    </x:row>
    <x:row r="10">
      <x:c r="A10" s="47" t="str">
        <x:v>RUN-TRF-109-20260824T164349058482Z</x:v>
      </x:c>
      <x:c r="B10" s="47" t="str">
        <x:v>TRF-109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e989ce63053e87901182940017a8597afefe04fee75ec1bb21614ca4e7cb1ca5</x:v>
      </x:c>
      <x:c r="G10" s="59" t="n">
        <x:v>966</x:v>
      </x:c>
    </x:row>
    <x:row r="11">
      <x:c r="A11" s="47" t="str">
        <x:v>RUN-TRF-109-20260824T164349058482Z</x:v>
      </x:c>
      <x:c r="B11" s="47" t="str">
        <x:v>TRF-109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62171bd7eb67ed4cea84e81b2009aaabb578ac5f3feba1d1c40c0b7a41179dbd</x:v>
      </x:c>
      <x:c r="G11" s="59" t="n">
        <x:v>55577</x:v>
      </x:c>
    </x:row>
    <x:row r="12">
      <x:c r="A12" s="47" t="str">
        <x:v>RUN-TRF-109-20260824T164349058482Z</x:v>
      </x:c>
      <x:c r="B12" s="47" t="str">
        <x:v>TRF-109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86e5635e0b160d6907b172805ba22b935ccde099c2328c8684f674948993225d</x:v>
      </x:c>
      <x:c r="G12" s="59" t="n">
        <x:v>307</x:v>
      </x:c>
    </x:row>
    <x:row r="13">
      <x:c r="A13" s="47" t="str">
        <x:v>RUN-TRF-109-20260824T164349058482Z</x:v>
      </x:c>
      <x:c r="B13" s="47" t="str">
        <x:v>TRF-109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d7ffe2b33cb3818c58ebceb371079a32aded9ecc982341c48e2c522b6d0c10fa</x:v>
      </x:c>
      <x:c r="G13" s="59" t="n">
        <x:v>49896</x:v>
      </x:c>
    </x:row>
    <x:row r="14">
      <x:c r="A14" s="47" t="str">
        <x:v>RUN-TRF-109-20260824T164349058482Z</x:v>
      </x:c>
      <x:c r="B14" s="47" t="str">
        <x:v>TRF-109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0f8aa5e7be763a29bf7e0eff85cd66c00ebea8591894b4f8d438fb58aea6af3d</x:v>
      </x:c>
      <x:c r="G14" s="59" t="n">
        <x:v>7314</x:v>
      </x:c>
    </x:row>
    <x:row r="15">
      <x:c r="A15" s="47" t="str">
        <x:v>RUN-TRF-109-20260824T164349058482Z</x:v>
      </x:c>
      <x:c r="B15" s="47" t="str">
        <x:v>TRF-109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5989399421e8ae1e7e94d4c8d128b82d4b633d0c43bfb6736e098a2be25b795f</x:v>
      </x:c>
      <x:c r="G15" s="59" t="n">
        <x:v>7289</x:v>
      </x:c>
    </x:row>
    <x:row r="16">
      <x:c r="A16" s="47" t="str">
        <x:v>RUN-TRF-109-20260824T164349058482Z</x:v>
      </x:c>
      <x:c r="B16" s="47" t="str">
        <x:v>TRF-109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e989ce63053e87901182940017a8597afefe04fee75ec1bb21614ca4e7cb1ca5</x:v>
      </x:c>
      <x:c r="G16" s="59" t="n">
        <x:v>966</x:v>
      </x:c>
    </x:row>
    <x:row r="17">
      <x:c r="A17" s="47" t="str">
        <x:v>RUN-TRF-109-20260824T164349058482Z</x:v>
      </x:c>
      <x:c r="B17" s="47" t="str">
        <x:v>TRF-109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764226f7ad4628252b56a0b93248f40f9d3889afcc357fbacfa2534fe5a5af53</x:v>
      </x:c>
      <x:c r="G17" s="59" t="n">
        <x:v>52932</x:v>
      </x:c>
    </x:row>
    <x:row r="18">
      <x:c r="A18" s="47" t="str">
        <x:v>RUN-TRF-109-20260824T164349058482Z</x:v>
      </x:c>
      <x:c r="B18" s="47" t="str">
        <x:v>TRF-109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7c0501d415fa04a4025044e45544ca7754a8f84fd9e9f7e31da3b19e23c5af32</x:v>
      </x:c>
      <x:c r="G18" s="59" t="n">
        <x:v>426</x:v>
      </x:c>
    </x:row>
    <x:row r="19">
      <x:c r="A19" s="49" t="str">
        <x:v>RUN-TRF-109-20260824T164349058482Z</x:v>
      </x:c>
      <x:c r="B19" s="49" t="str">
        <x:v>TRF-109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5989399421e8ae1e7e94d4c8d128b82d4b633d0c43bfb6736e098a2be25b795f</x:v>
      </x:c>
      <x:c r="G19" s="60" t="n">
        <x:v>7289</x:v>
      </x:c>
    </x:row>
  </x:sheetData>
  <x:pageMargins left="0.7" right="0.7" top="0.75" bottom="0.75" header="0.3" footer="0.3"/>
  <x:tableParts count="1">
    <x:tablePart xmlns:r="http://schemas.openxmlformats.org/officeDocument/2006/relationships" r:id="R919c04f07dd2440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RUN-TRF-109-20260824T164349058482Z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RUN-TRF-109-20260824T164349058482Z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RUN-TRF-109-20260824T164349058482Z</x:v>
      </x:c>
      <x:c r="B5" s="69" t="str">
        <x:v>TRF-109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0bcc03b4ad4e3f"/>
  </x:tableParts>
</x:worksheet>
</file>