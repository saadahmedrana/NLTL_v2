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7bf2636354846f1" /></Relationships>
</file>

<file path=xl/workbook.xml><?xml version="1.0" encoding="utf-8"?>
<x:workbook xmlns:x="http://schemas.openxmlformats.org/spreadsheetml/2006/main">
  <x:sheets>
    <x:sheet xmlns:r="http://schemas.openxmlformats.org/officeDocument/2006/relationships" name="SUMMARY" sheetId="1" r:id="R037df27352d54bc3"/>
    <x:sheet xmlns:r="http://schemas.openxmlformats.org/officeDocument/2006/relationships" name="README" sheetId="2" r:id="R227fa307977341c0"/>
    <x:sheet xmlns:r="http://schemas.openxmlformats.org/officeDocument/2006/relationships" name="REGULATION_QUEUE" sheetId="3" r:id="R4b2d00b1dc914b90"/>
    <x:sheet xmlns:r="http://schemas.openxmlformats.org/officeDocument/2006/relationships" name="RUNS" sheetId="4" r:id="R4c20ab8a152b45e4"/>
    <x:sheet xmlns:r="http://schemas.openxmlformats.org/officeDocument/2006/relationships" name="ITERATIONS" sheetId="5" r:id="Re351f17c0f264991"/>
    <x:sheet xmlns:r="http://schemas.openxmlformats.org/officeDocument/2006/relationships" name="API_CALLS" sheetId="6" r:id="R2ef1e35c6e424f12"/>
    <x:sheet xmlns:r="http://schemas.openxmlformats.org/officeDocument/2006/relationships" name="TERM_RETRIEVAL" sheetId="7" r:id="R4bd01720dc3a426b"/>
    <x:sheet xmlns:r="http://schemas.openxmlformats.org/officeDocument/2006/relationships" name="FEW_SHOT_SELECTION" sheetId="8" r:id="R804218199e69471a"/>
    <x:sheet xmlns:r="http://schemas.openxmlformats.org/officeDocument/2006/relationships" name="VALIDATION" sheetId="9" r:id="R5a1092357eb64450"/>
    <x:sheet xmlns:r="http://schemas.openxmlformats.org/officeDocument/2006/relationships" name="VOCAB_MATCHES" sheetId="10" r:id="Rc5770693e6594558"/>
    <x:sheet xmlns:r="http://schemas.openxmlformats.org/officeDocument/2006/relationships" name="ARTIFACTS" sheetId="11" r:id="Ra478cd507d7b48b4"/>
    <x:sheet xmlns:r="http://schemas.openxmlformats.org/officeDocument/2006/relationships" name="UNRESOLVED" sheetId="12" r:id="Rc475ae18d1724fb7"/>
    <x:sheet xmlns:r="http://schemas.openxmlformats.org/officeDocument/2006/relationships" name="RDF_TEST_QUEUE" sheetId="13" r:id="R487626886854403a"/>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4d278a8014743eb" /><Relationship Type="http://schemas.openxmlformats.org/officeDocument/2006/relationships/theme" Target="/xl/theme/theme1.xml" Id="Rcee5d73303c341bc" /><Relationship Type="http://schemas.microsoft.com/office/2022/11/relationships/FeaturePropertyBag" Target="/xl/featurePropertyBag/featurePropertyBag.xml" Id="R5f10f54670884a44" /><Relationship Type="http://schemas.openxmlformats.org/officeDocument/2006/relationships/sharedStrings" Target="/xl/sharedStrings.xml" Id="R31e278cc9b724674" /><Relationship Type="http://schemas.openxmlformats.org/officeDocument/2006/relationships/worksheet" Target="/xl/worksheets/sheet1.xml" Id="R037df27352d54bc3" /><Relationship Type="http://schemas.openxmlformats.org/officeDocument/2006/relationships/worksheet" Target="/xl/worksheets/sheet2.xml" Id="R227fa307977341c0" /><Relationship Type="http://schemas.openxmlformats.org/officeDocument/2006/relationships/worksheet" Target="/xl/worksheets/sheet3.xml" Id="R4b2d00b1dc914b90" /><Relationship Type="http://schemas.openxmlformats.org/officeDocument/2006/relationships/worksheet" Target="/xl/worksheets/sheet4.xml" Id="R4c20ab8a152b45e4" /><Relationship Type="http://schemas.openxmlformats.org/officeDocument/2006/relationships/worksheet" Target="/xl/worksheets/sheet5.xml" Id="Re351f17c0f264991" /><Relationship Type="http://schemas.openxmlformats.org/officeDocument/2006/relationships/worksheet" Target="/xl/worksheets/sheet6.xml" Id="R2ef1e35c6e424f12" /><Relationship Type="http://schemas.openxmlformats.org/officeDocument/2006/relationships/worksheet" Target="/xl/worksheets/sheet7.xml" Id="R4bd01720dc3a426b" /><Relationship Type="http://schemas.openxmlformats.org/officeDocument/2006/relationships/worksheet" Target="/xl/worksheets/sheet8.xml" Id="R804218199e69471a" /><Relationship Type="http://schemas.openxmlformats.org/officeDocument/2006/relationships/worksheet" Target="/xl/worksheets/sheet9.xml" Id="R5a1092357eb64450" /><Relationship Type="http://schemas.openxmlformats.org/officeDocument/2006/relationships/worksheet" Target="/xl/worksheets/sheet10.xml" Id="Rc5770693e6594558" /><Relationship Type="http://schemas.openxmlformats.org/officeDocument/2006/relationships/worksheet" Target="/xl/worksheets/sheet11.xml" Id="Ra478cd507d7b48b4" /><Relationship Type="http://schemas.openxmlformats.org/officeDocument/2006/relationships/worksheet" Target="/xl/worksheets/sheet12.xml" Id="Rc475ae18d1724fb7" /><Relationship Type="http://schemas.openxmlformats.org/officeDocument/2006/relationships/worksheet" Target="/xl/worksheets/sheet13.xml" Id="R487626886854403a"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6"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3"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a8646537c07b444f" /></Relationships>
</file>

<file path=xl/worksheets/_rels/sheet3.xml.rels>&#65279;<?xml version="1.0" encoding="utf-8"?><Relationships xmlns="http://schemas.openxmlformats.org/package/2006/relationships"><Relationship Type="http://schemas.openxmlformats.org/officeDocument/2006/relationships/table" Target="/xl/tables/table2.xml" Id="Rc20e2a5335f8403b" /></Relationships>
</file>

<file path=xl/worksheets/_rels/sheet4.xml.rels>&#65279;<?xml version="1.0" encoding="utf-8"?><Relationships xmlns="http://schemas.openxmlformats.org/package/2006/relationships"><Relationship Type="http://schemas.openxmlformats.org/officeDocument/2006/relationships/table" Target="/xl/tables/table3.xml" Id="R9c4beebf57a84c00" /></Relationships>
</file>

<file path=xl/worksheets/_rels/sheet5.xml.rels>&#65279;<?xml version="1.0" encoding="utf-8"?><Relationships xmlns="http://schemas.openxmlformats.org/package/2006/relationships"><Relationship Type="http://schemas.openxmlformats.org/officeDocument/2006/relationships/table" Target="/xl/tables/table4.xml" Id="Rd49b2033d9f046b5" /></Relationships>
</file>

<file path=xl/worksheets/_rels/sheet6.xml.rels>&#65279;<?xml version="1.0" encoding="utf-8"?><Relationships xmlns="http://schemas.openxmlformats.org/package/2006/relationships"><Relationship Type="http://schemas.openxmlformats.org/officeDocument/2006/relationships/table" Target="/xl/tables/table5.xml" Id="Rc078efe4b70642a8" /></Relationships>
</file>

<file path=xl/worksheets/_rels/sheet7.xml.rels>&#65279;<?xml version="1.0" encoding="utf-8"?><Relationships xmlns="http://schemas.openxmlformats.org/package/2006/relationships"><Relationship Type="http://schemas.openxmlformats.org/officeDocument/2006/relationships/table" Target="/xl/tables/table6.xml" Id="R077cfc80ea5d4eef" /></Relationships>
</file>

<file path=xl/worksheets/_rels/sheet8.xml.rels>&#65279;<?xml version="1.0" encoding="utf-8"?><Relationships xmlns="http://schemas.openxmlformats.org/package/2006/relationships"><Relationship Type="http://schemas.openxmlformats.org/officeDocument/2006/relationships/table" Target="/xl/tables/table7.xml" Id="R3cf95a9dd59e4075" /></Relationships>
</file>

<file path=xl/worksheets/_rels/sheet9.xml.rels>&#65279;<?xml version="1.0" encoding="utf-8"?><Relationships xmlns="http://schemas.openxmlformats.org/package/2006/relationships"><Relationship Type="http://schemas.openxmlformats.org/officeDocument/2006/relationships/table" Target="/xl/tables/table8.xml" Id="Rec5dfaf2f51440cc" /></Relationships>
</file>

<file path=xl/worksheets/_rels/sheet11.xml.rels>&#65279;<?xml version="1.0" encoding="utf-8"?><Relationships xmlns="http://schemas.openxmlformats.org/package/2006/relationships"><Relationship Type="http://schemas.openxmlformats.org/officeDocument/2006/relationships/table" Target="/xl/tables/table9.xml" Id="R788d67792c52477c" /></Relationships>
</file>

<file path=xl/worksheets/_rels/sheet13.xml.rels>&#65279;<?xml version="1.0" encoding="utf-8"?><Relationships xmlns="http://schemas.openxmlformats.org/package/2006/relationships"><Relationship Type="http://schemas.openxmlformats.org/officeDocument/2006/relationships/table" Target="/xl/tables/table10.xml" Id="R35e8667606744319"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RUN-IMO-120-20260824T024943312277Z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COUNTA('API_CALLS'!$A$5:$A$16)</x:f>
        <x:v>12</x:v>
      </x:c>
      <x:c r="C9" s="21"/>
      <x:c r="D9" s="21"/>
    </x:row>
    <x:row r="10">
      <x:c r="A10" s="27" t="str">
        <x:v>Mean API/LLM elapsed ms</x:v>
      </x:c>
      <x:c r="B10" s="28" t="n">
        <x:f>IFERROR(AVERAGE('API_CALLS'!$K$5:$K$16),0)</x:f>
        <x:v>41450.51783333333</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RUN-IMO-120-20260824T024943312277Z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a8646537c07b444f"/>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RUN-IMO-120-20260824T024943312277Z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GENERATION_ACCEPTED</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c20e2a5335f8403b"/>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RUN-IMO-120-20260824T024943312277Z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SESSION-BATCH-20260823T232935794597Z</x:v>
      </x:c>
      <x:c r="B5" s="69" t="str">
        <x:v>RUN-IMO-120-20260824T024943312277Z</x:v>
      </x:c>
      <x:c r="C5" s="69" t="str">
        <x:v>IMO-120</x:v>
      </x:c>
      <x:c r="D5" s="70" t="n">
        <x:v>46258.11786241898</x:v>
      </x:c>
      <x:c r="E5" s="70" t="n">
        <x:v>46258.12074655093</x:v>
      </x:c>
      <x:c r="F5" s="69" t="str">
        <x:v>development-r13-sol-full268-max4-01</x:v>
      </x:c>
      <x:c r="G5" s="69" t="str">
        <x:v>VOCAB-LOCK-2026-08-22-R13</x:v>
      </x:c>
      <x:c r="H5" s="71" t="n">
        <x:v>3</x:v>
      </x:c>
      <x:c r="I5" s="69" t="str">
        <x:v>GENERATION_ACCEPTED</x:v>
      </x:c>
      <x:c r="J5" s="72" t="b">
        <x:v>1</x:v>
      </x:c>
      <x:c r="K5" s="69" t="str">
        <x:v>final/final_shape.ttl</x:v>
      </x:c>
      <x:c r="L5" s="73" t="str">
        <x:v>Candidate faithfully encodes the verified conditional requirement, preserves the required ship ownership, validates all declared applicability and concentration inputs, enforces every reported nearest distance at the inclusive 12-nautical-mile threshold, and conditionally requires the recorded concentration-area distance when iceConcentration exceeds 1.</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9c4beebf57a84c00"/>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RUN-IMO-120-20260824T024943312277Z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RUN-IMO-120-20260824T024943312277Z</x:v>
      </x:c>
      <x:c r="B5" s="45" t="str">
        <x:v>IMO-120</x:v>
      </x:c>
      <x:c r="C5" s="58" t="n">
        <x:v>1</x:v>
      </x:c>
      <x:c r="D5" s="83" t="b">
        <x:v>1</x:v>
      </x:c>
      <x:c r="E5" s="83" t="b">
        <x:v>0</x:v>
      </x:c>
      <x:c r="F5" s="83" t="b">
        <x:v>0</x:v>
      </x:c>
      <x:c r="G5" s="45" t="str">
        <x:v>REVISE</x:v>
      </x:c>
      <x:c r="H5" s="46" t="str">
        <x:v>Rewrite the applicable-branch constraint to avoid existential accidental-pass logic: the current FILTER NOT EXISTS succeeds when any Cartesian combination has a nearest-distance value &gt;= 12 and a nearby concentration &gt; 1, so another asserted nearest-distance value below 12 can be hidden. Require the applicable inputs and required recorded distance, and reject every reported distanceToNearestLandIceShelfOrFastIce numeric value below 12 (or enforce justified single-valued cardinality). Also give iceConcentration an explicit role in the concentration-above-one-tenth condition rather than leaving it as an optional datatype/unit check, while retaining nearbyIceConcentration as the declared operand and keeping all properties on ship.</x:v>
      </x:c>
      <x:c r="I5" s="84" t="n">
        <x:v>50113.363</x:v>
      </x:c>
      <x:c r="J5" s="84" t="n">
        <x:v>42960.949</x:v>
      </x:c>
    </x:row>
    <x:row r="6">
      <x:c r="A6" s="47" t="str">
        <x:v>RUN-IMO-120-20260824T024943312277Z</x:v>
      </x:c>
      <x:c r="B6" s="47" t="str">
        <x:v>IMO-120</x:v>
      </x:c>
      <x:c r="C6" s="59" t="n">
        <x:v>2</x:v>
      </x:c>
      <x:c r="D6" s="85" t="b">
        <x:v>1</x:v>
      </x:c>
      <x:c r="E6" s="85" t="b">
        <x:v>0</x:v>
      </x:c>
      <x:c r="F6" s="85" t="b">
        <x:v>0</x:v>
      </x:c>
      <x:c r="G6" s="47" t="str">
        <x:v>REVISE</x:v>
      </x:c>
      <x:c r="H6" s="48" t="str">
        <x:v>Retain the corrected every-recorded-value check requiring distanceToNearestLandIceShelfOrFastIce &gt;= 12 nautical miles. Rewrite the concentration logic: require and validate the declared decimal, unitless iceConcentration and nearbyIceConcentration inputs as branch-selection evidence, but do not force both concentrations to exceed 1. Use iceConcentration &gt; 1 as the explicit above-one-tenth condition, retain nearbyIceConcentration as the declared operand, and require distanceFromAreaWithIceConcentrationAboveOneTenth with decimal MI_N structure only when that condition is true. The current second constraint incorrectly rejects valid concentrations at or below 1, while the third incorrectly requires the conditional distance for every Arctic food-waste discharge. Also validate every asserted concentration value so one valid pair cannot mask malformed additional values.</x:v>
      </x:c>
      <x:c r="I6" s="86" t="n">
        <x:v>62872.15</x:v>
      </x:c>
      <x:c r="J6" s="86" t="n">
        <x:v>27013.772</x:v>
      </x:c>
    </x:row>
    <x:row r="7">
      <x:c r="A7" s="49" t="str">
        <x:v>RUN-IMO-120-20260824T024943312277Z</x:v>
      </x:c>
      <x:c r="B7" s="49" t="str">
        <x:v>IMO-120</x:v>
      </x:c>
      <x:c r="C7" s="60" t="n">
        <x:v>3</x:v>
      </x:c>
      <x:c r="D7" s="87" t="b">
        <x:v>1</x:v>
      </x:c>
      <x:c r="E7" s="87" t="b">
        <x:v>1</x:v>
      </x:c>
      <x:c r="F7" s="87" t="b">
        <x:v>0</x:v>
      </x:c>
      <x:c r="G7" s="49" t="str">
        <x:v>ACCEPT</x:v>
      </x:c>
      <x:c r="H7" s="50" t="str">
        <x:v>Candidate faithfully encodes the verified conditional requirement, preserves the required ship ownership, validates all declared applicability and concentration inputs, enforces every reported nearest distance at the inclusive 12-nautical-mile threshold, and conditionally requires the recorded concentration-area distance when iceConcentration exceeds 1.</x:v>
      </x:c>
      <x:c r="I7" s="88" t="n">
        <x:v>53655.586</x:v>
      </x:c>
      <x:c r="J7" s="88" t="n">
        <x:v>12091.21</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d49b2033d9f046b5"/>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RUN-IMO-120-20260824T024943312277Z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EVT-000017</x:v>
      </x:c>
      <x:c r="B5" s="45" t="str">
        <x:v>RUN-IMO-120-20260824T024943312277Z</x:v>
      </x:c>
      <x:c r="C5" s="45" t="str">
        <x:v>IMO-120</x:v>
      </x:c>
      <x:c r="D5" s="92" t="n">
        <x:v>46258.11844244213</x:v>
      </x:c>
      <x:c r="E5" s="45" t="str">
        <x:v>generator</x:v>
      </x:c>
      <x:c r="F5" s="45" t="str">
        <x:v>gpt-5.6-sol-2026-07-09</x:v>
      </x:c>
      <x:c r="G5" s="45" t="n">
        <x:v>1</x:v>
      </x:c>
      <x:c r="H5" s="45" t="n">
        <x:v>200</x:v>
      </x:c>
      <x:c r="I5" s="45" t="str">
        <x:v>Ocp-Apim-Subscription-Key</x:v>
      </x:c>
      <x:c r="J5" s="84" t="n">
        <x:v>0</x:v>
      </x:c>
      <x:c r="K5" s="84" t="n">
        <x:v>50111.831</x:v>
      </x:c>
      <x:c r="L5" s="83" t="b">
        <x:v>0</x:v>
      </x:c>
      <x:c r="M5" s="45" t="str"/>
      <x:c r="N5" s="58" t="str"/>
      <x:c r="O5" s="58" t="str"/>
      <x:c r="P5" s="58" t="str"/>
    </x:row>
    <x:row r="6">
      <x:c r="A6" s="47" t="str">
        <x:v>EVT-000018</x:v>
      </x:c>
      <x:c r="B6" s="47" t="str">
        <x:v>RUN-IMO-120-20260824T024943312277Z</x:v>
      </x:c>
      <x:c r="C6" s="47" t="str">
        <x:v>IMO-120</x:v>
      </x:c>
      <x:c r="D6" s="93" t="n">
        <x:v>46258.118442465275</x:v>
      </x:c>
      <x:c r="E6" s="47" t="str">
        <x:v>generator</x:v>
      </x:c>
      <x:c r="F6" s="47" t="str">
        <x:v>gpt-5.6-sol-2026-07-09</x:v>
      </x:c>
      <x:c r="G6" s="47" t="n">
        <x:v>1</x:v>
      </x:c>
      <x:c r="H6" s="47" t="str">
        <x:v>COMPLETED</x:v>
      </x:c>
      <x:c r="I6" s="47" t="str"/>
      <x:c r="J6" s="86" t="n">
        <x:v>0</x:v>
      </x:c>
      <x:c r="K6" s="86" t="n">
        <x:v>50113.363</x:v>
      </x:c>
      <x:c r="L6" s="85" t="b">
        <x:v>0</x:v>
      </x:c>
      <x:c r="M6" s="47" t="str">
        <x:v>resp_0a009f6e597f35bb006a8bb1476b708196bc4fa4b52691e3b1</x:v>
      </x:c>
      <x:c r="N6" s="59" t="n">
        <x:v>8346</x:v>
      </x:c>
      <x:c r="O6" s="59" t="n">
        <x:v>3874</x:v>
      </x:c>
      <x:c r="P6" s="59" t="n">
        <x:v>12220</x:v>
      </x:c>
    </x:row>
    <x:row r="7">
      <x:c r="A7" s="47" t="str">
        <x:v>EVT-000025</x:v>
      </x:c>
      <x:c r="B7" s="47" t="str">
        <x:v>RUN-IMO-120-20260824T024943312277Z</x:v>
      </x:c>
      <x:c r="C7" s="47" t="str">
        <x:v>IMO-120</x:v>
      </x:c>
      <x:c r="D7" s="93" t="n">
        <x:v>46258.11894140046</x:v>
      </x:c>
      <x:c r="E7" s="47" t="str">
        <x:v>validator</x:v>
      </x:c>
      <x:c r="F7" s="47" t="str">
        <x:v>gpt-5.6-sol-2026-07-09</x:v>
      </x:c>
      <x:c r="G7" s="47" t="n">
        <x:v>1</x:v>
      </x:c>
      <x:c r="H7" s="47" t="n">
        <x:v>200</x:v>
      </x:c>
      <x:c r="I7" s="47" t="str">
        <x:v>Ocp-Apim-Subscription-Key</x:v>
      </x:c>
      <x:c r="J7" s="86" t="n">
        <x:v>0</x:v>
      </x:c>
      <x:c r="K7" s="86" t="n">
        <x:v>42959.658</x:v>
      </x:c>
      <x:c r="L7" s="85" t="b">
        <x:v>0</x:v>
      </x:c>
      <x:c r="M7" s="47" t="str"/>
      <x:c r="N7" s="59" t="str"/>
      <x:c r="O7" s="59" t="str"/>
      <x:c r="P7" s="59" t="str"/>
    </x:row>
    <x:row r="8">
      <x:c r="A8" s="47" t="str">
        <x:v>EVT-000026</x:v>
      </x:c>
      <x:c r="B8" s="47" t="str">
        <x:v>RUN-IMO-120-20260824T024943312277Z</x:v>
      </x:c>
      <x:c r="C8" s="47" t="str">
        <x:v>IMO-120</x:v>
      </x:c>
      <x:c r="D8" s="93" t="n">
        <x:v>46258.11894141204</x:v>
      </x:c>
      <x:c r="E8" s="47" t="str">
        <x:v>validator</x:v>
      </x:c>
      <x:c r="F8" s="47" t="str">
        <x:v>gpt-5.6-sol-2026-07-09</x:v>
      </x:c>
      <x:c r="G8" s="47" t="n">
        <x:v>1</x:v>
      </x:c>
      <x:c r="H8" s="47" t="str">
        <x:v>COMPLETED</x:v>
      </x:c>
      <x:c r="I8" s="47" t="str"/>
      <x:c r="J8" s="86" t="n">
        <x:v>0</x:v>
      </x:c>
      <x:c r="K8" s="86" t="n">
        <x:v>42960.949</x:v>
      </x:c>
      <x:c r="L8" s="85" t="b">
        <x:v>0</x:v>
      </x:c>
      <x:c r="M8" s="47" t="str">
        <x:v>resp_0f501c84b2533c79006a8bb179aa448194bc03b9694b0f366c</x:v>
      </x:c>
      <x:c r="N8" s="59" t="n">
        <x:v>7848</x:v>
      </x:c>
      <x:c r="O8" s="59" t="n">
        <x:v>2889</x:v>
      </x:c>
      <x:c r="P8" s="59" t="n">
        <x:v>10737</x:v>
      </x:c>
    </x:row>
    <x:row r="9">
      <x:c r="A9" s="47" t="str">
        <x:v>EVT-000031</x:v>
      </x:c>
      <x:c r="B9" s="47" t="str">
        <x:v>RUN-IMO-120-20260824T024943312277Z</x:v>
      </x:c>
      <x:c r="C9" s="47" t="str">
        <x:v>IMO-120</x:v>
      </x:c>
      <x:c r="D9" s="93" t="n">
        <x:v>46258.1196691088</x:v>
      </x:c>
      <x:c r="E9" s="47" t="str">
        <x:v>generator</x:v>
      </x:c>
      <x:c r="F9" s="47" t="str">
        <x:v>gpt-5.6-sol-2026-07-09</x:v>
      </x:c>
      <x:c r="G9" s="47" t="n">
        <x:v>1</x:v>
      </x:c>
      <x:c r="H9" s="47" t="n">
        <x:v>200</x:v>
      </x:c>
      <x:c r="I9" s="47" t="str">
        <x:v>Ocp-Apim-Subscription-Key</x:v>
      </x:c>
      <x:c r="J9" s="86" t="n">
        <x:v>0</x:v>
      </x:c>
      <x:c r="K9" s="86" t="n">
        <x:v>62870.502</x:v>
      </x:c>
      <x:c r="L9" s="85" t="b">
        <x:v>0</x:v>
      </x:c>
      <x:c r="M9" s="47" t="str"/>
      <x:c r="N9" s="59" t="str"/>
      <x:c r="O9" s="59" t="str"/>
      <x:c r="P9" s="59" t="str"/>
    </x:row>
    <x:row r="10">
      <x:c r="A10" s="47" t="str">
        <x:v>EVT-000032</x:v>
      </x:c>
      <x:c r="B10" s="47" t="str">
        <x:v>RUN-IMO-120-20260824T024943312277Z</x:v>
      </x:c>
      <x:c r="C10" s="47" t="str">
        <x:v>IMO-120</x:v>
      </x:c>
      <x:c r="D10" s="93" t="n">
        <x:v>46258.11966913194</x:v>
      </x:c>
      <x:c r="E10" s="47" t="str">
        <x:v>generator</x:v>
      </x:c>
      <x:c r="F10" s="47" t="str">
        <x:v>gpt-5.6-sol-2026-07-09</x:v>
      </x:c>
      <x:c r="G10" s="47" t="n">
        <x:v>1</x:v>
      </x:c>
      <x:c r="H10" s="47" t="str">
        <x:v>COMPLETED</x:v>
      </x:c>
      <x:c r="I10" s="47" t="str"/>
      <x:c r="J10" s="86" t="n">
        <x:v>0</x:v>
      </x:c>
      <x:c r="K10" s="86" t="n">
        <x:v>62872.15</x:v>
      </x:c>
      <x:c r="L10" s="85" t="b">
        <x:v>0</x:v>
      </x:c>
      <x:c r="M10" s="47" t="str">
        <x:v>resp_0d72eed332147566006a8bb1a4a3e48193a177bf2a58a6bd5f</x:v>
      </x:c>
      <x:c r="N10" s="59" t="n">
        <x:v>8480</x:v>
      </x:c>
      <x:c r="O10" s="59" t="n">
        <x:v>4607</x:v>
      </x:c>
      <x:c r="P10" s="59" t="n">
        <x:v>13087</x:v>
      </x:c>
    </x:row>
    <x:row r="11">
      <x:c r="A11" s="47" t="str">
        <x:v>EVT-000039</x:v>
      </x:c>
      <x:c r="B11" s="47" t="str">
        <x:v>RUN-IMO-120-20260824T024943312277Z</x:v>
      </x:c>
      <x:c r="C11" s="47" t="str">
        <x:v>IMO-120</x:v>
      </x:c>
      <x:c r="D11" s="93" t="n">
        <x:v>46258.119983206016</x:v>
      </x:c>
      <x:c r="E11" s="47" t="str">
        <x:v>validator</x:v>
      </x:c>
      <x:c r="F11" s="47" t="str">
        <x:v>gpt-5.6-sol-2026-07-09</x:v>
      </x:c>
      <x:c r="G11" s="47" t="n">
        <x:v>1</x:v>
      </x:c>
      <x:c r="H11" s="47" t="n">
        <x:v>200</x:v>
      </x:c>
      <x:c r="I11" s="47" t="str">
        <x:v>Ocp-Apim-Subscription-Key</x:v>
      </x:c>
      <x:c r="J11" s="86" t="n">
        <x:v>0</x:v>
      </x:c>
      <x:c r="K11" s="86" t="n">
        <x:v>27012.896</x:v>
      </x:c>
      <x:c r="L11" s="85" t="b">
        <x:v>0</x:v>
      </x:c>
      <x:c r="M11" s="47" t="str"/>
      <x:c r="N11" s="59" t="str"/>
      <x:c r="O11" s="59" t="str"/>
      <x:c r="P11" s="59" t="str"/>
    </x:row>
    <x:row r="12">
      <x:c r="A12" s="47" t="str">
        <x:v>EVT-000040</x:v>
      </x:c>
      <x:c r="B12" s="47" t="str">
        <x:v>RUN-IMO-120-20260824T024943312277Z</x:v>
      </x:c>
      <x:c r="C12" s="47" t="str">
        <x:v>IMO-120</x:v>
      </x:c>
      <x:c r="D12" s="93" t="n">
        <x:v>46258.11998321759</x:v>
      </x:c>
      <x:c r="E12" s="47" t="str">
        <x:v>validator</x:v>
      </x:c>
      <x:c r="F12" s="47" t="str">
        <x:v>gpt-5.6-sol-2026-07-09</x:v>
      </x:c>
      <x:c r="G12" s="47" t="n">
        <x:v>1</x:v>
      </x:c>
      <x:c r="H12" s="47" t="str">
        <x:v>COMPLETED</x:v>
      </x:c>
      <x:c r="I12" s="47" t="str"/>
      <x:c r="J12" s="86" t="n">
        <x:v>0</x:v>
      </x:c>
      <x:c r="K12" s="86" t="n">
        <x:v>27013.772</x:v>
      </x:c>
      <x:c r="L12" s="85" t="b">
        <x:v>0</x:v>
      </x:c>
      <x:c r="M12" s="47" t="str">
        <x:v>resp_0d53871f48ed3734006a8bb1e3a54c8197bcd42b8a7574dbad</x:v>
      </x:c>
      <x:c r="N12" s="59" t="n">
        <x:v>8411</x:v>
      </x:c>
      <x:c r="O12" s="59" t="n">
        <x:v>1775</x:v>
      </x:c>
      <x:c r="P12" s="59" t="n">
        <x:v>10186</x:v>
      </x:c>
    </x:row>
    <x:row r="13">
      <x:c r="A13" s="47" t="str">
        <x:v>EVT-000045</x:v>
      </x:c>
      <x:c r="B13" s="47" t="str">
        <x:v>RUN-IMO-120-20260824T024943312277Z</x:v>
      </x:c>
      <x:c r="C13" s="47" t="str">
        <x:v>IMO-120</x:v>
      </x:c>
      <x:c r="D13" s="93" t="n">
        <x:v>46258.120604247684</x:v>
      </x:c>
      <x:c r="E13" s="47" t="str">
        <x:v>generator</x:v>
      </x:c>
      <x:c r="F13" s="47" t="str">
        <x:v>gpt-5.6-sol-2026-07-09</x:v>
      </x:c>
      <x:c r="G13" s="47" t="n">
        <x:v>1</x:v>
      </x:c>
      <x:c r="H13" s="47" t="n">
        <x:v>200</x:v>
      </x:c>
      <x:c r="I13" s="47" t="str">
        <x:v>Ocp-Apim-Subscription-Key</x:v>
      </x:c>
      <x:c r="J13" s="86" t="n">
        <x:v>0</x:v>
      </x:c>
      <x:c r="K13" s="86" t="n">
        <x:v>53654.128</x:v>
      </x:c>
      <x:c r="L13" s="85" t="b">
        <x:v>0</x:v>
      </x:c>
      <x:c r="M13" s="47" t="str"/>
      <x:c r="N13" s="59" t="str"/>
      <x:c r="O13" s="59" t="str"/>
      <x:c r="P13" s="59" t="str"/>
    </x:row>
    <x:row r="14">
      <x:c r="A14" s="47" t="str">
        <x:v>EVT-000046</x:v>
      </x:c>
      <x:c r="B14" s="47" t="str">
        <x:v>RUN-IMO-120-20260824T024943312277Z</x:v>
      </x:c>
      <x:c r="C14" s="47" t="str">
        <x:v>IMO-120</x:v>
      </x:c>
      <x:c r="D14" s="93" t="n">
        <x:v>46258.12060425926</x:v>
      </x:c>
      <x:c r="E14" s="47" t="str">
        <x:v>generator</x:v>
      </x:c>
      <x:c r="F14" s="47" t="str">
        <x:v>gpt-5.6-sol-2026-07-09</x:v>
      </x:c>
      <x:c r="G14" s="47" t="n">
        <x:v>1</x:v>
      </x:c>
      <x:c r="H14" s="47" t="str">
        <x:v>COMPLETED</x:v>
      </x:c>
      <x:c r="I14" s="47" t="str"/>
      <x:c r="J14" s="86" t="n">
        <x:v>0</x:v>
      </x:c>
      <x:c r="K14" s="86" t="n">
        <x:v>53655.586</x:v>
      </x:c>
      <x:c r="L14" s="85" t="b">
        <x:v>0</x:v>
      </x:c>
      <x:c r="M14" s="47" t="str">
        <x:v>resp_0cc2a569f96ce3ad006a8bb1fea6b8819497590ebbae5a1059</x:v>
      </x:c>
      <x:c r="N14" s="59" t="n">
        <x:v>8645</x:v>
      </x:c>
      <x:c r="O14" s="59" t="n">
        <x:v>3869</x:v>
      </x:c>
      <x:c r="P14" s="59" t="n">
        <x:v>12514</x:v>
      </x:c>
    </x:row>
    <x:row r="15">
      <x:c r="A15" s="47" t="str">
        <x:v>EVT-000053</x:v>
      </x:c>
      <x:c r="B15" s="47" t="str">
        <x:v>RUN-IMO-120-20260824T024943312277Z</x:v>
      </x:c>
      <x:c r="C15" s="47" t="str">
        <x:v>IMO-120</x:v>
      </x:c>
      <x:c r="D15" s="93" t="n">
        <x:v>46258.12074648148</x:v>
      </x:c>
      <x:c r="E15" s="47" t="str">
        <x:v>validator</x:v>
      </x:c>
      <x:c r="F15" s="47" t="str">
        <x:v>gpt-5.6-sol-2026-07-09</x:v>
      </x:c>
      <x:c r="G15" s="47" t="n">
        <x:v>1</x:v>
      </x:c>
      <x:c r="H15" s="47" t="n">
        <x:v>200</x:v>
      </x:c>
      <x:c r="I15" s="47" t="str">
        <x:v>Ocp-Apim-Subscription-Key</x:v>
      </x:c>
      <x:c r="J15" s="86" t="n">
        <x:v>0</x:v>
      </x:c>
      <x:c r="K15" s="86" t="n">
        <x:v>12090.169</x:v>
      </x:c>
      <x:c r="L15" s="85" t="b">
        <x:v>0</x:v>
      </x:c>
      <x:c r="M15" s="47" t="str"/>
      <x:c r="N15" s="59" t="str"/>
      <x:c r="O15" s="59" t="str"/>
      <x:c r="P15" s="59" t="str"/>
    </x:row>
    <x:row r="16">
      <x:c r="A16" s="49" t="str">
        <x:v>EVT-000054</x:v>
      </x:c>
      <x:c r="B16" s="49" t="str">
        <x:v>RUN-IMO-120-20260824T024943312277Z</x:v>
      </x:c>
      <x:c r="C16" s="49" t="str">
        <x:v>IMO-120</x:v>
      </x:c>
      <x:c r="D16" s="94" t="n">
        <x:v>46258.120746493056</x:v>
      </x:c>
      <x:c r="E16" s="49" t="str">
        <x:v>validator</x:v>
      </x:c>
      <x:c r="F16" s="49" t="str">
        <x:v>gpt-5.6-sol-2026-07-09</x:v>
      </x:c>
      <x:c r="G16" s="49" t="n">
        <x:v>1</x:v>
      </x:c>
      <x:c r="H16" s="49" t="str">
        <x:v>COMPLETED</x:v>
      </x:c>
      <x:c r="I16" s="49" t="str"/>
      <x:c r="J16" s="88" t="n">
        <x:v>0</x:v>
      </x:c>
      <x:c r="K16" s="88" t="n">
        <x:v>12091.21</x:v>
      </x:c>
      <x:c r="L16" s="87" t="b">
        <x:v>0</x:v>
      </x:c>
      <x:c r="M16" s="49" t="str">
        <x:v>resp_08681b1cf2a78e7a006a8bb23487688197b9675bd05ced7cb1</x:v>
      </x:c>
      <x:c r="N16" s="60" t="n">
        <x:v>8442</x:v>
      </x:c>
      <x:c r="O16" s="60" t="n">
        <x:v>737</x:v>
      </x:c>
      <x:c r="P16" s="60" t="n">
        <x:v>9179</x:v>
      </x:c>
    </x:row>
  </x:sheetData>
  <x:conditionalFormatting sqref="H5:H16">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c078efe4b70642a8"/>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RUN-IMO-120-20260824T024943312277Z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RUN-IMO-120-20260824T024943312277Z</x:v>
      </x:c>
      <x:c r="B5" s="45" t="str">
        <x:v>IMO-120</x:v>
      </x:c>
      <x:c r="C5" s="45" t="str">
        <x:v>arcticWaters</x:v>
      </x:c>
      <x:c r="D5" s="46" t="str">
        <x:v>https://w3id.org/nltl/vocab#arcticWaters</x:v>
      </x:c>
      <x:c r="E5" s="45" t="str">
        <x:v>DatatypeProperty</x:v>
      </x:c>
      <x:c r="F5" s="45" t="str">
        <x:v>xsd:string</x:v>
      </x:c>
      <x:c r="G5" s="45" t="str">
        <x:v>http://www.w3.org/2001/XMLSchema#string</x:v>
      </x:c>
      <x:c r="H5" s="45" t="str"/>
      <x:c r="I5" s="46" t="str">
        <x:v>linked by the locked 313-requirement index</x:v>
      </x:c>
      <x:c r="J5" s="45" t="n">
        <x:v>0</x:v>
      </x:c>
    </x:row>
    <x:row r="6">
      <x:c r="A6" s="47" t="str">
        <x:v>RUN-IMO-120-20260824T024943312277Z</x:v>
      </x:c>
      <x:c r="B6" s="47" t="str">
        <x:v>IMO-120</x:v>
      </x:c>
      <x:c r="C6" s="47" t="str">
        <x:v>benchmarkEntity</x:v>
      </x:c>
      <x:c r="D6" s="48" t="str">
        <x:v>https://w3id.org/nltl/vocab#benchmarkEntity</x:v>
      </x:c>
      <x:c r="E6" s="47" t="str">
        <x:v>Class</x:v>
      </x:c>
      <x:c r="F6" s="47" t="str"/>
      <x:c r="G6" s="47" t="str"/>
      <x:c r="H6" s="47" t="str"/>
      <x:c r="I6" s="48" t="str">
        <x:v>baseline target infrastructure; domain dependency of arcticWaters; domain dependency of distanceToNearestLandIceShelfOrFastIce; domain dependency of foodWasteDischargeToSea; domain dependency of iceConcentration; domain dependency of nearbyIceConcentration; domain dependency of operatingArea</x:v>
      </x:c>
      <x:c r="J6" s="47" t="n">
        <x:v>0</x:v>
      </x:c>
    </x:row>
    <x:row r="7">
      <x:c r="A7" s="47" t="str">
        <x:v>RUN-IMO-120-20260824T024943312277Z</x:v>
      </x:c>
      <x:c r="B7" s="47" t="str">
        <x:v>IMO-120</x:v>
      </x:c>
      <x:c r="C7" s="47" t="str">
        <x:v>distanceFromAreaWithIceConcentrationAboveOneTenth</x:v>
      </x:c>
      <x:c r="D7" s="48" t="str">
        <x:v>https://w3id.org/nltl/vocab#distanceFromAreaWithIceConcentrationAboveOneTenth</x:v>
      </x:c>
      <x:c r="E7" s="47" t="str">
        <x:v>QuantityProperty</x:v>
      </x:c>
      <x:c r="F7" s="47" t="str"/>
      <x:c r="G7" s="47" t="str">
        <x:v>http://qudt.org/schema/qudt/QuantityValue</x:v>
      </x:c>
      <x:c r="H7" s="47" t="str">
        <x:v>http://qudt.org/vocab/unit/MI_N</x:v>
      </x:c>
      <x:c r="I7" s="48" t="str">
        <x:v>linked by the locked 313-requirement index</x:v>
      </x:c>
      <x:c r="J7" s="47" t="n">
        <x:v>0</x:v>
      </x:c>
    </x:row>
    <x:row r="8">
      <x:c r="A8" s="47" t="str">
        <x:v>RUN-IMO-120-20260824T024943312277Z</x:v>
      </x:c>
      <x:c r="B8" s="47" t="str">
        <x:v>IMO-120</x:v>
      </x:c>
      <x:c r="C8" s="47" t="str">
        <x:v>distanceToNearestLandIceShelfOrFastIce</x:v>
      </x:c>
      <x:c r="D8" s="48" t="str">
        <x:v>https://w3id.org/nltl/vocab#distanceToNearestLandIceShelfOrFastIce</x:v>
      </x:c>
      <x:c r="E8" s="47" t="str">
        <x:v>QuantityProperty</x:v>
      </x:c>
      <x:c r="F8" s="47" t="str"/>
      <x:c r="G8" s="47" t="str">
        <x:v>http://qudt.org/schema/qudt/QuantityValue</x:v>
      </x:c>
      <x:c r="H8" s="47" t="str">
        <x:v>http://qudt.org/vocab/unit/MI_N</x:v>
      </x:c>
      <x:c r="I8" s="48" t="str">
        <x:v>linked by the locked 313-requirement index</x:v>
      </x:c>
      <x:c r="J8" s="47" t="n">
        <x:v>0</x:v>
      </x:c>
    </x:row>
    <x:row r="9">
      <x:c r="A9" s="47" t="str">
        <x:v>RUN-IMO-120-20260824T024943312277Z</x:v>
      </x:c>
      <x:c r="B9" s="47" t="str">
        <x:v>IMO-120</x:v>
      </x:c>
      <x:c r="C9" s="47" t="str">
        <x:v>foodWasteDischargeToSea</x:v>
      </x:c>
      <x:c r="D9" s="48" t="str">
        <x:v>https://w3id.org/nltl/vocab#foodWasteDischargeToSea</x:v>
      </x:c>
      <x:c r="E9" s="47" t="str">
        <x:v>DatatypeProperty</x:v>
      </x:c>
      <x:c r="F9" s="47" t="str">
        <x:v>xsd:boolean</x:v>
      </x:c>
      <x:c r="G9" s="47" t="str">
        <x:v>http://www.w3.org/2001/XMLSchema#boolean</x:v>
      </x:c>
      <x:c r="H9" s="47" t="str"/>
      <x:c r="I9" s="48" t="str">
        <x:v>linked by the locked 313-requirement index</x:v>
      </x:c>
      <x:c r="J9" s="47" t="n">
        <x:v>0</x:v>
      </x:c>
    </x:row>
    <x:row r="10">
      <x:c r="A10" s="47" t="str">
        <x:v>RUN-IMO-120-20260824T024943312277Z</x:v>
      </x:c>
      <x:c r="B10" s="47" t="str">
        <x:v>IMO-120</x:v>
      </x:c>
      <x:c r="C10" s="47" t="str">
        <x:v>iceConcentration</x:v>
      </x:c>
      <x:c r="D10" s="48" t="str">
        <x:v>https://w3id.org/nltl/vocab#iceConcentration</x:v>
      </x:c>
      <x:c r="E10" s="47" t="str">
        <x:v>QuantityProperty</x:v>
      </x:c>
      <x:c r="F10" s="47" t="str"/>
      <x:c r="G10" s="47" t="str">
        <x:v>http://qudt.org/schema/qudt/QuantityValue</x:v>
      </x:c>
      <x:c r="H10" s="47" t="str">
        <x:v>http://qudt.org/vocab/unit/UNITLESS</x:v>
      </x:c>
      <x:c r="I10" s="48" t="str">
        <x:v>linked by the locked 313-requirement index</x:v>
      </x:c>
      <x:c r="J10" s="47" t="n">
        <x:v>0</x:v>
      </x:c>
    </x:row>
    <x:row r="11">
      <x:c r="A11" s="47" t="str">
        <x:v>RUN-IMO-120-20260824T024943312277Z</x:v>
      </x:c>
      <x:c r="B11" s="47" t="str">
        <x:v>IMO-120</x:v>
      </x:c>
      <x:c r="C11" s="47" t="str">
        <x:v>nearbyIceConcentration</x:v>
      </x:c>
      <x:c r="D11" s="48" t="str">
        <x:v>https://w3id.org/nltl/vocab#nearbyIceConcentration</x:v>
      </x:c>
      <x:c r="E11" s="47" t="str">
        <x:v>QuantityProperty</x:v>
      </x:c>
      <x:c r="F11" s="47" t="str"/>
      <x:c r="G11" s="47" t="str">
        <x:v>http://qudt.org/schema/qudt/QuantityValue</x:v>
      </x:c>
      <x:c r="H11" s="47" t="str">
        <x:v>http://qudt.org/vocab/unit/UNITLESS</x:v>
      </x:c>
      <x:c r="I11" s="48" t="str">
        <x:v>linked by the locked 313-requirement index</x:v>
      </x:c>
      <x:c r="J11" s="47" t="n">
        <x:v>0</x:v>
      </x:c>
    </x:row>
    <x:row r="12">
      <x:c r="A12" s="47" t="str">
        <x:v>RUN-IMO-120-20260824T024943312277Z</x:v>
      </x:c>
      <x:c r="B12" s="47" t="str">
        <x:v>IMO-120</x:v>
      </x:c>
      <x:c r="C12" s="47" t="str">
        <x:v>operatingArea</x:v>
      </x:c>
      <x:c r="D12" s="48" t="str">
        <x:v>https://w3id.org/nltl/vocab#operatingArea</x:v>
      </x:c>
      <x:c r="E12" s="47" t="str">
        <x:v>DatatypeProperty</x:v>
      </x:c>
      <x:c r="F12" s="47" t="str">
        <x:v>xsd:string</x:v>
      </x:c>
      <x:c r="G12" s="47" t="str">
        <x:v>http://www.w3.org/2001/XMLSchema#string</x:v>
      </x:c>
      <x:c r="H12" s="47" t="str"/>
      <x:c r="I12" s="48" t="str">
        <x:v>linked by the locked 313-requirement index</x:v>
      </x:c>
      <x:c r="J12" s="47" t="n">
        <x:v>0</x:v>
      </x:c>
    </x:row>
    <x:row r="13">
      <x:c r="A13" s="49" t="str">
        <x:v>RUN-IMO-120-20260824T024943312277Z</x:v>
      </x:c>
      <x:c r="B13" s="49" t="str">
        <x:v>IMO-120</x:v>
      </x:c>
      <x:c r="C13" s="49" t="str">
        <x:v>ship</x:v>
      </x:c>
      <x:c r="D13" s="50" t="str">
        <x:v>https://w3id.org/nltl/vocab#ship</x:v>
      </x:c>
      <x:c r="E13" s="49" t="str">
        <x:v>Class</x:v>
      </x:c>
      <x:c r="F13" s="49" t="str"/>
      <x:c r="G13" s="49" t="str"/>
      <x:c r="H13" s="49" t="str"/>
      <x:c r="I13" s="50" t="str">
        <x:v>authoritative required owner class; authoritative requirement target owner; baseline target infrastructure; domain dependency of distanceFromAreaWithIceConcentrationAboveOneTenth</x:v>
      </x:c>
      <x:c r="J13" s="49" t="n">
        <x:v>0</x:v>
      </x:c>
    </x:row>
  </x:sheetData>
  <x:pageMargins left="0.7" right="0.7" top="0.75" bottom="0.75" header="0.3" footer="0.3"/>
  <x:tableParts count="1">
    <x:tablePart xmlns:r="http://schemas.openxmlformats.org/officeDocument/2006/relationships" r:id="R077cfc80ea5d4eef"/>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RUN-IMO-120-20260824T024943312277Z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RUN-IMO-120-20260824T024943312277Z</x:v>
      </x:c>
      <x:c r="B5" s="45" t="str">
        <x:v>IMO-120</x:v>
      </x:c>
      <x:c r="C5" s="45" t="str">
        <x:v>FS-INT-02</x:v>
      </x:c>
      <x:c r="D5" s="45" t="str">
        <x:v>conditional_integrated</x:v>
      </x:c>
      <x:c r="E5" s="97" t="n">
        <x:v>0.059701</x:v>
      </x:c>
      <x:c r="F5" s="45" t="str">
        <x:v>boolean | conditional | quantity | value</x:v>
      </x:c>
      <x:c r="G5" s="45" t="str">
        <x:v>synthetic-few-shot-not-benchmark-ground-truth</x:v>
      </x:c>
    </x:row>
    <x:row r="6">
      <x:c r="A6" s="49" t="str">
        <x:v>RUN-IMO-120-20260824T024943312277Z</x:v>
      </x:c>
      <x:c r="B6" s="49" t="str">
        <x:v>IMO-120</x:v>
      </x:c>
      <x:c r="C6" s="49" t="str">
        <x:v>FS-BOOL-01</x:v>
      </x:c>
      <x:c r="D6" s="49" t="str">
        <x:v>boolean_state</x:v>
      </x:c>
      <x:c r="E6" s="98" t="n">
        <x:v>0.045455</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3cf95a9dd59e4075"/>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RUN-IMO-120-20260824T024943312277Z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RUN-IMO-120-20260824T024943312277Z</x:v>
      </x:c>
      <x:c r="B5" s="45" t="str">
        <x:v>IMO-120</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https://w3id.org/nltl/vocab#arcticWaters | https://w3id.org/nltl/vocab#distanceFromAreaWithIceConcentrationAboveOneTenth | https://w3id.org/nltl/vocab#distanceToNearestLandIceShelfOrFastIce | https://w3id.org/nltl/vocab#foodWasteDischargeToSea | https://w3id.org/nltl/vocab#iceConcentration | https://w3id.org/nltl/vocab#nearbyIceConcentration | https://w3id.org/nltl/vocab#operatingArea | https://w3id.org/nltl/vocab#ship</x:v>
      </x:c>
      <x:c r="O5" s="46" t="str"/>
      <x:c r="P5" s="46" t="str"/>
      <x:c r="Q5" s="46" t="str"/>
    </x:row>
    <x:row r="6">
      <x:c r="A6" s="47" t="str">
        <x:v>RUN-IMO-120-20260824T024943312277Z</x:v>
      </x:c>
      <x:c r="B6" s="47" t="str">
        <x:v>IMO-120</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https://w3id.org/nltl/vocab#arcticWaters | https://w3id.org/nltl/vocab#distanceFromAreaWithIceConcentrationAboveOneTenth | https://w3id.org/nltl/vocab#distanceToNearestLandIceShelfOrFastIce | https://w3id.org/nltl/vocab#foodWasteDischargeToSea | https://w3id.org/nltl/vocab#iceConcentration | https://w3id.org/nltl/vocab#nearbyIceConcentration | https://w3id.org/nltl/vocab#operatingArea | https://w3id.org/nltl/vocab#ship</x:v>
      </x:c>
      <x:c r="O6" s="48" t="str"/>
      <x:c r="P6" s="48" t="str"/>
      <x:c r="Q6" s="48" t="str"/>
    </x:row>
    <x:row r="7">
      <x:c r="A7" s="49" t="str">
        <x:v>RUN-IMO-120-20260824T024943312277Z</x:v>
      </x:c>
      <x:c r="B7" s="49" t="str">
        <x:v>IMO-120</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https://w3id.org/nltl/vocab#arcticWaters | https://w3id.org/nltl/vocab#distanceFromAreaWithIceConcentrationAboveOneTenth | https://w3id.org/nltl/vocab#distanceToNearestLandIceShelfOrFastIce | https://w3id.org/nltl/vocab#foodWasteDischargeToSea | https://w3id.org/nltl/vocab#iceConcentration | https://w3id.org/nltl/vocab#nearbyIceConcentration | https://w3id.org/nltl/vocab#operatingArea | https://w3id.org/nltl/vocab#ship</x:v>
      </x:c>
      <x:c r="O7" s="50" t="str"/>
      <x:c r="P7" s="50" t="str"/>
      <x:c r="Q7" s="50" t="str"/>
    </x:row>
  </x:sheetData>
  <x:pageMargins left="0.7" right="0.7" top="0.75" bottom="0.75" header="0.3" footer="0.3"/>
  <x:tableParts count="1">
    <x:tablePart xmlns:r="http://schemas.openxmlformats.org/officeDocument/2006/relationships" r:id="Rec5dfaf2f51440cc"/>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RUN-IMO-120-20260824T024943312277Z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RUN-IMO-120-20260824T024943312277Z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RUN-IMO-120-20260824T024943312277Z</x:v>
      </x:c>
      <x:c r="B5" s="45" t="str">
        <x:v>IMO-120</x:v>
      </x:c>
      <x:c r="C5" s="58"/>
      <x:c r="D5" s="45" t="str">
        <x:v>initial_context_pack</x:v>
      </x:c>
      <x:c r="E5" s="46" t="str">
        <x:v>artifacts/context_pack_initial.json</x:v>
      </x:c>
      <x:c r="F5" s="45" t="str">
        <x:v>9f6a1943525efcbd364095cd226e4fa100700786ef38fa11eccc80eaa230b585</x:v>
      </x:c>
      <x:c r="G5" s="58" t="n">
        <x:v>16104</x:v>
      </x:c>
    </x:row>
    <x:row r="6">
      <x:c r="A6" s="47" t="str">
        <x:v>RUN-IMO-120-20260824T024943312277Z</x:v>
      </x:c>
      <x:c r="B6" s="47" t="str">
        <x:v>IMO-120</x:v>
      </x:c>
      <x:c r="C6" s="59"/>
      <x:c r="D6" s="47" t="str">
        <x:v>few_shot_selection</x:v>
      </x:c>
      <x:c r="E6" s="48" t="str">
        <x:v>artifacts/few_shots_selected.json</x:v>
      </x:c>
      <x:c r="F6" s="47" t="str">
        <x:v>2931f21051531e4159e8e31bd484d741a0ec2fc3e300d191f864db8d3620ef96</x:v>
      </x:c>
      <x:c r="G6" s="59" t="n">
        <x:v>6149</x:v>
      </x:c>
    </x:row>
    <x:row r="7">
      <x:c r="A7" s="47" t="str">
        <x:v>RUN-IMO-120-20260824T024943312277Z</x:v>
      </x:c>
      <x:c r="B7" s="47" t="str">
        <x:v>IMO-120</x:v>
      </x:c>
      <x:c r="C7" s="59" t="n">
        <x:v>1</x:v>
      </x:c>
      <x:c r="D7" s="47" t="str">
        <x:v>generator_prompt</x:v>
      </x:c>
      <x:c r="E7" s="48" t="str">
        <x:v>artifacts/attempt_01/generator_prompt.txt</x:v>
      </x:c>
      <x:c r="F7" s="47" t="str">
        <x:v>a8981f115d441d52632c9d2740a05c97eb78831c66436d5109d3db4b1c1fc6fd</x:v>
      </x:c>
      <x:c r="G7" s="59" t="n">
        <x:v>33867</x:v>
      </x:c>
    </x:row>
    <x:row r="8">
      <x:c r="A8" s="47" t="str">
        <x:v>RUN-IMO-120-20260824T024943312277Z</x:v>
      </x:c>
      <x:c r="B8" s="47" t="str">
        <x:v>IMO-120</x:v>
      </x:c>
      <x:c r="C8" s="59" t="n">
        <x:v>1</x:v>
      </x:c>
      <x:c r="D8" s="47" t="str">
        <x:v>generator_raw_response</x:v>
      </x:c>
      <x:c r="E8" s="48" t="str">
        <x:v>artifacts/attempt_01/generator_raw.txt</x:v>
      </x:c>
      <x:c r="F8" s="47" t="str">
        <x:v>c2c62e9e9bf286518861420d700ceeaac571700f424bbe432336703d37eec102</x:v>
      </x:c>
      <x:c r="G8" s="59" t="n">
        <x:v>3874</x:v>
      </x:c>
    </x:row>
    <x:row r="9">
      <x:c r="A9" s="47" t="str">
        <x:v>RUN-IMO-120-20260824T024943312277Z</x:v>
      </x:c>
      <x:c r="B9" s="47" t="str">
        <x:v>IMO-120</x:v>
      </x:c>
      <x:c r="C9" s="59" t="n">
        <x:v>1</x:v>
      </x:c>
      <x:c r="D9" s="47" t="str">
        <x:v>candidate_shape</x:v>
      </x:c>
      <x:c r="E9" s="48" t="str">
        <x:v>artifacts/attempt_01/candidate_shape.ttl</x:v>
      </x:c>
      <x:c r="F9" s="47" t="str">
        <x:v>4f603aed2b9576f65dec7e45bc035a5409f995ec197275624e2ceca3766e795e</x:v>
      </x:c>
      <x:c r="G9" s="59" t="n">
        <x:v>3849</x:v>
      </x:c>
    </x:row>
    <x:row r="10">
      <x:c r="A10" s="47" t="str">
        <x:v>RUN-IMO-120-20260824T024943312277Z</x:v>
      </x:c>
      <x:c r="B10" s="47" t="str">
        <x:v>IMO-120</x:v>
      </x:c>
      <x:c r="C10" s="59" t="n">
        <x:v>1</x:v>
      </x:c>
      <x:c r="D10" s="47" t="str">
        <x:v>deterministic_validation</x:v>
      </x:c>
      <x:c r="E10" s="48" t="str">
        <x:v>artifacts/attempt_01/deterministic_validation.json</x:v>
      </x:c>
      <x:c r="F10" s="47" t="str">
        <x:v>ce79438542ff034cf9007440c7d05e07a0285240a52ef428257bda92b43f3769</x:v>
      </x:c>
      <x:c r="G10" s="59" t="n">
        <x:v>854</x:v>
      </x:c>
    </x:row>
    <x:row r="11">
      <x:c r="A11" s="47" t="str">
        <x:v>RUN-IMO-120-20260824T024943312277Z</x:v>
      </x:c>
      <x:c r="B11" s="47" t="str">
        <x:v>IMO-120</x:v>
      </x:c>
      <x:c r="C11" s="59" t="n">
        <x:v>1</x:v>
      </x:c>
      <x:c r="D11" s="47" t="str">
        <x:v>validator_prompt</x:v>
      </x:c>
      <x:c r="E11" s="48" t="str">
        <x:v>artifacts/attempt_01/validator_prompt_01.txt</x:v>
      </x:c>
      <x:c r="F11" s="47" t="str">
        <x:v>62c17bfad87ba2d1370c521269cc6e8e210f6f1a1f122f271e3964841cfd9626</x:v>
      </x:c>
      <x:c r="G11" s="59" t="n">
        <x:v>30665</x:v>
      </x:c>
    </x:row>
    <x:row r="12">
      <x:c r="A12" s="47" t="str">
        <x:v>RUN-IMO-120-20260824T024943312277Z</x:v>
      </x:c>
      <x:c r="B12" s="47" t="str">
        <x:v>IMO-120</x:v>
      </x:c>
      <x:c r="C12" s="59" t="n">
        <x:v>1</x:v>
      </x:c>
      <x:c r="D12" s="47" t="str">
        <x:v>validator_raw_response</x:v>
      </x:c>
      <x:c r="E12" s="48" t="str">
        <x:v>artifacts/attempt_01/validator_raw_01.txt</x:v>
      </x:c>
      <x:c r="F12" s="47" t="str">
        <x:v>504e757721faf41b1450e45f30e67dbdee2802667e6f0b81792b0e5d23153848</x:v>
      </x:c>
      <x:c r="G12" s="59" t="n">
        <x:v>801</x:v>
      </x:c>
    </x:row>
    <x:row r="13">
      <x:c r="A13" s="47" t="str">
        <x:v>RUN-IMO-120-20260824T024943312277Z</x:v>
      </x:c>
      <x:c r="B13" s="47" t="str">
        <x:v>IMO-120</x:v>
      </x:c>
      <x:c r="C13" s="59" t="n">
        <x:v>2</x:v>
      </x:c>
      <x:c r="D13" s="47" t="str">
        <x:v>generator_prompt</x:v>
      </x:c>
      <x:c r="E13" s="48" t="str">
        <x:v>artifacts/attempt_02/generator_prompt.txt</x:v>
      </x:c>
      <x:c r="F13" s="47" t="str">
        <x:v>b211f713edaf739cd0964585c28937b0ccb53cdf85234d7b4f70fd01050c1079</x:v>
      </x:c>
      <x:c r="G13" s="59" t="n">
        <x:v>34603</x:v>
      </x:c>
    </x:row>
    <x:row r="14">
      <x:c r="A14" s="47" t="str">
        <x:v>RUN-IMO-120-20260824T024943312277Z</x:v>
      </x:c>
      <x:c r="B14" s="47" t="str">
        <x:v>IMO-120</x:v>
      </x:c>
      <x:c r="C14" s="59" t="n">
        <x:v>2</x:v>
      </x:c>
      <x:c r="D14" s="47" t="str">
        <x:v>generator_raw_response</x:v>
      </x:c>
      <x:c r="E14" s="48" t="str">
        <x:v>artifacts/attempt_02/generator_raw.txt</x:v>
      </x:c>
      <x:c r="F14" s="47" t="str">
        <x:v>bb74f0f30538be31c6b3a668e8491bff8badeb0e3e8c23be42767759105d75df</x:v>
      </x:c>
      <x:c r="G14" s="59" t="n">
        <x:v>6825</x:v>
      </x:c>
    </x:row>
    <x:row r="15">
      <x:c r="A15" s="47" t="str">
        <x:v>RUN-IMO-120-20260824T024943312277Z</x:v>
      </x:c>
      <x:c r="B15" s="47" t="str">
        <x:v>IMO-120</x:v>
      </x:c>
      <x:c r="C15" s="59" t="n">
        <x:v>2</x:v>
      </x:c>
      <x:c r="D15" s="47" t="str">
        <x:v>candidate_shape</x:v>
      </x:c>
      <x:c r="E15" s="48" t="str">
        <x:v>artifacts/attempt_02/candidate_shape.ttl</x:v>
      </x:c>
      <x:c r="F15" s="47" t="str">
        <x:v>5e17bcf2a92f517ffbacb9aa05d7166490012ec13e4dc4231d1edeab546f56e1</x:v>
      </x:c>
      <x:c r="G15" s="59" t="n">
        <x:v>6800</x:v>
      </x:c>
    </x:row>
    <x:row r="16">
      <x:c r="A16" s="47" t="str">
        <x:v>RUN-IMO-120-20260824T024943312277Z</x:v>
      </x:c>
      <x:c r="B16" s="47" t="str">
        <x:v>IMO-120</x:v>
      </x:c>
      <x:c r="C16" s="59" t="n">
        <x:v>2</x:v>
      </x:c>
      <x:c r="D16" s="47" t="str">
        <x:v>deterministic_validation</x:v>
      </x:c>
      <x:c r="E16" s="48" t="str">
        <x:v>artifacts/attempt_02/deterministic_validation.json</x:v>
      </x:c>
      <x:c r="F16" s="47" t="str">
        <x:v>ce79438542ff034cf9007440c7d05e07a0285240a52ef428257bda92b43f3769</x:v>
      </x:c>
      <x:c r="G16" s="59" t="n">
        <x:v>854</x:v>
      </x:c>
    </x:row>
    <x:row r="17">
      <x:c r="A17" s="47" t="str">
        <x:v>RUN-IMO-120-20260824T024943312277Z</x:v>
      </x:c>
      <x:c r="B17" s="47" t="str">
        <x:v>IMO-120</x:v>
      </x:c>
      <x:c r="C17" s="59" t="n">
        <x:v>2</x:v>
      </x:c>
      <x:c r="D17" s="47" t="str">
        <x:v>validator_prompt</x:v>
      </x:c>
      <x:c r="E17" s="48" t="str">
        <x:v>artifacts/attempt_02/validator_prompt_01.txt</x:v>
      </x:c>
      <x:c r="F17" s="47" t="str">
        <x:v>bb9a32cc4beb53e17f8585052df1e404ac811b59a70333a94ea04546e1bb0246</x:v>
      </x:c>
      <x:c r="G17" s="59" t="n">
        <x:v>34429</x:v>
      </x:c>
    </x:row>
    <x:row r="18">
      <x:c r="A18" s="47" t="str">
        <x:v>RUN-IMO-120-20260824T024943312277Z</x:v>
      </x:c>
      <x:c r="B18" s="47" t="str">
        <x:v>IMO-120</x:v>
      </x:c>
      <x:c r="C18" s="59" t="n">
        <x:v>2</x:v>
      </x:c>
      <x:c r="D18" s="47" t="str">
        <x:v>validator_raw_response</x:v>
      </x:c>
      <x:c r="E18" s="48" t="str">
        <x:v>artifacts/attempt_02/validator_raw_01.txt</x:v>
      </x:c>
      <x:c r="F18" s="47" t="str">
        <x:v>a9c67f0c53f82a16c2b4c965d3dd2e95cb7779aeec3155d86c6887615455d02f</x:v>
      </x:c>
      <x:c r="G18" s="59" t="n">
        <x:v>940</x:v>
      </x:c>
    </x:row>
    <x:row r="19">
      <x:c r="A19" s="47" t="str">
        <x:v>RUN-IMO-120-20260824T024943312277Z</x:v>
      </x:c>
      <x:c r="B19" s="47" t="str">
        <x:v>IMO-120</x:v>
      </x:c>
      <x:c r="C19" s="59" t="n">
        <x:v>3</x:v>
      </x:c>
      <x:c r="D19" s="47" t="str">
        <x:v>generator_prompt</x:v>
      </x:c>
      <x:c r="E19" s="48" t="str">
        <x:v>artifacts/attempt_03/generator_prompt.txt</x:v>
      </x:c>
      <x:c r="F19" s="47" t="str">
        <x:v>051d5b31960f2e4ef78805d38f6149e55753f5d852bccdf8c9e08cb981cda249</x:v>
      </x:c>
      <x:c r="G19" s="59" t="n">
        <x:v>35486</x:v>
      </x:c>
    </x:row>
    <x:row r="20">
      <x:c r="A20" s="47" t="str">
        <x:v>RUN-IMO-120-20260824T024943312277Z</x:v>
      </x:c>
      <x:c r="B20" s="47" t="str">
        <x:v>IMO-120</x:v>
      </x:c>
      <x:c r="C20" s="59" t="n">
        <x:v>3</x:v>
      </x:c>
      <x:c r="D20" s="47" t="str">
        <x:v>generator_raw_response</x:v>
      </x:c>
      <x:c r="E20" s="48" t="str">
        <x:v>artifacts/attempt_03/generator_raw.txt</x:v>
      </x:c>
      <x:c r="F20" s="47" t="str">
        <x:v>a08a9944adc4b26f4dd1733152f3c939b2671dc3411dc30d2daa932755dd4221</x:v>
      </x:c>
      <x:c r="G20" s="59" t="n">
        <x:v>4938</x:v>
      </x:c>
    </x:row>
    <x:row r="21">
      <x:c r="A21" s="47" t="str">
        <x:v>RUN-IMO-120-20260824T024943312277Z</x:v>
      </x:c>
      <x:c r="B21" s="47" t="str">
        <x:v>IMO-120</x:v>
      </x:c>
      <x:c r="C21" s="59" t="n">
        <x:v>3</x:v>
      </x:c>
      <x:c r="D21" s="47" t="str">
        <x:v>candidate_shape</x:v>
      </x:c>
      <x:c r="E21" s="48" t="str">
        <x:v>artifacts/attempt_03/candidate_shape.ttl</x:v>
      </x:c>
      <x:c r="F21" s="47" t="str">
        <x:v>d26770056c321d0e89fa62a3d539bb2408dc9bf1d15266c04b3b1039eeece3c3</x:v>
      </x:c>
      <x:c r="G21" s="59" t="n">
        <x:v>4913</x:v>
      </x:c>
    </x:row>
    <x:row r="22">
      <x:c r="A22" s="47" t="str">
        <x:v>RUN-IMO-120-20260824T024943312277Z</x:v>
      </x:c>
      <x:c r="B22" s="47" t="str">
        <x:v>IMO-120</x:v>
      </x:c>
      <x:c r="C22" s="59" t="n">
        <x:v>3</x:v>
      </x:c>
      <x:c r="D22" s="47" t="str">
        <x:v>deterministic_validation</x:v>
      </x:c>
      <x:c r="E22" s="48" t="str">
        <x:v>artifacts/attempt_03/deterministic_validation.json</x:v>
      </x:c>
      <x:c r="F22" s="47" t="str">
        <x:v>ce79438542ff034cf9007440c7d05e07a0285240a52ef428257bda92b43f3769</x:v>
      </x:c>
      <x:c r="G22" s="59" t="n">
        <x:v>854</x:v>
      </x:c>
    </x:row>
    <x:row r="23">
      <x:c r="A23" s="47" t="str">
        <x:v>RUN-IMO-120-20260824T024943312277Z</x:v>
      </x:c>
      <x:c r="B23" s="47" t="str">
        <x:v>IMO-120</x:v>
      </x:c>
      <x:c r="C23" s="59" t="n">
        <x:v>3</x:v>
      </x:c>
      <x:c r="D23" s="47" t="str">
        <x:v>validator_prompt</x:v>
      </x:c>
      <x:c r="E23" s="48" t="str">
        <x:v>artifacts/attempt_03/validator_prompt_01.txt</x:v>
      </x:c>
      <x:c r="F23" s="47" t="str">
        <x:v>12636346594edb3968991ee48eeb4ef82de32aad36523fc0a28284a7c9610b54</x:v>
      </x:c>
      <x:c r="G23" s="59" t="n">
        <x:v>33411</x:v>
      </x:c>
    </x:row>
    <x:row r="24">
      <x:c r="A24" s="47" t="str">
        <x:v>RUN-IMO-120-20260824T024943312277Z</x:v>
      </x:c>
      <x:c r="B24" s="47" t="str">
        <x:v>IMO-120</x:v>
      </x:c>
      <x:c r="C24" s="59" t="n">
        <x:v>3</x:v>
      </x:c>
      <x:c r="D24" s="47" t="str">
        <x:v>validator_raw_response</x:v>
      </x:c>
      <x:c r="E24" s="48" t="str">
        <x:v>artifacts/attempt_03/validator_raw_01.txt</x:v>
      </x:c>
      <x:c r="F24" s="47" t="str">
        <x:v>b5de070eaf04d17a3876ea94cde832e92bee134edbeb1d96ecfec7c0b99cd93e</x:v>
      </x:c>
      <x:c r="G24" s="59" t="n">
        <x:v>418</x:v>
      </x:c>
    </x:row>
    <x:row r="25">
      <x:c r="A25" s="49" t="str">
        <x:v>RUN-IMO-120-20260824T024943312277Z</x:v>
      </x:c>
      <x:c r="B25" s="49" t="str">
        <x:v>IMO-120</x:v>
      </x:c>
      <x:c r="C25" s="60" t="n">
        <x:v>3</x:v>
      </x:c>
      <x:c r="D25" s="49" t="str">
        <x:v>final_accepted_shape</x:v>
      </x:c>
      <x:c r="E25" s="50" t="str">
        <x:v>final/final_shape.ttl</x:v>
      </x:c>
      <x:c r="F25" s="49" t="str">
        <x:v>d26770056c321d0e89fa62a3d539bb2408dc9bf1d15266c04b3b1039eeece3c3</x:v>
      </x:c>
      <x:c r="G25" s="60" t="n">
        <x:v>4913</x:v>
      </x:c>
    </x:row>
  </x:sheetData>
  <x:pageMargins left="0.7" right="0.7" top="0.75" bottom="0.75" header="0.3" footer="0.3"/>
  <x:tableParts count="1">
    <x:tablePart xmlns:r="http://schemas.openxmlformats.org/officeDocument/2006/relationships" r:id="R788d67792c52477c"/>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RUN-IMO-120-20260824T024943312277Z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6"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RUN-IMO-120-20260824T024943312277Z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RUN-IMO-120-20260824T024943312277Z</x:v>
      </x:c>
      <x:c r="B5" s="69" t="str">
        <x:v>IMO-120</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35e8667606744319"/>
  </x:tableParts>
</x:worksheet>
</file>