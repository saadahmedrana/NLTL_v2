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8783a5309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337876a6bc4351"/>
    <x:sheet xmlns:r="http://schemas.openxmlformats.org/officeDocument/2006/relationships" name="README" sheetId="2" r:id="Re619cd85b3224ff2"/>
    <x:sheet xmlns:r="http://schemas.openxmlformats.org/officeDocument/2006/relationships" name="REGULATION_QUEUE" sheetId="3" r:id="R3048175be0f041a9"/>
    <x:sheet xmlns:r="http://schemas.openxmlformats.org/officeDocument/2006/relationships" name="RUNS" sheetId="4" r:id="Rb64805034a544b09"/>
    <x:sheet xmlns:r="http://schemas.openxmlformats.org/officeDocument/2006/relationships" name="ITERATIONS" sheetId="5" r:id="R7e2303a1247b42f0"/>
    <x:sheet xmlns:r="http://schemas.openxmlformats.org/officeDocument/2006/relationships" name="API_CALLS" sheetId="6" r:id="R7be46f4453774a86"/>
    <x:sheet xmlns:r="http://schemas.openxmlformats.org/officeDocument/2006/relationships" name="TERM_RETRIEVAL" sheetId="7" r:id="Rc855ee6cda8a42b7"/>
    <x:sheet xmlns:r="http://schemas.openxmlformats.org/officeDocument/2006/relationships" name="FEW_SHOT_SELECTION" sheetId="8" r:id="Rfd2fae3daf47420b"/>
    <x:sheet xmlns:r="http://schemas.openxmlformats.org/officeDocument/2006/relationships" name="VALIDATION" sheetId="9" r:id="Ra8e5b4cb4e0e4309"/>
    <x:sheet xmlns:r="http://schemas.openxmlformats.org/officeDocument/2006/relationships" name="VOCAB_MATCHES" sheetId="10" r:id="Rcb93df3bb8ab4440"/>
    <x:sheet xmlns:r="http://schemas.openxmlformats.org/officeDocument/2006/relationships" name="ARTIFACTS" sheetId="11" r:id="R339edab6d59744e0"/>
    <x:sheet xmlns:r="http://schemas.openxmlformats.org/officeDocument/2006/relationships" name="UNRESOLVED" sheetId="12" r:id="R3a0dacc7f41a4cdc"/>
    <x:sheet xmlns:r="http://schemas.openxmlformats.org/officeDocument/2006/relationships" name="RDF_TEST_QUEUE" sheetId="13" r:id="R0b5a9bcd4c95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759907aa74751" /><Relationship Type="http://schemas.openxmlformats.org/officeDocument/2006/relationships/theme" Target="/xl/theme/theme1.xml" Id="Rf4700403774d4f81" /><Relationship Type="http://schemas.microsoft.com/office/2022/11/relationships/FeaturePropertyBag" Target="/xl/featurePropertyBag/featurePropertyBag.xml" Id="Rd5ea1977c3ef4e6b" /><Relationship Type="http://schemas.openxmlformats.org/officeDocument/2006/relationships/sharedStrings" Target="/xl/sharedStrings.xml" Id="R6ed9df0857e94a62" /><Relationship Type="http://schemas.openxmlformats.org/officeDocument/2006/relationships/worksheet" Target="/xl/worksheets/sheet1.xml" Id="Rfd337876a6bc4351" /><Relationship Type="http://schemas.openxmlformats.org/officeDocument/2006/relationships/worksheet" Target="/xl/worksheets/sheet2.xml" Id="Re619cd85b3224ff2" /><Relationship Type="http://schemas.openxmlformats.org/officeDocument/2006/relationships/worksheet" Target="/xl/worksheets/sheet3.xml" Id="R3048175be0f041a9" /><Relationship Type="http://schemas.openxmlformats.org/officeDocument/2006/relationships/worksheet" Target="/xl/worksheets/sheet4.xml" Id="Rb64805034a544b09" /><Relationship Type="http://schemas.openxmlformats.org/officeDocument/2006/relationships/worksheet" Target="/xl/worksheets/sheet5.xml" Id="R7e2303a1247b42f0" /><Relationship Type="http://schemas.openxmlformats.org/officeDocument/2006/relationships/worksheet" Target="/xl/worksheets/sheet6.xml" Id="R7be46f4453774a86" /><Relationship Type="http://schemas.openxmlformats.org/officeDocument/2006/relationships/worksheet" Target="/xl/worksheets/sheet7.xml" Id="Rc855ee6cda8a42b7" /><Relationship Type="http://schemas.openxmlformats.org/officeDocument/2006/relationships/worksheet" Target="/xl/worksheets/sheet8.xml" Id="Rfd2fae3daf47420b" /><Relationship Type="http://schemas.openxmlformats.org/officeDocument/2006/relationships/worksheet" Target="/xl/worksheets/sheet9.xml" Id="Ra8e5b4cb4e0e4309" /><Relationship Type="http://schemas.openxmlformats.org/officeDocument/2006/relationships/worksheet" Target="/xl/worksheets/sheet10.xml" Id="Rcb93df3bb8ab4440" /><Relationship Type="http://schemas.openxmlformats.org/officeDocument/2006/relationships/worksheet" Target="/xl/worksheets/sheet11.xml" Id="R339edab6d59744e0" /><Relationship Type="http://schemas.openxmlformats.org/officeDocument/2006/relationships/worksheet" Target="/xl/worksheets/sheet12.xml" Id="R3a0dacc7f41a4cdc" /><Relationship Type="http://schemas.openxmlformats.org/officeDocument/2006/relationships/worksheet" Target="/xl/worksheets/sheet13.xml" Id="R0b5a9bcd4c9541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3e7fdb47334f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dd0a0c28fa46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5f31169c8f4f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bdbae0b65440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3ddfc4c5eb44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0890bd560449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77dfad411447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46d899738a47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e119600d8f940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02a91e8fb914dc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0c3cda1885a48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RUN-IMO26-012-20260824T031137243690Z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16690.769099999998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RUN-IMO26-012-20260824T031137243690Z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3e7fdb47334f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RUN-IMO26-012-20260824T031137243690Z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GENERATION_ACCEPTED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d0a0c28fa46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RUN-IMO26-012-20260824T031137243690Z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RUN-IMO26-012-20260824T031137243690Z</x:v>
      </x:c>
      <x:c r="C5" s="69" t="str">
        <x:v>IMO26-012</x:v>
      </x:c>
      <x:c r="D5" s="70" t="n">
        <x:v>46258.133069965275</x:v>
      </x:c>
      <x:c r="E5" s="70" t="n">
        <x:v>46258.13405023148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the ship-owned gross-tonnage applicability selector, the &gt;= 500 threshold, at least two distinct ship-owned non-magnetic heading means, per-means main and emergency power connections, and independence from another distinct means owned by the same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f31169c8f4f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RUN-IMO26-012-20260824T031137243690Z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RUN-IMO26-012-20260824T031137243690Z</x:v>
      </x:c>
      <x:c r="B5" s="45" t="str">
        <x:v>IMO26-012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Add the omitted ship-owned gross-tonnage applicability selector and apply the heading-means count, independence, and power-connection constraints only to ships with gross tonnage &gt;= 500. Require the selector evidence so missing gross tonnage cannot pass through an unselected conditional branch, and use the canonical term with its registered datatype/unit rather than inventing an applicability boolean. Preserve the existing ship-to-heading-means path and per-means topology checks. The canonical gross-tonnage term is absent from the scoped vocabulary, so matcher lookup is required.</x:v>
      </x:c>
      <x:c r="I5" s="81" t="n">
        <x:v>27957.64</x:v>
      </x:c>
      <x:c r="J5" s="81" t="n">
        <x:v>9739.724</x:v>
      </x:c>
    </x:row>
    <x:row r="6">
      <x:c r="A6" s="49" t="str">
        <x:v>RUN-IMO26-012-20260824T031137243690Z</x:v>
      </x:c>
      <x:c r="B6" s="49" t="str">
        <x:v>IMO26-012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deterministically valid and faithfully encodes the ship-owned gross-tonnage applicability selector, the &gt;= 500 threshold, at least two distinct ship-owned non-magnetic heading means, per-means main and emergency power connections, and independence from another distinct means owned by the same ship.</x:v>
      </x:c>
      <x:c r="I6" s="83" t="n">
        <x:v>39207.434</x:v>
      </x:c>
      <x:c r="J6" s="83" t="n">
        <x:v>4781.482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dbae0b65440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RUN-IMO26-012-20260824T031137243690Z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RUN-IMO26-012-20260824T031137243690Z</x:v>
      </x:c>
      <x:c r="C5" s="45" t="str">
        <x:v>IMO26-012</x:v>
      </x:c>
      <x:c r="D5" s="90" t="n">
        <x:v>46258.133393564814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27956.059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RUN-IMO26-012-20260824T031137243690Z</x:v>
      </x:c>
      <x:c r="C6" s="47" t="str">
        <x:v>IMO26-012</x:v>
      </x:c>
      <x:c r="D6" s="91" t="n">
        <x:v>46258.13339358797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27957.64</x:v>
      </x:c>
      <x:c r="L6" s="93" t="b">
        <x:v>0</x:v>
      </x:c>
      <x:c r="M6" s="47" t="str">
        <x:v>resp_08b0c5b1ded98fc2006a8bb6697eb4819491d390ad6abccd81</x:v>
      </x:c>
      <x:c r="N6" s="59" t="n">
        <x:v>7217</x:v>
      </x:c>
      <x:c r="O6" s="59" t="n">
        <x:v>1734</x:v>
      </x:c>
      <x:c r="P6" s="59" t="n">
        <x:v>8951</x:v>
      </x:c>
    </x:row>
    <x:row r="7">
      <x:c r="A7" s="47" t="str">
        <x:v>EVT-000026</x:v>
      </x:c>
      <x:c r="B7" s="47" t="str">
        <x:v>RUN-IMO26-012-20260824T031137243690Z</x:v>
      </x:c>
      <x:c r="C7" s="47" t="str">
        <x:v>IMO26-012</x:v>
      </x:c>
      <x:c r="D7" s="91" t="n">
        <x:v>46258.133507175924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9738.191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RUN-IMO26-012-20260824T031137243690Z</x:v>
      </x:c>
      <x:c r="C8" s="47" t="str">
        <x:v>IMO26-012</x:v>
      </x:c>
      <x:c r="D8" s="91" t="n">
        <x:v>46258.133507199076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9739.724</x:v>
      </x:c>
      <x:c r="L8" s="93" t="b">
        <x:v>0</x:v>
      </x:c>
      <x:c r="M8" s="47" t="str">
        <x:v>resp_070bf9fd39553687006a8bb6855f788193a79292428a8644ee</x:v>
      </x:c>
      <x:c r="N8" s="59" t="n">
        <x:v>6649</x:v>
      </x:c>
      <x:c r="O8" s="59" t="n">
        <x:v>644</x:v>
      </x:c>
      <x:c r="P8" s="59" t="n">
        <x:v>7293</x:v>
      </x:c>
    </x:row>
    <x:row r="9">
      <x:c r="A9" s="47" t="str">
        <x:v>EVT-000033</x:v>
      </x:c>
      <x:c r="B9" s="47" t="str">
        <x:v>RUN-IMO26-012-20260824T031137243690Z</x:v>
      </x:c>
      <x:c r="C9" s="47" t="str">
        <x:v>IMO26-012</x:v>
      </x:c>
      <x:c r="D9" s="91" t="n">
        <x:v>46258.13353934028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1769.943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RUN-IMO26-012-20260824T031137243690Z</x:v>
      </x:c>
      <x:c r="C10" s="47" t="str">
        <x:v>IMO26-012</x:v>
      </x:c>
      <x:c r="D10" s="91" t="n">
        <x:v>46258.13353935185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1771.441</x:v>
      </x:c>
      <x:c r="L10" s="93" t="b">
        <x:v>0</x:v>
      </x:c>
      <x:c r="M10" s="47" t="str">
        <x:v>resp_0a9f7af4d6d3c45b006a8bb69020f8819796e196651e9c3339</x:v>
      </x:c>
      <x:c r="N10" s="59" t="n">
        <x:v>1604</x:v>
      </x:c>
      <x:c r="O10" s="59" t="n">
        <x:v>88</x:v>
      </x:c>
      <x:c r="P10" s="59" t="n">
        <x:v>1692</x:v>
      </x:c>
    </x:row>
    <x:row r="11">
      <x:c r="A11" s="47" t="str">
        <x:v>EVT-000052</x:v>
      </x:c>
      <x:c r="B11" s="47" t="str">
        <x:v>RUN-IMO26-012-20260824T031137243690Z</x:v>
      </x:c>
      <x:c r="C11" s="47" t="str">
        <x:v>IMO26-012</x:v>
      </x:c>
      <x:c r="D11" s="91" t="n">
        <x:v>46258.13399326389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39205.907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RUN-IMO26-012-20260824T031137243690Z</x:v>
      </x:c>
      <x:c r="C12" s="47" t="str">
        <x:v>IMO26-012</x:v>
      </x:c>
      <x:c r="D12" s="91" t="n">
        <x:v>46258.13399328704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39207.434</x:v>
      </x:c>
      <x:c r="L12" s="93" t="b">
        <x:v>0</x:v>
      </x:c>
      <x:c r="M12" s="47" t="str">
        <x:v>resp_0c93bfcd36870f32006a8bb6926d908190a6fe45545dcb19ff</x:v>
      </x:c>
      <x:c r="N12" s="59" t="n">
        <x:v>7757</x:v>
      </x:c>
      <x:c r="O12" s="59" t="n">
        <x:v>2766</x:v>
      </x:c>
      <x:c r="P12" s="59" t="n">
        <x:v>10523</x:v>
      </x:c>
    </x:row>
    <x:row r="13">
      <x:c r="A13" s="47" t="str">
        <x:v>EVT-000060</x:v>
      </x:c>
      <x:c r="B13" s="47" t="str">
        <x:v>RUN-IMO26-012-20260824T031137243690Z</x:v>
      </x:c>
      <x:c r="C13" s="47" t="str">
        <x:v>IMO26-012</x:v>
      </x:c>
      <x:c r="D13" s="91" t="n">
        <x:v>46258.134050162036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4779.87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EVT-000061</x:v>
      </x:c>
      <x:c r="B14" s="49" t="str">
        <x:v>RUN-IMO26-012-20260824T031137243690Z</x:v>
      </x:c>
      <x:c r="C14" s="49" t="str">
        <x:v>IMO26-012</x:v>
      </x:c>
      <x:c r="D14" s="94" t="n">
        <x:v>46258.13405017361</x:v>
      </x:c>
      <x:c r="E14" s="49" t="str">
        <x:v>validator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4781.482</x:v>
      </x:c>
      <x:c r="L14" s="82" t="b">
        <x:v>0</x:v>
      </x:c>
      <x:c r="M14" s="49" t="str">
        <x:v>resp_03d451869fc4b1cf006a8bb6b9e294819096e13fa78443c3d2</x:v>
      </x:c>
      <x:c r="N14" s="60" t="n">
        <x:v>7839</x:v>
      </x:c>
      <x:c r="O14" s="60" t="n">
        <x:v>76</x:v>
      </x:c>
      <x:c r="P14" s="60" t="n">
        <x:v>7915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ddfc4c5eb44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RUN-IMO26-012-20260824T031137243690Z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RUN-IMO26-012-20260824T031137243690Z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RUN-IMO26-012-20260824T031137243690Z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RUN-IMO26-012-20260824T031137243690Z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RUN-IMO26-012-20260824T031137243690Z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RUN-IMO26-012-20260824T031137243690Z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RUN-IMO26-012-20260824T031137243690Z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RUN-IMO26-012-20260824T031137243690Z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RUN-IMO26-012-20260824T031137243690Z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RUN-IMO26-012-20260824T031137243690Z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7" t="str">
        <x:v>RUN-IMO26-012-20260824T031137243690Z</x:v>
      </x:c>
      <x:c r="B14" s="47" t="str">
        <x:v>IMO26-012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RUN-IMO26-012-20260824T031137243690Z</x:v>
      </x:c>
      <x:c r="B15" s="47" t="str">
        <x:v>IMO26-012</x:v>
      </x:c>
      <x:c r="C15" s="47" t="str">
        <x:v>benchmarkEntity</x:v>
      </x:c>
      <x:c r="D15" s="48" t="str">
        <x:v>https://w3id.org/nltl/vocab#benchmarkEntity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connectedToEmergencyPower; domain dependency of connectedToMainPower; range dependency of connectedToEmergencyPower; range dependency of connectedToMainPower</x:v>
      </x:c>
      <x:c r="J15" s="47" t="n">
        <x:v>2</x:v>
      </x:c>
    </x:row>
    <x:row r="16">
      <x:c r="A16" s="47" t="str">
        <x:v>RUN-IMO26-012-20260824T031137243690Z</x:v>
      </x:c>
      <x:c r="B16" s="47" t="str">
        <x:v>IMO26-012</x:v>
      </x:c>
      <x:c r="C16" s="47" t="str">
        <x:v>connectedToEmergencyPower</x:v>
      </x:c>
      <x:c r="D16" s="48" t="str">
        <x:v>https://w3id.org/nltl/vocab#connectedToEmergencyPower</x:v>
      </x:c>
      <x:c r="E16" s="47" t="str">
        <x:v>ObjectProperty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</x:v>
      </x:c>
      <x:c r="J16" s="47" t="n">
        <x:v>2</x:v>
      </x:c>
    </x:row>
    <x:row r="17">
      <x:c r="A17" s="47" t="str">
        <x:v>RUN-IMO26-012-20260824T031137243690Z</x:v>
      </x:c>
      <x:c r="B17" s="47" t="str">
        <x:v>IMO26-012</x:v>
      </x:c>
      <x:c r="C17" s="47" t="str">
        <x:v>connectedToMainPower</x:v>
      </x:c>
      <x:c r="D17" s="48" t="str">
        <x:v>https://w3id.org/nltl/vocab#connectedToMainPower</x:v>
      </x:c>
      <x:c r="E17" s="47" t="str">
        <x:v>ObjectProperty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</x:v>
      </x:c>
      <x:c r="J17" s="47" t="n">
        <x:v>2</x:v>
      </x:c>
    </x:row>
    <x:row r="18">
      <x:c r="A18" s="47" t="str">
        <x:v>RUN-IMO26-012-20260824T031137243690Z</x:v>
      </x:c>
      <x:c r="B18" s="47" t="str">
        <x:v>IMO26-012</x:v>
      </x:c>
      <x:c r="C18" s="47" t="str">
        <x:v>grossTonnage</x:v>
      </x:c>
      <x:c r="D18" s="48" t="str">
        <x:v>https://w3id.org/nltl/vocab#grossTonnage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verified vocabulary-matcher addition</x:v>
      </x:c>
      <x:c r="J18" s="47" t="n">
        <x:v>2</x:v>
      </x:c>
    </x:row>
    <x:row r="19">
      <x:c r="A19" s="47" t="str">
        <x:v>RUN-IMO26-012-20260824T031137243690Z</x:v>
      </x:c>
      <x:c r="B19" s="47" t="str">
        <x:v>IMO26-012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2</x:v>
      </x:c>
    </x:row>
    <x:row r="20">
      <x:c r="A20" s="47" t="str">
        <x:v>RUN-IMO26-012-20260824T031137243690Z</x:v>
      </x:c>
      <x:c r="B20" s="47" t="str">
        <x:v>IMO26-012</x:v>
      </x:c>
      <x:c r="C20" s="47" t="str">
        <x:v>hasNonMagneticHeadingMeans</x:v>
      </x:c>
      <x:c r="D20" s="48" t="str">
        <x:v>https://w3id.org/nltl/vocab#hasNonMagneticHeadingMeans</x:v>
      </x:c>
      <x:c r="E20" s="47" t="str">
        <x:v>ObjectProperty</x:v>
      </x:c>
      <x:c r="F20" s="47" t="str"/>
      <x:c r="G20" s="47" t="str">
        <x:v>https://w3id.org/nltl/vocab#nonMagneticHeadingMeans</x:v>
      </x:c>
      <x:c r="H20" s="47" t="str"/>
      <x:c r="I20" s="48" t="str">
        <x:v>canonical path from target owner ship to required owner nonMagneticHeadingMeans; linked by the locked 313-requirement index</x:v>
      </x:c>
      <x:c r="J20" s="47" t="n">
        <x:v>2</x:v>
      </x:c>
    </x:row>
    <x:row r="21">
      <x:c r="A21" s="47" t="str">
        <x:v>RUN-IMO26-012-20260824T031137243690Z</x:v>
      </x:c>
      <x:c r="B21" s="47" t="str">
        <x:v>IMO26-012</x:v>
      </x:c>
      <x:c r="C21" s="47" t="str">
        <x:v>independentFromHeadingMeans</x:v>
      </x:c>
      <x:c r="D21" s="48" t="str">
        <x:v>https://w3id.org/nltl/vocab#independentFromHeadingMeans</x:v>
      </x:c>
      <x:c r="E21" s="47" t="str">
        <x:v>ObjectProperty</x:v>
      </x:c>
      <x:c r="F21" s="47" t="str"/>
      <x:c r="G21" s="47" t="str">
        <x:v>https://w3id.org/nltl/vocab#nonMagneticHeadingMeans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RUN-IMO26-012-20260824T031137243690Z</x:v>
      </x:c>
      <x:c r="B22" s="47" t="str">
        <x:v>IMO26-012</x:v>
      </x:c>
      <x:c r="C22" s="47" t="str">
        <x:v>navigationEquipmentItem</x:v>
      </x:c>
      <x:c r="D22" s="48" t="str">
        <x:v>https://w3id.org/nltl/vocab#navigationEquipmentItem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nonMagneticHeadingMeans</x:v>
      </x:c>
      <x:c r="J22" s="47" t="n">
        <x:v>2</x:v>
      </x:c>
    </x:row>
    <x:row r="23">
      <x:c r="A23" s="47" t="str">
        <x:v>RUN-IMO26-012-20260824T031137243690Z</x:v>
      </x:c>
      <x:c r="B23" s="47" t="str">
        <x:v>IMO26-012</x:v>
      </x:c>
      <x:c r="C23" s="47" t="str">
        <x:v>nonMagneticHeadingMeans</x:v>
      </x:c>
      <x:c r="D23" s="48" t="str">
        <x:v>https://w3id.org/nltl/vocab#nonMagneticHeadingMeans</x:v>
      </x:c>
      <x:c r="E23" s="47" t="str">
        <x:v>Class</x:v>
      </x:c>
      <x:c r="F23" s="47" t="str"/>
      <x:c r="G23" s="47" t="str">
        <x:v>https://w3id.org/nltl/vocab#navigationEquipmentItem</x:v>
      </x:c>
      <x:c r="H23" s="47" t="str"/>
      <x:c r="I23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23" s="47" t="n">
        <x:v>2</x:v>
      </x:c>
    </x:row>
    <x:row r="24">
      <x:c r="A24" s="47" t="str">
        <x:v>RUN-IMO26-012-20260824T031137243690Z</x:v>
      </x:c>
      <x:c r="B24" s="47" t="str">
        <x:v>IMO26-012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hasNonMagneticHeadingMeans; linked by the locked 313-requirement index</x:v>
      </x:c>
      <x:c r="J24" s="47" t="n">
        <x:v>2</x:v>
      </x:c>
    </x:row>
    <x:row r="25">
      <x:c r="A25" s="49" t="str">
        <x:v>RUN-IMO26-012-20260824T031137243690Z</x:v>
      </x:c>
      <x:c r="B25" s="49" t="str">
        <x:v>IMO26-012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f50890bd560449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RUN-IMO26-012-20260824T031137243690Z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RUN-IMO26-012-20260824T031137243690Z</x:v>
      </x:c>
      <x:c r="B5" s="45" t="str">
        <x:v>IMO26-012</x:v>
      </x:c>
      <x:c r="C5" s="45" t="str">
        <x:v>FS-REL-01</x:v>
      </x:c>
      <x:c r="D5" s="45" t="str">
        <x:v>entity_relation</x:v>
      </x:c>
      <x:c r="E5" s="97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RUN-IMO26-012-20260824T031137243690Z</x:v>
      </x:c>
      <x:c r="B6" s="49" t="str">
        <x:v>IMO26-012</x:v>
      </x:c>
      <x:c r="C6" s="49" t="str">
        <x:v>FS-REL-02</x:v>
      </x:c>
      <x:c r="D6" s="49" t="str">
        <x:v>entity_relation</x:v>
      </x:c>
      <x:c r="E6" s="98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77dfad411447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RUN-IMO26-012-20260824T031137243690Z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RUN-IMO26-012-20260824T031137243690Z</x:v>
      </x:c>
      <x:c r="B5" s="45" t="str">
        <x:v>IMO26-012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46" t="str"/>
      <x:c r="P5" s="46" t="str"/>
      <x:c r="Q5" s="46" t="str"/>
    </x:row>
    <x:row r="6">
      <x:c r="A6" s="49" t="str">
        <x:v>RUN-IMO26-012-20260824T031137243690Z</x:v>
      </x:c>
      <x:c r="B6" s="49" t="str">
        <x:v>IMO26-012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https://w3id.org/nltl/vocab#grossTonnage | https://w3id.org/nltl/vocab#hasNonMagneticHeadingMeans | https://w3id.org/nltl/vocab#independentFromHeadingMeans | https://w3id.org/nltl/vocab#nonMagneticHeadingMeans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446d899738a47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RUN-IMO26-012-20260824T031137243690Z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RUN-IMO26-012-20260824T031137243690Z</x:v>
      </x:c>
      <x:c r="B5" s="45" t="str">
        <x:v>IMO26-012</x:v>
      </x:c>
      <x:c r="C5" s="58" t="n">
        <x:v>1</x:v>
      </x:c>
      <x:c r="D5" s="45" t="str">
        <x:v>matcher_search</x:v>
      </x:c>
      <x:c r="E5" s="46" t="str">
        <x:v>Add the omitted ship-owned gross-tonnage applicability selector and apply the heading-means count, independence, and power-connection constraints only to ships with gross tonnage &gt;= 500. Require the selector evidence so missing gross tonnage cannot pass through an unselected conditional branch, and use the canonical term with its registered datatype/unit rather than inventing an applicability boolean. Preserve the existing ship-to-heading-means path and per-means topology checks. The canonical gross-tonnage term is absent from the scoped vocabulary, so matcher lookup is required.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RUN-IMO26-012-20260824T031137243690Z</x:v>
      </x:c>
      <x:c r="B6" s="49" t="str">
        <x:v>IMO26-012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grossTonnage</x:v>
      </x:c>
      <x:c r="I6" s="50" t="str">
        <x:v>https://w3id.org/nltl/vocab#grossTonnage</x:v>
      </x:c>
      <x:c r="J6" s="50" t="str">
        <x:v>Use this exact term because it is the canonical ship-owned gross-tonnage QuantityProperty required for the &gt;= 500 applicability selector, with range qudt:QuantityValue and recommended unit qudt-unit:UNITLESS.</x:v>
      </x:c>
    </x:row>
  </x:sheetData>
  <x:pageMargins left="0.7" right="0.7" top="0.75" bottom="0.75" header="0.3" footer="0.3"/>
  <x:tableParts count="1">
    <x:tablePart xmlns:r="http://schemas.openxmlformats.org/officeDocument/2006/relationships" r:id="Rbe119600d8f9408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RUN-IMO26-012-20260824T031137243690Z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RUN-IMO26-012-20260824T031137243690Z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RUN-IMO26-012-20260824T031137243690Z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RUN-IMO26-012-20260824T031137243690Z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RUN-IMO26-012-20260824T031137243690Z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c94dc3042c73dc9f80c51c435d5931015e3f6e390e04168e796d88f65a0c6b82</x:v>
      </x:c>
      <x:c r="G8" s="59" t="n">
        <x:v>1938</x:v>
      </x:c>
    </x:row>
    <x:row r="9">
      <x:c r="A9" s="47" t="str">
        <x:v>RUN-IMO26-012-20260824T031137243690Z</x:v>
      </x:c>
      <x:c r="B9" s="47" t="str">
        <x:v>IMO26-012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0342d5b669deaad1262905a2bd1d121df1357dc265b8188b18a1a992c0ff1c41</x:v>
      </x:c>
      <x:c r="G9" s="59" t="n">
        <x:v>1913</x:v>
      </x:c>
    </x:row>
    <x:row r="10">
      <x:c r="A10" s="47" t="str">
        <x:v>RUN-IMO26-012-20260824T031137243690Z</x:v>
      </x:c>
      <x:c r="B10" s="47" t="str">
        <x:v>IMO26-012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RUN-IMO26-012-20260824T031137243690Z</x:v>
      </x:c>
      <x:c r="B11" s="47" t="str">
        <x:v>IMO26-012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e99716859856442ec04f6f4a6902325273cdcb98102528372fca4d8bf99ef908</x:v>
      </x:c>
      <x:c r="G11" s="59" t="n">
        <x:v>27348</x:v>
      </x:c>
    </x:row>
    <x:row r="12">
      <x:c r="A12" s="47" t="str">
        <x:v>RUN-IMO26-012-20260824T031137243690Z</x:v>
      </x:c>
      <x:c r="B12" s="47" t="str">
        <x:v>IMO26-012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40b170b86ce485fd1dfbfa27acd4b13173232eae226633a52a1a2146d6914e16</x:v>
      </x:c>
      <x:c r="G12" s="59" t="n">
        <x:v>649</x:v>
      </x:c>
    </x:row>
    <x:row r="13">
      <x:c r="A13" s="47" t="str">
        <x:v>RUN-IMO26-012-20260824T031137243690Z</x:v>
      </x:c>
      <x:c r="B13" s="47" t="str">
        <x:v>IMO26-012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0524c911779d3c9697e13ba055ad8fcc655a576efbde7ecc61681fe7e8bb727b</x:v>
      </x:c>
      <x:c r="G13" s="59" t="n">
        <x:v>1188</x:v>
      </x:c>
    </x:row>
    <x:row r="14">
      <x:c r="A14" s="47" t="str">
        <x:v>RUN-IMO26-012-20260824T031137243690Z</x:v>
      </x:c>
      <x:c r="B14" s="47" t="str">
        <x:v>IMO26-012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c280e8a2f6cd34a2d4d04a6f923a53861770b1ae87571faa1811bd79eee57a26</x:v>
      </x:c>
      <x:c r="G14" s="59" t="n">
        <x:v>6492</x:v>
      </x:c>
    </x:row>
    <x:row r="15">
      <x:c r="A15" s="47" t="str">
        <x:v>RUN-IMO26-012-20260824T031137243690Z</x:v>
      </x:c>
      <x:c r="B15" s="47" t="str">
        <x:v>IMO26-012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270da1e8b32b74cf8ee421882e8b59e364fb5fdaba148274f08e7a420b9b9ca3</x:v>
      </x:c>
      <x:c r="G15" s="59" t="n">
        <x:v>348</x:v>
      </x:c>
    </x:row>
    <x:row r="16">
      <x:c r="A16" s="47" t="str">
        <x:v>RUN-IMO26-012-20260824T031137243690Z</x:v>
      </x:c>
      <x:c r="B16" s="47" t="str">
        <x:v>IMO26-012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a6e72b28e2ee47b665db4d474a9c2e7e33b20b1a9c3b6f472e9d46ee3cb608d7</x:v>
      </x:c>
      <x:c r="G16" s="59" t="n">
        <x:v>16585</x:v>
      </x:c>
    </x:row>
    <x:row r="17">
      <x:c r="A17" s="47" t="str">
        <x:v>RUN-IMO26-012-20260824T031137243690Z</x:v>
      </x:c>
      <x:c r="B17" s="47" t="str">
        <x:v>IMO26-012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7c44e1e4c1f1be64f5a738448651a59316f770a256cbbbd5b2d8d2ecb840bc54</x:v>
      </x:c>
      <x:c r="G17" s="59" t="n">
        <x:v>32807</x:v>
      </x:c>
    </x:row>
    <x:row r="18">
      <x:c r="A18" s="47" t="str">
        <x:v>RUN-IMO26-012-20260824T031137243690Z</x:v>
      </x:c>
      <x:c r="B18" s="47" t="str">
        <x:v>IMO26-012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cb749f480917f0eac37a6846e6b840808c601ef7fbf0512f2f689caead4e47b9</x:v>
      </x:c>
      <x:c r="G18" s="59" t="n">
        <x:v>3585</x:v>
      </x:c>
    </x:row>
    <x:row r="19">
      <x:c r="A19" s="47" t="str">
        <x:v>RUN-IMO26-012-20260824T031137243690Z</x:v>
      </x:c>
      <x:c r="B19" s="47" t="str">
        <x:v>IMO26-012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b86a0b10169564a3e9391d1fb435815af573f92c11a7719d687b18de0e6d05c4</x:v>
      </x:c>
      <x:c r="G19" s="59" t="n">
        <x:v>3560</x:v>
      </x:c>
    </x:row>
    <x:row r="20">
      <x:c r="A20" s="47" t="str">
        <x:v>RUN-IMO26-012-20260824T031137243690Z</x:v>
      </x:c>
      <x:c r="B20" s="47" t="str">
        <x:v>IMO26-012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f50af3257d60d42739a6c87a29cf9591584f4a2c87bc41b1e4b6aaead922cc82</x:v>
      </x:c>
      <x:c r="G20" s="59" t="n">
        <x:v>829</x:v>
      </x:c>
    </x:row>
    <x:row r="21">
      <x:c r="A21" s="47" t="str">
        <x:v>RUN-IMO26-012-20260824T031137243690Z</x:v>
      </x:c>
      <x:c r="B21" s="47" t="str">
        <x:v>IMO26-012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11f592ffae61f6233f489fb40a1cc925bcbaa119593053b866f3de1a4971e23c</x:v>
      </x:c>
      <x:c r="G21" s="59" t="n">
        <x:v>31527</x:v>
      </x:c>
    </x:row>
    <x:row r="22">
      <x:c r="A22" s="47" t="str">
        <x:v>RUN-IMO26-012-20260824T031137243690Z</x:v>
      </x:c>
      <x:c r="B22" s="47" t="str">
        <x:v>IMO26-012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eb24c49a54ff0aa9ce9d13568701e7b03ddd3b984314bb265c929f3e0b137f04</x:v>
      </x:c>
      <x:c r="G22" s="59" t="n">
        <x:v>375</x:v>
      </x:c>
    </x:row>
    <x:row r="23">
      <x:c r="A23" s="49" t="str">
        <x:v>RUN-IMO26-012-20260824T031137243690Z</x:v>
      </x:c>
      <x:c r="B23" s="49" t="str">
        <x:v>IMO26-012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b86a0b10169564a3e9391d1fb435815af573f92c11a7719d687b18de0e6d05c4</x:v>
      </x:c>
      <x:c r="G23" s="60" t="n">
        <x:v>3560</x:v>
      </x:c>
    </x:row>
  </x:sheetData>
  <x:pageMargins left="0.7" right="0.7" top="0.75" bottom="0.75" header="0.3" footer="0.3"/>
  <x:tableParts count="1">
    <x:tablePart xmlns:r="http://schemas.openxmlformats.org/officeDocument/2006/relationships" r:id="R702a91e8fb914d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RUN-IMO26-012-20260824T031137243690Z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RUN-IMO26-012-20260824T031137243690Z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RUN-IMO26-012-20260824T031137243690Z</x:v>
      </x:c>
      <x:c r="B5" s="69" t="str">
        <x:v>IMO26-012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c3cda1885a4815"/>
  </x:tableParts>
</x:worksheet>
</file>