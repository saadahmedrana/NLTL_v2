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ables/table10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d32f940319c43b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de55e4c2682e4b02"/>
    <x:sheet xmlns:r="http://schemas.openxmlformats.org/officeDocument/2006/relationships" name="README" sheetId="2" r:id="Rebb26900eb5242bb"/>
    <x:sheet xmlns:r="http://schemas.openxmlformats.org/officeDocument/2006/relationships" name="REGULATION_QUEUE" sheetId="3" r:id="Raf28867c94254424"/>
    <x:sheet xmlns:r="http://schemas.openxmlformats.org/officeDocument/2006/relationships" name="RUNS" sheetId="4" r:id="R077caa080b50480c"/>
    <x:sheet xmlns:r="http://schemas.openxmlformats.org/officeDocument/2006/relationships" name="ITERATIONS" sheetId="5" r:id="Rd7462b69d5594ecb"/>
    <x:sheet xmlns:r="http://schemas.openxmlformats.org/officeDocument/2006/relationships" name="API_CALLS" sheetId="6" r:id="R77a970f989864f06"/>
    <x:sheet xmlns:r="http://schemas.openxmlformats.org/officeDocument/2006/relationships" name="TERM_RETRIEVAL" sheetId="7" r:id="R5df3d817c92c48d7"/>
    <x:sheet xmlns:r="http://schemas.openxmlformats.org/officeDocument/2006/relationships" name="FEW_SHOT_SELECTION" sheetId="8" r:id="R2a8177c417ec4e53"/>
    <x:sheet xmlns:r="http://schemas.openxmlformats.org/officeDocument/2006/relationships" name="VALIDATION" sheetId="9" r:id="R27d888bf0e404e77"/>
    <x:sheet xmlns:r="http://schemas.openxmlformats.org/officeDocument/2006/relationships" name="VOCAB_MATCHES" sheetId="10" r:id="R0052e8dde35243ab"/>
    <x:sheet xmlns:r="http://schemas.openxmlformats.org/officeDocument/2006/relationships" name="ARTIFACTS" sheetId="11" r:id="R5f510f546c8e4466"/>
    <x:sheet xmlns:r="http://schemas.openxmlformats.org/officeDocument/2006/relationships" name="UNRESOLVED" sheetId="12" r:id="R2ec3addcffb74364"/>
    <x:sheet xmlns:r="http://schemas.openxmlformats.org/officeDocument/2006/relationships" name="RDF_TEST_QUEUE" sheetId="13" r:id="R098d6ee56b0c452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1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3" xfId="0" applyNumberFormat="1" applyFont="1" applyFill="1" applyBorder="1" applyAlignment="1">
      <x:alignment vertical="top"/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54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4074bd2d0d04c1e" /><Relationship Type="http://schemas.openxmlformats.org/officeDocument/2006/relationships/theme" Target="/xl/theme/theme1.xml" Id="R9a0bfc087c064396" /><Relationship Type="http://schemas.microsoft.com/office/2022/11/relationships/FeaturePropertyBag" Target="/xl/featurePropertyBag/featurePropertyBag.xml" Id="R6eacfece8b654855" /><Relationship Type="http://schemas.openxmlformats.org/officeDocument/2006/relationships/sharedStrings" Target="/xl/sharedStrings.xml" Id="R8faea4a13d994d89" /><Relationship Type="http://schemas.openxmlformats.org/officeDocument/2006/relationships/worksheet" Target="/xl/worksheets/sheet1.xml" Id="Rde55e4c2682e4b02" /><Relationship Type="http://schemas.openxmlformats.org/officeDocument/2006/relationships/worksheet" Target="/xl/worksheets/sheet2.xml" Id="Rebb26900eb5242bb" /><Relationship Type="http://schemas.openxmlformats.org/officeDocument/2006/relationships/worksheet" Target="/xl/worksheets/sheet3.xml" Id="Raf28867c94254424" /><Relationship Type="http://schemas.openxmlformats.org/officeDocument/2006/relationships/worksheet" Target="/xl/worksheets/sheet4.xml" Id="R077caa080b50480c" /><Relationship Type="http://schemas.openxmlformats.org/officeDocument/2006/relationships/worksheet" Target="/xl/worksheets/sheet5.xml" Id="Rd7462b69d5594ecb" /><Relationship Type="http://schemas.openxmlformats.org/officeDocument/2006/relationships/worksheet" Target="/xl/worksheets/sheet6.xml" Id="R77a970f989864f06" /><Relationship Type="http://schemas.openxmlformats.org/officeDocument/2006/relationships/worksheet" Target="/xl/worksheets/sheet7.xml" Id="R5df3d817c92c48d7" /><Relationship Type="http://schemas.openxmlformats.org/officeDocument/2006/relationships/worksheet" Target="/xl/worksheets/sheet8.xml" Id="R2a8177c417ec4e53" /><Relationship Type="http://schemas.openxmlformats.org/officeDocument/2006/relationships/worksheet" Target="/xl/worksheets/sheet9.xml" Id="R27d888bf0e404e77" /><Relationship Type="http://schemas.openxmlformats.org/officeDocument/2006/relationships/worksheet" Target="/xl/worksheets/sheet10.xml" Id="R0052e8dde35243ab" /><Relationship Type="http://schemas.openxmlformats.org/officeDocument/2006/relationships/worksheet" Target="/xl/worksheets/sheet11.xml" Id="R5f510f546c8e4466" /><Relationship Type="http://schemas.openxmlformats.org/officeDocument/2006/relationships/worksheet" Target="/xl/worksheets/sheet12.xml" Id="R2ec3addcffb74364" /><Relationship Type="http://schemas.openxmlformats.org/officeDocument/2006/relationships/worksheet" Target="/xl/worksheets/sheet13.xml" Id="R098d6ee56b0c4527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6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12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25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6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9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2_RDFTESTQUEUE" displayName="T12_RDFTESTQUEUE" ref="A4:F5" headerRowCount="1" totalsRowCount="0" totalsRowShown="0">
  <x:tableColumns count="6">
    <x:tableColumn id="1" name="RUN_ID"/>
    <x:tableColumn id="2" name="REQUIREMENT_ID"/>
    <x:tableColumn id="3" name="FINAL_SHAPE"/>
    <x:tableColumn id="4" name="GENERATION_STATUS"/>
    <x:tableColumn id="5" name="RDF_EVALUATION_STATUS"/>
    <x:tableColumn id="6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23b7afb6aead43a7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09a7f1a034bf46b3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f52be3b014a644ff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6bb4cfadef2f4007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0c8ea35af78c4d16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ce31d053f70446c7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e59bf50f50814796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9b8e8fbceddb4578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9edb04115c2e44b8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0.xml" Id="Ra985377bdd784eb4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RUN-TRF-002-20260824T032046735154Z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1</x:v>
      </x:c>
      <x:c r="C8" s="21"/>
      <x:c r="D8" s="21"/>
    </x:row>
    <x:row r="9">
      <x:c r="A9" s="25" t="str">
        <x:v>API/LLM records</x:v>
      </x:c>
      <x:c r="B9" s="26" t="n">
        <x:f>COUNTA('API_CALLS'!$A$5:$A$12)</x:f>
        <x:v>8</x:v>
      </x:c>
      <x:c r="C9" s="21"/>
      <x:c r="D9" s="21"/>
    </x:row>
    <x:row r="10">
      <x:c r="A10" s="27" t="str">
        <x:v>Mean API/LLM elapsed ms</x:v>
      </x:c>
      <x:c r="B10" s="28" t="n">
        <x:f>IFERROR(AVERAGE('API_CALLS'!$K$5:$K$12),0)</x:f>
        <x:v>16729.445874999998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RUN-TRF-002-20260824T032046735154Z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23b7afb6aead43a7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RUN-TRF-002-20260824T032046735154Z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GENERATION_ACCEPTED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09a7f1a034bf46b3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1" hidden="0" customWidth="1"/>
    <x:col min="10" max="10" width="11" hidden="0" customWidth="1"/>
    <x:col min="11" max="11" width="2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RUN-TRF-002-20260824T032046735154Z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SESSION-BATCH-20260823T232935794597Z</x:v>
      </x:c>
      <x:c r="B5" s="69" t="str">
        <x:v>RUN-TRF-002-20260824T032046735154Z</x:v>
      </x:c>
      <x:c r="C5" s="69" t="str">
        <x:v>TRF-002</x:v>
      </x:c>
      <x:c r="D5" s="70" t="n">
        <x:v>46258.13942982639</x:v>
      </x:c>
      <x:c r="E5" s="70" t="n">
        <x:v>46258.140206145836</x:v>
      </x:c>
      <x:c r="F5" s="69" t="str">
        <x:v>development-r13-sol-full268-max4-01</x:v>
      </x:c>
      <x:c r="G5" s="69" t="str">
        <x:v>VOCAB-LOCK-2026-08-22-R13</x:v>
      </x:c>
      <x:c r="H5" s="71" t="n">
        <x:v>2</x:v>
      </x:c>
      <x:c r="I5" s="69" t="str">
        <x:v>GENERATION_ACCEPTED</x:v>
      </x:c>
      <x:c r="J5" s="72" t="b">
        <x:v>1</x:v>
      </x:c>
      <x:c r="K5" s="69" t="str">
        <x:v>final/final_shape.ttl</x:v>
      </x:c>
      <x:c r="L5" s="73" t="str">
        <x:v>No repair required; the candidate faithfully encodes the inclusive 2019-01-01 and exclusive 2021-07-05 applicability interval, requires the 2017 edition only within that interval, and validates supplied construction contract dates without imposing existence.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f52be3b014a644ff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11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RUN-TRF-002-20260824T032046735154Z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45" t="str">
        <x:v>RUN-TRF-002-20260824T032046735154Z</x:v>
      </x:c>
      <x:c r="B5" s="45" t="str">
        <x:v>TRF-002</x:v>
      </x:c>
      <x:c r="C5" s="58" t="n">
        <x:v>1</x:v>
      </x:c>
      <x:c r="D5" s="80" t="b">
        <x:v>1</x:v>
      </x:c>
      <x:c r="E5" s="80" t="b">
        <x:v>0</x:v>
      </x:c>
      <x:c r="F5" s="80" t="b">
        <x:v>0</x:v>
      </x:c>
      <x:c r="G5" s="45" t="str">
        <x:v>REVISE</x:v>
      </x:c>
      <x:c r="H5" s="46" t="str">
        <x:v>Add a ship-owned property constraint on nltl:constructionContractDate with sh:datatype xsd:date so any supplied date is type-valid and cannot make the applicability test pass accidentally through YEAR/MONTH/DAY evaluation failure. Do not add sh:minCount, because this requirement does not independently require the date to exist. Retain the inclusive 2019-01-01 and exclusive 2021-07-05 boundaries and the conditional requirement for nltl:iceClassRegulationEdition2017.</x:v>
      </x:c>
      <x:c r="I5" s="81" t="n">
        <x:v>8286.743</x:v>
      </x:c>
      <x:c r="J5" s="81" t="n">
        <x:v>22718.028</x:v>
      </x:c>
    </x:row>
    <x:row r="6">
      <x:c r="A6" s="49" t="str">
        <x:v>RUN-TRF-002-20260824T032046735154Z</x:v>
      </x:c>
      <x:c r="B6" s="49" t="str">
        <x:v>TRF-002</x:v>
      </x:c>
      <x:c r="C6" s="60" t="n">
        <x:v>2</x:v>
      </x:c>
      <x:c r="D6" s="82" t="b">
        <x:v>1</x:v>
      </x:c>
      <x:c r="E6" s="82" t="b">
        <x:v>1</x:v>
      </x:c>
      <x:c r="F6" s="82" t="b">
        <x:v>0</x:v>
      </x:c>
      <x:c r="G6" s="49" t="str">
        <x:v>ACCEPT</x:v>
      </x:c>
      <x:c r="H6" s="50" t="str">
        <x:v>No repair required; the candidate faithfully encodes the inclusive 2019-01-01 and exclusive 2021-07-05 applicability interval, requires the 2017 edition only within that interval, and validates supplied construction contract dates without imposing existence.</x:v>
      </x:c>
      <x:c r="I6" s="83" t="n">
        <x:v>31992.151</x:v>
      </x:c>
      <x:c r="J6" s="83" t="n">
        <x:v>3923.828</x:v>
      </x:c>
    </x:row>
  </x:sheetData>
  <x:conditionalFormatting sqref="G5:G6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6bb4cfadef2f4007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RUN-TRF-002-20260824T032046735154Z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EVT-000029</x:v>
      </x:c>
      <x:c r="B5" s="45" t="str">
        <x:v>RUN-TRF-002-20260824T032046735154Z</x:v>
      </x:c>
      <x:c r="C5" s="45" t="str">
        <x:v>TRF-002</x:v>
      </x:c>
      <x:c r="D5" s="90" t="n">
        <x:v>46258.13952576389</x:v>
      </x:c>
      <x:c r="E5" s="45" t="str">
        <x:v>generator</x:v>
      </x:c>
      <x:c r="F5" s="45" t="str">
        <x:v>gpt-5.6-sol-2026-07-09</x:v>
      </x:c>
      <x:c r="G5" s="45" t="n">
        <x:v>1</x:v>
      </x:c>
      <x:c r="H5" s="45" t="n">
        <x:v>200</x:v>
      </x:c>
      <x:c r="I5" s="45" t="str">
        <x:v>Ocp-Apim-Subscription-Key</x:v>
      </x:c>
      <x:c r="J5" s="81" t="n">
        <x:v>0</x:v>
      </x:c>
      <x:c r="K5" s="81" t="n">
        <x:v>8285.283</x:v>
      </x:c>
      <x:c r="L5" s="80" t="b">
        <x:v>0</x:v>
      </x:c>
      <x:c r="M5" s="45" t="str"/>
      <x:c r="N5" s="58" t="str"/>
      <x:c r="O5" s="58" t="str"/>
      <x:c r="P5" s="58" t="str"/>
    </x:row>
    <x:row r="6">
      <x:c r="A6" s="47" t="str">
        <x:v>EVT-000030</x:v>
      </x:c>
      <x:c r="B6" s="47" t="str">
        <x:v>RUN-TRF-002-20260824T032046735154Z</x:v>
      </x:c>
      <x:c r="C6" s="47" t="str">
        <x:v>TRF-002</x:v>
      </x:c>
      <x:c r="D6" s="91" t="n">
        <x:v>46258.13952577546</x:v>
      </x:c>
      <x:c r="E6" s="47" t="str">
        <x:v>generator</x:v>
      </x:c>
      <x:c r="F6" s="47" t="str">
        <x:v>gpt-5.6-sol-2026-07-09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8286.743</x:v>
      </x:c>
      <x:c r="L6" s="93" t="b">
        <x:v>0</x:v>
      </x:c>
      <x:c r="M6" s="47" t="str">
        <x:v>resp_0484f4fa73712e4a006a8bb88f010881958c336f8c0d0ea9c3</x:v>
      </x:c>
      <x:c r="N6" s="59" t="n">
        <x:v>9931</x:v>
      </x:c>
      <x:c r="O6" s="59" t="n">
        <x:v>369</x:v>
      </x:c>
      <x:c r="P6" s="59" t="n">
        <x:v>10300</x:v>
      </x:c>
    </x:row>
    <x:row r="7">
      <x:c r="A7" s="47" t="str">
        <x:v>EVT-000037</x:v>
      </x:c>
      <x:c r="B7" s="47" t="str">
        <x:v>RUN-TRF-002-20260824T032046735154Z</x:v>
      </x:c>
      <x:c r="C7" s="47" t="str">
        <x:v>TRF-002</x:v>
      </x:c>
      <x:c r="D7" s="91" t="n">
        <x:v>46258.13978949074</x:v>
      </x:c>
      <x:c r="E7" s="47" t="str">
        <x:v>validator</x:v>
      </x:c>
      <x:c r="F7" s="47" t="str">
        <x:v>gpt-5.6-sol-2026-07-09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22716.658</x:v>
      </x:c>
      <x:c r="L7" s="93" t="b">
        <x:v>0</x:v>
      </x:c>
      <x:c r="M7" s="47" t="str"/>
      <x:c r="N7" s="59" t="str"/>
      <x:c r="O7" s="59" t="str"/>
      <x:c r="P7" s="59" t="str"/>
    </x:row>
    <x:row r="8">
      <x:c r="A8" s="47" t="str">
        <x:v>EVT-000038</x:v>
      </x:c>
      <x:c r="B8" s="47" t="str">
        <x:v>RUN-TRF-002-20260824T032046735154Z</x:v>
      </x:c>
      <x:c r="C8" s="47" t="str">
        <x:v>TRF-002</x:v>
      </x:c>
      <x:c r="D8" s="91" t="n">
        <x:v>46258.13978950232</x:v>
      </x:c>
      <x:c r="E8" s="47" t="str">
        <x:v>validator</x:v>
      </x:c>
      <x:c r="F8" s="47" t="str">
        <x:v>gpt-5.6-sol-2026-07-09</x:v>
      </x:c>
      <x:c r="G8" s="47" t="n">
        <x:v>1</x:v>
      </x:c>
      <x:c r="H8" s="47" t="str">
        <x:v>COMPLETED</x:v>
      </x:c>
      <x:c r="I8" s="47" t="str"/>
      <x:c r="J8" s="92" t="n">
        <x:v>0</x:v>
      </x:c>
      <x:c r="K8" s="92" t="n">
        <x:v>22718.028</x:v>
      </x:c>
      <x:c r="L8" s="93" t="b">
        <x:v>0</x:v>
      </x:c>
      <x:c r="M8" s="47" t="str">
        <x:v>resp_07a1ace5209a9f15006a8bb89730ec8197a52ffc509d531c62</x:v>
      </x:c>
      <x:c r="N8" s="59" t="n">
        <x:v>8772</x:v>
      </x:c>
      <x:c r="O8" s="59" t="n">
        <x:v>1350</x:v>
      </x:c>
      <x:c r="P8" s="59" t="n">
        <x:v>10122</x:v>
      </x:c>
    </x:row>
    <x:row r="9">
      <x:c r="A9" s="47" t="str">
        <x:v>EVT-000043</x:v>
      </x:c>
      <x:c r="B9" s="47" t="str">
        <x:v>RUN-TRF-002-20260824T032046735154Z</x:v>
      </x:c>
      <x:c r="C9" s="47" t="str">
        <x:v>TRF-002</x:v>
      </x:c>
      <x:c r="D9" s="91" t="n">
        <x:v>46258.14015982639</x:v>
      </x:c>
      <x:c r="E9" s="47" t="str">
        <x:v>generator</x:v>
      </x:c>
      <x:c r="F9" s="47" t="str">
        <x:v>gpt-5.6-sol-2026-07-09</x:v>
      </x:c>
      <x:c r="G9" s="47" t="n">
        <x:v>1</x:v>
      </x:c>
      <x:c r="H9" s="47" t="n">
        <x:v>200</x:v>
      </x:c>
      <x:c r="I9" s="47" t="str">
        <x:v>Ocp-Apim-Subscription-Key</x:v>
      </x:c>
      <x:c r="J9" s="92" t="n">
        <x:v>0</x:v>
      </x:c>
      <x:c r="K9" s="92" t="n">
        <x:v>31990.524</x:v>
      </x:c>
      <x:c r="L9" s="93" t="b">
        <x:v>0</x:v>
      </x:c>
      <x:c r="M9" s="47" t="str"/>
      <x:c r="N9" s="59" t="str"/>
      <x:c r="O9" s="59" t="str"/>
      <x:c r="P9" s="59" t="str"/>
    </x:row>
    <x:row r="10">
      <x:c r="A10" s="47" t="str">
        <x:v>EVT-000044</x:v>
      </x:c>
      <x:c r="B10" s="47" t="str">
        <x:v>RUN-TRF-002-20260824T032046735154Z</x:v>
      </x:c>
      <x:c r="C10" s="47" t="str">
        <x:v>TRF-002</x:v>
      </x:c>
      <x:c r="D10" s="91" t="n">
        <x:v>46258.140159849536</x:v>
      </x:c>
      <x:c r="E10" s="47" t="str">
        <x:v>generator</x:v>
      </x:c>
      <x:c r="F10" s="47" t="str">
        <x:v>gpt-5.6-sol-2026-07-09</x:v>
      </x:c>
      <x:c r="G10" s="47" t="n">
        <x:v>1</x:v>
      </x:c>
      <x:c r="H10" s="47" t="str">
        <x:v>COMPLETED</x:v>
      </x:c>
      <x:c r="I10" s="47" t="str"/>
      <x:c r="J10" s="92" t="n">
        <x:v>0</x:v>
      </x:c>
      <x:c r="K10" s="92" t="n">
        <x:v>31992.151</x:v>
      </x:c>
      <x:c r="L10" s="93" t="b">
        <x:v>0</x:v>
      </x:c>
      <x:c r="M10" s="47" t="str">
        <x:v>resp_08e8caea196a52b7006a8bb8adec508193a65a8f5c9cd4c852</x:v>
      </x:c>
      <x:c r="N10" s="59" t="n">
        <x:v>10035</x:v>
      </x:c>
      <x:c r="O10" s="59" t="n">
        <x:v>1806</x:v>
      </x:c>
      <x:c r="P10" s="59" t="n">
        <x:v>11841</x:v>
      </x:c>
    </x:row>
    <x:row r="11">
      <x:c r="A11" s="47" t="str">
        <x:v>EVT-000051</x:v>
      </x:c>
      <x:c r="B11" s="47" t="str">
        <x:v>RUN-TRF-002-20260824T032046735154Z</x:v>
      </x:c>
      <x:c r="C11" s="47" t="str">
        <x:v>TRF-002</x:v>
      </x:c>
      <x:c r="D11" s="91" t="n">
        <x:v>46258.14020607639</x:v>
      </x:c>
      <x:c r="E11" s="47" t="str">
        <x:v>validator</x:v>
      </x:c>
      <x:c r="F11" s="47" t="str">
        <x:v>gpt-5.6-sol-2026-07-09</x:v>
      </x:c>
      <x:c r="G11" s="47" t="n">
        <x:v>1</x:v>
      </x:c>
      <x:c r="H11" s="47" t="n">
        <x:v>200</x:v>
      </x:c>
      <x:c r="I11" s="47" t="str">
        <x:v>Ocp-Apim-Subscription-Key</x:v>
      </x:c>
      <x:c r="J11" s="92" t="n">
        <x:v>0</x:v>
      </x:c>
      <x:c r="K11" s="92" t="n">
        <x:v>3922.352</x:v>
      </x:c>
      <x:c r="L11" s="93" t="b">
        <x:v>0</x:v>
      </x:c>
      <x:c r="M11" s="47" t="str"/>
      <x:c r="N11" s="59" t="str"/>
      <x:c r="O11" s="59" t="str"/>
      <x:c r="P11" s="59" t="str"/>
    </x:row>
    <x:row r="12">
      <x:c r="A12" s="49" t="str">
        <x:v>EVT-000052</x:v>
      </x:c>
      <x:c r="B12" s="49" t="str">
        <x:v>RUN-TRF-002-20260824T032046735154Z</x:v>
      </x:c>
      <x:c r="C12" s="49" t="str">
        <x:v>TRF-002</x:v>
      </x:c>
      <x:c r="D12" s="94" t="n">
        <x:v>46258.14020608796</x:v>
      </x:c>
      <x:c r="E12" s="49" t="str">
        <x:v>validator</x:v>
      </x:c>
      <x:c r="F12" s="49" t="str">
        <x:v>gpt-5.6-sol-2026-07-09</x:v>
      </x:c>
      <x:c r="G12" s="49" t="n">
        <x:v>1</x:v>
      </x:c>
      <x:c r="H12" s="49" t="str">
        <x:v>COMPLETED</x:v>
      </x:c>
      <x:c r="I12" s="49" t="str"/>
      <x:c r="J12" s="83" t="n">
        <x:v>0</x:v>
      </x:c>
      <x:c r="K12" s="83" t="n">
        <x:v>3923.828</x:v>
      </x:c>
      <x:c r="L12" s="82" t="b">
        <x:v>0</x:v>
      </x:c>
      <x:c r="M12" s="49" t="str">
        <x:v>resp_000a3cfed670f73a006a8bb8cdfa288196b08a443d8dc36b55</x:v>
      </x:c>
      <x:c r="N12" s="60" t="n">
        <x:v>8976</x:v>
      </x:c>
      <x:c r="O12" s="60" t="n">
        <x:v>244</x:v>
      </x:c>
      <x:c r="P12" s="60" t="n">
        <x:v>9220</x:v>
      </x:c>
    </x:row>
  </x:sheetData>
  <x:conditionalFormatting sqref="H5:H12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0c8ea35af78c4d16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1" hidden="0" customWidth="1"/>
    <x:col min="7" max="7" width="46" hidden="0" customWidth="1"/>
    <x:col min="8" max="8" width="18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RUN-TRF-002-20260824T032046735154Z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RUN-TRF-002-20260824T032046735154Z</x:v>
      </x:c>
      <x:c r="B5" s="45" t="str">
        <x:v>TRF-002</x:v>
      </x:c>
      <x:c r="C5" s="45" t="str">
        <x:v>applicableIceClassRegulationEdition</x:v>
      </x:c>
      <x:c r="D5" s="46" t="str">
        <x:v>https://w3id.org/nltl/vocab#applicableIceClassRegulationEdition</x:v>
      </x:c>
      <x:c r="E5" s="45" t="str">
        <x:v>ObjectProperty</x:v>
      </x:c>
      <x:c r="F5" s="45" t="str"/>
      <x:c r="G5" s="45" t="str">
        <x:v>https://w3id.org/nltl/vocab#iceClassRegulationEditionValue</x:v>
      </x:c>
      <x:c r="H5" s="45" t="str"/>
      <x:c r="I5" s="46" t="str">
        <x:v>linked by the locked 313-requirement index</x:v>
      </x:c>
      <x:c r="J5" s="45" t="n">
        <x:v>0</x:v>
      </x:c>
    </x:row>
    <x:row r="6">
      <x:c r="A6" s="47" t="str">
        <x:v>RUN-TRF-002-20260824T032046735154Z</x:v>
      </x:c>
      <x:c r="B6" s="47" t="str">
        <x:v>TRF-002</x:v>
      </x:c>
      <x:c r="C6" s="47" t="str">
        <x:v>benchmarkEntity</x:v>
      </x:c>
      <x:c r="D6" s="48" t="str">
        <x:v>https://w3id.org/nltl/vocab#benchmarkEntity</x:v>
      </x:c>
      <x:c r="E6" s="47" t="str">
        <x:v>Class</x:v>
      </x:c>
      <x:c r="F6" s="47" t="str"/>
      <x:c r="G6" s="47" t="str"/>
      <x:c r="H6" s="47" t="str"/>
      <x:c r="I6" s="48" t="str">
        <x:v>baseline target infrastructure; domain dependency of applicableIceClassRegulationEdition; domain dependency of constructionContractDate; domain dependency of iceClass</x:v>
      </x:c>
      <x:c r="J6" s="47" t="n">
        <x:v>0</x:v>
      </x:c>
    </x:row>
    <x:row r="7">
      <x:c r="A7" s="47" t="str">
        <x:v>RUN-TRF-002-20260824T032046735154Z</x:v>
      </x:c>
      <x:c r="B7" s="47" t="str">
        <x:v>TRF-002</x:v>
      </x:c>
      <x:c r="C7" s="47" t="str">
        <x:v>constructionContractDate</x:v>
      </x:c>
      <x:c r="D7" s="48" t="str">
        <x:v>https://w3id.org/nltl/vocab#constructionContractDate</x:v>
      </x:c>
      <x:c r="E7" s="47" t="str">
        <x:v>DatatypeProperty</x:v>
      </x:c>
      <x:c r="F7" s="47" t="str">
        <x:v>xsd:date</x:v>
      </x:c>
      <x:c r="G7" s="47" t="str">
        <x:v>http://www.w3.org/2001/XMLSchema#date</x:v>
      </x:c>
      <x:c r="H7" s="47" t="str"/>
      <x:c r="I7" s="48" t="str">
        <x:v>linked by the locked 313-requirement index</x:v>
      </x:c>
      <x:c r="J7" s="47" t="n">
        <x:v>0</x:v>
      </x:c>
    </x:row>
    <x:row r="8">
      <x:c r="A8" s="47" t="str">
        <x:v>RUN-TRF-002-20260824T032046735154Z</x:v>
      </x:c>
      <x:c r="B8" s="47" t="str">
        <x:v>TRF-002</x:v>
      </x:c>
      <x:c r="C8" s="47" t="str">
        <x:v>hasComponent</x:v>
      </x:c>
      <x:c r="D8" s="48" t="str">
        <x:v>https://w3id.org/nltl/vocab#hasComponent</x:v>
      </x:c>
      <x:c r="E8" s="47" t="str">
        <x:v>ObjectProperty</x:v>
      </x:c>
      <x:c r="F8" s="47" t="str"/>
      <x:c r="G8" s="47" t="str">
        <x:v>https://w3id.org/nltl/vocab#shipComponent</x:v>
      </x:c>
      <x:c r="H8" s="47" t="str"/>
      <x:c r="I8" s="48" t="str">
        <x:v>component-path dependency inferred from the linked term module</x:v>
      </x:c>
      <x:c r="J8" s="47" t="n">
        <x:v>0</x:v>
      </x:c>
    </x:row>
    <x:row r="9">
      <x:c r="A9" s="47" t="str">
        <x:v>RUN-TRF-002-20260824T032046735154Z</x:v>
      </x:c>
      <x:c r="B9" s="47" t="str">
        <x:v>TRF-002</x:v>
      </x:c>
      <x:c r="C9" s="47" t="str">
        <x:v>iceClass</x:v>
      </x:c>
      <x:c r="D9" s="48" t="str">
        <x:v>https://w3id.org/nltl/vocab#iceClass</x:v>
      </x:c>
      <x:c r="E9" s="47" t="str">
        <x:v>ObjectProperty</x:v>
      </x:c>
      <x:c r="F9" s="47" t="str"/>
      <x:c r="G9" s="47" t="str">
        <x:v>https://w3id.org/nltl/vocab#iceClassValue</x:v>
      </x:c>
      <x:c r="H9" s="47" t="str"/>
      <x:c r="I9" s="48" t="str">
        <x:v>linked by the locked 313-requirement index</x:v>
      </x:c>
      <x:c r="J9" s="47" t="n">
        <x:v>0</x:v>
      </x:c>
    </x:row>
    <x:row r="10">
      <x:c r="A10" s="47" t="str">
        <x:v>RUN-TRF-002-20260824T032046735154Z</x:v>
      </x:c>
      <x:c r="B10" s="47" t="str">
        <x:v>TRF-002</x:v>
      </x:c>
      <x:c r="C10" s="47" t="str">
        <x:v>iceClassIa</x:v>
      </x:c>
      <x:c r="D10" s="48" t="str">
        <x:v>https://w3id.org/nltl/vocab#iceClassIa</x:v>
      </x:c>
      <x:c r="E10" s="47" t="str">
        <x:v>NamedIndividual</x:v>
      </x:c>
      <x:c r="F10" s="47" t="str"/>
      <x:c r="G10" s="47" t="str">
        <x:v>https://w3id.org/nltl/vocab#iceClassValue</x:v>
      </x:c>
      <x:c r="H10" s="47" t="str"/>
      <x:c r="I10" s="48" t="str">
        <x:v>controlled value permitted by the range of iceClass</x:v>
      </x:c>
      <x:c r="J10" s="47" t="n">
        <x:v>0</x:v>
      </x:c>
    </x:row>
    <x:row r="11">
      <x:c r="A11" s="47" t="str">
        <x:v>RUN-TRF-002-20260824T032046735154Z</x:v>
      </x:c>
      <x:c r="B11" s="47" t="str">
        <x:v>TRF-002</x:v>
      </x:c>
      <x:c r="C11" s="47" t="str">
        <x:v>iceClassIaSuper</x:v>
      </x:c>
      <x:c r="D11" s="48" t="str">
        <x:v>https://w3id.org/nltl/vocab#iceClassIaSuper</x:v>
      </x:c>
      <x:c r="E11" s="47" t="str">
        <x:v>NamedIndividual</x:v>
      </x:c>
      <x:c r="F11" s="47" t="str"/>
      <x:c r="G11" s="47" t="str">
        <x:v>https://w3id.org/nltl/vocab#iceClassValue</x:v>
      </x:c>
      <x:c r="H11" s="47" t="str"/>
      <x:c r="I11" s="48" t="str">
        <x:v>controlled value permitted by the range of iceClass</x:v>
      </x:c>
      <x:c r="J11" s="47" t="n">
        <x:v>0</x:v>
      </x:c>
    </x:row>
    <x:row r="12">
      <x:c r="A12" s="47" t="str">
        <x:v>RUN-TRF-002-20260824T032046735154Z</x:v>
      </x:c>
      <x:c r="B12" s="47" t="str">
        <x:v>TRF-002</x:v>
      </x:c>
      <x:c r="C12" s="47" t="str">
        <x:v>iceClassIb</x:v>
      </x:c>
      <x:c r="D12" s="48" t="str">
        <x:v>https://w3id.org/nltl/vocab#iceClassIb</x:v>
      </x:c>
      <x:c r="E12" s="47" t="str">
        <x:v>NamedIndividual</x:v>
      </x:c>
      <x:c r="F12" s="47" t="str"/>
      <x:c r="G12" s="47" t="str">
        <x:v>https://w3id.org/nltl/vocab#iceClassValue</x:v>
      </x:c>
      <x:c r="H12" s="47" t="str"/>
      <x:c r="I12" s="48" t="str">
        <x:v>controlled value permitted by the range of iceClass</x:v>
      </x:c>
      <x:c r="J12" s="47" t="n">
        <x:v>0</x:v>
      </x:c>
    </x:row>
    <x:row r="13">
      <x:c r="A13" s="47" t="str">
        <x:v>RUN-TRF-002-20260824T032046735154Z</x:v>
      </x:c>
      <x:c r="B13" s="47" t="str">
        <x:v>TRF-002</x:v>
      </x:c>
      <x:c r="C13" s="47" t="str">
        <x:v>iceClassIc</x:v>
      </x:c>
      <x:c r="D13" s="48" t="str">
        <x:v>https://w3id.org/nltl/vocab#iceClassIc</x:v>
      </x:c>
      <x:c r="E13" s="47" t="str">
        <x:v>NamedIndividual</x:v>
      </x:c>
      <x:c r="F13" s="47" t="str"/>
      <x:c r="G13" s="47" t="str">
        <x:v>https://w3id.org/nltl/vocab#iceClassValue</x:v>
      </x:c>
      <x:c r="H13" s="47" t="str"/>
      <x:c r="I13" s="48" t="str">
        <x:v>controlled value permitted by the range of iceClass</x:v>
      </x:c>
      <x:c r="J13" s="47" t="n">
        <x:v>0</x:v>
      </x:c>
    </x:row>
    <x:row r="14">
      <x:c r="A14" s="47" t="str">
        <x:v>RUN-TRF-002-20260824T032046735154Z</x:v>
      </x:c>
      <x:c r="B14" s="47" t="str">
        <x:v>TRF-002</x:v>
      </x:c>
      <x:c r="C14" s="47" t="str">
        <x:v>iceClassIi</x:v>
      </x:c>
      <x:c r="D14" s="48" t="str">
        <x:v>https://w3id.org/nltl/vocab#iceClassIi</x:v>
      </x:c>
      <x:c r="E14" s="47" t="str">
        <x:v>NamedIndividual</x:v>
      </x:c>
      <x:c r="F14" s="47" t="str"/>
      <x:c r="G14" s="47" t="str">
        <x:v>https://w3id.org/nltl/vocab#iceClassValue</x:v>
      </x:c>
      <x:c r="H14" s="47" t="str"/>
      <x:c r="I14" s="48" t="str">
        <x:v>controlled value permitted by the range of iceClass</x:v>
      </x:c>
      <x:c r="J14" s="47" t="n">
        <x:v>0</x:v>
      </x:c>
    </x:row>
    <x:row r="15">
      <x:c r="A15" s="47" t="str">
        <x:v>RUN-TRF-002-20260824T032046735154Z</x:v>
      </x:c>
      <x:c r="B15" s="47" t="str">
        <x:v>TRF-002</x:v>
      </x:c>
      <x:c r="C15" s="47" t="str">
        <x:v>iceClassIii</x:v>
      </x:c>
      <x:c r="D15" s="48" t="str">
        <x:v>https://w3id.org/nltl/vocab#iceClassIii</x:v>
      </x:c>
      <x:c r="E15" s="47" t="str">
        <x:v>NamedIndividual</x:v>
      </x:c>
      <x:c r="F15" s="47" t="str"/>
      <x:c r="G15" s="47" t="str">
        <x:v>https://w3id.org/nltl/vocab#iceClassValue</x:v>
      </x:c>
      <x:c r="H15" s="47" t="str"/>
      <x:c r="I15" s="48" t="str">
        <x:v>controlled value permitted by the range of iceClass</x:v>
      </x:c>
      <x:c r="J15" s="47" t="n">
        <x:v>0</x:v>
      </x:c>
    </x:row>
    <x:row r="16">
      <x:c r="A16" s="47" t="str">
        <x:v>RUN-TRF-002-20260824T032046735154Z</x:v>
      </x:c>
      <x:c r="B16" s="47" t="str">
        <x:v>TRF-002</x:v>
      </x:c>
      <x:c r="C16" s="47" t="str">
        <x:v>iceClassRegulationEdition2002</x:v>
      </x:c>
      <x:c r="D16" s="48" t="str">
        <x:v>https://w3id.org/nltl/vocab#iceClassRegulationEdition2002</x:v>
      </x:c>
      <x:c r="E16" s="47" t="str">
        <x:v>NamedIndividual</x:v>
      </x:c>
      <x:c r="F16" s="47" t="str"/>
      <x:c r="G16" s="47" t="str">
        <x:v>https://w3id.org/nltl/vocab#iceClassRegulationEditionValue</x:v>
      </x:c>
      <x:c r="H16" s="47" t="str"/>
      <x:c r="I16" s="48" t="str">
        <x:v>controlled value permitted by the range of applicableIceClassRegulationEdition; controlled value permitted by the range of iceClassRegulationEdition2017</x:v>
      </x:c>
      <x:c r="J16" s="47" t="n">
        <x:v>0</x:v>
      </x:c>
    </x:row>
    <x:row r="17">
      <x:c r="A17" s="47" t="str">
        <x:v>RUN-TRF-002-20260824T032046735154Z</x:v>
      </x:c>
      <x:c r="B17" s="47" t="str">
        <x:v>TRF-002</x:v>
      </x:c>
      <x:c r="C17" s="47" t="str">
        <x:v>iceClassRegulationEdition2008</x:v>
      </x:c>
      <x:c r="D17" s="48" t="str">
        <x:v>https://w3id.org/nltl/vocab#iceClassRegulationEdition2008</x:v>
      </x:c>
      <x:c r="E17" s="47" t="str">
        <x:v>NamedIndividual</x:v>
      </x:c>
      <x:c r="F17" s="47" t="str"/>
      <x:c r="G17" s="47" t="str">
        <x:v>https://w3id.org/nltl/vocab#iceClassRegulationEditionValue</x:v>
      </x:c>
      <x:c r="H17" s="47" t="str"/>
      <x:c r="I17" s="48" t="str">
        <x:v>controlled value permitted by the range of applicableIceClassRegulationEdition; controlled value permitted by the range of iceClassRegulationEdition2017</x:v>
      </x:c>
      <x:c r="J17" s="47" t="n">
        <x:v>0</x:v>
      </x:c>
    </x:row>
    <x:row r="18">
      <x:c r="A18" s="47" t="str">
        <x:v>RUN-TRF-002-20260824T032046735154Z</x:v>
      </x:c>
      <x:c r="B18" s="47" t="str">
        <x:v>TRF-002</x:v>
      </x:c>
      <x:c r="C18" s="47" t="str">
        <x:v>iceClassRegulationEdition2010</x:v>
      </x:c>
      <x:c r="D18" s="48" t="str">
        <x:v>https://w3id.org/nltl/vocab#iceClassRegulationEdition2010</x:v>
      </x:c>
      <x:c r="E18" s="47" t="str">
        <x:v>NamedIndividual</x:v>
      </x:c>
      <x:c r="F18" s="47" t="str"/>
      <x:c r="G18" s="47" t="str">
        <x:v>https://w3id.org/nltl/vocab#iceClassRegulationEditionValue</x:v>
      </x:c>
      <x:c r="H18" s="47" t="str"/>
      <x:c r="I18" s="48" t="str">
        <x:v>controlled value permitted by the range of applicableIceClassRegulationEdition; controlled value permitted by the range of iceClassRegulationEdition2017</x:v>
      </x:c>
      <x:c r="J18" s="47" t="n">
        <x:v>0</x:v>
      </x:c>
    </x:row>
    <x:row r="19">
      <x:c r="A19" s="47" t="str">
        <x:v>RUN-TRF-002-20260824T032046735154Z</x:v>
      </x:c>
      <x:c r="B19" s="47" t="str">
        <x:v>TRF-002</x:v>
      </x:c>
      <x:c r="C19" s="47" t="str">
        <x:v>iceClassRegulationEdition2017</x:v>
      </x:c>
      <x:c r="D19" s="48" t="str">
        <x:v>https://w3id.org/nltl/vocab#iceClassRegulationEdition2017</x:v>
      </x:c>
      <x:c r="E19" s="47" t="str">
        <x:v>NamedIndividual</x:v>
      </x:c>
      <x:c r="F19" s="47" t="str"/>
      <x:c r="G19" s="47" t="str">
        <x:v>https://w3id.org/nltl/vocab#iceClassRegulationEditionValue</x:v>
      </x:c>
      <x:c r="H19" s="47" t="str"/>
      <x:c r="I19" s="48" t="str">
        <x:v>controlled value permitted by the range of applicableIceClassRegulationEdition; controlled value permitted by the range of iceClassRegulationEdition2017; linked by the locked 313-requirement index</x:v>
      </x:c>
      <x:c r="J19" s="47" t="n">
        <x:v>0</x:v>
      </x:c>
    </x:row>
    <x:row r="20">
      <x:c r="A20" s="47" t="str">
        <x:v>RUN-TRF-002-20260824T032046735154Z</x:v>
      </x:c>
      <x:c r="B20" s="47" t="str">
        <x:v>TRF-002</x:v>
      </x:c>
      <x:c r="C20" s="47" t="str">
        <x:v>iceClassRegulationEdition2021</x:v>
      </x:c>
      <x:c r="D20" s="48" t="str">
        <x:v>https://w3id.org/nltl/vocab#iceClassRegulationEdition2021</x:v>
      </x:c>
      <x:c r="E20" s="47" t="str">
        <x:v>NamedIndividual</x:v>
      </x:c>
      <x:c r="F20" s="47" t="str"/>
      <x:c r="G20" s="47" t="str">
        <x:v>https://w3id.org/nltl/vocab#iceClassRegulationEditionValue</x:v>
      </x:c>
      <x:c r="H20" s="47" t="str"/>
      <x:c r="I20" s="48" t="str">
        <x:v>controlled value permitted by the range of applicableIceClassRegulationEdition; controlled value permitted by the range of iceClassRegulationEdition2017</x:v>
      </x:c>
      <x:c r="J20" s="47" t="n">
        <x:v>0</x:v>
      </x:c>
    </x:row>
    <x:row r="21">
      <x:c r="A21" s="47" t="str">
        <x:v>RUN-TRF-002-20260824T032046735154Z</x:v>
      </x:c>
      <x:c r="B21" s="47" t="str">
        <x:v>TRF-002</x:v>
      </x:c>
      <x:c r="C21" s="47" t="str">
        <x:v>iceClassRegulationEditionValue</x:v>
      </x:c>
      <x:c r="D21" s="48" t="str">
        <x:v>https://w3id.org/nltl/vocab#iceClassRegulationEditionValue</x:v>
      </x:c>
      <x:c r="E21" s="47" t="str">
        <x:v>Class</x:v>
      </x:c>
      <x:c r="F21" s="47" t="str"/>
      <x:c r="G21" s="47" t="str">
        <x:v>https://w3id.org/nltl/vocab#benchmarkEntity</x:v>
      </x:c>
      <x:c r="H21" s="47" t="str"/>
      <x:c r="I21" s="48" t="str">
        <x:v>range dependency of applicableIceClassRegulationEdition; range dependency of iceClassRegulationEdition2017</x:v>
      </x:c>
      <x:c r="J21" s="47" t="n">
        <x:v>0</x:v>
      </x:c>
    </x:row>
    <x:row r="22">
      <x:c r="A22" s="47" t="str">
        <x:v>RUN-TRF-002-20260824T032046735154Z</x:v>
      </x:c>
      <x:c r="B22" s="47" t="str">
        <x:v>TRF-002</x:v>
      </x:c>
      <x:c r="C22" s="47" t="str">
        <x:v>iceClassRuleEdition1985</x:v>
      </x:c>
      <x:c r="D22" s="48" t="str">
        <x:v>https://w3id.org/nltl/vocab#iceClassRuleEdition1985</x:v>
      </x:c>
      <x:c r="E22" s="47" t="str">
        <x:v>NamedIndividual</x:v>
      </x:c>
      <x:c r="F22" s="47" t="str"/>
      <x:c r="G22" s="47" t="str">
        <x:v>https://w3id.org/nltl/vocab#iceClassRegulationEditionValue</x:v>
      </x:c>
      <x:c r="H22" s="47" t="str"/>
      <x:c r="I22" s="48" t="str">
        <x:v>controlled value permitted by the range of applicableIceClassRegulationEdition; controlled value permitted by the range of iceClassRegulationEdition2017</x:v>
      </x:c>
      <x:c r="J22" s="47" t="n">
        <x:v>0</x:v>
      </x:c>
    </x:row>
    <x:row r="23">
      <x:c r="A23" s="47" t="str">
        <x:v>RUN-TRF-002-20260824T032046735154Z</x:v>
      </x:c>
      <x:c r="B23" s="47" t="str">
        <x:v>TRF-002</x:v>
      </x:c>
      <x:c r="C23" s="47" t="str">
        <x:v>iceClassValue</x:v>
      </x:c>
      <x:c r="D23" s="48" t="str">
        <x:v>https://w3id.org/nltl/vocab#iceClassValue</x:v>
      </x:c>
      <x:c r="E23" s="47" t="str">
        <x:v>Class</x:v>
      </x:c>
      <x:c r="F23" s="47" t="str"/>
      <x:c r="G23" s="47" t="str"/>
      <x:c r="H23" s="47" t="str"/>
      <x:c r="I23" s="48" t="str">
        <x:v>range dependency of iceClass</x:v>
      </x:c>
      <x:c r="J23" s="47" t="n">
        <x:v>0</x:v>
      </x:c>
    </x:row>
    <x:row r="24">
      <x:c r="A24" s="47" t="str">
        <x:v>RUN-TRF-002-20260824T032046735154Z</x:v>
      </x:c>
      <x:c r="B24" s="47" t="str">
        <x:v>TRF-002</x:v>
      </x:c>
      <x:c r="C24" s="47" t="str">
        <x:v>ship</x:v>
      </x:c>
      <x:c r="D24" s="48" t="str">
        <x:v>https://w3id.org/nltl/vocab#ship</x:v>
      </x:c>
      <x:c r="E24" s="47" t="str">
        <x:v>Class</x:v>
      </x:c>
      <x:c r="F24" s="47" t="str"/>
      <x:c r="G24" s="47" t="str"/>
      <x:c r="H24" s="47" t="str"/>
      <x:c r="I24" s="48" t="str">
        <x:v>authoritative required owner class; authoritative requirement target owner; baseline target infrastructure</x:v>
      </x:c>
      <x:c r="J24" s="47" t="n">
        <x:v>0</x:v>
      </x:c>
    </x:row>
    <x:row r="25">
      <x:c r="A25" s="49" t="str">
        <x:v>RUN-TRF-002-20260824T032046735154Z</x:v>
      </x:c>
      <x:c r="B25" s="49" t="str">
        <x:v>TRF-002</x:v>
      </x:c>
      <x:c r="C25" s="49" t="str">
        <x:v>shipComponent</x:v>
      </x:c>
      <x:c r="D25" s="50" t="str">
        <x:v>https://w3id.org/nltl/vocab#shipComponent</x:v>
      </x:c>
      <x:c r="E25" s="49" t="str">
        <x:v>Class</x:v>
      </x:c>
      <x:c r="F25" s="49" t="str"/>
      <x:c r="G25" s="49" t="str"/>
      <x:c r="H25" s="49" t="str"/>
      <x:c r="I25" s="50" t="str">
        <x:v>component-path dependency inferred from the linked term module</x:v>
      </x:c>
      <x:c r="J25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ce31d053f70446c7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7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RUN-TRF-002-20260824T032046735154Z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RUN-TRF-002-20260824T032046735154Z</x:v>
      </x:c>
      <x:c r="B5" s="45" t="str">
        <x:v>TRF-002</x:v>
      </x:c>
      <x:c r="C5" s="45" t="str">
        <x:v>FS-REL-01</x:v>
      </x:c>
      <x:c r="D5" s="45" t="str">
        <x:v>entity_relation</x:v>
      </x:c>
      <x:c r="E5" s="97" t="n">
        <x:v>0.090909</x:v>
      </x:c>
      <x:c r="F5" s="45" t="str">
        <x:v>class | entity | relation</x:v>
      </x:c>
      <x:c r="G5" s="45" t="str">
        <x:v>synthetic-few-shot-not-benchmark-ground-truth</x:v>
      </x:c>
    </x:row>
    <x:row r="6">
      <x:c r="A6" s="49" t="str">
        <x:v>RUN-TRF-002-20260824T032046735154Z</x:v>
      </x:c>
      <x:c r="B6" s="49" t="str">
        <x:v>TRF-002</x:v>
      </x:c>
      <x:c r="C6" s="49" t="str">
        <x:v>FS-REL-02</x:v>
      </x:c>
      <x:c r="D6" s="49" t="str">
        <x:v>entity_relation</x:v>
      </x:c>
      <x:c r="E6" s="98" t="n">
        <x:v>0.090909</x:v>
      </x:c>
      <x:c r="F6" s="49" t="str">
        <x:v>class | entity | relation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e59bf50f50814796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RUN-TRF-002-20260824T032046735154Z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45" t="str">
        <x:v>RUN-TRF-002-20260824T032046735154Z</x:v>
      </x:c>
      <x:c r="B5" s="45" t="str">
        <x:v>TRF-002</x:v>
      </x:c>
      <x:c r="C5" s="58" t="n">
        <x:v>1</x:v>
      </x:c>
      <x:c r="D5" s="80" t="b">
        <x:v>1</x:v>
      </x:c>
      <x:c r="E5" s="80" t="b">
        <x:v>1</x:v>
      </x:c>
      <x:c r="F5" s="80" t="b">
        <x:v>1</x:v>
      </x:c>
      <x:c r="G5" s="80" t="b">
        <x:v>1</x:v>
      </x:c>
      <x:c r="H5" s="80" t="b">
        <x:v>1</x:v>
      </x:c>
      <x:c r="I5" s="80" t="b">
        <x:v>1</x:v>
      </x:c>
      <x:c r="J5" s="80" t="b">
        <x:v>1</x:v>
      </x:c>
      <x:c r="K5" s="101" t="b">
        <x:v>1</x:v>
      </x:c>
      <x:c r="L5" s="46" t="str"/>
      <x:c r="M5" s="46" t="str"/>
      <x:c r="N5" s="46" t="str">
        <x:v>https://w3id.org/nltl/vocab#applicableIceClassRegulationEdition | https://w3id.org/nltl/vocab#constructionContractDate | https://w3id.org/nltl/vocab#iceClassRegulationEdition2017 | https://w3id.org/nltl/vocab#ship</x:v>
      </x:c>
      <x:c r="O5" s="46" t="str"/>
      <x:c r="P5" s="46" t="str"/>
      <x:c r="Q5" s="46" t="str"/>
    </x:row>
    <x:row r="6">
      <x:c r="A6" s="49" t="str">
        <x:v>RUN-TRF-002-20260824T032046735154Z</x:v>
      </x:c>
      <x:c r="B6" s="49" t="str">
        <x:v>TRF-002</x:v>
      </x:c>
      <x:c r="C6" s="60" t="n">
        <x:v>2</x:v>
      </x:c>
      <x:c r="D6" s="82" t="b">
        <x:v>1</x:v>
      </x:c>
      <x:c r="E6" s="82" t="b">
        <x:v>1</x:v>
      </x:c>
      <x:c r="F6" s="82" t="b">
        <x:v>1</x:v>
      </x:c>
      <x:c r="G6" s="82" t="b">
        <x:v>1</x:v>
      </x:c>
      <x:c r="H6" s="82" t="b">
        <x:v>1</x:v>
      </x:c>
      <x:c r="I6" s="82" t="b">
        <x:v>1</x:v>
      </x:c>
      <x:c r="J6" s="82" t="b">
        <x:v>1</x:v>
      </x:c>
      <x:c r="K6" s="102" t="b">
        <x:v>1</x:v>
      </x:c>
      <x:c r="L6" s="50" t="str"/>
      <x:c r="M6" s="50" t="str"/>
      <x:c r="N6" s="50" t="str">
        <x:v>https://w3id.org/nltl/vocab#applicableIceClassRegulationEdition | https://w3id.org/nltl/vocab#constructionContractDate | https://w3id.org/nltl/vocab#iceClassRegulationEdition2017 | https://w3id.org/nltl/vocab#ship</x:v>
      </x:c>
      <x:c r="O6" s="50" t="str"/>
      <x:c r="P6" s="50" t="str"/>
      <x:c r="Q6" s="50" t="str"/>
    </x:row>
  </x:sheetData>
  <x:pageMargins left="0.7" right="0.7" top="0.75" bottom="0.75" header="0.3" footer="0.3"/>
  <x:tableParts count="1">
    <x:tablePart xmlns:r="http://schemas.openxmlformats.org/officeDocument/2006/relationships" r:id="R9b8e8fbceddb4578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RUN-TRF-002-20260824T032046735154Z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RUN-TRF-002-20260824T032046735154Z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RUN-TRF-002-20260824T032046735154Z</x:v>
      </x:c>
      <x:c r="B5" s="45" t="str">
        <x:v>TRF-002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9e8c4446fc113861a069254cf743dd8682ad68723ff4fb8b86e1f28889af5086</x:v>
      </x:c>
      <x:c r="G5" s="58" t="n">
        <x:v>25293</x:v>
      </x:c>
    </x:row>
    <x:row r="6">
      <x:c r="A6" s="47" t="str">
        <x:v>RUN-TRF-002-20260824T032046735154Z</x:v>
      </x:c>
      <x:c r="B6" s="47" t="str">
        <x:v>TRF-002</x:v>
      </x:c>
      <x:c r="C6" s="59"/>
      <x:c r="D6" s="47" t="str">
        <x:v>few_shot_selection</x:v>
      </x:c>
      <x:c r="E6" s="48" t="str">
        <x:v>artifacts/few_shots_selected.json</x:v>
      </x:c>
      <x:c r="F6" s="47" t="str">
        <x:v>aa1aad85b83d09d008714b1343b08d50fc170df771942fbbc0a2e77c94fe40b1</x:v>
      </x:c>
      <x:c r="G6" s="59" t="n">
        <x:v>3820</x:v>
      </x:c>
    </x:row>
    <x:row r="7">
      <x:c r="A7" s="47" t="str">
        <x:v>RUN-TRF-002-20260824T032046735154Z</x:v>
      </x:c>
      <x:c r="B7" s="47" t="str">
        <x:v>TRF-002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eb5fed6ab3319ebf69fdd055ae02b04d4082008ff547aee3167b0b3285a3a5ed</x:v>
      </x:c>
      <x:c r="G7" s="59" t="n">
        <x:v>40667</x:v>
      </x:c>
    </x:row>
    <x:row r="8">
      <x:c r="A8" s="47" t="str">
        <x:v>RUN-TRF-002-20260824T032046735154Z</x:v>
      </x:c>
      <x:c r="B8" s="47" t="str">
        <x:v>TRF-002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e05f0501565482b49628a399613a61e54c8f55281e93dd7d831ab5c6ee2ce73e</x:v>
      </x:c>
      <x:c r="G8" s="59" t="n">
        <x:v>1376</x:v>
      </x:c>
    </x:row>
    <x:row r="9">
      <x:c r="A9" s="47" t="str">
        <x:v>RUN-TRF-002-20260824T032046735154Z</x:v>
      </x:c>
      <x:c r="B9" s="47" t="str">
        <x:v>TRF-002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cd6f1cdd7a1993ba82e1350400b9dfdeadb5281453ea488290f04e97c530a210</x:v>
      </x:c>
      <x:c r="G9" s="59" t="n">
        <x:v>1351</x:v>
      </x:c>
    </x:row>
    <x:row r="10">
      <x:c r="A10" s="47" t="str">
        <x:v>RUN-TRF-002-20260824T032046735154Z</x:v>
      </x:c>
      <x:c r="B10" s="47" t="str">
        <x:v>TRF-002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043199312ae37135120994cd56b91c2b436b9417f97a8b4270da44a6e6c3a984</x:v>
      </x:c>
      <x:c r="G10" s="59" t="n">
        <x:v>625</x:v>
      </x:c>
    </x:row>
    <x:row r="11">
      <x:c r="A11" s="47" t="str">
        <x:v>RUN-TRF-002-20260824T032046735154Z</x:v>
      </x:c>
      <x:c r="B11" s="47" t="str">
        <x:v>TRF-002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b1f39971eafd16727311a3bc1231c5824891316117d85638b4bae7d87dbb2580</x:v>
      </x:c>
      <x:c r="G11" s="59" t="n">
        <x:v>35429</x:v>
      </x:c>
    </x:row>
    <x:row r="12">
      <x:c r="A12" s="47" t="str">
        <x:v>RUN-TRF-002-20260824T032046735154Z</x:v>
      </x:c>
      <x:c r="B12" s="47" t="str">
        <x:v>TRF-002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86bdc2ccd4301e5d6bafcecf72988f9e69e92c6dab9a567def13948ef024a080</x:v>
      </x:c>
      <x:c r="G12" s="59" t="n">
        <x:v>533</x:v>
      </x:c>
    </x:row>
    <x:row r="13">
      <x:c r="A13" s="47" t="str">
        <x:v>RUN-TRF-002-20260824T032046735154Z</x:v>
      </x:c>
      <x:c r="B13" s="47" t="str">
        <x:v>TRF-002</x:v>
      </x:c>
      <x:c r="C13" s="59" t="n">
        <x:v>2</x:v>
      </x:c>
      <x:c r="D13" s="47" t="str">
        <x:v>generator_prompt</x:v>
      </x:c>
      <x:c r="E13" s="48" t="str">
        <x:v>artifacts/attempt_02/generator_prompt.txt</x:v>
      </x:c>
      <x:c r="F13" s="47" t="str">
        <x:v>c2eee07f8bb64c8ff919f3d351802d5d90d9994730db6c49deb3fb828d8dd1b1</x:v>
      </x:c>
      <x:c r="G13" s="59" t="n">
        <x:v>41135</x:v>
      </x:c>
    </x:row>
    <x:row r="14">
      <x:c r="A14" s="47" t="str">
        <x:v>RUN-TRF-002-20260824T032046735154Z</x:v>
      </x:c>
      <x:c r="B14" s="47" t="str">
        <x:v>TRF-002</x:v>
      </x:c>
      <x:c r="C14" s="59" t="n">
        <x:v>2</x:v>
      </x:c>
      <x:c r="D14" s="47" t="str">
        <x:v>generator_raw_response</x:v>
      </x:c>
      <x:c r="E14" s="48" t="str">
        <x:v>artifacts/attempt_02/generator_raw.txt</x:v>
      </x:c>
      <x:c r="F14" s="47" t="str">
        <x:v>48b96b9f1e27d55964beb8b96da53c4ff3d5a6b19eb62052ea1c7a4b752dde35</x:v>
      </x:c>
      <x:c r="G14" s="59" t="n">
        <x:v>1525</x:v>
      </x:c>
    </x:row>
    <x:row r="15">
      <x:c r="A15" s="47" t="str">
        <x:v>RUN-TRF-002-20260824T032046735154Z</x:v>
      </x:c>
      <x:c r="B15" s="47" t="str">
        <x:v>TRF-002</x:v>
      </x:c>
      <x:c r="C15" s="59" t="n">
        <x:v>2</x:v>
      </x:c>
      <x:c r="D15" s="47" t="str">
        <x:v>candidate_shape</x:v>
      </x:c>
      <x:c r="E15" s="48" t="str">
        <x:v>artifacts/attempt_02/candidate_shape.ttl</x:v>
      </x:c>
      <x:c r="F15" s="47" t="str">
        <x:v>9463011c551d008233191184459a1d16206471f7ae89302e0623be29155a13ef</x:v>
      </x:c>
      <x:c r="G15" s="59" t="n">
        <x:v>1500</x:v>
      </x:c>
    </x:row>
    <x:row r="16">
      <x:c r="A16" s="47" t="str">
        <x:v>RUN-TRF-002-20260824T032046735154Z</x:v>
      </x:c>
      <x:c r="B16" s="47" t="str">
        <x:v>TRF-002</x:v>
      </x:c>
      <x:c r="C16" s="59" t="n">
        <x:v>2</x:v>
      </x:c>
      <x:c r="D16" s="47" t="str">
        <x:v>deterministic_validation</x:v>
      </x:c>
      <x:c r="E16" s="48" t="str">
        <x:v>artifacts/attempt_02/deterministic_validation.json</x:v>
      </x:c>
      <x:c r="F16" s="47" t="str">
        <x:v>043199312ae37135120994cd56b91c2b436b9417f97a8b4270da44a6e6c3a984</x:v>
      </x:c>
      <x:c r="G16" s="59" t="n">
        <x:v>625</x:v>
      </x:c>
    </x:row>
    <x:row r="17">
      <x:c r="A17" s="47" t="str">
        <x:v>RUN-TRF-002-20260824T032046735154Z</x:v>
      </x:c>
      <x:c r="B17" s="47" t="str">
        <x:v>TRF-002</x:v>
      </x:c>
      <x:c r="C17" s="59" t="n">
        <x:v>2</x:v>
      </x:c>
      <x:c r="D17" s="47" t="str">
        <x:v>validator_prompt</x:v>
      </x:c>
      <x:c r="E17" s="48" t="str">
        <x:v>artifacts/attempt_02/validator_prompt_01.txt</x:v>
      </x:c>
      <x:c r="F17" s="47" t="str">
        <x:v>f191aae0e60773af35ee30dbd6a3c6f320b1fa3cf4ef77d4eb0a39d8dfee468c</x:v>
      </x:c>
      <x:c r="G17" s="59" t="n">
        <x:v>36076</x:v>
      </x:c>
    </x:row>
    <x:row r="18">
      <x:c r="A18" s="47" t="str">
        <x:v>RUN-TRF-002-20260824T032046735154Z</x:v>
      </x:c>
      <x:c r="B18" s="47" t="str">
        <x:v>TRF-002</x:v>
      </x:c>
      <x:c r="C18" s="59" t="n">
        <x:v>2</x:v>
      </x:c>
      <x:c r="D18" s="47" t="str">
        <x:v>validator_raw_response</x:v>
      </x:c>
      <x:c r="E18" s="48" t="str">
        <x:v>artifacts/attempt_02/validator_raw_01.txt</x:v>
      </x:c>
      <x:c r="F18" s="47" t="str">
        <x:v>adaa4c882d4ba4da6681a3d81fc324d6888319077c038a313c4515de83e70da3</x:v>
      </x:c>
      <x:c r="G18" s="59" t="n">
        <x:v>321</x:v>
      </x:c>
    </x:row>
    <x:row r="19">
      <x:c r="A19" s="49" t="str">
        <x:v>RUN-TRF-002-20260824T032046735154Z</x:v>
      </x:c>
      <x:c r="B19" s="49" t="str">
        <x:v>TRF-002</x:v>
      </x:c>
      <x:c r="C19" s="60" t="n">
        <x:v>2</x:v>
      </x:c>
      <x:c r="D19" s="49" t="str">
        <x:v>final_accepted_shape</x:v>
      </x:c>
      <x:c r="E19" s="50" t="str">
        <x:v>final/final_shape.ttl</x:v>
      </x:c>
      <x:c r="F19" s="49" t="str">
        <x:v>9463011c551d008233191184459a1d16206471f7ae89302e0623be29155a13ef</x:v>
      </x:c>
      <x:c r="G19" s="60" t="n">
        <x:v>1500</x:v>
      </x:c>
    </x:row>
  </x:sheetData>
  <x:pageMargins left="0.7" right="0.7" top="0.75" bottom="0.75" header="0.3" footer="0.3"/>
  <x:tableParts count="1">
    <x:tablePart xmlns:r="http://schemas.openxmlformats.org/officeDocument/2006/relationships" r:id="R9edb04115c2e44b8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RUN-TRF-002-20260824T032046735154Z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3" hidden="0" customWidth="1"/>
    <x:col min="4" max="4" width="21" hidden="0" customWidth="1"/>
    <x:col min="5" max="5" width="23" hidden="0" customWidth="1"/>
    <x:col min="6" max="6" width="49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RUN-TRF-002-20260824T032046735154Z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69" t="str">
        <x:v>RUN-TRF-002-20260824T032046735154Z</x:v>
      </x:c>
      <x:c r="B5" s="69" t="str">
        <x:v>TRF-002</x:v>
      </x:c>
      <x:c r="C5" s="69" t="str">
        <x:v>final/final_shape.ttl</x:v>
      </x:c>
      <x:c r="D5" s="69" t="str">
        <x:v>GENERATION_ACCEPTED</x:v>
      </x:c>
      <x:c r="E5" s="69" t="str">
        <x:v>NOT_RUN</x:v>
      </x:c>
      <x:c r="F5" s="73" t="str">
        <x:v>Run later with the separate bulk RDF evaluator.</x:v>
      </x:c>
    </x:row>
  </x:sheetData>
  <x:conditionalFormatting sqref="D5:D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conditionalFormatting sqref="E5:E5">
    <x:cfRule type="containsText" dxfId="48" priority="7" operator="containsText" text="ACCEPT"/>
    <x:cfRule type="containsText" dxfId="49" priority="8" operator="containsText" text="ELIGIBLE"/>
    <x:cfRule type="containsText" dxfId="50" priority="9" operator="containsText" text="PASS"/>
    <x:cfRule type="containsText" dxfId="51" priority="10" operator="containsText" text="GAP"/>
    <x:cfRule type="containsText" dxfId="52" priority="11" operator="containsText" text="FAIL"/>
    <x:cfRule type="containsText" dxfId="53" priority="12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a985377bdd784eb4"/>
  </x:tableParts>
</x:worksheet>
</file>