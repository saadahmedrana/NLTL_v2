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0f1cfa9f3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ddb4e8a27448d5"/>
    <x:sheet xmlns:r="http://schemas.openxmlformats.org/officeDocument/2006/relationships" name="README" sheetId="2" r:id="R95be6952b758425c"/>
    <x:sheet xmlns:r="http://schemas.openxmlformats.org/officeDocument/2006/relationships" name="REGULATION_QUEUE" sheetId="3" r:id="R8a2ed51ebc8545e4"/>
    <x:sheet xmlns:r="http://schemas.openxmlformats.org/officeDocument/2006/relationships" name="RUNS" sheetId="4" r:id="Redc978043d5147c3"/>
    <x:sheet xmlns:r="http://schemas.openxmlformats.org/officeDocument/2006/relationships" name="ITERATIONS" sheetId="5" r:id="Rb2fdf8cc4982432e"/>
    <x:sheet xmlns:r="http://schemas.openxmlformats.org/officeDocument/2006/relationships" name="API_CALLS" sheetId="6" r:id="R28bc2a3bd75144fb"/>
    <x:sheet xmlns:r="http://schemas.openxmlformats.org/officeDocument/2006/relationships" name="TERM_RETRIEVAL" sheetId="7" r:id="R8d137747902c4c1f"/>
    <x:sheet xmlns:r="http://schemas.openxmlformats.org/officeDocument/2006/relationships" name="FEW_SHOT_SELECTION" sheetId="8" r:id="R8c6562e910a84006"/>
    <x:sheet xmlns:r="http://schemas.openxmlformats.org/officeDocument/2006/relationships" name="VALIDATION" sheetId="9" r:id="R9db807b070284144"/>
    <x:sheet xmlns:r="http://schemas.openxmlformats.org/officeDocument/2006/relationships" name="VOCAB_MATCHES" sheetId="10" r:id="Rd97b97ac97c444c4"/>
    <x:sheet xmlns:r="http://schemas.openxmlformats.org/officeDocument/2006/relationships" name="ARTIFACTS" sheetId="11" r:id="R3a1877692b524cd6"/>
    <x:sheet xmlns:r="http://schemas.openxmlformats.org/officeDocument/2006/relationships" name="UNRESOLVED" sheetId="12" r:id="Rd751bf97e1344100"/>
    <x:sheet xmlns:r="http://schemas.openxmlformats.org/officeDocument/2006/relationships" name="RDF_TEST_QUEUE" sheetId="13" r:id="Ree62a1f89633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9aaf1a07748d7" /><Relationship Type="http://schemas.openxmlformats.org/officeDocument/2006/relationships/theme" Target="/xl/theme/theme1.xml" Id="R022f5a61bbe84e41" /><Relationship Type="http://schemas.microsoft.com/office/2022/11/relationships/FeaturePropertyBag" Target="/xl/featurePropertyBag/featurePropertyBag.xml" Id="Rc7219e1774b44b11" /><Relationship Type="http://schemas.openxmlformats.org/officeDocument/2006/relationships/sharedStrings" Target="/xl/sharedStrings.xml" Id="R386b97629fa74f2e" /><Relationship Type="http://schemas.openxmlformats.org/officeDocument/2006/relationships/worksheet" Target="/xl/worksheets/sheet1.xml" Id="R8cddb4e8a27448d5" /><Relationship Type="http://schemas.openxmlformats.org/officeDocument/2006/relationships/worksheet" Target="/xl/worksheets/sheet2.xml" Id="R95be6952b758425c" /><Relationship Type="http://schemas.openxmlformats.org/officeDocument/2006/relationships/worksheet" Target="/xl/worksheets/sheet3.xml" Id="R8a2ed51ebc8545e4" /><Relationship Type="http://schemas.openxmlformats.org/officeDocument/2006/relationships/worksheet" Target="/xl/worksheets/sheet4.xml" Id="Redc978043d5147c3" /><Relationship Type="http://schemas.openxmlformats.org/officeDocument/2006/relationships/worksheet" Target="/xl/worksheets/sheet5.xml" Id="Rb2fdf8cc4982432e" /><Relationship Type="http://schemas.openxmlformats.org/officeDocument/2006/relationships/worksheet" Target="/xl/worksheets/sheet6.xml" Id="R28bc2a3bd75144fb" /><Relationship Type="http://schemas.openxmlformats.org/officeDocument/2006/relationships/worksheet" Target="/xl/worksheets/sheet7.xml" Id="R8d137747902c4c1f" /><Relationship Type="http://schemas.openxmlformats.org/officeDocument/2006/relationships/worksheet" Target="/xl/worksheets/sheet8.xml" Id="R8c6562e910a84006" /><Relationship Type="http://schemas.openxmlformats.org/officeDocument/2006/relationships/worksheet" Target="/xl/worksheets/sheet9.xml" Id="R9db807b070284144" /><Relationship Type="http://schemas.openxmlformats.org/officeDocument/2006/relationships/worksheet" Target="/xl/worksheets/sheet10.xml" Id="Rd97b97ac97c444c4" /><Relationship Type="http://schemas.openxmlformats.org/officeDocument/2006/relationships/worksheet" Target="/xl/worksheets/sheet11.xml" Id="R3a1877692b524cd6" /><Relationship Type="http://schemas.openxmlformats.org/officeDocument/2006/relationships/worksheet" Target="/xl/worksheets/sheet12.xml" Id="Rd751bf97e1344100" /><Relationship Type="http://schemas.openxmlformats.org/officeDocument/2006/relationships/worksheet" Target="/xl/worksheets/sheet13.xml" Id="Ree62a1f896334b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ea17ed2475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12e62debbd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a77491cc1b4d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bf7b04107e4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0040161e7743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760252df6b49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1ef4890b3a4f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5e0109352641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60dd9326524b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6c438007b849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RUN-TRF-037-20260824T041533161372Z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14512.281874999997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RUN-TRF-037-20260824T041533161372Z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ea17ed247549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RUN-TRF-037-20260824T041533161372Z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2e62debbd4a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RUN-TRF-037-20260824T041533161372Z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RUN-TRF-037-20260824T041533161372Z</x:v>
      </x:c>
      <x:c r="C5" s="69" t="str">
        <x:v>TRF-037</x:v>
      </x:c>
      <x:c r="D5" s="70" t="n">
        <x:v>46258.17746716435</x:v>
      </x:c>
      <x:c r="E5" s="70" t="n">
        <x:v>46258.178143564815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ship-targeted calculations, owner/path structure, formula operands, cap direction, derived-value tolerances, datatypes, and units, including the prior repair to calculate expected pressure from the reported c_d operand.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a77491cc1b4d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RUN-TRF-037-20260824T041533161372Z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RUN-TRF-037-20260824T041533161372Z</x:v>
      </x:c>
      <x:c r="B5" s="45" t="str">
        <x:v>TRF-037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pressure calculation to use the declared formula operand shipSizeEngineOutputFactorCd: bind expectedPressure as ?reportedCd * ?cp * ?ca * ?p0, while separately validating ?reportedCd against min((?a * ?k + ?b) / 1000, 1) with tolerance scaled from that expected cd. The current query substitutes ?expectedCd into the pressure formula and therefore does not directly validate the required p = c_d*c_p*c_a*p_0 relationship using the reported c_d result.</x:v>
      </x:c>
      <x:c r="I5" s="81" t="n">
        <x:v>27607.46</x:v>
      </x:c>
      <x:c r="J5" s="81" t="n">
        <x:v>13072.112</x:v>
      </x:c>
    </x:row>
    <x:row r="6">
      <x:c r="A6" s="49" t="str">
        <x:v>RUN-TRF-037-20260824T041533161372Z</x:v>
      </x:c>
      <x:c r="B6" s="49" t="str">
        <x:v>TRF-037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ship-targeted calculations, owner/path structure, formula operands, cap direction, derived-value tolerances, datatypes, and units, including the prior repair to calculate expected pressure from the reported c_d operand.</x:v>
      </x:c>
      <x:c r="I6" s="83" t="n">
        <x:v>12122.16</x:v>
      </x:c>
      <x:c r="J6" s="83" t="n">
        <x:v>5250.218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f7b04107e4d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RUN-TRF-037-20260824T041533161372Z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RUN-TRF-037-20260824T041533161372Z</x:v>
      </x:c>
      <x:c r="C5" s="45" t="str">
        <x:v>TRF-037</x:v>
      </x:c>
      <x:c r="D5" s="90" t="n">
        <x:v>46258.17778672454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27606.342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RUN-TRF-037-20260824T041533161372Z</x:v>
      </x:c>
      <x:c r="C6" s="47" t="str">
        <x:v>TRF-037</x:v>
      </x:c>
      <x:c r="D6" s="91" t="n">
        <x:v>46258.17778673611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27607.46</x:v>
      </x:c>
      <x:c r="L6" s="93" t="b">
        <x:v>0</x:v>
      </x:c>
      <x:c r="M6" s="47" t="str">
        <x:v>resp_05848454f57ec518006a8bc56550008195924e1916e176c0ab</x:v>
      </x:c>
      <x:c r="N6" s="59" t="n">
        <x:v>11432</x:v>
      </x:c>
      <x:c r="O6" s="59" t="n">
        <x:v>2470</x:v>
      </x:c>
      <x:c r="P6" s="59" t="n">
        <x:v>13902</x:v>
      </x:c>
    </x:row>
    <x:row r="7">
      <x:c r="A7" s="47" t="str">
        <x:v>EVT-000038</x:v>
      </x:c>
      <x:c r="B7" s="47" t="str">
        <x:v>RUN-TRF-037-20260824T041533161372Z</x:v>
      </x:c>
      <x:c r="C7" s="47" t="str">
        <x:v>TRF-037</x:v>
      </x:c>
      <x:c r="D7" s="91" t="n">
        <x:v>46258.17794028935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13070.597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RUN-TRF-037-20260824T041533161372Z</x:v>
      </x:c>
      <x:c r="C8" s="47" t="str">
        <x:v>TRF-037</x:v>
      </x:c>
      <x:c r="D8" s="91" t="n">
        <x:v>46258.17794030093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13072.112</x:v>
      </x:c>
      <x:c r="L8" s="93" t="b">
        <x:v>0</x:v>
      </x:c>
      <x:c r="M8" s="47" t="str">
        <x:v>resp_0a58264e01a4cebf006a8bc5814bf481948fb7103838765f82</x:v>
      </x:c>
      <x:c r="N8" s="59" t="n">
        <x:v>12086</x:v>
      </x:c>
      <x:c r="O8" s="59" t="n">
        <x:v>736</x:v>
      </x:c>
      <x:c r="P8" s="59" t="n">
        <x:v>12822</x:v>
      </x:c>
    </x:row>
    <x:row r="9">
      <x:c r="A9" s="47" t="str">
        <x:v>EVT-000044</x:v>
      </x:c>
      <x:c r="B9" s="47" t="str">
        <x:v>RUN-TRF-037-20260824T041533161372Z</x:v>
      </x:c>
      <x:c r="C9" s="47" t="str">
        <x:v>TRF-037</x:v>
      </x:c>
      <x:c r="D9" s="91" t="n">
        <x:v>46258.17808064815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12120.628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RUN-TRF-037-20260824T041533161372Z</x:v>
      </x:c>
      <x:c r="C10" s="47" t="str">
        <x:v>TRF-037</x:v>
      </x:c>
      <x:c r="D10" s="91" t="n">
        <x:v>46258.1780806713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12122.16</x:v>
      </x:c>
      <x:c r="L10" s="93" t="b">
        <x:v>0</x:v>
      </x:c>
      <x:c r="M10" s="47" t="str">
        <x:v>resp_07565963d03787de006a8bc58e33d88194b5546a0eeaa67a6c</x:v>
      </x:c>
      <x:c r="N10" s="59" t="n">
        <x:v>11539</x:v>
      </x:c>
      <x:c r="O10" s="59" t="n">
        <x:v>1490</x:v>
      </x:c>
      <x:c r="P10" s="59" t="n">
        <x:v>13029</x:v>
      </x:c>
    </x:row>
    <x:row r="11">
      <x:c r="A11" s="47" t="str">
        <x:v>EVT-000052</x:v>
      </x:c>
      <x:c r="B11" s="47" t="str">
        <x:v>RUN-TRF-037-20260824T041533161372Z</x:v>
      </x:c>
      <x:c r="C11" s="47" t="str">
        <x:v>TRF-037</x:v>
      </x:c>
      <x:c r="D11" s="91" t="n">
        <x:v>46258.178143495374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5248.738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RUN-TRF-037-20260824T041533161372Z</x:v>
      </x:c>
      <x:c r="C12" s="49" t="str">
        <x:v>TRF-037</x:v>
      </x:c>
      <x:c r="D12" s="94" t="n">
        <x:v>46258.17814350694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5250.218</x:v>
      </x:c>
      <x:c r="L12" s="82" t="b">
        <x:v>0</x:v>
      </x:c>
      <x:c r="M12" s="49" t="str">
        <x:v>resp_05c344d1c259f159006a8bc59a819881979d1277bf3d1147cd</x:v>
      </x:c>
      <x:c r="N12" s="60" t="n">
        <x:v>12162</x:v>
      </x:c>
      <x:c r="O12" s="60" t="n">
        <x:v>304</x:v>
      </x:c>
      <x:c r="P12" s="60" t="n">
        <x:v>12466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040161e7743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RUN-TRF-037-20260824T041533161372Z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RUN-TRF-037-20260824T041533161372Z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RUN-TRF-037-20260824T041533161372Z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RUN-TRF-037-20260824T041533161372Z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RUN-TRF-037-20260824T041533161372Z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RUN-TRF-037-20260824T041533161372Z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RUN-TRF-037-20260824T041533161372Z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RUN-TRF-037-20260824T041533161372Z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RUN-TRF-037-20260824T041533161372Z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RUN-TRF-037-20260824T041533161372Z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RUN-TRF-037-20260824T041533161372Z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RUN-TRF-037-20260824T041533161372Z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RUN-TRF-037-20260824T041533161372Z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RUN-TRF-037-20260824T041533161372Z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RUN-TRF-037-20260824T041533161372Z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RUN-TRF-037-20260824T041533161372Z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RUN-TRF-037-20260824T041533161372Z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RUN-TRF-037-20260824T041533161372Z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RUN-TRF-037-20260824T041533161372Z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RUN-TRF-037-20260824T041533161372Z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RUN-TRF-037-20260824T041533161372Z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RUN-TRF-037-20260824T041533161372Z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RUN-TRF-037-20260824T041533161372Z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760252df6b49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RUN-TRF-037-20260824T041533161372Z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RUN-TRF-037-20260824T041533161372Z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RUN-TRF-037-20260824T041533161372Z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ef4890b3a4f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RUN-TRF-037-20260824T041533161372Z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RUN-TRF-037-20260824T041533161372Z</x:v>
      </x:c>
      <x:c r="B5" s="45" t="str">
        <x:v>TRF-037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9" t="str">
        <x:v>RUN-TRF-037-20260824T041533161372Z</x:v>
      </x:c>
      <x:c r="B6" s="49" t="str">
        <x:v>TRF-037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d5e0109352641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RUN-TRF-037-20260824T041533161372Z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RUN-TRF-037-20260824T041533161372Z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RUN-TRF-037-20260824T041533161372Z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RUN-TRF-037-20260824T041533161372Z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RUN-TRF-037-20260824T041533161372Z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RUN-TRF-037-20260824T041533161372Z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9ca22c389cbf3355a2de48d4e7fbe5b75218025d0a2172db8517ac5f910e6a5a</x:v>
      </x:c>
      <x:c r="G8" s="59" t="n">
        <x:v>5562</x:v>
      </x:c>
    </x:row>
    <x:row r="9">
      <x:c r="A9" s="47" t="str">
        <x:v>RUN-TRF-037-20260824T041533161372Z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fac3b58494d6494f9794647c1782f87e7144dae389b948cb159ef9f9b514d0ae</x:v>
      </x:c>
      <x:c r="G9" s="59" t="n">
        <x:v>5537</x:v>
      </x:c>
    </x:row>
    <x:row r="10">
      <x:c r="A10" s="47" t="str">
        <x:v>RUN-TRF-037-20260824T041533161372Z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RUN-TRF-037-20260824T041533161372Z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c05fa0db8e2dae385233f910fca2f886086e266af61efa739211eb6d23bd7274</x:v>
      </x:c>
      <x:c r="G11" s="59" t="n">
        <x:v>47760</x:v>
      </x:c>
    </x:row>
    <x:row r="12">
      <x:c r="A12" s="47" t="str">
        <x:v>RUN-TRF-037-20260824T041533161372Z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198e999044856221ed2dd3c9300e108fdf6a78963c3ed0f43483ed28bc76790f</x:v>
      </x:c>
      <x:c r="G12" s="59" t="n">
        <x:v>526</x:v>
      </x:c>
    </x:row>
    <x:row r="13">
      <x:c r="A13" s="47" t="str">
        <x:v>RUN-TRF-037-20260824T041533161372Z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7a3b6b8853c50a1f6f5c49143440a1a3a4b7ffebadb0da5d6f70d95ba91e41dd</x:v>
      </x:c>
      <x:c r="G13" s="59" t="n">
        <x:v>47506</x:v>
      </x:c>
    </x:row>
    <x:row r="14">
      <x:c r="A14" s="47" t="str">
        <x:v>RUN-TRF-037-20260824T041533161372Z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63dcf6238341b1df52633c386c97823665973cec950d4f932eaa578297d67081</x:v>
      </x:c>
      <x:c r="G14" s="59" t="n">
        <x:v>5474</x:v>
      </x:c>
    </x:row>
    <x:row r="15">
      <x:c r="A15" s="47" t="str">
        <x:v>RUN-TRF-037-20260824T041533161372Z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daa8b371fe6358726de60bd7f42f3961eb7adb4745be118909e4f8e5d6318c23</x:v>
      </x:c>
      <x:c r="G15" s="59" t="n">
        <x:v>5449</x:v>
      </x:c>
    </x:row>
    <x:row r="16">
      <x:c r="A16" s="47" t="str">
        <x:v>RUN-TRF-037-20260824T041533161372Z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96aed4d3387d60d1f0aec55d07600b4a4396b13635a85d99ae9e3434b867a905</x:v>
      </x:c>
      <x:c r="G16" s="59" t="n">
        <x:v>1018</x:v>
      </x:c>
    </x:row>
    <x:row r="17">
      <x:c r="A17" s="47" t="str">
        <x:v>RUN-TRF-037-20260824T041533161372Z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8231ae6ba84d636e9ee03f992b76a94b6c0b4967ce8a39334fdd084eb48ed165</x:v>
      </x:c>
      <x:c r="G17" s="59" t="n">
        <x:v>48117</x:v>
      </x:c>
    </x:row>
    <x:row r="18">
      <x:c r="A18" s="47" t="str">
        <x:v>RUN-TRF-037-20260824T041533161372Z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8cc11fcb2e67f0037b5ae2cee26499da4e81b33539e31457232751b59771415e</x:v>
      </x:c>
      <x:c r="G18" s="59" t="n">
        <x:v>324</x:v>
      </x:c>
    </x:row>
    <x:row r="19">
      <x:c r="A19" s="49" t="str">
        <x:v>RUN-TRF-037-20260824T041533161372Z</x:v>
      </x:c>
      <x:c r="B19" s="49" t="str">
        <x:v>TRF-037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daa8b371fe6358726de60bd7f42f3961eb7adb4745be118909e4f8e5d6318c23</x:v>
      </x:c>
      <x:c r="G19" s="60" t="n">
        <x:v>5449</x:v>
      </x:c>
    </x:row>
  </x:sheetData>
  <x:pageMargins left="0.7" right="0.7" top="0.75" bottom="0.75" header="0.3" footer="0.3"/>
  <x:tableParts count="1">
    <x:tablePart xmlns:r="http://schemas.openxmlformats.org/officeDocument/2006/relationships" r:id="R2760dd9326524b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RUN-TRF-037-20260824T041533161372Z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RUN-TRF-037-20260824T041533161372Z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RUN-TRF-037-20260824T041533161372Z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c438007b849f6"/>
  </x:tableParts>
</x:worksheet>
</file>