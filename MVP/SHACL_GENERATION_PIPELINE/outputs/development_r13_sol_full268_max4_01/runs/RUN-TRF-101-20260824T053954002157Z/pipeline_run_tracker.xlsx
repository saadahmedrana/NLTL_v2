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a81db1dd8b4b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df073be994e472b"/>
    <x:sheet xmlns:r="http://schemas.openxmlformats.org/officeDocument/2006/relationships" name="README" sheetId="2" r:id="Rf11c4a5e54c64dd0"/>
    <x:sheet xmlns:r="http://schemas.openxmlformats.org/officeDocument/2006/relationships" name="REGULATION_QUEUE" sheetId="3" r:id="R0ad576b3a1b841ba"/>
    <x:sheet xmlns:r="http://schemas.openxmlformats.org/officeDocument/2006/relationships" name="RUNS" sheetId="4" r:id="R900c17cfef014ca9"/>
    <x:sheet xmlns:r="http://schemas.openxmlformats.org/officeDocument/2006/relationships" name="ITERATIONS" sheetId="5" r:id="R4dcbcef959b14f3e"/>
    <x:sheet xmlns:r="http://schemas.openxmlformats.org/officeDocument/2006/relationships" name="API_CALLS" sheetId="6" r:id="Ra29efdac2d6f497e"/>
    <x:sheet xmlns:r="http://schemas.openxmlformats.org/officeDocument/2006/relationships" name="TERM_RETRIEVAL" sheetId="7" r:id="Rd1f4b5a5f54f4253"/>
    <x:sheet xmlns:r="http://schemas.openxmlformats.org/officeDocument/2006/relationships" name="FEW_SHOT_SELECTION" sheetId="8" r:id="R4c0cde669fb7412d"/>
    <x:sheet xmlns:r="http://schemas.openxmlformats.org/officeDocument/2006/relationships" name="VALIDATION" sheetId="9" r:id="Ra93a091613e8494e"/>
    <x:sheet xmlns:r="http://schemas.openxmlformats.org/officeDocument/2006/relationships" name="VOCAB_MATCHES" sheetId="10" r:id="R7cbe6de067fc4730"/>
    <x:sheet xmlns:r="http://schemas.openxmlformats.org/officeDocument/2006/relationships" name="ARTIFACTS" sheetId="11" r:id="Ra07f5b77d58743e4"/>
    <x:sheet xmlns:r="http://schemas.openxmlformats.org/officeDocument/2006/relationships" name="UNRESOLVED" sheetId="12" r:id="Raf49b9a16410492a"/>
    <x:sheet xmlns:r="http://schemas.openxmlformats.org/officeDocument/2006/relationships" name="RDF_TEST_QUEUE" sheetId="13" r:id="Rcbd2aaa602d147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6785b406994b50" /><Relationship Type="http://schemas.openxmlformats.org/officeDocument/2006/relationships/theme" Target="/xl/theme/theme1.xml" Id="Re280d776e1334b95" /><Relationship Type="http://schemas.microsoft.com/office/2022/11/relationships/FeaturePropertyBag" Target="/xl/featurePropertyBag/featurePropertyBag.xml" Id="R4a7cf8bb7b7e4d4d" /><Relationship Type="http://schemas.openxmlformats.org/officeDocument/2006/relationships/sharedStrings" Target="/xl/sharedStrings.xml" Id="R4e6bb35dae654e22" /><Relationship Type="http://schemas.openxmlformats.org/officeDocument/2006/relationships/worksheet" Target="/xl/worksheets/sheet1.xml" Id="R6df073be994e472b" /><Relationship Type="http://schemas.openxmlformats.org/officeDocument/2006/relationships/worksheet" Target="/xl/worksheets/sheet2.xml" Id="Rf11c4a5e54c64dd0" /><Relationship Type="http://schemas.openxmlformats.org/officeDocument/2006/relationships/worksheet" Target="/xl/worksheets/sheet3.xml" Id="R0ad576b3a1b841ba" /><Relationship Type="http://schemas.openxmlformats.org/officeDocument/2006/relationships/worksheet" Target="/xl/worksheets/sheet4.xml" Id="R900c17cfef014ca9" /><Relationship Type="http://schemas.openxmlformats.org/officeDocument/2006/relationships/worksheet" Target="/xl/worksheets/sheet5.xml" Id="R4dcbcef959b14f3e" /><Relationship Type="http://schemas.openxmlformats.org/officeDocument/2006/relationships/worksheet" Target="/xl/worksheets/sheet6.xml" Id="Ra29efdac2d6f497e" /><Relationship Type="http://schemas.openxmlformats.org/officeDocument/2006/relationships/worksheet" Target="/xl/worksheets/sheet7.xml" Id="Rd1f4b5a5f54f4253" /><Relationship Type="http://schemas.openxmlformats.org/officeDocument/2006/relationships/worksheet" Target="/xl/worksheets/sheet8.xml" Id="R4c0cde669fb7412d" /><Relationship Type="http://schemas.openxmlformats.org/officeDocument/2006/relationships/worksheet" Target="/xl/worksheets/sheet9.xml" Id="Ra93a091613e8494e" /><Relationship Type="http://schemas.openxmlformats.org/officeDocument/2006/relationships/worksheet" Target="/xl/worksheets/sheet10.xml" Id="R7cbe6de067fc4730" /><Relationship Type="http://schemas.openxmlformats.org/officeDocument/2006/relationships/worksheet" Target="/xl/worksheets/sheet11.xml" Id="Ra07f5b77d58743e4" /><Relationship Type="http://schemas.openxmlformats.org/officeDocument/2006/relationships/worksheet" Target="/xl/worksheets/sheet12.xml" Id="Raf49b9a16410492a" /><Relationship Type="http://schemas.openxmlformats.org/officeDocument/2006/relationships/worksheet" Target="/xl/worksheets/sheet13.xml" Id="Rcbd2aaa602d1473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3d8c5d2f87f469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755ac463395426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d40c0b3c39d412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111efd951c843f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f4747f22f8a407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4a5d0a1f8c3488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0f1bdc88bcd438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25347d6219d46c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8155f52501c4f6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6055f67c0a40430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RUN-TRF-101-20260824T053954002157Z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30806.922416666668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RUN-TRF-101-20260824T053954002157Z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3d8c5d2f87f469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RUN-TRF-101-20260824T053954002157Z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GENERATION_ACCEPTED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755ac463395426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RUN-TRF-101-20260824T053954002157Z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RUN-TRF-101-20260824T053954002157Z</x:v>
      </x:c>
      <x:c r="C5" s="69" t="str">
        <x:v>TRF-101</x:v>
      </x:c>
      <x:c r="D5" s="70" t="n">
        <x:v>46258.23604170139</x:v>
      </x:c>
      <x:c r="E5" s="70" t="n">
        <x:v>46258.23819084491</x:v>
      </x:c>
      <x:c r="F5" s="69" t="str">
        <x:v>development-r13-sol-full268-max4-01</x:v>
      </x:c>
      <x:c r="G5" s="69" t="str">
        <x:v>VOCAB-LOCK-2026-08-22-R13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ship target, approved-analysis/formula alternatives, formula operands and direction, expected-value-scaled tolerances, load-case existential constraint at exactly 0.8R in the weakest direction, and the conditional blade-failure status rule. Prior feedback is preserved.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d40c0b3c39d412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RUN-TRF-101-20260824T053954002157Z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RUN-TRF-101-20260824T053954002157Z</x:v>
      </x:c>
      <x:c r="B5" s="45" t="str">
        <x:v>TRF-101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In the formula branch, compute ?expectedLoad using ?expectedReferenceStrength, not ?reportedReferenceStrength. Keep the separate tolerance check comparing the reported reference strength with its expected value; otherwise a tolerated error in the reported intermediate value improperly propagates into the expected load and can permit a load that does not match the prescribed formula.</x:v>
      </x:c>
      <x:c r="I5" s="84" t="n">
        <x:v>44563.74</x:v>
      </x:c>
      <x:c r="J5" s="84" t="n">
        <x:v>18740.287</x:v>
      </x:c>
    </x:row>
    <x:row r="6">
      <x:c r="A6" s="47" t="str">
        <x:v>RUN-TRF-101-20260824T053954002157Z</x:v>
      </x:c>
      <x:c r="B6" s="47" t="str">
        <x:v>TRF-101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Replace the nltl:hasLoadCase property constraint using sh:node with an existential qualified-value constraint: use sh:qualifiedValueShape gen:BladeFailureLoadCaseShape and sh:qualifiedMinCount 1. The current sh:node constraint incorrectly requires every load case linked to the ship to be a blade-failure case at 0.8R in the weakest direction, rather than requiring at least one matching case. Retain the corrected formula behavior from prior feedback: compute ?expectedLoad from ?expectedReferenceStrength while separately tolerance-checking the reported reference strength.</x:v>
      </x:c>
      <x:c r="I6" s="86" t="n">
        <x:v>46623.92</x:v>
      </x:c>
      <x:c r="J6" s="86" t="n">
        <x:v>20189.767</x:v>
      </x:c>
    </x:row>
    <x:row r="7">
      <x:c r="A7" s="49" t="str">
        <x:v>RUN-TRF-101-20260824T053954002157Z</x:v>
      </x:c>
      <x:c r="B7" s="49" t="str">
        <x:v>TRF-101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Candidate faithfully encodes the ship target, approved-analysis/formula alternatives, formula operands and direction, expected-value-scaled tolerances, load-case existential constraint at exactly 0.8R in the weakest direction, and the conditional blade-failure status rule. Prior feedback is preserved.</x:v>
      </x:c>
      <x:c r="I7" s="88" t="n">
        <x:v>44026.324</x:v>
      </x:c>
      <x:c r="J7" s="88" t="n">
        <x:v>10701.601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111efd951c843f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RUN-TRF-101-20260824T053954002157Z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RUN-TRF-101-20260824T053954002157Z</x:v>
      </x:c>
      <x:c r="C5" s="45" t="str">
        <x:v>TRF-101</x:v>
      </x:c>
      <x:c r="D5" s="92" t="n">
        <x:v>46258.23655751158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44562.183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EVT-000030</x:v>
      </x:c>
      <x:c r="B6" s="47" t="str">
        <x:v>RUN-TRF-101-20260824T053954002157Z</x:v>
      </x:c>
      <x:c r="C6" s="47" t="str">
        <x:v>TRF-101</x:v>
      </x:c>
      <x:c r="D6" s="93" t="n">
        <x:v>46258.23655753472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44563.74</x:v>
      </x:c>
      <x:c r="L6" s="85" t="b">
        <x:v>0</x:v>
      </x:c>
      <x:c r="M6" s="47" t="str">
        <x:v>resp_0a7531813338e83a006a8bd92a184081938c75d9e5c48c5121</x:v>
      </x:c>
      <x:c r="N6" s="59" t="n">
        <x:v>10874</x:v>
      </x:c>
      <x:c r="O6" s="59" t="n">
        <x:v>3765</x:v>
      </x:c>
      <x:c r="P6" s="59" t="n">
        <x:v>14639</x:v>
      </x:c>
    </x:row>
    <x:row r="7">
      <x:c r="A7" s="47" t="str">
        <x:v>EVT-000037</x:v>
      </x:c>
      <x:c r="B7" s="47" t="str">
        <x:v>RUN-TRF-101-20260824T053954002157Z</x:v>
      </x:c>
      <x:c r="C7" s="47" t="str">
        <x:v>TRF-101</x:v>
      </x:c>
      <x:c r="D7" s="93" t="n">
        <x:v>46258.23677752315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18738.851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EVT-000038</x:v>
      </x:c>
      <x:c r="B8" s="47" t="str">
        <x:v>RUN-TRF-101-20260824T053954002157Z</x:v>
      </x:c>
      <x:c r="C8" s="47" t="str">
        <x:v>TRF-101</x:v>
      </x:c>
      <x:c r="D8" s="93" t="n">
        <x:v>46258.2367775463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18740.287</x:v>
      </x:c>
      <x:c r="L8" s="85" t="b">
        <x:v>0</x:v>
      </x:c>
      <x:c r="M8" s="47" t="str">
        <x:v>resp_015787ca2c29a8df006a8bd956ffe481909d34bbf74825a772</x:v>
      </x:c>
      <x:c r="N8" s="59" t="n">
        <x:v>13021</x:v>
      </x:c>
      <x:c r="O8" s="59" t="n">
        <x:v>1215</x:v>
      </x:c>
      <x:c r="P8" s="59" t="n">
        <x:v>14236</x:v>
      </x:c>
    </x:row>
    <x:row r="9">
      <x:c r="A9" s="47" t="str">
        <x:v>EVT-000043</x:v>
      </x:c>
      <x:c r="B9" s="47" t="str">
        <x:v>RUN-TRF-101-20260824T053954002157Z</x:v>
      </x:c>
      <x:c r="C9" s="47" t="str">
        <x:v>TRF-101</x:v>
      </x:c>
      <x:c r="D9" s="93" t="n">
        <x:v>46258.23731722222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46622.451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EVT-000044</x:v>
      </x:c>
      <x:c r="B10" s="47" t="str">
        <x:v>RUN-TRF-101-20260824T053954002157Z</x:v>
      </x:c>
      <x:c r="C10" s="47" t="str">
        <x:v>TRF-101</x:v>
      </x:c>
      <x:c r="D10" s="93" t="n">
        <x:v>46258.2373172338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46623.92</x:v>
      </x:c>
      <x:c r="L10" s="85" t="b">
        <x:v>0</x:v>
      </x:c>
      <x:c r="M10" s="47" t="str">
        <x:v>resp_04895ef9807cdb87006a8bd969bf448193b35012ac0ac5819f</x:v>
      </x:c>
      <x:c r="N10" s="59" t="n">
        <x:v>10939</x:v>
      </x:c>
      <x:c r="O10" s="59" t="n">
        <x:v>3601</x:v>
      </x:c>
      <x:c r="P10" s="59" t="n">
        <x:v>14540</x:v>
      </x:c>
    </x:row>
    <x:row r="11">
      <x:c r="A11" s="47" t="str">
        <x:v>EVT-000051</x:v>
      </x:c>
      <x:c r="B11" s="47" t="str">
        <x:v>RUN-TRF-101-20260824T053954002157Z</x:v>
      </x:c>
      <x:c r="C11" s="47" t="str">
        <x:v>TRF-101</x:v>
      </x:c>
      <x:c r="D11" s="93" t="n">
        <x:v>46258.23755424769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20188.291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EVT-000052</x:v>
      </x:c>
      <x:c r="B12" s="47" t="str">
        <x:v>RUN-TRF-101-20260824T053954002157Z</x:v>
      </x:c>
      <x:c r="C12" s="47" t="str">
        <x:v>TRF-101</x:v>
      </x:c>
      <x:c r="D12" s="93" t="n">
        <x:v>46258.23755427083</x:v>
      </x:c>
      <x:c r="E12" s="47" t="str">
        <x:v>validator</x:v>
      </x:c>
      <x:c r="F12" s="47" t="str">
        <x:v>gpt-5.6-sol-2026-07-09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20189.767</x:v>
      </x:c>
      <x:c r="L12" s="85" t="b">
        <x:v>0</x:v>
      </x:c>
      <x:c r="M12" s="47" t="str">
        <x:v>resp_0954aa3f866352cd006a8bd9989a688190a32d42708574f432</x:v>
      </x:c>
      <x:c r="N12" s="59" t="n">
        <x:v>13113</x:v>
      </x:c>
      <x:c r="O12" s="59" t="n">
        <x:v>1268</x:v>
      </x:c>
      <x:c r="P12" s="59" t="n">
        <x:v>14381</x:v>
      </x:c>
    </x:row>
    <x:row r="13">
      <x:c r="A13" s="47" t="str">
        <x:v>EVT-000057</x:v>
      </x:c>
      <x:c r="B13" s="47" t="str">
        <x:v>RUN-TRF-101-20260824T053954002157Z</x:v>
      </x:c>
      <x:c r="C13" s="47" t="str">
        <x:v>TRF-101</x:v>
      </x:c>
      <x:c r="D13" s="93" t="n">
        <x:v>46258.23806387732</x:v>
      </x:c>
      <x:c r="E13" s="47" t="str">
        <x:v>generator</x:v>
      </x:c>
      <x:c r="F13" s="47" t="str">
        <x:v>gpt-5.6-sol-2026-07-09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44025.068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EVT-000058</x:v>
      </x:c>
      <x:c r="B14" s="47" t="str">
        <x:v>RUN-TRF-101-20260824T053954002157Z</x:v>
      </x:c>
      <x:c r="C14" s="47" t="str">
        <x:v>TRF-101</x:v>
      </x:c>
      <x:c r="D14" s="93" t="n">
        <x:v>46258.238063888886</x:v>
      </x:c>
      <x:c r="E14" s="47" t="str">
        <x:v>generator</x:v>
      </x:c>
      <x:c r="F14" s="47" t="str">
        <x:v>gpt-5.6-sol-2026-07-09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44026.324</x:v>
      </x:c>
      <x:c r="L14" s="85" t="b">
        <x:v>0</x:v>
      </x:c>
      <x:c r="M14" s="47" t="str">
        <x:v>resp_00a70c7fdf20676f006a8bd9acc82c8194a3aef2df1e4d5036</x:v>
      </x:c>
      <x:c r="N14" s="59" t="n">
        <x:v>11058</x:v>
      </x:c>
      <x:c r="O14" s="59" t="n">
        <x:v>3794</x:v>
      </x:c>
      <x:c r="P14" s="59" t="n">
        <x:v>14852</x:v>
      </x:c>
    </x:row>
    <x:row r="15">
      <x:c r="A15" s="47" t="str">
        <x:v>EVT-000065</x:v>
      </x:c>
      <x:c r="B15" s="47" t="str">
        <x:v>RUN-TRF-101-20260824T053954002157Z</x:v>
      </x:c>
      <x:c r="C15" s="47" t="str">
        <x:v>TRF-101</x:v>
      </x:c>
      <x:c r="D15" s="93" t="n">
        <x:v>46258.23819081018</x:v>
      </x:c>
      <x:c r="E15" s="47" t="str">
        <x:v>validator</x:v>
      </x:c>
      <x:c r="F15" s="47" t="str">
        <x:v>gpt-5.6-sol-2026-07-09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10700.586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EVT-000066</x:v>
      </x:c>
      <x:c r="B16" s="49" t="str">
        <x:v>RUN-TRF-101-20260824T053954002157Z</x:v>
      </x:c>
      <x:c r="C16" s="49" t="str">
        <x:v>TRF-101</x:v>
      </x:c>
      <x:c r="D16" s="94" t="n">
        <x:v>46258.23819082176</x:v>
      </x:c>
      <x:c r="E16" s="49" t="str">
        <x:v>validator</x:v>
      </x:c>
      <x:c r="F16" s="49" t="str">
        <x:v>gpt-5.6-sol-2026-07-09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10701.601</x:v>
      </x:c>
      <x:c r="L16" s="87" t="b">
        <x:v>0</x:v>
      </x:c>
      <x:c r="M16" s="49" t="str">
        <x:v>resp_01c3ac80cc82f87c006a8bd9d916bc819686aa12920d25d0aa</x:v>
      </x:c>
      <x:c r="N16" s="60" t="n">
        <x:v>13255</x:v>
      </x:c>
      <x:c r="O16" s="60" t="n">
        <x:v>543</x:v>
      </x:c>
      <x:c r="P16" s="60" t="n">
        <x:v>13798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f4747f22f8a407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RUN-TRF-101-20260824T053954002157Z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RUN-TRF-101-20260824T053954002157Z</x:v>
      </x:c>
      <x:c r="B5" s="45" t="str">
        <x:v>TRF-101</x:v>
      </x:c>
      <x:c r="C5" s="45" t="str">
        <x:v>approvalRecord</x:v>
      </x:c>
      <x:c r="D5" s="46" t="str">
        <x:v>https://w3id.org/nltl/vocab#approvalRecord</x:v>
      </x:c>
      <x:c r="E5" s="45" t="str">
        <x:v>Class</x:v>
      </x:c>
      <x:c r="F5" s="45" t="str"/>
      <x:c r="G5" s="45" t="str">
        <x:v>https://w3id.org/nltl/vocab#evidenceArtifact</x:v>
      </x:c>
      <x:c r="H5" s="45" t="str"/>
      <x:c r="I5" s="46" t="str">
        <x:v>range dependency of approvedNonlinearBladeStressAnalysis</x:v>
      </x:c>
      <x:c r="J5" s="45" t="n">
        <x:v>0</x:v>
      </x:c>
    </x:row>
    <x:row r="6">
      <x:c r="A6" s="47" t="str">
        <x:v>RUN-TRF-101-20260824T053954002157Z</x:v>
      </x:c>
      <x:c r="B6" s="47" t="str">
        <x:v>TRF-101</x:v>
      </x:c>
      <x:c r="C6" s="47" t="str">
        <x:v>approvedNonlinearBladeStressAnalysis</x:v>
      </x:c>
      <x:c r="D6" s="48" t="str">
        <x:v>https://w3id.org/nltl/vocab#approvedNonlinearBladeStressAnalysis</x:v>
      </x:c>
      <x:c r="E6" s="47" t="str">
        <x:v>ObjectProperty</x:v>
      </x:c>
      <x:c r="F6" s="47" t="str"/>
      <x:c r="G6" s="47" t="str">
        <x:v>https://w3id.org/nltl/vocab#approvalRecord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RUN-TRF-101-20260824T053954002157Z</x:v>
      </x:c>
      <x:c r="B7" s="47" t="str">
        <x:v>TRF-101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bladeFailureStatus; domain dependency of bladeFailureUltimateLoad; domain dependency of bladeReferenceStrength1; domain dependency of bladeTipOffset; domain dependency of propellerDiameter</x:v>
      </x:c>
      <x:c r="J7" s="47" t="n">
        <x:v>0</x:v>
      </x:c>
    </x:row>
    <x:row r="8">
      <x:c r="A8" s="47" t="str">
        <x:v>RUN-TRF-101-20260824T053954002157Z</x:v>
      </x:c>
      <x:c r="B8" s="47" t="str">
        <x:v>TRF-101</x:v>
      </x:c>
      <x:c r="C8" s="47" t="str">
        <x:v>bladeChordLengthAtWeakestSection</x:v>
      </x:c>
      <x:c r="D8" s="48" t="str">
        <x:v>https://w3id.org/nltl/vocab#bladeChordLengthAtWeakestSection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RUN-TRF-101-20260824T053954002157Z</x:v>
      </x:c>
      <x:c r="B9" s="47" t="str">
        <x:v>TRF-101</x:v>
      </x:c>
      <x:c r="C9" s="47" t="str">
        <x:v>bladeCylindricalRootRadius</x:v>
      </x:c>
      <x:c r="D9" s="48" t="str">
        <x:v>https://w3id.org/nltl/vocab#bladeCylindricalRootRadius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RUN-TRF-101-20260824T053954002157Z</x:v>
      </x:c>
      <x:c r="B10" s="47" t="str">
        <x:v>TRF-101</x:v>
      </x:c>
      <x:c r="C10" s="47" t="str">
        <x:v>bladeFailureLoadApplicationRadiusRatio</x:v>
      </x:c>
      <x:c r="D10" s="48" t="str">
        <x:v>https://w3id.org/nltl/vocab#bladeFailureLoadApplicationRadiusRatio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RUN-TRF-101-20260824T053954002157Z</x:v>
      </x:c>
      <x:c r="B11" s="47" t="str">
        <x:v>TRF-101</x:v>
      </x:c>
      <x:c r="C11" s="47" t="str">
        <x:v>bladeFailureLoadWeakestDirectionConfirmed</x:v>
      </x:c>
      <x:c r="D11" s="48" t="str">
        <x:v>https://w3id.org/nltl/vocab#bladeFailureLoadWeakestDirectionConfirmed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RUN-TRF-101-20260824T053954002157Z</x:v>
      </x:c>
      <x:c r="B12" s="47" t="str">
        <x:v>TRF-101</x:v>
      </x:c>
      <x:c r="C12" s="47" t="str">
        <x:v>bladeFailureStatus</x:v>
      </x:c>
      <x:c r="D12" s="48" t="str">
        <x:v>https://w3id.org/nltl/vocab#bladeFailureStatus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RUN-TRF-101-20260824T053954002157Z</x:v>
      </x:c>
      <x:c r="B13" s="47" t="str">
        <x:v>TRF-101</x:v>
      </x:c>
      <x:c r="C13" s="47" t="str">
        <x:v>bladeFailureUltimateLoad</x:v>
      </x:c>
      <x:c r="D13" s="48" t="str">
        <x:v>https://w3id.org/nltl/vocab#bladeFailureUltimateLoad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http://qudt.org/vocab/unit/KiloN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RUN-TRF-101-20260824T053954002157Z</x:v>
      </x:c>
      <x:c r="B14" s="47" t="str">
        <x:v>TRF-101</x:v>
      </x:c>
      <x:c r="C14" s="47" t="str">
        <x:v>bladeMaximumThicknessAtWeakestSection</x:v>
      </x:c>
      <x:c r="D14" s="48" t="str">
        <x:v>https://w3id.org/nltl/vocab#bladeMaximumThicknessAtWeakestSection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http://qudt.org/vocab/unit/M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RUN-TRF-101-20260824T053954002157Z</x:v>
      </x:c>
      <x:c r="B15" s="47" t="str">
        <x:v>TRF-101</x:v>
      </x:c>
      <x:c r="C15" s="47" t="str">
        <x:v>bladeMinimumYieldStrength</x:v>
      </x:c>
      <x:c r="D15" s="48" t="str">
        <x:v>https://w3id.org/nltl/vocab#bladeMinimumYieldStrength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http://qudt.org/vocab/unit/MegaPA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RUN-TRF-101-20260824T053954002157Z</x:v>
      </x:c>
      <x:c r="B16" s="47" t="str">
        <x:v>TRF-101</x:v>
      </x:c>
      <x:c r="C16" s="47" t="str">
        <x:v>bladeReferenceStrength1</x:v>
      </x:c>
      <x:c r="D16" s="48" t="str">
        <x:v>https://w3id.org/nltl/vocab#bladeReferenceStrength1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http://qudt.org/vocab/unit/MegaPA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RUN-TRF-101-20260824T053954002157Z</x:v>
      </x:c>
      <x:c r="B17" s="47" t="str">
        <x:v>TRF-101</x:v>
      </x:c>
      <x:c r="C17" s="47" t="str">
        <x:v>bladeTipOffset</x:v>
      </x:c>
      <x:c r="D17" s="48" t="str">
        <x:v>https://w3id.org/nltl/vocab#bladeTipOffset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RUN-TRF-101-20260824T053954002157Z</x:v>
      </x:c>
      <x:c r="B18" s="47" t="str">
        <x:v>TRF-101</x:v>
      </x:c>
      <x:c r="C18" s="47" t="str">
        <x:v>bladeUltimateTensileStrength</x:v>
      </x:c>
      <x:c r="D18" s="48" t="str">
        <x:v>https://w3id.org/nltl/vocab#bladeUltimateTensileStrength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http://qudt.org/vocab/unit/MegaPA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RUN-TRF-101-20260824T053954002157Z</x:v>
      </x:c>
      <x:c r="B19" s="47" t="str">
        <x:v>TRF-101</x:v>
      </x:c>
      <x:c r="C19" s="47" t="str">
        <x:v>hasComponent</x:v>
      </x:c>
      <x:c r="D19" s="48" t="str">
        <x:v>https://w3id.org/nltl/vocab#hasComponent</x:v>
      </x:c>
      <x:c r="E19" s="47" t="str">
        <x:v>ObjectProperty</x:v>
      </x:c>
      <x:c r="F19" s="47" t="str"/>
      <x:c r="G19" s="47" t="str">
        <x:v>https://w3id.org/nltl/vocab#shipComponent</x:v>
      </x:c>
      <x:c r="H19" s="47" t="str"/>
      <x:c r="I19" s="48" t="str">
        <x:v>component-path dependency inferred from the linked term module</x:v>
      </x:c>
      <x:c r="J19" s="47" t="n">
        <x:v>0</x:v>
      </x:c>
    </x:row>
    <x:row r="20">
      <x:c r="A20" s="47" t="str">
        <x:v>RUN-TRF-101-20260824T053954002157Z</x:v>
      </x:c>
      <x:c r="B20" s="47" t="str">
        <x:v>TRF-101</x:v>
      </x:c>
      <x:c r="C20" s="47" t="str">
        <x:v>hasLoadCase</x:v>
      </x:c>
      <x:c r="D20" s="48" t="str">
        <x:v>https://w3id.org/nltl/vocab#hasLoadCase</x:v>
      </x:c>
      <x:c r="E20" s="47" t="str">
        <x:v>ObjectProperty</x:v>
      </x:c>
      <x:c r="F20" s="47" t="str"/>
      <x:c r="G20" s="47" t="str">
        <x:v>https://w3id.org/nltl/vocab#loadCase</x:v>
      </x:c>
      <x:c r="H20" s="47" t="str"/>
      <x:c r="I20" s="48" t="str">
        <x:v>canonical path from target owner ship to required owner loadCase; linked by the locked 313-requirement index</x:v>
      </x:c>
      <x:c r="J20" s="47" t="n">
        <x:v>0</x:v>
      </x:c>
    </x:row>
    <x:row r="21">
      <x:c r="A21" s="47" t="str">
        <x:v>RUN-TRF-101-20260824T053954002157Z</x:v>
      </x:c>
      <x:c r="B21" s="47" t="str">
        <x:v>TRF-101</x:v>
      </x:c>
      <x:c r="C21" s="47" t="str">
        <x:v>hasPropulsionLoadCase</x:v>
      </x:c>
      <x:c r="D21" s="48" t="str">
        <x:v>https://w3id.org/nltl/vocab#hasPropulsionLoadCase</x:v>
      </x:c>
      <x:c r="E21" s="47" t="str">
        <x:v>ObjectProperty</x:v>
      </x:c>
      <x:c r="F21" s="47" t="str"/>
      <x:c r="G21" s="47" t="str">
        <x:v>https://w3id.org/nltl/vocab#loadCase</x:v>
      </x:c>
      <x:c r="H21" s="47" t="str"/>
      <x:c r="I21" s="48" t="str">
        <x:v>canonical path from target owner ship to required owner loadCase</x:v>
      </x:c>
      <x:c r="J21" s="47" t="n">
        <x:v>0</x:v>
      </x:c>
    </x:row>
    <x:row r="22">
      <x:c r="A22" s="47" t="str">
        <x:v>RUN-TRF-101-20260824T053954002157Z</x:v>
      </x:c>
      <x:c r="B22" s="47" t="str">
        <x:v>TRF-101</x:v>
      </x:c>
      <x:c r="C22" s="47" t="str">
        <x:v>loadCase</x:v>
      </x:c>
      <x:c r="D22" s="48" t="str">
        <x:v>https://w3id.org/nltl/vocab#loadCase</x:v>
      </x:c>
      <x:c r="E22" s="47" t="str">
        <x:v>Class</x:v>
      </x:c>
      <x:c r="F22" s="47" t="str"/>
      <x:c r="G22" s="47" t="str">
        <x:v>https://w3id.org/nltl/vocab#calculationCase</x:v>
      </x:c>
      <x:c r="H22" s="47" t="str"/>
      <x:c r="I22" s="48" t="str">
        <x:v>authoritative required owner class; domain dependency of bladeFailureLoadApplicationRadiusRatio; domain dependency of bladeFailureLoadWeakestDirectionConfirmed; range dependency of hasLoadCase</x:v>
      </x:c>
      <x:c r="J22" s="47" t="n">
        <x:v>0</x:v>
      </x:c>
    </x:row>
    <x:row r="23">
      <x:c r="A23" s="47" t="str">
        <x:v>RUN-TRF-101-20260824T053954002157Z</x:v>
      </x:c>
      <x:c r="B23" s="47" t="str">
        <x:v>TRF-101</x:v>
      </x:c>
      <x:c r="C23" s="47" t="str">
        <x:v>propellerDiameter</x:v>
      </x:c>
      <x:c r="D23" s="48" t="str">
        <x:v>https://w3id.org/nltl/vocab#propellerDiameter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http://qudt.org/vocab/unit/M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RUN-TRF-101-20260824T053954002157Z</x:v>
      </x:c>
      <x:c r="B24" s="47" t="str">
        <x:v>TRF-101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infrastructure; domain dependency of approvedNonlinearBladeStressAnalysis; domain dependency of bladeChordLengthAtWeakestSection; domain dependency of bladeCylindricalRootRadius; domain dependency of bladeMaximumThicknessAtWeakestSection; domain dependency of bladeMinimumYieldStrength; domain dependency of bladeUltimateTensileStrength; domain dependency of hasLoadCase</x:v>
      </x:c>
      <x:c r="J24" s="47" t="n">
        <x:v>0</x:v>
      </x:c>
    </x:row>
    <x:row r="25">
      <x:c r="A25" s="49" t="str">
        <x:v>RUN-TRF-101-20260824T053954002157Z</x:v>
      </x:c>
      <x:c r="B25" s="49" t="str">
        <x:v>TRF-101</x:v>
      </x:c>
      <x:c r="C25" s="49" t="str">
        <x:v>shipComponent</x:v>
      </x:c>
      <x:c r="D25" s="50" t="str">
        <x:v>https://w3id.org/nltl/vocab#shipComponent</x:v>
      </x:c>
      <x:c r="E25" s="49" t="str">
        <x:v>Class</x:v>
      </x:c>
      <x:c r="F25" s="49" t="str"/>
      <x:c r="G25" s="49" t="str"/>
      <x:c r="H25" s="49" t="str"/>
      <x:c r="I25" s="50" t="str">
        <x:v>component-path dependency inferred from the linked term module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4a5d0a1f8c3488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RUN-TRF-101-20260824T053954002157Z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RUN-TRF-101-20260824T053954002157Z</x:v>
      </x:c>
      <x:c r="B5" s="45" t="str">
        <x:v>TRF-101</x:v>
      </x:c>
      <x:c r="C5" s="45" t="str">
        <x:v>FS-CALC-02</x:v>
      </x:c>
      <x:c r="D5" s="45" t="str">
        <x:v>comparison_calculation</x:v>
      </x:c>
      <x:c r="E5" s="97" t="n">
        <x:v>0.038095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RUN-TRF-101-20260824T053954002157Z</x:v>
      </x:c>
      <x:c r="B6" s="49" t="str">
        <x:v>TRF-101</x:v>
      </x:c>
      <x:c r="C6" s="49" t="str">
        <x:v>FS-BOOL-01</x:v>
      </x:c>
      <x:c r="D6" s="49" t="str">
        <x:v>boolean_state</x:v>
      </x:c>
      <x:c r="E6" s="98" t="n">
        <x:v>0.028302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0f1bdc88bcd438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RUN-TRF-101-20260824T053954002157Z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RUN-TRF-101-20260824T053954002157Z</x:v>
      </x:c>
      <x:c r="B5" s="45" t="str">
        <x:v>TRF-101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https://w3id.org/nltl/vocab#approvalRecord | https://w3id.org/nltl/vocab#approvedNonlinearBladeStressAnalysis | https://w3id.org/nltl/vocab#bladeChordLengthAtWeakestSection | https://w3id.org/nltl/vocab#bladeCylindricalRootRadius | https://w3id.org/nltl/vocab#bladeFailureLoadApplicationRadiusRatio | https://w3id.org/nltl/vocab#bladeFailureLoadWeakestDirectionConfirmed | https://w3id.org/nltl/vocab#bladeFailureStatus | https://w3id.org/nltl/vocab#bladeFailureUltimateLoad | https://w3id.org/nltl/vocab#bladeMaximumThicknessAtWeakestSection | https://w3id.org/nltl/vocab#bladeMinimumYieldStrength | https://w3id.org/nltl/vocab#bladeReferenceStrength1 | https://w3id.org/nltl/vocab#bladeTipOffset | https://w3id.org/nltl/vocab#bladeUltimateTensileStrength | https://w3id.org/nltl/vocab#hasLoadCase | https://w3id.org/nltl/vocab#loadCase | https://w3id.org/nltl/vocab#propellerDiameter | https://w3id.org/nltl/vocab#ship</x:v>
      </x:c>
      <x:c r="O5" s="46" t="str"/>
      <x:c r="P5" s="46" t="str"/>
      <x:c r="Q5" s="46" t="str"/>
    </x:row>
    <x:row r="6">
      <x:c r="A6" s="47" t="str">
        <x:v>RUN-TRF-101-20260824T053954002157Z</x:v>
      </x:c>
      <x:c r="B6" s="47" t="str">
        <x:v>TRF-101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https://w3id.org/nltl/vocab#approvalRecord | https://w3id.org/nltl/vocab#approvedNonlinearBladeStressAnalysis | https://w3id.org/nltl/vocab#bladeChordLengthAtWeakestSection | https://w3id.org/nltl/vocab#bladeCylindricalRootRadius | https://w3id.org/nltl/vocab#bladeFailureLoadApplicationRadiusRatio | https://w3id.org/nltl/vocab#bladeFailureLoadWeakestDirectionConfirmed | https://w3id.org/nltl/vocab#bladeFailureStatus | https://w3id.org/nltl/vocab#bladeFailureUltimateLoad | https://w3id.org/nltl/vocab#bladeMaximumThicknessAtWeakestSection | https://w3id.org/nltl/vocab#bladeMinimumYieldStrength | https://w3id.org/nltl/vocab#bladeReferenceStrength1 | https://w3id.org/nltl/vocab#bladeTipOffset | https://w3id.org/nltl/vocab#bladeUltimateTensileStrength | https://w3id.org/nltl/vocab#hasLoadCase | https://w3id.org/nltl/vocab#loadCase | https://w3id.org/nltl/vocab#propellerDiameter | https://w3id.org/nltl/vocab#ship</x:v>
      </x:c>
      <x:c r="O6" s="48" t="str"/>
      <x:c r="P6" s="48" t="str"/>
      <x:c r="Q6" s="48" t="str"/>
    </x:row>
    <x:row r="7">
      <x:c r="A7" s="49" t="str">
        <x:v>RUN-TRF-101-20260824T053954002157Z</x:v>
      </x:c>
      <x:c r="B7" s="49" t="str">
        <x:v>TRF-101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https://w3id.org/nltl/vocab#approvalRecord | https://w3id.org/nltl/vocab#approvedNonlinearBladeStressAnalysis | https://w3id.org/nltl/vocab#bladeChordLengthAtWeakestSection | https://w3id.org/nltl/vocab#bladeCylindricalRootRadius | https://w3id.org/nltl/vocab#bladeFailureLoadApplicationRadiusRatio | https://w3id.org/nltl/vocab#bladeFailureLoadWeakestDirectionConfirmed | https://w3id.org/nltl/vocab#bladeFailureStatus | https://w3id.org/nltl/vocab#bladeFailureUltimateLoad | https://w3id.org/nltl/vocab#bladeMaximumThicknessAtWeakestSection | https://w3id.org/nltl/vocab#bladeMinimumYieldStrength | https://w3id.org/nltl/vocab#bladeReferenceStrength1 | https://w3id.org/nltl/vocab#bladeTipOffset | https://w3id.org/nltl/vocab#bladeUltimateTensileStrength | https://w3id.org/nltl/vocab#hasLoadCase | https://w3id.org/nltl/vocab#loadCase | https://w3id.org/nltl/vocab#propellerDiameter | https://w3id.org/nltl/vocab#ship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725347d6219d46c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RUN-TRF-101-20260824T053954002157Z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RUN-TRF-101-20260824T053954002157Z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RUN-TRF-101-20260824T053954002157Z</x:v>
      </x:c>
      <x:c r="B5" s="45" t="str">
        <x:v>TRF-101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609e676b9beee0d757eb1243d54d95aaae70acff9375166639e115acd26032a4</x:v>
      </x:c>
      <x:c r="G5" s="58" t="n">
        <x:v>28982</x:v>
      </x:c>
    </x:row>
    <x:row r="6">
      <x:c r="A6" s="47" t="str">
        <x:v>RUN-TRF-101-20260824T053954002157Z</x:v>
      </x:c>
      <x:c r="B6" s="47" t="str">
        <x:v>TRF-101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5ed29d3575ad2cd133608c0137c07c57afdf09e5e598812e5aa6470019aa1f4d</x:v>
      </x:c>
      <x:c r="G6" s="59" t="n">
        <x:v>4749</x:v>
      </x:c>
    </x:row>
    <x:row r="7">
      <x:c r="A7" s="47" t="str">
        <x:v>RUN-TRF-101-20260824T053954002157Z</x:v>
      </x:c>
      <x:c r="B7" s="47" t="str">
        <x:v>TRF-101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e83011a8de129302b3184f40c1f66a21876ba177ba0d13339ac7e9181cf41bb1</x:v>
      </x:c>
      <x:c r="G7" s="59" t="n">
        <x:v>45285</x:v>
      </x:c>
    </x:row>
    <x:row r="8">
      <x:c r="A8" s="47" t="str">
        <x:v>RUN-TRF-101-20260824T053954002157Z</x:v>
      </x:c>
      <x:c r="B8" s="47" t="str">
        <x:v>TRF-101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58acf547416e520135caa48f6f68c7fdbb724a479e60345adb539700e64904b8</x:v>
      </x:c>
      <x:c r="G8" s="59" t="n">
        <x:v>7967</x:v>
      </x:c>
    </x:row>
    <x:row r="9">
      <x:c r="A9" s="47" t="str">
        <x:v>RUN-TRF-101-20260824T053954002157Z</x:v>
      </x:c>
      <x:c r="B9" s="47" t="str">
        <x:v>TRF-101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bdcabf6ffbbc94a11733f378d372573a1618c1fc9a670e9a7b110fbfea77c63f</x:v>
      </x:c>
      <x:c r="G9" s="59" t="n">
        <x:v>7942</x:v>
      </x:c>
    </x:row>
    <x:row r="10">
      <x:c r="A10" s="47" t="str">
        <x:v>RUN-TRF-101-20260824T053954002157Z</x:v>
      </x:c>
      <x:c r="B10" s="47" t="str">
        <x:v>TRF-101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9432471ec24e196c9ef0cc4780cb19b5cca4140d6df4b4a49aff3e0e9b84e5c6</x:v>
      </x:c>
      <x:c r="G10" s="59" t="n">
        <x:v>1397</x:v>
      </x:c>
    </x:row>
    <x:row r="11">
      <x:c r="A11" s="47" t="str">
        <x:v>RUN-TRF-101-20260824T053954002157Z</x:v>
      </x:c>
      <x:c r="B11" s="47" t="str">
        <x:v>TRF-101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45429a6c8bb3c721c44dc49897cdb180d0f7d95ade168a8b6a88f3274e653870</x:v>
      </x:c>
      <x:c r="G11" s="59" t="n">
        <x:v>51550</x:v>
      </x:c>
    </x:row>
    <x:row r="12">
      <x:c r="A12" s="47" t="str">
        <x:v>RUN-TRF-101-20260824T053954002157Z</x:v>
      </x:c>
      <x:c r="B12" s="47" t="str">
        <x:v>TRF-101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fdf9f0f8800876860ea5f539149a920be7d0ebd27ea6c7cdf71c3236d3e73315</x:v>
      </x:c>
      <x:c r="G12" s="59" t="n">
        <x:v>449</x:v>
      </x:c>
    </x:row>
    <x:row r="13">
      <x:c r="A13" s="47" t="str">
        <x:v>RUN-TRF-101-20260824T053954002157Z</x:v>
      </x:c>
      <x:c r="B13" s="47" t="str">
        <x:v>TRF-101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c2c681061f54df8ce8874def1d4dee0a15bc47ce40493e7ea1878b6c55aedda6</x:v>
      </x:c>
      <x:c r="G13" s="59" t="n">
        <x:v>45669</x:v>
      </x:c>
    </x:row>
    <x:row r="14">
      <x:c r="A14" s="47" t="str">
        <x:v>RUN-TRF-101-20260824T053954002157Z</x:v>
      </x:c>
      <x:c r="B14" s="47" t="str">
        <x:v>TRF-101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888672d5d762b454fcf08c84b8ca3874a55729119c979de02a6684bc4e7916d0</x:v>
      </x:c>
      <x:c r="G14" s="59" t="n">
        <x:v>8777</x:v>
      </x:c>
    </x:row>
    <x:row r="15">
      <x:c r="A15" s="47" t="str">
        <x:v>RUN-TRF-101-20260824T053954002157Z</x:v>
      </x:c>
      <x:c r="B15" s="47" t="str">
        <x:v>TRF-101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a7df3cd627f6a6ff59c3e10fde127278198f1e820173e1f4d0f04e06878f005e</x:v>
      </x:c>
      <x:c r="G15" s="59" t="n">
        <x:v>8752</x:v>
      </x:c>
    </x:row>
    <x:row r="16">
      <x:c r="A16" s="47" t="str">
        <x:v>RUN-TRF-101-20260824T053954002157Z</x:v>
      </x:c>
      <x:c r="B16" s="47" t="str">
        <x:v>TRF-101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9432471ec24e196c9ef0cc4780cb19b5cca4140d6df4b4a49aff3e0e9b84e5c6</x:v>
      </x:c>
      <x:c r="G16" s="59" t="n">
        <x:v>1397</x:v>
      </x:c>
    </x:row>
    <x:row r="17">
      <x:c r="A17" s="47" t="str">
        <x:v>RUN-TRF-101-20260824T053954002157Z</x:v>
      </x:c>
      <x:c r="B17" s="47" t="str">
        <x:v>TRF-101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0a54ffe225add091dccf4c2bcefa9785cc497dffd4a0814b75d3623fe4df1ca9</x:v>
      </x:c>
      <x:c r="G17" s="59" t="n">
        <x:v>52762</x:v>
      </x:c>
    </x:row>
    <x:row r="18">
      <x:c r="A18" s="47" t="str">
        <x:v>RUN-TRF-101-20260824T053954002157Z</x:v>
      </x:c>
      <x:c r="B18" s="47" t="str">
        <x:v>TRF-101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db4f2d0bd4b37cbf82796ca4c08dcb94a0e7b96cc9bac988b5e3e7b5b4989088</x:v>
      </x:c>
      <x:c r="G18" s="59" t="n">
        <x:v>639</x:v>
      </x:c>
    </x:row>
    <x:row r="19">
      <x:c r="A19" s="47" t="str">
        <x:v>RUN-TRF-101-20260824T053954002157Z</x:v>
      </x:c>
      <x:c r="B19" s="47" t="str">
        <x:v>TRF-101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d5c5c703e2347abbcd63f7ef7b21bcfd62bb69694c8ee9ee67613bea80ba432e</x:v>
      </x:c>
      <x:c r="G19" s="59" t="n">
        <x:v>46251</x:v>
      </x:c>
    </x:row>
    <x:row r="20">
      <x:c r="A20" s="47" t="str">
        <x:v>RUN-TRF-101-20260824T053954002157Z</x:v>
      </x:c>
      <x:c r="B20" s="47" t="str">
        <x:v>TRF-101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a989aabaf7673574505ad084468695342968725490ebd9b7f0895b44e6d0ed81</x:v>
      </x:c>
      <x:c r="G20" s="59" t="n">
        <x:v>8252</x:v>
      </x:c>
    </x:row>
    <x:row r="21">
      <x:c r="A21" s="47" t="str">
        <x:v>RUN-TRF-101-20260824T053954002157Z</x:v>
      </x:c>
      <x:c r="B21" s="47" t="str">
        <x:v>TRF-101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0857e7c954c07a66a77795756c408efef0ff239ced23e44df68e75c190d9db2d</x:v>
      </x:c>
      <x:c r="G21" s="59" t="n">
        <x:v>8227</x:v>
      </x:c>
    </x:row>
    <x:row r="22">
      <x:c r="A22" s="47" t="str">
        <x:v>RUN-TRF-101-20260824T053954002157Z</x:v>
      </x:c>
      <x:c r="B22" s="47" t="str">
        <x:v>TRF-101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9432471ec24e196c9ef0cc4780cb19b5cca4140d6df4b4a49aff3e0e9b84e5c6</x:v>
      </x:c>
      <x:c r="G22" s="59" t="n">
        <x:v>1397</x:v>
      </x:c>
    </x:row>
    <x:row r="23">
      <x:c r="A23" s="47" t="str">
        <x:v>RUN-TRF-101-20260824T053954002157Z</x:v>
      </x:c>
      <x:c r="B23" s="47" t="str">
        <x:v>TRF-101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7defbb17a0f65fb161553e695d6656a461f95d96f97561254fa6a5feada57346</x:v>
      </x:c>
      <x:c r="G23" s="59" t="n">
        <x:v>52814</x:v>
      </x:c>
    </x:row>
    <x:row r="24">
      <x:c r="A24" s="47" t="str">
        <x:v>RUN-TRF-101-20260824T053954002157Z</x:v>
      </x:c>
      <x:c r="B24" s="47" t="str">
        <x:v>TRF-101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90cdd5aee4cab574958bb7b006133edabf165e372a9e5038fa5d6ed3636283cc</x:v>
      </x:c>
      <x:c r="G24" s="59" t="n">
        <x:v>365</x:v>
      </x:c>
    </x:row>
    <x:row r="25">
      <x:c r="A25" s="49" t="str">
        <x:v>RUN-TRF-101-20260824T053954002157Z</x:v>
      </x:c>
      <x:c r="B25" s="49" t="str">
        <x:v>TRF-101</x:v>
      </x:c>
      <x:c r="C25" s="60" t="n">
        <x:v>3</x:v>
      </x:c>
      <x:c r="D25" s="49" t="str">
        <x:v>final_accepted_shape</x:v>
      </x:c>
      <x:c r="E25" s="50" t="str">
        <x:v>final/final_shape.ttl</x:v>
      </x:c>
      <x:c r="F25" s="49" t="str">
        <x:v>0857e7c954c07a66a77795756c408efef0ff239ced23e44df68e75c190d9db2d</x:v>
      </x:c>
      <x:c r="G25" s="60" t="n">
        <x:v>8227</x:v>
      </x:c>
    </x:row>
  </x:sheetData>
  <x:pageMargins left="0.7" right="0.7" top="0.75" bottom="0.75" header="0.3" footer="0.3"/>
  <x:tableParts count="1">
    <x:tablePart xmlns:r="http://schemas.openxmlformats.org/officeDocument/2006/relationships" r:id="Rf8155f52501c4f6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RUN-TRF-101-20260824T053954002157Z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RUN-TRF-101-20260824T053954002157Z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RUN-TRF-101-20260824T053954002157Z</x:v>
      </x:c>
      <x:c r="B5" s="69" t="str">
        <x:v>TRF-101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055f67c0a40430f"/>
  </x:tableParts>
</x:worksheet>
</file>