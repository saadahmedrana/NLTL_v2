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52f55edef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63ffcc0b14ea9"/>
    <x:sheet xmlns:r="http://schemas.openxmlformats.org/officeDocument/2006/relationships" name="README" sheetId="2" r:id="R5be58f41e5ad4cb3"/>
    <x:sheet xmlns:r="http://schemas.openxmlformats.org/officeDocument/2006/relationships" name="EVALUATION_RESULTS" sheetId="3" r:id="R7713bc84c421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d5a1a592f45d6" /><Relationship Type="http://schemas.openxmlformats.org/officeDocument/2006/relationships/theme" Target="/xl/theme/theme1.xml" Id="R33e31cbb34354a8f" /><Relationship Type="http://schemas.openxmlformats.org/officeDocument/2006/relationships/sharedStrings" Target="/xl/sharedStrings.xml" Id="R660519df2e8546a4" /><Relationship Type="http://schemas.openxmlformats.org/officeDocument/2006/relationships/worksheet" Target="/xl/worksheets/sheet1.xml" Id="R1b363ffcc0b14ea9" /><Relationship Type="http://schemas.openxmlformats.org/officeDocument/2006/relationships/worksheet" Target="/xl/worksheets/sheet2.xml" Id="R5be58f41e5ad4cb3" /><Relationship Type="http://schemas.openxmlformats.org/officeDocument/2006/relationships/worksheet" Target="/xl/worksheets/sheet3.xml" Id="R7713bc84c4214bd8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1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1b48bd1d8b4a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390d9111e54e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R4-GENERATED-SHAPES-I2-005-IMO-086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COUNTA('EVALUATION_RESULTS'!$A$5:$A$11)</x:f>
        <x:v>7</x:v>
      </x:c>
      <x:c r="C5" s="21"/>
      <x:c r="D5" s="21"/>
    </x:row>
    <x:row r="6">
      <x:c r="A6" s="25" t="str">
        <x:v>Executed successfully</x:v>
      </x:c>
      <x:c r="B6" s="26" t="n">
        <x:f>COUNTIF('EVALUATION_RESULTS'!$L$5:$L$11,"TRUE")</x:f>
        <x:v>7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COUNTIF('EVALUATION_RESULTS'!$N$5:$N$11,"TRUE")</x:f>
        <x:v>7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COUNTIF('EVALUATION_RESULTS'!$N$5:$N$11,"FALSE")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IFERROR(AVERAGE('EVALUATION_RESULTS'!$P$5:$P$11),0)</x:f>
        <x:v>504.58714285714285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R4-GENERATED-SHAPES-I2-005-IMO-086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VOCAB-DEV-2026-08-14-R14-FINAL-STRESS-GAP-CLOSURE</x:v>
      </x:c>
    </x:row>
    <x:row r="8">
      <x:c r="A8" s="48" t="str">
        <x:v>ONTOLOGY_SHA256</x:v>
      </x:c>
      <x:c r="B8" s="49" t="str">
        <x:v>189c01560cf512e9070e5702ed66f5319367d9c9a6c09b521eb02f550ccf2dc8</x:v>
      </x:c>
    </x:row>
    <x:row r="9">
      <x:c r="A9" s="48" t="str">
        <x:v>MANIFEST</x:v>
      </x:c>
      <x:c r="B9" s="49" t="str">
        <x:v>/Users/sadisfaction570/Desktop/Journal 1/NLTL_v2/MVP/INPUTS/RDF_R4_GENERATED_SHAPE_CONFIRMATION/evaluation_manifest.json</x:v>
      </x:c>
    </x:row>
    <x:row r="10">
      <x:c r="A10" s="50" t="str">
        <x:v>MANIFEST_SHA256</x:v>
      </x:c>
      <x:c r="B10" s="51" t="str">
        <x:v>43eca940875b4c84c36516d0248815cf65db5c1237f2e7df79139a9069717598</x:v>
      </x:c>
    </x:row>
  </x:sheetData>
  <x:pageMargins left="0.7" right="0.7" top="0.75" bottom="0.75" header="0.3" footer="0.3"/>
  <x:tableParts count="1">
    <x:tablePart xmlns:r="http://schemas.openxmlformats.org/officeDocument/2006/relationships" r:id="Rf41b48bd1d8b4a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R4-GENERATED-SHAPES-I2-005-IMO-086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R4-GENERATED-SHAPES-I2-005-IMO-086</x:v>
      </x:c>
      <x:c r="B5" s="46" t="str">
        <x:v>RQ-I2-005</x:v>
      </x:c>
      <x:c r="C5" s="46" t="str">
        <x:v>I2-005-PASS-EXACT-BOUNDARY</x:v>
      </x:c>
      <x:c r="D5" s="46" t="str">
        <x:v>requirement</x:v>
      </x:c>
      <x:c r="E5" s="46" t="str">
        <x:v>I2-005</x:v>
      </x:c>
      <x:c r="F5" s="46" t="str">
        <x:v>/Users/sadisfaction570/Desktop/Journal 1/NLTL_v2/MVP/SHACL_GENERATION_PIPELINE/outputs/development_r14/runs/RUN-I2-005-20260814T124851373903Z/final/final_shape.ttl</x:v>
      </x:c>
      <x:c r="G5" s="46" t="str">
        <x:v>/Users/sadisfaction570/Desktop/Journal 1/NLTL_v2/MVP/INPUTS/RDF_R4_GENERATED_SHAPE_CONFIRMATION/I2-005/I2-005_pass_exact_boundary.ttl</x:v>
      </x:c>
      <x:c r="H5" s="46" t="str">
        <x:v>5e352d74030a1b0a3714e4a3cd651de71ed81f754b134578e560ae09ce57e7bf</x:v>
      </x:c>
      <x:c r="I5" s="46" t="str">
        <x:v>71da8f1f6dff37253701d6872ed535561f9de48acb1b2e03590466c81328d141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504.693</x:v>
      </x:c>
      <x:c r="Q5" s="47" t="str"/>
      <x:c r="R5" s="46" t="str">
        <x:v>Conforms: true</x:v>
      </x:c>
    </x:row>
    <x:row r="6">
      <x:c r="A6" s="48" t="str">
        <x:v>R4-GENERATED-SHAPES-I2-005-IMO-086</x:v>
      </x:c>
      <x:c r="B6" s="48" t="str">
        <x:v>RQ-I2-005</x:v>
      </x:c>
      <x:c r="C6" s="48" t="str">
        <x:v>I2-005-FAIL-BELOW-SEVEN-DEGREES</x:v>
      </x:c>
      <x:c r="D6" s="48" t="str">
        <x:v>requirement</x:v>
      </x:c>
      <x:c r="E6" s="48" t="str">
        <x:v>I2-005</x:v>
      </x:c>
      <x:c r="F6" s="48" t="str">
        <x:v>/Users/sadisfaction570/Desktop/Journal 1/NLTL_v2/MVP/SHACL_GENERATION_PIPELINE/outputs/development_r14/runs/RUN-I2-005-20260814T124851373903Z/final/final_shape.ttl</x:v>
      </x:c>
      <x:c r="G6" s="48" t="str">
        <x:v>/Users/sadisfaction570/Desktop/Journal 1/NLTL_v2/MVP/INPUTS/RDF_R4_GENERATED_SHAPE_CONFIRMATION/I2-005/I2-005_fail_below_seven_degrees.ttl</x:v>
      </x:c>
      <x:c r="H6" s="48" t="str">
        <x:v>5e352d74030a1b0a3714e4a3cd651de71ed81f754b134578e560ae09ce57e7bf</x:v>
      </x:c>
      <x:c r="I6" s="48" t="str">
        <x:v>12723dd86cd0180f547b2db4d7e2df4005c5210378ac03c9ab653349743c66e7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73</x:v>
      </x:c>
      <x:c r="P6" s="64" t="n">
        <x:v>481.597</x:v>
      </x:c>
      <x:c r="Q6" s="49" t="str"/>
      <x:c r="R6" s="48" t="str">
        <x:v>Conforms: false | Value is not &gt;= Literal("7", datatype=xsd:decimal)</x:v>
      </x:c>
    </x:row>
    <x:row r="7">
      <x:c r="A7" s="48" t="str">
        <x:v>R4-GENERATED-SHAPES-I2-005-IMO-086</x:v>
      </x:c>
      <x:c r="B7" s="48" t="str">
        <x:v>RQ-I2-005</x:v>
      </x:c>
      <x:c r="C7" s="48" t="str">
        <x:v>I2-005-FAIL-WRONG-UNIT</x:v>
      </x:c>
      <x:c r="D7" s="48" t="str">
        <x:v>requirement</x:v>
      </x:c>
      <x:c r="E7" s="48" t="str">
        <x:v>I2-005</x:v>
      </x:c>
      <x:c r="F7" s="48" t="str">
        <x:v>/Users/sadisfaction570/Desktop/Journal 1/NLTL_v2/MVP/SHACL_GENERATION_PIPELINE/outputs/development_r14/runs/RUN-I2-005-20260814T124851373903Z/final/final_shape.ttl</x:v>
      </x:c>
      <x:c r="G7" s="48" t="str">
        <x:v>/Users/sadisfaction570/Desktop/Journal 1/NLTL_v2/MVP/INPUTS/RDF_R4_GENERATED_SHAPE_CONFIRMATION/I2-005/I2-005_fail_wrong_unit.ttl</x:v>
      </x:c>
      <x:c r="H7" s="48" t="str">
        <x:v>5e352d74030a1b0a3714e4a3cd651de71ed81f754b134578e560ae09ce57e7bf</x:v>
      </x:c>
      <x:c r="I7" s="48" t="str">
        <x:v>2ae99a46904d839adb9deb1fe163621b7c555671667c6b8bc5c183d8e2f6edff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71</x:v>
      </x:c>
      <x:c r="P7" s="64" t="n">
        <x:v>503.134</x:v>
      </x:c>
      <x:c r="Q7" s="49" t="str"/>
      <x:c r="R7" s="48" t="str">
        <x:v>Conforms: false | Node [ qudt:numericValue Literal("7.0", datatype=xsd:decimal) ; qudt:unit unit:RAD ; rdf:type qudt:QuantityValue, rdfs:Resource ]-&gt;qudt:unit does not contain a value in the set: ['unit:DEG']</x:v>
      </x:c>
    </x:row>
    <x:row r="8">
      <x:c r="A8" s="48" t="str">
        <x:v>R4-GENERATED-SHAPES-I2-005-IMO-086</x:v>
      </x:c>
      <x:c r="B8" s="48" t="str">
        <x:v>RQ-IMO-086</x:v>
      </x:c>
      <x:c r="C8" s="48" t="str">
        <x:v>IMO-086-PASS-TWO-INDEPENDENT-MEANS</x:v>
      </x:c>
      <x:c r="D8" s="48" t="str">
        <x:v>requirement</x:v>
      </x:c>
      <x:c r="E8" s="48" t="str">
        <x:v>IMO-086</x:v>
      </x:c>
      <x:c r="F8" s="48" t="str">
        <x:v>/Users/sadisfaction570/Desktop/Journal 1/NLTL_v2/MVP/SHACL_GENERATION_PIPELINE/outputs/development_r14/runs/RUN-IMO-086-20260814T125430750237Z/final/final_shape.ttl</x:v>
      </x:c>
      <x:c r="G8" s="48" t="str">
        <x:v>/Users/sadisfaction570/Desktop/Journal 1/NLTL_v2/MVP/INPUTS/RDF_R4_GENERATED_SHAPE_CONFIRMATION/IMO-086/IMO-086_pass_two_independent_means.ttl</x:v>
      </x:c>
      <x:c r="H8" s="48" t="str">
        <x:v>7689340153a5a720381f5146e71ca09fc609772fd16a89a358bac42236187218</x:v>
      </x:c>
      <x:c r="I8" s="48" t="str">
        <x:v>c86608b4336d054ceb3ee927362d9f073c1a8a6bd6e0910b159b139047e49ee8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553.116</x:v>
      </x:c>
      <x:c r="Q8" s="49" t="str"/>
      <x:c r="R8" s="48" t="str">
        <x:v>Conforms: true</x:v>
      </x:c>
    </x:row>
    <x:row r="9">
      <x:c r="A9" s="48" t="str">
        <x:v>R4-GENERATED-SHAPES-I2-005-IMO-086</x:v>
      </x:c>
      <x:c r="B9" s="48" t="str">
        <x:v>RQ-IMO-086</x:v>
      </x:c>
      <x:c r="C9" s="48" t="str">
        <x:v>IMO-086-FAIL-ONE-MEANS</x:v>
      </x:c>
      <x:c r="D9" s="48" t="str">
        <x:v>requirement</x:v>
      </x:c>
      <x:c r="E9" s="48" t="str">
        <x:v>IMO-086</x:v>
      </x:c>
      <x:c r="F9" s="48" t="str">
        <x:v>/Users/sadisfaction570/Desktop/Journal 1/NLTL_v2/MVP/SHACL_GENERATION_PIPELINE/outputs/development_r14/runs/RUN-IMO-086-20260814T125430750237Z/final/final_shape.ttl</x:v>
      </x:c>
      <x:c r="G9" s="48" t="str">
        <x:v>/Users/sadisfaction570/Desktop/Journal 1/NLTL_v2/MVP/INPUTS/RDF_R4_GENERATED_SHAPE_CONFIRMATION/IMO-086/IMO-086_fail_one_means.ttl</x:v>
      </x:c>
      <x:c r="H9" s="48" t="str">
        <x:v>7689340153a5a720381f5146e71ca09fc609772fd16a89a358bac42236187218</x:v>
      </x:c>
      <x:c r="I9" s="48" t="str">
        <x:v>dedf6557510107ce93ba31afd52ea298734dd3c3e6e9d6ff3b57c9dcdaae0335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39</x:v>
      </x:c>
      <x:c r="P9" s="64" t="n">
        <x:v>483.743</x:v>
      </x:c>
      <x:c r="Q9" s="49" t="str"/>
      <x:c r="R9" s="48" t="str">
        <x:v>Conforms: false | Each non-magnetic heading means must be independent from another distinct non-magnetic heading means on the same ship.</x:v>
      </x:c>
    </x:row>
    <x:row r="10">
      <x:c r="A10" s="48" t="str">
        <x:v>R4-GENERATED-SHAPES-I2-005-IMO-086</x:v>
      </x:c>
      <x:c r="B10" s="48" t="str">
        <x:v>RQ-IMO-086</x:v>
      </x:c>
      <x:c r="C10" s="48" t="str">
        <x:v>IMO-086-FAIL-MISSING-EMERGENCY-POWER</x:v>
      </x:c>
      <x:c r="D10" s="48" t="str">
        <x:v>requirement</x:v>
      </x:c>
      <x:c r="E10" s="48" t="str">
        <x:v>IMO-086</x:v>
      </x:c>
      <x:c r="F10" s="48" t="str">
        <x:v>/Users/sadisfaction570/Desktop/Journal 1/NLTL_v2/MVP/SHACL_GENERATION_PIPELINE/outputs/development_r14/runs/RUN-IMO-086-20260814T125430750237Z/final/final_shape.ttl</x:v>
      </x:c>
      <x:c r="G10" s="48" t="str">
        <x:v>/Users/sadisfaction570/Desktop/Journal 1/NLTL_v2/MVP/INPUTS/RDF_R4_GENERATED_SHAPE_CONFIRMATION/IMO-086/IMO-086_fail_missing_emergency_power.ttl</x:v>
      </x:c>
      <x:c r="H10" s="48" t="str">
        <x:v>7689340153a5a720381f5146e71ca09fc609772fd16a89a358bac42236187218</x:v>
      </x:c>
      <x:c r="I10" s="48" t="str">
        <x:v>3c9d1f8c384384de9529bd288c4a7bda9c980675117e062e2a3c49561870e61b</x:v>
      </x:c>
      <x:c r="J10" s="48" t="str">
        <x:v>TRUE</x:v>
      </x:c>
      <x:c r="K10" s="64" t="str">
        <x:v>FALSE</x:v>
      </x:c>
      <x:c r="L10" s="48" t="str">
        <x:v>TRUE</x:v>
      </x:c>
      <x:c r="M10" s="64" t="str">
        <x:v>FALSE</x:v>
      </x:c>
      <x:c r="N10" s="48" t="str">
        <x:v>TRUE</x:v>
      </x:c>
      <x:c r="O10" s="65" t="n">
        <x:v>42</x:v>
      </x:c>
      <x:c r="P10" s="64" t="n">
        <x:v>491.465</x:v>
      </x:c>
      <x:c r="Q10" s="49" t="str"/>
      <x:c r="R10" s="48" t="str">
        <x:v>Conforms: false | Each non-magnetic heading means must be connected to emergency power.</x:v>
      </x:c>
    </x:row>
    <x:row r="11">
      <x:c r="A11" s="50" t="str">
        <x:v>R4-GENERATED-SHAPES-I2-005-IMO-086</x:v>
      </x:c>
      <x:c r="B11" s="50" t="str">
        <x:v>RQ-IMO-086</x:v>
      </x:c>
      <x:c r="C11" s="50" t="str">
        <x:v>IMO-086-FAIL-NOT-INDEPENDENT</x:v>
      </x:c>
      <x:c r="D11" s="50" t="str">
        <x:v>requirement</x:v>
      </x:c>
      <x:c r="E11" s="50" t="str">
        <x:v>IMO-086</x:v>
      </x:c>
      <x:c r="F11" s="50" t="str">
        <x:v>/Users/sadisfaction570/Desktop/Journal 1/NLTL_v2/MVP/SHACL_GENERATION_PIPELINE/outputs/development_r14/runs/RUN-IMO-086-20260814T125430750237Z/final/final_shape.ttl</x:v>
      </x:c>
      <x:c r="G11" s="50" t="str">
        <x:v>/Users/sadisfaction570/Desktop/Journal 1/NLTL_v2/MVP/INPUTS/RDF_R4_GENERATED_SHAPE_CONFIRMATION/IMO-086/IMO-086_fail_not_independent.ttl</x:v>
      </x:c>
      <x:c r="H11" s="50" t="str">
        <x:v>7689340153a5a720381f5146e71ca09fc609772fd16a89a358bac42236187218</x:v>
      </x:c>
      <x:c r="I11" s="50" t="str">
        <x:v>b0c43c826dd33b326e32adc7380c1c40f526565df9e4bd7652590ddb1b76f64e</x:v>
      </x:c>
      <x:c r="J11" s="50" t="str">
        <x:v>TRUE</x:v>
      </x:c>
      <x:c r="K11" s="66" t="str">
        <x:v>FALSE</x:v>
      </x:c>
      <x:c r="L11" s="50" t="str">
        <x:v>TRUE</x:v>
      </x:c>
      <x:c r="M11" s="66" t="str">
        <x:v>FALSE</x:v>
      </x:c>
      <x:c r="N11" s="50" t="str">
        <x:v>TRUE</x:v>
      </x:c>
      <x:c r="O11" s="67" t="n">
        <x:v>22</x:v>
      </x:c>
      <x:c r="P11" s="66" t="n">
        <x:v>514.362</x:v>
      </x:c>
      <x:c r="Q11" s="51" t="str"/>
      <x:c r="R11" s="50" t="str">
        <x:v>Conforms: false | Each non-magnetic heading means must be independent from another distinct non-magnetic heading means on the same ship.</x:v>
      </x:c>
    </x:row>
  </x:sheetData>
  <x:pageMargins left="0.7" right="0.7" top="0.75" bottom="0.75" header="0.3" footer="0.3"/>
  <x:tableParts count="1">
    <x:tablePart xmlns:r="http://schemas.openxmlformats.org/officeDocument/2006/relationships" r:id="R07390d9111e54e54"/>
  </x:tableParts>
</x:worksheet>
</file>