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tables/table10.xml" ContentType="application/vnd.openxmlformats-officedocument.spreadsheetml.table+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07b366a69fa4ccd" /></Relationships>
</file>

<file path=xl/workbook.xml><?xml version="1.0" encoding="utf-8"?>
<x:workbook xmlns:x="http://schemas.openxmlformats.org/spreadsheetml/2006/main">
  <x:sheets>
    <x:sheet xmlns:r="http://schemas.openxmlformats.org/officeDocument/2006/relationships" name="SUMMARY" sheetId="1" r:id="Rd1dca56c687a493d"/>
    <x:sheet xmlns:r="http://schemas.openxmlformats.org/officeDocument/2006/relationships" name="README" sheetId="2" r:id="R9eb0d6427c354ce2"/>
    <x:sheet xmlns:r="http://schemas.openxmlformats.org/officeDocument/2006/relationships" name="REGULATION_QUEUE" sheetId="3" r:id="Rd4fadc904b914429"/>
    <x:sheet xmlns:r="http://schemas.openxmlformats.org/officeDocument/2006/relationships" name="RUNS" sheetId="4" r:id="R192e3d9583184b85"/>
    <x:sheet xmlns:r="http://schemas.openxmlformats.org/officeDocument/2006/relationships" name="ITERATIONS" sheetId="5" r:id="R341ffc12b9444e3f"/>
    <x:sheet xmlns:r="http://schemas.openxmlformats.org/officeDocument/2006/relationships" name="API_CALLS" sheetId="6" r:id="R277d50d087514737"/>
    <x:sheet xmlns:r="http://schemas.openxmlformats.org/officeDocument/2006/relationships" name="TERM_RETRIEVAL" sheetId="7" r:id="Rb792cf93ac014176"/>
    <x:sheet xmlns:r="http://schemas.openxmlformats.org/officeDocument/2006/relationships" name="FEW_SHOT_SELECTION" sheetId="8" r:id="Rebff4e6f6c984334"/>
    <x:sheet xmlns:r="http://schemas.openxmlformats.org/officeDocument/2006/relationships" name="VALIDATION" sheetId="9" r:id="Rd25ef0c661d94c9e"/>
    <x:sheet xmlns:r="http://schemas.openxmlformats.org/officeDocument/2006/relationships" name="VOCAB_MATCHES" sheetId="10" r:id="R084da92df2c44a9d"/>
    <x:sheet xmlns:r="http://schemas.openxmlformats.org/officeDocument/2006/relationships" name="ARTIFACTS" sheetId="11" r:id="Rea4bd937033f4f4f"/>
    <x:sheet xmlns:r="http://schemas.openxmlformats.org/officeDocument/2006/relationships" name="UNRESOLVED" sheetId="12" r:id="R277fb4440e3e49f7"/>
    <x:sheet xmlns:r="http://schemas.openxmlformats.org/officeDocument/2006/relationships" name="RDF_TEST_QUEUE" sheetId="13" r:id="R8697ab33366a4bf9"/>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48">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c47b2879a444159" /><Relationship Type="http://schemas.openxmlformats.org/officeDocument/2006/relationships/theme" Target="/xl/theme/theme1.xml" Id="R54134ae8d5dd4d99" /><Relationship Type="http://schemas.microsoft.com/office/2022/11/relationships/FeaturePropertyBag" Target="/xl/featurePropertyBag/featurePropertyBag.xml" Id="R4b5ec4596b6042b6" /><Relationship Type="http://schemas.openxmlformats.org/officeDocument/2006/relationships/sharedStrings" Target="/xl/sharedStrings.xml" Id="R2ff487d1889c42ca" /><Relationship Type="http://schemas.openxmlformats.org/officeDocument/2006/relationships/worksheet" Target="/xl/worksheets/sheet1.xml" Id="Rd1dca56c687a493d" /><Relationship Type="http://schemas.openxmlformats.org/officeDocument/2006/relationships/worksheet" Target="/xl/worksheets/sheet2.xml" Id="R9eb0d6427c354ce2" /><Relationship Type="http://schemas.openxmlformats.org/officeDocument/2006/relationships/worksheet" Target="/xl/worksheets/sheet3.xml" Id="Rd4fadc904b914429" /><Relationship Type="http://schemas.openxmlformats.org/officeDocument/2006/relationships/worksheet" Target="/xl/worksheets/sheet4.xml" Id="R192e3d9583184b85" /><Relationship Type="http://schemas.openxmlformats.org/officeDocument/2006/relationships/worksheet" Target="/xl/worksheets/sheet5.xml" Id="R341ffc12b9444e3f" /><Relationship Type="http://schemas.openxmlformats.org/officeDocument/2006/relationships/worksheet" Target="/xl/worksheets/sheet6.xml" Id="R277d50d087514737" /><Relationship Type="http://schemas.openxmlformats.org/officeDocument/2006/relationships/worksheet" Target="/xl/worksheets/sheet7.xml" Id="Rb792cf93ac014176" /><Relationship Type="http://schemas.openxmlformats.org/officeDocument/2006/relationships/worksheet" Target="/xl/worksheets/sheet8.xml" Id="Rebff4e6f6c984334" /><Relationship Type="http://schemas.openxmlformats.org/officeDocument/2006/relationships/worksheet" Target="/xl/worksheets/sheet9.xml" Id="Rd25ef0c661d94c9e" /><Relationship Type="http://schemas.openxmlformats.org/officeDocument/2006/relationships/worksheet" Target="/xl/worksheets/sheet10.xml" Id="R084da92df2c44a9d" /><Relationship Type="http://schemas.openxmlformats.org/officeDocument/2006/relationships/worksheet" Target="/xl/worksheets/sheet11.xml" Id="Rea4bd937033f4f4f" /><Relationship Type="http://schemas.openxmlformats.org/officeDocument/2006/relationships/worksheet" Target="/xl/worksheets/sheet12.xml" Id="R277fb4440e3e49f7" /><Relationship Type="http://schemas.openxmlformats.org/officeDocument/2006/relationships/worksheet" Target="/xl/worksheets/sheet13.xml" Id="R8697ab33366a4bf9"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4"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1_UNRESOLVED" displayName="T11_UNRESOLVED" ref="A4:F5" headerRowCount="1" totalsRowCount="0" totalsRowShown="0">
  <x:tableColumns count="6">
    <x:tableColumn id="1" name="RUN_ID"/>
    <x:tableColumn id="2" name="REQUIREMENT_ID"/>
    <x:tableColumn id="3" name="ITERATION"/>
    <x:tableColumn id="4" name="ISSUE_TYPE"/>
    <x:tableColumn id="5" name="DETAIL"/>
    <x:tableColumn id="6" name="STATU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aa876630040c4060" /></Relationships>
</file>

<file path=xl/worksheets/_rels/sheet3.xml.rels>&#65279;<?xml version="1.0" encoding="utf-8"?><Relationships xmlns="http://schemas.openxmlformats.org/package/2006/relationships"><Relationship Type="http://schemas.openxmlformats.org/officeDocument/2006/relationships/table" Target="/xl/tables/table2.xml" Id="Rd829a4dcef5141bf" /></Relationships>
</file>

<file path=xl/worksheets/_rels/sheet4.xml.rels>&#65279;<?xml version="1.0" encoding="utf-8"?><Relationships xmlns="http://schemas.openxmlformats.org/package/2006/relationships"><Relationship Type="http://schemas.openxmlformats.org/officeDocument/2006/relationships/table" Target="/xl/tables/table3.xml" Id="R599f515d2a1440cc" /></Relationships>
</file>

<file path=xl/worksheets/_rels/sheet5.xml.rels>&#65279;<?xml version="1.0" encoding="utf-8"?><Relationships xmlns="http://schemas.openxmlformats.org/package/2006/relationships"><Relationship Type="http://schemas.openxmlformats.org/officeDocument/2006/relationships/table" Target="/xl/tables/table4.xml" Id="R08698540da62454d" /></Relationships>
</file>

<file path=xl/worksheets/_rels/sheet6.xml.rels>&#65279;<?xml version="1.0" encoding="utf-8"?><Relationships xmlns="http://schemas.openxmlformats.org/package/2006/relationships"><Relationship Type="http://schemas.openxmlformats.org/officeDocument/2006/relationships/table" Target="/xl/tables/table5.xml" Id="R16149a7cd4d5481e" /></Relationships>
</file>

<file path=xl/worksheets/_rels/sheet7.xml.rels>&#65279;<?xml version="1.0" encoding="utf-8"?><Relationships xmlns="http://schemas.openxmlformats.org/package/2006/relationships"><Relationship Type="http://schemas.openxmlformats.org/officeDocument/2006/relationships/table" Target="/xl/tables/table6.xml" Id="R8971656e7e9547d6" /></Relationships>
</file>

<file path=xl/worksheets/_rels/sheet8.xml.rels>&#65279;<?xml version="1.0" encoding="utf-8"?><Relationships xmlns="http://schemas.openxmlformats.org/package/2006/relationships"><Relationship Type="http://schemas.openxmlformats.org/officeDocument/2006/relationships/table" Target="/xl/tables/table7.xml" Id="Rb7069333553a4a97" /></Relationships>
</file>

<file path=xl/worksheets/_rels/sheet9.xml.rels>&#65279;<?xml version="1.0" encoding="utf-8"?><Relationships xmlns="http://schemas.openxmlformats.org/package/2006/relationships"><Relationship Type="http://schemas.openxmlformats.org/officeDocument/2006/relationships/table" Target="/xl/tables/table8.xml" Id="R23aa85944df545dd" /></Relationships>
</file>

<file path=xl/worksheets/_rels/sheet11.xml.rels>&#65279;<?xml version="1.0" encoding="utf-8"?><Relationships xmlns="http://schemas.openxmlformats.org/package/2006/relationships"><Relationship Type="http://schemas.openxmlformats.org/officeDocument/2006/relationships/table" Target="/xl/tables/table9.xml" Id="R881e31560cb5488e" /></Relationships>
</file>

<file path=xl/worksheets/_rels/sheet12.xml.rels>&#65279;<?xml version="1.0" encoding="utf-8"?><Relationships xmlns="http://schemas.openxmlformats.org/package/2006/relationships"><Relationship Type="http://schemas.openxmlformats.org/officeDocument/2006/relationships/table" Target="/xl/tables/table10.xml" Id="R24c124764f9848b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RUN-I2-026-20260819T120053879397Z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238</x:v>
      </x:c>
      <x:c r="C6" s="21"/>
      <x:c r="D6" s="21"/>
    </x:row>
    <x:row r="7">
      <x:c r="A7" s="25" t="str">
        <x:v>Runs represented</x:v>
      </x:c>
      <x:c r="B7" s="26" t="n">
        <x:f>COUNTA('RUNS'!$A$5:$A$5)</x:f>
        <x:v>1</x:v>
      </x:c>
      <x:c r="C7" s="21"/>
      <x:c r="D7" s="21"/>
    </x:row>
    <x:row r="8">
      <x:c r="A8" s="25" t="str">
        <x:v>Accepted runs</x:v>
      </x:c>
      <x:c r="B8" s="26" t="n">
        <x:f>COUNTIF('RUNS'!$I$5:$I$5,"GENERATION_ACCEPTED")</x:f>
        <x:v>0</x:v>
      </x:c>
      <x:c r="C8" s="21"/>
      <x:c r="D8" s="21"/>
    </x:row>
    <x:row r="9">
      <x:c r="A9" s="25" t="str">
        <x:v>API/LLM records</x:v>
      </x:c>
      <x:c r="B9" s="26" t="n">
        <x:f>COUNTA('API_CALLS'!$A$5:$A$16)</x:f>
        <x:v>12</x:v>
      </x:c>
      <x:c r="C9" s="21"/>
      <x:c r="D9" s="21"/>
    </x:row>
    <x:row r="10">
      <x:c r="A10" s="27" t="str">
        <x:v>Mean API/LLM elapsed ms</x:v>
      </x:c>
      <x:c r="B10" s="28" t="n">
        <x:f>IFERROR(AVERAGE('API_CALLS'!$K$5:$K$16),0)</x:f>
        <x:v>38099.15458333333</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RUN-I2-026-20260819T120053879397Z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aa876630040c4060"/>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12" hidden="0" customWidth="1"/>
    <x:col min="9" max="9" width="18" hidden="0" customWidth="1"/>
    <x:col min="10" max="10" width="19" hidden="0" customWidth="1"/>
    <x:col min="11" max="11" width="22" hidden="0" customWidth="1"/>
  </x:cols>
  <x:sheetData>
    <x:row r="1">
      <x:c r="A1" s="18" t="str">
        <x:v>NLTL SHACL Pipeline Run Tracker</x:v>
      </x:c>
      <x:c r="B1" s="19"/>
      <x:c r="C1" s="19"/>
      <x:c r="D1" s="19"/>
      <x:c r="E1" s="19"/>
      <x:c r="F1" s="19"/>
      <x:c r="G1" s="19"/>
      <x:c r="H1" s="19"/>
      <x:c r="I1" s="19"/>
      <x:c r="J1" s="19"/>
      <x:c r="K1" s="19"/>
    </x:row>
    <x:row r="2">
      <x:c r="A2" s="20" t="str">
        <x:v>REGULATION_QUEUE | Run folder: RUN-I2-026-20260819T120053879397Z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Stage 2 candidate - direct/deterministic</x:v>
      </x:c>
      <x:c r="H6" s="47" t="str">
        <x:v>High</x:v>
      </x:c>
      <x:c r="I6" s="47" t="str">
        <x:v>No</x:v>
      </x:c>
      <x:c r="J6" s="47" t="str">
        <x:v>ELIGIBLE</x:v>
      </x:c>
      <x:c r="K6" s="47" t="str">
        <x:v>NOT_RUN</x:v>
      </x:c>
    </x:row>
    <x:row r="7">
      <x:c r="A7" s="47" t="str">
        <x:v>I2-003</x:v>
      </x:c>
      <x:c r="B7" s="48" t="str">
        <x:v>UR I2 Structural Requirements for Polar Class Ships</x:v>
      </x:c>
      <x:c r="C7" s="47" t="str">
        <x:v>Rev.4 Dec 2019</x:v>
      </x:c>
      <x:c r="D7" s="59" t="n">
        <x:v>1</x:v>
      </x:c>
      <x:c r="E7" s="47" t="str">
        <x:v>I2.1.2.1</x:v>
      </x:c>
      <x:c r="F7" s="47" t="str">
        <x:v>Complex</x:v>
      </x:c>
      <x:c r="G7" s="48" t="str">
        <x:v>Deferred - composite/evidence workflow review</x:v>
      </x:c>
      <x:c r="H7" s="47" t="str">
        <x:v>Medium</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Static Calculation</x:v>
      </x:c>
      <x:c r="G11" s="48" t="str">
        <x:v>Deferred - non-self-contained umbrella requirement</x:v>
      </x:c>
      <x:c r="H11" s="47" t="str">
        <x:v>Deferred</x:v>
      </x:c>
      <x:c r="I11" s="47" t="str">
        <x:v>No</x:v>
      </x:c>
      <x:c r="J11" s="47" t="str">
        <x:v>DEFERRED</x:v>
      </x:c>
      <x:c r="K11" s="47" t="str">
        <x:v>NOT_RUN</x:v>
      </x:c>
    </x:row>
    <x:row r="12">
      <x:c r="A12" s="47" t="str">
        <x:v>I2-009</x:v>
      </x:c>
      <x:c r="B12" s="48" t="str">
        <x:v>UR I2 Structural Requirements for Polar Class Ships</x:v>
      </x:c>
      <x:c r="C12" s="47" t="str">
        <x:v>Rev.4 Dec 2019</x:v>
      </x:c>
      <x:c r="D12" s="59" t="n">
        <x:v>3</x:v>
      </x:c>
      <x:c r="E12" s="47" t="str">
        <x:v>I2.3.1</x:v>
      </x:c>
      <x:c r="F12" s="47" t="str">
        <x:v>Static Calculation</x:v>
      </x:c>
      <x:c r="G12" s="48" t="str">
        <x:v>Stage 2 candidate - direct/deterministic</x:v>
      </x:c>
      <x:c r="H12" s="47" t="str">
        <x:v>High</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 Calculation</x:v>
      </x:c>
      <x:c r="G13" s="48" t="str">
        <x:v>Stage 2 candidate - direct/deterministic</x:v>
      </x:c>
      <x:c r="H13" s="47" t="str">
        <x:v>High</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Static</x:v>
      </x:c>
      <x:c r="G15" s="48" t="str">
        <x:v>Stage 2 candidate - direct/deterministic</x:v>
      </x:c>
      <x:c r="H15" s="47" t="str">
        <x:v>Medium</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Static Calculation</x:v>
      </x:c>
      <x:c r="G17" s="48" t="str">
        <x:v>Stage 2 candidate - direct/deterministic</x:v>
      </x:c>
      <x:c r="H17" s="47" t="str">
        <x:v>High</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Static Calculation</x:v>
      </x:c>
      <x:c r="G18" s="48" t="str">
        <x:v>Stage 2 candidate - direct/deterministic</x:v>
      </x:c>
      <x:c r="H18" s="47" t="str">
        <x:v>High</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Static Calculation</x:v>
      </x:c>
      <x:c r="G22" s="48" t="str">
        <x:v>Stage 2 candidate - direct/deterministic</x:v>
      </x:c>
      <x:c r="H22" s="47" t="str">
        <x:v>High</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Static Calculation</x:v>
      </x:c>
      <x:c r="G23" s="48" t="str">
        <x:v>Stage 2 candidate - direct/deterministic</x:v>
      </x:c>
      <x:c r="H23" s="47" t="str">
        <x:v>Medium</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Static Calculation</x:v>
      </x:c>
      <x:c r="G24" s="48" t="str">
        <x:v>Stage 2 candidate - direct/deterministic</x:v>
      </x:c>
      <x:c r="H24" s="47" t="str">
        <x:v>High</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MAX_ATTEMPTS_REACHED</x:v>
      </x:c>
    </x:row>
    <x:row r="26">
      <x:c r="A26" s="47" t="str">
        <x:v>I2-029</x:v>
      </x:c>
      <x:c r="B26" s="48" t="str">
        <x:v>UR I2 Structural Requirements for Polar Class Ships</x:v>
      </x:c>
      <x:c r="C26" s="47" t="str">
        <x:v>Rev.4 Dec 2019</x:v>
      </x:c>
      <x:c r="D26" s="59" t="n">
        <x:v>10</x:v>
      </x:c>
      <x:c r="E26" s="47" t="str">
        <x:v>I2.5.6</x:v>
      </x:c>
      <x:c r="F26" s="47" t="str">
        <x:v>Static Calculation</x:v>
      </x:c>
      <x:c r="G26" s="48" t="str">
        <x:v>Stage 2 candidate - direct/deterministic</x:v>
      </x:c>
      <x:c r="H26" s="47" t="str">
        <x:v>Medium</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Static Calculation</x:v>
      </x:c>
      <x:c r="G27" s="48" t="str">
        <x:v>Stage 2 candidate - direct/deterministic</x:v>
      </x:c>
      <x:c r="H27" s="47" t="str">
        <x:v>Medium</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Static Calculation</x:v>
      </x:c>
      <x:c r="G33" s="48" t="str">
        <x:v>Stage 2 candidate - direct/deterministic</x:v>
      </x:c>
      <x:c r="H33" s="47" t="str">
        <x:v>Medium</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Static Calculation</x:v>
      </x:c>
      <x:c r="G34" s="48" t="str">
        <x:v>Stage 2 candidate - direct/deterministic</x:v>
      </x:c>
      <x:c r="H34" s="47" t="str">
        <x:v>Medium</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Static Calculation</x:v>
      </x:c>
      <x:c r="G36" s="48" t="str">
        <x:v>Stage 2 candidate - direct/deterministic</x:v>
      </x:c>
      <x:c r="H36" s="47" t="str">
        <x:v>Medium</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 Calculation</x:v>
      </x:c>
      <x:c r="G39" s="48" t="str">
        <x:v>Stage 2 candidate - direct/deterministic</x:v>
      </x:c>
      <x:c r="H39" s="47" t="str">
        <x:v>Medium</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Static Calculation</x:v>
      </x:c>
      <x:c r="G40" s="48" t="str">
        <x:v>Stage 2 candidate - direct/deterministic</x:v>
      </x:c>
      <x:c r="H40" s="47" t="str">
        <x:v>High</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Static</x:v>
      </x:c>
      <x:c r="G42" s="48" t="str">
        <x:v>Stage 2 candidate - direct/deterministic</x:v>
      </x:c>
      <x:c r="H42" s="47" t="str">
        <x:v>High</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Static Calculation</x:v>
      </x:c>
      <x:c r="G43" s="48" t="str">
        <x:v>Deferred - missing normative companion method</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Static Calculation</x:v>
      </x:c>
      <x:c r="G44" s="48" t="str">
        <x:v>Stage 2 candidate - direct/deterministic</x:v>
      </x:c>
      <x:c r="H44" s="47" t="str">
        <x:v>High</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 Calculation</x:v>
      </x:c>
      <x:c r="G45" s="48" t="str">
        <x:v>Stage 2 candidate - direct/deterministic</x:v>
      </x:c>
      <x:c r="H45" s="47" t="str">
        <x:v>Medium</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Static</x:v>
      </x:c>
      <x:c r="G48" s="48" t="str">
        <x:v>Stage 2 candidate - direct/deterministic</x:v>
      </x:c>
      <x:c r="H48" s="47" t="str">
        <x:v>High</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Static Calculation</x:v>
      </x:c>
      <x:c r="G49" s="48" t="str">
        <x:v>Stage 2 candidate - direct/deterministic</x:v>
      </x:c>
      <x:c r="H49" s="47" t="str">
        <x:v>High</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Static Calculation</x:v>
      </x:c>
      <x:c r="G50" s="48" t="str">
        <x:v>Stage 2 candidate - direct/deterministic</x:v>
      </x:c>
      <x:c r="H50" s="47" t="str">
        <x:v>Medium</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Static Calculation</x:v>
      </x:c>
      <x:c r="G63" s="48" t="str">
        <x:v>Stage 2 candidate - direct/deterministic</x:v>
      </x:c>
      <x:c r="H63" s="47" t="str">
        <x:v>High</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Complex</x:v>
      </x:c>
      <x:c r="G70" s="48" t="str">
        <x:v>Deferred - composite/evidence workflow review</x:v>
      </x:c>
      <x:c r="H70" s="47" t="str">
        <x:v>Medium</x:v>
      </x:c>
      <x:c r="I70" s="47" t="str">
        <x:v>No</x:v>
      </x:c>
      <x:c r="J70" s="47" t="str">
        <x:v>DEFERRED</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Complex</x:v>
      </x:c>
      <x:c r="G73" s="48" t="str">
        <x:v>Deferred - composite/evidence workflow review</x:v>
      </x:c>
      <x:c r="H73" s="47" t="str">
        <x:v>Medium</x:v>
      </x:c>
      <x:c r="I73" s="47" t="str">
        <x:v>No</x:v>
      </x:c>
      <x:c r="J73" s="47" t="str">
        <x:v>DEFERRED</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Complex</x:v>
      </x:c>
      <x:c r="G79" s="48" t="str">
        <x:v>Deferred - composite/evidence workflow review</x:v>
      </x:c>
      <x:c r="H79" s="47" t="str">
        <x:v>Medium</x:v>
      </x:c>
      <x:c r="I79" s="47" t="str">
        <x:v>No</x:v>
      </x:c>
      <x:c r="J79" s="47" t="str">
        <x:v>DEFERRED</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Complex</x:v>
      </x:c>
      <x:c r="G80" s="48" t="str">
        <x:v>Deferred - composite/evidence workflow review</x:v>
      </x:c>
      <x:c r="H80" s="47" t="str">
        <x:v>Medium</x:v>
      </x:c>
      <x:c r="I80" s="47" t="str">
        <x:v>No</x:v>
      </x:c>
      <x:c r="J80" s="47" t="str">
        <x:v>DEFERRED</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Complex</x:v>
      </x:c>
      <x:c r="G82" s="48" t="str">
        <x:v>Deferred - composite/evidence workflow review</x:v>
      </x:c>
      <x:c r="H82" s="47" t="str">
        <x:v>Medium</x:v>
      </x:c>
      <x:c r="I82" s="47" t="str">
        <x:v>No</x:v>
      </x:c>
      <x:c r="J82" s="47" t="str">
        <x:v>DEFERRED</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Complex</x:v>
      </x:c>
      <x:c r="G83" s="48" t="str">
        <x:v>Deferred - composite/evidence workflow review</x:v>
      </x:c>
      <x:c r="H83" s="47" t="str">
        <x:v>Medium</x:v>
      </x:c>
      <x:c r="I83" s="47" t="str">
        <x:v>No</x:v>
      </x:c>
      <x:c r="J83" s="47" t="str">
        <x:v>DEFERRED</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Complex</x:v>
      </x:c>
      <x:c r="G84" s="48" t="str">
        <x:v>Deferred - composite/evidence workflow review</x:v>
      </x:c>
      <x:c r="H84" s="47" t="str">
        <x:v>Medium</x:v>
      </x:c>
      <x:c r="I84" s="47" t="str">
        <x:v>No</x:v>
      </x:c>
      <x:c r="J84" s="47" t="str">
        <x:v>DEFERRED</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Complex</x:v>
      </x:c>
      <x:c r="G86" s="48" t="str">
        <x:v>Deferred - composite/evidence workflow review</x:v>
      </x:c>
      <x:c r="H86" s="47" t="str">
        <x:v>Medium</x:v>
      </x:c>
      <x:c r="I86" s="47" t="str">
        <x:v>No</x:v>
      </x:c>
      <x:c r="J86" s="47" t="str">
        <x:v>DEFERRED</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Static Calculation</x:v>
      </x:c>
      <x:c r="G89" s="48" t="str">
        <x:v>Stage 2 candidate - direct/deterministic</x:v>
      </x:c>
      <x:c r="H89" s="47" t="str">
        <x:v>High</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Complex</x:v>
      </x:c>
      <x:c r="G100" s="48" t="str">
        <x:v>Deferred - composite/evidence workflow review</x:v>
      </x:c>
      <x:c r="H100" s="47" t="str">
        <x:v>Medium</x:v>
      </x:c>
      <x:c r="I100" s="47" t="str">
        <x:v>No</x:v>
      </x:c>
      <x:c r="J100" s="47" t="str">
        <x:v>DEFERRED</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Complex</x:v>
      </x:c>
      <x:c r="G101" s="48" t="str">
        <x:v>Deferred - composite/evidence workflow review</x:v>
      </x:c>
      <x:c r="H101" s="47" t="str">
        <x:v>Medium</x:v>
      </x:c>
      <x:c r="I101" s="47" t="str">
        <x:v>No</x:v>
      </x:c>
      <x:c r="J101" s="47" t="str">
        <x:v>DEFERRED</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Complex</x:v>
      </x:c>
      <x:c r="G117" s="48" t="str">
        <x:v>Deferred - composite/evidence workflow review</x:v>
      </x:c>
      <x:c r="H117" s="47" t="str">
        <x:v>Medium</x:v>
      </x:c>
      <x:c r="I117" s="47" t="str">
        <x:v>No</x:v>
      </x:c>
      <x:c r="J117" s="47" t="str">
        <x:v>DEFERRED</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Complex</x:v>
      </x:c>
      <x:c r="G120" s="48" t="str">
        <x:v>Deferred - composite/evidence workflow review</x:v>
      </x:c>
      <x:c r="H120" s="47" t="str">
        <x:v>Medium</x:v>
      </x:c>
      <x:c r="I120" s="47" t="str">
        <x:v>No</x:v>
      </x:c>
      <x:c r="J120" s="47" t="str">
        <x:v>DEFERRED</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Complex</x:v>
      </x:c>
      <x:c r="G151" s="48" t="str">
        <x:v>Deferred - composite/evidence workflow review</x:v>
      </x:c>
      <x:c r="H151" s="47" t="str">
        <x:v>Medium</x:v>
      </x:c>
      <x:c r="I151" s="47" t="str">
        <x:v>No</x:v>
      </x:c>
      <x:c r="J151" s="47" t="str">
        <x:v>DEFERRED</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Complex</x:v>
      </x:c>
      <x:c r="G152" s="48" t="str">
        <x:v>Deferred - composite/evidence workflow review</x:v>
      </x:c>
      <x:c r="H152" s="47" t="str">
        <x:v>Medium</x:v>
      </x:c>
      <x:c r="I152" s="47" t="str">
        <x:v>No</x:v>
      </x:c>
      <x:c r="J152" s="47" t="str">
        <x:v>DEFERRED</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Complex</x:v>
      </x:c>
      <x:c r="G153" s="48" t="str">
        <x:v>Deferred - composite/evidence workflow review</x:v>
      </x:c>
      <x:c r="H153" s="47" t="str">
        <x:v>Medium</x:v>
      </x:c>
      <x:c r="I153" s="47" t="str">
        <x:v>No</x:v>
      </x:c>
      <x:c r="J153" s="47" t="str">
        <x:v>DEFERRED</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Complex</x:v>
      </x:c>
      <x:c r="G155" s="48" t="str">
        <x:v>Deferred - composite/evidence workflow review</x:v>
      </x:c>
      <x:c r="H155" s="47" t="str">
        <x:v>Medium</x:v>
      </x:c>
      <x:c r="I155" s="47" t="str">
        <x:v>No</x:v>
      </x:c>
      <x:c r="J155" s="47" t="str">
        <x:v>DEFERRED</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 Calculation</x:v>
      </x:c>
      <x:c r="G160" s="48" t="str">
        <x:v>Stage 2 candidate - direct/deterministic</x:v>
      </x:c>
      <x:c r="H160" s="47" t="str">
        <x:v>High</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 Calculation</x:v>
      </x:c>
      <x:c r="G161" s="48" t="str">
        <x:v>Stage 2 candidate - direct/deterministic</x:v>
      </x:c>
      <x:c r="H161" s="47" t="str">
        <x:v>High</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Complex</x:v>
      </x:c>
      <x:c r="G162" s="48" t="str">
        <x:v>Deferred - composite/evidence workflow review</x:v>
      </x:c>
      <x:c r="H162" s="47" t="str">
        <x:v>Medium</x:v>
      </x:c>
      <x:c r="I162" s="47" t="str">
        <x:v>No</x:v>
      </x:c>
      <x:c r="J162" s="47" t="str">
        <x:v>DEFERRED</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 Calculation</x:v>
      </x:c>
      <x:c r="G163" s="48" t="str">
        <x:v>Stage 2 candidate - direct/deterministic</x:v>
      </x:c>
      <x:c r="H163" s="47" t="str">
        <x:v>High</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Complex</x:v>
      </x:c>
      <x:c r="G166" s="48" t="str">
        <x:v>Deferred - composite/evidence workflow review</x:v>
      </x:c>
      <x:c r="H166" s="47" t="str">
        <x:v>Medium</x:v>
      </x:c>
      <x:c r="I166" s="47" t="str">
        <x:v>No</x:v>
      </x:c>
      <x:c r="J166" s="47" t="str">
        <x:v>DEFERRED</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 Calculation</x:v>
      </x:c>
      <x:c r="G167" s="48" t="str">
        <x:v>Stage 2 candidate - direct/deterministic</x:v>
      </x:c>
      <x:c r="H167" s="47" t="str">
        <x:v>High</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 Calculation</x:v>
      </x:c>
      <x:c r="G168" s="48" t="str">
        <x:v>Stage 2 candidate - direct/deterministic</x:v>
      </x:c>
      <x:c r="H168" s="47" t="str">
        <x:v>High</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Complex</x:v>
      </x:c>
      <x:c r="G169" s="48" t="str">
        <x:v>Deferred - composite/evidence workflow review</x:v>
      </x:c>
      <x:c r="H169" s="47" t="str">
        <x:v>Medium</x:v>
      </x:c>
      <x:c r="I169" s="47" t="str">
        <x:v>No</x:v>
      </x:c>
      <x:c r="J169" s="47" t="str">
        <x:v>DEFERRED</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Complex</x:v>
      </x:c>
      <x:c r="G171" s="48" t="str">
        <x:v>Deferred - composite/evidence workflow review</x:v>
      </x:c>
      <x:c r="H171" s="47" t="str">
        <x:v>Medium</x:v>
      </x:c>
      <x:c r="I171" s="47" t="str">
        <x:v>No</x:v>
      </x:c>
      <x:c r="J171" s="47" t="str">
        <x:v>DEFERRED</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 Calculation</x:v>
      </x:c>
      <x:c r="G172" s="48" t="str">
        <x:v>Stage 2 candidate - direct/deterministic</x:v>
      </x:c>
      <x:c r="H172" s="47" t="str">
        <x:v>High</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Complex</x:v>
      </x:c>
      <x:c r="G175" s="48" t="str">
        <x:v>Deferred - composite/evidence workflow review</x:v>
      </x:c>
      <x:c r="H175" s="47" t="str">
        <x:v>Medium</x:v>
      </x:c>
      <x:c r="I175" s="47" t="str">
        <x:v>No</x:v>
      </x:c>
      <x:c r="J175" s="47" t="str">
        <x:v>DEFERRED</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 Calculation</x:v>
      </x:c>
      <x:c r="G176" s="48" t="str">
        <x:v>Stage 2 candidate - direct/deterministic</x:v>
      </x:c>
      <x:c r="H176" s="47" t="str">
        <x:v>High</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Complex</x:v>
      </x:c>
      <x:c r="G184" s="48" t="str">
        <x:v>Deferred - composite/evidence workflow review</x:v>
      </x:c>
      <x:c r="H184" s="47" t="str">
        <x:v>High</x:v>
      </x:c>
      <x:c r="I184" s="47" t="str">
        <x:v>No</x:v>
      </x:c>
      <x:c r="J184" s="47" t="str">
        <x:v>DEFERRED</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Complex</x:v>
      </x:c>
      <x:c r="G185" s="48" t="str">
        <x:v>Deferred - composite/evidence workflow review</x:v>
      </x:c>
      <x:c r="H185" s="47" t="str">
        <x:v>Medium</x:v>
      </x:c>
      <x:c r="I185" s="47" t="str">
        <x:v>No</x:v>
      </x:c>
      <x:c r="J185" s="47" t="str">
        <x:v>DEFERRED</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Complex</x:v>
      </x:c>
      <x:c r="G188" s="48" t="str">
        <x:v>Deferred - composite/evidence workflow review</x:v>
      </x:c>
      <x:c r="H188" s="47" t="str">
        <x:v>High</x:v>
      </x:c>
      <x:c r="I188" s="47" t="str">
        <x:v>No</x:v>
      </x:c>
      <x:c r="J188" s="47" t="str">
        <x:v>DEFERRED</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Complex</x:v>
      </x:c>
      <x:c r="G194" s="48" t="str">
        <x:v>Deferred - composite/evidence workflow review</x:v>
      </x:c>
      <x:c r="H194" s="47" t="str">
        <x:v>Medium</x:v>
      </x:c>
      <x:c r="I194" s="47" t="str">
        <x:v>No</x:v>
      </x:c>
      <x:c r="J194" s="47" t="str">
        <x:v>DEFERRED</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Complex</x:v>
      </x:c>
      <x:c r="G195" s="48" t="str">
        <x:v>Deferred - composite/evidence workflow review</x:v>
      </x:c>
      <x:c r="H195" s="47" t="str">
        <x:v>Medium</x:v>
      </x:c>
      <x:c r="I195" s="47" t="str">
        <x:v>No</x:v>
      </x:c>
      <x:c r="J195" s="47" t="str">
        <x:v>DEFERRED</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Static</x:v>
      </x:c>
      <x:c r="G206" s="48" t="str">
        <x:v>Stage 2 candidate - direct/deterministic</x:v>
      </x:c>
      <x:c r="H206" s="47" t="str">
        <x:v>High</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Static Calculation</x:v>
      </x:c>
      <x:c r="G213" s="48" t="str">
        <x:v>Stage 2 candidate - direct/deterministic</x:v>
      </x:c>
      <x:c r="H213" s="47" t="str">
        <x:v>Medium</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Static Calculation</x:v>
      </x:c>
      <x:c r="G214" s="48" t="str">
        <x:v>Stage 2 candidate - direct/deterministic</x:v>
      </x:c>
      <x:c r="H214" s="47" t="str">
        <x:v>Medium</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Static Calculation</x:v>
      </x:c>
      <x:c r="G217" s="48" t="str">
        <x:v>Stage 2 candidate - direct/deterministic</x:v>
      </x:c>
      <x:c r="H217" s="47" t="str">
        <x:v>High</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Static Calculation</x:v>
      </x:c>
      <x:c r="G218" s="48" t="str">
        <x:v>Stage 2 candidate - direct/deterministic</x:v>
      </x:c>
      <x:c r="H218" s="47" t="str">
        <x:v>High</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Physical Test</x:v>
      </x:c>
      <x:c r="G220" s="48" t="str">
        <x:v>Evidence-only - physical result not inferred by SHACL</x:v>
      </x:c>
      <x:c r="H220" s="47" t="str">
        <x:v>Medium</x:v>
      </x:c>
      <x:c r="I220" s="47" t="str">
        <x:v>No</x:v>
      </x:c>
      <x:c r="J220" s="47" t="str">
        <x:v>DEFERRED</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Complex</x:v>
      </x:c>
      <x:c r="G221" s="48" t="str">
        <x:v>Deferred - composite/evidence workflow review</x:v>
      </x:c>
      <x:c r="H221" s="47" t="str">
        <x:v>Medium</x:v>
      </x:c>
      <x:c r="I221" s="47" t="str">
        <x:v>No</x:v>
      </x:c>
      <x:c r="J221" s="47" t="str">
        <x:v>DEFERRED</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Static Calculation</x:v>
      </x:c>
      <x:c r="G222" s="48" t="str">
        <x:v>Stage 2 candidate - direct/deterministic</x:v>
      </x:c>
      <x:c r="H222" s="47" t="str">
        <x:v>High</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Static Calculation</x:v>
      </x:c>
      <x:c r="G225" s="48" t="str">
        <x:v>Stage 2 candidate - direct/deterministic</x:v>
      </x:c>
      <x:c r="H225" s="47" t="str">
        <x:v>Medium</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 Calculation</x:v>
      </x:c>
      <x:c r="G227" s="48" t="str">
        <x:v>Stage 2 candidate - direct/deterministic</x:v>
      </x:c>
      <x:c r="H227" s="47" t="str">
        <x:v>Medium</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Complex</x:v>
      </x:c>
      <x:c r="G229" s="48" t="str">
        <x:v>Deferred - composite/evidence workflow review</x:v>
      </x:c>
      <x:c r="H229" s="47" t="str">
        <x:v>Medium</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Complex</x:v>
      </x:c>
      <x:c r="G230" s="48" t="str">
        <x:v>Deferred - composite/evidence workflow review</x:v>
      </x:c>
      <x:c r="H230" s="47" t="str">
        <x:v>Medium</x:v>
      </x:c>
      <x:c r="I230" s="47" t="str">
        <x:v>No</x:v>
      </x:c>
      <x:c r="J230" s="47" t="str">
        <x:v>DEFERRED</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Static Calculation</x:v>
      </x:c>
      <x:c r="G231" s="48" t="str">
        <x:v>Stage 2 candidate - direct/deterministic</x:v>
      </x:c>
      <x:c r="H231" s="47" t="str">
        <x:v>High</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 Calculation</x:v>
      </x:c>
      <x:c r="G239" s="48" t="str">
        <x:v>Stage 2 candidate - direct/deterministic</x:v>
      </x:c>
      <x:c r="H239" s="47" t="str">
        <x:v>High</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Static Calculation</x:v>
      </x:c>
      <x:c r="G241" s="48" t="str">
        <x:v>Stage 2 candidate - direct/deterministic</x:v>
      </x:c>
      <x:c r="H241" s="47" t="str">
        <x:v>Medium</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 Calculation</x:v>
      </x:c>
      <x:c r="G245" s="48" t="str">
        <x:v>Stage 2 candidate - direct/deterministic</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 Calculation</x:v>
      </x:c>
      <x:c r="G246" s="48" t="str">
        <x:v>Stage 2 candidate - direct/deterministic</x:v>
      </x:c>
      <x:c r="H246" s="47" t="str">
        <x:v>High</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Static Calculation</x:v>
      </x:c>
      <x:c r="G250" s="48" t="str">
        <x:v>Stage 2 candidate - direct/deterministic</x:v>
      </x:c>
      <x:c r="H250" s="47" t="str">
        <x:v>Medium</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Static Calculation</x:v>
      </x:c>
      <x:c r="G260" s="48" t="str">
        <x:v>Stage 2 candidate - direct/deterministic</x:v>
      </x:c>
      <x:c r="H260" s="47" t="str">
        <x:v>High</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Complex</x:v>
      </x:c>
      <x:c r="G264" s="48" t="str">
        <x:v>Deferred - composite/evidence workflow review</x:v>
      </x:c>
      <x:c r="H264" s="47" t="str">
        <x:v>Medium</x:v>
      </x:c>
      <x:c r="I264" s="47" t="str">
        <x:v>No</x:v>
      </x:c>
      <x:c r="J264" s="47" t="str">
        <x:v>DEFERRED</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 Calculation</x:v>
      </x:c>
      <x:c r="G266" s="48" t="str">
        <x:v>Stage 2 candidate - direct/deterministic</x:v>
      </x:c>
      <x:c r="H266" s="47" t="str">
        <x:v>High</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x:v>
      </x:c>
      <x:c r="G269" s="48" t="str">
        <x:v>Stage 2 candidate - direct/deterministic</x:v>
      </x:c>
      <x:c r="H269" s="47" t="str">
        <x:v>High</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x:v>
      </x:c>
      <x:c r="G273" s="48" t="str">
        <x:v>Stage 2 candidate - direct/deterministic</x:v>
      </x:c>
      <x:c r="H273" s="47" t="str">
        <x:v>High</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x:v>
      </x:c>
      <x:c r="G275" s="48" t="str">
        <x:v>Stage 2 candidate - direct/deterministic</x:v>
      </x:c>
      <x:c r="H275" s="47" t="str">
        <x:v>High</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 Calculation</x:v>
      </x:c>
      <x:c r="G277" s="48" t="str">
        <x:v>Stage 2 candidate - direct/deterministic</x:v>
      </x:c>
      <x:c r="H277" s="47" t="str">
        <x:v>Medium</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Complex</x:v>
      </x:c>
      <x:c r="G281" s="48" t="str">
        <x:v>Deferred - composite/evidence workflow review</x:v>
      </x:c>
      <x:c r="H281" s="47" t="str">
        <x:v>Medium</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Static Calculation</x:v>
      </x:c>
      <x:c r="G285" s="48" t="str">
        <x:v>Stage 2 candidate - direct/deterministic</x:v>
      </x:c>
      <x:c r="H285" s="47" t="str">
        <x:v>High</x:v>
      </x:c>
      <x:c r="I285" s="47" t="str">
        <x:v>No</x:v>
      </x:c>
      <x:c r="J285" s="47" t="str">
        <x:v>ELIGIBLE</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Complex</x:v>
      </x:c>
      <x:c r="G292" s="48" t="str">
        <x:v>Deferred - composite/evidence workflow review</x:v>
      </x:c>
      <x:c r="H292" s="47" t="str">
        <x:v>Medium</x:v>
      </x:c>
      <x:c r="I292" s="47" t="str">
        <x:v>No</x:v>
      </x:c>
      <x:c r="J292" s="47" t="str">
        <x:v>DEFERRED</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Static Calculation</x:v>
      </x:c>
      <x:c r="G299" s="48" t="str">
        <x:v>Stage 2 candidate - direct/deterministic</x:v>
      </x:c>
      <x:c r="H299" s="47" t="str">
        <x:v>High</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Static Calculation</x:v>
      </x:c>
      <x:c r="G300" s="48" t="str">
        <x:v>Stage 2 candidate - direct/deterministic</x:v>
      </x:c>
      <x:c r="H300" s="47" t="str">
        <x:v>High</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Static</x:v>
      </x:c>
      <x:c r="G302" s="48" t="str">
        <x:v>Stage 2 candidate - direct/deterministic</x:v>
      </x:c>
      <x:c r="H302" s="47" t="str">
        <x:v>Medium</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Static Calculation</x:v>
      </x:c>
      <x:c r="G303" s="48" t="str">
        <x:v>Stage 2 candidate - direct/deterministic</x:v>
      </x:c>
      <x:c r="H303" s="47" t="str">
        <x:v>High</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Static Calculation</x:v>
      </x:c>
      <x:c r="G304" s="48" t="str">
        <x:v>Stage 2 candidate - direct/deterministic</x:v>
      </x:c>
      <x:c r="H304" s="47" t="str">
        <x:v>High</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Static Calculation</x:v>
      </x:c>
      <x:c r="G308" s="48" t="str">
        <x:v>Stage 2 candidate - direct/deterministic</x:v>
      </x:c>
      <x:c r="H308" s="47" t="str">
        <x:v>Medium</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 Calculation</x:v>
      </x:c>
      <x:c r="G312" s="48" t="str">
        <x:v>Stage 2 candidate - direct/deterministic</x:v>
      </x:c>
      <x:c r="H312" s="47" t="str">
        <x:v>High</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x:v>
      </x:c>
      <x:c r="G314" s="48" t="str">
        <x:v>Stage 2 candidate - direct/deterministic</x:v>
      </x:c>
      <x:c r="H314" s="47" t="str">
        <x:v>High</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d829a4dcef5141bf"/>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4" hidden="0" customWidth="1"/>
    <x:col min="7" max="7" width="24" hidden="0" customWidth="1"/>
    <x:col min="8" max="8" width="11" hidden="0" customWidth="1"/>
    <x:col min="9" max="9" width="22" hidden="0" customWidth="1"/>
    <x:col min="10" max="10" width="11" hidden="0" customWidth="1"/>
    <x:col min="11" max="11" width="1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RUN-I2-026-20260819T120053879397Z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SESSION-BATCH-20260819T120031426362Z</x:v>
      </x:c>
      <x:c r="B5" s="69" t="str">
        <x:v>RUN-I2-026-20260819T120053879397Z</x:v>
      </x:c>
      <x:c r="C5" s="69" t="str">
        <x:v>I2-026</x:v>
      </x:c>
      <x:c r="D5" s="70" t="n">
        <x:v>46253.50062362268</x:v>
      </x:c>
      <x:c r="E5" s="70" t="n">
        <x:v>46253.50327707176</x:v>
      </x:c>
      <x:c r="F5" s="69" t="str">
        <x:v>1.1.0-development-r5-terra-hard-calibration-01</x:v>
      </x:c>
      <x:c r="G5" s="69" t="str">
        <x:v>VOCAB-LOCK-2026-08-19-R5</x:v>
      </x:c>
      <x:c r="H5" s="71" t="n">
        <x:v>3</x:v>
      </x:c>
      <x:c r="I5" s="69" t="str">
        <x:v>MAX_ATTEMPTS_REACHED</x:v>
      </x:c>
      <x:c r="J5" s="72" t="b">
        <x:v>0</x:v>
      </x:c>
      <x:c r="K5" s="69" t="str"/>
      <x:c r="L5" s="73" t="str">
        <x:v>Do not let the simple-support branch pass merely because continuity, ice-area termination, or rotational-restraint demonstration data are absent. Use the supplied nltl:demonstratedRotationalRestraint on the relevant nltl:memberSupport: the rotational-restraint fixed-support alternative must require demonstratedRotationalRestraint true together with significantRotationalRestraintEvidence, while the simple-support alternative must require explicit false values for connectionBracketPresent and demonstratedRotationalRestraint and explicit false values for continuousThroughSupport and terminatesWithinIceStrengthenedArea. Replace the absence-based sh:not logic accordingly; the required canonical term is already supplied, so no matcher is needed.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599f515d2a1440cc"/>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RUN-I2-026-20260819T120053879397Z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RUN-I2-026-20260819T120053879397Z</x:v>
      </x:c>
      <x:c r="B5" s="45" t="str">
        <x:v>I2-026</x:v>
      </x:c>
      <x:c r="C5" s="58" t="n">
        <x:v>1</x:v>
      </x:c>
      <x:c r="D5" s="83" t="b">
        <x:v>1</x:v>
      </x:c>
      <x:c r="E5" s="83" t="b">
        <x:v>0</x:v>
      </x:c>
      <x:c r="F5" s="83" t="b">
        <x:v>0</x:v>
      </x:c>
      <x:c r="G5" s="45" t="str">
        <x:v>REVISE</x:v>
      </x:c>
      <x:c r="H5" s="46" t="str">
        <x:v>Repair the conditional alternatives so missing support/branch evidence cannot satisfy the simple-support branch: require at least one nltl:hasMemberSupport value there and require its nltl:connectionBracketPresent value to be explicitly false. Constrain nltl:significantRotationalRestraintEvidence values to nltl:evidenceArtifact (in addition to minCount) so the demonstrated-restraint exception requires a valid evidence artifact, not an arbitrary node.</x:v>
      </x:c>
      <x:c r="I5" s="84" t="n">
        <x:v>70070.587</x:v>
      </x:c>
      <x:c r="J5" s="84" t="n">
        <x:v>25049.072</x:v>
      </x:c>
    </x:row>
    <x:row r="6">
      <x:c r="A6" s="47" t="str">
        <x:v>RUN-I2-026-20260819T120053879397Z</x:v>
      </x:c>
      <x:c r="B6" s="47" t="str">
        <x:v>I2-026</x:v>
      </x:c>
      <x:c r="C6" s="59" t="n">
        <x:v>2</x:v>
      </x:c>
      <x:c r="D6" s="85" t="b">
        <x:v>1</x:v>
      </x:c>
      <x:c r="E6" s="85" t="b">
        <x:v>0</x:v>
      </x:c>
      <x:c r="F6" s="85" t="b">
        <x:v>0</x:v>
      </x:c>
      <x:c r="G6" s="47" t="str">
        <x:v>REVISE</x:v>
      </x:c>
      <x:c r="H6" s="48" t="str">
        <x:v>Revise the fixed-support alternative so that a structural member with terminatesWithinIceStrengthenedArea true may satisfy frameSupportCondition fixedFrameSupport without also being forced to prove continuousThroughSupport, connectionBracketPresent, or rotational-restraint evidence. The ice-strengthened-area sentence independently requires fixity and is not limited to the preceding grounds on which fixity may be assumed. Retain the conditional requirement that termination true requires fixedFrameSupport, but add termination as an independent valid fixed-support basis within the fixed branch.</x:v>
      </x:c>
      <x:c r="I6" s="86" t="n">
        <x:v>44690.595</x:v>
      </x:c>
      <x:c r="J6" s="86" t="n">
        <x:v>23054.114</x:v>
      </x:c>
    </x:row>
    <x:row r="7">
      <x:c r="A7" s="49" t="str">
        <x:v>RUN-I2-026-20260819T120053879397Z</x:v>
      </x:c>
      <x:c r="B7" s="49" t="str">
        <x:v>I2-026</x:v>
      </x:c>
      <x:c r="C7" s="60" t="n">
        <x:v>3</x:v>
      </x:c>
      <x:c r="D7" s="87" t="b">
        <x:v>1</x:v>
      </x:c>
      <x:c r="E7" s="87" t="b">
        <x:v>0</x:v>
      </x:c>
      <x:c r="F7" s="87" t="b">
        <x:v>0</x:v>
      </x:c>
      <x:c r="G7" s="49" t="str">
        <x:v>REVISE</x:v>
      </x:c>
      <x:c r="H7" s="50" t="str">
        <x:v>Do not let the simple-support branch pass merely because continuity, ice-area termination, or rotational-restraint demonstration data are absent. Use the supplied nltl:demonstratedRotationalRestraint on the relevant nltl:memberSupport: the rotational-restraint fixed-support alternative must require demonstratedRotationalRestraint true together with significantRotationalRestraintEvidence, while the simple-support alternative must require explicit false values for connectionBracketPresent and demonstratedRotationalRestraint and explicit false values for continuousThroughSupport and terminatesWithinIceStrengthenedArea. Replace the absence-based sh:not logic accordingly; the required canonical term is already supplied, so no matcher is needed.</x:v>
      </x:c>
      <x:c r="I7" s="88" t="n">
        <x:v>42228.799</x:v>
      </x:c>
      <x:c r="J7" s="88" t="n">
        <x:v>23506.8</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08698540da62454d"/>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RUN-I2-026-20260819T120053879397Z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RUN-I2-026-20260819T120053879397Z</x:v>
      </x:c>
      <x:c r="C5" s="45" t="str">
        <x:v>I2-026</x:v>
      </x:c>
      <x:c r="D5" s="92" t="n">
        <x:v>46253.501434641206</x:v>
      </x:c>
      <x:c r="E5" s="45" t="str">
        <x:v>generator</x:v>
      </x:c>
      <x:c r="F5" s="45" t="str">
        <x:v>gpt-5.6-terra-2026-07-09</x:v>
      </x:c>
      <x:c r="G5" s="45" t="n">
        <x:v>1</x:v>
      </x:c>
      <x:c r="H5" s="45" t="n">
        <x:v>200</x:v>
      </x:c>
      <x:c r="I5" s="45" t="str">
        <x:v>Ocp-Apim-Subscription-Key</x:v>
      </x:c>
      <x:c r="J5" s="84" t="n">
        <x:v>0</x:v>
      </x:c>
      <x:c r="K5" s="84" t="n">
        <x:v>70068.925</x:v>
      </x:c>
      <x:c r="L5" s="83" t="b">
        <x:v>0</x:v>
      </x:c>
      <x:c r="M5" s="45" t="str"/>
      <x:c r="N5" s="58" t="str"/>
      <x:c r="O5" s="58" t="str"/>
      <x:c r="P5" s="58" t="str"/>
    </x:row>
    <x:row r="6">
      <x:c r="A6" s="47" t="str">
        <x:v>EVT-000033</x:v>
      </x:c>
      <x:c r="B6" s="47" t="str">
        <x:v>RUN-I2-026-20260819T120053879397Z</x:v>
      </x:c>
      <x:c r="C6" s="47" t="str">
        <x:v>I2-026</x:v>
      </x:c>
      <x:c r="D6" s="93" t="n">
        <x:v>46253.50143466435</x:v>
      </x:c>
      <x:c r="E6" s="47" t="str">
        <x:v>generator</x:v>
      </x:c>
      <x:c r="F6" s="47" t="str">
        <x:v>gpt-5.6-terra-2026-07-09</x:v>
      </x:c>
      <x:c r="G6" s="47" t="n">
        <x:v>1</x:v>
      </x:c>
      <x:c r="H6" s="47" t="str">
        <x:v>COMPLETED</x:v>
      </x:c>
      <x:c r="I6" s="47" t="str"/>
      <x:c r="J6" s="86" t="n">
        <x:v>0</x:v>
      </x:c>
      <x:c r="K6" s="86" t="n">
        <x:v>70070.587</x:v>
      </x:c>
      <x:c r="L6" s="85" t="b">
        <x:v>0</x:v>
      </x:c>
      <x:c r="M6" s="47" t="str">
        <x:v>resp_0f5666885804b2db006a859af60b7c8194af6ff81a1908fd7e</x:v>
      </x:c>
      <x:c r="N6" s="59" t="n">
        <x:v>10239</x:v>
      </x:c>
      <x:c r="O6" s="59" t="n">
        <x:v>4026</x:v>
      </x:c>
      <x:c r="P6" s="59" t="n">
        <x:v>14265</x:v>
      </x:c>
    </x:row>
    <x:row r="7">
      <x:c r="A7" s="47" t="str">
        <x:v>EVT-000040</x:v>
      </x:c>
      <x:c r="B7" s="47" t="str">
        <x:v>RUN-I2-026-20260819T120053879397Z</x:v>
      </x:c>
      <x:c r="C7" s="47" t="str">
        <x:v>I2-026</x:v>
      </x:c>
      <x:c r="D7" s="93" t="n">
        <x:v>46253.501727083334</x:v>
      </x:c>
      <x:c r="E7" s="47" t="str">
        <x:v>validator</x:v>
      </x:c>
      <x:c r="F7" s="47" t="str">
        <x:v>gpt-5.6-terra-2026-07-09</x:v>
      </x:c>
      <x:c r="G7" s="47" t="n">
        <x:v>1</x:v>
      </x:c>
      <x:c r="H7" s="47" t="n">
        <x:v>200</x:v>
      </x:c>
      <x:c r="I7" s="47" t="str">
        <x:v>Ocp-Apim-Subscription-Key</x:v>
      </x:c>
      <x:c r="J7" s="86" t="n">
        <x:v>0</x:v>
      </x:c>
      <x:c r="K7" s="86" t="n">
        <x:v>25047.119</x:v>
      </x:c>
      <x:c r="L7" s="85" t="b">
        <x:v>0</x:v>
      </x:c>
      <x:c r="M7" s="47" t="str"/>
      <x:c r="N7" s="59" t="str"/>
      <x:c r="O7" s="59" t="str"/>
      <x:c r="P7" s="59" t="str"/>
    </x:row>
    <x:row r="8">
      <x:c r="A8" s="47" t="str">
        <x:v>EVT-000041</x:v>
      </x:c>
      <x:c r="B8" s="47" t="str">
        <x:v>RUN-I2-026-20260819T120053879397Z</x:v>
      </x:c>
      <x:c r="C8" s="47" t="str">
        <x:v>I2-026</x:v>
      </x:c>
      <x:c r="D8" s="93" t="n">
        <x:v>46253.50172710648</x:v>
      </x:c>
      <x:c r="E8" s="47" t="str">
        <x:v>validator</x:v>
      </x:c>
      <x:c r="F8" s="47" t="str">
        <x:v>gpt-5.6-terra-2026-07-09</x:v>
      </x:c>
      <x:c r="G8" s="47" t="n">
        <x:v>1</x:v>
      </x:c>
      <x:c r="H8" s="47" t="str">
        <x:v>COMPLETED</x:v>
      </x:c>
      <x:c r="I8" s="47" t="str"/>
      <x:c r="J8" s="86" t="n">
        <x:v>0</x:v>
      </x:c>
      <x:c r="K8" s="86" t="n">
        <x:v>25049.072</x:v>
      </x:c>
      <x:c r="L8" s="85" t="b">
        <x:v>0</x:v>
      </x:c>
      <x:c r="M8" s="47" t="str">
        <x:v>resp_07897b4ac78e9fd5006a859b3c657481969611bed0bdf2bf67</x:v>
      </x:c>
      <x:c r="N8" s="59" t="n">
        <x:v>10865</x:v>
      </x:c>
      <x:c r="O8" s="59" t="n">
        <x:v>1665</x:v>
      </x:c>
      <x:c r="P8" s="59" t="n">
        <x:v>12530</x:v>
      </x:c>
    </x:row>
    <x:row r="9">
      <x:c r="A9" s="47" t="str">
        <x:v>EVT-000046</x:v>
      </x:c>
      <x:c r="B9" s="47" t="str">
        <x:v>RUN-I2-026-20260819T120053879397Z</x:v>
      </x:c>
      <x:c r="C9" s="47" t="str">
        <x:v>I2-026</x:v>
      </x:c>
      <x:c r="D9" s="93" t="n">
        <x:v>46253.50224439815</x:v>
      </x:c>
      <x:c r="E9" s="47" t="str">
        <x:v>generator</x:v>
      </x:c>
      <x:c r="F9" s="47" t="str">
        <x:v>gpt-5.6-terra-2026-07-09</x:v>
      </x:c>
      <x:c r="G9" s="47" t="n">
        <x:v>1</x:v>
      </x:c>
      <x:c r="H9" s="47" t="n">
        <x:v>200</x:v>
      </x:c>
      <x:c r="I9" s="47" t="str">
        <x:v>Ocp-Apim-Subscription-Key</x:v>
      </x:c>
      <x:c r="J9" s="86" t="n">
        <x:v>0</x:v>
      </x:c>
      <x:c r="K9" s="86" t="n">
        <x:v>44688.822</x:v>
      </x:c>
      <x:c r="L9" s="85" t="b">
        <x:v>0</x:v>
      </x:c>
      <x:c r="M9" s="47" t="str"/>
      <x:c r="N9" s="59" t="str"/>
      <x:c r="O9" s="59" t="str"/>
      <x:c r="P9" s="59" t="str"/>
    </x:row>
    <x:row r="10">
      <x:c r="A10" s="47" t="str">
        <x:v>EVT-000047</x:v>
      </x:c>
      <x:c r="B10" s="47" t="str">
        <x:v>RUN-I2-026-20260819T120053879397Z</x:v>
      </x:c>
      <x:c r="C10" s="47" t="str">
        <x:v>I2-026</x:v>
      </x:c>
      <x:c r="D10" s="93" t="n">
        <x:v>46253.50224443287</x:v>
      </x:c>
      <x:c r="E10" s="47" t="str">
        <x:v>generator</x:v>
      </x:c>
      <x:c r="F10" s="47" t="str">
        <x:v>gpt-5.6-terra-2026-07-09</x:v>
      </x:c>
      <x:c r="G10" s="47" t="n">
        <x:v>1</x:v>
      </x:c>
      <x:c r="H10" s="47" t="str">
        <x:v>COMPLETED</x:v>
      </x:c>
      <x:c r="I10" s="47" t="str"/>
      <x:c r="J10" s="86" t="n">
        <x:v>0</x:v>
      </x:c>
      <x:c r="K10" s="86" t="n">
        <x:v>44690.595</x:v>
      </x:c>
      <x:c r="L10" s="85" t="b">
        <x:v>0</x:v>
      </x:c>
      <x:c r="M10" s="47" t="str">
        <x:v>resp_080a5bd4edd1dfee006a859b5564c88194b392accf81c5869e</x:v>
      </x:c>
      <x:c r="N10" s="59" t="n">
        <x:v>10331</x:v>
      </x:c>
      <x:c r="O10" s="59" t="n">
        <x:v>3693</x:v>
      </x:c>
      <x:c r="P10" s="59" t="n">
        <x:v>14024</x:v>
      </x:c>
    </x:row>
    <x:row r="11">
      <x:c r="A11" s="47" t="str">
        <x:v>EVT-000054</x:v>
      </x:c>
      <x:c r="B11" s="47" t="str">
        <x:v>RUN-I2-026-20260819T120053879397Z</x:v>
      </x:c>
      <x:c r="C11" s="47" t="str">
        <x:v>I2-026</x:v>
      </x:c>
      <x:c r="D11" s="93" t="n">
        <x:v>46253.502513645835</x:v>
      </x:c>
      <x:c r="E11" s="47" t="str">
        <x:v>validator</x:v>
      </x:c>
      <x:c r="F11" s="47" t="str">
        <x:v>gpt-5.6-terra-2026-07-09</x:v>
      </x:c>
      <x:c r="G11" s="47" t="n">
        <x:v>1</x:v>
      </x:c>
      <x:c r="H11" s="47" t="n">
        <x:v>200</x:v>
      </x:c>
      <x:c r="I11" s="47" t="str">
        <x:v>Ocp-Apim-Subscription-Key</x:v>
      </x:c>
      <x:c r="J11" s="86" t="n">
        <x:v>0</x:v>
      </x:c>
      <x:c r="K11" s="86" t="n">
        <x:v>23052.749</x:v>
      </x:c>
      <x:c r="L11" s="85" t="b">
        <x:v>0</x:v>
      </x:c>
      <x:c r="M11" s="47" t="str"/>
      <x:c r="N11" s="59" t="str"/>
      <x:c r="O11" s="59" t="str"/>
      <x:c r="P11" s="59" t="str"/>
    </x:row>
    <x:row r="12">
      <x:c r="A12" s="47" t="str">
        <x:v>EVT-000055</x:v>
      </x:c>
      <x:c r="B12" s="47" t="str">
        <x:v>RUN-I2-026-20260819T120053879397Z</x:v>
      </x:c>
      <x:c r="C12" s="47" t="str">
        <x:v>I2-026</x:v>
      </x:c>
      <x:c r="D12" s="93" t="n">
        <x:v>46253.502513657404</x:v>
      </x:c>
      <x:c r="E12" s="47" t="str">
        <x:v>validator</x:v>
      </x:c>
      <x:c r="F12" s="47" t="str">
        <x:v>gpt-5.6-terra-2026-07-09</x:v>
      </x:c>
      <x:c r="G12" s="47" t="n">
        <x:v>1</x:v>
      </x:c>
      <x:c r="H12" s="47" t="str">
        <x:v>COMPLETED</x:v>
      </x:c>
      <x:c r="I12" s="47" t="str"/>
      <x:c r="J12" s="86" t="n">
        <x:v>0</x:v>
      </x:c>
      <x:c r="K12" s="86" t="n">
        <x:v>23054.114</x:v>
      </x:c>
      <x:c r="L12" s="85" t="b">
        <x:v>0</x:v>
      </x:c>
      <x:c r="M12" s="47" t="str">
        <x:v>resp_00e25fd229606507006a859b8315488194b5abaf5f28785ade</x:v>
      </x:c>
      <x:c r="N12" s="59" t="n">
        <x:v>10768</x:v>
      </x:c>
      <x:c r="O12" s="59" t="n">
        <x:v>1534</x:v>
      </x:c>
      <x:c r="P12" s="59" t="n">
        <x:v>12302</x:v>
      </x:c>
    </x:row>
    <x:row r="13">
      <x:c r="A13" s="47" t="str">
        <x:v>EVT-000060</x:v>
      </x:c>
      <x:c r="B13" s="47" t="str">
        <x:v>RUN-I2-026-20260819T120053879397Z</x:v>
      </x:c>
      <x:c r="C13" s="47" t="str">
        <x:v>I2-026</x:v>
      </x:c>
      <x:c r="D13" s="93" t="n">
        <x:v>46253.503002314814</x:v>
      </x:c>
      <x:c r="E13" s="47" t="str">
        <x:v>generator</x:v>
      </x:c>
      <x:c r="F13" s="47" t="str">
        <x:v>gpt-5.6-terra-2026-07-09</x:v>
      </x:c>
      <x:c r="G13" s="47" t="n">
        <x:v>1</x:v>
      </x:c>
      <x:c r="H13" s="47" t="n">
        <x:v>200</x:v>
      </x:c>
      <x:c r="I13" s="47" t="str">
        <x:v>Ocp-Apim-Subscription-Key</x:v>
      </x:c>
      <x:c r="J13" s="86" t="n">
        <x:v>0</x:v>
      </x:c>
      <x:c r="K13" s="86" t="n">
        <x:v>42227.25</x:v>
      </x:c>
      <x:c r="L13" s="85" t="b">
        <x:v>0</x:v>
      </x:c>
      <x:c r="M13" s="47" t="str"/>
      <x:c r="N13" s="59" t="str"/>
      <x:c r="O13" s="59" t="str"/>
      <x:c r="P13" s="59" t="str"/>
    </x:row>
    <x:row r="14">
      <x:c r="A14" s="47" t="str">
        <x:v>EVT-000061</x:v>
      </x:c>
      <x:c r="B14" s="47" t="str">
        <x:v>RUN-I2-026-20260819T120053879397Z</x:v>
      </x:c>
      <x:c r="C14" s="47" t="str">
        <x:v>I2-026</x:v>
      </x:c>
      <x:c r="D14" s="93" t="n">
        <x:v>46253.503002337966</x:v>
      </x:c>
      <x:c r="E14" s="47" t="str">
        <x:v>generator</x:v>
      </x:c>
      <x:c r="F14" s="47" t="str">
        <x:v>gpt-5.6-terra-2026-07-09</x:v>
      </x:c>
      <x:c r="G14" s="47" t="n">
        <x:v>1</x:v>
      </x:c>
      <x:c r="H14" s="47" t="str">
        <x:v>COMPLETED</x:v>
      </x:c>
      <x:c r="I14" s="47" t="str"/>
      <x:c r="J14" s="86" t="n">
        <x:v>0</x:v>
      </x:c>
      <x:c r="K14" s="86" t="n">
        <x:v>42228.799</x:v>
      </x:c>
      <x:c r="L14" s="85" t="b">
        <x:v>0</x:v>
      </x:c>
      <x:c r="M14" s="47" t="str">
        <x:v>resp_0316db9ed1cb4ce3006a859b9953e081939e17ae86bb3a9a74</x:v>
      </x:c>
      <x:c r="N14" s="59" t="n">
        <x:v>10437</x:v>
      </x:c>
      <x:c r="O14" s="59" t="n">
        <x:v>3541</x:v>
      </x:c>
      <x:c r="P14" s="59" t="n">
        <x:v>13978</x:v>
      </x:c>
    </x:row>
    <x:row r="15">
      <x:c r="A15" s="47" t="str">
        <x:v>EVT-000068</x:v>
      </x:c>
      <x:c r="B15" s="47" t="str">
        <x:v>RUN-I2-026-20260819T120053879397Z</x:v>
      </x:c>
      <x:c r="C15" s="47" t="str">
        <x:v>I2-026</x:v>
      </x:c>
      <x:c r="D15" s="93" t="n">
        <x:v>46253.50327700232</x:v>
      </x:c>
      <x:c r="E15" s="47" t="str">
        <x:v>validator</x:v>
      </x:c>
      <x:c r="F15" s="47" t="str">
        <x:v>gpt-5.6-terra-2026-07-09</x:v>
      </x:c>
      <x:c r="G15" s="47" t="n">
        <x:v>1</x:v>
      </x:c>
      <x:c r="H15" s="47" t="n">
        <x:v>200</x:v>
      </x:c>
      <x:c r="I15" s="47" t="str">
        <x:v>Ocp-Apim-Subscription-Key</x:v>
      </x:c>
      <x:c r="J15" s="86" t="n">
        <x:v>0</x:v>
      </x:c>
      <x:c r="K15" s="86" t="n">
        <x:v>23505.023</x:v>
      </x:c>
      <x:c r="L15" s="85" t="b">
        <x:v>0</x:v>
      </x:c>
      <x:c r="M15" s="47" t="str"/>
      <x:c r="N15" s="59" t="str"/>
      <x:c r="O15" s="59" t="str"/>
      <x:c r="P15" s="59" t="str"/>
    </x:row>
    <x:row r="16">
      <x:c r="A16" s="49" t="str">
        <x:v>EVT-000069</x:v>
      </x:c>
      <x:c r="B16" s="49" t="str">
        <x:v>RUN-I2-026-20260819T120053879397Z</x:v>
      </x:c>
      <x:c r="C16" s="49" t="str">
        <x:v>I2-026</x:v>
      </x:c>
      <x:c r="D16" s="94" t="n">
        <x:v>46253.50327702546</x:v>
      </x:c>
      <x:c r="E16" s="49" t="str">
        <x:v>validator</x:v>
      </x:c>
      <x:c r="F16" s="49" t="str">
        <x:v>gpt-5.6-terra-2026-07-09</x:v>
      </x:c>
      <x:c r="G16" s="49" t="n">
        <x:v>1</x:v>
      </x:c>
      <x:c r="H16" s="49" t="str">
        <x:v>COMPLETED</x:v>
      </x:c>
      <x:c r="I16" s="49" t="str"/>
      <x:c r="J16" s="88" t="n">
        <x:v>0</x:v>
      </x:c>
      <x:c r="K16" s="88" t="n">
        <x:v>23506.8</x:v>
      </x:c>
      <x:c r="L16" s="87" t="b">
        <x:v>0</x:v>
      </x:c>
      <x:c r="M16" s="49" t="str">
        <x:v>resp_065b168735a8bf9e006a859bc4c82c81968164062701f4d760</x:v>
      </x:c>
      <x:c r="N16" s="60" t="n">
        <x:v>11074</x:v>
      </x:c>
      <x:c r="O16" s="60" t="n">
        <x:v>1587</x:v>
      </x:c>
      <x:c r="P16" s="60" t="n">
        <x:v>12661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6149a7cd4d5481e"/>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RUN-I2-026-20260819T120053879397Z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RUN-I2-026-20260819T120053879397Z</x:v>
      </x:c>
      <x:c r="B5" s="45" t="str">
        <x:v>I2-026</x:v>
      </x:c>
      <x:c r="C5" s="45" t="str">
        <x:v>benchmarkEntity</x:v>
      </x:c>
      <x:c r="D5" s="46" t="str">
        <x:v>https://w3id.org/nltl/vocab#benchmarkEntity</x:v>
      </x:c>
      <x:c r="E5" s="45" t="str">
        <x:v>Class</x:v>
      </x:c>
      <x:c r="F5" s="45" t="str"/>
      <x:c r="G5" s="45" t="str"/>
      <x:c r="H5" s="45" t="str"/>
      <x:c r="I5" s="46" t="str">
        <x:v>baseline target infrastructure; domain dependency of iceStrengthenedArea; domain dependency of rotationalRestraint; domain dependency of supportFixity; range dependency of frameSupportConditionValue</x:v>
      </x:c>
      <x:c r="J5" s="45" t="n">
        <x:v>0</x:v>
      </x:c>
    </x:row>
    <x:row r="6">
      <x:c r="A6" s="47" t="str">
        <x:v>RUN-I2-026-20260819T120053879397Z</x:v>
      </x:c>
      <x:c r="B6" s="47" t="str">
        <x:v>I2-026</x:v>
      </x:c>
      <x:c r="C6" s="47" t="str">
        <x:v>connectionBracket</x:v>
      </x:c>
      <x:c r="D6" s="48" t="str">
        <x:v>https://w3id.org/nltl/vocab#connectionBracket</x:v>
      </x:c>
      <x:c r="E6" s="47" t="str">
        <x:v>Class</x:v>
      </x:c>
      <x:c r="F6" s="47" t="str"/>
      <x:c r="G6" s="47" t="str">
        <x:v>https://w3id.org/nltl/vocab#hullStructure</x:v>
      </x:c>
      <x:c r="H6" s="47" t="str"/>
      <x:c r="I6" s="48" t="str">
        <x:v>linked by the locked 313-requirement index</x:v>
      </x:c>
      <x:c r="J6" s="47" t="n">
        <x:v>0</x:v>
      </x:c>
    </x:row>
    <x:row r="7">
      <x:c r="A7" s="47" t="str">
        <x:v>RUN-I2-026-20260819T120053879397Z</x:v>
      </x:c>
      <x:c r="B7" s="47" t="str">
        <x:v>I2-026</x:v>
      </x:c>
      <x:c r="C7" s="47" t="str">
        <x:v>connectionBracketPresent</x:v>
      </x:c>
      <x:c r="D7" s="48" t="str">
        <x:v>https://w3id.org/nltl/vocab#connectionBracketPresent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RUN-I2-026-20260819T120053879397Z</x:v>
      </x:c>
      <x:c r="B8" s="47" t="str">
        <x:v>I2-026</x:v>
      </x:c>
      <x:c r="C8" s="47" t="str">
        <x:v>continuousThroughSupport</x:v>
      </x:c>
      <x:c r="D8" s="48" t="str">
        <x:v>https://w3id.org/nltl/vocab#continuousThroughSupport</x:v>
      </x:c>
      <x:c r="E8" s="47" t="str">
        <x:v>DatatypeProperty</x:v>
      </x:c>
      <x:c r="F8" s="47" t="str">
        <x:v>xsd:boolean</x:v>
      </x:c>
      <x:c r="G8" s="47" t="str">
        <x:v>http://www.w3.org/2001/XMLSchema#boolean</x:v>
      </x:c>
      <x:c r="H8" s="47" t="str"/>
      <x:c r="I8" s="48" t="str">
        <x:v>linked by the locked 313-requirement index</x:v>
      </x:c>
      <x:c r="J8" s="47" t="n">
        <x:v>0</x:v>
      </x:c>
    </x:row>
    <x:row r="9">
      <x:c r="A9" s="47" t="str">
        <x:v>RUN-I2-026-20260819T120053879397Z</x:v>
      </x:c>
      <x:c r="B9" s="47" t="str">
        <x:v>I2-026</x:v>
      </x:c>
      <x:c r="C9" s="47" t="str">
        <x:v>demonstratedRotationalRestraint</x:v>
      </x:c>
      <x:c r="D9" s="48" t="str">
        <x:v>https://w3id.org/nltl/vocab#demonstratedRotationalRestraint</x:v>
      </x:c>
      <x:c r="E9" s="47" t="str">
        <x:v>DatatypeProperty</x:v>
      </x:c>
      <x:c r="F9" s="47" t="str">
        <x:v>xsd:boolean</x:v>
      </x:c>
      <x:c r="G9" s="47" t="str">
        <x:v>http://www.w3.org/2001/XMLSchema#boolean</x:v>
      </x:c>
      <x:c r="H9" s="47" t="str"/>
      <x:c r="I9" s="48" t="str">
        <x:v>linked by the locked 313-requirement index</x:v>
      </x:c>
      <x:c r="J9" s="47" t="n">
        <x:v>0</x:v>
      </x:c>
    </x:row>
    <x:row r="10">
      <x:c r="A10" s="47" t="str">
        <x:v>RUN-I2-026-20260819T120053879397Z</x:v>
      </x:c>
      <x:c r="B10" s="47" t="str">
        <x:v>I2-026</x:v>
      </x:c>
      <x:c r="C10" s="47" t="str">
        <x:v>evidenceArtifact</x:v>
      </x:c>
      <x:c r="D10" s="48" t="str">
        <x:v>https://w3id.org/nltl/vocab#evidenceArtifact</x:v>
      </x:c>
      <x:c r="E10" s="47" t="str">
        <x:v>Class</x:v>
      </x:c>
      <x:c r="F10" s="47" t="str"/>
      <x:c r="G10" s="47" t="str"/>
      <x:c r="H10" s="47" t="str"/>
      <x:c r="I10" s="48" t="str">
        <x:v>range dependency of significantRotationalRestraintEvidence</x:v>
      </x:c>
      <x:c r="J10" s="47" t="n">
        <x:v>0</x:v>
      </x:c>
    </x:row>
    <x:row r="11">
      <x:c r="A11" s="47" t="str">
        <x:v>RUN-I2-026-20260819T120053879397Z</x:v>
      </x:c>
      <x:c r="B11" s="47" t="str">
        <x:v>I2-026</x:v>
      </x:c>
      <x:c r="C11" s="47" t="str">
        <x:v>fixedFrameSupport</x:v>
      </x:c>
      <x:c r="D11" s="48" t="str">
        <x:v>https://w3id.org/nltl/vocab#fixedFrameSupport</x:v>
      </x:c>
      <x:c r="E11" s="47" t="str">
        <x:v>NamedIndividual</x:v>
      </x:c>
      <x:c r="F11" s="47" t="str"/>
      <x:c r="G11" s="47" t="str">
        <x:v>https://w3id.org/nltl/vocab#frameSupportConditionValue</x:v>
      </x:c>
      <x:c r="H11" s="47" t="str"/>
      <x:c r="I11" s="48" t="str">
        <x:v>controlled value permitted by the range of fixedFrameSupport; controlled value permitted by the range of frameSupportCondition; controlled value permitted by the range of simpleFrameSupport; linked by the locked 313-requirement index</x:v>
      </x:c>
      <x:c r="J11" s="47" t="n">
        <x:v>0</x:v>
      </x:c>
    </x:row>
    <x:row r="12">
      <x:c r="A12" s="47" t="str">
        <x:v>RUN-I2-026-20260819T120053879397Z</x:v>
      </x:c>
      <x:c r="B12" s="47" t="str">
        <x:v>I2-026</x:v>
      </x:c>
      <x:c r="C12" s="47" t="str">
        <x:v>frameSupportCondition</x:v>
      </x:c>
      <x:c r="D12" s="48" t="str">
        <x:v>https://w3id.org/nltl/vocab#frameSupportCondition</x:v>
      </x:c>
      <x:c r="E12" s="47" t="str">
        <x:v>ObjectProperty</x:v>
      </x:c>
      <x:c r="F12" s="47" t="str"/>
      <x:c r="G12" s="47" t="str">
        <x:v>https://w3id.org/nltl/vocab#frameSupportConditionValue</x:v>
      </x:c>
      <x:c r="H12" s="47" t="str"/>
      <x:c r="I12" s="48" t="str">
        <x:v>linked by the locked 313-requirement index</x:v>
      </x:c>
      <x:c r="J12" s="47" t="n">
        <x:v>0</x:v>
      </x:c>
    </x:row>
    <x:row r="13">
      <x:c r="A13" s="47" t="str">
        <x:v>RUN-I2-026-20260819T120053879397Z</x:v>
      </x:c>
      <x:c r="B13" s="47" t="str">
        <x:v>I2-026</x:v>
      </x:c>
      <x:c r="C13" s="47" t="str">
        <x:v>frameSupportConditionValue</x:v>
      </x:c>
      <x:c r="D13" s="48" t="str">
        <x:v>https://w3id.org/nltl/vocab#frameSupportConditionValue</x:v>
      </x:c>
      <x:c r="E13" s="47" t="str">
        <x:v>Class</x:v>
      </x:c>
      <x:c r="F13" s="47" t="str"/>
      <x:c r="G13" s="47" t="str">
        <x:v>https://w3id.org/nltl/vocab#benchmarkEntity</x:v>
      </x:c>
      <x:c r="H13" s="47" t="str"/>
      <x:c r="I13" s="48" t="str">
        <x:v>linked by the locked 313-requirement index; range dependency of fixedFrameSupport; range dependency of frameSupportCondition; range dependency of simpleFrameSupport</x:v>
      </x:c>
      <x:c r="J13" s="47" t="n">
        <x:v>0</x:v>
      </x:c>
    </x:row>
    <x:row r="14">
      <x:c r="A14" s="47" t="str">
        <x:v>RUN-I2-026-20260819T120053879397Z</x:v>
      </x:c>
      <x:c r="B14" s="47" t="str">
        <x:v>I2-026</x:v>
      </x:c>
      <x:c r="C14" s="47" t="str">
        <x:v>framingMember</x:v>
      </x:c>
      <x:c r="D14" s="48" t="str">
        <x:v>https://w3id.org/nltl/vocab#framingMember</x:v>
      </x:c>
      <x:c r="E14" s="47" t="str">
        <x:v>Class</x:v>
      </x:c>
      <x:c r="F14" s="47" t="str"/>
      <x:c r="G14" s="47" t="str">
        <x:v>https://w3id.org/nltl/vocab#hullStructure</x:v>
      </x:c>
      <x:c r="H14" s="47" t="str"/>
      <x:c r="I14" s="48" t="str">
        <x:v>linked by the locked 313-requirement index</x:v>
      </x:c>
      <x:c r="J14" s="47" t="n">
        <x:v>0</x:v>
      </x:c>
    </x:row>
    <x:row r="15">
      <x:c r="A15" s="47" t="str">
        <x:v>RUN-I2-026-20260819T120053879397Z</x:v>
      </x:c>
      <x:c r="B15" s="47" t="str">
        <x:v>I2-026</x:v>
      </x:c>
      <x:c r="C15" s="47" t="str">
        <x:v>hasComponent</x:v>
      </x:c>
      <x:c r="D15" s="48" t="str">
        <x:v>https://w3id.org/nltl/vocab#hasComponent</x:v>
      </x:c>
      <x:c r="E15" s="47" t="str">
        <x:v>ObjectProperty</x:v>
      </x:c>
      <x:c r="F15" s="47" t="str"/>
      <x:c r="G15" s="47" t="str">
        <x:v>https://w3id.org/nltl/vocab#shipComponent</x:v>
      </x:c>
      <x:c r="H15" s="47" t="str"/>
      <x:c r="I15" s="48" t="str">
        <x:v>component-path dependency inferred from the linked term module</x:v>
      </x:c>
      <x:c r="J15" s="47" t="n">
        <x:v>0</x:v>
      </x:c>
    </x:row>
    <x:row r="16">
      <x:c r="A16" s="47" t="str">
        <x:v>RUN-I2-026-20260819T120053879397Z</x:v>
      </x:c>
      <x:c r="B16" s="47" t="str">
        <x:v>I2-026</x:v>
      </x:c>
      <x:c r="C16" s="47" t="str">
        <x:v>hasMemberSupport</x:v>
      </x:c>
      <x:c r="D16" s="48" t="str">
        <x:v>https://w3id.org/nltl/vocab#hasMemberSupport</x:v>
      </x:c>
      <x:c r="E16" s="47" t="str">
        <x:v>ObjectProperty</x:v>
      </x:c>
      <x:c r="F16" s="47" t="str"/>
      <x:c r="G16" s="47" t="str">
        <x:v>https://w3id.org/nltl/vocab#memberSupport</x:v>
      </x:c>
      <x:c r="H16" s="47" t="str"/>
      <x:c r="I16" s="48" t="str">
        <x:v>linked by the locked 313-requirement index</x:v>
      </x:c>
      <x:c r="J16" s="47" t="n">
        <x:v>0</x:v>
      </x:c>
    </x:row>
    <x:row r="17">
      <x:c r="A17" s="47" t="str">
        <x:v>RUN-I2-026-20260819T120053879397Z</x:v>
      </x:c>
      <x:c r="B17" s="47" t="str">
        <x:v>I2-026</x:v>
      </x:c>
      <x:c r="C17" s="47" t="str">
        <x:v>hasStructuralMember</x:v>
      </x:c>
      <x:c r="D17" s="48" t="str">
        <x:v>https://w3id.org/nltl/vocab#hasStructuralMember</x:v>
      </x:c>
      <x:c r="E17" s="47" t="str">
        <x:v>ObjectProperty</x:v>
      </x:c>
      <x:c r="F17" s="47" t="str"/>
      <x:c r="G17" s="47" t="str">
        <x:v>https://w3id.org/nltl/vocab#structuralMember</x:v>
      </x:c>
      <x:c r="H17" s="47" t="str"/>
      <x:c r="I17" s="48" t="str">
        <x:v>canonical path from target owner ship to required owner structuralMember; linked by the locked 313-requirement index</x:v>
      </x:c>
      <x:c r="J17" s="47" t="n">
        <x:v>0</x:v>
      </x:c>
    </x:row>
    <x:row r="18">
      <x:c r="A18" s="47" t="str">
        <x:v>RUN-I2-026-20260819T120053879397Z</x:v>
      </x:c>
      <x:c r="B18" s="47" t="str">
        <x:v>I2-026</x:v>
      </x:c>
      <x:c r="C18" s="47" t="str">
        <x:v>hullStructure</x:v>
      </x:c>
      <x:c r="D18" s="48" t="str">
        <x:v>https://w3id.org/nltl/vocab#hullStructure</x:v>
      </x:c>
      <x:c r="E18" s="47" t="str">
        <x:v>Class</x:v>
      </x:c>
      <x:c r="F18" s="47" t="str"/>
      <x:c r="G18" s="47" t="str"/>
      <x:c r="H18" s="47" t="str"/>
      <x:c r="I18" s="48" t="str">
        <x:v>range dependency of connectionBracket; range dependency of framingMember; range dependency of memberSupport</x:v>
      </x:c>
      <x:c r="J18" s="47" t="n">
        <x:v>0</x:v>
      </x:c>
    </x:row>
    <x:row r="19">
      <x:c r="A19" s="47" t="str">
        <x:v>RUN-I2-026-20260819T120053879397Z</x:v>
      </x:c>
      <x:c r="B19" s="47" t="str">
        <x:v>I2-026</x:v>
      </x:c>
      <x:c r="C19" s="47" t="str">
        <x:v>iceStrengthenedArea</x:v>
      </x:c>
      <x:c r="D19" s="48" t="str">
        <x:v>https://w3id.org/nltl/vocab#iceStrengthenedArea</x:v>
      </x:c>
      <x:c r="E19" s="47" t="str">
        <x:v>DatatypeProperty</x:v>
      </x:c>
      <x:c r="F19" s="47" t="str">
        <x:v>xsd:string</x:v>
      </x:c>
      <x:c r="G19" s="47" t="str">
        <x:v>http://www.w3.org/2001/XMLSchema#string</x:v>
      </x:c>
      <x:c r="H19" s="47" t="str"/>
      <x:c r="I19" s="48" t="str">
        <x:v>linked by the locked 313-requirement index</x:v>
      </x:c>
      <x:c r="J19" s="47" t="n">
        <x:v>0</x:v>
      </x:c>
    </x:row>
    <x:row r="20">
      <x:c r="A20" s="47" t="str">
        <x:v>RUN-I2-026-20260819T120053879397Z</x:v>
      </x:c>
      <x:c r="B20" s="47" t="str">
        <x:v>I2-026</x:v>
      </x:c>
      <x:c r="C20" s="47" t="str">
        <x:v>memberSupport</x:v>
      </x:c>
      <x:c r="D20" s="48" t="str">
        <x:v>https://w3id.org/nltl/vocab#memberSupport</x:v>
      </x:c>
      <x:c r="E20" s="47" t="str">
        <x:v>Class</x:v>
      </x:c>
      <x:c r="F20" s="47" t="str"/>
      <x:c r="G20" s="47" t="str">
        <x:v>https://w3id.org/nltl/vocab#hullStructure</x:v>
      </x:c>
      <x:c r="H20" s="47" t="str"/>
      <x:c r="I20" s="48" t="str">
        <x:v>authoritative required owner class; domain dependency of connectionBracketPresent; domain dependency of demonstratedRotationalRestraint; linked by the locked 313-requirement index; range dependency of hasMemberSupport</x:v>
      </x:c>
      <x:c r="J20" s="47" t="n">
        <x:v>0</x:v>
      </x:c>
    </x:row>
    <x:row r="21">
      <x:c r="A21" s="47" t="str">
        <x:v>RUN-I2-026-20260819T120053879397Z</x:v>
      </x:c>
      <x:c r="B21" s="47" t="str">
        <x:v>I2-026</x:v>
      </x:c>
      <x:c r="C21" s="47" t="str">
        <x:v>rotationalRestraint</x:v>
      </x:c>
      <x:c r="D21" s="48" t="str">
        <x:v>https://w3id.org/nltl/vocab#rotationalRestraint</x:v>
      </x:c>
      <x:c r="E21" s="47" t="str">
        <x:v>DatatypeProperty</x:v>
      </x:c>
      <x:c r="F21" s="47" t="str">
        <x:v>xsd:string</x:v>
      </x:c>
      <x:c r="G21" s="47" t="str">
        <x:v>http://www.w3.org/2001/XMLSchema#string</x:v>
      </x:c>
      <x:c r="H21" s="47" t="str"/>
      <x:c r="I21" s="48" t="str">
        <x:v>linked by the locked 313-requirement index</x:v>
      </x:c>
      <x:c r="J21" s="47" t="n">
        <x:v>0</x:v>
      </x:c>
    </x:row>
    <x:row r="22">
      <x:c r="A22" s="47" t="str">
        <x:v>RUN-I2-026-20260819T120053879397Z</x:v>
      </x:c>
      <x:c r="B22" s="47" t="str">
        <x:v>I2-026</x:v>
      </x:c>
      <x:c r="C22" s="47" t="str">
        <x:v>ship</x:v>
      </x:c>
      <x:c r="D22" s="48" t="str">
        <x:v>https://w3id.org/nltl/vocab#ship</x:v>
      </x:c>
      <x:c r="E22" s="47" t="str">
        <x:v>Class</x:v>
      </x:c>
      <x:c r="F22" s="47" t="str"/>
      <x:c r="G22" s="47" t="str"/>
      <x:c r="H22" s="47" t="str"/>
      <x:c r="I22" s="48" t="str">
        <x:v>authoritative required owner class; authoritative requirement target owner; baseline target infrastructure; domain dependency of hasStructuralMember</x:v>
      </x:c>
      <x:c r="J22" s="47" t="n">
        <x:v>0</x:v>
      </x:c>
    </x:row>
    <x:row r="23">
      <x:c r="A23" s="47" t="str">
        <x:v>RUN-I2-026-20260819T120053879397Z</x:v>
      </x:c>
      <x:c r="B23" s="47" t="str">
        <x:v>I2-026</x:v>
      </x:c>
      <x:c r="C23" s="47" t="str">
        <x:v>shipComponent</x:v>
      </x:c>
      <x:c r="D23" s="48" t="str">
        <x:v>https://w3id.org/nltl/vocab#shipComponent</x:v>
      </x:c>
      <x:c r="E23" s="47" t="str">
        <x:v>Class</x:v>
      </x:c>
      <x:c r="F23" s="47" t="str"/>
      <x:c r="G23" s="47" t="str"/>
      <x:c r="H23" s="47" t="str"/>
      <x:c r="I23" s="48" t="str">
        <x:v>component-path dependency inferred from the linked term module</x:v>
      </x:c>
      <x:c r="J23" s="47" t="n">
        <x:v>0</x:v>
      </x:c>
    </x:row>
    <x:row r="24">
      <x:c r="A24" s="47" t="str">
        <x:v>RUN-I2-026-20260819T120053879397Z</x:v>
      </x:c>
      <x:c r="B24" s="47" t="str">
        <x:v>I2-026</x:v>
      </x:c>
      <x:c r="C24" s="47" t="str">
        <x:v>significantRotationalRestraintEvidence</x:v>
      </x:c>
      <x:c r="D24" s="48" t="str">
        <x:v>https://w3id.org/nltl/vocab#significantRotationalRestraintEvidence</x:v>
      </x:c>
      <x:c r="E24" s="47" t="str">
        <x:v>ObjectProperty</x:v>
      </x:c>
      <x:c r="F24" s="47" t="str"/>
      <x:c r="G24" s="47" t="str">
        <x:v>https://w3id.org/nltl/vocab#evidenceArtifact</x:v>
      </x:c>
      <x:c r="H24" s="47" t="str"/>
      <x:c r="I24" s="48" t="str">
        <x:v>linked by the locked 313-requirement index</x:v>
      </x:c>
      <x:c r="J24" s="47" t="n">
        <x:v>0</x:v>
      </x:c>
    </x:row>
    <x:row r="25">
      <x:c r="A25" s="47" t="str">
        <x:v>RUN-I2-026-20260819T120053879397Z</x:v>
      </x:c>
      <x:c r="B25" s="47" t="str">
        <x:v>I2-026</x:v>
      </x:c>
      <x:c r="C25" s="47" t="str">
        <x:v>simpleFrameSupport</x:v>
      </x:c>
      <x:c r="D25" s="48" t="str">
        <x:v>https://w3id.org/nltl/vocab#simpleFrameSupport</x:v>
      </x:c>
      <x:c r="E25" s="47" t="str">
        <x:v>NamedIndividual</x:v>
      </x:c>
      <x:c r="F25" s="47" t="str"/>
      <x:c r="G25" s="47" t="str">
        <x:v>https://w3id.org/nltl/vocab#frameSupportConditionValue</x:v>
      </x:c>
      <x:c r="H25" s="47" t="str"/>
      <x:c r="I25" s="48" t="str">
        <x:v>controlled value permitted by the range of fixedFrameSupport; controlled value permitted by the range of frameSupportCondition; controlled value permitted by the range of simpleFrameSupport; linked by the locked 313-requirement index</x:v>
      </x:c>
      <x:c r="J25" s="47" t="n">
        <x:v>0</x:v>
      </x:c>
    </x:row>
    <x:row r="26">
      <x:c r="A26" s="47" t="str">
        <x:v>RUN-I2-026-20260819T120053879397Z</x:v>
      </x:c>
      <x:c r="B26" s="47" t="str">
        <x:v>I2-026</x:v>
      </x:c>
      <x:c r="C26" s="47" t="str">
        <x:v>structuralMember</x:v>
      </x:c>
      <x:c r="D26" s="48" t="str">
        <x:v>https://w3id.org/nltl/vocab#structuralMember</x:v>
      </x:c>
      <x:c r="E26" s="47" t="str">
        <x:v>Class</x:v>
      </x:c>
      <x:c r="F26" s="47" t="str"/>
      <x:c r="G26" s="47" t="str">
        <x:v>https://w3id.org/nltl/vocab#hullStructure</x:v>
      </x:c>
      <x:c r="H26" s="47" t="str"/>
      <x:c r="I26" s="48" t="str">
        <x:v>authoritative required owner class; domain dependency of continuousThroughSupport; domain dependency of frameSupportCondition; domain dependency of hasMemberSupport; domain dependency of significantRotationalRestraintEvidence; domain dependency of terminatesWithinIceStrengthenedArea; range dependency of hasStructuralMember</x:v>
      </x:c>
      <x:c r="J26" s="47" t="n">
        <x:v>0</x:v>
      </x:c>
    </x:row>
    <x:row r="27">
      <x:c r="A27" s="47" t="str">
        <x:v>RUN-I2-026-20260819T120053879397Z</x:v>
      </x:c>
      <x:c r="B27" s="47" t="str">
        <x:v>I2-026</x:v>
      </x:c>
      <x:c r="C27" s="47" t="str">
        <x:v>supportFixity</x:v>
      </x:c>
      <x:c r="D27" s="48" t="str">
        <x:v>https://w3id.org/nltl/vocab#supportFixity</x:v>
      </x:c>
      <x:c r="E27" s="47" t="str">
        <x:v>DatatypeProperty</x:v>
      </x:c>
      <x:c r="F27" s="47" t="str">
        <x:v>xsd:string</x:v>
      </x:c>
      <x:c r="G27" s="47" t="str">
        <x:v>http://www.w3.org/2001/XMLSchema#string</x:v>
      </x:c>
      <x:c r="H27" s="47" t="str"/>
      <x:c r="I27" s="48" t="str">
        <x:v>linked by the locked 313-requirement index</x:v>
      </x:c>
      <x:c r="J27" s="47" t="n">
        <x:v>0</x:v>
      </x:c>
    </x:row>
    <x:row r="28">
      <x:c r="A28" s="49" t="str">
        <x:v>RUN-I2-026-20260819T120053879397Z</x:v>
      </x:c>
      <x:c r="B28" s="49" t="str">
        <x:v>I2-026</x:v>
      </x:c>
      <x:c r="C28" s="49" t="str">
        <x:v>terminatesWithinIceStrengthenedArea</x:v>
      </x:c>
      <x:c r="D28" s="50" t="str">
        <x:v>https://w3id.org/nltl/vocab#terminatesWithinIceStrengthenedArea</x:v>
      </x:c>
      <x:c r="E28" s="49" t="str">
        <x:v>DatatypeProperty</x:v>
      </x:c>
      <x:c r="F28" s="49" t="str">
        <x:v>xsd:boolean</x:v>
      </x:c>
      <x:c r="G28" s="49" t="str">
        <x:v>http://www.w3.org/2001/XMLSchema#boolean</x:v>
      </x:c>
      <x:c r="H28" s="49" t="str"/>
      <x:c r="I28" s="50" t="str">
        <x:v>linked by the locked 313-requirement index</x:v>
      </x:c>
      <x:c r="J28" s="49" t="n">
        <x:v>0</x:v>
      </x:c>
    </x:row>
  </x:sheetData>
  <x:pageMargins left="0.7" right="0.7" top="0.75" bottom="0.75" header="0.3" footer="0.3"/>
  <x:tableParts count="1">
    <x:tablePart xmlns:r="http://schemas.openxmlformats.org/officeDocument/2006/relationships" r:id="R8971656e7e9547d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RUN-I2-026-20260819T120053879397Z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RUN-I2-026-20260819T120053879397Z</x:v>
      </x:c>
      <x:c r="B5" s="45" t="str">
        <x:v>I2-026</x:v>
      </x:c>
      <x:c r="C5" s="45" t="str">
        <x:v>FS-BOOL-01</x:v>
      </x:c>
      <x:c r="D5" s="45" t="str">
        <x:v>boolean_state</x:v>
      </x:c>
      <x:c r="E5" s="97" t="n">
        <x:v>0.047619</x:v>
      </x:c>
      <x:c r="F5" s="45" t="str">
        <x:v>boolean | required | value</x:v>
      </x:c>
      <x:c r="G5" s="45" t="str">
        <x:v>synthetic-few-shot-not-benchmark-ground-truth</x:v>
      </x:c>
    </x:row>
    <x:row r="6">
      <x:c r="A6" s="49" t="str">
        <x:v>RUN-I2-026-20260819T120053879397Z</x:v>
      </x:c>
      <x:c r="B6" s="49" t="str">
        <x:v>I2-026</x:v>
      </x:c>
      <x:c r="C6" s="49" t="str">
        <x:v>FS-BOOL-02</x:v>
      </x:c>
      <x:c r="D6" s="49" t="str">
        <x:v>boolean_state</x:v>
      </x:c>
      <x:c r="E6" s="98" t="n">
        <x:v>0.047619</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b7069333553a4a9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RUN-I2-026-20260819T120053879397Z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RUN-I2-026-20260819T120053879397Z</x:v>
      </x:c>
      <x:c r="B5" s="45" t="str">
        <x:v>I2-026</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https://w3id.org/nltl/vocab#connectionBracketPresent | https://w3id.org/nltl/vocab#continuousThroughSupport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5" s="46" t="str"/>
      <x:c r="P5" s="46" t="str"/>
      <x:c r="Q5" s="46" t="str"/>
    </x:row>
    <x:row r="6">
      <x:c r="A6" s="47" t="str">
        <x:v>RUN-I2-026-20260819T120053879397Z</x:v>
      </x:c>
      <x:c r="B6" s="47" t="str">
        <x:v>I2-026</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https://w3id.org/nltl/vocab#connectionBracketPresent | https://w3id.org/nltl/vocab#continuousThroughSupport | https://w3id.org/nltl/vocab#evidenceArtifact | https://w3id.org/nltl/vocab#fixedFrameSupport | https://w3id.org/nltl/vocab#frameSupportCondition | https://w3id.org/nltl/vocab#hasMemberSupport | https://w3id.org/nltl/vocab#hasStructuralMember | https://w3id.org/nltl/vocab#ship | https://w3id.org/nltl/vocab#significantRotationalRestraintEvidence | https://w3id.org/nltl/vocab#simpleFrameSupport | https://w3id.org/nltl/vocab#terminatesWithinIceStrengthenedArea</x:v>
      </x:c>
      <x:c r="O6" s="48" t="str"/>
      <x:c r="P6" s="48" t="str"/>
      <x:c r="Q6" s="48" t="str"/>
    </x:row>
    <x:row r="7">
      <x:c r="A7" s="49" t="str">
        <x:v>RUN-I2-026-20260819T120053879397Z</x:v>
      </x:c>
      <x:c r="B7" s="49" t="str">
        <x:v>I2-026</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https://w3id.org/nltl/vocab#connectionBracketPresent | https://w3id.org/nltl/vocab#continuousThroughSupport | https://w3id.org/nltl/vocab#evidenceArtifact | https://w3id.org/nltl/vocab#fixedFrameSupport | https://w3id.org/nltl/vocab#frameSupportCondition | https://w3id.org/nltl/vocab#hasMemberSupport | https://w3id.org/nltl/vocab#hasStructuralMember | https://w3id.org/nltl/vocab#memberSupport | https://w3id.org/nltl/vocab#ship | https://w3id.org/nltl/vocab#significantRotationalRestraintEvidence | https://w3id.org/nltl/vocab#simpleFrameSupport | https://w3id.org/nltl/vocab#structuralMember | https://w3id.org/nltl/vocab#terminatesWithinIceStrengthenedArea</x:v>
      </x:c>
      <x:c r="O7" s="50" t="str"/>
      <x:c r="P7" s="50" t="str"/>
      <x:c r="Q7" s="50" t="str"/>
    </x:row>
  </x:sheetData>
  <x:pageMargins left="0.7" right="0.7" top="0.75" bottom="0.75" header="0.3" footer="0.3"/>
  <x:tableParts count="1">
    <x:tablePart xmlns:r="http://schemas.openxmlformats.org/officeDocument/2006/relationships" r:id="R23aa85944df545dd"/>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RUN-I2-026-20260819T120053879397Z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RUN-I2-026-20260819T120053879397Z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RUN-I2-026-20260819T120053879397Z</x:v>
      </x:c>
      <x:c r="B5" s="45" t="str">
        <x:v>I2-026</x:v>
      </x:c>
      <x:c r="C5" s="58"/>
      <x:c r="D5" s="45" t="str">
        <x:v>initial_context_pack</x:v>
      </x:c>
      <x:c r="E5" s="46" t="str">
        <x:v>artifacts/context_pack_initial.json</x:v>
      </x:c>
      <x:c r="F5" s="45" t="str">
        <x:v>9f4058b392ed944871092d9a2657b25a6e1d4a798963f991166a9f4752170bbf</x:v>
      </x:c>
      <x:c r="G5" s="58" t="n">
        <x:v>30761</x:v>
      </x:c>
    </x:row>
    <x:row r="6">
      <x:c r="A6" s="47" t="str">
        <x:v>RUN-I2-026-20260819T120053879397Z</x:v>
      </x:c>
      <x:c r="B6" s="47" t="str">
        <x:v>I2-026</x:v>
      </x:c>
      <x:c r="C6" s="59"/>
      <x:c r="D6" s="47" t="str">
        <x:v>few_shot_selection</x:v>
      </x:c>
      <x:c r="E6" s="48" t="str">
        <x:v>artifacts/few_shots_selected.json</x:v>
      </x:c>
      <x:c r="F6" s="47" t="str">
        <x:v>64ee826238c73fcd6edc55486156c10572e65dbaf52af718dc8f17e4ffcd7d42</x:v>
      </x:c>
      <x:c r="G6" s="59" t="n">
        <x:v>3110</x:v>
      </x:c>
    </x:row>
    <x:row r="7">
      <x:c r="A7" s="47" t="str">
        <x:v>RUN-I2-026-20260819T120053879397Z</x:v>
      </x:c>
      <x:c r="B7" s="47" t="str">
        <x:v>I2-026</x:v>
      </x:c>
      <x:c r="C7" s="59" t="n">
        <x:v>1</x:v>
      </x:c>
      <x:c r="D7" s="47" t="str">
        <x:v>generator_prompt</x:v>
      </x:c>
      <x:c r="E7" s="48" t="str">
        <x:v>artifacts/attempt_01/generator_prompt.txt</x:v>
      </x:c>
      <x:c r="F7" s="47" t="str">
        <x:v>3e45b9f9503c0ddfb13c1054b335b6fe832cd3af2dfaf8ad0594d40d4286c364</x:v>
      </x:c>
      <x:c r="G7" s="59" t="n">
        <x:v>42728</x:v>
      </x:c>
    </x:row>
    <x:row r="8">
      <x:c r="A8" s="47" t="str">
        <x:v>RUN-I2-026-20260819T120053879397Z</x:v>
      </x:c>
      <x:c r="B8" s="47" t="str">
        <x:v>I2-026</x:v>
      </x:c>
      <x:c r="C8" s="59" t="n">
        <x:v>1</x:v>
      </x:c>
      <x:c r="D8" s="47" t="str">
        <x:v>generator_raw_response</x:v>
      </x:c>
      <x:c r="E8" s="48" t="str">
        <x:v>artifacts/attempt_01/generator_raw.txt</x:v>
      </x:c>
      <x:c r="F8" s="47" t="str">
        <x:v>2eb621fb78501edc7bc30b5acf30ca0ac95e2afd45198b46eb64b46f2b781f4b</x:v>
      </x:c>
      <x:c r="G8" s="59" t="n">
        <x:v>4692</x:v>
      </x:c>
    </x:row>
    <x:row r="9">
      <x:c r="A9" s="47" t="str">
        <x:v>RUN-I2-026-20260819T120053879397Z</x:v>
      </x:c>
      <x:c r="B9" s="47" t="str">
        <x:v>I2-026</x:v>
      </x:c>
      <x:c r="C9" s="59" t="n">
        <x:v>1</x:v>
      </x:c>
      <x:c r="D9" s="47" t="str">
        <x:v>candidate_shape</x:v>
      </x:c>
      <x:c r="E9" s="48" t="str">
        <x:v>artifacts/attempt_01/candidate_shape.ttl</x:v>
      </x:c>
      <x:c r="F9" s="47" t="str">
        <x:v>0d4cf8bd2800519915f71e06a9c3f10066f80256b07a4dd2ec77d1750848061f</x:v>
      </x:c>
      <x:c r="G9" s="59" t="n">
        <x:v>4667</x:v>
      </x:c>
    </x:row>
    <x:row r="10">
      <x:c r="A10" s="47" t="str">
        <x:v>RUN-I2-026-20260819T120053879397Z</x:v>
      </x:c>
      <x:c r="B10" s="47" t="str">
        <x:v>I2-026</x:v>
      </x:c>
      <x:c r="C10" s="59" t="n">
        <x:v>1</x:v>
      </x:c>
      <x:c r="D10" s="47" t="str">
        <x:v>deterministic_validation</x:v>
      </x:c>
      <x:c r="E10" s="48" t="str">
        <x:v>artifacts/attempt_01/deterministic_validation.json</x:v>
      </x:c>
      <x:c r="F10" s="47" t="str">
        <x:v>78760d291bf453848b99d6d1de749ac0c1b05739113d8bfbc67f54005e8ed2ad</x:v>
      </x:c>
      <x:c r="G10" s="59" t="n">
        <x:v>965</x:v>
      </x:c>
    </x:row>
    <x:row r="11">
      <x:c r="A11" s="47" t="str">
        <x:v>RUN-I2-026-20260819T120053879397Z</x:v>
      </x:c>
      <x:c r="B11" s="47" t="str">
        <x:v>I2-026</x:v>
      </x:c>
      <x:c r="C11" s="59" t="n">
        <x:v>1</x:v>
      </x:c>
      <x:c r="D11" s="47" t="str">
        <x:v>validator_prompt</x:v>
      </x:c>
      <x:c r="E11" s="48" t="str">
        <x:v>artifacts/attempt_01/validator_prompt_01.txt</x:v>
      </x:c>
      <x:c r="F11" s="47" t="str">
        <x:v>8ef73a3aec489456bcd1624413dadc18e129cc025cd02d78ec7a03674bc3f528</x:v>
      </x:c>
      <x:c r="G11" s="59" t="n">
        <x:v>44643</x:v>
      </x:c>
    </x:row>
    <x:row r="12">
      <x:c r="A12" s="47" t="str">
        <x:v>RUN-I2-026-20260819T120053879397Z</x:v>
      </x:c>
      <x:c r="B12" s="47" t="str">
        <x:v>I2-026</x:v>
      </x:c>
      <x:c r="C12" s="59" t="n">
        <x:v>1</x:v>
      </x:c>
      <x:c r="D12" s="47" t="str">
        <x:v>validator_raw_response</x:v>
      </x:c>
      <x:c r="E12" s="48" t="str">
        <x:v>artifacts/attempt_01/validator_raw_01.txt</x:v>
      </x:c>
      <x:c r="F12" s="47" t="str">
        <x:v>91ca71cda77e26f9e9da6e8df5561e03210e9bc36c3962c1a6ca560e6299ec22</x:v>
      </x:c>
      <x:c r="G12" s="59" t="n">
        <x:v>518</x:v>
      </x:c>
    </x:row>
    <x:row r="13">
      <x:c r="A13" s="47" t="str">
        <x:v>RUN-I2-026-20260819T120053879397Z</x:v>
      </x:c>
      <x:c r="B13" s="47" t="str">
        <x:v>I2-026</x:v>
      </x:c>
      <x:c r="C13" s="59" t="n">
        <x:v>2</x:v>
      </x:c>
      <x:c r="D13" s="47" t="str">
        <x:v>generator_prompt</x:v>
      </x:c>
      <x:c r="E13" s="48" t="str">
        <x:v>artifacts/attempt_02/generator_prompt.txt</x:v>
      </x:c>
      <x:c r="F13" s="47" t="str">
        <x:v>7039b12907bb29e41bd51773408519bd1e84ab8dcbc9e7b5a7fb4f50b81d6f91</x:v>
      </x:c>
      <x:c r="G13" s="59" t="n">
        <x:v>43181</x:v>
      </x:c>
    </x:row>
    <x:row r="14">
      <x:c r="A14" s="47" t="str">
        <x:v>RUN-I2-026-20260819T120053879397Z</x:v>
      </x:c>
      <x:c r="B14" s="47" t="str">
        <x:v>I2-026</x:v>
      </x:c>
      <x:c r="C14" s="59" t="n">
        <x:v>2</x:v>
      </x:c>
      <x:c r="D14" s="47" t="str">
        <x:v>generator_raw_response</x:v>
      </x:c>
      <x:c r="E14" s="48" t="str">
        <x:v>artifacts/attempt_02/generator_raw.txt</x:v>
      </x:c>
      <x:c r="F14" s="47" t="str">
        <x:v>cc130469e6465bdb8e7ecb1862312ac0a6458ba85d0ba8570608bc4e37b0198c</x:v>
      </x:c>
      <x:c r="G14" s="59" t="n">
        <x:v>4372</x:v>
      </x:c>
    </x:row>
    <x:row r="15">
      <x:c r="A15" s="47" t="str">
        <x:v>RUN-I2-026-20260819T120053879397Z</x:v>
      </x:c>
      <x:c r="B15" s="47" t="str">
        <x:v>I2-026</x:v>
      </x:c>
      <x:c r="C15" s="59" t="n">
        <x:v>2</x:v>
      </x:c>
      <x:c r="D15" s="47" t="str">
        <x:v>candidate_shape</x:v>
      </x:c>
      <x:c r="E15" s="48" t="str">
        <x:v>artifacts/attempt_02/candidate_shape.ttl</x:v>
      </x:c>
      <x:c r="F15" s="47" t="str">
        <x:v>914174e0cd23850b995f8a0e72c99630a826797ecf7e60e43ea881dc19bf1ed5</x:v>
      </x:c>
      <x:c r="G15" s="59" t="n">
        <x:v>4347</x:v>
      </x:c>
    </x:row>
    <x:row r="16">
      <x:c r="A16" s="47" t="str">
        <x:v>RUN-I2-026-20260819T120053879397Z</x:v>
      </x:c>
      <x:c r="B16" s="47" t="str">
        <x:v>I2-026</x:v>
      </x:c>
      <x:c r="C16" s="59" t="n">
        <x:v>2</x:v>
      </x:c>
      <x:c r="D16" s="47" t="str">
        <x:v>deterministic_validation</x:v>
      </x:c>
      <x:c r="E16" s="48" t="str">
        <x:v>artifacts/attempt_02/deterministic_validation.json</x:v>
      </x:c>
      <x:c r="F16" s="47" t="str">
        <x:v>aa4c60f04083e32b22c136f8ca3c6a3f41c40092f6116b3c4bf6d73d442e9d80</x:v>
      </x:c>
      <x:c r="G16" s="59" t="n">
        <x:v>1017</x:v>
      </x:c>
    </x:row>
    <x:row r="17">
      <x:c r="A17" s="47" t="str">
        <x:v>RUN-I2-026-20260819T120053879397Z</x:v>
      </x:c>
      <x:c r="B17" s="47" t="str">
        <x:v>I2-026</x:v>
      </x:c>
      <x:c r="C17" s="59" t="n">
        <x:v>2</x:v>
      </x:c>
      <x:c r="D17" s="47" t="str">
        <x:v>validator_prompt</x:v>
      </x:c>
      <x:c r="E17" s="48" t="str">
        <x:v>artifacts/attempt_02/validator_prompt_01.txt</x:v>
      </x:c>
      <x:c r="F17" s="47" t="str">
        <x:v>9e8ea13019b050c66d3fe12aebab3fa8f20ad8c58d6f639978d308d49743b611</x:v>
      </x:c>
      <x:c r="G17" s="59" t="n">
        <x:v>44634</x:v>
      </x:c>
    </x:row>
    <x:row r="18">
      <x:c r="A18" s="47" t="str">
        <x:v>RUN-I2-026-20260819T120053879397Z</x:v>
      </x:c>
      <x:c r="B18" s="47" t="str">
        <x:v>I2-026</x:v>
      </x:c>
      <x:c r="C18" s="59" t="n">
        <x:v>2</x:v>
      </x:c>
      <x:c r="D18" s="47" t="str">
        <x:v>validator_raw_response</x:v>
      </x:c>
      <x:c r="E18" s="48" t="str">
        <x:v>artifacts/attempt_02/validator_raw_01.txt</x:v>
      </x:c>
      <x:c r="F18" s="47" t="str">
        <x:v>f2b2e900a489b07014f9fc30dea00acd1cf673c537bb12b32702a0f938c4b41f</x:v>
      </x:c>
      <x:c r="G18" s="59" t="n">
        <x:v>662</x:v>
      </x:c>
    </x:row>
    <x:row r="19">
      <x:c r="A19" s="47" t="str">
        <x:v>RUN-I2-026-20260819T120053879397Z</x:v>
      </x:c>
      <x:c r="B19" s="47" t="str">
        <x:v>I2-026</x:v>
      </x:c>
      <x:c r="C19" s="59" t="n">
        <x:v>3</x:v>
      </x:c>
      <x:c r="D19" s="47" t="str">
        <x:v>generator_prompt</x:v>
      </x:c>
      <x:c r="E19" s="48" t="str">
        <x:v>artifacts/attempt_03/generator_prompt.txt</x:v>
      </x:c>
      <x:c r="F19" s="47" t="str">
        <x:v>efa513b21451f4f7acb1f9bfb913db77f9d6e68f8de66ab110bef45338054120</x:v>
      </x:c>
      <x:c r="G19" s="59" t="n">
        <x:v>43786</x:v>
      </x:c>
    </x:row>
    <x:row r="20">
      <x:c r="A20" s="47" t="str">
        <x:v>RUN-I2-026-20260819T120053879397Z</x:v>
      </x:c>
      <x:c r="B20" s="47" t="str">
        <x:v>I2-026</x:v>
      </x:c>
      <x:c r="C20" s="59" t="n">
        <x:v>3</x:v>
      </x:c>
      <x:c r="D20" s="47" t="str">
        <x:v>generator_raw_response</x:v>
      </x:c>
      <x:c r="E20" s="48" t="str">
        <x:v>artifacts/attempt_03/generator_raw.txt</x:v>
      </x:c>
      <x:c r="F20" s="47" t="str">
        <x:v>df47900b003686f4b319dec13dfdd3cb673def3bdda030502a9e5c1cde3b4655</x:v>
      </x:c>
      <x:c r="G20" s="59" t="n">
        <x:v>5089</x:v>
      </x:c>
    </x:row>
    <x:row r="21">
      <x:c r="A21" s="47" t="str">
        <x:v>RUN-I2-026-20260819T120053879397Z</x:v>
      </x:c>
      <x:c r="B21" s="47" t="str">
        <x:v>I2-026</x:v>
      </x:c>
      <x:c r="C21" s="59" t="n">
        <x:v>3</x:v>
      </x:c>
      <x:c r="D21" s="47" t="str">
        <x:v>candidate_shape</x:v>
      </x:c>
      <x:c r="E21" s="48" t="str">
        <x:v>artifacts/attempt_03/candidate_shape.ttl</x:v>
      </x:c>
      <x:c r="F21" s="47" t="str">
        <x:v>fc9b06b13d253ab001f4c2c976ac5c6e3ce8dc8604a1ae7bff346286f6d0ee78</x:v>
      </x:c>
      <x:c r="G21" s="59" t="n">
        <x:v>5064</x:v>
      </x:c>
    </x:row>
    <x:row r="22">
      <x:c r="A22" s="47" t="str">
        <x:v>RUN-I2-026-20260819T120053879397Z</x:v>
      </x:c>
      <x:c r="B22" s="47" t="str">
        <x:v>I2-026</x:v>
      </x:c>
      <x:c r="C22" s="59" t="n">
        <x:v>3</x:v>
      </x:c>
      <x:c r="D22" s="47" t="str">
        <x:v>deterministic_validation</x:v>
      </x:c>
      <x:c r="E22" s="48" t="str">
        <x:v>artifacts/attempt_03/deterministic_validation.json</x:v>
      </x:c>
      <x:c r="F22" s="47" t="str">
        <x:v>4211f0d7562e502687984b15690315b2f3b79da03840cf6d0a2d258f2539273f</x:v>
      </x:c>
      <x:c r="G22" s="59" t="n">
        <x:v>1118</x:v>
      </x:c>
    </x:row>
    <x:row r="23">
      <x:c r="A23" s="47" t="str">
        <x:v>RUN-I2-026-20260819T120053879397Z</x:v>
      </x:c>
      <x:c r="B23" s="47" t="str">
        <x:v>I2-026</x:v>
      </x:c>
      <x:c r="C23" s="59" t="n">
        <x:v>3</x:v>
      </x:c>
      <x:c r="D23" s="47" t="str">
        <x:v>validator_prompt</x:v>
      </x:c>
      <x:c r="E23" s="48" t="str">
        <x:v>artifacts/attempt_03/validator_prompt_01.txt</x:v>
      </x:c>
      <x:c r="F23" s="47" t="str">
        <x:v>92d4f99a33ee39063fce36c590089924ec68c8a76951d2b9789cf3328a452b29</x:v>
      </x:c>
      <x:c r="G23" s="59" t="n">
        <x:v>46099</x:v>
      </x:c>
    </x:row>
    <x:row r="24">
      <x:c r="A24" s="49" t="str">
        <x:v>RUN-I2-026-20260819T120053879397Z</x:v>
      </x:c>
      <x:c r="B24" s="49" t="str">
        <x:v>I2-026</x:v>
      </x:c>
      <x:c r="C24" s="60" t="n">
        <x:v>3</x:v>
      </x:c>
      <x:c r="D24" s="49" t="str">
        <x:v>validator_raw_response</x:v>
      </x:c>
      <x:c r="E24" s="50" t="str">
        <x:v>artifacts/attempt_03/validator_raw_01.txt</x:v>
      </x:c>
      <x:c r="F24" s="49" t="str">
        <x:v>8f9c62d4c212ca164e96de409c9c77cfd37f5d577d32ebd832f5b921cc1da11a</x:v>
      </x:c>
      <x:c r="G24" s="60" t="n">
        <x:v>813</x:v>
      </x:c>
    </x:row>
  </x:sheetData>
  <x:pageMargins left="0.7" right="0.7" top="0.75" bottom="0.75" header="0.3" footer="0.3"/>
  <x:tableParts count="1">
    <x:tablePart xmlns:r="http://schemas.openxmlformats.org/officeDocument/2006/relationships" r:id="R881e31560cb5488e"/>
  </x:tableParts>
</x:worksheet>
</file>

<file path=xl/worksheets/sheet12.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4" hidden="0" customWidth="1"/>
    <x:col min="5" max="5" width="52" hidden="0" customWidth="1"/>
    <x:col min="6" max="6" width="11" hidden="0" customWidth="1"/>
  </x:cols>
  <x:sheetData>
    <x:row r="1">
      <x:c r="A1" s="18" t="str">
        <x:v>NLTL SHACL Pipeline Run Tracker</x:v>
      </x:c>
      <x:c r="B1" s="19"/>
      <x:c r="C1" s="19"/>
      <x:c r="D1" s="19"/>
      <x:c r="E1" s="19"/>
      <x:c r="F1" s="19"/>
    </x:row>
    <x:row r="2">
      <x:c r="A2" s="20" t="str">
        <x:v>UNRESOLVED | Run folder: RUN-I2-026-20260819T120053879397Z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69" t="str">
        <x:v>RUN-I2-026-20260819T120053879397Z</x:v>
      </x:c>
      <x:c r="B5" s="69" t="str">
        <x:v>I2-026</x:v>
      </x:c>
      <x:c r="C5" s="71" t="n">
        <x:v>3</x:v>
      </x:c>
      <x:c r="D5" s="69" t="str">
        <x:v>MAX_ATTEMPTS_REACHED</x:v>
      </x:c>
      <x:c r="E5" s="73" t="str">
        <x:v>Do not let the simple-support branch pass merely because continuity, ice-area termination, or rotational-restraint demonstration data are absent. Use the supplied nltl:demonstratedRotationalRestraint on the relevant nltl:memberSupport: the rotational-restraint fixed-support alternative must require demonstratedRotationalRestraint true together with significantRotationalRestraintEvidence, while the simple-support alternative must require explicit false values for connectionBracketPresent and demonstratedRotationalRestraint and explicit false values for continuousThroughSupport and terminatesWithinIceStrengthenedArea. Replace the absence-based sh:not logic accordingly; the required canonical term is already supplied, so no matcher is needed.</x:v>
      </x:c>
      <x:c r="F5" s="69" t="str">
        <x:v>OPEN</x:v>
      </x:c>
    </x:row>
  </x:sheetData>
  <x:conditionalFormatting sqref="F5:F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pageMargins left="0.7" right="0.7" top="0.75" bottom="0.75" header="0.3" footer="0.3"/>
  <x:tableParts count="1">
    <x:tablePart xmlns:r="http://schemas.openxmlformats.org/officeDocument/2006/relationships" r:id="R24c124764f9848ba"/>
  </x:tableParts>
</x:worksheet>
</file>

<file path=xl/worksheets/sheet13.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RDF_TEST_QUEUE | Run folder: RUN-I2-026-20260819T120053879397Z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106" t="str">
        <x:v>No records for this run.</x:v>
      </x:c>
      <x:c r="B5" s="21"/>
      <x:c r="C5" s="21"/>
      <x:c r="D5" s="21"/>
      <x:c r="E5" s="21"/>
      <x:c r="F5" s="21"/>
    </x:row>
  </x:sheetData>
  <x:pageMargins left="0.7" right="0.7" top="0.75" bottom="0.75" header="0.3" footer="0.3"/>
</x:worksheet>
</file>