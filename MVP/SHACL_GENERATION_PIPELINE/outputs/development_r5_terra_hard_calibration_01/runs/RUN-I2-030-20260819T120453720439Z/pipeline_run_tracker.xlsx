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4a8c7656d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ed87cea6fe4d57"/>
    <x:sheet xmlns:r="http://schemas.openxmlformats.org/officeDocument/2006/relationships" name="README" sheetId="2" r:id="Ra1862e7786ba4b9f"/>
    <x:sheet xmlns:r="http://schemas.openxmlformats.org/officeDocument/2006/relationships" name="REGULATION_QUEUE" sheetId="3" r:id="Rda687429540a41a3"/>
    <x:sheet xmlns:r="http://schemas.openxmlformats.org/officeDocument/2006/relationships" name="RUNS" sheetId="4" r:id="Re7a25e8f2a4e40c8"/>
    <x:sheet xmlns:r="http://schemas.openxmlformats.org/officeDocument/2006/relationships" name="ITERATIONS" sheetId="5" r:id="R6067baf010774c2b"/>
    <x:sheet xmlns:r="http://schemas.openxmlformats.org/officeDocument/2006/relationships" name="API_CALLS" sheetId="6" r:id="R6a73e4c2c9a3401d"/>
    <x:sheet xmlns:r="http://schemas.openxmlformats.org/officeDocument/2006/relationships" name="TERM_RETRIEVAL" sheetId="7" r:id="R15b3387af7554bb0"/>
    <x:sheet xmlns:r="http://schemas.openxmlformats.org/officeDocument/2006/relationships" name="FEW_SHOT_SELECTION" sheetId="8" r:id="Rbc282155a819406b"/>
    <x:sheet xmlns:r="http://schemas.openxmlformats.org/officeDocument/2006/relationships" name="VALIDATION" sheetId="9" r:id="R312a0576fafb4add"/>
    <x:sheet xmlns:r="http://schemas.openxmlformats.org/officeDocument/2006/relationships" name="VOCAB_MATCHES" sheetId="10" r:id="R95d7e99ef8b84af5"/>
    <x:sheet xmlns:r="http://schemas.openxmlformats.org/officeDocument/2006/relationships" name="ARTIFACTS" sheetId="11" r:id="R2c458511915c42f0"/>
    <x:sheet xmlns:r="http://schemas.openxmlformats.org/officeDocument/2006/relationships" name="UNRESOLVED" sheetId="12" r:id="R55a9802428b04b3d"/>
    <x:sheet xmlns:r="http://schemas.openxmlformats.org/officeDocument/2006/relationships" name="RDF_TEST_QUEUE" sheetId="13" r:id="Rb44a10dcb43b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4ecf641f84c58" /><Relationship Type="http://schemas.openxmlformats.org/officeDocument/2006/relationships/theme" Target="/xl/theme/theme1.xml" Id="R1388b8e0065445b0" /><Relationship Type="http://schemas.microsoft.com/office/2022/11/relationships/FeaturePropertyBag" Target="/xl/featurePropertyBag/featurePropertyBag.xml" Id="Rc99c5d55565c4add" /><Relationship Type="http://schemas.openxmlformats.org/officeDocument/2006/relationships/sharedStrings" Target="/xl/sharedStrings.xml" Id="R919352b288904deb" /><Relationship Type="http://schemas.openxmlformats.org/officeDocument/2006/relationships/worksheet" Target="/xl/worksheets/sheet1.xml" Id="R49ed87cea6fe4d57" /><Relationship Type="http://schemas.openxmlformats.org/officeDocument/2006/relationships/worksheet" Target="/xl/worksheets/sheet2.xml" Id="Ra1862e7786ba4b9f" /><Relationship Type="http://schemas.openxmlformats.org/officeDocument/2006/relationships/worksheet" Target="/xl/worksheets/sheet3.xml" Id="Rda687429540a41a3" /><Relationship Type="http://schemas.openxmlformats.org/officeDocument/2006/relationships/worksheet" Target="/xl/worksheets/sheet4.xml" Id="Re7a25e8f2a4e40c8" /><Relationship Type="http://schemas.openxmlformats.org/officeDocument/2006/relationships/worksheet" Target="/xl/worksheets/sheet5.xml" Id="R6067baf010774c2b" /><Relationship Type="http://schemas.openxmlformats.org/officeDocument/2006/relationships/worksheet" Target="/xl/worksheets/sheet6.xml" Id="R6a73e4c2c9a3401d" /><Relationship Type="http://schemas.openxmlformats.org/officeDocument/2006/relationships/worksheet" Target="/xl/worksheets/sheet7.xml" Id="R15b3387af7554bb0" /><Relationship Type="http://schemas.openxmlformats.org/officeDocument/2006/relationships/worksheet" Target="/xl/worksheets/sheet8.xml" Id="Rbc282155a819406b" /><Relationship Type="http://schemas.openxmlformats.org/officeDocument/2006/relationships/worksheet" Target="/xl/worksheets/sheet9.xml" Id="R312a0576fafb4add" /><Relationship Type="http://schemas.openxmlformats.org/officeDocument/2006/relationships/worksheet" Target="/xl/worksheets/sheet10.xml" Id="R95d7e99ef8b84af5" /><Relationship Type="http://schemas.openxmlformats.org/officeDocument/2006/relationships/worksheet" Target="/xl/worksheets/sheet11.xml" Id="R2c458511915c42f0" /><Relationship Type="http://schemas.openxmlformats.org/officeDocument/2006/relationships/worksheet" Target="/xl/worksheets/sheet12.xml" Id="R55a9802428b04b3d" /><Relationship Type="http://schemas.openxmlformats.org/officeDocument/2006/relationships/worksheet" Target="/xl/worksheets/sheet13.xml" Id="Rb44a10dcb43b49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d3fb57c2a43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d815f0896f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81cd7604e84c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5c5d0f31f04e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01a3ed054849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97bf4ce503e48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06a2dd8cae42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b8e0f88979452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d1c91b243f548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2b0f689ce494d8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dc10654e3eb40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RUN-I2-030-20260819T120453720439Z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17880.476166666667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RUN-I2-030-20260819T120453720439Z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8d3fb57c2a43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TERM_RESOLUTION_UNRESOLVED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d815f0896f45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RUN-I2-030-20260819T120453720439Z</x:v>
      </x:c>
      <x:c r="C5" s="69" t="str">
        <x:v>I2-030</x:v>
      </x:c>
      <x:c r="D5" s="70" t="n">
        <x:v>46253.503399560184</x:v>
      </x:c>
      <x:c r="E5" s="70" t="n">
        <x:v>46253.504040706015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represents the attached-plate-flange area required for the applicability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1cd7604e84c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RUN-I2-030-20260819T120453720439Z</x:v>
      </x:c>
      <x:c r="B5" s="69" t="str">
        <x:v>I2-030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a ship-targeted constraint that follows hasCalculationCase and the linked local-frame calculation case/member/plating relationships, and enforce the complete conditional rule: obtain the absent canonical attached-plate-flange-area term/path via the matcher; when A_fn exceeds that area, require z_na and Z_p to match the stated equations using all declared operands, degree-to-radian trigonometry via registered math:sin/math:cos, and tolerances scaled from each expected result. Add the 20&lt;Omega&lt;70 branch with required lower and upper endpoints and a linear-interpolation formula; ensure missing branch-selection or endpoint evidence fails. The current graph only validates isolated presence, cardinality, datatype, and units and never encodes the applicability comparison, either formula, result validation, interpolation, or ship-level required target path.</x:v>
      </x:c>
      <x:c r="I5" s="75" t="n">
        <x:v>43911.489</x:v>
      </x:c>
      <x:c r="J5" s="75" t="n">
        <x:v>8016.874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5c5d0f31f04e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RUN-I2-030-20260819T120453720439Z</x:v>
      </x:c>
      <x:c r="C5" s="45" t="str">
        <x:v>I2-030</x:v>
      </x:c>
      <x:c r="D5" s="88" t="n">
        <x:v>46253.50390782407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43909.749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EVT-000040</x:v>
      </x:c>
      <x:c r="B6" s="47" t="str">
        <x:v>RUN-I2-030-20260819T120453720439Z</x:v>
      </x:c>
      <x:c r="C6" s="47" t="str">
        <x:v>I2-030</x:v>
      </x:c>
      <x:c r="D6" s="91" t="n">
        <x:v>46253.503907847225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43911.489</x:v>
      </x:c>
      <x:c r="L6" s="93" t="b">
        <x:v>0</x:v>
      </x:c>
      <x:c r="M6" s="47" t="str">
        <x:v>resp_05b09e9c04a9f244006a859be62de48196955b86f0d17d4d4a</x:v>
      </x:c>
      <x:c r="N6" s="59" t="n">
        <x:v>14535</x:v>
      </x:c>
      <x:c r="O6" s="59" t="n">
        <x:v>4123</x:v>
      </x:c>
      <x:c r="P6" s="59" t="n">
        <x:v>18658</x:v>
      </x:c>
    </x:row>
    <x:row r="7">
      <x:c r="A7" s="47" t="str">
        <x:v>EVT-000047</x:v>
      </x:c>
      <x:c r="B7" s="47" t="str">
        <x:v>RUN-I2-030-20260819T120453720439Z</x:v>
      </x:c>
      <x:c r="C7" s="47" t="str">
        <x:v>I2-030</x:v>
      </x:c>
      <x:c r="D7" s="91" t="n">
        <x:v>46253.5040037963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8015.275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EVT-000048</x:v>
      </x:c>
      <x:c r="B8" s="47" t="str">
        <x:v>RUN-I2-030-20260819T120453720439Z</x:v>
      </x:c>
      <x:c r="C8" s="47" t="str">
        <x:v>I2-030</x:v>
      </x:c>
      <x:c r="D8" s="91" t="n">
        <x:v>46253.50400381944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8016.874</x:v>
      </x:c>
      <x:c r="L8" s="93" t="b">
        <x:v>0</x:v>
      </x:c>
      <x:c r="M8" s="47" t="str">
        <x:v>resp_04910cc2babc1f4e006a859c1270e8819394e39420a0554395</x:v>
      </x:c>
      <x:c r="N8" s="59" t="n">
        <x:v>17250</x:v>
      </x:c>
      <x:c r="O8" s="59" t="n">
        <x:v>382</x:v>
      </x:c>
      <x:c r="P8" s="59" t="n">
        <x:v>17632</x:v>
      </x:c>
    </x:row>
    <x:row r="9">
      <x:c r="A9" s="47" t="str">
        <x:v>EVT-000054</x:v>
      </x:c>
      <x:c r="B9" s="47" t="str">
        <x:v>RUN-I2-030-20260819T120453720439Z</x:v>
      </x:c>
      <x:c r="C9" s="47" t="str">
        <x:v>I2-030</x:v>
      </x:c>
      <x:c r="D9" s="91" t="n">
        <x:v>46253.504040659725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1714.092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EVT-000055</x:v>
      </x:c>
      <x:c r="B10" s="49" t="str">
        <x:v>RUN-I2-030-20260819T120453720439Z</x:v>
      </x:c>
      <x:c r="C10" s="49" t="str">
        <x:v>I2-030</x:v>
      </x:c>
      <x:c r="D10" s="94" t="n">
        <x:v>46253.504040671294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1715.378</x:v>
      </x:c>
      <x:c r="L10" s="96" t="b">
        <x:v>0</x:v>
      </x:c>
      <x:c r="M10" s="49" t="str">
        <x:v>resp_0b76c695f0c4f934006a859c1b8e948194b76968e72f94e4d4</x:v>
      </x:c>
      <x:c r="N10" s="60" t="n">
        <x:v>3402</x:v>
      </x:c>
      <x:c r="O10" s="60" t="n">
        <x:v>79</x:v>
      </x:c>
      <x:c r="P10" s="60" t="n">
        <x:v>3481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1a3ed054849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RUN-I2-030-20260819T120453720439Z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RUN-I2-030-20260819T120453720439Z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range dependency of hasCalculationCase; range dependency of localFrameSectionCalculationCase</x:v>
      </x:c>
      <x:c r="J6" s="47" t="n">
        <x:v>0</x:v>
      </x:c>
    </x:row>
    <x:row r="7">
      <x:c r="A7" s="47" t="str">
        <x:v>RUN-I2-030-20260819T120453720439Z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RUN-I2-030-20260819T120453720439Z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RUN-I2-030-20260819T120453720439Z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RUN-I2-030-20260819T120453720439Z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RUN-I2-030-20260819T120453720439Z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RUN-I2-030-20260819T120453720439Z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RUN-I2-030-20260819T120453720439Z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RUN-I2-030-20260819T120453720439Z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RUN-I2-030-20260819T120453720439Z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RUN-I2-030-20260819T120453720439Z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RUN-I2-030-20260819T120453720439Z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RUN-I2-030-20260819T120453720439Z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RUN-I2-030-20260819T120453720439Z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RUN-I2-030-20260819T120453720439Z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domain dependency of sectionCalculationCaseStructuralMember;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RUN-I2-030-20260819T120453720439Z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RUN-I2-030-20260819T120453720439Z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RUN-I2-030-20260819T120453720439Z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RUN-I2-030-20260819T120453720439Z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RUN-I2-030-20260819T120453720439Z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RUN-I2-030-20260819T120453720439Z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RUN-I2-030-20260819T120453720439Z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RUN-I2-030-20260819T120453720439Z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RUN-I2-030-20260819T120453720439Z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RUN-I2-030-20260819T120453720439Z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RUN-I2-030-20260819T120453720439Z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RUN-I2-030-20260819T120453720439Z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RUN-I2-030-20260819T120453720439Z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RUN-I2-030-20260819T120453720439Z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RUN-I2-030-20260819T120453720439Z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97bf4ce503e48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RUN-I2-030-20260819T120453720439Z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RUN-I2-030-20260819T120453720439Z</x:v>
      </x:c>
      <x:c r="B5" s="45" t="str">
        <x:v>I2-030</x:v>
      </x:c>
      <x:c r="C5" s="45" t="str">
        <x:v>FS-CALC-02</x:v>
      </x:c>
      <x:c r="D5" s="45" t="str">
        <x:v>comparison_calculation</x:v>
      </x:c>
      <x:c r="E5" s="99" t="n">
        <x:v>0.056338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RUN-I2-030-20260819T120453720439Z</x:v>
      </x:c>
      <x:c r="B6" s="49" t="str">
        <x:v>I2-030</x:v>
      </x:c>
      <x:c r="C6" s="49" t="str">
        <x:v>FS-CALC-01</x:v>
      </x:c>
      <x:c r="D6" s="49" t="str">
        <x:v>comparison_calculation</x:v>
      </x:c>
      <x:c r="E6" s="100" t="n">
        <x:v>0.041667</x:v>
      </x:c>
      <x:c r="F6" s="49" t="str">
        <x:v>calculation | comparison | cross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6a2dd8cae42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RUN-I2-030-20260819T120453720439Z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https://w3id.org/nltl/vocab#frameSpacing | https://w3id.org/nltl/vocab#framingAngleOmega | https://w3id.org/nltl/vocab#hasCalculationCase | https://w3id.org/nltl/vocab#hasLocalFrameSectionCalculationCase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b8e0f8897945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RUN-I2-030-20260819T120453720439Z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RUN-I2-030-20260819T120453720439Z</x:v>
      </x:c>
      <x:c r="B5" s="45" t="str">
        <x:v>I2-030</x:v>
      </x:c>
      <x:c r="C5" s="58" t="n">
        <x:v>1</x:v>
      </x:c>
      <x:c r="D5" s="45" t="str">
        <x:v>matcher_search</x:v>
      </x:c>
      <x:c r="E5" s="46" t="str">
        <x:v>Add a ship-targeted constraint that follows hasCalculationCase and the linked local-frame calculation case/member/plating relationships, and enforce the complete conditional rule: obtain the absent canonical attached-plate-flange-area term/path via the matcher; when A_fn exceeds that area, require z_na and Z_p to match the stated equations using all declared operands, degree-to-radian trigonometry via registered math:sin/math:cos, and tolerances scaled from each expected result. Add the 20&lt;Omega&lt;70 branch with required lower and upper endpoints and a linear-interpolation formula; ensure missing branch-selection or endpoint evidence fails. The current graph only validates isolated presence, cardinality, datatype, and units and never encodes the applicability comparison, either formula, result validation, interpolation, or ship-level required target path.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RUN-I2-030-20260819T120453720439Z</x:v>
      </x:c>
      <x:c r="B6" s="49" t="str">
        <x:v>I2-030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represents the attached-plate-flange area required for the applicability comparison.</x:v>
      </x:c>
    </x:row>
  </x:sheetData>
  <x:pageMargins left="0.7" right="0.7" top="0.75" bottom="0.75" header="0.3" footer="0.3"/>
  <x:tableParts count="1">
    <x:tablePart xmlns:r="http://schemas.openxmlformats.org/officeDocument/2006/relationships" r:id="Rad1c91b243f548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RUN-I2-030-20260819T120453720439Z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RUN-I2-030-20260819T120453720439Z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be01a39fc2b2ff5f369d2437296ff9bd5612fa892255fa6bfda190fce7743594</x:v>
      </x:c>
      <x:c r="G5" s="58" t="n">
        <x:v>43122</x:v>
      </x:c>
    </x:row>
    <x:row r="6">
      <x:c r="A6" s="47" t="str">
        <x:v>RUN-I2-030-20260819T120453720439Z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09cf0c8a44f35514e2d4d5d88547d578517832115ab20b9ddbeae5120facde73</x:v>
      </x:c>
      <x:c r="G6" s="59" t="n">
        <x:v>5266</x:v>
      </x:c>
    </x:row>
    <x:row r="7">
      <x:c r="A7" s="47" t="str">
        <x:v>RUN-I2-030-20260819T120453720439Z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541e0eedf2411a7717948a2f2aea81531ab85f68ce458502b159599e839c845c</x:v>
      </x:c>
      <x:c r="G7" s="59" t="n">
        <x:v>57303</x:v>
      </x:c>
    </x:row>
    <x:row r="8">
      <x:c r="A8" s="47" t="str">
        <x:v>RUN-I2-030-20260819T120453720439Z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ad24167af014a48a4ce75df03bd8c16f93ab0e6c8824bfaf5da01b9c0aba81ba</x:v>
      </x:c>
      <x:c r="G8" s="59" t="n">
        <x:v>6925</x:v>
      </x:c>
    </x:row>
    <x:row r="9">
      <x:c r="A9" s="47" t="str">
        <x:v>RUN-I2-030-20260819T120453720439Z</x:v>
      </x:c>
      <x:c r="B9" s="47" t="str">
        <x:v>I2-030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62e6518be78f429ca57a6b46eb149b853d51ad165dc888047153bdc35cd08b9b</x:v>
      </x:c>
      <x:c r="G9" s="59" t="n">
        <x:v>6900</x:v>
      </x:c>
    </x:row>
    <x:row r="10">
      <x:c r="A10" s="47" t="str">
        <x:v>RUN-I2-030-20260819T120453720439Z</x:v>
      </x:c>
      <x:c r="B10" s="47" t="str">
        <x:v>I2-030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0aab739089256d6ba97a0eb872b0b2c4d56239c916775749e5da44491d57d9c5</x:v>
      </x:c>
      <x:c r="G10" s="59" t="n">
        <x:v>1682</x:v>
      </x:c>
    </x:row>
    <x:row r="11">
      <x:c r="A11" s="47" t="str">
        <x:v>RUN-I2-030-20260819T120453720439Z</x:v>
      </x:c>
      <x:c r="B11" s="47" t="str">
        <x:v>I2-030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c7ec204d714ab6446ea8eea8360478c7134a29eb9d75c927a58548060a797823</x:v>
      </x:c>
      <x:c r="G11" s="59" t="n">
        <x:v>64770</x:v>
      </x:c>
    </x:row>
    <x:row r="12">
      <x:c r="A12" s="47" t="str">
        <x:v>RUN-I2-030-20260819T120453720439Z</x:v>
      </x:c>
      <x:c r="B12" s="47" t="str">
        <x:v>I2-030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1bc6f41aa251ccdbec3b2debf1319a38a8153b762c118572c8e5a43f3e7b736d</x:v>
      </x:c>
      <x:c r="G12" s="59" t="n">
        <x:v>928</x:v>
      </x:c>
    </x:row>
    <x:row r="13">
      <x:c r="A13" s="47" t="str">
        <x:v>RUN-I2-030-20260819T120453720439Z</x:v>
      </x:c>
      <x:c r="B13" s="47" t="str">
        <x:v>I2-030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656666dc150b191f052eb886036dbda3bb24c7e5cb99d3287382de56324264bb</x:v>
      </x:c>
      <x:c r="G13" s="59" t="n">
        <x:v>5093</x:v>
      </x:c>
    </x:row>
    <x:row r="14">
      <x:c r="A14" s="47" t="str">
        <x:v>RUN-I2-030-20260819T120453720439Z</x:v>
      </x:c>
      <x:c r="B14" s="47" t="str">
        <x:v>I2-030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bf4ea07539b09d294b89619e1d8d16a844af69604485e99de10afb7473fd37d4</x:v>
      </x:c>
      <x:c r="G14" s="59" t="n">
        <x:v>12967</x:v>
      </x:c>
    </x:row>
    <x:row r="15">
      <x:c r="A15" s="49" t="str">
        <x:v>RUN-I2-030-20260819T120453720439Z</x:v>
      </x:c>
      <x:c r="B15" s="49" t="str">
        <x:v>I2-030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6ff82ade9d717469254bdd351ed0a425b0d94126ffd03841a29786d2c130f453</x:v>
      </x:c>
      <x:c r="G15" s="60" t="n">
        <x:v>208</x:v>
      </x:c>
    </x:row>
  </x:sheetData>
  <x:pageMargins left="0.7" right="0.7" top="0.75" bottom="0.75" header="0.3" footer="0.3"/>
  <x:tableParts count="1">
    <x:tablePart xmlns:r="http://schemas.openxmlformats.org/officeDocument/2006/relationships" r:id="R12b0f689ce494d8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RUN-I2-030-20260819T120453720439Z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RUN-I2-030-20260819T120453720439Z</x:v>
      </x:c>
      <x:c r="B5" s="69" t="str">
        <x:v>I2-030</x:v>
      </x:c>
      <x:c r="C5" s="71" t="n">
        <x:v>1</x:v>
      </x:c>
      <x:c r="D5" s="69" t="str">
        <x:v>TERM_RESOLUTION_UNRESOLVED</x:v>
      </x:c>
      <x:c r="E5" s="73" t="str">
        <x:v>No supplied candidate semantically represents the attached-plate-flange area required for the applicability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10654e3eb409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RUN-I2-030-20260819T120453720439Z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