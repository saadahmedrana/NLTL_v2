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21398d87f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b30367975045fd"/>
    <x:sheet xmlns:r="http://schemas.openxmlformats.org/officeDocument/2006/relationships" name="README" sheetId="2" r:id="R2b403c8a6f5446a8"/>
    <x:sheet xmlns:r="http://schemas.openxmlformats.org/officeDocument/2006/relationships" name="REGULATION_QUEUE" sheetId="3" r:id="R67c725e8be354bc3"/>
    <x:sheet xmlns:r="http://schemas.openxmlformats.org/officeDocument/2006/relationships" name="RUNS" sheetId="4" r:id="R947fd613a3fe466f"/>
    <x:sheet xmlns:r="http://schemas.openxmlformats.org/officeDocument/2006/relationships" name="ITERATIONS" sheetId="5" r:id="R47cde934c4f240fd"/>
    <x:sheet xmlns:r="http://schemas.openxmlformats.org/officeDocument/2006/relationships" name="API_CALLS" sheetId="6" r:id="R5f41ff2066894a45"/>
    <x:sheet xmlns:r="http://schemas.openxmlformats.org/officeDocument/2006/relationships" name="TERM_RETRIEVAL" sheetId="7" r:id="R3e657bad95604718"/>
    <x:sheet xmlns:r="http://schemas.openxmlformats.org/officeDocument/2006/relationships" name="FEW_SHOT_SELECTION" sheetId="8" r:id="R9bc9747ca107457f"/>
    <x:sheet xmlns:r="http://schemas.openxmlformats.org/officeDocument/2006/relationships" name="VALIDATION" sheetId="9" r:id="R2684f6c57c0140c2"/>
    <x:sheet xmlns:r="http://schemas.openxmlformats.org/officeDocument/2006/relationships" name="VOCAB_MATCHES" sheetId="10" r:id="Re2f3f229b7bc4443"/>
    <x:sheet xmlns:r="http://schemas.openxmlformats.org/officeDocument/2006/relationships" name="ARTIFACTS" sheetId="11" r:id="R7f9c966c393541f6"/>
    <x:sheet xmlns:r="http://schemas.openxmlformats.org/officeDocument/2006/relationships" name="UNRESOLVED" sheetId="12" r:id="R5851848597474cb8"/>
    <x:sheet xmlns:r="http://schemas.openxmlformats.org/officeDocument/2006/relationships" name="RDF_TEST_QUEUE" sheetId="13" r:id="R4861496ae475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bebe5026ca48c2" /><Relationship Type="http://schemas.openxmlformats.org/officeDocument/2006/relationships/theme" Target="/xl/theme/theme1.xml" Id="Rb406b6d9f8cf4e14" /><Relationship Type="http://schemas.microsoft.com/office/2022/11/relationships/FeaturePropertyBag" Target="/xl/featurePropertyBag/featurePropertyBag.xml" Id="R5517aa9ebbdc4d3c" /><Relationship Type="http://schemas.openxmlformats.org/officeDocument/2006/relationships/sharedStrings" Target="/xl/sharedStrings.xml" Id="R2ed2b8dd992f4fb4" /><Relationship Type="http://schemas.openxmlformats.org/officeDocument/2006/relationships/worksheet" Target="/xl/worksheets/sheet1.xml" Id="R44b30367975045fd" /><Relationship Type="http://schemas.openxmlformats.org/officeDocument/2006/relationships/worksheet" Target="/xl/worksheets/sheet2.xml" Id="R2b403c8a6f5446a8" /><Relationship Type="http://schemas.openxmlformats.org/officeDocument/2006/relationships/worksheet" Target="/xl/worksheets/sheet3.xml" Id="R67c725e8be354bc3" /><Relationship Type="http://schemas.openxmlformats.org/officeDocument/2006/relationships/worksheet" Target="/xl/worksheets/sheet4.xml" Id="R947fd613a3fe466f" /><Relationship Type="http://schemas.openxmlformats.org/officeDocument/2006/relationships/worksheet" Target="/xl/worksheets/sheet5.xml" Id="R47cde934c4f240fd" /><Relationship Type="http://schemas.openxmlformats.org/officeDocument/2006/relationships/worksheet" Target="/xl/worksheets/sheet6.xml" Id="R5f41ff2066894a45" /><Relationship Type="http://schemas.openxmlformats.org/officeDocument/2006/relationships/worksheet" Target="/xl/worksheets/sheet7.xml" Id="R3e657bad95604718" /><Relationship Type="http://schemas.openxmlformats.org/officeDocument/2006/relationships/worksheet" Target="/xl/worksheets/sheet8.xml" Id="R9bc9747ca107457f" /><Relationship Type="http://schemas.openxmlformats.org/officeDocument/2006/relationships/worksheet" Target="/xl/worksheets/sheet9.xml" Id="R2684f6c57c0140c2" /><Relationship Type="http://schemas.openxmlformats.org/officeDocument/2006/relationships/worksheet" Target="/xl/worksheets/sheet10.xml" Id="Re2f3f229b7bc4443" /><Relationship Type="http://schemas.openxmlformats.org/officeDocument/2006/relationships/worksheet" Target="/xl/worksheets/sheet11.xml" Id="R7f9c966c393541f6" /><Relationship Type="http://schemas.openxmlformats.org/officeDocument/2006/relationships/worksheet" Target="/xl/worksheets/sheet12.xml" Id="R5851848597474cb8" /><Relationship Type="http://schemas.openxmlformats.org/officeDocument/2006/relationships/worksheet" Target="/xl/worksheets/sheet13.xml" Id="R4861496ae47545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f86ae9f78b42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83268905a944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0de86866534c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975bd1347348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3f265f23cc49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7bc83300d746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841920faa04f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d47690fe7446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bd5b5032f84f0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e724866757d4b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RUN-TRF-060-20260819T123430716619Z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32881.414833333336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RUN-TRF-060-20260819T123430716619Z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f86ae9f78b42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RUN-TRF-060-20260819T123430716619Z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MAX_ATTEMPTS_REACHED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83268905a944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RUN-TRF-060-20260819T123430716619Z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RUN-TRF-060-20260819T123430716619Z</x:v>
      </x:c>
      <x:c r="C5" s="69" t="str">
        <x:v>TRF-060</x:v>
      </x:c>
      <x:c r="D5" s="70" t="n">
        <x:v>46253.523966643515</x:v>
      </x:c>
      <x:c r="E5" s="70" t="n">
        <x:v>46253.52626351852</x:v>
      </x:c>
      <x:c r="F5" s="69" t="str">
        <x:v>1.1.0-development-r5-terra-hard-calibration-01</x:v>
      </x:c>
      <x:c r="G5" s="69" t="str">
        <x:v>VOCAB-LOCK-2026-08-19-R5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Repair the SHACL-SPARQL syntax errors by placing each BIND before FILTER clauses that follow it (notably the square-root-domain and section-modulus queries), so the embedded queries parse in the deterministic evaluator. Complete the required table-lookup model path by adding to TRF060TableLookupCaseShape a mandatory nltl:lookupSelectionEvidence property (minCount 1, appropriate evidenceArtifact node/class constraint); the lookup-selection evidence relationship is required by the COMPLETE dependency contract and must remain on the tableLookupCase.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0de86866534c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RUN-TRF-060-20260819T123430716619Z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RUN-TRF-060-20260819T123430716619Z</x:v>
      </x:c>
      <x:c r="B5" s="45" t="str">
        <x:v>TRF-060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an enforceable constraint for the declared operand nltl:shearArea; it is currently only required by sh:minCount and is never bound or compared in the formula query. Preserve the supplied ship ownership and units, and validate its required regulatory/formula relationship rather than using a presence-only check.</x:v>
      </x:c>
      <x:c r="I5" s="84" t="n">
        <x:v>51087.183</x:v>
      </x:c>
      <x:c r="J5" s="84" t="n">
        <x:v>12838.462</x:v>
      </x:c>
    </x:row>
    <x:row r="6">
      <x:c r="A6" s="47" t="str">
        <x:v>RUN-TRF-060-20260819T123430716619Z</x:v>
      </x:c>
      <x:c r="B6" s="47" t="str">
        <x:v>TRF-060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squared section-modulus surrogate comparison with a direct computation of expected Z_cm3 = (?moment / ?yield) * SQRT(1.0 / (1.0 - (?gamma * ?required / ?actual) * (?gamma * ?required / ?actual))) * 1000000.0 and compare ?section to that expected result using an absolute-plus-relative tolerance scaled from expected Z, not from M squared. Retain a separate bounded envelope/domain check before evaluating SQRT.</x:v>
      </x:c>
      <x:c r="I6" s="86" t="n">
        <x:v>54781.964</x:v>
      </x:c>
      <x:c r="J6" s="86" t="n">
        <x:v>25702.761</x:v>
      </x:c>
    </x:row>
    <x:row r="7">
      <x:c r="A7" s="49" t="str">
        <x:v>RUN-TRF-060-20260819T123430716619Z</x:v>
      </x:c>
      <x:c r="B7" s="49" t="str">
        <x:v>TRF-060</x:v>
      </x:c>
      <x:c r="C7" s="60" t="n">
        <x:v>3</x:v>
      </x:c>
      <x:c r="D7" s="87" t="b">
        <x:v>0</x:v>
      </x:c>
      <x:c r="E7" s="87" t="b">
        <x:v>0</x:v>
      </x:c>
      <x:c r="F7" s="87" t="b">
        <x:v>0</x:v>
      </x:c>
      <x:c r="G7" s="49" t="str">
        <x:v>REVISE_STATIC_GATE</x:v>
      </x:c>
      <x:c r="H7" s="50" t="str">
        <x:v>Deterministic validation prevents acceptance. Fix: SHACL runtime smoke execution error: Expected SelectQuery, found 'BIND'  (at char 1088), (line:21, col:17) | Embedded SHACL-SPARQL parse error: Expected SelectQuery, found 'BIND'  (at char 931), (line:17, col:17)
Semantic validator feedback: Repair the SHACL-SPARQL syntax errors by placing each BIND before FILTER clauses that follow it (notably the square-root-domain and section-modulus queries), so the embedded queries parse in the deterministic evaluator. Complete the required table-lookup model path by adding to TRF060TableLookupCaseShape a mandatory nltl:lookupSelectionEvidence property (minCount 1, appropriate evidenceArtifact node/class constraint); the lookup-selection evidence relationship is required by the COMPLETE dependency contract and must remain on the tableLookupCase.</x:v>
      </x:c>
      <x:c r="I7" s="88" t="n">
        <x:v>43311.582</x:v>
      </x:c>
      <x:c r="J7" s="88" t="n">
        <x:v>9571.34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975bd1347348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RUN-TRF-060-20260819T123430716619Z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RUN-TRF-060-20260819T123430716619Z</x:v>
      </x:c>
      <x:c r="C5" s="45" t="str">
        <x:v>TRF-060</x:v>
      </x:c>
      <x:c r="D5" s="92" t="n">
        <x:v>46253.52455796296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51085.264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RUN-TRF-060-20260819T123430716619Z</x:v>
      </x:c>
      <x:c r="C6" s="47" t="str">
        <x:v>TRF-060</x:v>
      </x:c>
      <x:c r="D6" s="93" t="n">
        <x:v>46253.52455799768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51087.183</x:v>
      </x:c>
      <x:c r="L6" s="85" t="b">
        <x:v>0</x:v>
      </x:c>
      <x:c r="M6" s="47" t="str">
        <x:v>resp_0dce4495566712bf006a85a2d6d4908193be7dcfaf376174d1</x:v>
      </x:c>
      <x:c r="N6" s="59" t="n">
        <x:v>13826</x:v>
      </x:c>
      <x:c r="O6" s="59" t="n">
        <x:v>4665</x:v>
      </x:c>
      <x:c r="P6" s="59" t="n">
        <x:v>18491</x:v>
      </x:c>
    </x:row>
    <x:row r="7">
      <x:c r="A7" s="47" t="str">
        <x:v>EVT-000047</x:v>
      </x:c>
      <x:c r="B7" s="47" t="str">
        <x:v>RUN-TRF-060-20260819T123430716619Z</x:v>
      </x:c>
      <x:c r="C7" s="47" t="str">
        <x:v>TRF-060</x:v>
      </x:c>
      <x:c r="D7" s="93" t="n">
        <x:v>46253.524710833335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12837.253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RUN-TRF-060-20260819T123430716619Z</x:v>
      </x:c>
      <x:c r="C8" s="47" t="str">
        <x:v>TRF-060</x:v>
      </x:c>
      <x:c r="D8" s="93" t="n">
        <x:v>46253.52471085648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12838.462</x:v>
      </x:c>
      <x:c r="L8" s="85" t="b">
        <x:v>0</x:v>
      </x:c>
      <x:c r="M8" s="47" t="str">
        <x:v>resp_0f7b5fac59b78a7a006a85a30aae108190be847d1e737fe10a</x:v>
      </x:c>
      <x:c r="N8" s="59" t="n">
        <x:v>16529</x:v>
      </x:c>
      <x:c r="O8" s="59" t="n">
        <x:v>889</x:v>
      </x:c>
      <x:c r="P8" s="59" t="n">
        <x:v>17418</x:v>
      </x:c>
    </x:row>
    <x:row r="9">
      <x:c r="A9" s="47" t="str">
        <x:v>EVT-000053</x:v>
      </x:c>
      <x:c r="B9" s="47" t="str">
        <x:v>RUN-TRF-060-20260819T123430716619Z</x:v>
      </x:c>
      <x:c r="C9" s="47" t="str">
        <x:v>TRF-060</x:v>
      </x:c>
      <x:c r="D9" s="93" t="n">
        <x:v>46253.52534493055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54780.027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RUN-TRF-060-20260819T123430716619Z</x:v>
      </x:c>
      <x:c r="C10" s="47" t="str">
        <x:v>TRF-060</x:v>
      </x:c>
      <x:c r="D10" s="93" t="n">
        <x:v>46253.525344953705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54781.964</x:v>
      </x:c>
      <x:c r="L10" s="85" t="b">
        <x:v>0</x:v>
      </x:c>
      <x:c r="M10" s="47" t="str">
        <x:v>resp_018d95c59169c046006a85a31722a4819593830cf7c6f375d1</x:v>
      </x:c>
      <x:c r="N10" s="59" t="n">
        <x:v>13886</x:v>
      </x:c>
      <x:c r="O10" s="59" t="n">
        <x:v>5113</x:v>
      </x:c>
      <x:c r="P10" s="59" t="n">
        <x:v>18999</x:v>
      </x:c>
    </x:row>
    <x:row r="11">
      <x:c r="A11" s="47" t="str">
        <x:v>EVT-000061</x:v>
      </x:c>
      <x:c r="B11" s="47" t="str">
        <x:v>RUN-TRF-060-20260819T123430716619Z</x:v>
      </x:c>
      <x:c r="C11" s="47" t="str">
        <x:v>TRF-060</x:v>
      </x:c>
      <x:c r="D11" s="93" t="n">
        <x:v>46253.525647152775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25700.96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RUN-TRF-060-20260819T123430716619Z</x:v>
      </x:c>
      <x:c r="C12" s="47" t="str">
        <x:v>TRF-060</x:v>
      </x:c>
      <x:c r="D12" s="93" t="n">
        <x:v>46253.52564717593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25702.761</x:v>
      </x:c>
      <x:c r="L12" s="85" t="b">
        <x:v>0</x:v>
      </x:c>
      <x:c r="M12" s="47" t="str">
        <x:v>resp_0468f84f2b92e59e006a85a34e9b4881939d4d5e85426df946</x:v>
      </x:c>
      <x:c r="N12" s="59" t="n">
        <x:v>16872</x:v>
      </x:c>
      <x:c r="O12" s="59" t="n">
        <x:v>1666</x:v>
      </x:c>
      <x:c r="P12" s="59" t="n">
        <x:v>18538</x:v>
      </x:c>
    </x:row>
    <x:row r="13">
      <x:c r="A13" s="47" t="str">
        <x:v>EVT-000067</x:v>
      </x:c>
      <x:c r="B13" s="47" t="str">
        <x:v>RUN-TRF-060-20260819T123430716619Z</x:v>
      </x:c>
      <x:c r="C13" s="47" t="str">
        <x:v>TRF-060</x:v>
      </x:c>
      <x:c r="D13" s="93" t="n">
        <x:v>46253.52614850694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43310.369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RUN-TRF-060-20260819T123430716619Z</x:v>
      </x:c>
      <x:c r="C14" s="47" t="str">
        <x:v>TRF-060</x:v>
      </x:c>
      <x:c r="D14" s="93" t="n">
        <x:v>46253.526148530094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43311.582</x:v>
      </x:c>
      <x:c r="L14" s="85" t="b">
        <x:v>0</x:v>
      </x:c>
      <x:c r="M14" s="47" t="str">
        <x:v>resp_02b036b67c57246a006a85a3680c948190890901672be934ea</x:v>
      </x:c>
      <x:c r="N14" s="59" t="n">
        <x:v>13990</x:v>
      </x:c>
      <x:c r="O14" s="59" t="n">
        <x:v>4517</x:v>
      </x:c>
      <x:c r="P14" s="59" t="n">
        <x:v>18507</x:v>
      </x:c>
    </x:row>
    <x:row r="15">
      <x:c r="A15" s="47" t="str">
        <x:v>EVT-000075</x:v>
      </x:c>
      <x:c r="B15" s="47" t="str">
        <x:v>RUN-TRF-060-20260819T123430716619Z</x:v>
      </x:c>
      <x:c r="C15" s="47" t="str">
        <x:v>TRF-060</x:v>
      </x:c>
      <x:c r="D15" s="93" t="n">
        <x:v>46253.52626344907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9569.813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EVT-000076</x:v>
      </x:c>
      <x:c r="B16" s="49" t="str">
        <x:v>RUN-TRF-060-20260819T123430716619Z</x:v>
      </x:c>
      <x:c r="C16" s="49" t="str">
        <x:v>TRF-060</x:v>
      </x:c>
      <x:c r="D16" s="94" t="n">
        <x:v>46253.526263472224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9571.34</x:v>
      </x:c>
      <x:c r="L16" s="87" t="b">
        <x:v>0</x:v>
      </x:c>
      <x:c r="M16" s="49" t="str">
        <x:v>resp_071728a7c2c12180006a85a393e05c8195add18acb2ded174a</x:v>
      </x:c>
      <x:c r="N16" s="60" t="n">
        <x:v>16874</x:v>
      </x:c>
      <x:c r="O16" s="60" t="n">
        <x:v>642</x:v>
      </x:c>
      <x:c r="P16" s="60" t="n">
        <x:v>17516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3f265f23cc49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RUN-TRF-060-20260819T123430716619Z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RUN-TRF-060-20260819T123430716619Z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RUN-TRF-060-20260819T123430716619Z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RUN-TRF-060-20260819T123430716619Z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RUN-TRF-060-20260819T123430716619Z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RUN-TRF-060-20260819T123430716619Z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RUN-TRF-060-20260819T123430716619Z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RUN-TRF-060-20260819T123430716619Z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RUN-TRF-060-20260819T123430716619Z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RUN-TRF-060-20260819T123430716619Z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RUN-TRF-060-20260819T123430716619Z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RUN-TRF-060-20260819T123430716619Z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RUN-TRF-060-20260819T123430716619Z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RUN-TRF-060-20260819T123430716619Z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RUN-TRF-060-20260819T123430716619Z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RUN-TRF-060-20260819T123430716619Z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RUN-TRF-060-20260819T123430716619Z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RUN-TRF-060-20260819T123430716619Z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RUN-TRF-060-20260819T123430716619Z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RUN-TRF-060-20260819T123430716619Z</x:v>
      </x:c>
      <x:c r="B23" s="47" t="str">
        <x:v>TRF-060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RUN-TRF-060-20260819T123430716619Z</x:v>
      </x:c>
      <x:c r="B24" s="47" t="str">
        <x:v>TRF-060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RUN-TRF-060-20260819T123430716619Z</x:v>
      </x:c>
      <x:c r="B25" s="47" t="str">
        <x:v>TRF-060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RUN-TRF-060-20260819T123430716619Z</x:v>
      </x:c>
      <x:c r="B26" s="47" t="str">
        <x:v>TRF-060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RUN-TRF-060-20260819T123430716619Z</x:v>
      </x:c>
      <x:c r="B27" s="47" t="str">
        <x:v>TRF-060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RUN-TRF-060-20260819T123430716619Z</x:v>
      </x:c>
      <x:c r="B28" s="47" t="str">
        <x:v>TRF-060</x:v>
      </x:c>
      <x:c r="C28" s="47" t="str">
        <x:v>traficomTable6Dash9</x:v>
      </x:c>
      <x:c r="D28" s="48" t="str">
        <x:v>https://w3id.org/nltl/vocab#traficomTable6Dash9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RUN-TRF-060-20260819T123430716619Z</x:v>
      </x:c>
      <x:c r="B29" s="47" t="str">
        <x:v>TRF-060</x:v>
      </x:c>
      <x:c r="C29" s="47" t="str">
        <x:v>webFrameFreeFlangeArea</x:v>
      </x:c>
      <x:c r="D29" s="48" t="str">
        <x:v>https://w3id.org/nltl/vocab#webFrameFreeFlangeArea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http://qudt.org/vocab/unit/CentiM2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RUN-TRF-060-20260819T123430716619Z</x:v>
      </x:c>
      <x:c r="B30" s="47" t="str">
        <x:v>TRF-060</x:v>
      </x:c>
      <x:c r="C30" s="47" t="str">
        <x:v>webFrameIceLoad</x:v>
      </x:c>
      <x:c r="D30" s="48" t="str">
        <x:v>https://w3id.org/nltl/vocab#webFrameIceLoad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http://qudt.org/vocab/unit/KiloN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RUN-TRF-060-20260819T123430716619Z</x:v>
      </x:c>
      <x:c r="B31" s="47" t="str">
        <x:v>TRF-060</x:v>
      </x:c>
      <x:c r="C31" s="47" t="str">
        <x:v>webFrameMaximumIceLoadBendingMoment</x:v>
      </x:c>
      <x:c r="D31" s="48" t="str">
        <x:v>https://w3id.org/nltl/vocab#webFrameMaximumIceLoadBendingMoment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http://qudt.org/vocab/unit/MegaN-M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RUN-TRF-060-20260819T123430716619Z</x:v>
      </x:c>
      <x:c r="B32" s="47" t="str">
        <x:v>TRF-060</x:v>
      </x:c>
      <x:c r="C32" s="47" t="str">
        <x:v>webFrameSpan</x:v>
      </x:c>
      <x:c r="D32" s="48" t="str">
        <x:v>https://w3id.org/nltl/vocab#webFrameSpan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RUN-TRF-060-20260819T123430716619Z</x:v>
      </x:c>
      <x:c r="B33" s="47" t="str">
        <x:v>TRF-060</x:v>
      </x:c>
      <x:c r="C33" s="47" t="str">
        <x:v>webFrameTable4Dash8GammaFactor</x:v>
      </x:c>
      <x:c r="D33" s="48" t="str">
        <x:v>https://w3id.org/nltl/vocab#webFrameTable4Dash8GammaFactor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http://qudt.org/vocab/unit/UNITLESS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RUN-TRF-060-20260819T123430716619Z</x:v>
      </x:c>
      <x:c r="B34" s="47" t="str">
        <x:v>TRF-060</x:v>
      </x:c>
      <x:c r="C34" s="47" t="str">
        <x:v>webFrameWebArea</x:v>
      </x:c>
      <x:c r="D34" s="48" t="str">
        <x:v>https://w3id.org/nltl/vocab#webFrameWebArea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http://qudt.org/vocab/unit/CentiM2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RUN-TRF-060-20260819T123430716619Z</x:v>
      </x:c>
      <x:c r="B35" s="49" t="str">
        <x:v>TRF-060</x:v>
      </x:c>
      <x:c r="C35" s="49" t="str">
        <x:v>yieldStrength</x:v>
      </x:c>
      <x:c r="D35" s="50" t="str">
        <x:v>https://w3id.org/nltl/vocab#yieldStrength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http://qudt.org/vocab/unit/MegaPA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7bc83300d746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RUN-TRF-060-20260819T123430716619Z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RUN-TRF-060-20260819T123430716619Z</x:v>
      </x:c>
      <x:c r="B5" s="45" t="str">
        <x:v>TRF-060</x:v>
      </x:c>
      <x:c r="C5" s="45" t="str">
        <x:v>FS-CALC-01</x:v>
      </x:c>
      <x:c r="D5" s="45" t="str">
        <x:v>comparison_calculation</x:v>
      </x:c>
      <x:c r="E5" s="97" t="n">
        <x:v>0.041667</x:v>
      </x:c>
      <x:c r="F5" s="45" t="str">
        <x:v>calculation | comparison | cross</x:v>
      </x:c>
      <x:c r="G5" s="45" t="str">
        <x:v>synthetic-few-shot-not-benchmark-ground-truth</x:v>
      </x:c>
    </x:row>
    <x:row r="6">
      <x:c r="A6" s="49" t="str">
        <x:v>RUN-TRF-060-20260819T123430716619Z</x:v>
      </x:c>
      <x:c r="B6" s="49" t="str">
        <x:v>TRF-060</x:v>
      </x:c>
      <x:c r="C6" s="49" t="str">
        <x:v>FS-CALC-02</x:v>
      </x:c>
      <x:c r="D6" s="49" t="str">
        <x:v>comparison_calculation</x:v>
      </x:c>
      <x:c r="E6" s="98" t="n">
        <x:v>0.041667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841920faa04f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RUN-TRF-060-20260819T123430716619Z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RUN-TRF-060-20260819T123430716619Z</x:v>
      </x:c>
      <x:c r="B5" s="45" t="str">
        <x:v>TRF-060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46" t="str"/>
      <x:c r="P5" s="46" t="str"/>
      <x:c r="Q5" s="46" t="str"/>
    </x:row>
    <x:row r="6">
      <x:c r="A6" s="47" t="str">
        <x:v>RUN-TRF-060-20260819T123430716619Z</x:v>
      </x:c>
      <x:c r="B6" s="47" t="str">
        <x:v>TRF-060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6" s="48" t="str"/>
      <x:c r="P6" s="48" t="str"/>
      <x:c r="Q6" s="48" t="str"/>
    </x:row>
    <x:row r="7">
      <x:c r="A7" s="49" t="str">
        <x:v>RUN-TRF-060-20260819T123430716619Z</x:v>
      </x:c>
      <x:c r="B7" s="49" t="str">
        <x:v>TRF-060</x:v>
      </x:c>
      <x:c r="C7" s="60" t="n">
        <x:v>3</x:v>
      </x:c>
      <x:c r="D7" s="87" t="b">
        <x:v>0</x:v>
      </x:c>
      <x:c r="E7" s="87" t="b">
        <x:v>1</x:v>
      </x:c>
      <x:c r="F7" s="87" t="b">
        <x:v>1</x:v>
      </x:c>
      <x:c r="G7" s="87" t="b">
        <x:v>1</x:v>
      </x:c>
      <x:c r="H7" s="87" t="b">
        <x:v>0</x:v>
      </x:c>
      <x:c r="I7" s="87" t="b">
        <x:v>1</x:v>
      </x:c>
      <x:c r="J7" s="87" t="b">
        <x:v>1</x:v>
      </x:c>
      <x:c r="K7" s="104" t="b">
        <x:v>1</x:v>
      </x:c>
      <x:c r="L7" s="50" t="str">
        <x:v>SHACL runtime smoke execution error: Expected SelectQuery, found 'BIND'  (at char 1088), (line:21, col:17) | Embedded SHACL-SPARQL parse error: Expected SelectQuery, found 'BIND'  (at char 931), (line:17, col:17)</x:v>
      </x:c>
      <x:c r="M7" s="50" t="str"/>
      <x:c r="N7" s="50" t="str">
        <x:v>https://w3id.org/nltl/vocab#actualWebFrameCrossSectionalArea | https://w3id.org/nltl/vocab#hasTableLookupCase | https://w3id.org/nltl/vocab#requiredShearArea | https://w3id.org/nltl/vocab#sectionModulus | https://w3id.org/nltl/vocab#shearArea | https://w3id.org/nltl/vocab#ship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bd47690fe7446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RUN-TRF-060-20260819T123430716619Z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RUN-TRF-060-20260819T123430716619Z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RUN-TRF-060-20260819T123430716619Z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36a2456fc08df185fb5a639a28b9ac2ed31103058c5af68437d8a2eeda269e06</x:v>
      </x:c>
      <x:c r="G5" s="58" t="n">
        <x:v>40089</x:v>
      </x:c>
    </x:row>
    <x:row r="6">
      <x:c r="A6" s="47" t="str">
        <x:v>RUN-TRF-060-20260819T123430716619Z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55c7f695702647bf79c0ba2c11595bac7ce84f453197bfea362972d38db649b1</x:v>
      </x:c>
      <x:c r="G6" s="59" t="n">
        <x:v>5249</x:v>
      </x:c>
    </x:row>
    <x:row r="7">
      <x:c r="A7" s="47" t="str">
        <x:v>RUN-TRF-060-20260819T123430716619Z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2a9e1b226f812ee6fbc96a486c59d813614e1299447f70899dc602f038bced8a</x:v>
      </x:c>
      <x:c r="G7" s="59" t="n">
        <x:v>54251</x:v>
      </x:c>
    </x:row>
    <x:row r="8">
      <x:c r="A8" s="47" t="str">
        <x:v>RUN-TRF-060-20260819T123430716619Z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c8e69ce8871453950c4cdb2ff75adb8fc3e2f80ba7a9b8c19ebfb1d5618484b4</x:v>
      </x:c>
      <x:c r="G8" s="59" t="n">
        <x:v>9558</x:v>
      </x:c>
    </x:row>
    <x:row r="9">
      <x:c r="A9" s="47" t="str">
        <x:v>RUN-TRF-060-20260819T123430716619Z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8b2b810583c9d499aef849e28e8e07be136121f23c6f19d277b46a224a8eff04</x:v>
      </x:c>
      <x:c r="G9" s="59" t="n">
        <x:v>9533</x:v>
      </x:c>
    </x:row>
    <x:row r="10">
      <x:c r="A10" s="47" t="str">
        <x:v>RUN-TRF-060-20260819T123430716619Z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dc9f950dc2acf302fddcac61b41fbebfffd432795822d3cf5ab5226490f9fc36</x:v>
      </x:c>
      <x:c r="G10" s="59" t="n">
        <x:v>1360</x:v>
      </x:c>
    </x:row>
    <x:row r="11">
      <x:c r="A11" s="47" t="str">
        <x:v>RUN-TRF-060-20260819T123430716619Z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745a21fb37b3009aeab6ef569fc220a826714e1c55fdb865fc7caa8a88420444</x:v>
      </x:c>
      <x:c r="G11" s="59" t="n">
        <x:v>62365</x:v>
      </x:c>
    </x:row>
    <x:row r="12">
      <x:c r="A12" s="47" t="str">
        <x:v>RUN-TRF-060-20260819T123430716619Z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7ccfbc2fff1beb12cdb974206cff948a7cddb385881bd28545d7b46200216042</x:v>
      </x:c>
      <x:c r="G12" s="59" t="n">
        <x:v>379</x:v>
      </x:c>
    </x:row>
    <x:row r="13">
      <x:c r="A13" s="47" t="str">
        <x:v>RUN-TRF-060-20260819T123430716619Z</x:v>
      </x:c>
      <x:c r="B13" s="47" t="str">
        <x:v>TRF-060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9744b6b3a0771865ca57de5a3243b2a6fa9935b0729c9168053ca455fb36e906</x:v>
      </x:c>
      <x:c r="G13" s="59" t="n">
        <x:v>54565</x:v>
      </x:c>
    </x:row>
    <x:row r="14">
      <x:c r="A14" s="47" t="str">
        <x:v>RUN-TRF-060-20260819T123430716619Z</x:v>
      </x:c>
      <x:c r="B14" s="47" t="str">
        <x:v>TRF-060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e32b2821439fad87530686b4a4ec0ff6c45e735569cb1e3eedc4f6f0e531b5ac</x:v>
      </x:c>
      <x:c r="G14" s="59" t="n">
        <x:v>11101</x:v>
      </x:c>
    </x:row>
    <x:row r="15">
      <x:c r="A15" s="47" t="str">
        <x:v>RUN-TRF-060-20260819T123430716619Z</x:v>
      </x:c>
      <x:c r="B15" s="47" t="str">
        <x:v>TRF-060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277c718b9998105d14a6e3254bc1b95db2eba0330e1524414d8f0394b86958a1</x:v>
      </x:c>
      <x:c r="G15" s="59" t="n">
        <x:v>11076</x:v>
      </x:c>
    </x:row>
    <x:row r="16">
      <x:c r="A16" s="47" t="str">
        <x:v>RUN-TRF-060-20260819T123430716619Z</x:v>
      </x:c>
      <x:c r="B16" s="47" t="str">
        <x:v>TRF-060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dc9f950dc2acf302fddcac61b41fbebfffd432795822d3cf5ab5226490f9fc36</x:v>
      </x:c>
      <x:c r="G16" s="59" t="n">
        <x:v>1360</x:v>
      </x:c>
    </x:row>
    <x:row r="17">
      <x:c r="A17" s="47" t="str">
        <x:v>RUN-TRF-060-20260819T123430716619Z</x:v>
      </x:c>
      <x:c r="B17" s="47" t="str">
        <x:v>TRF-060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4c7c65c9ae4013ad84d3bfe95c6240f2ed68417caa55923fad65a6d66873d7c6</x:v>
      </x:c>
      <x:c r="G17" s="59" t="n">
        <x:v>63948</x:v>
      </x:c>
    </x:row>
    <x:row r="18">
      <x:c r="A18" s="47" t="str">
        <x:v>RUN-TRF-060-20260819T123430716619Z</x:v>
      </x:c>
      <x:c r="B18" s="47" t="str">
        <x:v>TRF-060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d5d1ce6d18e519ce3c6feda5774bc20d518cb267117e6ad653c81ef86f7fb943</x:v>
      </x:c>
      <x:c r="G18" s="59" t="n">
        <x:v>486</x:v>
      </x:c>
    </x:row>
    <x:row r="19">
      <x:c r="A19" s="47" t="str">
        <x:v>RUN-TRF-060-20260819T123430716619Z</x:v>
      </x:c>
      <x:c r="B19" s="47" t="str">
        <x:v>TRF-060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2896efa50cda36863c131d82092fb260c8f9c0e94c3abd619539e7fc905f47d6</x:v>
      </x:c>
      <x:c r="G19" s="59" t="n">
        <x:v>54994</x:v>
      </x:c>
    </x:row>
    <x:row r="20">
      <x:c r="A20" s="47" t="str">
        <x:v>RUN-TRF-060-20260819T123430716619Z</x:v>
      </x:c>
      <x:c r="B20" s="47" t="str">
        <x:v>TRF-060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5d3635501ecd57997a626c6cd5d3d2dec279545e6cbe0bf2a648bd195a2817fc</x:v>
      </x:c>
      <x:c r="G20" s="59" t="n">
        <x:v>11444</x:v>
      </x:c>
    </x:row>
    <x:row r="21">
      <x:c r="A21" s="47" t="str">
        <x:v>RUN-TRF-060-20260819T123430716619Z</x:v>
      </x:c>
      <x:c r="B21" s="47" t="str">
        <x:v>TRF-060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657fabf3192e069da5390599d6aedbf097e72cae7ce05c79dc04b95f14cd9a53</x:v>
      </x:c>
      <x:c r="G21" s="59" t="n">
        <x:v>11419</x:v>
      </x:c>
    </x:row>
    <x:row r="22">
      <x:c r="A22" s="47" t="str">
        <x:v>RUN-TRF-060-20260819T123430716619Z</x:v>
      </x:c>
      <x:c r="B22" s="47" t="str">
        <x:v>TRF-060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1110fe546cf360d6ba15b1c1b856ddf61bc76114426453fa5db85d2a1a189800</x:v>
      </x:c>
      <x:c r="G22" s="59" t="n">
        <x:v>1427</x:v>
      </x:c>
    </x:row>
    <x:row r="23">
      <x:c r="A23" s="47" t="str">
        <x:v>RUN-TRF-060-20260819T123430716619Z</x:v>
      </x:c>
      <x:c r="B23" s="47" t="str">
        <x:v>TRF-060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20369a04dea3da0126d68192150b630d2ace61706779924bea475b7735f10eae</x:v>
      </x:c>
      <x:c r="G23" s="59" t="n">
        <x:v>63488</x:v>
      </x:c>
    </x:row>
    <x:row r="24">
      <x:c r="A24" s="49" t="str">
        <x:v>RUN-TRF-060-20260819T123430716619Z</x:v>
      </x:c>
      <x:c r="B24" s="49" t="str">
        <x:v>TRF-060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eb945eda1afc9910fd1c5f7536a95af96073252785a26a770a87da72b1a51535</x:v>
      </x:c>
      <x:c r="G24" s="60" t="n">
        <x:v>616</x:v>
      </x:c>
    </x:row>
  </x:sheetData>
  <x:pageMargins left="0.7" right="0.7" top="0.75" bottom="0.75" header="0.3" footer="0.3"/>
  <x:tableParts count="1">
    <x:tablePart xmlns:r="http://schemas.openxmlformats.org/officeDocument/2006/relationships" r:id="R5dbd5b5032f84f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RUN-TRF-060-20260819T123430716619Z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RUN-TRF-060-20260819T123430716619Z</x:v>
      </x:c>
      <x:c r="B5" s="69" t="str">
        <x:v>TRF-060</x:v>
      </x:c>
      <x:c r="C5" s="71" t="n">
        <x:v>3</x:v>
      </x:c>
      <x:c r="D5" s="69" t="str">
        <x:v>MAX_ATTEMPTS_REACHED</x:v>
      </x:c>
      <x:c r="E5" s="73" t="str">
        <x:v>Repair the SHACL-SPARQL syntax errors by placing each BIND before FILTER clauses that follow it (notably the square-root-domain and section-modulus queries), so the embedded queries parse in the deterministic evaluator. Complete the required table-lookup model path by adding to TRF060TableLookupCaseShape a mandatory nltl:lookupSelectionEvidence property (minCount 1, appropriate evidenceArtifact node/class constraint); the lookup-selection evidence relationship is required by the COMPLETE dependency contract and must remain on the tableLookupCase.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24866757d4be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RUN-TRF-060-20260819T123430716619Z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