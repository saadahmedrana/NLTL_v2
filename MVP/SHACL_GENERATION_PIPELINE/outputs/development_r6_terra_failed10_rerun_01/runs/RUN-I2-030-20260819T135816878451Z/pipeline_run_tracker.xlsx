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9c60714b74f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039b8c8f29454b"/>
    <x:sheet xmlns:r="http://schemas.openxmlformats.org/officeDocument/2006/relationships" name="README" sheetId="2" r:id="R72b65748c5d74dc1"/>
    <x:sheet xmlns:r="http://schemas.openxmlformats.org/officeDocument/2006/relationships" name="REGULATION_QUEUE" sheetId="3" r:id="Rc64047b013324fb7"/>
    <x:sheet xmlns:r="http://schemas.openxmlformats.org/officeDocument/2006/relationships" name="RUNS" sheetId="4" r:id="R46e1a56cb8844710"/>
    <x:sheet xmlns:r="http://schemas.openxmlformats.org/officeDocument/2006/relationships" name="ITERATIONS" sheetId="5" r:id="R4f0d72854c604b9f"/>
    <x:sheet xmlns:r="http://schemas.openxmlformats.org/officeDocument/2006/relationships" name="API_CALLS" sheetId="6" r:id="R086fc11141f74768"/>
    <x:sheet xmlns:r="http://schemas.openxmlformats.org/officeDocument/2006/relationships" name="TERM_RETRIEVAL" sheetId="7" r:id="R7e237b1233814ed4"/>
    <x:sheet xmlns:r="http://schemas.openxmlformats.org/officeDocument/2006/relationships" name="FEW_SHOT_SELECTION" sheetId="8" r:id="Re5ac651337f142e0"/>
    <x:sheet xmlns:r="http://schemas.openxmlformats.org/officeDocument/2006/relationships" name="VALIDATION" sheetId="9" r:id="R60f454c11f194f25"/>
    <x:sheet xmlns:r="http://schemas.openxmlformats.org/officeDocument/2006/relationships" name="VOCAB_MATCHES" sheetId="10" r:id="R2b3f044aecae43b8"/>
    <x:sheet xmlns:r="http://schemas.openxmlformats.org/officeDocument/2006/relationships" name="ARTIFACTS" sheetId="11" r:id="R504f92dbf11b4ffa"/>
    <x:sheet xmlns:r="http://schemas.openxmlformats.org/officeDocument/2006/relationships" name="UNRESOLVED" sheetId="12" r:id="R9145e61151bf47ca"/>
    <x:sheet xmlns:r="http://schemas.openxmlformats.org/officeDocument/2006/relationships" name="RDF_TEST_QUEUE" sheetId="13" r:id="R08640951864541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554948281145dc" /><Relationship Type="http://schemas.openxmlformats.org/officeDocument/2006/relationships/theme" Target="/xl/theme/theme1.xml" Id="Re6323b1ab4394561" /><Relationship Type="http://schemas.microsoft.com/office/2022/11/relationships/FeaturePropertyBag" Target="/xl/featurePropertyBag/featurePropertyBag.xml" Id="Rbe65a8523f344c58" /><Relationship Type="http://schemas.openxmlformats.org/officeDocument/2006/relationships/sharedStrings" Target="/xl/sharedStrings.xml" Id="R04d419a40dc04603" /><Relationship Type="http://schemas.openxmlformats.org/officeDocument/2006/relationships/worksheet" Target="/xl/worksheets/sheet1.xml" Id="R08039b8c8f29454b" /><Relationship Type="http://schemas.openxmlformats.org/officeDocument/2006/relationships/worksheet" Target="/xl/worksheets/sheet2.xml" Id="R72b65748c5d74dc1" /><Relationship Type="http://schemas.openxmlformats.org/officeDocument/2006/relationships/worksheet" Target="/xl/worksheets/sheet3.xml" Id="Rc64047b013324fb7" /><Relationship Type="http://schemas.openxmlformats.org/officeDocument/2006/relationships/worksheet" Target="/xl/worksheets/sheet4.xml" Id="R46e1a56cb8844710" /><Relationship Type="http://schemas.openxmlformats.org/officeDocument/2006/relationships/worksheet" Target="/xl/worksheets/sheet5.xml" Id="R4f0d72854c604b9f" /><Relationship Type="http://schemas.openxmlformats.org/officeDocument/2006/relationships/worksheet" Target="/xl/worksheets/sheet6.xml" Id="R086fc11141f74768" /><Relationship Type="http://schemas.openxmlformats.org/officeDocument/2006/relationships/worksheet" Target="/xl/worksheets/sheet7.xml" Id="R7e237b1233814ed4" /><Relationship Type="http://schemas.openxmlformats.org/officeDocument/2006/relationships/worksheet" Target="/xl/worksheets/sheet8.xml" Id="Re5ac651337f142e0" /><Relationship Type="http://schemas.openxmlformats.org/officeDocument/2006/relationships/worksheet" Target="/xl/worksheets/sheet9.xml" Id="R60f454c11f194f25" /><Relationship Type="http://schemas.openxmlformats.org/officeDocument/2006/relationships/worksheet" Target="/xl/worksheets/sheet10.xml" Id="R2b3f044aecae43b8" /><Relationship Type="http://schemas.openxmlformats.org/officeDocument/2006/relationships/worksheet" Target="/xl/worksheets/sheet11.xml" Id="R504f92dbf11b4ffa" /><Relationship Type="http://schemas.openxmlformats.org/officeDocument/2006/relationships/worksheet" Target="/xl/worksheets/sheet12.xml" Id="R9145e61151bf47ca" /><Relationship Type="http://schemas.openxmlformats.org/officeDocument/2006/relationships/worksheet" Target="/xl/worksheets/sheet13.xml" Id="R08640951864541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8d349382ef4d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a058771b674e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eb5112cc3140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eb32735ee943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b92ea8bab840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be983746354e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b9f64d3d5544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bb74e9e41e4c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021acacdf6412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4c139ff06e54b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RUN-I2-030-20260819T135816878451Z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42910.432166666666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RUN-I2-030-20260819T135816878451Z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58d349382ef4d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RUN-I2-030-20260819T135816878451Z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MAX_ATTEMPTS_REACHED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a058771b674e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RUN-I2-030-20260819T135816878451Z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SESSION-BATCH-20260819T135447369633Z</x:v>
      </x:c>
      <x:c r="B5" s="69" t="str">
        <x:v>RUN-I2-030-20260819T135816878451Z</x:v>
      </x:c>
      <x:c r="C5" s="69" t="str">
        <x:v>I2-030</x:v>
      </x:c>
      <x:c r="D5" s="70" t="n">
        <x:v>46253.58213982639</x:v>
      </x:c>
      <x:c r="E5" s="70" t="n">
        <x:v>46253.58513251157</x:v>
      </x:c>
      <x:c r="F5" s="69" t="str">
        <x:v>1.2.0-development-r6-terra-failed10-rerun-01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Repair the branch-specific operand logic. The applicability-guarded "All operands" query currently requires direct-formula-only operands localFrameFlangeCentreHeight, webAngleToShellPlate, and webToFlangeCentreDistance even when 20&lt;framingAngleOmega&lt;70 and the required Z_p method is interpolation. Require common applicable inputs/results (including A_fn, t_pn, s, h_w, t_wn, z_na, and Z_p) for both branches; require h_fc, phi_w, and b_w only in the non-oblique direct-formula branch; and require interpolation endpoints, coordinates, and results only in the oblique branch. Also validate that the lower and upper interpolation coordinates genuinely bracket Omega in ascending order (lower &lt; Omega &lt; upper), rather than merely differing, so arbitrary non-bracketing endpoint pairs cannot satisfy the interpolation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eb5112cc3140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RUN-I2-030-20260819T135816878451Z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RUN-I2-030-20260819T135816878451Z</x:v>
      </x:c>
      <x:c r="B5" s="45" t="str">
        <x:v>I2-030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COMPLETE dependency relationship(s) absent from candidate: hasLocalFrameSectionCalculationCase
Semantic validator feedback: Add the supplied canonical relationship nltl:hasLocalFrameSectionCalculationCase on its required owner nltl:structuralMember and require each evaluated local-frame section case to be linked through that relationship to the same structural member used by nltl:sectionCalculationCaseStructuralMember. Scope the ship's nltl:hasCalculationCase path to nltl:localFrameSectionCalculationCase rather than only the generic calculationCase, so evaluated cases are connected to the required ship target. Also add an applicability-guarded violation for a missing nltl:plasticNeutralAxisHeight quantity when 100*A_fn &gt; 1000*t_pn*s; the current formula query binds ?zna only when it exists and therefore lets an applicable case with no z_na pass. Preserve the existing expected-result-scaled tolerance formula.</x:v>
      </x:c>
      <x:c r="I5" s="84" t="n">
        <x:v>70652.064</x:v>
      </x:c>
      <x:c r="J5" s="84" t="n">
        <x:v>21090.727</x:v>
      </x:c>
    </x:row>
    <x:row r="6">
      <x:c r="A6" s="47" t="str">
        <x:v>RUN-I2-030-20260819T135816878451Z</x:v>
      </x:c>
      <x:c r="B6" s="47" t="str">
        <x:v>I2-030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conditional Z_p alternatives: for 20&lt;framingAngleOmega&lt;70, validate Z_p only by the required linear-interpolation branch; do not also require the direct Z_p formula, which currently makes mutually alternative methods conjunctively mandatory. Guard the direct Z_p formula and its conditional presence check with the non-oblique branch, and require branch-selection evidence for framingAngleOmega so a missing omega cannot pass. Add applicability-guarded missing-operand violations for every operand needed by the applicable z_na and Z_p formula branch (including webHeight, netWebThickness, localFrameFlangeCentreHeight, webAngleToShellPlate, and webToFlangeCentreDistance), because the current joins silently skip the comparison when an operand is absent.</x:v>
      </x:c>
      <x:c r="I6" s="86" t="n">
        <x:v>53140.867</x:v>
      </x:c>
      <x:c r="J6" s="86" t="n">
        <x:v>14431.65</x:v>
      </x:c>
    </x:row>
    <x:row r="7">
      <x:c r="A7" s="49" t="str">
        <x:v>RUN-I2-030-20260819T135816878451Z</x:v>
      </x:c>
      <x:c r="B7" s="49" t="str">
        <x:v>I2-030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Repair the branch-specific operand logic. The applicability-guarded "All operands" query currently requires direct-formula-only operands localFrameFlangeCentreHeight, webAngleToShellPlate, and webToFlangeCentreDistance even when 20&lt;framingAngleOmega&lt;70 and the required Z_p method is interpolation. Require common applicable inputs/results (including A_fn, t_pn, s, h_w, t_wn, z_na, and Z_p) for both branches; require h_fc, phi_w, and b_w only in the non-oblique direct-formula branch; and require interpolation endpoints, coordinates, and results only in the oblique branch. Also validate that the lower and upper interpolation coordinates genuinely bracket Omega in ascending order (lower &lt; Omega &lt; upper), rather than merely differing, so arbitrary non-bracketing endpoint pairs cannot satisfy the interpolation formula.</x:v>
      </x:c>
      <x:c r="I7" s="88" t="n">
        <x:v>77359.322</x:v>
      </x:c>
      <x:c r="J7" s="88" t="n">
        <x:v>20793.309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eb32735ee943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RUN-I2-030-20260819T135816878451Z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RUN-I2-030-20260819T135816878451Z</x:v>
      </x:c>
      <x:c r="C5" s="45" t="str">
        <x:v>I2-030</x:v>
      </x:c>
      <x:c r="D5" s="92" t="n">
        <x:v>46253.58295758102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70650.22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RUN-I2-030-20260819T135816878451Z</x:v>
      </x:c>
      <x:c r="C6" s="47" t="str">
        <x:v>I2-030</x:v>
      </x:c>
      <x:c r="D6" s="93" t="n">
        <x:v>46253.582957604165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70652.064</x:v>
      </x:c>
      <x:c r="L6" s="85" t="b">
        <x:v>0</x:v>
      </x:c>
      <x:c r="M6" s="47" t="str">
        <x:v>resp_00aa1816f23db8ff006a85b679140c81948d95a762ff123621</x:v>
      </x:c>
      <x:c r="N6" s="59" t="n">
        <x:v>14733</x:v>
      </x:c>
      <x:c r="O6" s="59" t="n">
        <x:v>6721</x:v>
      </x:c>
      <x:c r="P6" s="59" t="n">
        <x:v>21454</x:v>
      </x:c>
    </x:row>
    <x:row r="7">
      <x:c r="A7" s="47" t="str">
        <x:v>EVT-000047</x:v>
      </x:c>
      <x:c r="B7" s="47" t="str">
        <x:v>RUN-I2-030-20260819T135816878451Z</x:v>
      </x:c>
      <x:c r="C7" s="47" t="str">
        <x:v>I2-030</x:v>
      </x:c>
      <x:c r="D7" s="93" t="n">
        <x:v>46253.58320525463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21089.208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EVT-000048</x:v>
      </x:c>
      <x:c r="B8" s="47" t="str">
        <x:v>RUN-I2-030-20260819T135816878451Z</x:v>
      </x:c>
      <x:c r="C8" s="47" t="str">
        <x:v>I2-030</x:v>
      </x:c>
      <x:c r="D8" s="93" t="n">
        <x:v>46253.58320528935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21090.727</x:v>
      </x:c>
      <x:c r="L8" s="85" t="b">
        <x:v>0</x:v>
      </x:c>
      <x:c r="M8" s="47" t="str">
        <x:v>resp_0b806449fa936615006a85b6c0112881939dee1980dd0f2787</x:v>
      </x:c>
      <x:c r="N8" s="59" t="n">
        <x:v>18621</x:v>
      </x:c>
      <x:c r="O8" s="59" t="n">
        <x:v>1540</x:v>
      </x:c>
      <x:c r="P8" s="59" t="n">
        <x:v>20161</x:v>
      </x:c>
    </x:row>
    <x:row r="9">
      <x:c r="A9" s="47" t="str">
        <x:v>EVT-000053</x:v>
      </x:c>
      <x:c r="B9" s="47" t="str">
        <x:v>RUN-I2-030-20260819T135816878451Z</x:v>
      </x:c>
      <x:c r="C9" s="47" t="str">
        <x:v>I2-030</x:v>
      </x:c>
      <x:c r="D9" s="93" t="n">
        <x:v>46253.58382037037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53138.712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RUN-I2-030-20260819T135816878451Z</x:v>
      </x:c>
      <x:c r="C10" s="47" t="str">
        <x:v>I2-030</x:v>
      </x:c>
      <x:c r="D10" s="93" t="n">
        <x:v>46253.583820405096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53140.867</x:v>
      </x:c>
      <x:c r="L10" s="85" t="b">
        <x:v>0</x:v>
      </x:c>
      <x:c r="M10" s="47" t="str">
        <x:v>resp_0b4b8686dfd84feb006a85b6d567b081979dc02b10bfbd1565</x:v>
      </x:c>
      <x:c r="N10" s="59" t="n">
        <x:v>14927</x:v>
      </x:c>
      <x:c r="O10" s="59" t="n">
        <x:v>5722</x:v>
      </x:c>
      <x:c r="P10" s="59" t="n">
        <x:v>20649</x:v>
      </x:c>
    </x:row>
    <x:row r="11">
      <x:c r="A11" s="47" t="str">
        <x:v>EVT-000061</x:v>
      </x:c>
      <x:c r="B11" s="47" t="str">
        <x:v>RUN-I2-030-20260819T135816878451Z</x:v>
      </x:c>
      <x:c r="C11" s="47" t="str">
        <x:v>I2-030</x:v>
      </x:c>
      <x:c r="D11" s="93" t="n">
        <x:v>46253.58399118055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14429.983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EVT-000062</x:v>
      </x:c>
      <x:c r="B12" s="47" t="str">
        <x:v>RUN-I2-030-20260819T135816878451Z</x:v>
      </x:c>
      <x:c r="C12" s="47" t="str">
        <x:v>I2-030</x:v>
      </x:c>
      <x:c r="D12" s="93" t="n">
        <x:v>46253.583991203704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14431.65</x:v>
      </x:c>
      <x:c r="L12" s="85" t="b">
        <x:v>0</x:v>
      </x:c>
      <x:c r="M12" s="47" t="str">
        <x:v>resp_0ae8068aec08364f006a85b70adf0c81959fc86b324311079d</x:v>
      </x:c>
      <x:c r="N12" s="59" t="n">
        <x:v>19874</x:v>
      </x:c>
      <x:c r="O12" s="59" t="n">
        <x:v>1017</x:v>
      </x:c>
      <x:c r="P12" s="59" t="n">
        <x:v>20891</x:v>
      </x:c>
    </x:row>
    <x:row r="13">
      <x:c r="A13" s="47" t="str">
        <x:v>EVT-000067</x:v>
      </x:c>
      <x:c r="B13" s="47" t="str">
        <x:v>RUN-I2-030-20260819T135816878451Z</x:v>
      </x:c>
      <x:c r="C13" s="47" t="str">
        <x:v>I2-030</x:v>
      </x:c>
      <x:c r="D13" s="93" t="n">
        <x:v>46253.58488659722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77357.21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EVT-000068</x:v>
      </x:c>
      <x:c r="B14" s="47" t="str">
        <x:v>RUN-I2-030-20260819T135816878451Z</x:v>
      </x:c>
      <x:c r="C14" s="47" t="str">
        <x:v>I2-030</x:v>
      </x:c>
      <x:c r="D14" s="93" t="n">
        <x:v>46253.58488662037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77359.322</x:v>
      </x:c>
      <x:c r="L14" s="85" t="b">
        <x:v>0</x:v>
      </x:c>
      <x:c r="M14" s="47" t="str">
        <x:v>resp_0cb5e9d5fa329692006a85b71916a081959b120c1e1371f599</x:v>
      </x:c>
      <x:c r="N14" s="59" t="n">
        <x:v>15082</x:v>
      </x:c>
      <x:c r="O14" s="59" t="n">
        <x:v>7585</x:v>
      </x:c>
      <x:c r="P14" s="59" t="n">
        <x:v>22667</x:v>
      </x:c>
    </x:row>
    <x:row r="15">
      <x:c r="A15" s="47" t="str">
        <x:v>EVT-000075</x:v>
      </x:c>
      <x:c r="B15" s="47" t="str">
        <x:v>RUN-I2-030-20260819T135816878451Z</x:v>
      </x:c>
      <x:c r="C15" s="47" t="str">
        <x:v>I2-030</x:v>
      </x:c>
      <x:c r="D15" s="93" t="n">
        <x:v>46253.58513245371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20791.914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EVT-000076</x:v>
      </x:c>
      <x:c r="B16" s="49" t="str">
        <x:v>RUN-I2-030-20260819T135816878451Z</x:v>
      </x:c>
      <x:c r="C16" s="49" t="str">
        <x:v>I2-030</x:v>
      </x:c>
      <x:c r="D16" s="94" t="n">
        <x:v>46253.58513247685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20793.309</x:v>
      </x:c>
      <x:c r="L16" s="87" t="b">
        <x:v>0</x:v>
      </x:c>
      <x:c r="M16" s="49" t="str">
        <x:v>resp_0d7bc1f4856c8ebd006a85b766de9c8193898b2d200e71d759</x:v>
      </x:c>
      <x:c r="N16" s="60" t="n">
        <x:v>21729</x:v>
      </x:c>
      <x:c r="O16" s="60" t="n">
        <x:v>1643</x:v>
      </x:c>
      <x:c r="P16" s="60" t="n">
        <x:v>23372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b92ea8bab840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RUN-I2-030-20260819T135816878451Z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RUN-I2-030-20260819T135816878451Z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RUN-I2-030-20260819T135816878451Z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range dependency of hasCalculationCase; range dependency of localFrameSectionCalculationCase</x:v>
      </x:c>
      <x:c r="J6" s="47" t="n">
        <x:v>0</x:v>
      </x:c>
    </x:row>
    <x:row r="7">
      <x:c r="A7" s="47" t="str">
        <x:v>RUN-I2-030-20260819T135816878451Z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RUN-I2-030-20260819T135816878451Z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RUN-I2-030-20260819T135816878451Z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RUN-I2-030-20260819T135816878451Z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RUN-I2-030-20260819T135816878451Z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RUN-I2-030-20260819T135816878451Z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RUN-I2-030-20260819T135816878451Z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RUN-I2-030-20260819T135816878451Z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RUN-I2-030-20260819T135816878451Z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RUN-I2-030-20260819T135816878451Z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RUN-I2-030-20260819T135816878451Z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RUN-I2-030-20260819T135816878451Z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RUN-I2-030-20260819T135816878451Z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RUN-I2-030-20260819T135816878451Z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domain dependency of sectionCalculationCaseStructuralMember;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RUN-I2-030-20260819T135816878451Z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RUN-I2-030-20260819T135816878451Z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RUN-I2-030-20260819T135816878451Z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RUN-I2-030-20260819T135816878451Z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RUN-I2-030-20260819T135816878451Z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RUN-I2-030-20260819T135816878451Z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RUN-I2-030-20260819T135816878451Z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RUN-I2-030-20260819T135816878451Z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RUN-I2-030-20260819T135816878451Z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RUN-I2-030-20260819T135816878451Z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RUN-I2-030-20260819T135816878451Z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RUN-I2-030-20260819T135816878451Z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RUN-I2-030-20260819T135816878451Z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RUN-I2-030-20260819T135816878451Z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RUN-I2-030-20260819T135816878451Z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be983746354e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RUN-I2-030-20260819T135816878451Z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RUN-I2-030-20260819T135816878451Z</x:v>
      </x:c>
      <x:c r="B5" s="45" t="str">
        <x:v>I2-030</x:v>
      </x:c>
      <x:c r="C5" s="45" t="str">
        <x:v>FS-CALC-02</x:v>
      </x:c>
      <x:c r="D5" s="45" t="str">
        <x:v>comparison_calculation</x:v>
      </x:c>
      <x:c r="E5" s="97" t="n">
        <x:v>0.056338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RUN-I2-030-20260819T135816878451Z</x:v>
      </x:c>
      <x:c r="B6" s="49" t="str">
        <x:v>I2-030</x:v>
      </x:c>
      <x:c r="C6" s="49" t="str">
        <x:v>FS-CALC-01</x:v>
      </x:c>
      <x:c r="D6" s="49" t="str">
        <x:v>comparison_calculation</x:v>
      </x:c>
      <x:c r="E6" s="98" t="n">
        <x:v>0.041667</x:v>
      </x:c>
      <x:c r="F6" s="49" t="str">
        <x:v>calculation | comparison | cross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b9f64d3d5544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RUN-I2-030-20260819T135816878451Z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RUN-I2-030-20260819T135816878451Z</x:v>
      </x:c>
      <x:c r="B5" s="45" t="str">
        <x:v>I2-030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COMPLETE dependency relationship(s) absent from candidate: hasLocalFrameSectionCalculationCase</x:v>
      </x:c>
      <x:c r="M5" s="46" t="str"/>
      <x:c r="N5" s="46" t="str">
        <x:v>https://w3id.org/nltl/vocab#calculationCase | https://w3id.org/nltl/vocab#frameSpacing | https://w3id.org/nltl/vocab#framingAngleOmega | https://w3id.org/nltl/vocab#hasCalculationCase | https://w3id.org/nltl/vocab#interpolationLowerEndpoint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https://w3id.org/nltl/vocab#sectionCalculationCasePlating | https://w3id.org/nltl/vocab#sectionCalculationCaseStructuralMember | https://w3id.org/nltl/vocab#ship | https://w3id.org/nltl/vocab#webAngleToShellPlate | https://w3id.org/nltl/vocab#webHeight | https://w3id.org/nltl/vocab#webToFlangeCentreDistance</x:v>
      </x:c>
      <x:c r="O5" s="46" t="str"/>
      <x:c r="P5" s="46" t="str"/>
      <x:c r="Q5" s="46" t="str"/>
    </x:row>
    <x:row r="6">
      <x:c r="A6" s="47" t="str">
        <x:v>RUN-I2-030-20260819T135816878451Z</x:v>
      </x:c>
      <x:c r="B6" s="47" t="str">
        <x:v>I2-030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https://w3id.org/nltl/vocab#frameSpacing | https://w3id.org/nltl/vocab#framingAngleOmega | https://w3id.org/nltl/vocab#hasCalculationCase | https://w3id.org/nltl/vocab#hasLocalFrameSectionCalculationCase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6" s="48" t="str"/>
      <x:c r="P6" s="48" t="str"/>
      <x:c r="Q6" s="48" t="str"/>
    </x:row>
    <x:row r="7">
      <x:c r="A7" s="49" t="str">
        <x:v>RUN-I2-030-20260819T135816878451Z</x:v>
      </x:c>
      <x:c r="B7" s="49" t="str">
        <x:v>I2-030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https://w3id.org/nltl/vocab#frameSpacing | https://w3id.org/nltl/vocab#framingAngleOmega | https://w3id.org/nltl/vocab#hasCalculationCase | https://w3id.org/nltl/vocab#hasLocalFrameSectionCalculationCase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9bb74e9e41e4c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RUN-I2-030-20260819T135816878451Z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RUN-I2-030-20260819T135816878451Z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RUN-I2-030-20260819T135816878451Z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6065e3f1325245a22be82b0d9fa74591f6bbb9555f1940bae73e2d05a391a966</x:v>
      </x:c>
      <x:c r="G5" s="58" t="n">
        <x:v>43727</x:v>
      </x:c>
    </x:row>
    <x:row r="6">
      <x:c r="A6" s="47" t="str">
        <x:v>RUN-I2-030-20260819T135816878451Z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09cf0c8a44f35514e2d4d5d88547d578517832115ab20b9ddbeae5120facde73</x:v>
      </x:c>
      <x:c r="G6" s="59" t="n">
        <x:v>5266</x:v>
      </x:c>
    </x:row>
    <x:row r="7">
      <x:c r="A7" s="47" t="str">
        <x:v>RUN-I2-030-20260819T135816878451Z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2675ee4fcbc40925827ec3b96cbed9c8c3a1b1888c03dcad9a2fbc37be18e278</x:v>
      </x:c>
      <x:c r="G7" s="59" t="n">
        <x:v>58291</x:v>
      </x:c>
    </x:row>
    <x:row r="8">
      <x:c r="A8" s="47" t="str">
        <x:v>RUN-I2-030-20260819T135816878451Z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76651f1c76bbc07e506dadb58cdc2a533763642f072299aa04b4589b4a6c4fcc</x:v>
      </x:c>
      <x:c r="G8" s="59" t="n">
        <x:v>12154</x:v>
      </x:c>
    </x:row>
    <x:row r="9">
      <x:c r="A9" s="47" t="str">
        <x:v>RUN-I2-030-20260819T135816878451Z</x:v>
      </x:c>
      <x:c r="B9" s="47" t="str">
        <x:v>I2-030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50e0160c74dd05290c0c6702d8af8f95c4a9fd40e677caad240993ffe61465ad</x:v>
      </x:c>
      <x:c r="G9" s="59" t="n">
        <x:v>12129</x:v>
      </x:c>
    </x:row>
    <x:row r="10">
      <x:c r="A10" s="47" t="str">
        <x:v>RUN-I2-030-20260819T135816878451Z</x:v>
      </x:c>
      <x:c r="B10" s="47" t="str">
        <x:v>I2-030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2abae3eb22ff7bb1828441abbba02a3518ed647a7a762bf9b94adf136c3d43be</x:v>
      </x:c>
      <x:c r="G10" s="59" t="n">
        <x:v>1726</x:v>
      </x:c>
    </x:row>
    <x:row r="11">
      <x:c r="A11" s="47" t="str">
        <x:v>RUN-I2-030-20260819T135816878451Z</x:v>
      </x:c>
      <x:c r="B11" s="47" t="str">
        <x:v>I2-030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bf83b31a849467ee4597b6a45386100858726651966242892e8637dfa896ceaa</x:v>
      </x:c>
      <x:c r="G11" s="59" t="n">
        <x:v>70678</x:v>
      </x:c>
    </x:row>
    <x:row r="12">
      <x:c r="A12" s="47" t="str">
        <x:v>RUN-I2-030-20260819T135816878451Z</x:v>
      </x:c>
      <x:c r="B12" s="47" t="str">
        <x:v>I2-030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3afc027882d76aeade16d1704d4c8d2b05a7c7a4617cd0a27e2c415809db91dc</x:v>
      </x:c>
      <x:c r="G12" s="59" t="n">
        <x:v>861</x:v>
      </x:c>
    </x:row>
    <x:row r="13">
      <x:c r="A13" s="47" t="str">
        <x:v>RUN-I2-030-20260819T135816878451Z</x:v>
      </x:c>
      <x:c r="B13" s="47" t="str">
        <x:v>I2-030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5ffaad4acb7887f8fc46644a6c8e32de1ab564954a79ad2d7e7fe7e4a21dcaf2</x:v>
      </x:c>
      <x:c r="G13" s="59" t="n">
        <x:v>59263</x:v>
      </x:c>
    </x:row>
    <x:row r="14">
      <x:c r="A14" s="47" t="str">
        <x:v>RUN-I2-030-20260819T135816878451Z</x:v>
      </x:c>
      <x:c r="B14" s="47" t="str">
        <x:v>I2-030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93990ed3df59081f6b1c544321ef24316e16201fe3b018b065a983ec7fc5eff7</x:v>
      </x:c>
      <x:c r="G14" s="59" t="n">
        <x:v>14343</x:v>
      </x:c>
    </x:row>
    <x:row r="15">
      <x:c r="A15" s="47" t="str">
        <x:v>RUN-I2-030-20260819T135816878451Z</x:v>
      </x:c>
      <x:c r="B15" s="47" t="str">
        <x:v>I2-030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cca959eb76c57ec4a6d7b0bebdb237e3982e3aafd1357bd00888a19bcf052a26</x:v>
      </x:c>
      <x:c r="G15" s="59" t="n">
        <x:v>14318</x:v>
      </x:c>
    </x:row>
    <x:row r="16">
      <x:c r="A16" s="47" t="str">
        <x:v>RUN-I2-030-20260819T135816878451Z</x:v>
      </x:c>
      <x:c r="B16" s="47" t="str">
        <x:v>I2-030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e8ece5ac7ae960f871b92f5cf8431adcf1487fac7ac902a53b577aef174a9d1c</x:v>
      </x:c>
      <x:c r="G16" s="59" t="n">
        <x:v>1790</x:v>
      </x:c>
    </x:row>
    <x:row r="17">
      <x:c r="A17" s="47" t="str">
        <x:v>RUN-I2-030-20260819T135816878451Z</x:v>
      </x:c>
      <x:c r="B17" s="47" t="str">
        <x:v>I2-030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81a86054d0d74ca773f9b6af2eebe2d2baa3594802b1b9409a1c7c0455eea089</x:v>
      </x:c>
      <x:c r="G17" s="59" t="n">
        <x:v>75040</x:v>
      </x:c>
    </x:row>
    <x:row r="18">
      <x:c r="A18" s="47" t="str">
        <x:v>RUN-I2-030-20260819T135816878451Z</x:v>
      </x:c>
      <x:c r="B18" s="47" t="str">
        <x:v>I2-030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637d0bddc5535474b889c7213b8f30e064ac4b9189831c01d49016909cab316d</x:v>
      </x:c>
      <x:c r="G18" s="59" t="n">
        <x:v>830</x:v>
      </x:c>
    </x:row>
    <x:row r="19">
      <x:c r="A19" s="47" t="str">
        <x:v>RUN-I2-030-20260819T135816878451Z</x:v>
      </x:c>
      <x:c r="B19" s="47" t="str">
        <x:v>I2-030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41a28bac7ced2731052c34007fa461a5649648b7c5a9b53184541d91fcd1c0b2</x:v>
      </x:c>
      <x:c r="G19" s="59" t="n">
        <x:v>60036</x:v>
      </x:c>
    </x:row>
    <x:row r="20">
      <x:c r="A20" s="47" t="str">
        <x:v>RUN-I2-030-20260819T135816878451Z</x:v>
      </x:c>
      <x:c r="B20" s="47" t="str">
        <x:v>I2-030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2b7b92dc70b6d47c9d24d020e670bd7bf262155c643c33ce61d71cafdf339196</x:v>
      </x:c>
      <x:c r="G20" s="59" t="n">
        <x:v>19947</x:v>
      </x:c>
    </x:row>
    <x:row r="21">
      <x:c r="A21" s="47" t="str">
        <x:v>RUN-I2-030-20260819T135816878451Z</x:v>
      </x:c>
      <x:c r="B21" s="47" t="str">
        <x:v>I2-030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b3d6daac078b5662e60058d70c7d09437fa92636e1797a16ad2c7eee95aa4864</x:v>
      </x:c>
      <x:c r="G21" s="59" t="n">
        <x:v>19922</x:v>
      </x:c>
    </x:row>
    <x:row r="22">
      <x:c r="A22" s="47" t="str">
        <x:v>RUN-I2-030-20260819T135816878451Z</x:v>
      </x:c>
      <x:c r="B22" s="47" t="str">
        <x:v>I2-030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e8ece5ac7ae960f871b92f5cf8431adcf1487fac7ac902a53b577aef174a9d1c</x:v>
      </x:c>
      <x:c r="G22" s="59" t="n">
        <x:v>1790</x:v>
      </x:c>
    </x:row>
    <x:row r="23">
      <x:c r="A23" s="47" t="str">
        <x:v>RUN-I2-030-20260819T135816878451Z</x:v>
      </x:c>
      <x:c r="B23" s="47" t="str">
        <x:v>I2-030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2510950dd39922a47c69822a6b807eab7677093a3befd9fa09d8c8a9ab98f5cf</x:v>
      </x:c>
      <x:c r="G23" s="59" t="n">
        <x:v>81542</x:v>
      </x:c>
    </x:row>
    <x:row r="24">
      <x:c r="A24" s="49" t="str">
        <x:v>RUN-I2-030-20260819T135816878451Z</x:v>
      </x:c>
      <x:c r="B24" s="49" t="str">
        <x:v>I2-030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49425037485c857450bba3e5962c8a3f20c96c00620e8c84d60466994736c6fa</x:v>
      </x:c>
      <x:c r="G24" s="60" t="n">
        <x:v>890</x:v>
      </x:c>
    </x:row>
  </x:sheetData>
  <x:pageMargins left="0.7" right="0.7" top="0.75" bottom="0.75" header="0.3" footer="0.3"/>
  <x:tableParts count="1">
    <x:tablePart xmlns:r="http://schemas.openxmlformats.org/officeDocument/2006/relationships" r:id="R07021acacdf641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RUN-I2-030-20260819T135816878451Z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RUN-I2-030-20260819T135816878451Z</x:v>
      </x:c>
      <x:c r="B5" s="69" t="str">
        <x:v>I2-030</x:v>
      </x:c>
      <x:c r="C5" s="71" t="n">
        <x:v>3</x:v>
      </x:c>
      <x:c r="D5" s="69" t="str">
        <x:v>MAX_ATTEMPTS_REACHED</x:v>
      </x:c>
      <x:c r="E5" s="73" t="str">
        <x:v>Repair the branch-specific operand logic. The applicability-guarded "All operands" query currently requires direct-formula-only operands localFrameFlangeCentreHeight, webAngleToShellPlate, and webToFlangeCentreDistance even when 20&lt;framingAngleOmega&lt;70 and the required Z_p method is interpolation. Require common applicable inputs/results (including A_fn, t_pn, s, h_w, t_wn, z_na, and Z_p) for both branches; require h_fc, phi_w, and b_w only in the non-oblique direct-formula branch; and require interpolation endpoints, coordinates, and results only in the oblique branch. Also validate that the lower and upper interpolation coordinates genuinely bracket Omega in ascending order (lower &lt; Omega &lt; upper), rather than merely differing, so arbitrary non-bracketing endpoint pairs cannot satisfy the interpolation formula.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c139ff06e54b2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RUN-I2-030-20260819T135816878451Z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