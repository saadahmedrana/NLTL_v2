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ad606ca80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dd15a69ff04fdd"/>
    <x:sheet xmlns:r="http://schemas.openxmlformats.org/officeDocument/2006/relationships" name="README" sheetId="2" r:id="R3e3f2f4b2f954e23"/>
    <x:sheet xmlns:r="http://schemas.openxmlformats.org/officeDocument/2006/relationships" name="REGULATION_QUEUE" sheetId="3" r:id="R658ce64fccb24a15"/>
    <x:sheet xmlns:r="http://schemas.openxmlformats.org/officeDocument/2006/relationships" name="RUNS" sheetId="4" r:id="Re30d961d65ae4173"/>
    <x:sheet xmlns:r="http://schemas.openxmlformats.org/officeDocument/2006/relationships" name="ITERATIONS" sheetId="5" r:id="R8993c468a28c4f06"/>
    <x:sheet xmlns:r="http://schemas.openxmlformats.org/officeDocument/2006/relationships" name="API_CALLS" sheetId="6" r:id="R36a84fe855a74927"/>
    <x:sheet xmlns:r="http://schemas.openxmlformats.org/officeDocument/2006/relationships" name="TERM_RETRIEVAL" sheetId="7" r:id="R123e8eaf35e044fe"/>
    <x:sheet xmlns:r="http://schemas.openxmlformats.org/officeDocument/2006/relationships" name="FEW_SHOT_SELECTION" sheetId="8" r:id="R0f02910d221044bc"/>
    <x:sheet xmlns:r="http://schemas.openxmlformats.org/officeDocument/2006/relationships" name="VALIDATION" sheetId="9" r:id="R76d3fef40b074aa9"/>
    <x:sheet xmlns:r="http://schemas.openxmlformats.org/officeDocument/2006/relationships" name="VOCAB_MATCHES" sheetId="10" r:id="R9af6f36a7bd04760"/>
    <x:sheet xmlns:r="http://schemas.openxmlformats.org/officeDocument/2006/relationships" name="ARTIFACTS" sheetId="11" r:id="Rd17872dcddbb49bd"/>
    <x:sheet xmlns:r="http://schemas.openxmlformats.org/officeDocument/2006/relationships" name="UNRESOLVED" sheetId="12" r:id="Rb2ac9345147440de"/>
    <x:sheet xmlns:r="http://schemas.openxmlformats.org/officeDocument/2006/relationships" name="RDF_TEST_QUEUE" sheetId="13" r:id="R062bd286a877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539103ff94006" /><Relationship Type="http://schemas.openxmlformats.org/officeDocument/2006/relationships/theme" Target="/xl/theme/theme1.xml" Id="R086e283bae764b57" /><Relationship Type="http://schemas.microsoft.com/office/2022/11/relationships/FeaturePropertyBag" Target="/xl/featurePropertyBag/featurePropertyBag.xml" Id="Rf3a9558feeff433a" /><Relationship Type="http://schemas.openxmlformats.org/officeDocument/2006/relationships/sharedStrings" Target="/xl/sharedStrings.xml" Id="R14b0f76e5cbd4779" /><Relationship Type="http://schemas.openxmlformats.org/officeDocument/2006/relationships/worksheet" Target="/xl/worksheets/sheet1.xml" Id="R72dd15a69ff04fdd" /><Relationship Type="http://schemas.openxmlformats.org/officeDocument/2006/relationships/worksheet" Target="/xl/worksheets/sheet2.xml" Id="R3e3f2f4b2f954e23" /><Relationship Type="http://schemas.openxmlformats.org/officeDocument/2006/relationships/worksheet" Target="/xl/worksheets/sheet3.xml" Id="R658ce64fccb24a15" /><Relationship Type="http://schemas.openxmlformats.org/officeDocument/2006/relationships/worksheet" Target="/xl/worksheets/sheet4.xml" Id="Re30d961d65ae4173" /><Relationship Type="http://schemas.openxmlformats.org/officeDocument/2006/relationships/worksheet" Target="/xl/worksheets/sheet5.xml" Id="R8993c468a28c4f06" /><Relationship Type="http://schemas.openxmlformats.org/officeDocument/2006/relationships/worksheet" Target="/xl/worksheets/sheet6.xml" Id="R36a84fe855a74927" /><Relationship Type="http://schemas.openxmlformats.org/officeDocument/2006/relationships/worksheet" Target="/xl/worksheets/sheet7.xml" Id="R123e8eaf35e044fe" /><Relationship Type="http://schemas.openxmlformats.org/officeDocument/2006/relationships/worksheet" Target="/xl/worksheets/sheet8.xml" Id="R0f02910d221044bc" /><Relationship Type="http://schemas.openxmlformats.org/officeDocument/2006/relationships/worksheet" Target="/xl/worksheets/sheet9.xml" Id="R76d3fef40b074aa9" /><Relationship Type="http://schemas.openxmlformats.org/officeDocument/2006/relationships/worksheet" Target="/xl/worksheets/sheet10.xml" Id="R9af6f36a7bd04760" /><Relationship Type="http://schemas.openxmlformats.org/officeDocument/2006/relationships/worksheet" Target="/xl/worksheets/sheet11.xml" Id="Rd17872dcddbb49bd" /><Relationship Type="http://schemas.openxmlformats.org/officeDocument/2006/relationships/worksheet" Target="/xl/worksheets/sheet12.xml" Id="Rb2ac9345147440de" /><Relationship Type="http://schemas.openxmlformats.org/officeDocument/2006/relationships/worksheet" Target="/xl/worksheets/sheet13.xml" Id="R062bd286a87741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99d46c03c41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5be1bee95842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ae58ec571d49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8a8012e08e45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c1fcab87c144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bb18b351b740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3e7e34c29945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05e54984fd44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e22565582474d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87a711f1bd49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39a7e3999394d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RUN-I2-015-20260819T152807537456Z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30752.397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RUN-I2-015-20260819T152807537456Z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499d46c03c41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SYNTAX_REPAIR_EXHAUSTED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be1bee95842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RUN-I2-015-20260819T152807537456Z</x:v>
      </x:c>
      <x:c r="C5" s="69" t="str">
        <x:v>I2-015</x:v>
      </x:c>
      <x:c r="D5" s="70" t="n">
        <x:v>46253.644531701386</x:v>
      </x:c>
      <x:c r="E5" s="70" t="n">
        <x:v>46253.6470500463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2496), (line:46,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e58ec571d49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RUN-I2-015-20260819T152807537456Z</x:v>
      </x:c>
      <x:c r="B5" s="69" t="str">
        <x:v>I2-015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Replace the f_ai3-only upper-cap query with one bounded formula query that retrieves the same applicable bowSubregionCalculationCase, its x, alpha_i, linked C_FF/C_FC lookup values, ship beta_i_prime and L_UI, and the canonical D_UI operand via its canonical owner/path; compute f_ai1, f_ai2 (using the registered math:sin IRI, not bare SIN), and min(f_ai1,f_ai2,0.60), then require reported bowShapeCoefficient to equal that derived result within tolerance scaled from the expected result. The current &lt;=0.6000006 check omits f_ai1/f_ai2, D_UI, all required formula operands, and the required derived-result comparison. Locate the absent canonical D_UI term and any required cross-owner path before repair. Ensure SPARQL targets explicitly restrict the ship target to nltl:ship while preserving case-level properties on bowSubregionCalculationCase and factor properties on tableLookupCase.</x:v>
      </x:c>
      <x:c r="I5" s="75" t="n">
        <x:v>56603.326</x:v>
      </x:c>
      <x:c r="J5" s="75" t="n">
        <x:v>23818.774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a8012e08e45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RUN-I2-015-20260819T152807537456Z</x:v>
      </x:c>
      <x:c r="C5" s="45" t="str">
        <x:v>I2-015</x:v>
      </x:c>
      <x:c r="D5" s="88" t="n">
        <x:v>46253.645186863425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56601.349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RUN-I2-015-20260819T152807537456Z</x:v>
      </x:c>
      <x:c r="C6" s="47" t="str">
        <x:v>I2-015</x:v>
      </x:c>
      <x:c r="D6" s="91" t="n">
        <x:v>46253.64518688658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56603.326</x:v>
      </x:c>
      <x:c r="L6" s="93" t="b">
        <x:v>0</x:v>
      </x:c>
      <x:c r="M6" s="47" t="str">
        <x:v>resp_0077b90bc25820f6006a85cb87a57881968fe4fc07f5493e4d</x:v>
      </x:c>
      <x:c r="N6" s="59" t="n">
        <x:v>10579</x:v>
      </x:c>
      <x:c r="O6" s="59" t="n">
        <x:v>5093</x:v>
      </x:c>
      <x:c r="P6" s="59" t="n">
        <x:v>15672</x:v>
      </x:c>
    </x:row>
    <x:row r="7">
      <x:c r="A7" s="47" t="str">
        <x:v>EVT-000036</x:v>
      </x:c>
      <x:c r="B7" s="47" t="str">
        <x:v>RUN-I2-015-20260819T152807537456Z</x:v>
      </x:c>
      <x:c r="C7" s="47" t="str">
        <x:v>I2-015</x:v>
      </x:c>
      <x:c r="D7" s="91" t="n">
        <x:v>46253.645465347225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23818.034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RUN-I2-015-20260819T152807537456Z</x:v>
      </x:c>
      <x:c r="C8" s="47" t="str">
        <x:v>I2-015</x:v>
      </x:c>
      <x:c r="D8" s="91" t="n">
        <x:v>46253.64546535879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23818.774</x:v>
      </x:c>
      <x:c r="L8" s="93" t="b">
        <x:v>0</x:v>
      </x:c>
      <x:c r="M8" s="47" t="str">
        <x:v>resp_0267958292770aeb006a85cbc07ef08193bc2168ff66b0bfea</x:v>
      </x:c>
      <x:c r="N8" s="59" t="n">
        <x:v>11966</x:v>
      </x:c>
      <x:c r="O8" s="59" t="n">
        <x:v>736</x:v>
      </x:c>
      <x:c r="P8" s="59" t="n">
        <x:v>12702</x:v>
      </x:c>
    </x:row>
    <x:row r="9">
      <x:c r="A9" s="47" t="str">
        <x:v>EVT-000043</x:v>
      </x:c>
      <x:c r="B9" s="47" t="str">
        <x:v>RUN-I2-015-20260819T152807537456Z</x:v>
      </x:c>
      <x:c r="C9" s="47" t="str">
        <x:v>I2-015</x:v>
      </x:c>
      <x:c r="D9" s="91" t="n">
        <x:v>46253.64552074074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3278.331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RUN-I2-015-20260819T152807537456Z</x:v>
      </x:c>
      <x:c r="C10" s="47" t="str">
        <x:v>I2-015</x:v>
      </x:c>
      <x:c r="D10" s="91" t="n">
        <x:v>46253.64552075232</x:v>
      </x:c>
      <x:c r="E10" s="47" t="str">
        <x:v>vocabulary_matcher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3279.051</x:v>
      </x:c>
      <x:c r="L10" s="93" t="b">
        <x:v>0</x:v>
      </x:c>
      <x:c r="M10" s="47" t="str">
        <x:v>resp_083f8d267edecc77006a85cbd9d1408190a6a1f11b21874d3f</x:v>
      </x:c>
      <x:c r="N10" s="59" t="n">
        <x:v>3917</x:v>
      </x:c>
      <x:c r="O10" s="59" t="n">
        <x:v>159</x:v>
      </x:c>
      <x:c r="P10" s="59" t="n">
        <x:v>4076</x:v>
      </x:c>
    </x:row>
    <x:row r="11">
      <x:c r="A11" s="47" t="str">
        <x:v>EVT-000072</x:v>
      </x:c>
      <x:c r="B11" s="47" t="str">
        <x:v>RUN-I2-015-20260819T152807537456Z</x:v>
      </x:c>
      <x:c r="C11" s="47" t="str">
        <x:v>I2-015</x:v>
      </x:c>
      <x:c r="D11" s="91" t="n">
        <x:v>46253.64608762731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48966.613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EVT-000073</x:v>
      </x:c>
      <x:c r="B12" s="47" t="str">
        <x:v>RUN-I2-015-20260819T152807537456Z</x:v>
      </x:c>
      <x:c r="C12" s="47" t="str">
        <x:v>I2-015</x:v>
      </x:c>
      <x:c r="D12" s="91" t="n">
        <x:v>46253.64608763889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48968.209</x:v>
      </x:c>
      <x:c r="L12" s="93" t="b">
        <x:v>0</x:v>
      </x:c>
      <x:c r="M12" s="47" t="str">
        <x:v>resp_0a2ef2ee3a1cea9d006a85cbdd19b48193be5d59e469eda2b2</x:v>
      </x:c>
      <x:c r="N12" s="59" t="n">
        <x:v>11164</x:v>
      </x:c>
      <x:c r="O12" s="59" t="n">
        <x:v>4869</x:v>
      </x:c>
      <x:c r="P12" s="59" t="n">
        <x:v>16033</x:v>
      </x:c>
    </x:row>
    <x:row r="13">
      <x:c r="A13" s="47" t="str">
        <x:v>EVT-000078</x:v>
      </x:c>
      <x:c r="B13" s="47" t="str">
        <x:v>RUN-I2-015-20260819T152807537456Z</x:v>
      </x:c>
      <x:c r="C13" s="47" t="str">
        <x:v>I2-015</x:v>
      </x:c>
      <x:c r="D13" s="91" t="n">
        <x:v>46253.64636136574</x:v>
      </x:c>
      <x:c r="E13" s="47" t="str">
        <x:v>syntax_repair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23487.119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EVT-000079</x:v>
      </x:c>
      <x:c r="B14" s="47" t="str">
        <x:v>RUN-I2-015-20260819T152807537456Z</x:v>
      </x:c>
      <x:c r="C14" s="47" t="str">
        <x:v>I2-015</x:v>
      </x:c>
      <x:c r="D14" s="91" t="n">
        <x:v>46253.64636138889</x:v>
      </x:c>
      <x:c r="E14" s="47" t="str">
        <x:v>syntax_repair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23488.652</x:v>
      </x:c>
      <x:c r="L14" s="93" t="b">
        <x:v>0</x:v>
      </x:c>
      <x:c r="M14" s="47" t="str">
        <x:v>resp_0dc2c72fa9d7124f006a85cc0e375c8195ba5db3c93fe91306</x:v>
      </x:c>
      <x:c r="N14" s="59" t="n">
        <x:v>2890</x:v>
      </x:c>
      <x:c r="O14" s="59" t="n">
        <x:v>3082</x:v>
      </x:c>
      <x:c r="P14" s="59" t="n">
        <x:v>5972</x:v>
      </x:c>
    </x:row>
    <x:row r="15">
      <x:c r="A15" s="47" t="str">
        <x:v>EVT-000085</x:v>
      </x:c>
      <x:c r="B15" s="47" t="str">
        <x:v>RUN-I2-015-20260819T152807537456Z</x:v>
      </x:c>
      <x:c r="C15" s="47" t="str">
        <x:v>I2-015</x:v>
      </x:c>
      <x:c r="D15" s="91" t="n">
        <x:v>46253.64666005787</x:v>
      </x:c>
      <x:c r="E15" s="47" t="str">
        <x:v>syntax_repair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25674.891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EVT-000086</x:v>
      </x:c>
      <x:c r="B16" s="47" t="str">
        <x:v>RUN-I2-015-20260819T152807537456Z</x:v>
      </x:c>
      <x:c r="C16" s="47" t="str">
        <x:v>I2-015</x:v>
      </x:c>
      <x:c r="D16" s="91" t="n">
        <x:v>46253.646660081016</x:v>
      </x:c>
      <x:c r="E16" s="47" t="str">
        <x:v>syntax_repair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25676.425</x:v>
      </x:c>
      <x:c r="L16" s="93" t="b">
        <x:v>0</x:v>
      </x:c>
      <x:c r="M16" s="47" t="str">
        <x:v>resp_06a201c7e1134487006a85cc25d6f08195bb50174edafd280f</x:v>
      </x:c>
      <x:c r="N16" s="59" t="n">
        <x:v>3242</x:v>
      </x:c>
      <x:c r="O16" s="59" t="n">
        <x:v>3133</x:v>
      </x:c>
      <x:c r="P16" s="59" t="n">
        <x:v>6375</x:v>
      </x:c>
    </x:row>
    <x:row r="17">
      <x:c r="A17" s="47" t="str">
        <x:v>EVT-000092</x:v>
      </x:c>
      <x:c r="B17" s="47" t="str">
        <x:v>RUN-I2-015-20260819T152807537456Z</x:v>
      </x:c>
      <x:c r="C17" s="47" t="str">
        <x:v>I2-015</x:v>
      </x:c>
      <x:c r="D17" s="91" t="n">
        <x:v>46253.647048796294</x:v>
      </x:c>
      <x:c r="E17" s="47" t="str">
        <x:v>syntax_repair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33435.567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EVT-000093</x:v>
      </x:c>
      <x:c r="B18" s="49" t="str">
        <x:v>RUN-I2-015-20260819T152807537456Z</x:v>
      </x:c>
      <x:c r="C18" s="49" t="str">
        <x:v>I2-015</x:v>
      </x:c>
      <x:c r="D18" s="94" t="n">
        <x:v>46253.647048819446</x:v>
      </x:c>
      <x:c r="E18" s="49" t="str">
        <x:v>syntax_repair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33437.217</x:v>
      </x:c>
      <x:c r="L18" s="96" t="b">
        <x:v>0</x:v>
      </x:c>
      <x:c r="M18" s="49" t="str">
        <x:v>resp_094a345d9eebfe61006a85cc3fb5e481938d08e6d02f52fb88</x:v>
      </x:c>
      <x:c r="N18" s="60" t="n">
        <x:v>3260</x:v>
      </x:c>
      <x:c r="O18" s="60" t="n">
        <x:v>3770</x:v>
      </x:c>
      <x:c r="P18" s="60" t="n">
        <x:v>7030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1fcab87c144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RUN-I2-015-20260819T152807537456Z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RUN-I2-015-20260819T152807537456Z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RUN-I2-015-20260819T152807537456Z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RUN-I2-015-20260819T152807537456Z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RUN-I2-015-20260819T152807537456Z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RUN-I2-015-20260819T152807537456Z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RUN-I2-015-20260819T152807537456Z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RUN-I2-015-20260819T152807537456Z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RUN-I2-015-20260819T152807537456Z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RUN-I2-015-20260819T152807537456Z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RUN-I2-015-20260819T152807537456Z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RUN-I2-015-20260819T152807537456Z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RUN-I2-015-20260819T152807537456Z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RUN-I2-015-20260819T152807537456Z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RUN-I2-015-20260819T152807537456Z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RUN-I2-015-20260819T152807537456Z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RUN-I2-015-20260819T152807537456Z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RUN-I2-015-20260819T152807537456Z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RUN-I2-015-20260819T152807537456Z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7" t="str">
        <x:v>RUN-I2-015-20260819T152807537456Z</x:v>
      </x:c>
      <x:c r="B24" s="47" t="str">
        <x:v>I2-015</x:v>
      </x:c>
      <x:c r="C24" s="47" t="str">
        <x:v>upperIceWaterlineLengthLUI</x:v>
      </x:c>
      <x:c r="D24" s="48" t="str">
        <x:v>https://w3id.org/nltl/vocab#upperIceWaterlineLengthLUI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RUN-I2-015-20260819T152807537456Z</x:v>
      </x:c>
      <x:c r="B25" s="47" t="str">
        <x:v>I2-015</x:v>
      </x:c>
      <x:c r="C25" s="47" t="str">
        <x:v>benchmarkEntity</x:v>
      </x:c>
      <x:c r="D25" s="48" t="str">
        <x:v>https://w3id.org/nltl/vocab#benchmarkEntity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betaIPrime; range dependency of bowFormApplicabilityValue</x:v>
      </x:c>
      <x:c r="J25" s="47" t="n">
        <x:v>2</x:v>
      </x:c>
    </x:row>
    <x:row r="26">
      <x:c r="A26" s="47" t="str">
        <x:v>RUN-I2-015-20260819T152807537456Z</x:v>
      </x:c>
      <x:c r="B26" s="47" t="str">
        <x:v>I2-015</x:v>
      </x:c>
      <x:c r="C26" s="47" t="str">
        <x:v>betaIPrime</x:v>
      </x:c>
      <x:c r="D26" s="48" t="str">
        <x:v>https://w3id.org/nltl/vocab#betaIPrime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http://qudt.org/vocab/unit/UNITLESS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RUN-I2-015-20260819T152807537456Z</x:v>
      </x:c>
      <x:c r="B27" s="47" t="str">
        <x:v>I2-015</x:v>
      </x:c>
      <x:c r="C27" s="47" t="str">
        <x:v>bowFormApplicabilityClassification</x:v>
      </x:c>
      <x:c r="D27" s="48" t="str">
        <x:v>https://w3id.org/nltl/vocab#bowFormApplicabilityClassification</x:v>
      </x:c>
      <x:c r="E27" s="47" t="str">
        <x:v>ObjectProperty</x:v>
      </x:c>
      <x:c r="F27" s="47" t="str"/>
      <x:c r="G27" s="47" t="str">
        <x:v>https://w3id.org/nltl/vocab#bowFormApplicabilityValue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RUN-I2-015-20260819T152807537456Z</x:v>
      </x:c>
      <x:c r="B28" s="47" t="str">
        <x:v>I2-015</x:v>
      </x:c>
      <x:c r="C28" s="47" t="str">
        <x:v>bowFormApplicabilityValue</x:v>
      </x:c>
      <x:c r="D28" s="48" t="str">
        <x:v>https://w3id.org/nltl/vocab#bowFormApplicabilityValue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bowFormApplicabilityClassification; range dependency of i231vBowFormApplicability</x:v>
      </x:c>
      <x:c r="J28" s="47" t="n">
        <x:v>2</x:v>
      </x:c>
    </x:row>
    <x:row r="29">
      <x:c r="A29" s="47" t="str">
        <x:v>RUN-I2-015-20260819T152807537456Z</x:v>
      </x:c>
      <x:c r="B29" s="47" t="str">
        <x:v>I2-015</x:v>
      </x:c>
      <x:c r="C29" s="47" t="str">
        <x:v>bowShapeCoefficient</x:v>
      </x:c>
      <x:c r="D29" s="48" t="str">
        <x:v>https://w3id.org/nltl/vocab#bowShapeCoefficient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RUN-I2-015-20260819T152807537456Z</x:v>
      </x:c>
      <x:c r="B30" s="47" t="str">
        <x:v>I2-015</x:v>
      </x:c>
      <x:c r="C30" s="47" t="str">
        <x:v>bowSubregionCalculationCase</x:v>
      </x:c>
      <x:c r="D30" s="48" t="str">
        <x:v>https://w3id.org/nltl/vocab#bowSubregionCalculationCase</x:v>
      </x:c>
      <x:c r="E30" s="47" t="str">
        <x:v>Class</x:v>
      </x:c>
      <x:c r="F30" s="47" t="str"/>
      <x:c r="G30" s="47" t="str">
        <x:v>https://w3id.org/nltl/vocab#calculationCase</x:v>
      </x:c>
      <x:c r="H30" s="47" t="str"/>
      <x:c r="I3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30" s="47" t="n">
        <x:v>2</x:v>
      </x:c>
    </x:row>
    <x:row r="31">
      <x:c r="A31" s="47" t="str">
        <x:v>RUN-I2-015-20260819T152807537456Z</x:v>
      </x:c>
      <x:c r="B31" s="47" t="str">
        <x:v>I2-015</x:v>
      </x:c>
      <x:c r="C31" s="47" t="str">
        <x:v>bowSubregionMidLengthPosition</x:v>
      </x:c>
      <x:c r="D31" s="48" t="str">
        <x:v>https://w3id.org/nltl/vocab#bowSubregionMidLengthPosition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RUN-I2-015-20260819T152807537456Z</x:v>
      </x:c>
      <x:c r="B32" s="47" t="str">
        <x:v>I2-015</x:v>
      </x:c>
      <x:c r="C32" s="47" t="str">
        <x:v>bowSubregionWaterlineAngle</x:v>
      </x:c>
      <x:c r="D32" s="48" t="str">
        <x:v>https://w3id.org/nltl/vocab#bowSubregionWaterlineAngle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http://qudt.org/vocab/unit/DEG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RUN-I2-015-20260819T152807537456Z</x:v>
      </x:c>
      <x:c r="B33" s="47" t="str">
        <x:v>I2-015</x:v>
      </x:c>
      <x:c r="C33" s="47" t="str">
        <x:v>calculationCase</x:v>
      </x:c>
      <x:c r="D33" s="48" t="str">
        <x:v>https://w3id.org/nltl/vocab#calculationCase</x:v>
      </x:c>
      <x:c r="E33" s="47" t="str">
        <x:v>Class</x:v>
      </x:c>
      <x:c r="F33" s="47" t="str"/>
      <x:c r="G33" s="47" t="str">
        <x:v>https://w3id.org/nltl/vocab#benchmarkEntity</x:v>
      </x:c>
      <x:c r="H33" s="47" t="str"/>
      <x:c r="I33" s="48" t="str">
        <x:v>range dependency of bowSubregionCalculationCase</x:v>
      </x:c>
      <x:c r="J33" s="47" t="n">
        <x:v>2</x:v>
      </x:c>
    </x:row>
    <x:row r="34">
      <x:c r="A34" s="47" t="str">
        <x:v>RUN-I2-015-20260819T152807537456Z</x:v>
      </x:c>
      <x:c r="B34" s="47" t="str">
        <x:v>I2-015</x:v>
      </x:c>
      <x:c r="C34" s="47" t="str">
        <x:v>crushingFailureClassFactor</x:v>
      </x:c>
      <x:c r="D34" s="48" t="str">
        <x:v>https://w3id.org/nltl/vocab#crushingFailureClassFactor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RUN-I2-015-20260819T152807537456Z</x:v>
      </x:c>
      <x:c r="B35" s="47" t="str">
        <x:v>I2-015</x:v>
      </x:c>
      <x:c r="C35" s="47" t="str">
        <x:v>flexuralFailureClassFactor</x:v>
      </x:c>
      <x:c r="D35" s="48" t="str">
        <x:v>https://w3id.org/nltl/vocab#flexuralFailureClassFactor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http://qudt.org/vocab/unit/UNITLESS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RUN-I2-015-20260819T152807537456Z</x:v>
      </x:c>
      <x:c r="B36" s="47" t="str">
        <x:v>I2-015</x:v>
      </x:c>
      <x:c r="C36" s="47" t="str">
        <x:v>hasBowSubregionCalculationCase</x:v>
      </x:c>
      <x:c r="D36" s="48" t="str">
        <x:v>https://w3id.org/nltl/vocab#hasBowSubregionCalculationCase</x:v>
      </x:c>
      <x:c r="E36" s="47" t="str">
        <x:v>ObjectProperty</x:v>
      </x:c>
      <x:c r="F36" s="47" t="str"/>
      <x:c r="G36" s="47" t="str">
        <x:v>https://w3id.org/nltl/vocab#bowSubregionCalculationCase</x:v>
      </x:c>
      <x:c r="H36" s="47" t="str"/>
      <x:c r="I36" s="48" t="str">
        <x:v>canonical path from target owner ship to required owner bowSubregionCalculationCase; linked by the locked 313-requirement index</x:v>
      </x:c>
      <x:c r="J36" s="47" t="n">
        <x:v>2</x:v>
      </x:c>
    </x:row>
    <x:row r="37">
      <x:c r="A37" s="47" t="str">
        <x:v>RUN-I2-015-20260819T152807537456Z</x:v>
      </x:c>
      <x:c r="B37" s="47" t="str">
        <x:v>I2-015</x:v>
      </x:c>
      <x:c r="C37" s="47" t="str">
        <x:v>hasComponent</x:v>
      </x:c>
      <x:c r="D37" s="48" t="str">
        <x:v>https://w3id.org/nltl/vocab#hasComponent</x:v>
      </x:c>
      <x:c r="E37" s="47" t="str">
        <x:v>ObjectProperty</x:v>
      </x:c>
      <x:c r="F37" s="47" t="str"/>
      <x:c r="G37" s="47" t="str">
        <x:v>https://w3id.org/nltl/vocab#shipComponent</x:v>
      </x:c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RUN-I2-015-20260819T152807537456Z</x:v>
      </x:c>
      <x:c r="B38" s="47" t="str">
        <x:v>I2-015</x:v>
      </x:c>
      <x:c r="C38" s="47" t="str">
        <x:v>hasFailureClassFactorLookupCase</x:v>
      </x:c>
      <x:c r="D38" s="48" t="str">
        <x:v>https://w3id.org/nltl/vocab#hasFailureClassFactorLookupCase</x:v>
      </x:c>
      <x:c r="E38" s="47" t="str">
        <x:v>ObjectProperty</x:v>
      </x:c>
      <x:c r="F38" s="47" t="str"/>
      <x:c r="G38" s="47" t="str">
        <x:v>https://w3id.org/nltl/vocab#tableLookupCase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RUN-I2-015-20260819T152807537456Z</x:v>
      </x:c>
      <x:c r="B39" s="47" t="str">
        <x:v>I2-015</x:v>
      </x:c>
      <x:c r="C39" s="47" t="str">
        <x:v>hasTableLookupCase</x:v>
      </x:c>
      <x:c r="D39" s="48" t="str">
        <x:v>https://w3id.org/nltl/vocab#hasTableLookupCase</x:v>
      </x:c>
      <x:c r="E39" s="47" t="str">
        <x:v>ObjectProperty</x:v>
      </x:c>
      <x:c r="F39" s="47" t="str"/>
      <x:c r="G39" s="47" t="str">
        <x:v>https://w3id.org/nltl/vocab#tableLookupCase</x:v>
      </x:c>
      <x:c r="H39" s="47" t="str"/>
      <x:c r="I39" s="48" t="str">
        <x:v>canonical path from target owner ship to required owner tableLookupCase</x:v>
      </x:c>
      <x:c r="J39" s="47" t="n">
        <x:v>2</x:v>
      </x:c>
    </x:row>
    <x:row r="40">
      <x:c r="A40" s="47" t="str">
        <x:v>RUN-I2-015-20260819T152807537456Z</x:v>
      </x:c>
      <x:c r="B40" s="47" t="str">
        <x:v>I2-015</x:v>
      </x:c>
      <x:c r="C40" s="47" t="str">
        <x:v>i231vBowFormApplicability</x:v>
      </x:c>
      <x:c r="D40" s="48" t="str">
        <x:v>https://w3id.org/nltl/vocab#i231vBowFormApplicability</x:v>
      </x:c>
      <x:c r="E40" s="47" t="str">
        <x:v>NamedIndividual</x:v>
      </x:c>
      <x:c r="F40" s="47" t="str"/>
      <x:c r="G40" s="47" t="str">
        <x:v>https://w3id.org/nltl/vocab#bowFormApplicabilityValue</x:v>
      </x:c>
      <x:c r="H40" s="47" t="str"/>
      <x:c r="I40" s="48" t="str">
        <x:v>controlled value permitted by the range of bowFormApplicabilityClassification; controlled value permitted by the range of i231vBowFormApplicability; linked by the locked 313-requirement index</x:v>
      </x:c>
      <x:c r="J40" s="47" t="n">
        <x:v>2</x:v>
      </x:c>
    </x:row>
    <x:row r="41">
      <x:c r="A41" s="47" t="str">
        <x:v>RUN-I2-015-20260819T152807537456Z</x:v>
      </x:c>
      <x:c r="B41" s="47" t="str">
        <x:v>I2-015</x:v>
      </x:c>
      <x:c r="C41" s="47" t="str">
        <x:v>ship</x:v>
      </x:c>
      <x:c r="D41" s="48" t="str">
        <x:v>https://w3id.org/nltl/vocab#ship</x:v>
      </x:c>
      <x:c r="E41" s="47" t="str">
        <x:v>Class</x:v>
      </x:c>
      <x:c r="F41" s="47" t="str"/>
      <x:c r="G41" s="47" t="str"/>
      <x:c r="H41" s="47" t="str"/>
      <x:c r="I41" s="48" t="str">
        <x:v>authoritative required owner class; authoritative requirement target owner; baseline target infrastructure; domain dependency of hasBowSubregionCalculationCase; domain dependency of upperIceWaterlineLengthLUI</x:v>
      </x:c>
      <x:c r="J41" s="47" t="n">
        <x:v>2</x:v>
      </x:c>
    </x:row>
    <x:row r="42">
      <x:c r="A42" s="47" t="str">
        <x:v>RUN-I2-015-20260819T152807537456Z</x:v>
      </x:c>
      <x:c r="B42" s="47" t="str">
        <x:v>I2-015</x:v>
      </x:c>
      <x:c r="C42" s="47" t="str">
        <x:v>shipComponent</x:v>
      </x:c>
      <x:c r="D42" s="48" t="str">
        <x:v>https://w3id.org/nltl/vocab#shipComponent</x:v>
      </x:c>
      <x:c r="E42" s="47" t="str">
        <x:v>Class</x:v>
      </x:c>
      <x:c r="F42" s="47" t="str"/>
      <x:c r="G42" s="47" t="str"/>
      <x:c r="H42" s="47" t="str"/>
      <x:c r="I42" s="48" t="str">
        <x:v>component-path dependency inferred from the linked term module</x:v>
      </x:c>
      <x:c r="J42" s="47" t="n">
        <x:v>2</x:v>
      </x:c>
    </x:row>
    <x:row r="43">
      <x:c r="A43" s="47" t="str">
        <x:v>RUN-I2-015-20260819T152807537456Z</x:v>
      </x:c>
      <x:c r="B43" s="47" t="str">
        <x:v>I2-015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crushingFailureClassFactor; domain dependency of flexuralFailureClassFactor; range dependency of hasFailureClassFactorLookupCase</x:v>
      </x:c>
      <x:c r="J43" s="47" t="n">
        <x:v>2</x:v>
      </x:c>
    </x:row>
    <x:row r="44">
      <x:c r="A44" s="47" t="str">
        <x:v>RUN-I2-015-20260819T152807537456Z</x:v>
      </x:c>
      <x:c r="B44" s="47" t="str">
        <x:v>I2-015</x:v>
      </x:c>
      <x:c r="C44" s="47" t="str">
        <x:v>upperIceWaterlineDraughtDUI</x:v>
      </x:c>
      <x:c r="D44" s="48" t="str">
        <x:v>https://w3id.org/nltl/vocab#upperIceWaterlineDraughtDUI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verified vocabulary-matcher addition</x:v>
      </x:c>
      <x:c r="J44" s="47" t="n">
        <x:v>2</x:v>
      </x:c>
    </x:row>
    <x:row r="45">
      <x:c r="A45" s="49" t="str">
        <x:v>RUN-I2-015-20260819T152807537456Z</x:v>
      </x:c>
      <x:c r="B45" s="49" t="str">
        <x:v>I2-015</x:v>
      </x:c>
      <x:c r="C45" s="49" t="str">
        <x:v>upperIceWaterlineLengthLUI</x:v>
      </x:c>
      <x:c r="D45" s="50" t="str">
        <x:v>https://w3id.org/nltl/vocab#upperIceWaterlineLengthLUI</x:v>
      </x:c>
      <x:c r="E45" s="49" t="str">
        <x:v>QuantityProperty</x:v>
      </x:c>
      <x:c r="F45" s="49" t="str"/>
      <x:c r="G45" s="49" t="str">
        <x:v>http://qudt.org/schema/qudt/QuantityValue</x:v>
      </x:c>
      <x:c r="H45" s="49" t="str">
        <x:v>http://qudt.org/vocab/unit/M</x:v>
      </x:c>
      <x:c r="I45" s="50" t="str">
        <x:v>linked by the locked 313-requirement index</x:v>
      </x:c>
      <x:c r="J4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2bb18b351b740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RUN-I2-015-20260819T152807537456Z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RUN-I2-015-20260819T152807537456Z</x:v>
      </x:c>
      <x:c r="B5" s="45" t="str">
        <x:v>I2-015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RUN-I2-015-20260819T152807537456Z</x:v>
      </x:c>
      <x:c r="B6" s="49" t="str">
        <x:v>I2-015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e7e34c29945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RUN-I2-015-20260819T152807537456Z</x:v>
      </x:c>
      <x:c r="B5" s="45" t="str">
        <x:v>I2-015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9" t="str">
        <x:v>RUN-I2-015-20260819T152807537456Z</x:v>
      </x:c>
      <x:c r="B6" s="49" t="str">
        <x:v>I2-015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0</x:v>
      </x:c>
      <x:c r="I6" s="96" t="b">
        <x:v>1</x:v>
      </x:c>
      <x:c r="J6" s="96" t="b">
        <x:v>1</x:v>
      </x:c>
      <x:c r="K6" s="104" t="b">
        <x:v>1</x:v>
      </x:c>
      <x:c r="L6" s="50" t="str">
        <x:v>SHACL runtime smoke execution error: Expected SelectQuery, found 'FILTER'  (at char 2653), (line:50, col:17) | Embedded SHACL-SPARQL parse error: Expected SelectQuery, found 'FILTER'  (at char 2496), (line:46, col:17)</x:v>
      </x:c>
      <x:c r="M6" s="50" t="str"/>
      <x:c r="N6" s="50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005e54984fd44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RUN-I2-015-20260819T152807537456Z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RUN-I2-015-20260819T152807537456Z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Replace the f_ai3-only upper-cap query with one bounded formula query that retrieves the same applicable bowSubregionCalculationCase, its x, alpha_i, linked C_FF/C_FC lookup values, ship beta_i_prime and L_UI, and the canonical D_UI operand via its canonical owner/path; compute f_ai1, f_ai2 (using the registered math:sin IRI, not bare SIN), and min(f_ai1,f_ai2,0.60), then require reported bowShapeCoefficient to equal that derived result within tolerance scaled from the expected result. The current &lt;=0.6000006 check omits f_ai1/f_ai2, D_UI, all required formula operands, and the required derived-result comparison. Locate the absent canonical D_UI term and any required cross-owner path before repair. Ensure SPARQL targets explicitly restrict the ship target to nltl:ship while preserving case-level properties on bowSubregionCalculationCase and factor properties on tableLookupCase.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RUN-I2-015-20260819T152807537456Z</x:v>
      </x:c>
      <x:c r="B6" s="49" t="str">
        <x:v>I2-015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upperIceWaterlineDraughtDUI</x:v>
      </x:c>
      <x:c r="I6" s="50" t="str">
        <x:v>https://w3id.org/nltl/vocab#upperIceWaterlineDraughtDUI</x:v>
      </x:c>
      <x:c r="J6" s="50" t="str">
        <x:v>Use this exact term because it is the canonical QuantityProperty for D_UI (upper ice waterline draught), has a QUDT QuantityValue range with metre unit, and is sourced to the cited I2.3.2.1 formula requirement.</x:v>
      </x:c>
    </x:row>
  </x:sheetData>
  <x:pageMargins left="0.7" right="0.7" top="0.75" bottom="0.75" header="0.3" footer="0.3"/>
  <x:tableParts count="1">
    <x:tablePart xmlns:r="http://schemas.openxmlformats.org/officeDocument/2006/relationships" r:id="R6e22565582474d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RUN-I2-015-20260819T152807537456Z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RUN-I2-015-20260819T152807537456Z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a179a099373293e8e91dd822b470a832150f00a05f679140aa14d5b14f79e5fd</x:v>
      </x:c>
      <x:c r="G5" s="58" t="n">
        <x:v>28045</x:v>
      </x:c>
    </x:row>
    <x:row r="6">
      <x:c r="A6" s="47" t="str">
        <x:v>RUN-I2-015-20260819T152807537456Z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RUN-I2-015-20260819T152807537456Z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156523070de082f324f5270adb11027edae0db54d5f1ab30ca18eb4d489ad38f</x:v>
      </x:c>
      <x:c r="G7" s="59" t="n">
        <x:v>42580</x:v>
      </x:c>
    </x:row>
    <x:row r="8">
      <x:c r="A8" s="47" t="str">
        <x:v>RUN-I2-015-20260819T152807537456Z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e8377fa8f7aeec0fa3772103c8cd8773bd4ec53c0433ef95b0ada19efafc6ecc</x:v>
      </x:c>
      <x:c r="G8" s="59" t="n">
        <x:v>7089</x:v>
      </x:c>
    </x:row>
    <x:row r="9">
      <x:c r="A9" s="47" t="str">
        <x:v>RUN-I2-015-20260819T152807537456Z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f9a03e1219efd3d53f8d8a059312d7bf081cfe50868717b158ee65e3f7970dcc</x:v>
      </x:c>
      <x:c r="G9" s="59" t="n">
        <x:v>7064</x:v>
      </x:c>
    </x:row>
    <x:row r="10">
      <x:c r="A10" s="47" t="str">
        <x:v>RUN-I2-015-20260819T152807537456Z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d6a8fa64cec0a0d139d86865fb74e245a6ac693fde2db3dc1c31b3a57ee6e071</x:v>
      </x:c>
      <x:c r="G10" s="59" t="n">
        <x:v>1221</x:v>
      </x:c>
    </x:row>
    <x:row r="11">
      <x:c r="A11" s="47" t="str">
        <x:v>RUN-I2-015-20260819T152807537456Z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ab39f245d06c3f37e907018a36364a7758b8f5914a946862d578e8527c9f2f54</x:v>
      </x:c>
      <x:c r="G11" s="59" t="n">
        <x:v>46794</x:v>
      </x:c>
    </x:row>
    <x:row r="12">
      <x:c r="A12" s="47" t="str">
        <x:v>RUN-I2-015-20260819T152807537456Z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c0450198f38bb4ab856e7bf6b9f50a5c8328b0429e49c34ab4b4e267561c09dc</x:v>
      </x:c>
      <x:c r="G12" s="59" t="n">
        <x:v>953</x:v>
      </x:c>
    </x:row>
    <x:row r="13">
      <x:c r="A13" s="47" t="str">
        <x:v>RUN-I2-015-20260819T152807537456Z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be0e44e204558deb738e7a4b20175c2d515d4eeca781527c9d0af9edda886a21</x:v>
      </x:c>
      <x:c r="G13" s="59" t="n">
        <x:v>7433</x:v>
      </x:c>
    </x:row>
    <x:row r="14">
      <x:c r="A14" s="47" t="str">
        <x:v>RUN-I2-015-20260819T152807537456Z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018b049519489d854c03b16a9bfefc0b8a8cab13a60ab1218e7ab933fa42adfe</x:v>
      </x:c>
      <x:c r="G14" s="59" t="n">
        <x:v>14129</x:v>
      </x:c>
    </x:row>
    <x:row r="15">
      <x:c r="A15" s="47" t="str">
        <x:v>RUN-I2-015-20260819T152807537456Z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6b9d945c68e9051ed8b83b3ee82ba78c3906366e7f0d80034fca23cd8e913a3e</x:v>
      </x:c>
      <x:c r="G15" s="59" t="n">
        <x:v>380</x:v>
      </x:c>
    </x:row>
    <x:row r="16">
      <x:c r="A16" s="47" t="str">
        <x:v>RUN-I2-015-20260819T152807537456Z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5a753c48b74d45accfb93896c3a77a5f22838497da1a96a2c656350e675a6a48</x:v>
      </x:c>
      <x:c r="G16" s="59" t="n">
        <x:v>29218</x:v>
      </x:c>
    </x:row>
    <x:row r="17">
      <x:c r="A17" s="47" t="str">
        <x:v>RUN-I2-015-20260819T152807537456Z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82ba70626d54e3cbe6e89ed0c767e48a5c589d38a77efaa96fd528c6feb3b31f</x:v>
      </x:c>
      <x:c r="G17" s="59" t="n">
        <x:v>44956</x:v>
      </x:c>
    </x:row>
    <x:row r="18">
      <x:c r="A18" s="47" t="str">
        <x:v>RUN-I2-015-20260819T152807537456Z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7abbdfacbd3ffd02c2f5b73ddcb3f92c62abbd9180655ca8821164b1efa74285</x:v>
      </x:c>
      <x:c r="G18" s="59" t="n">
        <x:v>8883</x:v>
      </x:c>
    </x:row>
    <x:row r="19">
      <x:c r="A19" s="47" t="str">
        <x:v>RUN-I2-015-20260819T152807537456Z</x:v>
      </x:c>
      <x:c r="B19" s="47" t="str">
        <x:v>I2-015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350a17a4ead7cd08fff69d1f0579d912d28ea198e7a84d886be7cde786f49577</x:v>
      </x:c>
      <x:c r="G19" s="59" t="n">
        <x:v>11170</x:v>
      </x:c>
    </x:row>
    <x:row r="20">
      <x:c r="A20" s="47" t="str">
        <x:v>RUN-I2-015-20260819T152807537456Z</x:v>
      </x:c>
      <x:c r="B20" s="47" t="str">
        <x:v>I2-015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db2cbebcf603297ffed1bc24a3e67497b6001649e93cf728c0839f147a0d7861</x:v>
      </x:c>
      <x:c r="G20" s="59" t="n">
        <x:v>10230</x:v>
      </x:c>
    </x:row>
    <x:row r="21">
      <x:c r="A21" s="47" t="str">
        <x:v>RUN-I2-015-20260819T152807537456Z</x:v>
      </x:c>
      <x:c r="B21" s="47" t="str">
        <x:v>I2-015</x:v>
      </x:c>
      <x:c r="C21" s="59" t="n">
        <x:v>2</x:v>
      </x:c>
      <x:c r="D21" s="47" t="str">
        <x:v>syntax_repair_prompt</x:v>
      </x:c>
      <x:c r="E21" s="48" t="str">
        <x:v>artifacts/attempt_02/syntax_repair_prompt_02.txt</x:v>
      </x:c>
      <x:c r="F21" s="47" t="str">
        <x:v>82dddb09988c0a010d2dd077a037f24d03b5187f171c67f25c4a1119f6ff594e</x:v>
      </x:c>
      <x:c r="G21" s="59" t="n">
        <x:v>12482</x:v>
      </x:c>
    </x:row>
    <x:row r="22">
      <x:c r="A22" s="47" t="str">
        <x:v>RUN-I2-015-20260819T152807537456Z</x:v>
      </x:c>
      <x:c r="B22" s="47" t="str">
        <x:v>I2-015</x:v>
      </x:c>
      <x:c r="C22" s="59" t="n">
        <x:v>2</x:v>
      </x:c>
      <x:c r="D22" s="47" t="str">
        <x:v>syntax_repair_raw_response</x:v>
      </x:c>
      <x:c r="E22" s="48" t="str">
        <x:v>artifacts/attempt_02/syntax_repair_raw_02.txt</x:v>
      </x:c>
      <x:c r="F22" s="47" t="str">
        <x:v>269d5cf0c4903687823e644bca8ff7ced8fd761f1d0db75d47cad40dc2b7eddc</x:v>
      </x:c>
      <x:c r="G22" s="59" t="n">
        <x:v>10273</x:v>
      </x:c>
    </x:row>
    <x:row r="23">
      <x:c r="A23" s="47" t="str">
        <x:v>RUN-I2-015-20260819T152807537456Z</x:v>
      </x:c>
      <x:c r="B23" s="47" t="str">
        <x:v>I2-015</x:v>
      </x:c>
      <x:c r="C23" s="59" t="n">
        <x:v>2</x:v>
      </x:c>
      <x:c r="D23" s="47" t="str">
        <x:v>syntax_repair_prompt</x:v>
      </x:c>
      <x:c r="E23" s="48" t="str">
        <x:v>artifacts/attempt_02/syntax_repair_prompt_03.txt</x:v>
      </x:c>
      <x:c r="F23" s="47" t="str">
        <x:v>081b7771f8abee793cc18a3f95f86b815e9094361ef1f492f6486fc938011b64</x:v>
      </x:c>
      <x:c r="G23" s="59" t="n">
        <x:v>12527</x:v>
      </x:c>
    </x:row>
    <x:row r="24">
      <x:c r="A24" s="47" t="str">
        <x:v>RUN-I2-015-20260819T152807537456Z</x:v>
      </x:c>
      <x:c r="B24" s="47" t="str">
        <x:v>I2-015</x:v>
      </x:c>
      <x:c r="C24" s="59" t="n">
        <x:v>2</x:v>
      </x:c>
      <x:c r="D24" s="47" t="str">
        <x:v>syntax_repair_raw_response</x:v>
      </x:c>
      <x:c r="E24" s="48" t="str">
        <x:v>artifacts/attempt_02/syntax_repair_raw_03.txt</x:v>
      </x:c>
      <x:c r="F24" s="47" t="str">
        <x:v>24321f407548601fe971ef1fe1f31109dc6b243098ade36a8a8d3e8d57425a15</x:v>
      </x:c>
      <x:c r="G24" s="59" t="n">
        <x:v>10272</x:v>
      </x:c>
    </x:row>
    <x:row r="25">
      <x:c r="A25" s="47" t="str">
        <x:v>RUN-I2-015-20260819T152807537456Z</x:v>
      </x:c>
      <x:c r="B25" s="47" t="str">
        <x:v>I2-015</x:v>
      </x:c>
      <x:c r="C25" s="59" t="n">
        <x:v>2</x:v>
      </x:c>
      <x:c r="D25" s="47" t="str">
        <x:v>candidate_shape</x:v>
      </x:c>
      <x:c r="E25" s="48" t="str">
        <x:v>artifacts/attempt_02/candidate_shape.ttl</x:v>
      </x:c>
      <x:c r="F25" s="47" t="str">
        <x:v>6391768bdef67629e9cb5f4e6eb7bfb7afcdafbcc1144d6b831f1be19b956832</x:v>
      </x:c>
      <x:c r="G25" s="59" t="n">
        <x:v>10247</x:v>
      </x:c>
    </x:row>
    <x:row r="26">
      <x:c r="A26" s="49" t="str">
        <x:v>RUN-I2-015-20260819T152807537456Z</x:v>
      </x:c>
      <x:c r="B26" s="49" t="str">
        <x:v>I2-015</x:v>
      </x:c>
      <x:c r="C26" s="60" t="n">
        <x:v>2</x:v>
      </x:c>
      <x:c r="D26" s="49" t="str">
        <x:v>deterministic_validation</x:v>
      </x:c>
      <x:c r="E26" s="50" t="str">
        <x:v>artifacts/attempt_02/deterministic_validation.json</x:v>
      </x:c>
      <x:c r="F26" s="49" t="str">
        <x:v>fa14bdc54a9a94fb7f8a01d5635ddc007601a8ebc153a2195b5dd9db7890d0de</x:v>
      </x:c>
      <x:c r="G26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1187a711f1bd49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RUN-I2-015-20260819T152807537456Z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RUN-I2-015-20260819T152807537456Z</x:v>
      </x:c>
      <x:c r="B5" s="69" t="str">
        <x:v>I2-015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2496), (line:46, col:17)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a7e3999394de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RUN-I2-015-20260819T152807537456Z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