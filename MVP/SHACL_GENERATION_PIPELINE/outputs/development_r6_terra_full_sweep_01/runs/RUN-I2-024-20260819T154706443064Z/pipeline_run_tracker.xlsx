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d553ceaad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40deeeaa704433"/>
    <x:sheet xmlns:r="http://schemas.openxmlformats.org/officeDocument/2006/relationships" name="README" sheetId="2" r:id="R60db577687bf4762"/>
    <x:sheet xmlns:r="http://schemas.openxmlformats.org/officeDocument/2006/relationships" name="REGULATION_QUEUE" sheetId="3" r:id="R90f8f9a30dd84215"/>
    <x:sheet xmlns:r="http://schemas.openxmlformats.org/officeDocument/2006/relationships" name="RUNS" sheetId="4" r:id="Rbc73a0b0539c4b81"/>
    <x:sheet xmlns:r="http://schemas.openxmlformats.org/officeDocument/2006/relationships" name="ITERATIONS" sheetId="5" r:id="Reddf69d01b744f51"/>
    <x:sheet xmlns:r="http://schemas.openxmlformats.org/officeDocument/2006/relationships" name="API_CALLS" sheetId="6" r:id="R72feebaec5494267"/>
    <x:sheet xmlns:r="http://schemas.openxmlformats.org/officeDocument/2006/relationships" name="TERM_RETRIEVAL" sheetId="7" r:id="R9cd733e826f24feb"/>
    <x:sheet xmlns:r="http://schemas.openxmlformats.org/officeDocument/2006/relationships" name="FEW_SHOT_SELECTION" sheetId="8" r:id="Re9f60428a23e41bc"/>
    <x:sheet xmlns:r="http://schemas.openxmlformats.org/officeDocument/2006/relationships" name="VALIDATION" sheetId="9" r:id="R393ecab8421e452a"/>
    <x:sheet xmlns:r="http://schemas.openxmlformats.org/officeDocument/2006/relationships" name="VOCAB_MATCHES" sheetId="10" r:id="Rdc51469aee8f450a"/>
    <x:sheet xmlns:r="http://schemas.openxmlformats.org/officeDocument/2006/relationships" name="ARTIFACTS" sheetId="11" r:id="Rac37701979a5471d"/>
    <x:sheet xmlns:r="http://schemas.openxmlformats.org/officeDocument/2006/relationships" name="UNRESOLVED" sheetId="12" r:id="Re4a4db66edcd43f7"/>
    <x:sheet xmlns:r="http://schemas.openxmlformats.org/officeDocument/2006/relationships" name="RDF_TEST_QUEUE" sheetId="13" r:id="Rd76208e30ca74c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687c473704e1b" /><Relationship Type="http://schemas.openxmlformats.org/officeDocument/2006/relationships/theme" Target="/xl/theme/theme1.xml" Id="R7a6ac061b2b949d3" /><Relationship Type="http://schemas.microsoft.com/office/2022/11/relationships/FeaturePropertyBag" Target="/xl/featurePropertyBag/featurePropertyBag.xml" Id="Rc151654daee34b08" /><Relationship Type="http://schemas.openxmlformats.org/officeDocument/2006/relationships/sharedStrings" Target="/xl/sharedStrings.xml" Id="Rdbf8441375a74d37" /><Relationship Type="http://schemas.openxmlformats.org/officeDocument/2006/relationships/worksheet" Target="/xl/worksheets/sheet1.xml" Id="R7440deeeaa704433" /><Relationship Type="http://schemas.openxmlformats.org/officeDocument/2006/relationships/worksheet" Target="/xl/worksheets/sheet2.xml" Id="R60db577687bf4762" /><Relationship Type="http://schemas.openxmlformats.org/officeDocument/2006/relationships/worksheet" Target="/xl/worksheets/sheet3.xml" Id="R90f8f9a30dd84215" /><Relationship Type="http://schemas.openxmlformats.org/officeDocument/2006/relationships/worksheet" Target="/xl/worksheets/sheet4.xml" Id="Rbc73a0b0539c4b81" /><Relationship Type="http://schemas.openxmlformats.org/officeDocument/2006/relationships/worksheet" Target="/xl/worksheets/sheet5.xml" Id="Reddf69d01b744f51" /><Relationship Type="http://schemas.openxmlformats.org/officeDocument/2006/relationships/worksheet" Target="/xl/worksheets/sheet6.xml" Id="R72feebaec5494267" /><Relationship Type="http://schemas.openxmlformats.org/officeDocument/2006/relationships/worksheet" Target="/xl/worksheets/sheet7.xml" Id="R9cd733e826f24feb" /><Relationship Type="http://schemas.openxmlformats.org/officeDocument/2006/relationships/worksheet" Target="/xl/worksheets/sheet8.xml" Id="Re9f60428a23e41bc" /><Relationship Type="http://schemas.openxmlformats.org/officeDocument/2006/relationships/worksheet" Target="/xl/worksheets/sheet9.xml" Id="R393ecab8421e452a" /><Relationship Type="http://schemas.openxmlformats.org/officeDocument/2006/relationships/worksheet" Target="/xl/worksheets/sheet10.xml" Id="Rdc51469aee8f450a" /><Relationship Type="http://schemas.openxmlformats.org/officeDocument/2006/relationships/worksheet" Target="/xl/worksheets/sheet11.xml" Id="Rac37701979a5471d" /><Relationship Type="http://schemas.openxmlformats.org/officeDocument/2006/relationships/worksheet" Target="/xl/worksheets/sheet12.xml" Id="Re4a4db66edcd43f7" /><Relationship Type="http://schemas.openxmlformats.org/officeDocument/2006/relationships/worksheet" Target="/xl/worksheets/sheet13.xml" Id="Rd76208e30ca74ca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9249d39fc94b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e2f827e6f548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a837d6bbbb42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5acb1cff8b47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246a089a0442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ff3cbec87f4b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2b94d5f3d842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117a7e7730f40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47d250606b244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75cba389f404e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37c6c0474394e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RUN-I2-024-20260819T154706443064Z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14947.159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RUN-I2-024-20260819T154706443064Z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9249d39fc94b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RUN-I2-024-20260819T154706443064Z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TERM_RESOLUTION_UNRESOLVED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2f827e6f548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RUN-I2-024-20260819T154706443064Z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RUN-I2-024-20260819T154706443064Z</x:v>
      </x:c>
      <x:c r="C5" s="69" t="str">
        <x:v>I2-024</x:v>
      </x:c>
      <x:c r="D5" s="70" t="n">
        <x:v>46253.65771348379</x:v>
      </x:c>
      <x:c r="E5" s="70" t="n">
        <x:v>46253.65825204861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interpolation-point value/path or calculation-case-to-oblique-interpolation-result association required by the feedback.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a837d6bbbb42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RUN-I2-024-20260819T154706443064Z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RUN-I2-024-20260819T154706443064Z</x:v>
      </x:c>
      <x:c r="B5" s="69" t="str">
        <x:v>I2-024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Replace the presence-only oblique branch with a bounded SHACL-SPARQL linear-interpolation constraint. For every applicable 20 &lt; framingAngle &lt; 70 case, require and compare the interpolatedNetPlateThickness numeric value against the linear result derived from framingAngle, longitudinalFramingNetPlateThickness, and transverseFramingNetPlateThickness, using a tolerance scaled from the expected result (not exact equality). The current endpoint links and thickness presences neither encode the formula nor verify that interpolation was used. Locate the canonical interpolation-point value/path and any canonical path that associates the calculation case with its oblique interpolation result, then enforce both declared endpoint model paths and the formula on the correctly paired case; do not allow unrelated ship-level calculation and interpolation cases to satisfy the branch independently.</x:v>
      </x:c>
      <x:c r="I5" s="75" t="n">
        <x:v>32599.394</x:v>
      </x:c>
      <x:c r="J5" s="75" t="n">
        <x:v>8751.804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5acb1cff8b47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RUN-I2-024-20260819T154706443064Z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RUN-I2-024-20260819T154706443064Z</x:v>
      </x:c>
      <x:c r="C5" s="45" t="str">
        <x:v>I2-024</x:v>
      </x:c>
      <x:c r="D5" s="88" t="n">
        <x:v>46253.65809079861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32597.761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RUN-I2-024-20260819T154706443064Z</x:v>
      </x:c>
      <x:c r="C6" s="47" t="str">
        <x:v>I2-024</x:v>
      </x:c>
      <x:c r="D6" s="91" t="n">
        <x:v>46253.65809082176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32599.394</x:v>
      </x:c>
      <x:c r="L6" s="93" t="b">
        <x:v>0</x:v>
      </x:c>
      <x:c r="M6" s="47" t="str">
        <x:v>resp_0807b8e0809aec66006a85cffa9fc48197922f1d48cb3746b1</x:v>
      </x:c>
      <x:c r="N6" s="59" t="n">
        <x:v>8614</x:v>
      </x:c>
      <x:c r="O6" s="59" t="n">
        <x:v>3089</x:v>
      </x:c>
      <x:c r="P6" s="59" t="n">
        <x:v>11703</x:v>
      </x:c>
    </x:row>
    <x:row r="7">
      <x:c r="A7" s="47" t="str">
        <x:v>EVT-000032</x:v>
      </x:c>
      <x:c r="B7" s="47" t="str">
        <x:v>RUN-I2-024-20260819T154706443064Z</x:v>
      </x:c>
      <x:c r="C7" s="47" t="str">
        <x:v>I2-024</x:v>
      </x:c>
      <x:c r="D7" s="91" t="n">
        <x:v>46253.65819430556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8750.293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RUN-I2-024-20260819T154706443064Z</x:v>
      </x:c>
      <x:c r="C8" s="47" t="str">
        <x:v>I2-024</x:v>
      </x:c>
      <x:c r="D8" s="91" t="n">
        <x:v>46253.6581943287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8751.804</x:v>
      </x:c>
      <x:c r="L8" s="93" t="b">
        <x:v>0</x:v>
      </x:c>
      <x:c r="M8" s="47" t="str">
        <x:v>resp_0f84ab9aa84acda0006a85d01b606c819096aa3b2723869d27</x:v>
      </x:c>
      <x:c r="N8" s="59" t="n">
        <x:v>9114</x:v>
      </x:c>
      <x:c r="O8" s="59" t="n">
        <x:v>692</x:v>
      </x:c>
      <x:c r="P8" s="59" t="n">
        <x:v>9806</x:v>
      </x:c>
    </x:row>
    <x:row r="9">
      <x:c r="A9" s="47" t="str">
        <x:v>EVT-000039</x:v>
      </x:c>
      <x:c r="B9" s="47" t="str">
        <x:v>RUN-I2-024-20260819T154706443064Z</x:v>
      </x:c>
      <x:c r="C9" s="47" t="str">
        <x:v>I2-024</x:v>
      </x:c>
      <x:c r="D9" s="91" t="n">
        <x:v>46253.65825197917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3491.033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EVT-000040</x:v>
      </x:c>
      <x:c r="B10" s="49" t="str">
        <x:v>RUN-I2-024-20260819T154706443064Z</x:v>
      </x:c>
      <x:c r="C10" s="49" t="str">
        <x:v>I2-024</x:v>
      </x:c>
      <x:c r="D10" s="94" t="n">
        <x:v>46253.658252002315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3492.669</x:v>
      </x:c>
      <x:c r="L10" s="96" t="b">
        <x:v>0</x:v>
      </x:c>
      <x:c r="M10" s="49" t="str">
        <x:v>resp_02139695fbc5a3e5006a85d025bba08190823cb30f47496e77</x:v>
      </x:c>
      <x:c r="N10" s="60" t="n">
        <x:v>3071</x:v>
      </x:c>
      <x:c r="O10" s="60" t="n">
        <x:v>230</x:v>
      </x:c>
      <x:c r="P10" s="60" t="n">
        <x:v>3301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246a089a0442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RUN-I2-024-20260819T154706443064Z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RUN-I2-024-20260819T154706443064Z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RUN-I2-024-20260819T154706443064Z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obliquePlatingInterpolationCase</x:v>
      </x:c>
      <x:c r="J6" s="47" t="n">
        <x:v>0</x:v>
      </x:c>
    </x:row>
    <x:row r="7">
      <x:c r="A7" s="47" t="str">
        <x:v>RUN-I2-024-20260819T154706443064Z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RUN-I2-024-20260819T154706443064Z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RUN-I2-024-20260819T154706443064Z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RUN-I2-024-20260819T154706443064Z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RUN-I2-024-20260819T154706443064Z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RUN-I2-024-20260819T154706443064Z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RUN-I2-024-20260819T154706443064Z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RUN-I2-024-20260819T154706443064Z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range dependency of interpolationLowerEndpoint; range dependency of interpolationUpperEndpoint</x:v>
      </x:c>
      <x:c r="J14" s="47" t="n">
        <x:v>0</x:v>
      </x:c>
    </x:row>
    <x:row r="15">
      <x:c r="A15" s="47" t="str">
        <x:v>RUN-I2-024-20260819T154706443064Z</x:v>
      </x:c>
      <x:c r="B15" s="47" t="str">
        <x:v>I2-024</x:v>
      </x:c>
      <x:c r="C15" s="47" t="str">
        <x:v>interpolationUpperEndpoint</x:v>
      </x:c>
      <x:c r="D15" s="48" t="str">
        <x:v>https://w3id.org/nltl/vocab#interpolationUpperEndpoint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RUN-I2-024-20260819T154706443064Z</x:v>
      </x:c>
      <x:c r="B16" s="47" t="str">
        <x:v>I2-024</x:v>
      </x:c>
      <x:c r="C16" s="47" t="str">
        <x:v>longitudinalFramingNetPlateThickness</x:v>
      </x:c>
      <x:c r="D16" s="48" t="str">
        <x:v>https://w3id.org/nltl/vocab#longitudinalFramingNetPlateThickness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RUN-I2-024-20260819T154706443064Z</x:v>
      </x:c>
      <x:c r="B17" s="47" t="str">
        <x:v>I2-024</x:v>
      </x:c>
      <x:c r="C17" s="47" t="str">
        <x:v>obliquePlatingInterpolationCase</x:v>
      </x:c>
      <x:c r="D17" s="48" t="str">
        <x:v>https://w3id.org/nltl/vocab#obliquePlatingInterpolationCase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interpolatedNetPlateThickness; linked by the locked 313-requirement index; range dependency of hasObliquePlatingInterpolationCase</x:v>
      </x:c>
      <x:c r="J17" s="47" t="n">
        <x:v>0</x:v>
      </x:c>
    </x:row>
    <x:row r="18">
      <x:c r="A18" s="47" t="str">
        <x:v>RUN-I2-024-20260819T154706443064Z</x:v>
      </x:c>
      <x:c r="B18" s="47" t="str">
        <x:v>I2-024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hasCalculationCase; domain dependency of hasObliquePlatingInterpolationCase</x:v>
      </x:c>
      <x:c r="J18" s="47" t="n">
        <x:v>0</x:v>
      </x:c>
    </x:row>
    <x:row r="19">
      <x:c r="A19" s="47" t="str">
        <x:v>RUN-I2-024-20260819T154706443064Z</x:v>
      </x:c>
      <x:c r="B19" s="47" t="str">
        <x:v>I2-024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RUN-I2-024-20260819T154706443064Z</x:v>
      </x:c>
      <x:c r="B20" s="49" t="str">
        <x:v>I2-024</x:v>
      </x:c>
      <x:c r="C20" s="49" t="str">
        <x:v>transverseFramingNetPlateThickness</x:v>
      </x:c>
      <x:c r="D20" s="50" t="str">
        <x:v>https://w3id.org/nltl/vocab#transverseFramingNetPlateThickness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http://qudt.org/vocab/unit/MilliM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ff3cbec87f4b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RUN-I2-024-20260819T154706443064Z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RUN-I2-024-20260819T154706443064Z</x:v>
      </x:c>
      <x:c r="B5" s="45" t="str">
        <x:v>I2-024</x:v>
      </x:c>
      <x:c r="C5" s="45" t="str">
        <x:v>FS-CALC-02</x:v>
      </x:c>
      <x:c r="D5" s="45" t="str">
        <x:v>comparison_calculation</x:v>
      </x:c>
      <x:c r="E5" s="99" t="n">
        <x:v>0.121212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RUN-I2-024-20260819T154706443064Z</x:v>
      </x:c>
      <x:c r="B6" s="49" t="str">
        <x:v>I2-024</x:v>
      </x:c>
      <x:c r="C6" s="49" t="str">
        <x:v>FS-BOOL-01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2b94d5f3d842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RUN-I2-024-20260819T154706443064Z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RUN-I2-024-20260819T154706443064Z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17a7e7730f40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RUN-I2-024-20260819T154706443064Z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RUN-I2-024-20260819T154706443064Z</x:v>
      </x:c>
      <x:c r="B5" s="45" t="str">
        <x:v>I2-024</x:v>
      </x:c>
      <x:c r="C5" s="58" t="n">
        <x:v>1</x:v>
      </x:c>
      <x:c r="D5" s="45" t="str">
        <x:v>matcher_search</x:v>
      </x:c>
      <x:c r="E5" s="46" t="str">
        <x:v>Replace the presence-only oblique branch with a bounded SHACL-SPARQL linear-interpolation constraint. For every applicable 20 &lt; framingAngle &lt; 70 case, require and compare the interpolatedNetPlateThickness numeric value against the linear result derived from framingAngle, longitudinalFramingNetPlateThickness, and transverseFramingNetPlateThickness, using a tolerance scaled from the expected result (not exact equality). The current endpoint links and thickness presences neither encode the formula nor verify that interpolation was used. Locate the canonical interpolation-point value/path and any canonical path that associates the calculation case with its oblique interpolation result, then enforce both declared endpoint model paths and the formula on the correctly paired case; do not allow unrelated ship-level calculation and interpolation cases to satisfy the branch independently.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RUN-I2-024-20260819T154706443064Z</x:v>
      </x:c>
      <x:c r="B6" s="49" t="str">
        <x:v>I2-024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verified canonical interpolation-point value/path or calculation-case-to-oblique-interpolation-result association required by the feedback.</x:v>
      </x:c>
    </x:row>
  </x:sheetData>
  <x:pageMargins left="0.7" right="0.7" top="0.75" bottom="0.75" header="0.3" footer="0.3"/>
  <x:tableParts count="1">
    <x:tablePart xmlns:r="http://schemas.openxmlformats.org/officeDocument/2006/relationships" r:id="R647d250606b2445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RUN-I2-024-20260819T154706443064Z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RUN-I2-024-20260819T154706443064Z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73b295644be310ae1f7ff6a1b0f539902e8d4d8fe6d850101e19e106cdccc3eb</x:v>
      </x:c>
      <x:c r="G5" s="58" t="n">
        <x:v>22008</x:v>
      </x:c>
    </x:row>
    <x:row r="6">
      <x:c r="A6" s="47" t="str">
        <x:v>RUN-I2-024-20260819T154706443064Z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68f98510cdaeced3311e6b594b0c7eb636cdaaa4b61d00a24b86e7c9cd700104</x:v>
      </x:c>
      <x:c r="G6" s="59" t="n">
        <x:v>4749</x:v>
      </x:c>
    </x:row>
    <x:row r="7">
      <x:c r="A7" s="47" t="str">
        <x:v>RUN-I2-024-20260819T154706443064Z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ec8a29439e8ed700bc31166229c94969c4f47ed4856eb4ec7983f6dc0ec54703</x:v>
      </x:c>
      <x:c r="G7" s="59" t="n">
        <x:v>36037</x:v>
      </x:c>
    </x:row>
    <x:row r="8">
      <x:c r="A8" s="47" t="str">
        <x:v>RUN-I2-024-20260819T154706443064Z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9fa18ccb475cac54a4aa9195b5afafe2ea0bede01eec9b5b751e9a3ea1aec114</x:v>
      </x:c>
      <x:c r="G8" s="59" t="n">
        <x:v>3910</x:v>
      </x:c>
    </x:row>
    <x:row r="9">
      <x:c r="A9" s="47" t="str">
        <x:v>RUN-I2-024-20260819T154706443064Z</x:v>
      </x:c>
      <x:c r="B9" s="47" t="str">
        <x:v>I2-024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44510b7a8e63fe19b10bc30c7ac09424930626229de015a77be365eb57a063ce</x:v>
      </x:c>
      <x:c r="G9" s="59" t="n">
        <x:v>3885</x:v>
      </x:c>
    </x:row>
    <x:row r="10">
      <x:c r="A10" s="47" t="str">
        <x:v>RUN-I2-024-20260819T154706443064Z</x:v>
      </x:c>
      <x:c r="B10" s="47" t="str">
        <x:v>I2-024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e15dc1b46c0629883b9094505f2441b1aef97c179e1dfd4dc9dc58e5d67f3222</x:v>
      </x:c>
      <x:c r="G10" s="59" t="n">
        <x:v>1104</x:v>
      </x:c>
    </x:row>
    <x:row r="11">
      <x:c r="A11" s="47" t="str">
        <x:v>RUN-I2-024-20260819T154706443064Z</x:v>
      </x:c>
      <x:c r="B11" s="47" t="str">
        <x:v>I2-024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3519993ccb7e5060a864964e2379a32fafbdc0b9090d882356d01af16fcf992f</x:v>
      </x:c>
      <x:c r="G11" s="59" t="n">
        <x:v>36277</x:v>
      </x:c>
    </x:row>
    <x:row r="12">
      <x:c r="A12" s="47" t="str">
        <x:v>RUN-I2-024-20260819T154706443064Z</x:v>
      </x:c>
      <x:c r="B12" s="47" t="str">
        <x:v>I2-024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fa97731a059d23b3247cb455c847e381d015901cc029e8269a169bee73c7e297</x:v>
      </x:c>
      <x:c r="G12" s="59" t="n">
        <x:v>955</x:v>
      </x:c>
    </x:row>
    <x:row r="13">
      <x:c r="A13" s="47" t="str">
        <x:v>RUN-I2-024-20260819T154706443064Z</x:v>
      </x:c>
      <x:c r="B13" s="47" t="str">
        <x:v>I2-024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b97b92c35b79060c8363a4efdb3130be55b2f81d9e2ad15b61975cccd03451e5</x:v>
      </x:c>
      <x:c r="G13" s="59" t="n">
        <x:v>6395</x:v>
      </x:c>
    </x:row>
    <x:row r="14">
      <x:c r="A14" s="47" t="str">
        <x:v>RUN-I2-024-20260819T154706443064Z</x:v>
      </x:c>
      <x:c r="B14" s="47" t="str">
        <x:v>I2-024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7e889711115bf496e7e01251aaba62145759514aefaef72e1cdfdc9a18bff5e7</x:v>
      </x:c>
      <x:c r="G14" s="59" t="n">
        <x:v>11943</x:v>
      </x:c>
    </x:row>
    <x:row r="15">
      <x:c r="A15" s="49" t="str">
        <x:v>RUN-I2-024-20260819T154706443064Z</x:v>
      </x:c>
      <x:c r="B15" s="49" t="str">
        <x:v>I2-024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237bdc6e92c2fd122d41e91876cf0731ac734bba2d1bc489927af10a2eee2b9c</x:v>
      </x:c>
      <x:c r="G15" s="60" t="n">
        <x:v>255</x:v>
      </x:c>
    </x:row>
  </x:sheetData>
  <x:pageMargins left="0.7" right="0.7" top="0.75" bottom="0.75" header="0.3" footer="0.3"/>
  <x:tableParts count="1">
    <x:tablePart xmlns:r="http://schemas.openxmlformats.org/officeDocument/2006/relationships" r:id="Rb75cba389f404e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RUN-I2-024-20260819T154706443064Z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RUN-I2-024-20260819T154706443064Z</x:v>
      </x:c>
      <x:c r="B5" s="69" t="str">
        <x:v>I2-024</x:v>
      </x:c>
      <x:c r="C5" s="71" t="n">
        <x:v>1</x:v>
      </x:c>
      <x:c r="D5" s="69" t="str">
        <x:v>TERM_RESOLUTION_UNRESOLVED</x:v>
      </x:c>
      <x:c r="E5" s="73" t="str">
        <x:v>No supplied candidate is a verified canonical interpolation-point value/path or calculation-case-to-oblique-interpolation-result association required by the feedback.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7c6c0474394e8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RUN-I2-024-20260819T154706443064Z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