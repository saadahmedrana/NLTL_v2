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e7f7c345f645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62921e2723f406e"/>
    <x:sheet xmlns:r="http://schemas.openxmlformats.org/officeDocument/2006/relationships" name="README" sheetId="2" r:id="R3cdbb31dbda64e4d"/>
    <x:sheet xmlns:r="http://schemas.openxmlformats.org/officeDocument/2006/relationships" name="REGULATION_QUEUE" sheetId="3" r:id="R6c3556a7e35b43bc"/>
    <x:sheet xmlns:r="http://schemas.openxmlformats.org/officeDocument/2006/relationships" name="RUNS" sheetId="4" r:id="Rbb4f61b9e3ba46b1"/>
    <x:sheet xmlns:r="http://schemas.openxmlformats.org/officeDocument/2006/relationships" name="ITERATIONS" sheetId="5" r:id="R5e7614e926004059"/>
    <x:sheet xmlns:r="http://schemas.openxmlformats.org/officeDocument/2006/relationships" name="API_CALLS" sheetId="6" r:id="R704e83a1b550423b"/>
    <x:sheet xmlns:r="http://schemas.openxmlformats.org/officeDocument/2006/relationships" name="TERM_RETRIEVAL" sheetId="7" r:id="Rff06222b78874d4f"/>
    <x:sheet xmlns:r="http://schemas.openxmlformats.org/officeDocument/2006/relationships" name="FEW_SHOT_SELECTION" sheetId="8" r:id="R7a83daa7441a41b5"/>
    <x:sheet xmlns:r="http://schemas.openxmlformats.org/officeDocument/2006/relationships" name="VALIDATION" sheetId="9" r:id="Radcda1da6eea4e7d"/>
    <x:sheet xmlns:r="http://schemas.openxmlformats.org/officeDocument/2006/relationships" name="VOCAB_MATCHES" sheetId="10" r:id="Ra883563d44374844"/>
    <x:sheet xmlns:r="http://schemas.openxmlformats.org/officeDocument/2006/relationships" name="ARTIFACTS" sheetId="11" r:id="Rfa3161cf9c30444c"/>
    <x:sheet xmlns:r="http://schemas.openxmlformats.org/officeDocument/2006/relationships" name="UNRESOLVED" sheetId="12" r:id="Rc9b7a5a4b3694ce8"/>
    <x:sheet xmlns:r="http://schemas.openxmlformats.org/officeDocument/2006/relationships" name="RDF_TEST_QUEUE" sheetId="13" r:id="R90013eda12a44e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5f471b944d4374" /><Relationship Type="http://schemas.openxmlformats.org/officeDocument/2006/relationships/theme" Target="/xl/theme/theme1.xml" Id="R791ad5bdebaa4afd" /><Relationship Type="http://schemas.microsoft.com/office/2022/11/relationships/FeaturePropertyBag" Target="/xl/featurePropertyBag/featurePropertyBag.xml" Id="Rb74bac50dedb4350" /><Relationship Type="http://schemas.openxmlformats.org/officeDocument/2006/relationships/sharedStrings" Target="/xl/sharedStrings.xml" Id="R8a42fe13306f4144" /><Relationship Type="http://schemas.openxmlformats.org/officeDocument/2006/relationships/worksheet" Target="/xl/worksheets/sheet1.xml" Id="Ra62921e2723f406e" /><Relationship Type="http://schemas.openxmlformats.org/officeDocument/2006/relationships/worksheet" Target="/xl/worksheets/sheet2.xml" Id="R3cdbb31dbda64e4d" /><Relationship Type="http://schemas.openxmlformats.org/officeDocument/2006/relationships/worksheet" Target="/xl/worksheets/sheet3.xml" Id="R6c3556a7e35b43bc" /><Relationship Type="http://schemas.openxmlformats.org/officeDocument/2006/relationships/worksheet" Target="/xl/worksheets/sheet4.xml" Id="Rbb4f61b9e3ba46b1" /><Relationship Type="http://schemas.openxmlformats.org/officeDocument/2006/relationships/worksheet" Target="/xl/worksheets/sheet5.xml" Id="R5e7614e926004059" /><Relationship Type="http://schemas.openxmlformats.org/officeDocument/2006/relationships/worksheet" Target="/xl/worksheets/sheet6.xml" Id="R704e83a1b550423b" /><Relationship Type="http://schemas.openxmlformats.org/officeDocument/2006/relationships/worksheet" Target="/xl/worksheets/sheet7.xml" Id="Rff06222b78874d4f" /><Relationship Type="http://schemas.openxmlformats.org/officeDocument/2006/relationships/worksheet" Target="/xl/worksheets/sheet8.xml" Id="R7a83daa7441a41b5" /><Relationship Type="http://schemas.openxmlformats.org/officeDocument/2006/relationships/worksheet" Target="/xl/worksheets/sheet9.xml" Id="Radcda1da6eea4e7d" /><Relationship Type="http://schemas.openxmlformats.org/officeDocument/2006/relationships/worksheet" Target="/xl/worksheets/sheet10.xml" Id="Ra883563d44374844" /><Relationship Type="http://schemas.openxmlformats.org/officeDocument/2006/relationships/worksheet" Target="/xl/worksheets/sheet11.xml" Id="Rfa3161cf9c30444c" /><Relationship Type="http://schemas.openxmlformats.org/officeDocument/2006/relationships/worksheet" Target="/xl/worksheets/sheet12.xml" Id="Rc9b7a5a4b3694ce8" /><Relationship Type="http://schemas.openxmlformats.org/officeDocument/2006/relationships/worksheet" Target="/xl/worksheets/sheet13.xml" Id="R90013eda12a44e6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61b754e5b041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6acdef306f42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8c272f83814a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092bb919efa4f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d273072ed6444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889303b0a49466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7a64cd27b1a407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0c6f5d67c0e4d4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b107a5feefc4ae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dbdd570ba92843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RUN-I2-050-20260819T161737172452Z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23804.593583333335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RUN-I2-050-20260819T161737172452Z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761b754e5b041c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RUN-I2-050-20260819T161737172452Z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MAX_ATTEMPTS_REACHED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6acdef306f42d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RUN-I2-050-20260819T161737172452Z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RUN-I2-050-20260819T161737172452Z</x:v>
      </x:c>
      <x:c r="C5" s="69" t="str">
        <x:v>I2-050</x:v>
      </x:c>
      <x:c r="D5" s="70" t="n">
        <x:v>46253.67890247685</x:v>
      </x:c>
      <x:c r="E5" s="70" t="n">
        <x:v>46253.680565358794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Repair the F_IB1 constraint: the twentieth-power equality is not faithful to F_IB1 = 0.534*K_I^0.15*sin(gamma_stem)^0.2*(D_UI*K_h)^0.5*C_FL because it admits sign-aliasing (including a negative reported F_IB1) and scales tolerance from the transformed twentieth-power value rather than the expected formula result. Use an evaluator-supported bounded formula mechanism that computes the stated fractional exponents and compares the reported F_IB1 directly to that expected result, with tolerance scaled from the expected F_IB1 result. Retain the supplied operands, canonical owners/path through hasTableLookupCase for C_FL, registered math:sin, corrected F_IB2=C_FF*1.20, and the minimum-result constraint.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8c272f83814aa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RUN-I2-050-20260819T161737172452Z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RUN-I2-050-20260819T161737172452Z</x:v>
      </x:c>
      <x:c r="B5" s="45" t="str">
        <x:v>I2-050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formula query: F_IB2 must be calculated as 1.20 times nltl:flexuralFailureClassFactor (C_FF), not nltl:crushingFailureClassFactor (CFC). Bind the flexural factor from the table lookup case and use it in ?expectedFib2; do not treat the required flexural factor as presence-only while using the unrelated crushing factor. Also remove or replace math:pow, because it is not among the evaluator's explicitly supported registered XPath math functions; encode the required fractional exponents using an evaluator-supported bounded formula mechanism without changing operands, units, tolerance basis, or the min comparison.</x:v>
      </x:c>
      <x:c r="I5" s="84" t="n">
        <x:v>32043.027</x:v>
      </x:c>
      <x:c r="J5" s="84" t="n">
        <x:v>12380.312</x:v>
      </x:c>
    </x:row>
    <x:row r="6">
      <x:c r="A6" s="47" t="str">
        <x:v>RUN-I2-050-20260819T161737172452Z</x:v>
      </x:c>
      <x:c r="B6" s="47" t="str">
        <x:v>I2-050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Add the missing bounded formula constraint for designVerticalIceForceAtBowCandidateOne: calculate F_IB1 = 0.534*K_I^0.15*sin(gamma_stem)^0.2*(D_UI*K_h)^0.5*C_FL using iceStrengthCoefficientKI, stemAngle, upperIceWaterlineDraughtDUI, hullFormCoefficientKh, and longitudinalStrengthClassFactor from their declared owners (including C_FL via hasTableLookupCase), compare the reported candidate to the expected result with tolerance scaled from the expected result, and use registered math:sin rather than bare trigonometric syntax. Preserve the corrected F_IB2=C_FF*1.20 query and the minimum-result query. Remove crushingFailureClassFactor from this shape because it is not an operand of I2-050 and its mandatory presence would impose an unrelated failure condition.</x:v>
      </x:c>
      <x:c r="I6" s="86" t="n">
        <x:v>42364.898</x:v>
      </x:c>
      <x:c r="J6" s="86" t="n">
        <x:v>8210.274</x:v>
      </x:c>
    </x:row>
    <x:row r="7">
      <x:c r="A7" s="49" t="str">
        <x:v>RUN-I2-050-20260819T161737172452Z</x:v>
      </x:c>
      <x:c r="B7" s="49" t="str">
        <x:v>I2-050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Repair the F_IB1 constraint: the twentieth-power equality is not faithful to F_IB1 = 0.534*K_I^0.15*sin(gamma_stem)^0.2*(D_UI*K_h)^0.5*C_FL because it admits sign-aliasing (including a negative reported F_IB1) and scales tolerance from the transformed twentieth-power value rather than the expected formula result. Use an evaluator-supported bounded formula mechanism that computes the stated fractional exponents and compares the reported F_IB1 directly to that expected result, with tolerance scaled from the expected F_IB1 result. Retain the supplied operands, canonical owners/path through hasTableLookupCase for C_FL, registered math:sin, corrected F_IB2=C_FF*1.20, and the minimum-result constraint.</x:v>
      </x:c>
      <x:c r="I7" s="88" t="n">
        <x:v>38702.329</x:v>
      </x:c>
      <x:c r="J7" s="88" t="n">
        <x:v>9131.395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92bb919efa4f0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RUN-I2-050-20260819T161737172452Z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RUN-I2-050-20260819T161737172452Z</x:v>
      </x:c>
      <x:c r="C5" s="45" t="str">
        <x:v>I2-050</x:v>
      </x:c>
      <x:c r="D5" s="92" t="n">
        <x:v>46253.679273344904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32041.275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RUN-I2-050-20260819T161737172452Z</x:v>
      </x:c>
      <x:c r="C6" s="47" t="str">
        <x:v>I2-050</x:v>
      </x:c>
      <x:c r="D6" s="93" t="n">
        <x:v>46253.679273368056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32043.027</x:v>
      </x:c>
      <x:c r="L6" s="85" t="b">
        <x:v>0</x:v>
      </x:c>
      <x:c r="M6" s="47" t="str">
        <x:v>resp_04f991012715f7e2006a85d72156f08197a774ee71783b6993</x:v>
      </x:c>
      <x:c r="N6" s="59" t="n">
        <x:v>9209</x:v>
      </x:c>
      <x:c r="O6" s="59" t="n">
        <x:v>3461</x:v>
      </x:c>
      <x:c r="P6" s="59" t="n">
        <x:v>12670</x:v>
      </x:c>
    </x:row>
    <x:row r="7">
      <x:c r="A7" s="47" t="str">
        <x:v>EVT-000032</x:v>
      </x:c>
      <x:c r="B7" s="47" t="str">
        <x:v>RUN-I2-050-20260819T161737172452Z</x:v>
      </x:c>
      <x:c r="C7" s="47" t="str">
        <x:v>I2-050</x:v>
      </x:c>
      <x:c r="D7" s="93" t="n">
        <x:v>46253.679420416665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12378.647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RUN-I2-050-20260819T161737172452Z</x:v>
      </x:c>
      <x:c r="C8" s="47" t="str">
        <x:v>I2-050</x:v>
      </x:c>
      <x:c r="D8" s="93" t="n">
        <x:v>46253.67942043982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12380.312</x:v>
      </x:c>
      <x:c r="L8" s="85" t="b">
        <x:v>0</x:v>
      </x:c>
      <x:c r="M8" s="47" t="str">
        <x:v>resp_080b589621d19c58006a85d741b51c8197995eb73b90f1e6d2</x:v>
      </x:c>
      <x:c r="N8" s="59" t="n">
        <x:v>11046</x:v>
      </x:c>
      <x:c r="O8" s="59" t="n">
        <x:v>911</x:v>
      </x:c>
      <x:c r="P8" s="59" t="n">
        <x:v>11957</x:v>
      </x:c>
    </x:row>
    <x:row r="9">
      <x:c r="A9" s="47" t="str">
        <x:v>EVT-000038</x:v>
      </x:c>
      <x:c r="B9" s="47" t="str">
        <x:v>RUN-I2-050-20260819T161737172452Z</x:v>
      </x:c>
      <x:c r="C9" s="47" t="str">
        <x:v>I2-050</x:v>
      </x:c>
      <x:c r="D9" s="93" t="n">
        <x:v>46253.679910810184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42363.791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RUN-I2-050-20260819T161737172452Z</x:v>
      </x:c>
      <x:c r="C10" s="47" t="str">
        <x:v>I2-050</x:v>
      </x:c>
      <x:c r="D10" s="93" t="n">
        <x:v>46253.679910833336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42364.898</x:v>
      </x:c>
      <x:c r="L10" s="85" t="b">
        <x:v>0</x:v>
      </x:c>
      <x:c r="M10" s="47" t="str">
        <x:v>resp_0c5c92bfb167ead2006a85d74e22388194aba3ee6489fb1bae</x:v>
      </x:c>
      <x:c r="N10" s="59" t="n">
        <x:v>9340</x:v>
      </x:c>
      <x:c r="O10" s="59" t="n">
        <x:v>4134</x:v>
      </x:c>
      <x:c r="P10" s="59" t="n">
        <x:v>13474</x:v>
      </x:c>
    </x:row>
    <x:row r="11">
      <x:c r="A11" s="47" t="str">
        <x:v>EVT-000046</x:v>
      </x:c>
      <x:c r="B11" s="47" t="str">
        <x:v>RUN-I2-050-20260819T161737172452Z</x:v>
      </x:c>
      <x:c r="C11" s="47" t="str">
        <x:v>I2-050</x:v>
      </x:c>
      <x:c r="D11" s="93" t="n">
        <x:v>46253.68000826389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8208.69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EVT-000047</x:v>
      </x:c>
      <x:c r="B12" s="47" t="str">
        <x:v>RUN-I2-050-20260819T161737172452Z</x:v>
      </x:c>
      <x:c r="C12" s="47" t="str">
        <x:v>I2-050</x:v>
      </x:c>
      <x:c r="D12" s="93" t="n">
        <x:v>46253.68000828704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8210.274</x:v>
      </x:c>
      <x:c r="L12" s="85" t="b">
        <x:v>0</x:v>
      </x:c>
      <x:c r="M12" s="47" t="str">
        <x:v>resp_08c4542352a773f1006a85d778ae008195ace330ed73db5848</x:v>
      </x:c>
      <x:c r="N12" s="59" t="n">
        <x:v>10548</x:v>
      </x:c>
      <x:c r="O12" s="59" t="n">
        <x:v>711</x:v>
      </x:c>
      <x:c r="P12" s="59" t="n">
        <x:v>11259</x:v>
      </x:c>
    </x:row>
    <x:row r="13">
      <x:c r="A13" s="47" t="str">
        <x:v>EVT-000052</x:v>
      </x:c>
      <x:c r="B13" s="47" t="str">
        <x:v>RUN-I2-050-20260819T161737172452Z</x:v>
      </x:c>
      <x:c r="C13" s="47" t="str">
        <x:v>I2-050</x:v>
      </x:c>
      <x:c r="D13" s="93" t="n">
        <x:v>46253.68045627315</x:v>
      </x:c>
      <x:c r="E13" s="47" t="str">
        <x:v>generator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38700.364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EVT-000053</x:v>
      </x:c>
      <x:c r="B14" s="47" t="str">
        <x:v>RUN-I2-050-20260819T161737172452Z</x:v>
      </x:c>
      <x:c r="C14" s="47" t="str">
        <x:v>I2-050</x:v>
      </x:c>
      <x:c r="D14" s="93" t="n">
        <x:v>46253.68045629629</x:v>
      </x:c>
      <x:c r="E14" s="47" t="str">
        <x:v>generator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38702.329</x:v>
      </x:c>
      <x:c r="L14" s="85" t="b">
        <x:v>0</x:v>
      </x:c>
      <x:c r="M14" s="47" t="str">
        <x:v>resp_0f75251637b762ed006a85d780df4c819598604414f4800144</x:v>
      </x:c>
      <x:c r="N14" s="59" t="n">
        <x:v>9518</x:v>
      </x:c>
      <x:c r="O14" s="59" t="n">
        <x:v>4090</x:v>
      </x:c>
      <x:c r="P14" s="59" t="n">
        <x:v>13608</x:v>
      </x:c>
    </x:row>
    <x:row r="15">
      <x:c r="A15" s="47" t="str">
        <x:v>EVT-000060</x:v>
      </x:c>
      <x:c r="B15" s="47" t="str">
        <x:v>RUN-I2-050-20260819T161737172452Z</x:v>
      </x:c>
      <x:c r="C15" s="47" t="str">
        <x:v>I2-050</x:v>
      </x:c>
      <x:c r="D15" s="93" t="n">
        <x:v>46253.68056528935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9130.121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EVT-000061</x:v>
      </x:c>
      <x:c r="B16" s="49" t="str">
        <x:v>RUN-I2-050-20260819T161737172452Z</x:v>
      </x:c>
      <x:c r="C16" s="49" t="str">
        <x:v>I2-050</x:v>
      </x:c>
      <x:c r="D16" s="94" t="n">
        <x:v>46253.6805653125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9131.395</x:v>
      </x:c>
      <x:c r="L16" s="87" t="b">
        <x:v>0</x:v>
      </x:c>
      <x:c r="M16" s="49" t="str">
        <x:v>resp_07135a9c48548a9c006a85d7a7e528819781d6a0672b8fc1f0</x:v>
      </x:c>
      <x:c r="N16" s="60" t="n">
        <x:v>11308</x:v>
      </x:c>
      <x:c r="O16" s="60" t="n">
        <x:v>697</x:v>
      </x:c>
      <x:c r="P16" s="60" t="n">
        <x:v>12005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273072ed64442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RUN-I2-050-20260819T161737172452Z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RUN-I2-050-20260819T161737172452Z</x:v>
      </x:c>
      <x:c r="B5" s="45" t="str">
        <x:v>I2-050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RUN-I2-050-20260819T161737172452Z</x:v>
      </x:c>
      <x:c r="B6" s="47" t="str">
        <x:v>I2-050</x:v>
      </x:c>
      <x:c r="C6" s="47" t="str">
        <x:v>crushingFailureClassFactor</x:v>
      </x:c>
      <x:c r="D6" s="48" t="str">
        <x:v>https://w3id.org/nltl/vocab#crushingFailureClassFactor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RUN-I2-050-20260819T161737172452Z</x:v>
      </x:c>
      <x:c r="B7" s="47" t="str">
        <x:v>I2-050</x:v>
      </x:c>
      <x:c r="C7" s="47" t="str">
        <x:v>designVerticalIceForceAtBow</x:v>
      </x:c>
      <x:c r="D7" s="48" t="str">
        <x:v>https://w3id.org/nltl/vocab#designVerticalIceForceAtBow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RUN-I2-050-20260819T161737172452Z</x:v>
      </x:c>
      <x:c r="B8" s="47" t="str">
        <x:v>I2-050</x:v>
      </x:c>
      <x:c r="C8" s="47" t="str">
        <x:v>designVerticalIceForceAtBowCandidateOne</x:v>
      </x:c>
      <x:c r="D8" s="48" t="str">
        <x:v>https://w3id.org/nltl/vocab#designVerticalIceForceAtBowCandidateOne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RUN-I2-050-20260819T161737172452Z</x:v>
      </x:c>
      <x:c r="B9" s="47" t="str">
        <x:v>I2-050</x:v>
      </x:c>
      <x:c r="C9" s="47" t="str">
        <x:v>designVerticalIceForceAtBowCandidateTwo</x:v>
      </x:c>
      <x:c r="D9" s="48" t="str">
        <x:v>https://w3id.org/nltl/vocab#designVerticalIceForceAtBowCandidateTwo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RUN-I2-050-20260819T161737172452Z</x:v>
      </x:c>
      <x:c r="B10" s="47" t="str">
        <x:v>I2-050</x:v>
      </x:c>
      <x:c r="C10" s="47" t="str">
        <x:v>flexuralFailureClassFactor</x:v>
      </x:c>
      <x:c r="D10" s="48" t="str">
        <x:v>https://w3id.org/nltl/vocab#flexuralFailureClassFactor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RUN-I2-050-20260819T161737172452Z</x:v>
      </x:c>
      <x:c r="B11" s="47" t="str">
        <x:v>I2-050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RUN-I2-050-20260819T161737172452Z</x:v>
      </x:c>
      <x:c r="B12" s="47" t="str">
        <x:v>I2-050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RUN-I2-050-20260819T161737172452Z</x:v>
      </x:c>
      <x:c r="B13" s="47" t="str">
        <x:v>I2-050</x:v>
      </x:c>
      <x:c r="C13" s="47" t="str">
        <x:v>hullFormCoefficientKh</x:v>
      </x:c>
      <x:c r="D13" s="48" t="str">
        <x:v>https://w3id.org/nltl/vocab#hullFormCoefficientKh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RUN-I2-050-20260819T161737172452Z</x:v>
      </x:c>
      <x:c r="B14" s="47" t="str">
        <x:v>I2-050</x:v>
      </x:c>
      <x:c r="C14" s="47" t="str">
        <x:v>iceStrengthCoefficientKI</x:v>
      </x:c>
      <x:c r="D14" s="48" t="str">
        <x:v>https://w3id.org/nltl/vocab#iceStrengthCoefficientKI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RUN-I2-050-20260819T161737172452Z</x:v>
      </x:c>
      <x:c r="B15" s="47" t="str">
        <x:v>I2-050</x:v>
      </x:c>
      <x:c r="C15" s="47" t="str">
        <x:v>longitudinalStrengthClassFactor</x:v>
      </x:c>
      <x:c r="D15" s="48" t="str">
        <x:v>https://w3id.org/nltl/vocab#longitudinalStrengthClassFactor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RUN-I2-050-20260819T161737172452Z</x:v>
      </x:c>
      <x:c r="B16" s="47" t="str">
        <x:v>I2-050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designVerticalIceForceAtBow; domain dependency of designVerticalIceForceAtBowCandidateOne; domain dependency of designVerticalIceForceAtBowCandidateTwo; domain dependency of hullFormCoefficientKh; domain dependency of iceStrengthCoefficientKI; domain dependency of upperIceWaterlineDraughtDUI</x:v>
      </x:c>
      <x:c r="J16" s="47" t="n">
        <x:v>0</x:v>
      </x:c>
    </x:row>
    <x:row r="17">
      <x:c r="A17" s="47" t="str">
        <x:v>RUN-I2-050-20260819T161737172452Z</x:v>
      </x:c>
      <x:c r="B17" s="47" t="str">
        <x:v>I2-050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RUN-I2-050-20260819T161737172452Z</x:v>
      </x:c>
      <x:c r="B18" s="47" t="str">
        <x:v>I2-050</x:v>
      </x:c>
      <x:c r="C18" s="47" t="str">
        <x:v>stemAngle</x:v>
      </x:c>
      <x:c r="D18" s="48" t="str">
        <x:v>https://w3id.org/nltl/vocab#stemAngle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http://qudt.org/vocab/unit/DEG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RUN-I2-050-20260819T161737172452Z</x:v>
      </x:c>
      <x:c r="B19" s="47" t="str">
        <x:v>I2-050</x:v>
      </x:c>
      <x:c r="C19" s="47" t="str">
        <x:v>tableLookupCase</x:v>
      </x:c>
      <x:c r="D19" s="48" t="str">
        <x:v>https://w3id.org/nltl/vocab#tableLookupCase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crushingFailureClassFactor; domain dependency of flexuralFailureClassFactor; domain dependency of longitudinalStrengthClassFactor</x:v>
      </x:c>
      <x:c r="J19" s="47" t="n">
        <x:v>0</x:v>
      </x:c>
    </x:row>
    <x:row r="20">
      <x:c r="A20" s="49" t="str">
        <x:v>RUN-I2-050-20260819T161737172452Z</x:v>
      </x:c>
      <x:c r="B20" s="49" t="str">
        <x:v>I2-050</x:v>
      </x:c>
      <x:c r="C20" s="49" t="str">
        <x:v>upperIceWaterlineDraughtDUI</x:v>
      </x:c>
      <x:c r="D20" s="50" t="str">
        <x:v>https://w3id.org/nltl/vocab#upperIceWaterlineDraughtDUI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889303b0a49466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RUN-I2-050-20260819T161737172452Z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RUN-I2-050-20260819T161737172452Z</x:v>
      </x:c>
      <x:c r="B5" s="45" t="str">
        <x:v>I2-050</x:v>
      </x:c>
      <x:c r="C5" s="45" t="str">
        <x:v>FS-CALC-02</x:v>
      </x:c>
      <x:c r="D5" s="45" t="str">
        <x:v>comparison_calculation</x:v>
      </x:c>
      <x:c r="E5" s="97" t="n">
        <x:v>0.075472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RUN-I2-050-20260819T161737172452Z</x:v>
      </x:c>
      <x:c r="B6" s="49" t="str">
        <x:v>I2-050</x:v>
      </x:c>
      <x:c r="C6" s="49" t="str">
        <x:v>FS-QTY-01</x:v>
      </x:c>
      <x:c r="D6" s="49" t="str">
        <x:v>qudt_quantity</x:v>
      </x:c>
      <x:c r="E6" s="98" t="n">
        <x:v>0.037037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a64cd27b1a407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RUN-I2-050-20260819T161737172452Z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RUN-I2-050-20260819T161737172452Z</x:v>
      </x:c>
      <x:c r="B5" s="45" t="str">
        <x:v>I2-050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https://w3id.org/nltl/vocab#crushingFailureClassFactor | https://w3id.org/nltl/vocab#designVerticalIceForceAtBow | https://w3id.org/nltl/vocab#designVerticalIceForceAtBowCandidateOne | https://w3id.org/nltl/vocab#designVerticalIceForceAtBowCandidateTwo | https://w3id.org/nltl/vocab#flexuralFailureClassFactor | https://w3id.org/nltl/vocab#hasTableLookupCase | https://w3id.org/nltl/vocab#hullFormCoefficientKh | https://w3id.org/nltl/vocab#iceStrengthCoefficientKI | https://w3id.org/nltl/vocab#longitudinalStrengthClassFactor | https://w3id.org/nltl/vocab#ship | https://w3id.org/nltl/vocab#stemAngle | https://w3id.org/nltl/vocab#tableLookupCase | https://w3id.org/nltl/vocab#upperIceWaterlineDraughtDUI</x:v>
      </x:c>
      <x:c r="O5" s="46" t="str"/>
      <x:c r="P5" s="46" t="str"/>
      <x:c r="Q5" s="46" t="str"/>
    </x:row>
    <x:row r="6">
      <x:c r="A6" s="47" t="str">
        <x:v>RUN-I2-050-20260819T161737172452Z</x:v>
      </x:c>
      <x:c r="B6" s="47" t="str">
        <x:v>I2-050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https://w3id.org/nltl/vocab#crushingFailureClassFactor | https://w3id.org/nltl/vocab#designVerticalIceForceAtBow | https://w3id.org/nltl/vocab#designVerticalIceForceAtBowCandidateOne | https://w3id.org/nltl/vocab#designVerticalIceForceAtBowCandidateTwo | https://w3id.org/nltl/vocab#flexuralFailureClassFactor | https://w3id.org/nltl/vocab#hasTableLookupCase | https://w3id.org/nltl/vocab#hullFormCoefficientKh | https://w3id.org/nltl/vocab#iceStrengthCoefficientKI | https://w3id.org/nltl/vocab#longitudinalStrengthClassFactor | https://w3id.org/nltl/vocab#ship | https://w3id.org/nltl/vocab#stemAngle | https://w3id.org/nltl/vocab#tableLookupCase | https://w3id.org/nltl/vocab#upperIceWaterlineDraughtDUI</x:v>
      </x:c>
      <x:c r="O6" s="48" t="str"/>
      <x:c r="P6" s="48" t="str"/>
      <x:c r="Q6" s="48" t="str"/>
    </x:row>
    <x:row r="7">
      <x:c r="A7" s="49" t="str">
        <x:v>RUN-I2-050-20260819T161737172452Z</x:v>
      </x:c>
      <x:c r="B7" s="49" t="str">
        <x:v>I2-050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https://w3id.org/nltl/vocab#designVerticalIceForceAtBow | https://w3id.org/nltl/vocab#designVerticalIceForceAtBowCandidateOne | https://w3id.org/nltl/vocab#designVerticalIceForceAtBowCandidateTwo | https://w3id.org/nltl/vocab#flexuralFailureClassFactor | https://w3id.org/nltl/vocab#hasTableLookupCase | https://w3id.org/nltl/vocab#hullFormCoefficientKh | https://w3id.org/nltl/vocab#iceStrengthCoefficientKI | https://w3id.org/nltl/vocab#longitudinalStrengthClassFactor | https://w3id.org/nltl/vocab#ship | https://w3id.org/nltl/vocab#stemAngle | https://w3id.org/nltl/vocab#tableLookupCase | https://w3id.org/nltl/vocab#upperIceWaterlineDraughtDUI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30c6f5d67c0e4d4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RUN-I2-050-20260819T161737172452Z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RUN-I2-050-20260819T161737172452Z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RUN-I2-050-20260819T161737172452Z</x:v>
      </x:c>
      <x:c r="B5" s="45" t="str">
        <x:v>I2-050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3c4334974a7436c4327fa43ac40c4cc299020d64d0b2746fe7c4bf10a35adfec</x:v>
      </x:c>
      <x:c r="G5" s="58" t="n">
        <x:v>22629</x:v>
      </x:c>
    </x:row>
    <x:row r="6">
      <x:c r="A6" s="47" t="str">
        <x:v>RUN-I2-050-20260819T161737172452Z</x:v>
      </x:c>
      <x:c r="B6" s="47" t="str">
        <x:v>I2-050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179bfa542ee43f724e855976a181bcc7e14f99fa0cd7f690a60064057c9d0ad2</x:v>
      </x:c>
      <x:c r="G6" s="59" t="n">
        <x:v>5255</x:v>
      </x:c>
    </x:row>
    <x:row r="7">
      <x:c r="A7" s="47" t="str">
        <x:v>RUN-I2-050-20260819T161737172452Z</x:v>
      </x:c>
      <x:c r="B7" s="47" t="str">
        <x:v>I2-050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abb60e25c548d7047649bcaea23369cec2dc34331b9c4b1bbdfbe3bf007363a2</x:v>
      </x:c>
      <x:c r="G7" s="59" t="n">
        <x:v>37164</x:v>
      </x:c>
    </x:row>
    <x:row r="8">
      <x:c r="A8" s="47" t="str">
        <x:v>RUN-I2-050-20260819T161737172452Z</x:v>
      </x:c>
      <x:c r="B8" s="47" t="str">
        <x:v>I2-050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05dfe2cdcf380d9da9b793640ad541002ed7045b17ad65ecb89cfb0e4da0cfd6</x:v>
      </x:c>
      <x:c r="G8" s="59" t="n">
        <x:v>8380</x:v>
      </x:c>
    </x:row>
    <x:row r="9">
      <x:c r="A9" s="47" t="str">
        <x:v>RUN-I2-050-20260819T161737172452Z</x:v>
      </x:c>
      <x:c r="B9" s="47" t="str">
        <x:v>I2-050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0e4bce51359e28e5f95792dfccd4e52523b5846953dafbc9167444c2756b0d67</x:v>
      </x:c>
      <x:c r="G9" s="59" t="n">
        <x:v>8355</x:v>
      </x:c>
    </x:row>
    <x:row r="10">
      <x:c r="A10" s="47" t="str">
        <x:v>RUN-I2-050-20260819T161737172452Z</x:v>
      </x:c>
      <x:c r="B10" s="47" t="str">
        <x:v>I2-050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27606847da0155840680905199684e8299ce48b6d22773119c70d39f6d80fb27</x:v>
      </x:c>
      <x:c r="G10" s="59" t="n">
        <x:v>1163</x:v>
      </x:c>
    </x:row>
    <x:row r="11">
      <x:c r="A11" s="47" t="str">
        <x:v>RUN-I2-050-20260819T161737172452Z</x:v>
      </x:c>
      <x:c r="B11" s="47" t="str">
        <x:v>I2-050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32bd09a3b7e7bd3ec5cf552f6f538fb619ebdd8f0562844cdc8a77c601b96191</x:v>
      </x:c>
      <x:c r="G11" s="59" t="n">
        <x:v>42415</x:v>
      </x:c>
    </x:row>
    <x:row r="12">
      <x:c r="A12" s="47" t="str">
        <x:v>RUN-I2-050-20260819T161737172452Z</x:v>
      </x:c>
      <x:c r="B12" s="47" t="str">
        <x:v>I2-050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ebe494d1090a3c0b55262fdcb0171a4154141f8c9532d5b56cfccd043eafc9c7</x:v>
      </x:c>
      <x:c r="G12" s="59" t="n">
        <x:v>691</x:v>
      </x:c>
    </x:row>
    <x:row r="13">
      <x:c r="A13" s="47" t="str">
        <x:v>RUN-I2-050-20260819T161737172452Z</x:v>
      </x:c>
      <x:c r="B13" s="47" t="str">
        <x:v>I2-050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96077755e03dd4bb94ad531b8c73cb85d70b82bd8b016c7d4af2e1ff43d55aab</x:v>
      </x:c>
      <x:c r="G13" s="59" t="n">
        <x:v>37790</x:v>
      </x:c>
    </x:row>
    <x:row r="14">
      <x:c r="A14" s="47" t="str">
        <x:v>RUN-I2-050-20260819T161737172452Z</x:v>
      </x:c>
      <x:c r="B14" s="47" t="str">
        <x:v>I2-050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18bcd8473e68e3e19337d51e1eacba0b0310b9e5c511c222c19f08d7f34347c4</x:v>
      </x:c>
      <x:c r="G14" s="59" t="n">
        <x:v>5734</x:v>
      </x:c>
    </x:row>
    <x:row r="15">
      <x:c r="A15" s="47" t="str">
        <x:v>RUN-I2-050-20260819T161737172452Z</x:v>
      </x:c>
      <x:c r="B15" s="47" t="str">
        <x:v>I2-050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9842772293a5ee25a2173c7f11261691a1803c9eda88a547ab31c14e45fc0ed0</x:v>
      </x:c>
      <x:c r="G15" s="59" t="n">
        <x:v>5709</x:v>
      </x:c>
    </x:row>
    <x:row r="16">
      <x:c r="A16" s="47" t="str">
        <x:v>RUN-I2-050-20260819T161737172452Z</x:v>
      </x:c>
      <x:c r="B16" s="47" t="str">
        <x:v>I2-050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27606847da0155840680905199684e8299ce48b6d22773119c70d39f6d80fb27</x:v>
      </x:c>
      <x:c r="G16" s="59" t="n">
        <x:v>1163</x:v>
      </x:c>
    </x:row>
    <x:row r="17">
      <x:c r="A17" s="47" t="str">
        <x:v>RUN-I2-050-20260819T161737172452Z</x:v>
      </x:c>
      <x:c r="B17" s="47" t="str">
        <x:v>I2-050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b07851d1fad0af9983784f812fac769223cebf73913a7aebfc898403e5253bc5</x:v>
      </x:c>
      <x:c r="G17" s="59" t="n">
        <x:v>40333</x:v>
      </x:c>
    </x:row>
    <x:row r="18">
      <x:c r="A18" s="47" t="str">
        <x:v>RUN-I2-050-20260819T161737172452Z</x:v>
      </x:c>
      <x:c r="B18" s="47" t="str">
        <x:v>I2-050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4daee6d62ee3d1a129282ecdfc9a8adef80d348ea9a6ef9335b452b6d6f39f72</x:v>
      </x:c>
      <x:c r="G18" s="59" t="n">
        <x:v>828</x:v>
      </x:c>
    </x:row>
    <x:row r="19">
      <x:c r="A19" s="47" t="str">
        <x:v>RUN-I2-050-20260819T161737172452Z</x:v>
      </x:c>
      <x:c r="B19" s="47" t="str">
        <x:v>I2-050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0c76a048d66789acb09662f61e2163b3a658a1df4e2385edce019597e4a4b372</x:v>
      </x:c>
      <x:c r="G19" s="59" t="n">
        <x:v>38561</x:v>
      </x:c>
    </x:row>
    <x:row r="20">
      <x:c r="A20" s="47" t="str">
        <x:v>RUN-I2-050-20260819T161737172452Z</x:v>
      </x:c>
      <x:c r="B20" s="47" t="str">
        <x:v>I2-050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154d2c34d54443617f3a1f1b8eeca315dd86de04132172e930eef66ff4240bef</x:v>
      </x:c>
      <x:c r="G20" s="59" t="n">
        <x:v>7746</x:v>
      </x:c>
    </x:row>
    <x:row r="21">
      <x:c r="A21" s="47" t="str">
        <x:v>RUN-I2-050-20260819T161737172452Z</x:v>
      </x:c>
      <x:c r="B21" s="47" t="str">
        <x:v>I2-050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a67bf01cda1a9113d7e90b9c915c5cc79f60206a66a60f2519d2f913029ad2be</x:v>
      </x:c>
      <x:c r="G21" s="59" t="n">
        <x:v>7721</x:v>
      </x:c>
    </x:row>
    <x:row r="22">
      <x:c r="A22" s="47" t="str">
        <x:v>RUN-I2-050-20260819T161737172452Z</x:v>
      </x:c>
      <x:c r="B22" s="47" t="str">
        <x:v>I2-050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677791c0e6959bd9ae24c37f64f7b5d40f5ebd37a744fd655f5bb8f8b85cfe55</x:v>
      </x:c>
      <x:c r="G22" s="59" t="n">
        <x:v>1101</x:v>
      </x:c>
    </x:row>
    <x:row r="23">
      <x:c r="A23" s="47" t="str">
        <x:v>RUN-I2-050-20260819T161737172452Z</x:v>
      </x:c>
      <x:c r="B23" s="47" t="str">
        <x:v>I2-050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ff4bd9571601ad45c0922fa59c6c93c69b0359174b1f59bd60eb1405395e29c6</x:v>
      </x:c>
      <x:c r="G23" s="59" t="n">
        <x:v>42695</x:v>
      </x:c>
    </x:row>
    <x:row r="24">
      <x:c r="A24" s="49" t="str">
        <x:v>RUN-I2-050-20260819T161737172452Z</x:v>
      </x:c>
      <x:c r="B24" s="49" t="str">
        <x:v>I2-050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d9c7c563647010cb7793c9b644f254f40d838c30aaf9b16912e9086dbfb8c08a</x:v>
      </x:c>
      <x:c r="G24" s="60" t="n">
        <x:v>769</x:v>
      </x:c>
    </x:row>
  </x:sheetData>
  <x:pageMargins left="0.7" right="0.7" top="0.75" bottom="0.75" header="0.3" footer="0.3"/>
  <x:tableParts count="1">
    <x:tablePart xmlns:r="http://schemas.openxmlformats.org/officeDocument/2006/relationships" r:id="R6b107a5feefc4ae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RUN-I2-050-20260819T161737172452Z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RUN-I2-050-20260819T161737172452Z</x:v>
      </x:c>
      <x:c r="B5" s="69" t="str">
        <x:v>I2-050</x:v>
      </x:c>
      <x:c r="C5" s="71" t="n">
        <x:v>3</x:v>
      </x:c>
      <x:c r="D5" s="69" t="str">
        <x:v>MAX_ATTEMPTS_REACHED</x:v>
      </x:c>
      <x:c r="E5" s="73" t="str">
        <x:v>Repair the F_IB1 constraint: the twentieth-power equality is not faithful to F_IB1 = 0.534*K_I^0.15*sin(gamma_stem)^0.2*(D_UI*K_h)^0.5*C_FL because it admits sign-aliasing (including a negative reported F_IB1) and scales tolerance from the transformed twentieth-power value rather than the expected formula result. Use an evaluator-supported bounded formula mechanism that computes the stated fractional exponents and compares the reported F_IB1 directly to that expected result, with tolerance scaled from the expected F_IB1 result. Retain the supplied operands, canonical owners/path through hasTableLookupCase for C_FL, registered math:sin, corrected F_IB2=C_FF*1.20, and the minimum-result constraint.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dd570ba928437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RUN-I2-050-20260819T161737172452Z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