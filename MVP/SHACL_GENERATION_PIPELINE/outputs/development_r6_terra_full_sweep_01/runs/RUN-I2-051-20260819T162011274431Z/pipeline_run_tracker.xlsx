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6fbbfac0e348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9f8279ea14340e4"/>
    <x:sheet xmlns:r="http://schemas.openxmlformats.org/officeDocument/2006/relationships" name="README" sheetId="2" r:id="Rb833f77531b64221"/>
    <x:sheet xmlns:r="http://schemas.openxmlformats.org/officeDocument/2006/relationships" name="REGULATION_QUEUE" sheetId="3" r:id="Re783c7ff33ce4382"/>
    <x:sheet xmlns:r="http://schemas.openxmlformats.org/officeDocument/2006/relationships" name="RUNS" sheetId="4" r:id="R3424e2b2b7b04582"/>
    <x:sheet xmlns:r="http://schemas.openxmlformats.org/officeDocument/2006/relationships" name="ITERATIONS" sheetId="5" r:id="R082a4a0ed79842dc"/>
    <x:sheet xmlns:r="http://schemas.openxmlformats.org/officeDocument/2006/relationships" name="API_CALLS" sheetId="6" r:id="R6d8dcd774ad1492c"/>
    <x:sheet xmlns:r="http://schemas.openxmlformats.org/officeDocument/2006/relationships" name="TERM_RETRIEVAL" sheetId="7" r:id="R0a6a7dbec919471e"/>
    <x:sheet xmlns:r="http://schemas.openxmlformats.org/officeDocument/2006/relationships" name="FEW_SHOT_SELECTION" sheetId="8" r:id="Ra7d82f9327ca4000"/>
    <x:sheet xmlns:r="http://schemas.openxmlformats.org/officeDocument/2006/relationships" name="VALIDATION" sheetId="9" r:id="R9a25641624a0481a"/>
    <x:sheet xmlns:r="http://schemas.openxmlformats.org/officeDocument/2006/relationships" name="VOCAB_MATCHES" sheetId="10" r:id="R937dae36f31c4925"/>
    <x:sheet xmlns:r="http://schemas.openxmlformats.org/officeDocument/2006/relationships" name="ARTIFACTS" sheetId="11" r:id="Rf106966f3bde4231"/>
    <x:sheet xmlns:r="http://schemas.openxmlformats.org/officeDocument/2006/relationships" name="UNRESOLVED" sheetId="12" r:id="R62e74c53e26841d6"/>
    <x:sheet xmlns:r="http://schemas.openxmlformats.org/officeDocument/2006/relationships" name="RDF_TEST_QUEUE" sheetId="13" r:id="R617e0dda85114e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b278f746fa4e77" /><Relationship Type="http://schemas.openxmlformats.org/officeDocument/2006/relationships/theme" Target="/xl/theme/theme1.xml" Id="R6b08ca3e21154698" /><Relationship Type="http://schemas.microsoft.com/office/2022/11/relationships/FeaturePropertyBag" Target="/xl/featurePropertyBag/featurePropertyBag.xml" Id="R4a424460c4db4e1e" /><Relationship Type="http://schemas.openxmlformats.org/officeDocument/2006/relationships/sharedStrings" Target="/xl/sharedStrings.xml" Id="R056b41a98aef4530" /><Relationship Type="http://schemas.openxmlformats.org/officeDocument/2006/relationships/worksheet" Target="/xl/worksheets/sheet1.xml" Id="R79f8279ea14340e4" /><Relationship Type="http://schemas.openxmlformats.org/officeDocument/2006/relationships/worksheet" Target="/xl/worksheets/sheet2.xml" Id="Rb833f77531b64221" /><Relationship Type="http://schemas.openxmlformats.org/officeDocument/2006/relationships/worksheet" Target="/xl/worksheets/sheet3.xml" Id="Re783c7ff33ce4382" /><Relationship Type="http://schemas.openxmlformats.org/officeDocument/2006/relationships/worksheet" Target="/xl/worksheets/sheet4.xml" Id="R3424e2b2b7b04582" /><Relationship Type="http://schemas.openxmlformats.org/officeDocument/2006/relationships/worksheet" Target="/xl/worksheets/sheet5.xml" Id="R082a4a0ed79842dc" /><Relationship Type="http://schemas.openxmlformats.org/officeDocument/2006/relationships/worksheet" Target="/xl/worksheets/sheet6.xml" Id="R6d8dcd774ad1492c" /><Relationship Type="http://schemas.openxmlformats.org/officeDocument/2006/relationships/worksheet" Target="/xl/worksheets/sheet7.xml" Id="R0a6a7dbec919471e" /><Relationship Type="http://schemas.openxmlformats.org/officeDocument/2006/relationships/worksheet" Target="/xl/worksheets/sheet8.xml" Id="Ra7d82f9327ca4000" /><Relationship Type="http://schemas.openxmlformats.org/officeDocument/2006/relationships/worksheet" Target="/xl/worksheets/sheet9.xml" Id="R9a25641624a0481a" /><Relationship Type="http://schemas.openxmlformats.org/officeDocument/2006/relationships/worksheet" Target="/xl/worksheets/sheet10.xml" Id="R937dae36f31c4925" /><Relationship Type="http://schemas.openxmlformats.org/officeDocument/2006/relationships/worksheet" Target="/xl/worksheets/sheet11.xml" Id="Rf106966f3bde4231" /><Relationship Type="http://schemas.openxmlformats.org/officeDocument/2006/relationships/worksheet" Target="/xl/worksheets/sheet12.xml" Id="R62e74c53e26841d6" /><Relationship Type="http://schemas.openxmlformats.org/officeDocument/2006/relationships/worksheet" Target="/xl/worksheets/sheet13.xml" Id="R617e0dda85114ea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7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fc2872374a9464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ba0e7c59e46407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2afc9f60c32495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dc6ae6022b6404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30bb252d6974e1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286fe34e143476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9f9b4b507694d2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4794a254b8b49e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5f3b2cb9994454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226710011f54b3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RUN-I2-051-20260819T162011274431Z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COUNTA('API_CALLS'!$A$5:$A$18)</x:f>
        <x:v>14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IFERROR(AVERAGE('API_CALLS'!$K$5:$K$18),0)</x:f>
        <x:v>24192.829285714284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RUN-I2-051-20260819T162011274431Z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fc2872374a9464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RUN-I2-051-20260819T162011274431Z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GENERATION_ACCEPTED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ba0e7c59e46407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RUN-I2-051-20260819T162011274431Z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RUN-I2-051-20260819T162011274431Z</x:v>
      </x:c>
      <x:c r="C5" s="69" t="str">
        <x:v>I2-051</x:v>
      </x:c>
      <x:c r="D5" s="70" t="n">
        <x:v>46253.680686064814</x:v>
      </x:c>
      <x:c r="E5" s="70" t="n">
        <x:v>46253.68265361111</x:v>
      </x:c>
      <x:c r="F5" s="69" t="str">
        <x:v>1.3.0-development-r6-terra-full-sweep-01</x:v>
      </x:c>
      <x:c r="G5" s="69" t="str">
        <x:v>VOCAB-LOCK-2026-08-19-R6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preserves the required direction-selection and inclusive Cf-constant logic and checks the FI formula for every positive-shear calculation case with expected-result-scaled tolerance.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2afc9f60c32495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RUN-I2-051-20260819T162011274431Z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RUN-I2-051-20260819T162011274431Z</x:v>
      </x:c>
      <x:c r="B5" s="45" t="str">
        <x:v>I2-051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Do not make every nltl:hasCalculationCase node a positive-shear case: remove sh:hasValue nltl:positiveShearForce from the nested shearForceDirection property shape, retain required direction-selection evidence (at least sh:minCount 1, with the canonical direction-value range/class where appropriate), and let the bounded SPARQL rule select only cases whose direction is nltl:positiveShearForce. The current shape incorrectly rejects non-positive calculation cases. Also encode the regulatory Cf constants as equal inclusive bounds in the conditional violation tests (e.g., test failure of factor &gt;= 0.0 &amp;&amp; factor &lt;= 0.0, and respectively &gt;= 1.0 &amp;&amp; &lt;= 1.0) rather than using != exact-equality comparisons.</x:v>
      </x:c>
      <x:c r="I5" s="84" t="n">
        <x:v>41890.499</x:v>
      </x:c>
      <x:c r="J5" s="84" t="n">
        <x:v>21519.028</x:v>
      </x:c>
    </x:row>
    <x:row r="6">
      <x:c r="A6" s="47" t="str">
        <x:v>RUN-I2-051-20260819T162011274431Z</x:v>
      </x:c>
      <x:c r="B6" s="47" t="str">
        <x:v>I2-051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Retain the prior direction-selection and inclusive Cf-constant repairs. Amend the bounded SPARQL violation condition so FI = Cf * FIB is checked, using the existing expected-result-scaled tolerance, for every selected positive-shear calculation case, not only when its position falls in the 0.0–0.6LUI or 0.9–1.0LUI regions. Keep the Cf=0.0 and Cf=1.0 conditional violation branches restricted to their respective regions; the formula itself applies along the hull girder and must not be omitted in the intervening region.</x:v>
      </x:c>
      <x:c r="I6" s="86" t="n">
        <x:v>31205.947</x:v>
      </x:c>
      <x:c r="J6" s="86" t="n">
        <x:v>17700.607</x:v>
      </x:c>
    </x:row>
    <x:row r="7">
      <x:c r="A7" s="49" t="str">
        <x:v>RUN-I2-051-20260819T162011274431Z</x:v>
      </x:c>
      <x:c r="B7" s="49" t="str">
        <x:v>I2-051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Candidate preserves the required direction-selection and inclusive Cf-constant logic and checks the FI formula for every positive-shear calculation case with expected-result-scaled tolerance.</x:v>
      </x:c>
      <x:c r="I7" s="88" t="n">
        <x:v>36449.534</x:v>
      </x:c>
      <x:c r="J7" s="88" t="n">
        <x:v>6058.322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dc6ae6022b6404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RUN-I2-051-20260819T162011274431Z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EVT-000023</x:v>
      </x:c>
      <x:c r="B5" s="45" t="str">
        <x:v>RUN-I2-051-20260819T162011274431Z</x:v>
      </x:c>
      <x:c r="C5" s="45" t="str">
        <x:v>I2-051</x:v>
      </x:c>
      <x:c r="D5" s="92" t="n">
        <x:v>46253.68117091435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41888.813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EVT-000024</x:v>
      </x:c>
      <x:c r="B6" s="47" t="str">
        <x:v>RUN-I2-051-20260819T162011274431Z</x:v>
      </x:c>
      <x:c r="C6" s="47" t="str">
        <x:v>I2-051</x:v>
      </x:c>
      <x:c r="D6" s="93" t="n">
        <x:v>46253.6811709375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41890.499</x:v>
      </x:c>
      <x:c r="L6" s="85" t="b">
        <x:v>0</x:v>
      </x:c>
      <x:c r="M6" s="47" t="str">
        <x:v>resp_0020e95b31a4de7b006a85d7bb77fc8194bb08ded6a30e01c2</x:v>
      </x:c>
      <x:c r="N6" s="59" t="n">
        <x:v>8914</x:v>
      </x:c>
      <x:c r="O6" s="59" t="n">
        <x:v>3700</x:v>
      </x:c>
      <x:c r="P6" s="59" t="n">
        <x:v>12614</x:v>
      </x:c>
    </x:row>
    <x:row r="7">
      <x:c r="A7" s="47" t="str">
        <x:v>EVT-000031</x:v>
      </x:c>
      <x:c r="B7" s="47" t="str">
        <x:v>RUN-I2-051-20260819T162011274431Z</x:v>
      </x:c>
      <x:c r="C7" s="47" t="str">
        <x:v>I2-051</x:v>
      </x:c>
      <x:c r="D7" s="93" t="n">
        <x:v>46253.681422430556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21517.434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EVT-000032</x:v>
      </x:c>
      <x:c r="B8" s="47" t="str">
        <x:v>RUN-I2-051-20260819T162011274431Z</x:v>
      </x:c>
      <x:c r="C8" s="47" t="str">
        <x:v>I2-051</x:v>
      </x:c>
      <x:c r="D8" s="93" t="n">
        <x:v>46253.6814224537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21519.028</x:v>
      </x:c>
      <x:c r="L8" s="85" t="b">
        <x:v>0</x:v>
      </x:c>
      <x:c r="M8" s="47" t="str">
        <x:v>resp_01973520874f90bf006a85d7e58a1c8196852882df7d8febbf</x:v>
      </x:c>
      <x:c r="N8" s="59" t="n">
        <x:v>9540</x:v>
      </x:c>
      <x:c r="O8" s="59" t="n">
        <x:v>1729</x:v>
      </x:c>
      <x:c r="P8" s="59" t="n">
        <x:v>11269</x:v>
      </x:c>
    </x:row>
    <x:row r="9">
      <x:c r="A9" s="47" t="str">
        <x:v>EVT-000037</x:v>
      </x:c>
      <x:c r="B9" s="47" t="str">
        <x:v>RUN-I2-051-20260819T162011274431Z</x:v>
      </x:c>
      <x:c r="C9" s="47" t="str">
        <x:v>I2-051</x:v>
      </x:c>
      <x:c r="D9" s="93" t="n">
        <x:v>46253.68178366898</x:v>
      </x:c>
      <x:c r="E9" s="47" t="str">
        <x:v>generator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31204.056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EVT-000038</x:v>
      </x:c>
      <x:c r="B10" s="47" t="str">
        <x:v>RUN-I2-051-20260819T162011274431Z</x:v>
      </x:c>
      <x:c r="C10" s="47" t="str">
        <x:v>I2-051</x:v>
      </x:c>
      <x:c r="D10" s="93" t="n">
        <x:v>46253.68178369213</x:v>
      </x:c>
      <x:c r="E10" s="47" t="str">
        <x:v>generator</x:v>
      </x:c>
      <x:c r="F10" s="47" t="str">
        <x:v>gpt-5.6-terra-2026-07-09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31205.947</x:v>
      </x:c>
      <x:c r="L10" s="85" t="b">
        <x:v>0</x:v>
      </x:c>
      <x:c r="M10" s="47" t="str">
        <x:v>resp_0b22911f7354c94b006a85d7fb10b081948f86530649b6edcc</x:v>
      </x:c>
      <x:c r="N10" s="59" t="n">
        <x:v>9070</x:v>
      </x:c>
      <x:c r="O10" s="59" t="n">
        <x:v>3032</x:v>
      </x:c>
      <x:c r="P10" s="59" t="n">
        <x:v>12102</x:v>
      </x:c>
    </x:row>
    <x:row r="11">
      <x:c r="A11" s="47" t="str">
        <x:v>EVT-000045</x:v>
      </x:c>
      <x:c r="B11" s="47" t="str">
        <x:v>RUN-I2-051-20260819T162011274431Z</x:v>
      </x:c>
      <x:c r="C11" s="47" t="str">
        <x:v>I2-051</x:v>
      </x:c>
      <x:c r="D11" s="93" t="n">
        <x:v>46253.68199106481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17699.052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EVT-000046</x:v>
      </x:c>
      <x:c r="B12" s="47" t="str">
        <x:v>RUN-I2-051-20260819T162011274431Z</x:v>
      </x:c>
      <x:c r="C12" s="47" t="str">
        <x:v>I2-051</x:v>
      </x:c>
      <x:c r="D12" s="93" t="n">
        <x:v>46253.681991087964</x:v>
      </x:c>
      <x:c r="E12" s="47" t="str">
        <x:v>validator</x:v>
      </x:c>
      <x:c r="F12" s="47" t="str">
        <x:v>gpt-5.6-terra-2026-07-09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17700.607</x:v>
      </x:c>
      <x:c r="L12" s="85" t="b">
        <x:v>0</x:v>
      </x:c>
      <x:c r="M12" s="47" t="str">
        <x:v>resp_073244d57365f2b4006a85d81a8b9481949791bf6aaf4d4e2f</x:v>
      </x:c>
      <x:c r="N12" s="59" t="n">
        <x:v>9640</x:v>
      </x:c>
      <x:c r="O12" s="59" t="n">
        <x:v>1357</x:v>
      </x:c>
      <x:c r="P12" s="59" t="n">
        <x:v>10997</x:v>
      </x:c>
    </x:row>
    <x:row r="13">
      <x:c r="A13" s="47" t="str">
        <x:v>EVT-000051</x:v>
      </x:c>
      <x:c r="B13" s="47" t="str">
        <x:v>RUN-I2-051-20260819T162011274431Z</x:v>
      </x:c>
      <x:c r="C13" s="47" t="str">
        <x:v>I2-051</x:v>
      </x:c>
      <x:c r="D13" s="93" t="n">
        <x:v>46253.68241299769</x:v>
      </x:c>
      <x:c r="E13" s="47" t="str">
        <x:v>generator</x:v>
      </x:c>
      <x:c r="F13" s="47" t="str">
        <x:v>gpt-5.6-terra-2026-07-09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36448.288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EVT-000052</x:v>
      </x:c>
      <x:c r="B14" s="47" t="str">
        <x:v>RUN-I2-051-20260819T162011274431Z</x:v>
      </x:c>
      <x:c r="C14" s="47" t="str">
        <x:v>I2-051</x:v>
      </x:c>
      <x:c r="D14" s="93" t="n">
        <x:v>46253.68241300926</x:v>
      </x:c>
      <x:c r="E14" s="47" t="str">
        <x:v>generator</x:v>
      </x:c>
      <x:c r="F14" s="47" t="str">
        <x:v>gpt-5.6-terra-2026-07-09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36449.534</x:v>
      </x:c>
      <x:c r="L14" s="85" t="b">
        <x:v>0</x:v>
      </x:c>
      <x:c r="M14" s="47" t="str">
        <x:v>resp_00e98e7e8bb9d7e2006a85d82c5e98819481aaa76ce23fd96d</x:v>
      </x:c>
      <x:c r="N14" s="59" t="n">
        <x:v>9198</x:v>
      </x:c>
      <x:c r="O14" s="59" t="n">
        <x:v>3545</x:v>
      </x:c>
      <x:c r="P14" s="59" t="n">
        <x:v>12743</x:v>
      </x:c>
    </x:row>
    <x:row r="15">
      <x:c r="A15" s="47" t="str">
        <x:v>EVT-000059</x:v>
      </x:c>
      <x:c r="B15" s="47" t="str">
        <x:v>RUN-I2-051-20260819T162011274431Z</x:v>
      </x:c>
      <x:c r="C15" s="47" t="str">
        <x:v>I2-051</x:v>
      </x:c>
      <x:c r="D15" s="93" t="n">
        <x:v>46253.68258340278</x:v>
      </x:c>
      <x:c r="E15" s="47" t="str">
        <x:v>validator</x:v>
      </x:c>
      <x:c r="F15" s="47" t="str">
        <x:v>gpt-5.6-terra-2026-07-09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14529.337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EVT-000060</x:v>
      </x:c>
      <x:c r="B16" s="47" t="str">
        <x:v>RUN-I2-051-20260819T162011274431Z</x:v>
      </x:c>
      <x:c r="C16" s="47" t="str">
        <x:v>I2-051</x:v>
      </x:c>
      <x:c r="D16" s="93" t="n">
        <x:v>46253.68258342593</x:v>
      </x:c>
      <x:c r="E16" s="47" t="str">
        <x:v>validator</x:v>
      </x:c>
      <x:c r="F16" s="47" t="str">
        <x:v>gpt-5.6-terra-2026-07-09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14530.879</x:v>
      </x:c>
      <x:c r="L16" s="85" t="b">
        <x:v>0</x:v>
      </x:c>
      <x:c r="M16" s="47" t="str">
        <x:v>resp_0476a69deaebe25c006a85d850d5bc81949adb99d9cefbc82b</x:v>
      </x:c>
      <x:c r="N16" s="59" t="n">
        <x:v>9727</x:v>
      </x:c>
      <x:c r="O16" s="59" t="n">
        <x:v>1109</x:v>
      </x:c>
      <x:c r="P16" s="59" t="n">
        <x:v>10836</x:v>
      </x:c>
    </x:row>
    <x:row r="17">
      <x:c r="A17" s="47" t="str">
        <x:v>EVT-000066</x:v>
      </x:c>
      <x:c r="B17" s="47" t="str">
        <x:v>RUN-I2-051-20260819T162011274431Z</x:v>
      </x:c>
      <x:c r="C17" s="47" t="str">
        <x:v>I2-051</x:v>
      </x:c>
      <x:c r="D17" s="93" t="n">
        <x:v>46253.682653599535</x:v>
      </x:c>
      <x:c r="E17" s="47" t="str">
        <x:v>validator</x:v>
      </x:c>
      <x:c r="F17" s="47" t="str">
        <x:v>gpt-5.6-terra-2026-07-09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6057.814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9" t="str">
        <x:v>EVT-000067</x:v>
      </x:c>
      <x:c r="B18" s="49" t="str">
        <x:v>RUN-I2-051-20260819T162011274431Z</x:v>
      </x:c>
      <x:c r="C18" s="49" t="str">
        <x:v>I2-051</x:v>
      </x:c>
      <x:c r="D18" s="94" t="n">
        <x:v>46253.682653599535</x:v>
      </x:c>
      <x:c r="E18" s="49" t="str">
        <x:v>validator</x:v>
      </x:c>
      <x:c r="F18" s="49" t="str">
        <x:v>gpt-5.6-terra-2026-07-09</x:v>
      </x:c>
      <x:c r="G18" s="49" t="n">
        <x:v>1</x:v>
      </x:c>
      <x:c r="H18" s="49" t="str">
        <x:v>COMPLETED</x:v>
      </x:c>
      <x:c r="I18" s="49" t="str"/>
      <x:c r="J18" s="88" t="n">
        <x:v>0</x:v>
      </x:c>
      <x:c r="K18" s="88" t="n">
        <x:v>6058.322</x:v>
      </x:c>
      <x:c r="L18" s="87" t="b">
        <x:v>0</x:v>
      </x:c>
      <x:c r="M18" s="49" t="str">
        <x:v>resp_098856065bfa4aa4006a85d85f5f208196af185a385c7b910d</x:v>
      </x:c>
      <x:c r="N18" s="60" t="n">
        <x:v>10118</x:v>
      </x:c>
      <x:c r="O18" s="60" t="n">
        <x:v>408</x:v>
      </x:c>
      <x:c r="P18" s="60" t="n">
        <x:v>10526</x:v>
      </x:c>
    </x:row>
  </x:sheetData>
  <x:conditionalFormatting sqref="H5:H1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30bb252d6974e1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RUN-I2-051-20260819T162011274431Z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RUN-I2-051-20260819T162011274431Z</x:v>
      </x:c>
      <x:c r="B5" s="45" t="str">
        <x:v>I2-051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designVerticalIceShearForce; domain dependency of hullGirderPosition; domain dependency of longitudinalDistributionFactor; range dependency of shearForceDirectionValue</x:v>
      </x:c>
      <x:c r="J5" s="45" t="n">
        <x:v>0</x:v>
      </x:c>
    </x:row>
    <x:row r="6">
      <x:c r="A6" s="47" t="str">
        <x:v>RUN-I2-051-20260819T162011274431Z</x:v>
      </x:c>
      <x:c r="B6" s="47" t="str">
        <x:v>I2-051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hullGirderLongitudinalPositionFromAft; domain dependency of shearForceDirection; range dependency of hasCalculationCase</x:v>
      </x:c>
      <x:c r="J6" s="47" t="n">
        <x:v>0</x:v>
      </x:c>
    </x:row>
    <x:row r="7">
      <x:c r="A7" s="47" t="str">
        <x:v>RUN-I2-051-20260819T162011274431Z</x:v>
      </x:c>
      <x:c r="B7" s="47" t="str">
        <x:v>I2-051</x:v>
      </x:c>
      <x:c r="C7" s="47" t="str">
        <x:v>designVerticalIceForceAtBow</x:v>
      </x:c>
      <x:c r="D7" s="48" t="str">
        <x:v>https://w3id.org/nltl/vocab#designVerticalIceForceAtBow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http://qudt.org/vocab/unit/MegaN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RUN-I2-051-20260819T162011274431Z</x:v>
      </x:c>
      <x:c r="B8" s="47" t="str">
        <x:v>I2-051</x:v>
      </x:c>
      <x:c r="C8" s="47" t="str">
        <x:v>designVerticalIceShearForce</x:v>
      </x:c>
      <x:c r="D8" s="48" t="str">
        <x:v>https://w3id.org/nltl/vocab#designVerticalIceShearForce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http://qudt.org/vocab/unit/KiloN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RUN-I2-051-20260819T162011274431Z</x:v>
      </x:c>
      <x:c r="B9" s="47" t="str">
        <x:v>I2-051</x:v>
      </x:c>
      <x:c r="C9" s="47" t="str">
        <x:v>hasCalculationCase</x:v>
      </x:c>
      <x:c r="D9" s="48" t="str">
        <x:v>https://w3id.org/nltl/vocab#hasCalculationCase</x:v>
      </x:c>
      <x:c r="E9" s="47" t="str">
        <x:v>ObjectProperty</x:v>
      </x:c>
      <x:c r="F9" s="47" t="str"/>
      <x:c r="G9" s="47" t="str">
        <x:v>https://w3id.org/nltl/vocab#calculationCase</x:v>
      </x:c>
      <x:c r="H9" s="47" t="str"/>
      <x:c r="I9" s="48" t="str">
        <x:v>canonical path from target owner ship to required owner calculationCase; linked by the locked 313-requirement index</x:v>
      </x:c>
      <x:c r="J9" s="47" t="n">
        <x:v>0</x:v>
      </x:c>
    </x:row>
    <x:row r="10">
      <x:c r="A10" s="47" t="str">
        <x:v>RUN-I2-051-20260819T162011274431Z</x:v>
      </x:c>
      <x:c r="B10" s="47" t="str">
        <x:v>I2-051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RUN-I2-051-20260819T162011274431Z</x:v>
      </x:c>
      <x:c r="B11" s="47" t="str">
        <x:v>I2-051</x:v>
      </x:c>
      <x:c r="C11" s="47" t="str">
        <x:v>hullGirderLongitudinalPositionFromAft</x:v>
      </x:c>
      <x:c r="D11" s="48" t="str">
        <x:v>https://w3id.org/nltl/vocab#hullGirderLongitudinalPositionFromAft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RUN-I2-051-20260819T162011274431Z</x:v>
      </x:c>
      <x:c r="B12" s="47" t="str">
        <x:v>I2-051</x:v>
      </x:c>
      <x:c r="C12" s="47" t="str">
        <x:v>hullGirderPosition</x:v>
      </x:c>
      <x:c r="D12" s="48" t="str">
        <x:v>https://w3id.org/nltl/vocab#hullGirderPosition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RUN-I2-051-20260819T162011274431Z</x:v>
      </x:c>
      <x:c r="B13" s="47" t="str">
        <x:v>I2-051</x:v>
      </x:c>
      <x:c r="C13" s="47" t="str">
        <x:v>longitudinalDistributionFactor</x:v>
      </x:c>
      <x:c r="D13" s="48" t="str">
        <x:v>https://w3id.org/nltl/vocab#longitudinalDistributionFactor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RUN-I2-051-20260819T162011274431Z</x:v>
      </x:c>
      <x:c r="B14" s="47" t="str">
        <x:v>I2-051</x:v>
      </x:c>
      <x:c r="C14" s="47" t="str">
        <x:v>positiveShearForce</x:v>
      </x:c>
      <x:c r="D14" s="48" t="str">
        <x:v>https://w3id.org/nltl/vocab#positiveShearForce</x:v>
      </x:c>
      <x:c r="E14" s="47" t="str">
        <x:v>NamedIndividual</x:v>
      </x:c>
      <x:c r="F14" s="47" t="str"/>
      <x:c r="G14" s="47" t="str">
        <x:v>https://w3id.org/nltl/vocab#shearForceDirectionValue</x:v>
      </x:c>
      <x:c r="H14" s="47" t="str"/>
      <x:c r="I14" s="48" t="str">
        <x:v>controlled value permitted by the range of positiveShearForce; controlled value permitted by the range of shearForceDirection; linked by the locked 313-requirement index</x:v>
      </x:c>
      <x:c r="J14" s="47" t="n">
        <x:v>0</x:v>
      </x:c>
    </x:row>
    <x:row r="15">
      <x:c r="A15" s="47" t="str">
        <x:v>RUN-I2-051-20260819T162011274431Z</x:v>
      </x:c>
      <x:c r="B15" s="47" t="str">
        <x:v>I2-051</x:v>
      </x:c>
      <x:c r="C15" s="47" t="str">
        <x:v>shearForceDirection</x:v>
      </x:c>
      <x:c r="D15" s="48" t="str">
        <x:v>https://w3id.org/nltl/vocab#shearForceDirection</x:v>
      </x:c>
      <x:c r="E15" s="47" t="str">
        <x:v>ObjectProperty</x:v>
      </x:c>
      <x:c r="F15" s="47" t="str"/>
      <x:c r="G15" s="47" t="str">
        <x:v>https://w3id.org/nltl/vocab#shearForceDirectionValue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RUN-I2-051-20260819T162011274431Z</x:v>
      </x:c>
      <x:c r="B16" s="47" t="str">
        <x:v>I2-051</x:v>
      </x:c>
      <x:c r="C16" s="47" t="str">
        <x:v>shearForceDirectionValue</x:v>
      </x:c>
      <x:c r="D16" s="48" t="str">
        <x:v>https://w3id.org/nltl/vocab#shearForceDirectionValue</x:v>
      </x:c>
      <x:c r="E16" s="47" t="str">
        <x:v>Class</x:v>
      </x:c>
      <x:c r="F16" s="47" t="str"/>
      <x:c r="G16" s="47" t="str">
        <x:v>https://w3id.org/nltl/vocab#benchmarkEntity</x:v>
      </x:c>
      <x:c r="H16" s="47" t="str"/>
      <x:c r="I16" s="48" t="str">
        <x:v>linked by the locked 313-requirement index; range dependency of positiveShearForce; range dependency of shearForceDirection</x:v>
      </x:c>
      <x:c r="J16" s="47" t="n">
        <x:v>0</x:v>
      </x:c>
    </x:row>
    <x:row r="17">
      <x:c r="A17" s="47" t="str">
        <x:v>RUN-I2-051-20260819T162011274431Z</x:v>
      </x:c>
      <x:c r="B17" s="47" t="str">
        <x:v>I2-051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designVerticalIceForceAtBow; domain dependency of hasCalculationCase; domain dependency of upperIceWaterlineLengthLUI</x:v>
      </x:c>
      <x:c r="J17" s="47" t="n">
        <x:v>0</x:v>
      </x:c>
    </x:row>
    <x:row r="18">
      <x:c r="A18" s="47" t="str">
        <x:v>RUN-I2-051-20260819T162011274431Z</x:v>
      </x:c>
      <x:c r="B18" s="47" t="str">
        <x:v>I2-051</x:v>
      </x:c>
      <x:c r="C18" s="47" t="str">
        <x:v>shipComponent</x:v>
      </x:c>
      <x:c r="D18" s="48" t="str">
        <x:v>https://w3id.org/nltl/vocab#shipComponent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9" t="str">
        <x:v>RUN-I2-051-20260819T162011274431Z</x:v>
      </x:c>
      <x:c r="B19" s="49" t="str">
        <x:v>I2-051</x:v>
      </x:c>
      <x:c r="C19" s="49" t="str">
        <x:v>upperIceWaterlineLengthLUI</x:v>
      </x:c>
      <x:c r="D19" s="50" t="str">
        <x:v>https://w3id.org/nltl/vocab#upperIceWaterlineLengthLUI</x:v>
      </x:c>
      <x:c r="E19" s="49" t="str">
        <x:v>QuantityProperty</x:v>
      </x:c>
      <x:c r="F19" s="49" t="str"/>
      <x:c r="G19" s="49" t="str">
        <x:v>http://qudt.org/schema/qudt/QuantityValue</x:v>
      </x:c>
      <x:c r="H19" s="49" t="str">
        <x:v>http://qudt.org/vocab/unit/M</x:v>
      </x:c>
      <x:c r="I19" s="50" t="str">
        <x:v>linked by the locked 313-requirement index</x:v>
      </x:c>
      <x:c r="J1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286fe34e143476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RUN-I2-051-20260819T162011274431Z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RUN-I2-051-20260819T162011274431Z</x:v>
      </x:c>
      <x:c r="B5" s="45" t="str">
        <x:v>I2-051</x:v>
      </x:c>
      <x:c r="C5" s="45" t="str">
        <x:v>FS-CALC-02</x:v>
      </x:c>
      <x:c r="D5" s="45" t="str">
        <x:v>comparison_calculation</x:v>
      </x:c>
      <x:c r="E5" s="97" t="n">
        <x:v>0.08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RUN-I2-051-20260819T162011274431Z</x:v>
      </x:c>
      <x:c r="B6" s="49" t="str">
        <x:v>I2-051</x:v>
      </x:c>
      <x:c r="C6" s="49" t="str">
        <x:v>FS-QTY-01</x:v>
      </x:c>
      <x:c r="D6" s="49" t="str">
        <x:v>qudt_quantity</x:v>
      </x:c>
      <x:c r="E6" s="98" t="n">
        <x:v>0.039216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9f9b4b507694d2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RUN-I2-051-20260819T162011274431Z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RUN-I2-051-20260819T162011274431Z</x:v>
      </x:c>
      <x:c r="B5" s="45" t="str">
        <x:v>I2-051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https://w3id.org/nltl/vocab#calculationCase | https://w3id.org/nltl/vocab#designVerticalIceForceAtBow | https://w3id.org/nltl/vocab#designVerticalIceShearForce | https://w3id.org/nltl/vocab#hasCalculationCase | https://w3id.org/nltl/vocab#hullGirderLongitudinalPositionFromAft | https://w3id.org/nltl/vocab#longitudinalDistributionFactor | https://w3id.org/nltl/vocab#positiveShearForce | https://w3id.org/nltl/vocab#shearForceDirection | https://w3id.org/nltl/vocab#ship | https://w3id.org/nltl/vocab#upperIceWaterlineLengthLUI</x:v>
      </x:c>
      <x:c r="O5" s="46" t="str"/>
      <x:c r="P5" s="46" t="str"/>
      <x:c r="Q5" s="46" t="str"/>
    </x:row>
    <x:row r="6">
      <x:c r="A6" s="47" t="str">
        <x:v>RUN-I2-051-20260819T162011274431Z</x:v>
      </x:c>
      <x:c r="B6" s="47" t="str">
        <x:v>I2-051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https://w3id.org/nltl/vocab#calculationCase | https://w3id.org/nltl/vocab#designVerticalIceForceAtBow | https://w3id.org/nltl/vocab#designVerticalIceShearForce | https://w3id.org/nltl/vocab#hasCalculationCase | https://w3id.org/nltl/vocab#hullGirderLongitudinalPositionFromAft | https://w3id.org/nltl/vocab#longitudinalDistributionFactor | https://w3id.org/nltl/vocab#positiveShearForce | https://w3id.org/nltl/vocab#shearForceDirection | https://w3id.org/nltl/vocab#shearForceDirectionValue | https://w3id.org/nltl/vocab#ship | https://w3id.org/nltl/vocab#upperIceWaterlineLengthLUI</x:v>
      </x:c>
      <x:c r="O6" s="48" t="str"/>
      <x:c r="P6" s="48" t="str"/>
      <x:c r="Q6" s="48" t="str"/>
    </x:row>
    <x:row r="7">
      <x:c r="A7" s="49" t="str">
        <x:v>RUN-I2-051-20260819T162011274431Z</x:v>
      </x:c>
      <x:c r="B7" s="49" t="str">
        <x:v>I2-051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https://w3id.org/nltl/vocab#calculationCase | https://w3id.org/nltl/vocab#designVerticalIceForceAtBow | https://w3id.org/nltl/vocab#designVerticalIceShearForce | https://w3id.org/nltl/vocab#hasCalculationCase | https://w3id.org/nltl/vocab#hullGirderLongitudinalPositionFromAft | https://w3id.org/nltl/vocab#longitudinalDistributionFactor | https://w3id.org/nltl/vocab#positiveShearForce | https://w3id.org/nltl/vocab#shearForceDirection | https://w3id.org/nltl/vocab#shearForceDirectionValue | https://w3id.org/nltl/vocab#ship | https://w3id.org/nltl/vocab#upperIceWaterlineLengthLUI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24794a254b8b49e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RUN-I2-051-20260819T162011274431Z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RUN-I2-051-20260819T162011274431Z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RUN-I2-051-20260819T162011274431Z</x:v>
      </x:c>
      <x:c r="B5" s="45" t="str">
        <x:v>I2-051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1a6311184db28789e364cc893c446e7611ebb9a5e04097fd73841e0487938a0a</x:v>
      </x:c>
      <x:c r="G5" s="58" t="n">
        <x:v>21674</x:v>
      </x:c>
    </x:row>
    <x:row r="6">
      <x:c r="A6" s="47" t="str">
        <x:v>RUN-I2-051-20260819T162011274431Z</x:v>
      </x:c>
      <x:c r="B6" s="47" t="str">
        <x:v>I2-051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af9d55152ea5903e0595f60fd4eb2546f2110fb25ca86259697a833fbc95c213</x:v>
      </x:c>
      <x:c r="G6" s="59" t="n">
        <x:v>5251</x:v>
      </x:c>
    </x:row>
    <x:row r="7">
      <x:c r="A7" s="47" t="str">
        <x:v>RUN-I2-051-20260819T162011274431Z</x:v>
      </x:c>
      <x:c r="B7" s="47" t="str">
        <x:v>I2-051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f5f7bb46aa01510a4bab64f1e446f9c76652c07cbced7f09caa5d8e6e71b35f8</x:v>
      </x:c>
      <x:c r="G7" s="59" t="n">
        <x:v>36205</x:v>
      </x:c>
    </x:row>
    <x:row r="8">
      <x:c r="A8" s="47" t="str">
        <x:v>RUN-I2-051-20260819T162011274431Z</x:v>
      </x:c>
      <x:c r="B8" s="47" t="str">
        <x:v>I2-051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1d14fa1ca908368c84ea71076cb99025237bc0640e1c0b4099e7fd3873b1ee11</x:v>
      </x:c>
      <x:c r="G8" s="59" t="n">
        <x:v>6180</x:v>
      </x:c>
    </x:row>
    <x:row r="9">
      <x:c r="A9" s="47" t="str">
        <x:v>RUN-I2-051-20260819T162011274431Z</x:v>
      </x:c>
      <x:c r="B9" s="47" t="str">
        <x:v>I2-051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020a9794acacfbea527cc0bc48b480896da80101ad5c8ad3e9ab0631b60dbc1c</x:v>
      </x:c>
      <x:c r="G9" s="59" t="n">
        <x:v>6155</x:v>
      </x:c>
    </x:row>
    <x:row r="10">
      <x:c r="A10" s="47" t="str">
        <x:v>RUN-I2-051-20260819T162011274431Z</x:v>
      </x:c>
      <x:c r="B10" s="47" t="str">
        <x:v>I2-051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86eaf62fee5695c6f11600891e5155502e74bebdbd7e8e60ef7c083aaa65bc75</x:v>
      </x:c>
      <x:c r="G10" s="59" t="n">
        <x:v>970</x:v>
      </x:c>
    </x:row>
    <x:row r="11">
      <x:c r="A11" s="47" t="str">
        <x:v>RUN-I2-051-20260819T162011274431Z</x:v>
      </x:c>
      <x:c r="B11" s="47" t="str">
        <x:v>I2-051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d7d95df633d5de78b3f5d169bc5ef6a77781726d5ec5d2628aa611bc7de03680</x:v>
      </x:c>
      <x:c r="G11" s="59" t="n">
        <x:v>37588</x:v>
      </x:c>
    </x:row>
    <x:row r="12">
      <x:c r="A12" s="47" t="str">
        <x:v>RUN-I2-051-20260819T162011274431Z</x:v>
      </x:c>
      <x:c r="B12" s="47" t="str">
        <x:v>I2-051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2f97875b356da8e6698a06fa02641d4ca19095e8e255342d839a755f7785a9d5</x:v>
      </x:c>
      <x:c r="G12" s="59" t="n">
        <x:v>769</x:v>
      </x:c>
    </x:row>
    <x:row r="13">
      <x:c r="A13" s="47" t="str">
        <x:v>RUN-I2-051-20260819T162011274431Z</x:v>
      </x:c>
      <x:c r="B13" s="47" t="str">
        <x:v>I2-051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771ede0e3001f3a628a0ff7c87710dea5370f5ea8b73973507091790706b034d</x:v>
      </x:c>
      <x:c r="G13" s="59" t="n">
        <x:v>36909</x:v>
      </x:c>
    </x:row>
    <x:row r="14">
      <x:c r="A14" s="47" t="str">
        <x:v>RUN-I2-051-20260819T162011274431Z</x:v>
      </x:c>
      <x:c r="B14" s="47" t="str">
        <x:v>I2-051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bf441651819e61b8f3509159aacd2203d80f4e2e35ae35997a21f0700d00de88</x:v>
      </x:c>
      <x:c r="G14" s="59" t="n">
        <x:v>5619</x:v>
      </x:c>
    </x:row>
    <x:row r="15">
      <x:c r="A15" s="47" t="str">
        <x:v>RUN-I2-051-20260819T162011274431Z</x:v>
      </x:c>
      <x:c r="B15" s="47" t="str">
        <x:v>I2-051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da4becfffc72e7784d26a62bd6169081d401ca380c874bcc0f4a87f25e07dc11</x:v>
      </x:c>
      <x:c r="G15" s="59" t="n">
        <x:v>5594</x:v>
      </x:c>
    </x:row>
    <x:row r="16">
      <x:c r="A16" s="47" t="str">
        <x:v>RUN-I2-051-20260819T162011274431Z</x:v>
      </x:c>
      <x:c r="B16" s="47" t="str">
        <x:v>I2-051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f9a669955838ba57d0f8970b902eaed0c4e70fd559dbf8fde0b5812451a38fb2</x:v>
      </x:c>
      <x:c r="G16" s="59" t="n">
        <x:v>1030</x:v>
      </x:c>
    </x:row>
    <x:row r="17">
      <x:c r="A17" s="47" t="str">
        <x:v>RUN-I2-051-20260819T162011274431Z</x:v>
      </x:c>
      <x:c r="B17" s="47" t="str">
        <x:v>I2-051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874bb25f644caf79e27b506c5fecd69cff42473bf4469409b7e20177710e67e2</x:v>
      </x:c>
      <x:c r="G17" s="59" t="n">
        <x:v>38120</x:v>
      </x:c>
    </x:row>
    <x:row r="18">
      <x:c r="A18" s="47" t="str">
        <x:v>RUN-I2-051-20260819T162011274431Z</x:v>
      </x:c>
      <x:c r="B18" s="47" t="str">
        <x:v>I2-051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b7c6179108de8917d6d9ba0051dac73798a9dd377fc32ae2d2983db4219b46ca</x:v>
      </x:c>
      <x:c r="G18" s="59" t="n">
        <x:v>590</x:v>
      </x:c>
    </x:row>
    <x:row r="19">
      <x:c r="A19" s="47" t="str">
        <x:v>RUN-I2-051-20260819T162011274431Z</x:v>
      </x:c>
      <x:c r="B19" s="47" t="str">
        <x:v>I2-051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b2e874cd07caedbe1d52fe4b2d63911c78e43af6c1b42a0738b9fda67b6963e9</x:v>
      </x:c>
      <x:c r="G19" s="59" t="n">
        <x:v>37448</x:v>
      </x:c>
    </x:row>
    <x:row r="20">
      <x:c r="A20" s="47" t="str">
        <x:v>RUN-I2-051-20260819T162011274431Z</x:v>
      </x:c>
      <x:c r="B20" s="47" t="str">
        <x:v>I2-051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baa0bc980f5f3f80e481ddc0c937c00b02d0fa8f59211a45e049a3c98fa33992</x:v>
      </x:c>
      <x:c r="G20" s="59" t="n">
        <x:v>4708</x:v>
      </x:c>
    </x:row>
    <x:row r="21">
      <x:c r="A21" s="47" t="str">
        <x:v>RUN-I2-051-20260819T162011274431Z</x:v>
      </x:c>
      <x:c r="B21" s="47" t="str">
        <x:v>I2-051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b1a845e1cf1859b6b627e9d68415dfc3d72060cf0971692f8f9aa4c412a72196</x:v>
      </x:c>
      <x:c r="G21" s="59" t="n">
        <x:v>4683</x:v>
      </x:c>
    </x:row>
    <x:row r="22">
      <x:c r="A22" s="47" t="str">
        <x:v>RUN-I2-051-20260819T162011274431Z</x:v>
      </x:c>
      <x:c r="B22" s="47" t="str">
        <x:v>I2-051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f9a669955838ba57d0f8970b902eaed0c4e70fd559dbf8fde0b5812451a38fb2</x:v>
      </x:c>
      <x:c r="G22" s="59" t="n">
        <x:v>1030</x:v>
      </x:c>
    </x:row>
    <x:row r="23">
      <x:c r="A23" s="47" t="str">
        <x:v>RUN-I2-051-20260819T162011274431Z</x:v>
      </x:c>
      <x:c r="B23" s="47" t="str">
        <x:v>I2-051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245ee57ccc5488898e0c68c37fda74aff6446b4fd439500433a90664211dcb08</x:v>
      </x:c>
      <x:c r="G23" s="59" t="n">
        <x:v>37736</x:v>
      </x:c>
    </x:row>
    <x:row r="24">
      <x:c r="A24" s="47" t="str">
        <x:v>RUN-I2-051-20260819T162011274431Z</x:v>
      </x:c>
      <x:c r="B24" s="47" t="str">
        <x:v>I2-051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c0bd82ed654b08071339e6b2ac4f7190a76e9d90c1ab6c1f1735d9fa31e71fc6</x:v>
      </x:c>
      <x:c r="G24" s="59" t="n">
        <x:v>379</x:v>
      </x:c>
    </x:row>
    <x:row r="25">
      <x:c r="A25" s="47" t="str">
        <x:v>RUN-I2-051-20260819T162011274431Z</x:v>
      </x:c>
      <x:c r="B25" s="47" t="str">
        <x:v>I2-051</x:v>
      </x:c>
      <x:c r="C25" s="59" t="n">
        <x:v>3</x:v>
      </x:c>
      <x:c r="D25" s="47" t="str">
        <x:v>validator_prompt</x:v>
      </x:c>
      <x:c r="E25" s="48" t="str">
        <x:v>artifacts/attempt_03/validator_prompt_02.txt</x:v>
      </x:c>
      <x:c r="F25" s="47" t="str">
        <x:v>f221c3fc32eb99b202f6fcb1831d5db5d3a9088713ecc86d79fed8f4fe9a72be</x:v>
      </x:c>
      <x:c r="G25" s="59" t="n">
        <x:v>39570</x:v>
      </x:c>
    </x:row>
    <x:row r="26">
      <x:c r="A26" s="47" t="str">
        <x:v>RUN-I2-051-20260819T162011274431Z</x:v>
      </x:c>
      <x:c r="B26" s="47" t="str">
        <x:v>I2-051</x:v>
      </x:c>
      <x:c r="C26" s="59" t="n">
        <x:v>3</x:v>
      </x:c>
      <x:c r="D26" s="47" t="str">
        <x:v>validator_raw_response</x:v>
      </x:c>
      <x:c r="E26" s="48" t="str">
        <x:v>artifacts/attempt_03/validator_raw_02.txt</x:v>
      </x:c>
      <x:c r="F26" s="47" t="str">
        <x:v>5f0127df99bd33f034a4d73ea76a44053dd220ea3f04fa6d1f144c0b2a759b20</x:v>
      </x:c>
      <x:c r="G26" s="59" t="n">
        <x:v>254</x:v>
      </x:c>
    </x:row>
    <x:row r="27">
      <x:c r="A27" s="49" t="str">
        <x:v>RUN-I2-051-20260819T162011274431Z</x:v>
      </x:c>
      <x:c r="B27" s="49" t="str">
        <x:v>I2-051</x:v>
      </x:c>
      <x:c r="C27" s="60" t="n">
        <x:v>3</x:v>
      </x:c>
      <x:c r="D27" s="49" t="str">
        <x:v>final_accepted_shape</x:v>
      </x:c>
      <x:c r="E27" s="50" t="str">
        <x:v>final/final_shape.ttl</x:v>
      </x:c>
      <x:c r="F27" s="49" t="str">
        <x:v>b1a845e1cf1859b6b627e9d68415dfc3d72060cf0971692f8f9aa4c412a72196</x:v>
      </x:c>
      <x:c r="G27" s="60" t="n">
        <x:v>4683</x:v>
      </x:c>
    </x:row>
  </x:sheetData>
  <x:pageMargins left="0.7" right="0.7" top="0.75" bottom="0.75" header="0.3" footer="0.3"/>
  <x:tableParts count="1">
    <x:tablePart xmlns:r="http://schemas.openxmlformats.org/officeDocument/2006/relationships" r:id="Rd5f3b2cb9994454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RUN-I2-051-20260819T162011274431Z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RUN-I2-051-20260819T162011274431Z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RUN-I2-051-20260819T162011274431Z</x:v>
      </x:c>
      <x:c r="B5" s="69" t="str">
        <x:v>I2-051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226710011f54b34"/>
  </x:tableParts>
</x:worksheet>
</file>