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e86e1e728a48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64c5e58e01746e3"/>
    <x:sheet xmlns:r="http://schemas.openxmlformats.org/officeDocument/2006/relationships" name="README" sheetId="2" r:id="R8d641e9fe6584bee"/>
    <x:sheet xmlns:r="http://schemas.openxmlformats.org/officeDocument/2006/relationships" name="REGULATION_QUEUE" sheetId="3" r:id="R77743cca747a4833"/>
    <x:sheet xmlns:r="http://schemas.openxmlformats.org/officeDocument/2006/relationships" name="RUNS" sheetId="4" r:id="Raccfa953660d47f7"/>
    <x:sheet xmlns:r="http://schemas.openxmlformats.org/officeDocument/2006/relationships" name="ITERATIONS" sheetId="5" r:id="Rd0f3e06daa2c4364"/>
    <x:sheet xmlns:r="http://schemas.openxmlformats.org/officeDocument/2006/relationships" name="API_CALLS" sheetId="6" r:id="R1c8091bfe6134e59"/>
    <x:sheet xmlns:r="http://schemas.openxmlformats.org/officeDocument/2006/relationships" name="TERM_RETRIEVAL" sheetId="7" r:id="R3036b10741034ea2"/>
    <x:sheet xmlns:r="http://schemas.openxmlformats.org/officeDocument/2006/relationships" name="FEW_SHOT_SELECTION" sheetId="8" r:id="Ra028823013084319"/>
    <x:sheet xmlns:r="http://schemas.openxmlformats.org/officeDocument/2006/relationships" name="VALIDATION" sheetId="9" r:id="R169a3306f1f84975"/>
    <x:sheet xmlns:r="http://schemas.openxmlformats.org/officeDocument/2006/relationships" name="VOCAB_MATCHES" sheetId="10" r:id="R16f35fa28b2e47f2"/>
    <x:sheet xmlns:r="http://schemas.openxmlformats.org/officeDocument/2006/relationships" name="ARTIFACTS" sheetId="11" r:id="R552918c781f643cd"/>
    <x:sheet xmlns:r="http://schemas.openxmlformats.org/officeDocument/2006/relationships" name="UNRESOLVED" sheetId="12" r:id="R352212a6346e4a73"/>
    <x:sheet xmlns:r="http://schemas.openxmlformats.org/officeDocument/2006/relationships" name="RDF_TEST_QUEUE" sheetId="13" r:id="R51fdf806372c43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25f4b40ccc42a0" /><Relationship Type="http://schemas.openxmlformats.org/officeDocument/2006/relationships/theme" Target="/xl/theme/theme1.xml" Id="R23fe85a97f78402a" /><Relationship Type="http://schemas.microsoft.com/office/2022/11/relationships/FeaturePropertyBag" Target="/xl/featurePropertyBag/featurePropertyBag.xml" Id="R75bcd83c86a64e1e" /><Relationship Type="http://schemas.openxmlformats.org/officeDocument/2006/relationships/sharedStrings" Target="/xl/sharedStrings.xml" Id="Rf4601ccaacab45a5" /><Relationship Type="http://schemas.openxmlformats.org/officeDocument/2006/relationships/worksheet" Target="/xl/worksheets/sheet1.xml" Id="R764c5e58e01746e3" /><Relationship Type="http://schemas.openxmlformats.org/officeDocument/2006/relationships/worksheet" Target="/xl/worksheets/sheet2.xml" Id="R8d641e9fe6584bee" /><Relationship Type="http://schemas.openxmlformats.org/officeDocument/2006/relationships/worksheet" Target="/xl/worksheets/sheet3.xml" Id="R77743cca747a4833" /><Relationship Type="http://schemas.openxmlformats.org/officeDocument/2006/relationships/worksheet" Target="/xl/worksheets/sheet4.xml" Id="Raccfa953660d47f7" /><Relationship Type="http://schemas.openxmlformats.org/officeDocument/2006/relationships/worksheet" Target="/xl/worksheets/sheet5.xml" Id="Rd0f3e06daa2c4364" /><Relationship Type="http://schemas.openxmlformats.org/officeDocument/2006/relationships/worksheet" Target="/xl/worksheets/sheet6.xml" Id="R1c8091bfe6134e59" /><Relationship Type="http://schemas.openxmlformats.org/officeDocument/2006/relationships/worksheet" Target="/xl/worksheets/sheet7.xml" Id="R3036b10741034ea2" /><Relationship Type="http://schemas.openxmlformats.org/officeDocument/2006/relationships/worksheet" Target="/xl/worksheets/sheet8.xml" Id="Ra028823013084319" /><Relationship Type="http://schemas.openxmlformats.org/officeDocument/2006/relationships/worksheet" Target="/xl/worksheets/sheet9.xml" Id="R169a3306f1f84975" /><Relationship Type="http://schemas.openxmlformats.org/officeDocument/2006/relationships/worksheet" Target="/xl/worksheets/sheet10.xml" Id="R16f35fa28b2e47f2" /><Relationship Type="http://schemas.openxmlformats.org/officeDocument/2006/relationships/worksheet" Target="/xl/worksheets/sheet11.xml" Id="R552918c781f643cd" /><Relationship Type="http://schemas.openxmlformats.org/officeDocument/2006/relationships/worksheet" Target="/xl/worksheets/sheet12.xml" Id="R352212a6346e4a73" /><Relationship Type="http://schemas.openxmlformats.org/officeDocument/2006/relationships/worksheet" Target="/xl/worksheets/sheet13.xml" Id="R51fdf806372c43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37f42f555345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16017023784a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7370305bd54a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26eb8354c840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88a0c37d77d44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615bad5db7a43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db2a56a0c654bf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4b7eb8f078489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bbece6653444b4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86b861032ae4d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RUN-IMO-041-20260819T170248442585Z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6081.30425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RUN-IMO-041-20260819T170248442585Z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437f42f555345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RUN-IMO-041-20260819T170248442585Z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GENERATION_ACCEPTED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16017023784a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RUN-IMO-041-20260819T170248442585Z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RUN-IMO-041-20260819T170248442585Z</x:v>
      </x:c>
      <x:c r="C5" s="69" t="str">
        <x:v>IMO-041</x:v>
      </x:c>
      <x:c r="D5" s="70" t="n">
        <x:v>46253.71028290509</x:v>
      </x:c>
      <x:c r="E5" s="70" t="n">
        <x:v>46253.71056574074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conditional requirement without imposing unintended existence cardinalities.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7370305bd54aa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RUN-IMO-041-20260819T170248442585Z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RUN-IMO-041-20260819T170248442585Z</x:v>
      </x:c>
      <x:c r="B5" s="45" t="str">
        <x:v>IMO-041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sh:minCount 1 from nltl:openingActuationType. This is a conditional universal rule and the verified requirement does not independently require an actuation-type value to exist; requiring it creates an unintended violation for ships without supplied applicability evidence. Retain the conditional SPARQL check that, when the supplied ship-level actuation type is "hydraulic"^^xsd:string, requires a true hydraulic-fluid protection value.</x:v>
      </x:c>
      <x:c r="I5" s="81" t="n">
        <x:v>14989.814</x:v>
      </x:c>
      <x:c r="J5" s="81" t="n">
        <x:v>4121.368</x:v>
      </x:c>
    </x:row>
    <x:row r="6">
      <x:c r="A6" s="49" t="str">
        <x:v>RUN-IMO-041-20260819T170248442585Z</x:v>
      </x:c>
      <x:c r="B6" s="49" t="str">
        <x:v>IMO-041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ship-level conditional requirement without imposing unintended existence cardinalities.</x:v>
      </x:c>
      <x:c r="I6" s="83" t="n">
        <x:v>2810.314</x:v>
      </x:c>
      <x:c r="J6" s="83" t="n">
        <x:v>2406.86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26eb8354c8405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RUN-IMO-041-20260819T170248442585Z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RUN-IMO-041-20260819T170248442585Z</x:v>
      </x:c>
      <x:c r="C5" s="45" t="str">
        <x:v>IMO-041</x:v>
      </x:c>
      <x:c r="D5" s="90" t="n">
        <x:v>46253.71045641204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14988.668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RUN-IMO-041-20260819T170248442585Z</x:v>
      </x:c>
      <x:c r="C6" s="47" t="str">
        <x:v>IMO-041</x:v>
      </x:c>
      <x:c r="D6" s="91" t="n">
        <x:v>46253.710456423614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14989.814</x:v>
      </x:c>
      <x:c r="L6" s="93" t="b">
        <x:v>0</x:v>
      </x:c>
      <x:c r="M6" s="47" t="str">
        <x:v>resp_0a300a58a79de25b006a85e1b90d648193b4570134197ea5a6</x:v>
      </x:c>
      <x:c r="N6" s="59" t="n">
        <x:v>4668</x:v>
      </x:c>
      <x:c r="O6" s="59" t="n">
        <x:v>1289</x:v>
      </x:c>
      <x:c r="P6" s="59" t="n">
        <x:v>5957</x:v>
      </x:c>
    </x:row>
    <x:row r="7">
      <x:c r="A7" s="47" t="str">
        <x:v>EVT-000020</x:v>
      </x:c>
      <x:c r="B7" s="47" t="str">
        <x:v>RUN-IMO-041-20260819T170248442585Z</x:v>
      </x:c>
      <x:c r="C7" s="47" t="str">
        <x:v>IMO-041</x:v>
      </x:c>
      <x:c r="D7" s="91" t="n">
        <x:v>46253.71050462963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4119.914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RUN-IMO-041-20260819T170248442585Z</x:v>
      </x:c>
      <x:c r="C8" s="47" t="str">
        <x:v>IMO-041</x:v>
      </x:c>
      <x:c r="D8" s="91" t="n">
        <x:v>46253.7105046412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4121.368</x:v>
      </x:c>
      <x:c r="L8" s="93" t="b">
        <x:v>0</x:v>
      </x:c>
      <x:c r="M8" s="47" t="str">
        <x:v>resp_0c8e2f82a33edab1006a85e1c79674819799ae4c7e12c7c13c</x:v>
      </x:c>
      <x:c r="N8" s="59" t="n">
        <x:v>3693</x:v>
      </x:c>
      <x:c r="O8" s="59" t="n">
        <x:v>283</x:v>
      </x:c>
      <x:c r="P8" s="59" t="n">
        <x:v>3976</x:v>
      </x:c>
    </x:row>
    <x:row r="9">
      <x:c r="A9" s="47" t="str">
        <x:v>EVT-000026</x:v>
      </x:c>
      <x:c r="B9" s="47" t="str">
        <x:v>RUN-IMO-041-20260819T170248442585Z</x:v>
      </x:c>
      <x:c r="C9" s="47" t="str">
        <x:v>IMO-041</x:v>
      </x:c>
      <x:c r="D9" s="91" t="n">
        <x:v>46253.71053719908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2808.42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EVT-000027</x:v>
      </x:c>
      <x:c r="B10" s="47" t="str">
        <x:v>RUN-IMO-041-20260819T170248442585Z</x:v>
      </x:c>
      <x:c r="C10" s="47" t="str">
        <x:v>IMO-041</x:v>
      </x:c>
      <x:c r="D10" s="91" t="n">
        <x:v>46253.71053722222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2810.314</x:v>
      </x:c>
      <x:c r="L10" s="93" t="b">
        <x:v>0</x:v>
      </x:c>
      <x:c r="M10" s="47" t="str">
        <x:v>resp_0c2d0eee458a29ef006a85e1cbb3bc819795e04ebf3dd54233</x:v>
      </x:c>
      <x:c r="N10" s="59" t="n">
        <x:v>4755</x:v>
      </x:c>
      <x:c r="O10" s="59" t="n">
        <x:v>297</x:v>
      </x:c>
      <x:c r="P10" s="59" t="n">
        <x:v>5052</x:v>
      </x:c>
    </x:row>
    <x:row r="11">
      <x:c r="A11" s="47" t="str">
        <x:v>EVT-000034</x:v>
      </x:c>
      <x:c r="B11" s="47" t="str">
        <x:v>RUN-IMO-041-20260819T170248442585Z</x:v>
      </x:c>
      <x:c r="C11" s="47" t="str">
        <x:v>IMO-041</x:v>
      </x:c>
      <x:c r="D11" s="91" t="n">
        <x:v>46253.710565671296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2405.076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EVT-000035</x:v>
      </x:c>
      <x:c r="B12" s="49" t="str">
        <x:v>RUN-IMO-041-20260819T170248442585Z</x:v>
      </x:c>
      <x:c r="C12" s="49" t="str">
        <x:v>IMO-041</x:v>
      </x:c>
      <x:c r="D12" s="94" t="n">
        <x:v>46253.71056569445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2406.86</x:v>
      </x:c>
      <x:c r="L12" s="82" t="b">
        <x:v>0</x:v>
      </x:c>
      <x:c r="M12" s="49" t="str">
        <x:v>resp_07ba59090e1945cd006a85e1ce919481908624bf96ed2ef88c</x:v>
      </x:c>
      <x:c r="N12" s="60" t="n">
        <x:v>3742</x:v>
      </x:c>
      <x:c r="O12" s="60" t="n">
        <x:v>146</x:v>
      </x:c>
      <x:c r="P12" s="60" t="n">
        <x:v>3888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8a0c37d77d44d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RUN-IMO-041-20260819T170248442585Z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RUN-IMO-041-20260819T170248442585Z</x:v>
      </x:c>
      <x:c r="B5" s="45" t="str">
        <x:v>IMO-041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hydraulicFluidFreezingOrViscosityControlPresent; domain dependency of openingActuationType</x:v>
      </x:c>
      <x:c r="J5" s="45" t="n">
        <x:v>0</x:v>
      </x:c>
    </x:row>
    <x:row r="6">
      <x:c r="A6" s="47" t="str">
        <x:v>RUN-IMO-041-20260819T170248442585Z</x:v>
      </x:c>
      <x:c r="B6" s="47" t="str">
        <x:v>IMO-041</x:v>
      </x:c>
      <x:c r="C6" s="47" t="str">
        <x:v>hydraulicFluidFreezingOrViscosityControlPresent</x:v>
      </x:c>
      <x:c r="D6" s="48" t="str">
        <x:v>https://w3id.org/nltl/vocab#hydraulicFluidFreezingOrViscosityControlPresent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RUN-IMO-041-20260819T170248442585Z</x:v>
      </x:c>
      <x:c r="B7" s="47" t="str">
        <x:v>IMO-041</x:v>
      </x:c>
      <x:c r="C7" s="47" t="str">
        <x:v>openingActuationType</x:v>
      </x:c>
      <x:c r="D7" s="48" t="str">
        <x:v>https://w3id.org/nltl/vocab#openingActuationType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RUN-IMO-041-20260819T170248442585Z</x:v>
      </x:c>
      <x:c r="B8" s="49" t="str">
        <x:v>IMO-041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615bad5db7a43e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RUN-IMO-041-20260819T170248442585Z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RUN-IMO-041-20260819T170248442585Z</x:v>
      </x:c>
      <x:c r="B5" s="45" t="str">
        <x:v>IMO-041</x:v>
      </x:c>
      <x:c r="C5" s="45" t="str">
        <x:v>FS-BOOL-01</x:v>
      </x:c>
      <x:c r="D5" s="45" t="str">
        <x:v>boolean_state</x:v>
      </x:c>
      <x:c r="E5" s="97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RUN-IMO-041-20260819T170248442585Z</x:v>
      </x:c>
      <x:c r="B6" s="49" t="str">
        <x:v>IMO-041</x:v>
      </x:c>
      <x:c r="C6" s="49" t="str">
        <x:v>FS-BOOL-02</x:v>
      </x:c>
      <x:c r="D6" s="49" t="str">
        <x:v>boolean_state</x:v>
      </x:c>
      <x:c r="E6" s="98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b2a56a0c654bf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RUN-IMO-041-20260819T170248442585Z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RUN-IMO-041-20260819T170248442585Z</x:v>
      </x:c>
      <x:c r="B5" s="45" t="str">
        <x:v>IMO-041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https://w3id.org/nltl/vocab#hydraulicFluidFreezingOrViscosityControlPresent | https://w3id.org/nltl/vocab#openingActuationType | https://w3id.org/nltl/vocab#ship</x:v>
      </x:c>
      <x:c r="O5" s="46" t="str"/>
      <x:c r="P5" s="46" t="str"/>
      <x:c r="Q5" s="46" t="str"/>
    </x:row>
    <x:row r="6">
      <x:c r="A6" s="49" t="str">
        <x:v>RUN-IMO-041-20260819T170248442585Z</x:v>
      </x:c>
      <x:c r="B6" s="49" t="str">
        <x:v>IMO-041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https://w3id.org/nltl/vocab#hydraulicFluidFreezingOrViscosityControlPresent | https://w3id.org/nltl/vocab#openingActuationType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a4b7eb8f078489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RUN-IMO-041-20260819T170248442585Z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RUN-IMO-041-20260819T170248442585Z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RUN-IMO-041-20260819T170248442585Z</x:v>
      </x:c>
      <x:c r="B5" s="45" t="str">
        <x:v>IMO-041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216c572cb3c6e9a69be5dc7d8d05783a34883e239ae10b1c86478eb94b80e98e</x:v>
      </x:c>
      <x:c r="G5" s="58" t="n">
        <x:v>7663</x:v>
      </x:c>
    </x:row>
    <x:row r="6">
      <x:c r="A6" s="47" t="str">
        <x:v>RUN-IMO-041-20260819T170248442585Z</x:v>
      </x:c>
      <x:c r="B6" s="47" t="str">
        <x:v>IMO-041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RUN-IMO-041-20260819T170248442585Z</x:v>
      </x:c>
      <x:c r="B7" s="47" t="str">
        <x:v>IMO-041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12d686d41340abee9298b14e8457b779744365d201250d720ee380771de6281c</x:v>
      </x:c>
      <x:c r="G7" s="59" t="n">
        <x:v>20013</x:v>
      </x:c>
    </x:row>
    <x:row r="8">
      <x:c r="A8" s="47" t="str">
        <x:v>RUN-IMO-041-20260819T170248442585Z</x:v>
      </x:c>
      <x:c r="B8" s="47" t="str">
        <x:v>IMO-041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cc50d8b1627e23789fc16286f6c893e0f788108d81f3c3f75161117bd45e5eb7</x:v>
      </x:c>
      <x:c r="G8" s="59" t="n">
        <x:v>1195</x:v>
      </x:c>
    </x:row>
    <x:row r="9">
      <x:c r="A9" s="47" t="str">
        <x:v>RUN-IMO-041-20260819T170248442585Z</x:v>
      </x:c>
      <x:c r="B9" s="47" t="str">
        <x:v>IMO-041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6429b392be9e75afd211320f75454e5d3f7acb4cb1f2fa019ec9149ad4b54854</x:v>
      </x:c>
      <x:c r="G9" s="59" t="n">
        <x:v>1170</x:v>
      </x:c>
    </x:row>
    <x:row r="10">
      <x:c r="A10" s="47" t="str">
        <x:v>RUN-IMO-041-20260819T170248442585Z</x:v>
      </x:c>
      <x:c r="B10" s="47" t="str">
        <x:v>IMO-041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6090a9445dc2f41a33131b8c4acd368881b05b735556989fc31a6e54a0e6043b</x:v>
      </x:c>
      <x:c r="G10" s="59" t="n">
        <x:v>568</x:v>
      </x:c>
    </x:row>
    <x:row r="11">
      <x:c r="A11" s="47" t="str">
        <x:v>RUN-IMO-041-20260819T170248442585Z</x:v>
      </x:c>
      <x:c r="B11" s="47" t="str">
        <x:v>IMO-041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e3fde1ec585db9f3f594d310384d04f16636b7d51961142ca467244f980478b0</x:v>
      </x:c>
      <x:c r="G11" s="59" t="n">
        <x:v>15747</x:v>
      </x:c>
    </x:row>
    <x:row r="12">
      <x:c r="A12" s="47" t="str">
        <x:v>RUN-IMO-041-20260819T170248442585Z</x:v>
      </x:c>
      <x:c r="B12" s="47" t="str">
        <x:v>IMO-041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1c956efe0629dada4e807bda78b1d58ae79cd796f81e7eed1c47f01cca626ce5</x:v>
      </x:c>
      <x:c r="G12" s="59" t="n">
        <x:v>509</x:v>
      </x:c>
    </x:row>
    <x:row r="13">
      <x:c r="A13" s="47" t="str">
        <x:v>RUN-IMO-041-20260819T170248442585Z</x:v>
      </x:c>
      <x:c r="B13" s="47" t="str">
        <x:v>IMO-041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f240cdfbbcc0d34ba9a6fb93dbefa58d9ef625b782f248262ab4ea8fc9b1fe71</x:v>
      </x:c>
      <x:c r="G13" s="59" t="n">
        <x:v>20457</x:v>
      </x:c>
    </x:row>
    <x:row r="14">
      <x:c r="A14" s="47" t="str">
        <x:v>RUN-IMO-041-20260819T170248442585Z</x:v>
      </x:c>
      <x:c r="B14" s="47" t="str">
        <x:v>IMO-041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c65a2af08132d3398dd39b8cd8aaa6e084bfe84d9f084486e7f41226d6f737c1</x:v>
      </x:c>
      <x:c r="G14" s="59" t="n">
        <x:v>1048</x:v>
      </x:c>
    </x:row>
    <x:row r="15">
      <x:c r="A15" s="47" t="str">
        <x:v>RUN-IMO-041-20260819T170248442585Z</x:v>
      </x:c>
      <x:c r="B15" s="47" t="str">
        <x:v>IMO-041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79705f0aef8b5fbd5d2df288dc327f4479e9ef62c6bbad3a2d3fee57b571e673</x:v>
      </x:c>
      <x:c r="G15" s="59" t="n">
        <x:v>1023</x:v>
      </x:c>
    </x:row>
    <x:row r="16">
      <x:c r="A16" s="47" t="str">
        <x:v>RUN-IMO-041-20260819T170248442585Z</x:v>
      </x:c>
      <x:c r="B16" s="47" t="str">
        <x:v>IMO-041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6090a9445dc2f41a33131b8c4acd368881b05b735556989fc31a6e54a0e6043b</x:v>
      </x:c>
      <x:c r="G16" s="59" t="n">
        <x:v>568</x:v>
      </x:c>
    </x:row>
    <x:row r="17">
      <x:c r="A17" s="47" t="str">
        <x:v>RUN-IMO-041-20260819T170248442585Z</x:v>
      </x:c>
      <x:c r="B17" s="47" t="str">
        <x:v>IMO-041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5bb95dc9d0c3269dfcd93d0dfbee8aeffc545b21b9db13b31db0891f8bfad9af</x:v>
      </x:c>
      <x:c r="G17" s="59" t="n">
        <x:v>16051</x:v>
      </x:c>
    </x:row>
    <x:row r="18">
      <x:c r="A18" s="47" t="str">
        <x:v>RUN-IMO-041-20260819T170248442585Z</x:v>
      </x:c>
      <x:c r="B18" s="47" t="str">
        <x:v>IMO-041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fd54b1cfc9e2401ef82ba52027e3f2c88e3cc300204e658438a6b526e64d90ec</x:v>
      </x:c>
      <x:c r="G18" s="59" t="n">
        <x:v>183</x:v>
      </x:c>
    </x:row>
    <x:row r="19">
      <x:c r="A19" s="49" t="str">
        <x:v>RUN-IMO-041-20260819T170248442585Z</x:v>
      </x:c>
      <x:c r="B19" s="49" t="str">
        <x:v>IMO-041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79705f0aef8b5fbd5d2df288dc327f4479e9ef62c6bbad3a2d3fee57b571e673</x:v>
      </x:c>
      <x:c r="G19" s="60" t="n">
        <x:v>1023</x:v>
      </x:c>
    </x:row>
  </x:sheetData>
  <x:pageMargins left="0.7" right="0.7" top="0.75" bottom="0.75" header="0.3" footer="0.3"/>
  <x:tableParts count="1">
    <x:tablePart xmlns:r="http://schemas.openxmlformats.org/officeDocument/2006/relationships" r:id="R6bbece6653444b4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RUN-IMO-041-20260819T170248442585Z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RUN-IMO-041-20260819T170248442585Z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RUN-IMO-041-20260819T170248442585Z</x:v>
      </x:c>
      <x:c r="B5" s="69" t="str">
        <x:v>IMO-041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6b861032ae4dcf"/>
  </x:tableParts>
</x:worksheet>
</file>