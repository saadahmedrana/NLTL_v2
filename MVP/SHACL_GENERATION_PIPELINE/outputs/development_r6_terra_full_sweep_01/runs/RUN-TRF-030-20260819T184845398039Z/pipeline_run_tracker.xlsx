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c1bddbfd7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ae2cf9919f4a4d"/>
    <x:sheet xmlns:r="http://schemas.openxmlformats.org/officeDocument/2006/relationships" name="README" sheetId="2" r:id="Rd1fb5b73182643c3"/>
    <x:sheet xmlns:r="http://schemas.openxmlformats.org/officeDocument/2006/relationships" name="REGULATION_QUEUE" sheetId="3" r:id="R0524a7d3630a48e4"/>
    <x:sheet xmlns:r="http://schemas.openxmlformats.org/officeDocument/2006/relationships" name="RUNS" sheetId="4" r:id="R57cbec2f324c494b"/>
    <x:sheet xmlns:r="http://schemas.openxmlformats.org/officeDocument/2006/relationships" name="ITERATIONS" sheetId="5" r:id="R52f7e9a51b4f4ec4"/>
    <x:sheet xmlns:r="http://schemas.openxmlformats.org/officeDocument/2006/relationships" name="API_CALLS" sheetId="6" r:id="R72cfa2793e4f4d54"/>
    <x:sheet xmlns:r="http://schemas.openxmlformats.org/officeDocument/2006/relationships" name="TERM_RETRIEVAL" sheetId="7" r:id="R1facbeb488254395"/>
    <x:sheet xmlns:r="http://schemas.openxmlformats.org/officeDocument/2006/relationships" name="FEW_SHOT_SELECTION" sheetId="8" r:id="Ra41ed822ac554035"/>
    <x:sheet xmlns:r="http://schemas.openxmlformats.org/officeDocument/2006/relationships" name="VALIDATION" sheetId="9" r:id="Ra230098536f141d6"/>
    <x:sheet xmlns:r="http://schemas.openxmlformats.org/officeDocument/2006/relationships" name="VOCAB_MATCHES" sheetId="10" r:id="R9dee6d06a92e4c23"/>
    <x:sheet xmlns:r="http://schemas.openxmlformats.org/officeDocument/2006/relationships" name="ARTIFACTS" sheetId="11" r:id="R6b17643ae9ee4cf1"/>
    <x:sheet xmlns:r="http://schemas.openxmlformats.org/officeDocument/2006/relationships" name="UNRESOLVED" sheetId="12" r:id="Ra77c7b91d5304bc4"/>
    <x:sheet xmlns:r="http://schemas.openxmlformats.org/officeDocument/2006/relationships" name="RDF_TEST_QUEUE" sheetId="13" r:id="Rf9fc68dccf11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efdaee1f848f3" /><Relationship Type="http://schemas.openxmlformats.org/officeDocument/2006/relationships/theme" Target="/xl/theme/theme1.xml" Id="R407541e1fd774261" /><Relationship Type="http://schemas.microsoft.com/office/2022/11/relationships/FeaturePropertyBag" Target="/xl/featurePropertyBag/featurePropertyBag.xml" Id="R540f2a3d48fa4f0f" /><Relationship Type="http://schemas.openxmlformats.org/officeDocument/2006/relationships/sharedStrings" Target="/xl/sharedStrings.xml" Id="Rf542c02626214a19" /><Relationship Type="http://schemas.openxmlformats.org/officeDocument/2006/relationships/worksheet" Target="/xl/worksheets/sheet1.xml" Id="R46ae2cf9919f4a4d" /><Relationship Type="http://schemas.openxmlformats.org/officeDocument/2006/relationships/worksheet" Target="/xl/worksheets/sheet2.xml" Id="Rd1fb5b73182643c3" /><Relationship Type="http://schemas.openxmlformats.org/officeDocument/2006/relationships/worksheet" Target="/xl/worksheets/sheet3.xml" Id="R0524a7d3630a48e4" /><Relationship Type="http://schemas.openxmlformats.org/officeDocument/2006/relationships/worksheet" Target="/xl/worksheets/sheet4.xml" Id="R57cbec2f324c494b" /><Relationship Type="http://schemas.openxmlformats.org/officeDocument/2006/relationships/worksheet" Target="/xl/worksheets/sheet5.xml" Id="R52f7e9a51b4f4ec4" /><Relationship Type="http://schemas.openxmlformats.org/officeDocument/2006/relationships/worksheet" Target="/xl/worksheets/sheet6.xml" Id="R72cfa2793e4f4d54" /><Relationship Type="http://schemas.openxmlformats.org/officeDocument/2006/relationships/worksheet" Target="/xl/worksheets/sheet7.xml" Id="R1facbeb488254395" /><Relationship Type="http://schemas.openxmlformats.org/officeDocument/2006/relationships/worksheet" Target="/xl/worksheets/sheet8.xml" Id="Ra41ed822ac554035" /><Relationship Type="http://schemas.openxmlformats.org/officeDocument/2006/relationships/worksheet" Target="/xl/worksheets/sheet9.xml" Id="Ra230098536f141d6" /><Relationship Type="http://schemas.openxmlformats.org/officeDocument/2006/relationships/worksheet" Target="/xl/worksheets/sheet10.xml" Id="R9dee6d06a92e4c23" /><Relationship Type="http://schemas.openxmlformats.org/officeDocument/2006/relationships/worksheet" Target="/xl/worksheets/sheet11.xml" Id="R6b17643ae9ee4cf1" /><Relationship Type="http://schemas.openxmlformats.org/officeDocument/2006/relationships/worksheet" Target="/xl/worksheets/sheet12.xml" Id="Ra77c7b91d5304bc4" /><Relationship Type="http://schemas.openxmlformats.org/officeDocument/2006/relationships/worksheet" Target="/xl/worksheets/sheet13.xml" Id="Rf9fc68dccf114b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8a2a0f5b2e42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cab5fa19c440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555ceb230e4c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b6c7602cb44c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1c04589cfe41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d870186c1848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0fbafbe9ba42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35e0f4700249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6c98b51c8441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e138eb05424c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RUN-TRF-030-20260819T184845398039Z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37971.30625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RUN-TRF-030-20260819T184845398039Z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8a2a0f5b2e42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RUN-TRF-030-20260819T184845398039Z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GENERATION_ACCEPTED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ab5fa19c440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RUN-TRF-030-20260819T184845398039Z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RUN-TRF-030-20260819T184845398039Z</x:v>
      </x:c>
      <x:c r="C5" s="69" t="str">
        <x:v>TRF-030</x:v>
      </x:c>
      <x:c r="D5" s="70" t="n">
        <x:v>46253.78385878472</x:v>
      </x:c>
      <x:c r="E5" s="70" t="n">
        <x:v>46253.78562475694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ship-targeted direct-analysis requirement, including mandatory per-case load-patch length, required position/evidence properties, UIWL and LIWL formula checks, distinct intermediate and horizontal locations, mandatory mid-span-or-spacing case, 1.8p applied-pressure formula with expected-result-scaled tolerance, and the conditional distinct la/paired ca cases.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55ceb230e4c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RUN-TRF-030-20260819T184845398039Z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RUN-TRF-030-20260819T184845398039Z</x:v>
      </x:c>
      <x:c r="B5" s="45" t="str">
        <x:v>TRF-030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nltl:loadPatchLength (with the existing length quantity/unit shape) on every nltl:directAnalysisCase, not only in the false branch: every direct analysis uses the defined p, h and la load patch. Retain the false-arrangement branch to require several case-node pairings of that mandatory loadPatchLength with nltl:iceLoadAreaFactorCa. Also enforce several distinct horizontal load locations rather than merely requiring horizontal position values on four cases and one mid-span/spacing type; require at least two distinct horizontal-position values/cases while retaining at least one nltl:midSpanOrSpacingCenteredPosition case. Move the LIWL-minus-0.5h formula constraint to the ship shape so $this is the required ship owner of nltl:loadPatchHeight and the query traverses $this nltl:hasDirectAnalysisCase ?case; the current case-shape query can use any ?ship linked to the case and can accidentally pass with a different ship's height.</x:v>
      </x:c>
      <x:c r="I5" s="81" t="n">
        <x:v>53576.603</x:v>
      </x:c>
      <x:c r="J5" s="81" t="n">
        <x:v>19952.093</x:v>
      </x:c>
    </x:row>
    <x:row r="6">
      <x:c r="A6" s="49" t="str">
        <x:v>RUN-TRF-030-20260819T184845398039Z</x:v>
      </x:c>
      <x:c r="B6" s="49" t="str">
        <x:v>TRF-030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ship-targeted direct-analysis requirement, including mandatory per-case load-patch length, required position/evidence properties, UIWL and LIWL formula checks, distinct intermediate and horizontal locations, mandatory mid-span-or-spacing case, 1.8p applied-pressure formula with expected-result-scaled tolerance, and the conditional distinct la/paired ca cases.</x:v>
      </x:c>
      <x:c r="I6" s="83" t="n">
        <x:v>53346.165</x:v>
      </x:c>
      <x:c r="J6" s="83" t="n">
        <x:v>25013.974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6c7602cb44c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RUN-TRF-030-20260819T184845398039Z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RUN-TRF-030-20260819T184845398039Z</x:v>
      </x:c>
      <x:c r="C5" s="45" t="str">
        <x:v>TRF-030</x:v>
      </x:c>
      <x:c r="D5" s="90" t="n">
        <x:v>46253.784478912035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53574.821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RUN-TRF-030-20260819T184845398039Z</x:v>
      </x:c>
      <x:c r="C6" s="47" t="str">
        <x:v>TRF-030</x:v>
      </x:c>
      <x:c r="D6" s="91" t="n">
        <x:v>46253.78447893519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53576.603</x:v>
      </x:c>
      <x:c r="L6" s="93" t="b">
        <x:v>0</x:v>
      </x:c>
      <x:c r="M6" s="47" t="str">
        <x:v>resp_0c2939d5e7740360006a85fa8d84a881979b49919d372cca2c</x:v>
      </x:c>
      <x:c r="N6" s="59" t="n">
        <x:v>13277</x:v>
      </x:c>
      <x:c r="O6" s="59" t="n">
        <x:v>4469</x:v>
      </x:c>
      <x:c r="P6" s="59" t="n">
        <x:v>17746</x:v>
      </x:c>
    </x:row>
    <x:row r="7">
      <x:c r="A7" s="47" t="str">
        <x:v>EVT-000045</x:v>
      </x:c>
      <x:c r="B7" s="47" t="str">
        <x:v>RUN-TRF-030-20260819T184845398039Z</x:v>
      </x:c>
      <x:c r="C7" s="47" t="str">
        <x:v>TRF-030</x:v>
      </x:c>
      <x:c r="D7" s="91" t="n">
        <x:v>46253.78471342593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19950.268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RUN-TRF-030-20260819T184845398039Z</x:v>
      </x:c>
      <x:c r="C8" s="47" t="str">
        <x:v>TRF-030</x:v>
      </x:c>
      <x:c r="D8" s="91" t="n">
        <x:v>46253.78471344907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19952.093</x:v>
      </x:c>
      <x:c r="L8" s="93" t="b">
        <x:v>0</x:v>
      </x:c>
      <x:c r="M8" s="47" t="str">
        <x:v>resp_07eed30a67ff26c8006a85fac39b388197840c406207109bb1</x:v>
      </x:c>
      <x:c r="N8" s="59" t="n">
        <x:v>16302</x:v>
      </x:c>
      <x:c r="O8" s="59" t="n">
        <x:v>1674</x:v>
      </x:c>
      <x:c r="P8" s="59" t="n">
        <x:v>17976</x:v>
      </x:c>
    </x:row>
    <x:row r="9">
      <x:c r="A9" s="47" t="str">
        <x:v>EVT-000051</x:v>
      </x:c>
      <x:c r="B9" s="47" t="str">
        <x:v>RUN-TRF-030-20260819T184845398039Z</x:v>
      </x:c>
      <x:c r="C9" s="47" t="str">
        <x:v>TRF-030</x:v>
      </x:c>
      <x:c r="D9" s="91" t="n">
        <x:v>46253.7853309375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53344.229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RUN-TRF-030-20260819T184845398039Z</x:v>
      </x:c>
      <x:c r="C10" s="47" t="str">
        <x:v>TRF-030</x:v>
      </x:c>
      <x:c r="D10" s="91" t="n">
        <x:v>46253.78533096065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53346.165</x:v>
      </x:c>
      <x:c r="L10" s="93" t="b">
        <x:v>0</x:v>
      </x:c>
      <x:c r="M10" s="47" t="str">
        <x:v>resp_01a5280789238125006a85fad75ab4819681f7f4bc9e13e43f</x:v>
      </x:c>
      <x:c r="N10" s="59" t="n">
        <x:v>13484</x:v>
      </x:c>
      <x:c r="O10" s="59" t="n">
        <x:v>5714</x:v>
      </x:c>
      <x:c r="P10" s="59" t="n">
        <x:v>19198</x:v>
      </x:c>
    </x:row>
    <x:row r="11">
      <x:c r="A11" s="47" t="str">
        <x:v>EVT-000059</x:v>
      </x:c>
      <x:c r="B11" s="47" t="str">
        <x:v>RUN-TRF-030-20260819T184845398039Z</x:v>
      </x:c>
      <x:c r="C11" s="47" t="str">
        <x:v>TRF-030</x:v>
      </x:c>
      <x:c r="D11" s="91" t="n">
        <x:v>46253.785624675926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25012.297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EVT-000060</x:v>
      </x:c>
      <x:c r="B12" s="49" t="str">
        <x:v>RUN-TRF-030-20260819T184845398039Z</x:v>
      </x:c>
      <x:c r="C12" s="49" t="str">
        <x:v>TRF-030</x:v>
      </x:c>
      <x:c r="D12" s="94" t="n">
        <x:v>46253.78562469907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25013.974</x:v>
      </x:c>
      <x:c r="L12" s="82" t="b">
        <x:v>0</x:v>
      </x:c>
      <x:c r="M12" s="49" t="str">
        <x:v>resp_0e270680ce1fc550006a85fb0d2bc08190ab155e8518fa0233</x:v>
      </x:c>
      <x:c r="N12" s="60" t="n">
        <x:v>17428</x:v>
      </x:c>
      <x:c r="O12" s="60" t="n">
        <x:v>1948</x:v>
      </x:c>
      <x:c r="P12" s="60" t="n">
        <x:v>19376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c04589cfe41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RUN-TRF-030-20260819T184845398039Z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RUN-TRF-030-20260819T184845398039Z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RUN-TRF-030-20260819T184845398039Z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RUN-TRF-030-20260819T184845398039Z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RUN-TRF-030-20260819T184845398039Z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RUN-TRF-030-20260819T184845398039Z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RUN-TRF-030-20260819T184845398039Z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RUN-TRF-030-20260819T184845398039Z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RUN-TRF-030-20260819T184845398039Z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RUN-TRF-030-20260819T184845398039Z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RUN-TRF-030-20260819T184845398039Z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RUN-TRF-030-20260819T184845398039Z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RUN-TRF-030-20260819T184845398039Z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RUN-TRF-030-20260819T184845398039Z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RUN-TRF-030-20260819T184845398039Z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RUN-TRF-030-20260819T184845398039Z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RUN-TRF-030-20260819T184845398039Z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RUN-TRF-030-20260819T184845398039Z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RUN-TRF-030-20260819T184845398039Z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RUN-TRF-030-20260819T184845398039Z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RUN-TRF-030-20260819T184845398039Z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RUN-TRF-030-20260819T184845398039Z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RUN-TRF-030-20260819T184845398039Z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RUN-TRF-030-20260819T184845398039Z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RUN-TRF-030-20260819T184845398039Z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RUN-TRF-030-20260819T184845398039Z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RUN-TRF-030-20260819T184845398039Z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RUN-TRF-030-20260819T184845398039Z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RUN-TRF-030-20260819T184845398039Z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RUN-TRF-030-20260819T184845398039Z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d870186c1848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RUN-TRF-030-20260819T184845398039Z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RUN-TRF-030-20260819T184845398039Z</x:v>
      </x:c>
      <x:c r="B5" s="45" t="str">
        <x:v>TRF-030</x:v>
      </x:c>
      <x:c r="C5" s="45" t="str">
        <x:v>FS-CALC-02</x:v>
      </x:c>
      <x:c r="D5" s="45" t="str">
        <x:v>comparison_calculation</x:v>
      </x:c>
      <x:c r="E5" s="97" t="n">
        <x:v>0.044444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RUN-TRF-030-20260819T184845398039Z</x:v>
      </x:c>
      <x:c r="B6" s="49" t="str">
        <x:v>TRF-030</x:v>
      </x:c>
      <x:c r="C6" s="49" t="str">
        <x:v>FS-BOOL-01</x:v>
      </x:c>
      <x:c r="D6" s="49" t="str">
        <x:v>boolean_state</x:v>
      </x:c>
      <x:c r="E6" s="98" t="n">
        <x:v>0.032967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0fbafbe9ba42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RUN-TRF-030-20260819T184845398039Z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RUN-TRF-030-20260819T184845398039Z</x:v>
      </x:c>
      <x:c r="B5" s="45" t="str">
        <x:v>TRF-030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https://w3id.org/nltl/vocab#lowerIceWaterlineReferencePosition | https://w3id.org/nltl/vocab#midSpanOrSpacingCenteredPosition | https://w3id.org/nltl/vocab#otherHorizontalPosition | https://w3id.org/nltl/vocab#ship | https://w3id.org/nltl/vocab#upperIceWaterlineCenteredPosition | https://w3id.org/nltl/vocab#upperIceWaterlineReferencePosition | https://w3id.org/nltl/vocab#verticalLoadPosition | https://w3id.org/nltl/vocab#verticalLoadPositionType</x:v>
      </x:c>
      <x:c r="O5" s="46" t="str"/>
      <x:c r="P5" s="46" t="str"/>
      <x:c r="Q5" s="46" t="str"/>
    </x:row>
    <x:row r="6">
      <x:c r="A6" s="49" t="str">
        <x:v>RUN-TRF-030-20260819T184845398039Z</x:v>
      </x:c>
      <x:c r="B6" s="49" t="str">
        <x:v>TRF-030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https://w3id.org/nltl/vocab#lowerIceWaterlineReferencePosition | https://w3id.org/nltl/vocab#midSpanOrSpacingCenteredPosition | https://w3id.org/nltl/vocab#otherHorizontalPosition | https://w3id.org/nltl/vocab#ship | https://w3id.org/nltl/vocab#upperIceWaterlineCenteredPosition | https://w3id.org/nltl/vocab#upperIceWaterlineReferencePosition | https://w3id.org/nltl/vocab#verticalLoadPosition | https://w3id.org/nltl/vocab#verticalLoadPositionType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335e0f4700249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RUN-TRF-030-20260819T184845398039Z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RUN-TRF-030-20260819T184845398039Z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RUN-TRF-030-20260819T184845398039Z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6b85ef5626231d2c5d587cdacbfb889cf4d15a7cd55c64a594bd4245a986afc5</x:v>
      </x:c>
      <x:c r="G5" s="58" t="n">
        <x:v>42657</x:v>
      </x:c>
    </x:row>
    <x:row r="6">
      <x:c r="A6" s="47" t="str">
        <x:v>RUN-TRF-030-20260819T184845398039Z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926f6a1f73344c2489e3469ca1bd3c890abae54715288d9f1b5593a681b455c0</x:v>
      </x:c>
      <x:c r="G6" s="59" t="n">
        <x:v>4749</x:v>
      </x:c>
    </x:row>
    <x:row r="7">
      <x:c r="A7" s="47" t="str">
        <x:v>RUN-TRF-030-20260819T184845398039Z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57a563203487d1c75f369e5c406102eff62ed3c87af4a8ff895dfcfe024c1e4c</x:v>
      </x:c>
      <x:c r="G7" s="59" t="n">
        <x:v>56686</x:v>
      </x:c>
    </x:row>
    <x:row r="8">
      <x:c r="A8" s="47" t="str">
        <x:v>RUN-TRF-030-20260819T184845398039Z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aebc12cd9eb3d4c38a9c6a635271f69e9c797f49f6213a05cc9315e171067875</x:v>
      </x:c>
      <x:c r="G8" s="59" t="n">
        <x:v>8801</x:v>
      </x:c>
    </x:row>
    <x:row r="9">
      <x:c r="A9" s="47" t="str">
        <x:v>RUN-TRF-030-20260819T184845398039Z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c0c07b9920704aeb179206e7ed94a5f6ed44d4146e718581e21b017537283d23</x:v>
      </x:c>
      <x:c r="G9" s="59" t="n">
        <x:v>8776</x:v>
      </x:c>
    </x:row>
    <x:row r="10">
      <x:c r="A10" s="47" t="str">
        <x:v>RUN-TRF-030-20260819T184845398039Z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c2c4dc315a0e04d68ad78030b997e7b0586bd93a8ae6a61d6c7e0d0e6fdca38b</x:v>
      </x:c>
      <x:c r="G10" s="59" t="n">
        <x:v>1728</x:v>
      </x:c>
    </x:row>
    <x:row r="11">
      <x:c r="A11" s="47" t="str">
        <x:v>RUN-TRF-030-20260819T184845398039Z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7036cf4e1027994157b40974d170cefded7799dd85246ed22bf2d72525d2278a</x:v>
      </x:c>
      <x:c r="G11" s="59" t="n">
        <x:v>66493</x:v>
      </x:c>
    </x:row>
    <x:row r="12">
      <x:c r="A12" s="47" t="str">
        <x:v>RUN-TRF-030-20260819T184845398039Z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65fd2b976090ff604e2701f36188e72bf216a42cdf116bb2dbbf8ff1c6ed5b01</x:v>
      </x:c>
      <x:c r="G12" s="59" t="n">
        <x:v>1008</x:v>
      </x:c>
    </x:row>
    <x:row r="13">
      <x:c r="A13" s="47" t="str">
        <x:v>RUN-TRF-030-20260819T184845398039Z</x:v>
      </x:c>
      <x:c r="B13" s="47" t="str">
        <x:v>TRF-030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8c24d60cf19cc177f0b9522d328f8d074b0a2eeb4e20f3b6a9fcf4e0b340cbf9</x:v>
      </x:c>
      <x:c r="G13" s="59" t="n">
        <x:v>57629</x:v>
      </x:c>
    </x:row>
    <x:row r="14">
      <x:c r="A14" s="47" t="str">
        <x:v>RUN-TRF-030-20260819T184845398039Z</x:v>
      </x:c>
      <x:c r="B14" s="47" t="str">
        <x:v>TRF-030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5e3062a8ed22b62c2f8fe783a6dfa40482d208f812737ad5042db68f91f94d3e</x:v>
      </x:c>
      <x:c r="G14" s="59" t="n">
        <x:v>12039</x:v>
      </x:c>
    </x:row>
    <x:row r="15">
      <x:c r="A15" s="47" t="str">
        <x:v>RUN-TRF-030-20260819T184845398039Z</x:v>
      </x:c>
      <x:c r="B15" s="47" t="str">
        <x:v>TRF-030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b1975282de3eedb4f60a6803a58ac53e3df72e995888073d5095aeb14aab8b9b</x:v>
      </x:c>
      <x:c r="G15" s="59" t="n">
        <x:v>12014</x:v>
      </x:c>
    </x:row>
    <x:row r="16">
      <x:c r="A16" s="47" t="str">
        <x:v>RUN-TRF-030-20260819T184845398039Z</x:v>
      </x:c>
      <x:c r="B16" s="47" t="str">
        <x:v>TRF-030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c2c4dc315a0e04d68ad78030b997e7b0586bd93a8ae6a61d6c7e0d0e6fdca38b</x:v>
      </x:c>
      <x:c r="G16" s="59" t="n">
        <x:v>1728</x:v>
      </x:c>
    </x:row>
    <x:row r="17">
      <x:c r="A17" s="47" t="str">
        <x:v>RUN-TRF-030-20260819T184845398039Z</x:v>
      </x:c>
      <x:c r="B17" s="47" t="str">
        <x:v>TRF-030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7a59efa28c7807da673b3b47da6ac67cd932884410d1715cf5f6470e7b4c8904</x:v>
      </x:c>
      <x:c r="G17" s="59" t="n">
        <x:v>70781</x:v>
      </x:c>
    </x:row>
    <x:row r="18">
      <x:c r="A18" s="47" t="str">
        <x:v>RUN-TRF-030-20260819T184845398039Z</x:v>
      </x:c>
      <x:c r="B18" s="47" t="str">
        <x:v>TRF-030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92b440369248370e2b79ae27a72221ec33bb227e43c5c3d57a8f276962280c2c</x:v>
      </x:c>
      <x:c r="G18" s="59" t="n">
        <x:v>466</x:v>
      </x:c>
    </x:row>
    <x:row r="19">
      <x:c r="A19" s="49" t="str">
        <x:v>RUN-TRF-030-20260819T184845398039Z</x:v>
      </x:c>
      <x:c r="B19" s="49" t="str">
        <x:v>TRF-030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b1975282de3eedb4f60a6803a58ac53e3df72e995888073d5095aeb14aab8b9b</x:v>
      </x:c>
      <x:c r="G19" s="60" t="n">
        <x:v>12014</x:v>
      </x:c>
    </x:row>
  </x:sheetData>
  <x:pageMargins left="0.7" right="0.7" top="0.75" bottom="0.75" header="0.3" footer="0.3"/>
  <x:tableParts count="1">
    <x:tablePart xmlns:r="http://schemas.openxmlformats.org/officeDocument/2006/relationships" r:id="R996c98b51c8441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RUN-TRF-030-20260819T184845398039Z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RUN-TRF-030-20260819T184845398039Z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RUN-TRF-030-20260819T184845398039Z</x:v>
      </x:c>
      <x:c r="B5" s="69" t="str">
        <x:v>TRF-030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138eb05424c8b"/>
  </x:tableParts>
</x:worksheet>
</file>