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92846ff3f246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e2ec1cc5e7b4494"/>
    <x:sheet xmlns:r="http://schemas.openxmlformats.org/officeDocument/2006/relationships" name="README" sheetId="2" r:id="R32ab759cd5634a53"/>
    <x:sheet xmlns:r="http://schemas.openxmlformats.org/officeDocument/2006/relationships" name="REGULATION_QUEUE" sheetId="3" r:id="R7f1b35f466c24ea6"/>
    <x:sheet xmlns:r="http://schemas.openxmlformats.org/officeDocument/2006/relationships" name="RUNS" sheetId="4" r:id="Rc1810e7c86cf44b1"/>
    <x:sheet xmlns:r="http://schemas.openxmlformats.org/officeDocument/2006/relationships" name="ITERATIONS" sheetId="5" r:id="R907d49d68f8b4902"/>
    <x:sheet xmlns:r="http://schemas.openxmlformats.org/officeDocument/2006/relationships" name="API_CALLS" sheetId="6" r:id="Rbd80dd969131406d"/>
    <x:sheet xmlns:r="http://schemas.openxmlformats.org/officeDocument/2006/relationships" name="TERM_RETRIEVAL" sheetId="7" r:id="R048ff411a49c4b1b"/>
    <x:sheet xmlns:r="http://schemas.openxmlformats.org/officeDocument/2006/relationships" name="FEW_SHOT_SELECTION" sheetId="8" r:id="R540455b6716f4841"/>
    <x:sheet xmlns:r="http://schemas.openxmlformats.org/officeDocument/2006/relationships" name="VALIDATION" sheetId="9" r:id="R47cd19b04ec04eaf"/>
    <x:sheet xmlns:r="http://schemas.openxmlformats.org/officeDocument/2006/relationships" name="VOCAB_MATCHES" sheetId="10" r:id="R7f946d9db78f44b4"/>
    <x:sheet xmlns:r="http://schemas.openxmlformats.org/officeDocument/2006/relationships" name="ARTIFACTS" sheetId="11" r:id="R0c5f6d7e2e8a4c80"/>
    <x:sheet xmlns:r="http://schemas.openxmlformats.org/officeDocument/2006/relationships" name="UNRESOLVED" sheetId="12" r:id="Rf1ec637c47034620"/>
    <x:sheet xmlns:r="http://schemas.openxmlformats.org/officeDocument/2006/relationships" name="RDF_TEST_QUEUE" sheetId="13" r:id="Reca14033472b47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716d5429894561" /><Relationship Type="http://schemas.openxmlformats.org/officeDocument/2006/relationships/theme" Target="/xl/theme/theme1.xml" Id="Rd4c361e0bce345b4" /><Relationship Type="http://schemas.microsoft.com/office/2022/11/relationships/FeaturePropertyBag" Target="/xl/featurePropertyBag/featurePropertyBag.xml" Id="Rbf1259db63c64d33" /><Relationship Type="http://schemas.openxmlformats.org/officeDocument/2006/relationships/sharedStrings" Target="/xl/sharedStrings.xml" Id="R93683d4515614464" /><Relationship Type="http://schemas.openxmlformats.org/officeDocument/2006/relationships/worksheet" Target="/xl/worksheets/sheet1.xml" Id="R8e2ec1cc5e7b4494" /><Relationship Type="http://schemas.openxmlformats.org/officeDocument/2006/relationships/worksheet" Target="/xl/worksheets/sheet2.xml" Id="R32ab759cd5634a53" /><Relationship Type="http://schemas.openxmlformats.org/officeDocument/2006/relationships/worksheet" Target="/xl/worksheets/sheet3.xml" Id="R7f1b35f466c24ea6" /><Relationship Type="http://schemas.openxmlformats.org/officeDocument/2006/relationships/worksheet" Target="/xl/worksheets/sheet4.xml" Id="Rc1810e7c86cf44b1" /><Relationship Type="http://schemas.openxmlformats.org/officeDocument/2006/relationships/worksheet" Target="/xl/worksheets/sheet5.xml" Id="R907d49d68f8b4902" /><Relationship Type="http://schemas.openxmlformats.org/officeDocument/2006/relationships/worksheet" Target="/xl/worksheets/sheet6.xml" Id="Rbd80dd969131406d" /><Relationship Type="http://schemas.openxmlformats.org/officeDocument/2006/relationships/worksheet" Target="/xl/worksheets/sheet7.xml" Id="R048ff411a49c4b1b" /><Relationship Type="http://schemas.openxmlformats.org/officeDocument/2006/relationships/worksheet" Target="/xl/worksheets/sheet8.xml" Id="R540455b6716f4841" /><Relationship Type="http://schemas.openxmlformats.org/officeDocument/2006/relationships/worksheet" Target="/xl/worksheets/sheet9.xml" Id="R47cd19b04ec04eaf" /><Relationship Type="http://schemas.openxmlformats.org/officeDocument/2006/relationships/worksheet" Target="/xl/worksheets/sheet10.xml" Id="R7f946d9db78f44b4" /><Relationship Type="http://schemas.openxmlformats.org/officeDocument/2006/relationships/worksheet" Target="/xl/worksheets/sheet11.xml" Id="R0c5f6d7e2e8a4c80" /><Relationship Type="http://schemas.openxmlformats.org/officeDocument/2006/relationships/worksheet" Target="/xl/worksheets/sheet12.xml" Id="Rf1ec637c47034620" /><Relationship Type="http://schemas.openxmlformats.org/officeDocument/2006/relationships/worksheet" Target="/xl/worksheets/sheet13.xml" Id="Reca14033472b471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3d8f51c47340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3d643a317842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691767ebb0544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d17ec58ce934eb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3d455c654e54fa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649a36407c1445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6be7b331fd9458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c615b1d4011481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f97e055a4cd43e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6193d9e8de64ff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8b4fbebef0f4c9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RUN-TRF-031-20260819T185128400480Z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13543.452166666668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RUN-TRF-031-20260819T185128400480Z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53d8f51c47340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RUN-TRF-031-20260819T185128400480Z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TERM_RESOLUTION_UNRESOLVED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3d643a3178428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RUN-TRF-031-20260819T185128400480Z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RUN-TRF-031-20260819T185128400480Z</x:v>
      </x:c>
      <x:c r="C5" s="69" t="str">
        <x:v>TRF-031</x:v>
      </x:c>
      <x:c r="D5" s="70" t="n">
        <x:v>46253.785745381945</x:v>
      </x:c>
      <x:c r="E5" s="70" t="n">
        <x:v>46253.786229375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is semantically verified as a canonical controlled value for selecting the von Mises branch.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91767ebb05443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RUN-TRF-031-20260819T185128400480Z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RUN-TRF-031-20260819T185128400480Z</x:v>
      </x:c>
      <x:c r="B5" s="69" t="str">
        <x:v>TRF-031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Make the combined-stress-versus-yield-point comparison conditional on verified selection that nltl:vonMisesYieldCriterion denotes the canonical von Mises controlled value; it is currently enforced for every design and the criterion string is only presence-checked. Locate the canonical controlled value, require branch-selection evidence so a missing criterion cannot pass, and place combinedBendingShearStress/yieldPoint presence and their strict lower-than comparison only in the von-Mises branch. Preserve the existing beam-theory conditional formula and allowable-shear comparison.</x:v>
      </x:c>
      <x:c r="I5" s="75" t="n">
        <x:v>29279.519</x:v>
      </x:c>
      <x:c r="J5" s="75" t="n">
        <x:v>6300.632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17ec58ce934eb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RUN-TRF-031-20260819T185128400480Z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RUN-TRF-031-20260819T185128400480Z</x:v>
      </x:c>
      <x:c r="C5" s="45" t="str">
        <x:v>TRF-031</x:v>
      </x:c>
      <x:c r="D5" s="88" t="n">
        <x:v>46253.78608428241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29277.875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RUN-TRF-031-20260819T185128400480Z</x:v>
      </x:c>
      <x:c r="C6" s="47" t="str">
        <x:v>TRF-031</x:v>
      </x:c>
      <x:c r="D6" s="91" t="n">
        <x:v>46253.78608430555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29279.519</x:v>
      </x:c>
      <x:c r="L6" s="93" t="b">
        <x:v>0</x:v>
      </x:c>
      <x:c r="M6" s="47" t="str">
        <x:v>resp_02dadc3bf37106e0006a85fb30856c819591a034dc3dad4380</x:v>
      </x:c>
      <x:c r="N6" s="59" t="n">
        <x:v>6715</x:v>
      </x:c>
      <x:c r="O6" s="59" t="n">
        <x:v>2939</x:v>
      </x:c>
      <x:c r="P6" s="59" t="n">
        <x:v>9654</x:v>
      </x:c>
    </x:row>
    <x:row r="7">
      <x:c r="A7" s="47" t="str">
        <x:v>EVT-000026</x:v>
      </x:c>
      <x:c r="B7" s="47" t="str">
        <x:v>RUN-TRF-031-20260819T185128400480Z</x:v>
      </x:c>
      <x:c r="C7" s="47" t="str">
        <x:v>TRF-031</x:v>
      </x:c>
      <x:c r="D7" s="91" t="n">
        <x:v>46253.78615936342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6299.114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RUN-TRF-031-20260819T185128400480Z</x:v>
      </x:c>
      <x:c r="C8" s="47" t="str">
        <x:v>TRF-031</x:v>
      </x:c>
      <x:c r="D8" s="91" t="n">
        <x:v>46253.786159386575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6300.632</x:v>
      </x:c>
      <x:c r="L8" s="93" t="b">
        <x:v>0</x:v>
      </x:c>
      <x:c r="M8" s="47" t="str">
        <x:v>resp_067aad649c0670d5006a85fb4e1d1081978d99d59061a32328</x:v>
      </x:c>
      <x:c r="N8" s="59" t="n">
        <x:v>6932</x:v>
      </x:c>
      <x:c r="O8" s="59" t="n">
        <x:v>469</x:v>
      </x:c>
      <x:c r="P8" s="59" t="n">
        <x:v>7401</x:v>
      </x:c>
    </x:row>
    <x:row r="9">
      <x:c r="A9" s="47" t="str">
        <x:v>EVT-000033</x:v>
      </x:c>
      <x:c r="B9" s="47" t="str">
        <x:v>RUN-TRF-031-20260819T185128400480Z</x:v>
      </x:c>
      <x:c r="C9" s="47" t="str">
        <x:v>TRF-031</x:v>
      </x:c>
      <x:c r="D9" s="91" t="n">
        <x:v>46253.78622930556</x:v>
      </x:c>
      <x:c r="E9" s="47" t="str">
        <x:v>vocabulary_matcher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5050.954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EVT-000034</x:v>
      </x:c>
      <x:c r="B10" s="49" t="str">
        <x:v>RUN-TRF-031-20260819T185128400480Z</x:v>
      </x:c>
      <x:c r="C10" s="49" t="str">
        <x:v>TRF-031</x:v>
      </x:c>
      <x:c r="D10" s="94" t="n">
        <x:v>46253.7862293287</x:v>
      </x:c>
      <x:c r="E10" s="49" t="str">
        <x:v>vocabulary_matcher</x:v>
      </x:c>
      <x:c r="F10" s="49" t="str">
        <x:v>gpt-5.6-terra-2026-07-09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5052.619</x:v>
      </x:c>
      <x:c r="L10" s="96" t="b">
        <x:v>0</x:v>
      </x:c>
      <x:c r="M10" s="49" t="str">
        <x:v>resp_0cf9e3647b227223006a85fb55f7bc81949327e652da284dbf</x:v>
      </x:c>
      <x:c r="N10" s="60" t="n">
        <x:v>1954</x:v>
      </x:c>
      <x:c r="O10" s="60" t="n">
        <x:v>91</x:v>
      </x:c>
      <x:c r="P10" s="60" t="n">
        <x:v>2045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d455c654e54fa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RUN-TRF-031-20260819T185128400480Z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RUN-TRF-031-20260819T185128400480Z</x:v>
      </x:c>
      <x:c r="B5" s="45" t="str">
        <x:v>TRF-031</x:v>
      </x:c>
      <x:c r="C5" s="45" t="str">
        <x:v>allowableShearStress</x:v>
      </x:c>
      <x:c r="D5" s="46" t="str">
        <x:v>https://w3id.org/nltl/vocab#allowableShearStress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RUN-TRF-031-20260819T185128400480Z</x:v>
      </x:c>
      <x:c r="B6" s="47" t="str">
        <x:v>TRF-031</x:v>
      </x:c>
      <x:c r="C6" s="47" t="str">
        <x:v>beamTheoryUsed</x:v>
      </x:c>
      <x:c r="D6" s="48" t="str">
        <x:v>https://w3id.org/nltl/vocab#beamTheoryUsed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RUN-TRF-031-20260819T185128400480Z</x:v>
      </x:c>
      <x:c r="B7" s="47" t="str">
        <x:v>TRF-031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allowableShearStress; domain dependency of beamTheoryUsed; domain dependency of combinedBendingShearStress; domain dependency of vonMisesYieldCriterion; domain dependency of yieldPoint; domain dependency of yieldShearStress</x:v>
      </x:c>
      <x:c r="J7" s="47" t="n">
        <x:v>0</x:v>
      </x:c>
    </x:row>
    <x:row r="8">
      <x:c r="A8" s="47" t="str">
        <x:v>RUN-TRF-031-20260819T185128400480Z</x:v>
      </x:c>
      <x:c r="B8" s="47" t="str">
        <x:v>TRF-031</x:v>
      </x:c>
      <x:c r="C8" s="47" t="str">
        <x:v>combinedBendingShearStress</x:v>
      </x:c>
      <x:c r="D8" s="48" t="str">
        <x:v>https://w3id.org/nltl/vocab#combinedBendingShearStress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RUN-TRF-031-20260819T185128400480Z</x:v>
      </x:c>
      <x:c r="B9" s="47" t="str">
        <x:v>TRF-031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RUN-TRF-031-20260819T185128400480Z</x:v>
      </x:c>
      <x:c r="B10" s="47" t="str">
        <x:v>TRF-031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RUN-TRF-031-20260819T185128400480Z</x:v>
      </x:c>
      <x:c r="B11" s="47" t="str">
        <x:v>TRF-031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RUN-TRF-031-20260819T185128400480Z</x:v>
      </x:c>
      <x:c r="B12" s="47" t="str">
        <x:v>TRF-031</x:v>
      </x:c>
      <x:c r="C12" s="47" t="str">
        <x:v>vonMisesYieldCriterion</x:v>
      </x:c>
      <x:c r="D12" s="48" t="str">
        <x:v>https://w3id.org/nltl/vocab#vonMisesYieldCriterion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RUN-TRF-031-20260819T185128400480Z</x:v>
      </x:c>
      <x:c r="B13" s="47" t="str">
        <x:v>TRF-031</x:v>
      </x:c>
      <x:c r="C13" s="47" t="str">
        <x:v>yieldPoint</x:v>
      </x:c>
      <x:c r="D13" s="48" t="str">
        <x:v>https://w3id.org/nltl/vocab#yieldPoint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RUN-TRF-031-20260819T185128400480Z</x:v>
      </x:c>
      <x:c r="B14" s="49" t="str">
        <x:v>TRF-031</x:v>
      </x:c>
      <x:c r="C14" s="49" t="str">
        <x:v>yieldShearStress</x:v>
      </x:c>
      <x:c r="D14" s="50" t="str">
        <x:v>https://w3id.org/nltl/vocab#yieldShearStress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http://qudt.org/vocab/unit/MegaPA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649a36407c1445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RUN-TRF-031-20260819T185128400480Z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RUN-TRF-031-20260819T185128400480Z</x:v>
      </x:c>
      <x:c r="B5" s="45" t="str">
        <x:v>TRF-031</x:v>
      </x:c>
      <x:c r="C5" s="45" t="str">
        <x:v>FS-CALC-02</x:v>
      </x:c>
      <x:c r="D5" s="45" t="str">
        <x:v>comparison_calculation</x:v>
      </x:c>
      <x:c r="E5" s="99" t="n">
        <x:v>0.072727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RUN-TRF-031-20260819T185128400480Z</x:v>
      </x:c>
      <x:c r="B6" s="49" t="str">
        <x:v>TRF-031</x:v>
      </x:c>
      <x:c r="C6" s="49" t="str">
        <x:v>FS-BOOL-01</x:v>
      </x:c>
      <x:c r="D6" s="49" t="str">
        <x:v>boolean_state</x:v>
      </x:c>
      <x:c r="E6" s="100" t="n">
        <x:v>0.053571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be7b331fd9458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RUN-TRF-031-20260819T185128400480Z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RUN-TRF-031-20260819T185128400480Z</x:v>
      </x:c>
      <x:c r="B5" s="69" t="str">
        <x:v>TRF-031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https://w3id.org/nltl/vocab#allowableShearStress | https://w3id.org/nltl/vocab#beamTheoryUsed | https://w3id.org/nltl/vocab#combinedBendingShearStress | https://w3id.org/nltl/vocab#ship | https://w3id.org/nltl/vocab#vonMisesYieldCriterion | https://w3id.org/nltl/vocab#yieldPoint | https://w3id.org/nltl/vocab#yieldShearStress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c615b1d4011481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RUN-TRF-031-20260819T185128400480Z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RUN-TRF-031-20260819T185128400480Z</x:v>
      </x:c>
      <x:c r="B5" s="45" t="str">
        <x:v>TRF-031</x:v>
      </x:c>
      <x:c r="C5" s="58" t="n">
        <x:v>1</x:v>
      </x:c>
      <x:c r="D5" s="45" t="str">
        <x:v>matcher_search</x:v>
      </x:c>
      <x:c r="E5" s="46" t="str">
        <x:v>Make the combined-stress-versus-yield-point comparison conditional on verified selection that nltl:vonMisesYieldCriterion denotes the canonical von Mises controlled value; it is currently enforced for every design and the criterion string is only presence-checked. Locate the canonical controlled value, require branch-selection evidence so a missing criterion cannot pass, and place combinedBendingShearStress/yieldPoint presence and their strict lower-than comparison only in the von-Mises branch. Preserve the existing beam-theory conditional formula and allowable-shear comparison.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RUN-TRF-031-20260819T185128400480Z</x:v>
      </x:c>
      <x:c r="B6" s="49" t="str">
        <x:v>TRF-031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is semantically verified as a canonical controlled value for selecting the von Mises branch.</x:v>
      </x:c>
    </x:row>
  </x:sheetData>
  <x:pageMargins left="0.7" right="0.7" top="0.75" bottom="0.75" header="0.3" footer="0.3"/>
  <x:tableParts count="1">
    <x:tablePart xmlns:r="http://schemas.openxmlformats.org/officeDocument/2006/relationships" r:id="R9f97e055a4cd43e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RUN-TRF-031-20260819T185128400480Z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RUN-TRF-031-20260819T185128400480Z</x:v>
      </x:c>
      <x:c r="B5" s="45" t="str">
        <x:v>TRF-031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a4d8f988b77b04c5a3919ad13c6cb7a9bf216e12733880695de51a57de039376</x:v>
      </x:c>
      <x:c r="G5" s="58" t="n">
        <x:v>14118</x:v>
      </x:c>
    </x:row>
    <x:row r="6">
      <x:c r="A6" s="47" t="str">
        <x:v>RUN-TRF-031-20260819T185128400480Z</x:v>
      </x:c>
      <x:c r="B6" s="47" t="str">
        <x:v>TRF-031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f890f3cb8d477dce83d1e8efc95f32041f268d5c09b04ae1492f592502ef36d1</x:v>
      </x:c>
      <x:c r="G6" s="59" t="n">
        <x:v>4749</x:v>
      </x:c>
    </x:row>
    <x:row r="7">
      <x:c r="A7" s="47" t="str">
        <x:v>RUN-TRF-031-20260819T185128400480Z</x:v>
      </x:c>
      <x:c r="B7" s="47" t="str">
        <x:v>TRF-031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45cbdf331a6f6a459b4a0c4da1d5332af8a6211fcc3177d10235953778ac4e5b</x:v>
      </x:c>
      <x:c r="G7" s="59" t="n">
        <x:v>28147</x:v>
      </x:c>
    </x:row>
    <x:row r="8">
      <x:c r="A8" s="47" t="str">
        <x:v>RUN-TRF-031-20260819T185128400480Z</x:v>
      </x:c>
      <x:c r="B8" s="47" t="str">
        <x:v>TRF-031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0ceae456d75e4230a5f961288d0ed1ef9f462aae9cfa9ffbf41026afa08c92aa</x:v>
      </x:c>
      <x:c r="G8" s="59" t="n">
        <x:v>5533</x:v>
      </x:c>
    </x:row>
    <x:row r="9">
      <x:c r="A9" s="47" t="str">
        <x:v>RUN-TRF-031-20260819T185128400480Z</x:v>
      </x:c>
      <x:c r="B9" s="47" t="str">
        <x:v>TRF-031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ec67cbf33b4ed64f768b20f67bee70f417d93d9330df4ebcd6cdfd6c32f79eb7</x:v>
      </x:c>
      <x:c r="G9" s="59" t="n">
        <x:v>5508</x:v>
      </x:c>
    </x:row>
    <x:row r="10">
      <x:c r="A10" s="47" t="str">
        <x:v>RUN-TRF-031-20260819T185128400480Z</x:v>
      </x:c>
      <x:c r="B10" s="47" t="str">
        <x:v>TRF-031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e9ddc631fdee111e11a17cdc647aec29aaa4c1f251d4c59eb8031d9d4871a8b1</x:v>
      </x:c>
      <x:c r="G10" s="59" t="n">
        <x:v>753</x:v>
      </x:c>
    </x:row>
    <x:row r="11">
      <x:c r="A11" s="47" t="str">
        <x:v>RUN-TRF-031-20260819T185128400480Z</x:v>
      </x:c>
      <x:c r="B11" s="47" t="str">
        <x:v>TRF-031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64cd45b700bee335b24ca810d486972fd485ac7eca822f3b810a67a2b14fe7c4</x:v>
      </x:c>
      <x:c r="G11" s="59" t="n">
        <x:v>28011</x:v>
      </x:c>
    </x:row>
    <x:row r="12">
      <x:c r="A12" s="47" t="str">
        <x:v>RUN-TRF-031-20260819T185128400480Z</x:v>
      </x:c>
      <x:c r="B12" s="47" t="str">
        <x:v>TRF-031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035c5e9f5ada85abb7407dad17c72e3d9b451cd3bc913a7187b4277c89df99bc</x:v>
      </x:c>
      <x:c r="G12" s="59" t="n">
        <x:v>648</x:v>
      </x:c>
    </x:row>
    <x:row r="13">
      <x:c r="A13" s="47" t="str">
        <x:v>RUN-TRF-031-20260819T185128400480Z</x:v>
      </x:c>
      <x:c r="B13" s="47" t="str">
        <x:v>TRF-031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95bb7bca05265b727958a3e061fb4b011b7afc1882419745149a524990d16f81</x:v>
      </x:c>
      <x:c r="G13" s="59" t="n">
        <x:v>2836</x:v>
      </x:c>
    </x:row>
    <x:row r="14">
      <x:c r="A14" s="47" t="str">
        <x:v>RUN-TRF-031-20260819T185128400480Z</x:v>
      </x:c>
      <x:c r="B14" s="47" t="str">
        <x:v>TRF-031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fc4c8b6f68c3faa9f2eab14f259e1d8dc35ca66ed7695418dda75481e27d097a</x:v>
      </x:c>
      <x:c r="G14" s="59" t="n">
        <x:v>7805</x:v>
      </x:c>
    </x:row>
    <x:row r="15">
      <x:c r="A15" s="49" t="str">
        <x:v>RUN-TRF-031-20260819T185128400480Z</x:v>
      </x:c>
      <x:c r="B15" s="49" t="str">
        <x:v>TRF-031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1105012a497c41b74ecead25e47b5be35e4115cc09acf193e320eda697a71c08</x:v>
      </x:c>
      <x:c r="G15" s="60" t="n">
        <x:v>194</x:v>
      </x:c>
    </x:row>
  </x:sheetData>
  <x:pageMargins left="0.7" right="0.7" top="0.75" bottom="0.75" header="0.3" footer="0.3"/>
  <x:tableParts count="1">
    <x:tablePart xmlns:r="http://schemas.openxmlformats.org/officeDocument/2006/relationships" r:id="R36193d9e8de64ff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RUN-TRF-031-20260819T185128400480Z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RUN-TRF-031-20260819T185128400480Z</x:v>
      </x:c>
      <x:c r="B5" s="69" t="str">
        <x:v>TRF-031</x:v>
      </x:c>
      <x:c r="C5" s="71" t="n">
        <x:v>1</x:v>
      </x:c>
      <x:c r="D5" s="69" t="str">
        <x:v>TERM_RESOLUTION_UNRESOLVED</x:v>
      </x:c>
      <x:c r="E5" s="73" t="str">
        <x:v>No candidate is semantically verified as a canonical controlled value for selecting the von Mises branch.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b4fbebef0f4c9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RUN-TRF-031-20260819T185128400480Z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