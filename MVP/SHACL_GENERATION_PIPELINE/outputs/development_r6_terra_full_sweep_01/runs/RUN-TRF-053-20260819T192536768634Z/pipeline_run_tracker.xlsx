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d3728b2a9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ec4667ca67448a"/>
    <x:sheet xmlns:r="http://schemas.openxmlformats.org/officeDocument/2006/relationships" name="README" sheetId="2" r:id="R879892ea42774f9c"/>
    <x:sheet xmlns:r="http://schemas.openxmlformats.org/officeDocument/2006/relationships" name="REGULATION_QUEUE" sheetId="3" r:id="R3ecea33ce9724039"/>
    <x:sheet xmlns:r="http://schemas.openxmlformats.org/officeDocument/2006/relationships" name="RUNS" sheetId="4" r:id="R292c151c4adb4b59"/>
    <x:sheet xmlns:r="http://schemas.openxmlformats.org/officeDocument/2006/relationships" name="ITERATIONS" sheetId="5" r:id="R84de42bfb3d5469a"/>
    <x:sheet xmlns:r="http://schemas.openxmlformats.org/officeDocument/2006/relationships" name="API_CALLS" sheetId="6" r:id="R77349e63b4cf4ce1"/>
    <x:sheet xmlns:r="http://schemas.openxmlformats.org/officeDocument/2006/relationships" name="TERM_RETRIEVAL" sheetId="7" r:id="R74be4bed3c48453b"/>
    <x:sheet xmlns:r="http://schemas.openxmlformats.org/officeDocument/2006/relationships" name="FEW_SHOT_SELECTION" sheetId="8" r:id="Ra5b86898c15c4e26"/>
    <x:sheet xmlns:r="http://schemas.openxmlformats.org/officeDocument/2006/relationships" name="VALIDATION" sheetId="9" r:id="R82d6c99d9cfc45dc"/>
    <x:sheet xmlns:r="http://schemas.openxmlformats.org/officeDocument/2006/relationships" name="VOCAB_MATCHES" sheetId="10" r:id="R20fcaeff1ea74a87"/>
    <x:sheet xmlns:r="http://schemas.openxmlformats.org/officeDocument/2006/relationships" name="ARTIFACTS" sheetId="11" r:id="R02fb3a2bbabf4777"/>
    <x:sheet xmlns:r="http://schemas.openxmlformats.org/officeDocument/2006/relationships" name="UNRESOLVED" sheetId="12" r:id="R9dacc5684e7d432f"/>
    <x:sheet xmlns:r="http://schemas.openxmlformats.org/officeDocument/2006/relationships" name="RDF_TEST_QUEUE" sheetId="13" r:id="R273b0d4542f0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6ce0fcb9244dc" /><Relationship Type="http://schemas.openxmlformats.org/officeDocument/2006/relationships/theme" Target="/xl/theme/theme1.xml" Id="Rb12c125c4174462b" /><Relationship Type="http://schemas.microsoft.com/office/2022/11/relationships/FeaturePropertyBag" Target="/xl/featurePropertyBag/featurePropertyBag.xml" Id="R917a0ee6f79047f4" /><Relationship Type="http://schemas.openxmlformats.org/officeDocument/2006/relationships/sharedStrings" Target="/xl/sharedStrings.xml" Id="R3e7a599a327849e4" /><Relationship Type="http://schemas.openxmlformats.org/officeDocument/2006/relationships/worksheet" Target="/xl/worksheets/sheet1.xml" Id="Rc7ec4667ca67448a" /><Relationship Type="http://schemas.openxmlformats.org/officeDocument/2006/relationships/worksheet" Target="/xl/worksheets/sheet2.xml" Id="R879892ea42774f9c" /><Relationship Type="http://schemas.openxmlformats.org/officeDocument/2006/relationships/worksheet" Target="/xl/worksheets/sheet3.xml" Id="R3ecea33ce9724039" /><Relationship Type="http://schemas.openxmlformats.org/officeDocument/2006/relationships/worksheet" Target="/xl/worksheets/sheet4.xml" Id="R292c151c4adb4b59" /><Relationship Type="http://schemas.openxmlformats.org/officeDocument/2006/relationships/worksheet" Target="/xl/worksheets/sheet5.xml" Id="R84de42bfb3d5469a" /><Relationship Type="http://schemas.openxmlformats.org/officeDocument/2006/relationships/worksheet" Target="/xl/worksheets/sheet6.xml" Id="R77349e63b4cf4ce1" /><Relationship Type="http://schemas.openxmlformats.org/officeDocument/2006/relationships/worksheet" Target="/xl/worksheets/sheet7.xml" Id="R74be4bed3c48453b" /><Relationship Type="http://schemas.openxmlformats.org/officeDocument/2006/relationships/worksheet" Target="/xl/worksheets/sheet8.xml" Id="Ra5b86898c15c4e26" /><Relationship Type="http://schemas.openxmlformats.org/officeDocument/2006/relationships/worksheet" Target="/xl/worksheets/sheet9.xml" Id="R82d6c99d9cfc45dc" /><Relationship Type="http://schemas.openxmlformats.org/officeDocument/2006/relationships/worksheet" Target="/xl/worksheets/sheet10.xml" Id="R20fcaeff1ea74a87" /><Relationship Type="http://schemas.openxmlformats.org/officeDocument/2006/relationships/worksheet" Target="/xl/worksheets/sheet11.xml" Id="R02fb3a2bbabf4777" /><Relationship Type="http://schemas.openxmlformats.org/officeDocument/2006/relationships/worksheet" Target="/xl/worksheets/sheet12.xml" Id="R9dacc5684e7d432f" /><Relationship Type="http://schemas.openxmlformats.org/officeDocument/2006/relationships/worksheet" Target="/xl/worksheets/sheet13.xml" Id="R273b0d4542f04e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7654740059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fd4a54a08f4a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5bfeab6e124f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506e8fd73844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6a1f4c1b3849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ec8cf1b8b545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ad8c714eb144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0e145f350f4c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367645ad354f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f88682d7a046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RUN-TRF-053-20260819T192536768634Z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23236.113875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RUN-TRF-053-20260819T192536768634Z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76547400594e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d4a54a08f4a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RUN-TRF-053-20260819T192536768634Z</x:v>
      </x:c>
      <x:c r="C5" s="69" t="str">
        <x:v>TRF-053</x:v>
      </x:c>
      <x:c r="D5" s="70" t="n">
        <x:v>46253.809453344904</x:v>
      </x:c>
      <x:c r="E5" s="70" t="n">
        <x:v>46253.81053682871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iceStringer, uses the supplied applicability evidence without accidental pass logic, constrains all required operands and results with correct quantity datatypes and units, enforces exact f6/f7/f8 constants through inclusive bounds, and validates the unit-consistent formulae using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bfeab6e124f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RUN-TRF-053-20260819T192536768634Z</x:v>
      </x:c>
      <x:c r="B5" s="45" t="str">
        <x:v>TRF-053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unit-consistent formula and fixed regulatory factors. designLineLoad is constrained in unit:KiloN-PER-M, whereas p_MPa*h_m and the 0.15 floor are MN/m: validate its numeric value as 1000*max(?pressure*?height,0.15), and use ?lineLoad/1000 (or the equivalent MN/m expression) in the section-modulus and shear-area equations. Constrain f6, f7, and f8 quantity numeric values to the required exact inclusive constants 0.9, 1.8, and 1.2 respectively, using equal sh:minInclusive/sh:maxInclusive bounds rather than numeric sh:hasValue. Also bound each applicable formula operand and result property to a single quantity value so the formula query does not evaluate unintended Cartesian combinations.</x:v>
      </x:c>
      <x:c r="I5" s="81" t="n">
        <x:v>36979.253</x:v>
      </x:c>
      <x:c r="J5" s="81" t="n">
        <x:v>13794.844</x:v>
      </x:c>
    </x:row>
    <x:row r="6">
      <x:c r="A6" s="49" t="str">
        <x:v>RUN-TRF-053-20260819T192536768634Z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iceStringer, uses the supplied applicability evidence without accidental pass logic, constrains all required operands and results with correct quantity datatypes and units, enforces exact f6/f7/f8 constants through inclusive bounds, and validates the unit-consistent formulae using expected-result-scaled tolerance.</x:v>
      </x:c>
      <x:c r="I6" s="83" t="n">
        <x:v>34705.734</x:v>
      </x:c>
      <x:c r="J6" s="83" t="n">
        <x:v>7467.463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06e8fd73844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RUN-TRF-053-20260819T192536768634Z</x:v>
      </x:c>
      <x:c r="C5" s="45" t="str">
        <x:v>TRF-053</x:v>
      </x:c>
      <x:c r="D5" s="90" t="n">
        <x:v>46253.80988136574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36977.58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RUN-TRF-053-20260819T192536768634Z</x:v>
      </x:c>
      <x:c r="C6" s="47" t="str">
        <x:v>TRF-053</x:v>
      </x:c>
      <x:c r="D6" s="91" t="n">
        <x:v>46253.80988138889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36979.253</x:v>
      </x:c>
      <x:c r="L6" s="93" t="b">
        <x:v>0</x:v>
      </x:c>
      <x:c r="M6" s="47" t="str">
        <x:v>resp_0c753a1b3dfe38a2006a860330e7008190bb8da4bb106596e6</x:v>
      </x:c>
      <x:c r="N6" s="59" t="n">
        <x:v>9987</x:v>
      </x:c>
      <x:c r="O6" s="59" t="n">
        <x:v>4116</x:v>
      </x:c>
      <x:c r="P6" s="59" t="n">
        <x:v>14103</x:v>
      </x:c>
    </x:row>
    <x:row r="7">
      <x:c r="A7" s="47" t="str">
        <x:v>EVT-000034</x:v>
      </x:c>
      <x:c r="B7" s="47" t="str">
        <x:v>RUN-TRF-053-20260819T192536768634Z</x:v>
      </x:c>
      <x:c r="C7" s="47" t="str">
        <x:v>TRF-053</x:v>
      </x:c>
      <x:c r="D7" s="91" t="n">
        <x:v>46253.81004491898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13793.22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RUN-TRF-053-20260819T192536768634Z</x:v>
      </x:c>
      <x:c r="C8" s="47" t="str">
        <x:v>TRF-053</x:v>
      </x:c>
      <x:c r="D8" s="91" t="n">
        <x:v>46253.81004494213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13794.844</x:v>
      </x:c>
      <x:c r="L8" s="93" t="b">
        <x:v>0</x:v>
      </x:c>
      <x:c r="M8" s="47" t="str">
        <x:v>resp_00861b44e38f99b6006a8603562af0819387a68b65d78d6990</x:v>
      </x:c>
      <x:c r="N8" s="59" t="n">
        <x:v>12050</x:v>
      </x:c>
      <x:c r="O8" s="59" t="n">
        <x:v>1223</x:v>
      </x:c>
      <x:c r="P8" s="59" t="n">
        <x:v>13273</x:v>
      </x:c>
    </x:row>
    <x:row r="9">
      <x:c r="A9" s="47" t="str">
        <x:v>EVT-000040</x:v>
      </x:c>
      <x:c r="B9" s="47" t="str">
        <x:v>RUN-TRF-053-20260819T192536768634Z</x:v>
      </x:c>
      <x:c r="C9" s="47" t="str">
        <x:v>TRF-053</x:v>
      </x:c>
      <x:c r="D9" s="91" t="n">
        <x:v>46253.810446689815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34705.122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RUN-TRF-053-20260819T192536768634Z</x:v>
      </x:c>
      <x:c r="C10" s="47" t="str">
        <x:v>TRF-053</x:v>
      </x:c>
      <x:c r="D10" s="91" t="n">
        <x:v>46253.81044670139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34705.734</x:v>
      </x:c>
      <x:c r="L10" s="93" t="b">
        <x:v>0</x:v>
      </x:c>
      <x:c r="M10" s="47" t="str">
        <x:v>resp_0765a4753b86a1d5006a860363f5e48193aab83fc5a1f1e8ba</x:v>
      </x:c>
      <x:c r="N10" s="59" t="n">
        <x:v>10155</x:v>
      </x:c>
      <x:c r="O10" s="59" t="n">
        <x:v>4051</x:v>
      </x:c>
      <x:c r="P10" s="59" t="n">
        <x:v>14206</x:v>
      </x:c>
    </x:row>
    <x:row r="11">
      <x:c r="A11" s="47" t="str">
        <x:v>EVT-000048</x:v>
      </x:c>
      <x:c r="B11" s="47" t="str">
        <x:v>RUN-TRF-053-20260819T192536768634Z</x:v>
      </x:c>
      <x:c r="C11" s="47" t="str">
        <x:v>TRF-053</x:v>
      </x:c>
      <x:c r="D11" s="91" t="n">
        <x:v>46253.81053674768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7465.695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RUN-TRF-053-20260819T192536768634Z</x:v>
      </x:c>
      <x:c r="C12" s="49" t="str">
        <x:v>TRF-053</x:v>
      </x:c>
      <x:c r="D12" s="94" t="n">
        <x:v>46253.810536770834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7467.463</x:v>
      </x:c>
      <x:c r="L12" s="82" t="b">
        <x:v>0</x:v>
      </x:c>
      <x:c r="M12" s="49" t="str">
        <x:v>resp_058d9f3c90e4ac6a006a86038700b08194b0c0c68152159ba5</x:v>
      </x:c>
      <x:c r="N12" s="60" t="n">
        <x:v>12447</x:v>
      </x:c>
      <x:c r="O12" s="60" t="n">
        <x:v>585</x:v>
      </x:c>
      <x:c r="P12" s="60" t="n">
        <x:v>13032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a1f4c1b3849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RUN-TRF-053-20260819T192536768634Z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RUN-TRF-053-20260819T192536768634Z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RUN-TRF-053-20260819T192536768634Z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RUN-TRF-053-20260819T192536768634Z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RUN-TRF-053-20260819T192536768634Z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RUN-TRF-053-20260819T192536768634Z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RUN-TRF-053-20260819T192536768634Z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RUN-TRF-053-20260819T192536768634Z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RUN-TRF-053-20260819T192536768634Z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RUN-TRF-053-20260819T192536768634Z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RUN-TRF-053-20260819T192536768634Z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RUN-TRF-053-20260819T192536768634Z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RUN-TRF-053-20260819T192536768634Z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RUN-TRF-053-20260819T192536768634Z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RUN-TRF-053-20260819T192536768634Z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RUN-TRF-053-20260819T192536768634Z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RUN-TRF-053-20260819T192536768634Z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RUN-TRF-053-20260819T192536768634Z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ec8cf1b8b545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RUN-TRF-053-20260819T192536768634Z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RUN-TRF-053-20260819T192536768634Z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RUN-TRF-053-20260819T192536768634Z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d8c714eb144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RUN-TRF-053-20260819T192536768634Z</x:v>
      </x:c>
      <x:c r="B5" s="45" t="str">
        <x:v>TRF-053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https://w3id.org/nltl/vocab#iceStringerDistributionFactorF6 | https://w3id.org/nltl/vocab#iceStringerSafetyFactorF7 | https://w3id.org/nltl/vocab#iceStringerShearFactorF8 | https://w3id.org/nltl/vocab#locatedWithinIceBelt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RUN-TRF-053-20260819T192536768634Z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https://w3id.org/nltl/vocab#iceStringerDistributionFactorF6 | https://w3id.org/nltl/vocab#iceStringerSafetyFactorF7 | https://w3id.org/nltl/vocab#iceStringerShearFactorF8 | https://w3id.org/nltl/vocab#locatedWithinIceBelt | https://w3id.org/nltl/vocab#requiredShearArea | https://w3id.org/nltl/vocab#sectionModulus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0e145f350f4c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RUN-TRF-053-20260819T192536768634Z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RUN-TRF-053-20260819T192536768634Z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RUN-TRF-053-20260819T192536768634Z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15e4ac032772b96b91f9aafda6b0d8fb1278f4c0e951213b2049940d889da73e</x:v>
      </x:c>
      <x:c r="G5" s="58" t="n">
        <x:v>24483</x:v>
      </x:c>
    </x:row>
    <x:row r="6">
      <x:c r="A6" s="47" t="str">
        <x:v>RUN-TRF-053-20260819T192536768634Z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f34971983a392ed3bbef6316407f65a0aebff65a582113bd1f1a6fa41868e487</x:v>
      </x:c>
      <x:c r="G6" s="59" t="n">
        <x:v>4749</x:v>
      </x:c>
    </x:row>
    <x:row r="7">
      <x:c r="A7" s="47" t="str">
        <x:v>RUN-TRF-053-20260819T192536768634Z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98c4dd18183bead00d55d978725d867bbde03adbdc0f62b1f665dbed2f056e70</x:v>
      </x:c>
      <x:c r="G7" s="59" t="n">
        <x:v>38512</x:v>
      </x:c>
    </x:row>
    <x:row r="8">
      <x:c r="A8" s="47" t="str">
        <x:v>RUN-TRF-053-20260819T192536768634Z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7a2145a7ef6db6c9653a273e7580a6cb616a7944733857b535543cb87c14d04f</x:v>
      </x:c>
      <x:c r="G8" s="59" t="n">
        <x:v>7860</x:v>
      </x:c>
    </x:row>
    <x:row r="9">
      <x:c r="A9" s="47" t="str">
        <x:v>RUN-TRF-053-20260819T192536768634Z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81a4d523f1e840eba9189466f8d0498da5417e527cd82e82dd54898dc67e34b2</x:v>
      </x:c>
      <x:c r="G9" s="59" t="n">
        <x:v>7835</x:v>
      </x:c>
    </x:row>
    <x:row r="10">
      <x:c r="A10" s="47" t="str">
        <x:v>RUN-TRF-053-20260819T192536768634Z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6c5b73659cf12a85521a39e8dd792f7fca9d7a8035f0072e098edf78e1b9eb42</x:v>
      </x:c>
      <x:c r="G10" s="59" t="n">
        <x:v>1078</x:v>
      </x:c>
    </x:row>
    <x:row r="11">
      <x:c r="A11" s="47" t="str">
        <x:v>RUN-TRF-053-20260819T192536768634Z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12ae6f93cf6ac92f6dc9c772eb451811921f5566e99aeb086b90987e46802e11</x:v>
      </x:c>
      <x:c r="G11" s="59" t="n">
        <x:v>43380</x:v>
      </x:c>
    </x:row>
    <x:row r="12">
      <x:c r="A12" s="47" t="str">
        <x:v>RUN-TRF-053-20260819T192536768634Z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3ef7127c816df263da9b6ab9e158f0f792cd650660758d00b38e17ad6224f015</x:v>
      </x:c>
      <x:c r="G12" s="59" t="n">
        <x:v>769</x:v>
      </x:c>
    </x:row>
    <x:row r="13">
      <x:c r="A13" s="47" t="str">
        <x:v>RUN-TRF-053-20260819T192536768634Z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47f0e7cfa5731dca7d1d8b8bd96cc7db342ada1149f1e8f2670eaecf74b8d949</x:v>
      </x:c>
      <x:c r="G13" s="59" t="n">
        <x:v>39216</x:v>
      </x:c>
    </x:row>
    <x:row r="14">
      <x:c r="A14" s="47" t="str">
        <x:v>RUN-TRF-053-20260819T192536768634Z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28b8619ca992ee09f50b063b6d971c5c08f9b6913523a2ccf89871580cbdcd4c</x:v>
      </x:c>
      <x:c r="G14" s="59" t="n">
        <x:v>9538</x:v>
      </x:c>
    </x:row>
    <x:row r="15">
      <x:c r="A15" s="47" t="str">
        <x:v>RUN-TRF-053-20260819T192536768634Z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ac43e2ab7be0c08a89978c39b371e22111a1649f3f94cfc173f5ae2489a73134</x:v>
      </x:c>
      <x:c r="G15" s="59" t="n">
        <x:v>9513</x:v>
      </x:c>
    </x:row>
    <x:row r="16">
      <x:c r="A16" s="47" t="str">
        <x:v>RUN-TRF-053-20260819T192536768634Z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6c5b73659cf12a85521a39e8dd792f7fca9d7a8035f0072e098edf78e1b9eb42</x:v>
      </x:c>
      <x:c r="G16" s="59" t="n">
        <x:v>1078</x:v>
      </x:c>
    </x:row>
    <x:row r="17">
      <x:c r="A17" s="47" t="str">
        <x:v>RUN-TRF-053-20260819T192536768634Z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fffc45a8bf22991ee1eb7d22ed6d228c9b647c4aa9196c1f1c698915958a7df0</x:v>
      </x:c>
      <x:c r="G17" s="59" t="n">
        <x:v>45807</x:v>
      </x:c>
    </x:row>
    <x:row r="18">
      <x:c r="A18" s="47" t="str">
        <x:v>RUN-TRF-053-20260819T192536768634Z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d99f08faa8a30b6170e3288801ffa2d31f13972ed54469a631663575e67f19ab</x:v>
      </x:c>
      <x:c r="G18" s="59" t="n">
        <x:v>407</x:v>
      </x:c>
    </x:row>
    <x:row r="19">
      <x:c r="A19" s="49" t="str">
        <x:v>RUN-TRF-053-20260819T192536768634Z</x:v>
      </x:c>
      <x:c r="B19" s="49" t="str">
        <x:v>TRF-053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ac43e2ab7be0c08a89978c39b371e22111a1649f3f94cfc173f5ae2489a73134</x:v>
      </x:c>
      <x:c r="G19" s="60" t="n">
        <x:v>9513</x:v>
      </x:c>
    </x:row>
  </x:sheetData>
  <x:pageMargins left="0.7" right="0.7" top="0.75" bottom="0.75" header="0.3" footer="0.3"/>
  <x:tableParts count="1">
    <x:tablePart xmlns:r="http://schemas.openxmlformats.org/officeDocument/2006/relationships" r:id="Rc2367645ad354f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RUN-TRF-053-20260819T192536768634Z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RUN-TRF-053-20260819T192536768634Z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RUN-TRF-053-20260819T192536768634Z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88682d7a04699"/>
  </x:tableParts>
</x:worksheet>
</file>