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53dc41b5e344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43ecd5922848c6"/>
    <x:sheet xmlns:r="http://schemas.openxmlformats.org/officeDocument/2006/relationships" name="README" sheetId="2" r:id="Rf4c917ac78904072"/>
    <x:sheet xmlns:r="http://schemas.openxmlformats.org/officeDocument/2006/relationships" name="REGULATION_QUEUE" sheetId="3" r:id="R000ae9da181a484b"/>
    <x:sheet xmlns:r="http://schemas.openxmlformats.org/officeDocument/2006/relationships" name="RUNS" sheetId="4" r:id="R05476507522c4449"/>
    <x:sheet xmlns:r="http://schemas.openxmlformats.org/officeDocument/2006/relationships" name="ITERATIONS" sheetId="5" r:id="R9604830ced2f4113"/>
    <x:sheet xmlns:r="http://schemas.openxmlformats.org/officeDocument/2006/relationships" name="API_CALLS" sheetId="6" r:id="R8c3c217803f54cc4"/>
    <x:sheet xmlns:r="http://schemas.openxmlformats.org/officeDocument/2006/relationships" name="TERM_RETRIEVAL" sheetId="7" r:id="R59b12f0935ea4fe1"/>
    <x:sheet xmlns:r="http://schemas.openxmlformats.org/officeDocument/2006/relationships" name="FEW_SHOT_SELECTION" sheetId="8" r:id="Rf1d4c07bb31546c3"/>
    <x:sheet xmlns:r="http://schemas.openxmlformats.org/officeDocument/2006/relationships" name="VALIDATION" sheetId="9" r:id="R544f289b51694f6b"/>
    <x:sheet xmlns:r="http://schemas.openxmlformats.org/officeDocument/2006/relationships" name="VOCAB_MATCHES" sheetId="10" r:id="Rb509b804a7084867"/>
    <x:sheet xmlns:r="http://schemas.openxmlformats.org/officeDocument/2006/relationships" name="ARTIFACTS" sheetId="11" r:id="Rba483399590e4ddd"/>
    <x:sheet xmlns:r="http://schemas.openxmlformats.org/officeDocument/2006/relationships" name="UNRESOLVED" sheetId="12" r:id="R23bacb9d9adc43a3"/>
    <x:sheet xmlns:r="http://schemas.openxmlformats.org/officeDocument/2006/relationships" name="RDF_TEST_QUEUE" sheetId="13" r:id="R00da86c3e49d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4c72bdf4224dec" /><Relationship Type="http://schemas.openxmlformats.org/officeDocument/2006/relationships/theme" Target="/xl/theme/theme1.xml" Id="R303353cc0e9047e6" /><Relationship Type="http://schemas.microsoft.com/office/2022/11/relationships/FeaturePropertyBag" Target="/xl/featurePropertyBag/featurePropertyBag.xml" Id="R37a9550130364762" /><Relationship Type="http://schemas.openxmlformats.org/officeDocument/2006/relationships/sharedStrings" Target="/xl/sharedStrings.xml" Id="Rcba3c3652a144344" /><Relationship Type="http://schemas.openxmlformats.org/officeDocument/2006/relationships/worksheet" Target="/xl/worksheets/sheet1.xml" Id="Ra443ecd5922848c6" /><Relationship Type="http://schemas.openxmlformats.org/officeDocument/2006/relationships/worksheet" Target="/xl/worksheets/sheet2.xml" Id="Rf4c917ac78904072" /><Relationship Type="http://schemas.openxmlformats.org/officeDocument/2006/relationships/worksheet" Target="/xl/worksheets/sheet3.xml" Id="R000ae9da181a484b" /><Relationship Type="http://schemas.openxmlformats.org/officeDocument/2006/relationships/worksheet" Target="/xl/worksheets/sheet4.xml" Id="R05476507522c4449" /><Relationship Type="http://schemas.openxmlformats.org/officeDocument/2006/relationships/worksheet" Target="/xl/worksheets/sheet5.xml" Id="R9604830ced2f4113" /><Relationship Type="http://schemas.openxmlformats.org/officeDocument/2006/relationships/worksheet" Target="/xl/worksheets/sheet6.xml" Id="R8c3c217803f54cc4" /><Relationship Type="http://schemas.openxmlformats.org/officeDocument/2006/relationships/worksheet" Target="/xl/worksheets/sheet7.xml" Id="R59b12f0935ea4fe1" /><Relationship Type="http://schemas.openxmlformats.org/officeDocument/2006/relationships/worksheet" Target="/xl/worksheets/sheet8.xml" Id="Rf1d4c07bb31546c3" /><Relationship Type="http://schemas.openxmlformats.org/officeDocument/2006/relationships/worksheet" Target="/xl/worksheets/sheet9.xml" Id="R544f289b51694f6b" /><Relationship Type="http://schemas.openxmlformats.org/officeDocument/2006/relationships/worksheet" Target="/xl/worksheets/sheet10.xml" Id="Rb509b804a7084867" /><Relationship Type="http://schemas.openxmlformats.org/officeDocument/2006/relationships/worksheet" Target="/xl/worksheets/sheet11.xml" Id="Rba483399590e4ddd" /><Relationship Type="http://schemas.openxmlformats.org/officeDocument/2006/relationships/worksheet" Target="/xl/worksheets/sheet12.xml" Id="R23bacb9d9adc43a3" /><Relationship Type="http://schemas.openxmlformats.org/officeDocument/2006/relationships/worksheet" Target="/xl/worksheets/sheet13.xml" Id="R00da86c3e49d41c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73526cb8104b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f626fb324a345f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c63fcb32867422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7b7beb909f48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09b45ba37004c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580a5439f4488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ff0a11352641a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af7873d767445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717e9f16c8f4e7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c766053d5f147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RUN-TRF-059-20260819T220550329754Z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20567.259166666667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RUN-TRF-059-20260819T220550329754Z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573526cb8104b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RUN-TRF-059-20260819T220550329754Z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GENERATION_ACCEPTED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626fb324a345f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RUN-TRF-059-20260819T220550329754Z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RUN-TRF-059-20260819T220550329754Z</x:v>
      </x:c>
      <x:c r="C5" s="69" t="str">
        <x:v>TRF-059</x:v>
      </x:c>
      <x:c r="D5" s="70" t="n">
        <x:v>46253.92072141204</x:v>
      </x:c>
      <x:c r="E5" s="70" t="n">
        <x:v>46253.921441018516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webFrame and enforces the required operands, Table 4-8 alpha selection, fixed f13 = 1.1, units, datatypes, and formula-derived required shear area with tolerance scaled from the expected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63fcb32867422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RUN-TRF-059-20260819T220550329754Z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RUN-TRF-059-20260819T220550329754Z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webFrame and enforces the required operands, Table 4-8 alpha selection, fixed f13 = 1.1, units, datatypes, and formula-derived required shear area with tolerance scaled from the expected result.</x:v>
      </x:c>
      <x:c r="I5" s="75" t="n">
        <x:v>26686.569</x:v>
      </x:c>
      <x:c r="J5" s="75" t="n">
        <x:v>13795.101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7b7beb909f48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RUN-TRF-059-20260819T220550329754Z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RUN-TRF-059-20260819T220550329754Z</x:v>
      </x:c>
      <x:c r="C5" s="45" t="str">
        <x:v>TRF-059</x:v>
      </x:c>
      <x:c r="D5" s="88" t="n">
        <x:v>46253.921030300924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26684.902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RUN-TRF-059-20260819T220550329754Z</x:v>
      </x:c>
      <x:c r="C6" s="47" t="str">
        <x:v>TRF-059</x:v>
      </x:c>
      <x:c r="D6" s="91" t="n">
        <x:v>46253.921030324076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26686.569</x:v>
      </x:c>
      <x:c r="L6" s="93" t="b">
        <x:v>0</x:v>
      </x:c>
      <x:c r="M6" s="47" t="str">
        <x:v>resp_0ef6946dbef9451e006a8628be6b2c8190b10fbd25d902598a</x:v>
      </x:c>
      <x:c r="N6" s="59" t="n">
        <x:v>9168</x:v>
      </x:c>
      <x:c r="O6" s="59" t="n">
        <x:v>2945</x:v>
      </x:c>
      <x:c r="P6" s="59" t="n">
        <x:v>12113</x:v>
      </x:c>
    </x:row>
    <x:row r="7">
      <x:c r="A7" s="47" t="str">
        <x:v>EVT-000028</x:v>
      </x:c>
      <x:c r="B7" s="47" t="str">
        <x:v>RUN-TRF-059-20260819T220550329754Z</x:v>
      </x:c>
      <x:c r="C7" s="47" t="str">
        <x:v>TRF-059</x:v>
      </x:c>
      <x:c r="D7" s="91" t="n">
        <x:v>46253.921278622685</x:v>
      </x:c>
      <x:c r="E7" s="47" t="str">
        <x:v>syntax_repair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21220.506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RUN-TRF-059-20260819T220550329754Z</x:v>
      </x:c>
      <x:c r="C8" s="47" t="str">
        <x:v>TRF-059</x:v>
      </x:c>
      <x:c r="D8" s="91" t="n">
        <x:v>46253.92127864583</x:v>
      </x:c>
      <x:c r="E8" s="47" t="str">
        <x:v>syntax_repair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21222.379</x:v>
      </x:c>
      <x:c r="L8" s="93" t="b">
        <x:v>0</x:v>
      </x:c>
      <x:c r="M8" s="47" t="str">
        <x:v>resp_0283005d3adfaf21006a8628d956e08195857d71441f866678</x:v>
      </x:c>
      <x:c r="N8" s="59" t="n">
        <x:v>2579</x:v>
      </x:c>
      <x:c r="O8" s="59" t="n">
        <x:v>2040</x:v>
      </x:c>
      <x:c r="P8" s="59" t="n">
        <x:v>4619</x:v>
      </x:c>
    </x:row>
    <x:row r="9">
      <x:c r="A9" s="47" t="str">
        <x:v>EVT-000037</x:v>
      </x:c>
      <x:c r="B9" s="47" t="str">
        <x:v>RUN-TRF-059-20260819T220550329754Z</x:v>
      </x:c>
      <x:c r="C9" s="47" t="str">
        <x:v>TRF-059</x:v>
      </x:c>
      <x:c r="D9" s="91" t="n">
        <x:v>46253.92144097222</x:v>
      </x:c>
      <x:c r="E9" s="47" t="str">
        <x:v>validator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13794.098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EVT-000038</x:v>
      </x:c>
      <x:c r="B10" s="49" t="str">
        <x:v>RUN-TRF-059-20260819T220550329754Z</x:v>
      </x:c>
      <x:c r="C10" s="49" t="str">
        <x:v>TRF-059</x:v>
      </x:c>
      <x:c r="D10" s="94" t="n">
        <x:v>46253.921440983795</x:v>
      </x:c>
      <x:c r="E10" s="49" t="str">
        <x:v>validator</x:v>
      </x:c>
      <x:c r="F10" s="49" t="str">
        <x:v>gpt-5.6-terra-2026-07-09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13795.101</x:v>
      </x:c>
      <x:c r="L10" s="96" t="b">
        <x:v>0</x:v>
      </x:c>
      <x:c r="M10" s="49" t="str">
        <x:v>resp_01d815d5c463a348006a8628eecc3c819785ff2c409311d173</x:v>
      </x:c>
      <x:c r="N10" s="60" t="n">
        <x:v>9617</x:v>
      </x:c>
      <x:c r="O10" s="60" t="n">
        <x:v>862</x:v>
      </x:c>
      <x:c r="P10" s="60" t="n">
        <x:v>10479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9b45ba37004c5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RUN-TRF-059-20260819T220550329754Z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RUN-TRF-059-20260819T220550329754Z</x:v>
      </x:c>
      <x:c r="B5" s="45" t="str">
        <x:v>TRF-059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requiredShearArea; domain dependency of sectionModulus; domain dependency of yieldStrength</x:v>
      </x:c>
      <x:c r="J5" s="45" t="n">
        <x:v>0</x:v>
      </x:c>
    </x:row>
    <x:row r="6">
      <x:c r="A6" s="47" t="str">
        <x:v>RUN-TRF-059-20260819T220550329754Z</x:v>
      </x:c>
      <x:c r="B6" s="47" t="str">
        <x:v>TRF-059</x:v>
      </x:c>
      <x:c r="C6" s="47" t="str">
        <x:v>freeFlangeArea</x:v>
      </x:c>
      <x:c r="D6" s="48" t="str">
        <x:v>https://w3id.org/nltl/vocab#freeFlangeArea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http://qudt.org/vocab/unit/CentiM2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RUN-TRF-059-20260819T220550329754Z</x:v>
      </x:c>
      <x:c r="B7" s="47" t="str">
        <x:v>TRF-059</x:v>
      </x:c>
      <x:c r="C7" s="47" t="str">
        <x:v>freeFlangeToWebAreaRatio</x:v>
      </x:c>
      <x:c r="D7" s="48" t="str">
        <x:v>https://w3id.org/nltl/vocab#freeFlangeToWebAreaRatio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RUN-TRF-059-20260819T220550329754Z</x:v>
      </x:c>
      <x:c r="B8" s="47" t="str">
        <x:v>TRF-059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RUN-TRF-059-20260819T220550329754Z</x:v>
      </x:c>
      <x:c r="B9" s="47" t="str">
        <x:v>TRF-059</x:v>
      </x:c>
      <x:c r="C9" s="47" t="str">
        <x:v>maximumCalculatedShearForce</x:v>
      </x:c>
      <x:c r="D9" s="48" t="str">
        <x:v>https://w3id.org/nltl/vocab#maximumCalculatedShearForce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RUN-TRF-059-20260819T220550329754Z</x:v>
      </x:c>
      <x:c r="B10" s="47" t="str">
        <x:v>TRF-059</x:v>
      </x:c>
      <x:c r="C10" s="47" t="str">
        <x:v>requiredShearArea</x:v>
      </x:c>
      <x:c r="D10" s="48" t="str">
        <x:v>https://w3id.org/nltl/vocab#requiredShearArea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http://qudt.org/vocab/unit/CentiM2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RUN-TRF-059-20260819T220550329754Z</x:v>
      </x:c>
      <x:c r="B11" s="47" t="str">
        <x:v>TRF-059</x:v>
      </x:c>
      <x:c r="C11" s="47" t="str">
        <x:v>sectionModulus</x:v>
      </x:c>
      <x:c r="D11" s="48" t="str">
        <x:v>https://w3id.org/nltl/vocab#sectionModulus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http://qudt.org/vocab/unit/CentiM3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RUN-TRF-059-20260819T220550329754Z</x:v>
      </x:c>
      <x:c r="B12" s="47" t="str">
        <x:v>TRF-059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RUN-TRF-059-20260819T220550329754Z</x:v>
      </x:c>
      <x:c r="B13" s="47" t="str">
        <x:v>TRF-059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RUN-TRF-059-20260819T220550329754Z</x:v>
      </x:c>
      <x:c r="B14" s="47" t="str">
        <x:v>TRF-059</x:v>
      </x:c>
      <x:c r="C14" s="47" t="str">
        <x:v>webFrame</x:v>
      </x:c>
      <x:c r="D14" s="48" t="str">
        <x:v>https://w3id.org/nltl/vocab#webFrame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authoritative requirement target owner; domain dependency of freeFlangeArea; domain dependency of freeFlangeToWebAreaRatio; domain dependency of maximumCalculatedShearForce; domain dependency of webFrameShearDistributionFactorF13; domain dependency of webFrameShearFactorAlpha; domain dependency of webPlateArea</x:v>
      </x:c>
      <x:c r="J14" s="47" t="n">
        <x:v>0</x:v>
      </x:c>
    </x:row>
    <x:row r="15">
      <x:c r="A15" s="47" t="str">
        <x:v>RUN-TRF-059-20260819T220550329754Z</x:v>
      </x:c>
      <x:c r="B15" s="47" t="str">
        <x:v>TRF-059</x:v>
      </x:c>
      <x:c r="C15" s="47" t="str">
        <x:v>webFrameShearDistributionFactorF13</x:v>
      </x:c>
      <x:c r="D15" s="48" t="str">
        <x:v>https://w3id.org/nltl/vocab#webFrameShearDistributionFactorF13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http://qudt.org/vocab/unit/UNITLESS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RUN-TRF-059-20260819T220550329754Z</x:v>
      </x:c>
      <x:c r="B16" s="47" t="str">
        <x:v>TRF-059</x:v>
      </x:c>
      <x:c r="C16" s="47" t="str">
        <x:v>webFrameShearFactorAlpha</x:v>
      </x:c>
      <x:c r="D16" s="48" t="str">
        <x:v>https://w3id.org/nltl/vocab#webFrameShearFactorAlpha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RUN-TRF-059-20260819T220550329754Z</x:v>
      </x:c>
      <x:c r="B17" s="47" t="str">
        <x:v>TRF-059</x:v>
      </x:c>
      <x:c r="C17" s="47" t="str">
        <x:v>webPlateArea</x:v>
      </x:c>
      <x:c r="D17" s="48" t="str">
        <x:v>https://w3id.org/nltl/vocab#webPlateArea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http://qudt.org/vocab/unit/CentiM2</x:v>
      </x:c>
      <x:c r="I17" s="48" t="str">
        <x:v>linked by the locked 313-requirement index</x:v>
      </x:c>
      <x:c r="J17" s="47" t="n">
        <x:v>0</x:v>
      </x:c>
    </x:row>
    <x:row r="18">
      <x:c r="A18" s="49" t="str">
        <x:v>RUN-TRF-059-20260819T220550329754Z</x:v>
      </x:c>
      <x:c r="B18" s="49" t="str">
        <x:v>TRF-059</x:v>
      </x:c>
      <x:c r="C18" s="49" t="str">
        <x:v>yieldStrength</x:v>
      </x:c>
      <x:c r="D18" s="50" t="str">
        <x:v>https://w3id.org/nltl/vocab#yieldStrength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http://qudt.org/vocab/unit/MegaPA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580a5439f4488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RUN-TRF-059-20260819T220550329754Z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RUN-TRF-059-20260819T220550329754Z</x:v>
      </x:c>
      <x:c r="B5" s="45" t="str">
        <x:v>TRF-059</x:v>
      </x:c>
      <x:c r="C5" s="45" t="str">
        <x:v>FS-CALC-02</x:v>
      </x:c>
      <x:c r="D5" s="45" t="str">
        <x:v>comparison_calculation</x:v>
      </x:c>
      <x:c r="E5" s="99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RUN-TRF-059-20260819T220550329754Z</x:v>
      </x:c>
      <x:c r="B6" s="49" t="str">
        <x:v>TRF-059</x:v>
      </x:c>
      <x:c r="C6" s="49" t="str">
        <x:v>FS-QTY-01</x:v>
      </x:c>
      <x:c r="D6" s="49" t="str">
        <x:v>qudt_quantity</x:v>
      </x:c>
      <x:c r="E6" s="100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ff0a11352641a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RUN-TRF-059-20260819T220550329754Z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RUN-TRF-059-20260819T220550329754Z</x:v>
      </x:c>
      <x:c r="B5" s="69" t="str">
        <x:v>TRF-059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https://w3id.org/nltl/vocab#freeFlangeToWebAreaRatio | https://w3id.org/nltl/vocab#maximumCalculatedShearForce | https://w3id.org/nltl/vocab#requiredShearArea | https://w3id.org/nltl/vocab#webFrame | https://w3id.org/nltl/vocab#webFrameShearDistributionFactorF13 | https://w3id.org/nltl/vocab#webFrameShearFactorAlpha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3af7873d767445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RUN-TRF-059-20260819T220550329754Z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RUN-TRF-059-20260819T220550329754Z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RUN-TRF-059-20260819T220550329754Z</x:v>
      </x:c>
      <x:c r="B5" s="45" t="str">
        <x:v>TRF-059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ecf2371d1b95a2594b2d7b426db20f308234855c1b24b39a7a9642acd15c04e5</x:v>
      </x:c>
      <x:c r="G5" s="58" t="n">
        <x:v>20310</x:v>
      </x:c>
    </x:row>
    <x:row r="6">
      <x:c r="A6" s="47" t="str">
        <x:v>RUN-TRF-059-20260819T220550329754Z</x:v>
      </x:c>
      <x:c r="B6" s="47" t="str">
        <x:v>TRF-059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RUN-TRF-059-20260819T220550329754Z</x:v>
      </x:c>
      <x:c r="B7" s="47" t="str">
        <x:v>TRF-059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fab1f5a8bc76e5870775a8606838c2b5a23d998d4eb1d677886e50772bc229a9</x:v>
      </x:c>
      <x:c r="G7" s="59" t="n">
        <x:v>34844</x:v>
      </x:c>
    </x:row>
    <x:row r="8">
      <x:c r="A8" s="47" t="str">
        <x:v>RUN-TRF-059-20260819T220550329754Z</x:v>
      </x:c>
      <x:c r="B8" s="47" t="str">
        <x:v>TRF-059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47c1c122338fb114ebfa02877ca763c6e96aae88bd6b464406df52174b4b657d</x:v>
      </x:c>
      <x:c r="G8" s="59" t="n">
        <x:v>6067</x:v>
      </x:c>
    </x:row>
    <x:row r="9">
      <x:c r="A9" s="47" t="str">
        <x:v>RUN-TRF-059-20260819T220550329754Z</x:v>
      </x:c>
      <x:c r="B9" s="47" t="str">
        <x:v>TRF-059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346cfc990578ee320be9cb9888a3b6d27452a6b65fc68136488ea080e762c713</x:v>
      </x:c>
      <x:c r="G9" s="59" t="n">
        <x:v>8792</x:v>
      </x:c>
    </x:row>
    <x:row r="10">
      <x:c r="A10" s="47" t="str">
        <x:v>RUN-TRF-059-20260819T220550329754Z</x:v>
      </x:c>
      <x:c r="B10" s="47" t="str">
        <x:v>TRF-059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e6f6c26de0cdc29c53bcc41892f80a22c06c56043e63d767272f1ddcdc1f998d</x:v>
      </x:c>
      <x:c r="G10" s="59" t="n">
        <x:v>6076</x:v>
      </x:c>
    </x:row>
    <x:row r="11">
      <x:c r="A11" s="47" t="str">
        <x:v>RUN-TRF-059-20260819T220550329754Z</x:v>
      </x:c>
      <x:c r="B11" s="47" t="str">
        <x:v>TRF-059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87187ac4e12613adce725685a0eda9e51b4d7b9f8d194c1de4522f6321de3764</x:v>
      </x:c>
      <x:c r="G11" s="59" t="n">
        <x:v>6051</x:v>
      </x:c>
    </x:row>
    <x:row r="12">
      <x:c r="A12" s="47" t="str">
        <x:v>RUN-TRF-059-20260819T220550329754Z</x:v>
      </x:c>
      <x:c r="B12" s="47" t="str">
        <x:v>TRF-059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a9b79a0e8f3431080ce02f9f89c1145bb855976973f4063420544bbcba25005a</x:v>
      </x:c>
      <x:c r="G12" s="59" t="n">
        <x:v>788</x:v>
      </x:c>
    </x:row>
    <x:row r="13">
      <x:c r="A13" s="47" t="str">
        <x:v>RUN-TRF-059-20260819T220550329754Z</x:v>
      </x:c>
      <x:c r="B13" s="47" t="str">
        <x:v>TRF-059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75708cfdfa746a4f8320416f8eed631fdf664e04bf40d7be993606dcd0c2b4b2</x:v>
      </x:c>
      <x:c r="G13" s="59" t="n">
        <x:v>35072</x:v>
      </x:c>
    </x:row>
    <x:row r="14">
      <x:c r="A14" s="47" t="str">
        <x:v>RUN-TRF-059-20260819T220550329754Z</x:v>
      </x:c>
      <x:c r="B14" s="47" t="str">
        <x:v>TRF-059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c4353d6e3c5a2a89809892bea2b59481afcc068c2b67c47db006146db2c0996f</x:v>
      </x:c>
      <x:c r="G14" s="59" t="n">
        <x:v>286</x:v>
      </x:c>
    </x:row>
    <x:row r="15">
      <x:c r="A15" s="49" t="str">
        <x:v>RUN-TRF-059-20260819T220550329754Z</x:v>
      </x:c>
      <x:c r="B15" s="49" t="str">
        <x:v>TRF-059</x:v>
      </x:c>
      <x:c r="C15" s="60" t="n">
        <x:v>1</x:v>
      </x:c>
      <x:c r="D15" s="49" t="str">
        <x:v>final_accepted_shape</x:v>
      </x:c>
      <x:c r="E15" s="50" t="str">
        <x:v>final/final_shape.ttl</x:v>
      </x:c>
      <x:c r="F15" s="49" t="str">
        <x:v>87187ac4e12613adce725685a0eda9e51b4d7b9f8d194c1de4522f6321de3764</x:v>
      </x:c>
      <x:c r="G15" s="60" t="n">
        <x:v>6051</x:v>
      </x:c>
    </x:row>
  </x:sheetData>
  <x:pageMargins left="0.7" right="0.7" top="0.75" bottom="0.75" header="0.3" footer="0.3"/>
  <x:tableParts count="1">
    <x:tablePart xmlns:r="http://schemas.openxmlformats.org/officeDocument/2006/relationships" r:id="R9717e9f16c8f4e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RUN-TRF-059-20260819T220550329754Z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RUN-TRF-059-20260819T220550329754Z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RUN-TRF-059-20260819T220550329754Z</x:v>
      </x:c>
      <x:c r="B5" s="69" t="str">
        <x:v>TRF-059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766053d5f1475a"/>
  </x:tableParts>
</x:worksheet>
</file>