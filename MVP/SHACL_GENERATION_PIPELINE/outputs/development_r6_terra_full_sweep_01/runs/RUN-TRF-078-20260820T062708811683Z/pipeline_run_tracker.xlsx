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17837853a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834aa6b8e0413c"/>
    <x:sheet xmlns:r="http://schemas.openxmlformats.org/officeDocument/2006/relationships" name="README" sheetId="2" r:id="R66c023986bf84aae"/>
    <x:sheet xmlns:r="http://schemas.openxmlformats.org/officeDocument/2006/relationships" name="REGULATION_QUEUE" sheetId="3" r:id="R55992bdff76c48af"/>
    <x:sheet xmlns:r="http://schemas.openxmlformats.org/officeDocument/2006/relationships" name="RUNS" sheetId="4" r:id="R614678a5256342e7"/>
    <x:sheet xmlns:r="http://schemas.openxmlformats.org/officeDocument/2006/relationships" name="ITERATIONS" sheetId="5" r:id="R1d3e4b3c77ce4342"/>
    <x:sheet xmlns:r="http://schemas.openxmlformats.org/officeDocument/2006/relationships" name="API_CALLS" sheetId="6" r:id="Raa4d5b2b493a4f3c"/>
    <x:sheet xmlns:r="http://schemas.openxmlformats.org/officeDocument/2006/relationships" name="TERM_RETRIEVAL" sheetId="7" r:id="R8a212aedb3374555"/>
    <x:sheet xmlns:r="http://schemas.openxmlformats.org/officeDocument/2006/relationships" name="FEW_SHOT_SELECTION" sheetId="8" r:id="R2d59596937804140"/>
    <x:sheet xmlns:r="http://schemas.openxmlformats.org/officeDocument/2006/relationships" name="VALIDATION" sheetId="9" r:id="Rd1f7e3ae708b4957"/>
    <x:sheet xmlns:r="http://schemas.openxmlformats.org/officeDocument/2006/relationships" name="VOCAB_MATCHES" sheetId="10" r:id="R1c1127e356254dda"/>
    <x:sheet xmlns:r="http://schemas.openxmlformats.org/officeDocument/2006/relationships" name="ARTIFACTS" sheetId="11" r:id="R8b93e492b3c24289"/>
    <x:sheet xmlns:r="http://schemas.openxmlformats.org/officeDocument/2006/relationships" name="UNRESOLVED" sheetId="12" r:id="Rcfdc8353df8e493c"/>
    <x:sheet xmlns:r="http://schemas.openxmlformats.org/officeDocument/2006/relationships" name="RDF_TEST_QUEUE" sheetId="13" r:id="Rbd3aae098ce145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825ea29624085" /><Relationship Type="http://schemas.openxmlformats.org/officeDocument/2006/relationships/theme" Target="/xl/theme/theme1.xml" Id="Re83c68d9d6064346" /><Relationship Type="http://schemas.microsoft.com/office/2022/11/relationships/FeaturePropertyBag" Target="/xl/featurePropertyBag/featurePropertyBag.xml" Id="R5ebb7dde1a3146eb" /><Relationship Type="http://schemas.openxmlformats.org/officeDocument/2006/relationships/sharedStrings" Target="/xl/sharedStrings.xml" Id="R5ce9597998c940b1" /><Relationship Type="http://schemas.openxmlformats.org/officeDocument/2006/relationships/worksheet" Target="/xl/worksheets/sheet1.xml" Id="R6a834aa6b8e0413c" /><Relationship Type="http://schemas.openxmlformats.org/officeDocument/2006/relationships/worksheet" Target="/xl/worksheets/sheet2.xml" Id="R66c023986bf84aae" /><Relationship Type="http://schemas.openxmlformats.org/officeDocument/2006/relationships/worksheet" Target="/xl/worksheets/sheet3.xml" Id="R55992bdff76c48af" /><Relationship Type="http://schemas.openxmlformats.org/officeDocument/2006/relationships/worksheet" Target="/xl/worksheets/sheet4.xml" Id="R614678a5256342e7" /><Relationship Type="http://schemas.openxmlformats.org/officeDocument/2006/relationships/worksheet" Target="/xl/worksheets/sheet5.xml" Id="R1d3e4b3c77ce4342" /><Relationship Type="http://schemas.openxmlformats.org/officeDocument/2006/relationships/worksheet" Target="/xl/worksheets/sheet6.xml" Id="Raa4d5b2b493a4f3c" /><Relationship Type="http://schemas.openxmlformats.org/officeDocument/2006/relationships/worksheet" Target="/xl/worksheets/sheet7.xml" Id="R8a212aedb3374555" /><Relationship Type="http://schemas.openxmlformats.org/officeDocument/2006/relationships/worksheet" Target="/xl/worksheets/sheet8.xml" Id="R2d59596937804140" /><Relationship Type="http://schemas.openxmlformats.org/officeDocument/2006/relationships/worksheet" Target="/xl/worksheets/sheet9.xml" Id="Rd1f7e3ae708b4957" /><Relationship Type="http://schemas.openxmlformats.org/officeDocument/2006/relationships/worksheet" Target="/xl/worksheets/sheet10.xml" Id="R1c1127e356254dda" /><Relationship Type="http://schemas.openxmlformats.org/officeDocument/2006/relationships/worksheet" Target="/xl/worksheets/sheet11.xml" Id="R8b93e492b3c24289" /><Relationship Type="http://schemas.openxmlformats.org/officeDocument/2006/relationships/worksheet" Target="/xl/worksheets/sheet12.xml" Id="Rcfdc8353df8e493c" /><Relationship Type="http://schemas.openxmlformats.org/officeDocument/2006/relationships/worksheet" Target="/xl/worksheets/sheet13.xml" Id="Rbd3aae098ce145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5077bae14d4e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556059df374d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5e8ea99f5145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b976d92e2b41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d3993128cd41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caeac5ec8b44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090282f69242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1d8e35a44140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3cd5b7439240f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4a89a5ec76040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RUN-TRF-078-20260820T062708811683Z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37935.5015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RUN-TRF-078-20260820T062708811683Z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5077bae14d4e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RUN-TRF-078-20260820T062708811683Z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MAX_ATTEMPTS_REACHED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556059df374d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RUN-TRF-078-20260820T062708811683Z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RUN-TRF-078-20260820T062708811683Z</x:v>
      </x:c>
      <x:c r="C5" s="69" t="str">
        <x:v>TRF-078</x:v>
      </x:c>
      <x:c r="D5" s="70" t="n">
        <x:v>46254.26885201389</x:v>
      </x:c>
      <x:c r="E5" s="70" t="n">
        <x:v>46254.27149519676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Make the Table 6-6 and Table 6-7 lookup selections unambiguous and non-combinatorial: require exactly one qualifying nltl:hasTableLookupCase for each cited table (add sh:qualifiedMaxCount 1 alongside each qualifiedMinCount 1), and constrain each qualifying case's nltl:tableReference to sh:maxCount 1. This prevents one case from claiming both tables and prevents the formula query from cross-joining multiple independently selected N_class or k_1 values. Retain the mandatory lookupSelectionEvidence and qudt:QuantityValue range constraints already present.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5e8ea99f5145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RUN-TRF-078-20260820T062708811683Z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RUN-TRF-078-20260820T062708811683Z</x:v>
      </x:c>
      <x:c r="B5" s="45" t="str">
        <x:v>TRF-078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Make nltl:lookupSelectionEvidence mandatory on every tableLookupCase (sh:minCount 1, retaining its evidenceArtifact class constraint). The COMPLETE dependency contract declares this tableLookupCase-to-evidenceArtifact model path and relationship/evidence role; the current optional property permits table selections with no required selection evidence.</x:v>
      </x:c>
      <x:c r="I5" s="84" t="n">
        <x:v>50189.866</x:v>
      </x:c>
      <x:c r="J5" s="84" t="n">
        <x:v>25159.681</x:v>
      </x:c>
    </x:row>
    <x:row r="6">
      <x:c r="A6" s="47" t="str">
        <x:v>RUN-TRF-078-20260820T062708811683Z</x:v>
      </x:c>
      <x:c r="B6" s="47" t="str">
        <x:v>TRF-078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sh:class qudt:QuantityValue to each quantity-value node constraint for iceLoadCycleCoefficientK1, iceLoadCycleCoefficientK2, iceLoadCycleCoefficientK3, propellerBladeLoadSpectrumCountFactor, selectedIceClassCycleCount, and selectedPropellerLocationFactor. Their canonical range is qudt:QuantityValue; numericValue/unit subproperties alone do not enforce that required range.</x:v>
      </x:c>
      <x:c r="I6" s="86" t="n">
        <x:v>39988.77</x:v>
      </x:c>
      <x:c r="J6" s="86" t="n">
        <x:v>24085.728</x:v>
      </x:c>
    </x:row>
    <x:row r="7">
      <x:c r="A7" s="49" t="str">
        <x:v>RUN-TRF-078-20260820T062708811683Z</x:v>
      </x:c>
      <x:c r="B7" s="49" t="str">
        <x:v>TRF-078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Make the Table 6-6 and Table 6-7 lookup selections unambiguous and non-combinatorial: require exactly one qualifying nltl:hasTableLookupCase for each cited table (add sh:qualifiedMaxCount 1 alongside each qualifiedMinCount 1), and constrain each qualifying case's nltl:tableReference to sh:maxCount 1. This prevents one case from claiming both tables and prevents the formula query from cross-joining multiple independently selected N_class or k_1 values. Retain the mandatory lookupSelectionEvidence and qudt:QuantityValue range constraints already present.</x:v>
      </x:c>
      <x:c r="I7" s="88" t="n">
        <x:v>52360.356</x:v>
      </x:c>
      <x:c r="J7" s="88" t="n">
        <x:v>35833.734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b976d92e2b41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RUN-TRF-078-20260820T062708811683Z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RUN-TRF-078-20260820T062708811683Z</x:v>
      </x:c>
      <x:c r="C5" s="45" t="str">
        <x:v>TRF-078</x:v>
      </x:c>
      <x:c r="D5" s="92" t="n">
        <x:v>46254.26943292824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50187.685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RUN-TRF-078-20260820T062708811683Z</x:v>
      </x:c>
      <x:c r="C6" s="47" t="str">
        <x:v>TRF-078</x:v>
      </x:c>
      <x:c r="D6" s="93" t="n">
        <x:v>46254.26943296296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50189.866</x:v>
      </x:c>
      <x:c r="L6" s="85" t="b">
        <x:v>0</x:v>
      </x:c>
      <x:c r="M6" s="47" t="str">
        <x:v>resp_0ca5b2d2e30d375a006a869e3d7c908193857af51aec100c71</x:v>
      </x:c>
      <x:c r="N6" s="59" t="n">
        <x:v>12833</x:v>
      </x:c>
      <x:c r="O6" s="59" t="n">
        <x:v>3837</x:v>
      </x:c>
      <x:c r="P6" s="59" t="n">
        <x:v>16670</x:v>
      </x:c>
    </x:row>
    <x:row r="7">
      <x:c r="A7" s="47" t="str">
        <x:v>EVT-000046</x:v>
      </x:c>
      <x:c r="B7" s="47" t="str">
        <x:v>RUN-TRF-078-20260820T062708811683Z</x:v>
      </x:c>
      <x:c r="C7" s="47" t="str">
        <x:v>TRF-078</x:v>
      </x:c>
      <x:c r="D7" s="93" t="n">
        <x:v>46254.26972685185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25157.827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RUN-TRF-078-20260820T062708811683Z</x:v>
      </x:c>
      <x:c r="C8" s="47" t="str">
        <x:v>TRF-078</x:v>
      </x:c>
      <x:c r="D8" s="93" t="n">
        <x:v>46254.269726875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25159.681</x:v>
      </x:c>
      <x:c r="L8" s="85" t="b">
        <x:v>0</x:v>
      </x:c>
      <x:c r="M8" s="47" t="str">
        <x:v>resp_04903031671e8ec5006a869e713ff8819088c30b3e611115c6</x:v>
      </x:c>
      <x:c r="N8" s="59" t="n">
        <x:v>14564</x:v>
      </x:c>
      <x:c r="O8" s="59" t="n">
        <x:v>599</x:v>
      </x:c>
      <x:c r="P8" s="59" t="n">
        <x:v>15163</x:v>
      </x:c>
    </x:row>
    <x:row r="9">
      <x:c r="A9" s="47" t="str">
        <x:v>EVT-000052</x:v>
      </x:c>
      <x:c r="B9" s="47" t="str">
        <x:v>RUN-TRF-078-20260820T062708811683Z</x:v>
      </x:c>
      <x:c r="C9" s="47" t="str">
        <x:v>TRF-078</x:v>
      </x:c>
      <x:c r="D9" s="93" t="n">
        <x:v>46254.27018974537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39987.057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RUN-TRF-078-20260820T062708811683Z</x:v>
      </x:c>
      <x:c r="C10" s="47" t="str">
        <x:v>TRF-078</x:v>
      </x:c>
      <x:c r="D10" s="93" t="n">
        <x:v>46254.27018975694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39988.77</x:v>
      </x:c>
      <x:c r="L10" s="85" t="b">
        <x:v>0</x:v>
      </x:c>
      <x:c r="M10" s="47" t="str">
        <x:v>resp_0bba215046eec01e006a869e88d59481978fb03b004b3c1467</x:v>
      </x:c>
      <x:c r="N10" s="59" t="n">
        <x:v>12895</x:v>
      </x:c>
      <x:c r="O10" s="59" t="n">
        <x:v>3591</x:v>
      </x:c>
      <x:c r="P10" s="59" t="n">
        <x:v>16486</x:v>
      </x:c>
    </x:row>
    <x:row r="11">
      <x:c r="A11" s="47" t="str">
        <x:v>EVT-000060</x:v>
      </x:c>
      <x:c r="B11" s="47" t="str">
        <x:v>RUN-TRF-078-20260820T062708811683Z</x:v>
      </x:c>
      <x:c r="C11" s="47" t="str">
        <x:v>TRF-078</x:v>
      </x:c>
      <x:c r="D11" s="93" t="n">
        <x:v>46254.270471909724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24084.674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RUN-TRF-078-20260820T062708811683Z</x:v>
      </x:c>
      <x:c r="C12" s="47" t="str">
        <x:v>TRF-078</x:v>
      </x:c>
      <x:c r="D12" s="93" t="n">
        <x:v>46254.2704719213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24085.728</x:v>
      </x:c>
      <x:c r="L12" s="85" t="b">
        <x:v>0</x:v>
      </x:c>
      <x:c r="M12" s="47" t="str">
        <x:v>resp_0092fb4893d854e5006a869eb127bc81949e5a10539309973b</x:v>
      </x:c>
      <x:c r="N12" s="59" t="n">
        <x:v>15193</x:v>
      </x:c>
      <x:c r="O12" s="59" t="n">
        <x:v>1306</x:v>
      </x:c>
      <x:c r="P12" s="59" t="n">
        <x:v>16499</x:v>
      </x:c>
    </x:row>
    <x:row r="13">
      <x:c r="A13" s="47" t="str">
        <x:v>EVT-000066</x:v>
      </x:c>
      <x:c r="B13" s="47" t="str">
        <x:v>RUN-TRF-078-20260820T062708811683Z</x:v>
      </x:c>
      <x:c r="C13" s="47" t="str">
        <x:v>TRF-078</x:v>
      </x:c>
      <x:c r="D13" s="93" t="n">
        <x:v>46254.27107795139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52358.579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RUN-TRF-078-20260820T062708811683Z</x:v>
      </x:c>
      <x:c r="C14" s="47" t="str">
        <x:v>TRF-078</x:v>
      </x:c>
      <x:c r="D14" s="93" t="n">
        <x:v>46254.27107797454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52360.356</x:v>
      </x:c>
      <x:c r="L14" s="85" t="b">
        <x:v>0</x:v>
      </x:c>
      <x:c r="M14" s="47" t="str">
        <x:v>resp_0813ddc0d1ba6f75006a869ec942bc8193ab01fffc0b797977</x:v>
      </x:c>
      <x:c r="N14" s="59" t="n">
        <x:v>12980</x:v>
      </x:c>
      <x:c r="O14" s="59" t="n">
        <x:v>4342</x:v>
      </x:c>
      <x:c r="P14" s="59" t="n">
        <x:v>17322</x:v>
      </x:c>
    </x:row>
    <x:row r="15">
      <x:c r="A15" s="47" t="str">
        <x:v>EVT-000074</x:v>
      </x:c>
      <x:c r="B15" s="47" t="str">
        <x:v>RUN-TRF-078-20260820T062708811683Z</x:v>
      </x:c>
      <x:c r="C15" s="47" t="str">
        <x:v>TRF-078</x:v>
      </x:c>
      <x:c r="D15" s="93" t="n">
        <x:v>46254.271495127316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35832.061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EVT-000075</x:v>
      </x:c>
      <x:c r="B16" s="49" t="str">
        <x:v>RUN-TRF-078-20260820T062708811683Z</x:v>
      </x:c>
      <x:c r="C16" s="49" t="str">
        <x:v>TRF-078</x:v>
      </x:c>
      <x:c r="D16" s="94" t="n">
        <x:v>46254.27149515046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35833.734</x:v>
      </x:c>
      <x:c r="L16" s="87" t="b">
        <x:v>0</x:v>
      </x:c>
      <x:c r="M16" s="49" t="str">
        <x:v>resp_0480a35c8e8cc2f0006a869efdc6bc8193b796115cd480ec23</x:v>
      </x:c>
      <x:c r="N16" s="60" t="n">
        <x:v>14536</x:v>
      </x:c>
      <x:c r="O16" s="60" t="n">
        <x:v>2377</x:v>
      </x:c>
      <x:c r="P16" s="60" t="n">
        <x:v>16913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d3993128cd41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RUN-TRF-078-20260820T062708811683Z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RUN-TRF-078-20260820T062708811683Z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classLoadCycleCount; domain dependency of iceLoadCycleCoefficientK1; domain dependency of iceLoadCycleCoefficientK2; domain dependency of iceLoadCycleCoefficientK3; domain dependency of iceLoadCycleCount; range dependency of propellerLocationValue</x:v>
      </x:c>
      <x:c r="J5" s="45" t="n">
        <x:v>0</x:v>
      </x:c>
    </x:row>
    <x:row r="6">
      <x:c r="A6" s="47" t="str">
        <x:v>RUN-TRF-078-20260820T062708811683Z</x:v>
      </x:c>
      <x:c r="B6" s="47" t="str">
        <x:v>TRF-078</x:v>
      </x:c>
      <x:c r="C6" s="47" t="str">
        <x:v>classLoadCycleCount</x:v>
      </x:c>
      <x:c r="D6" s="48" t="str">
        <x:v>https://w3id.org/nltl/vocab#classLoadCycleCount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RUN-TRF-078-20260820T062708811683Z</x:v>
      </x:c>
      <x:c r="B7" s="47" t="str">
        <x:v>TRF-078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RUN-TRF-078-20260820T062708811683Z</x:v>
      </x:c>
      <x:c r="B8" s="47" t="str">
        <x:v>TRF-078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RUN-TRF-078-20260820T062708811683Z</x:v>
      </x:c>
      <x:c r="B9" s="47" t="str">
        <x:v>TRF-078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RUN-TRF-078-20260820T062708811683Z</x:v>
      </x:c>
      <x:c r="B10" s="47" t="str">
        <x:v>TRF-078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RUN-TRF-078-20260820T062708811683Z</x:v>
      </x:c>
      <x:c r="B11" s="47" t="str">
        <x:v>TRF-078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traficomTable6Dash6; controlled value permitted by the range of traficomTable6Dash7</x:v>
      </x:c>
      <x:c r="J11" s="47" t="n">
        <x:v>0</x:v>
      </x:c>
    </x:row>
    <x:row r="12">
      <x:c r="A12" s="47" t="str">
        <x:v>RUN-TRF-078-20260820T062708811683Z</x:v>
      </x:c>
      <x:c r="B12" s="47" t="str">
        <x:v>TRF-078</x:v>
      </x:c>
      <x:c r="C12" s="47" t="str">
        <x:v>iceLoadCycleCoefficientK1</x:v>
      </x:c>
      <x:c r="D12" s="48" t="str">
        <x:v>https://w3id.org/nltl/vocab#iceLoadCycleCoefficientK1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RUN-TRF-078-20260820T062708811683Z</x:v>
      </x:c>
      <x:c r="B13" s="47" t="str">
        <x:v>TRF-078</x:v>
      </x:c>
      <x:c r="C13" s="47" t="str">
        <x:v>iceLoadCycleCoefficientK2</x:v>
      </x:c>
      <x:c r="D13" s="48" t="str">
        <x:v>https://w3id.org/nltl/vocab#iceLoadCycleCoefficientK2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RUN-TRF-078-20260820T062708811683Z</x:v>
      </x:c>
      <x:c r="B14" s="47" t="str">
        <x:v>TRF-078</x:v>
      </x:c>
      <x:c r="C14" s="47" t="str">
        <x:v>iceLoadCycleCoefficientK3</x:v>
      </x:c>
      <x:c r="D14" s="48" t="str">
        <x:v>https://w3id.org/nltl/vocab#iceLoadCycleCoefficientK3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RUN-TRF-078-20260820T062708811683Z</x:v>
      </x:c>
      <x:c r="B15" s="47" t="str">
        <x:v>TRF-078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RUN-TRF-078-20260820T062708811683Z</x:v>
      </x:c>
      <x:c r="B16" s="47" t="str">
        <x:v>TRF-078</x:v>
      </x:c>
      <x:c r="C16" s="47" t="str">
        <x:v>lookupSelectionEvidence</x:v>
      </x:c>
      <x:c r="D16" s="48" t="str">
        <x:v>https://w3id.org/nltl/vocab#lookupSelectionEvidence</x:v>
      </x:c>
      <x:c r="E16" s="47" t="str">
        <x:v>ObjectProperty</x:v>
      </x:c>
      <x:c r="F16" s="47" t="str"/>
      <x:c r="G16" s="47" t="str">
        <x:v>https://w3id.org/nltl/vocab#evidenceArtifact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RUN-TRF-078-20260820T062708811683Z</x:v>
      </x:c>
      <x:c r="B17" s="47" t="str">
        <x:v>TRF-078</x:v>
      </x:c>
      <x:c r="C17" s="47" t="str">
        <x:v>propellerBladeLoadSpectrumCountFactor</x:v>
      </x:c>
      <x:c r="D17" s="48" t="str">
        <x:v>https://w3id.org/nltl/vocab#propellerBladeLoadSpectrumCountFactor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RUN-TRF-078-20260820T062708811683Z</x:v>
      </x:c>
      <x:c r="B18" s="47" t="str">
        <x:v>TRF-078</x:v>
      </x:c>
      <x:c r="C18" s="47" t="str">
        <x:v>propellerLocation</x:v>
      </x:c>
      <x:c r="D18" s="48" t="str">
        <x:v>https://w3id.org/nltl/vocab#propellerLocation</x:v>
      </x:c>
      <x:c r="E18" s="47" t="str">
        <x:v>ObjectProperty</x:v>
      </x:c>
      <x:c r="F18" s="47" t="str"/>
      <x:c r="G18" s="47" t="str">
        <x:v>https://w3id.org/nltl/vocab#propellerLocationValue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RUN-TRF-078-20260820T062708811683Z</x:v>
      </x:c>
      <x:c r="B19" s="47" t="str">
        <x:v>TRF-078</x:v>
      </x:c>
      <x:c r="C19" s="47" t="str">
        <x:v>propellerLocationValue</x:v>
      </x:c>
      <x:c r="D19" s="48" t="str">
        <x:v>https://w3id.org/nltl/vocab#propellerLocationValue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propellerLocation</x:v>
      </x:c>
      <x:c r="J19" s="47" t="n">
        <x:v>0</x:v>
      </x:c>
    </x:row>
    <x:row r="20">
      <x:c r="A20" s="47" t="str">
        <x:v>RUN-TRF-078-20260820T062708811683Z</x:v>
      </x:c>
      <x:c r="B20" s="47" t="str">
        <x:v>TRF-078</x:v>
      </x:c>
      <x:c r="C20" s="47" t="str">
        <x:v>selectedIceClassCycleCount</x:v>
      </x:c>
      <x:c r="D20" s="48" t="str">
        <x:v>https://w3id.org/nltl/vocab#selectedIceClassCycleCount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RUN-TRF-078-20260820T062708811683Z</x:v>
      </x:c>
      <x:c r="B21" s="47" t="str">
        <x:v>TRF-078</x:v>
      </x:c>
      <x:c r="C21" s="47" t="str">
        <x:v>selectedPropellerLocationFactor</x:v>
      </x:c>
      <x:c r="D21" s="48" t="str">
        <x:v>https://w3id.org/nltl/vocab#selectedPropellerLocationFactor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RUN-TRF-078-20260820T062708811683Z</x:v>
      </x:c>
      <x:c r="B22" s="47" t="str">
        <x:v>TRF-078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hasTableLookupCase; domain dependency of propellerBladeLoadSpectrumCountFactor; domain dependency of propellerLocation</x:v>
      </x:c>
      <x:c r="J22" s="47" t="n">
        <x:v>0</x:v>
      </x:c>
    </x:row>
    <x:row r="23">
      <x:c r="A23" s="47" t="str">
        <x:v>RUN-TRF-078-20260820T062708811683Z</x:v>
      </x:c>
      <x:c r="B23" s="47" t="str">
        <x:v>TRF-078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RUN-TRF-078-20260820T062708811683Z</x:v>
      </x:c>
      <x:c r="B24" s="47" t="str">
        <x:v>TRF-078</x:v>
      </x:c>
      <x:c r="C24" s="47" t="str">
        <x:v>tableLookupCase</x:v>
      </x:c>
      <x:c r="D24" s="48" t="str">
        <x:v>https://w3id.org/nltl/vocab#tableLookupCase</x:v>
      </x:c>
      <x:c r="E24" s="47" t="str">
        <x:v>Class</x:v>
      </x:c>
      <x:c r="F24" s="47" t="str"/>
      <x:c r="G24" s="47" t="str">
        <x:v>https://w3id.org/nltl/vocab#calculationCase</x:v>
      </x:c>
      <x:c r="H24" s="47" t="str"/>
      <x:c r="I24" s="48" t="str">
        <x:v>authoritative required owner class; domain dependency of lookupSelectionEvidence; domain dependency of selectedIceClassCycleCount; domain dependency of selectedPropellerLocationFactor; domain dependency of tableReference; range dependency of hasTableLookupCase</x:v>
      </x:c>
      <x:c r="J24" s="47" t="n">
        <x:v>0</x:v>
      </x:c>
    </x:row>
    <x:row r="25">
      <x:c r="A25" s="47" t="str">
        <x:v>RUN-TRF-078-20260820T062708811683Z</x:v>
      </x:c>
      <x:c r="B25" s="47" t="str">
        <x:v>TRF-078</x:v>
      </x:c>
      <x:c r="C25" s="47" t="str">
        <x:v>tableReference</x:v>
      </x:c>
      <x:c r="D25" s="48" t="str">
        <x:v>https://w3id.org/nltl/vocab#tableReference</x:v>
      </x:c>
      <x:c r="E25" s="47" t="str">
        <x:v>ObjectProperty</x:v>
      </x:c>
      <x:c r="F25" s="47" t="str"/>
      <x:c r="G25" s="47" t="str">
        <x:v>https://w3id.org/nltl/vocab#tableReferenceValue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RUN-TRF-078-20260820T062708811683Z</x:v>
      </x:c>
      <x:c r="B26" s="47" t="str">
        <x:v>TRF-078</x:v>
      </x:c>
      <x:c r="C26" s="47" t="str">
        <x:v>tableReferenceValue</x:v>
      </x:c>
      <x:c r="D26" s="48" t="str">
        <x:v>https://w3id.org/nltl/vocab#tableReferenceValue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range dependency of tableReference; range dependency of traficomTable6Dash6; range dependency of traficomTable6Dash7</x:v>
      </x:c>
      <x:c r="J26" s="47" t="n">
        <x:v>0</x:v>
      </x:c>
    </x:row>
    <x:row r="27">
      <x:c r="A27" s="47" t="str">
        <x:v>RUN-TRF-078-20260820T062708811683Z</x:v>
      </x:c>
      <x:c r="B27" s="47" t="str">
        <x:v>TRF-078</x:v>
      </x:c>
      <x:c r="C27" s="47" t="str">
        <x:v>traficomTable4Dash8</x:v>
      </x:c>
      <x:c r="D27" s="48" t="str">
        <x:v>https://w3id.org/nltl/vocab#traficomTable4Dash8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traficomTable6Dash6; controlled value permitted by the range of traficomTable6Dash7</x:v>
      </x:c>
      <x:c r="J27" s="47" t="n">
        <x:v>0</x:v>
      </x:c>
    </x:row>
    <x:row r="28">
      <x:c r="A28" s="47" t="str">
        <x:v>RUN-TRF-078-20260820T062708811683Z</x:v>
      </x:c>
      <x:c r="B28" s="47" t="str">
        <x:v>TRF-078</x:v>
      </x:c>
      <x:c r="C28" s="47" t="str">
        <x:v>traficomTable6Dash10</x:v>
      </x:c>
      <x:c r="D28" s="48" t="str">
        <x:v>https://w3id.org/nltl/vocab#traficomTable6Dash10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traficomTable6Dash6; controlled value permitted by the range of traficomTable6Dash7</x:v>
      </x:c>
      <x:c r="J28" s="47" t="n">
        <x:v>0</x:v>
      </x:c>
    </x:row>
    <x:row r="29">
      <x:c r="A29" s="47" t="str">
        <x:v>RUN-TRF-078-20260820T062708811683Z</x:v>
      </x:c>
      <x:c r="B29" s="47" t="str">
        <x:v>TRF-078</x:v>
      </x:c>
      <x:c r="C29" s="47" t="str">
        <x:v>traficomTable6Dash16Reference</x:v>
      </x:c>
      <x:c r="D29" s="48" t="str">
        <x:v>https://w3id.org/nltl/vocab#traficomTable6Dash16Reference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traficomTable6Dash6; controlled value permitted by the range of traficomTable6Dash7</x:v>
      </x:c>
      <x:c r="J29" s="47" t="n">
        <x:v>0</x:v>
      </x:c>
    </x:row>
    <x:row r="30">
      <x:c r="A30" s="47" t="str">
        <x:v>RUN-TRF-078-20260820T062708811683Z</x:v>
      </x:c>
      <x:c r="B30" s="47" t="str">
        <x:v>TRF-078</x:v>
      </x:c>
      <x:c r="C30" s="47" t="str">
        <x:v>traficomTable6Dash3Reference</x:v>
      </x:c>
      <x:c r="D30" s="48" t="str">
        <x:v>https://w3id.org/nltl/vocab#traficomTable6Dash3Reference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traficomTable6Dash6; controlled value permitted by the range of traficomTable6Dash7</x:v>
      </x:c>
      <x:c r="J30" s="47" t="n">
        <x:v>0</x:v>
      </x:c>
    </x:row>
    <x:row r="31">
      <x:c r="A31" s="47" t="str">
        <x:v>RUN-TRF-078-20260820T062708811683Z</x:v>
      </x:c>
      <x:c r="B31" s="47" t="str">
        <x:v>TRF-078</x:v>
      </x:c>
      <x:c r="C31" s="47" t="str">
        <x:v>traficomTable6Dash6</x:v>
      </x:c>
      <x:c r="D31" s="48" t="str">
        <x:v>https://w3id.org/nltl/vocab#traficomTable6Dash6</x:v>
      </x:c>
      <x:c r="E31" s="47" t="str">
        <x:v>NamedIndividual</x:v>
      </x:c>
      <x:c r="F31" s="47" t="str"/>
      <x:c r="G31" s="47" t="str">
        <x:v>https://w3id.org/nltl/vocab#tableReferenceValue</x:v>
      </x:c>
      <x:c r="H31" s="47" t="str"/>
      <x:c r="I31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1" s="47" t="n">
        <x:v>0</x:v>
      </x:c>
    </x:row>
    <x:row r="32">
      <x:c r="A32" s="47" t="str">
        <x:v>RUN-TRF-078-20260820T062708811683Z</x:v>
      </x:c>
      <x:c r="B32" s="47" t="str">
        <x:v>TRF-078</x:v>
      </x:c>
      <x:c r="C32" s="47" t="str">
        <x:v>traficomTable6Dash7</x:v>
      </x:c>
      <x:c r="D32" s="48" t="str">
        <x:v>https://w3id.org/nltl/vocab#traficomTable6Dash7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2" s="47" t="n">
        <x:v>0</x:v>
      </x:c>
    </x:row>
    <x:row r="33">
      <x:c r="A33" s="47" t="str">
        <x:v>RUN-TRF-078-20260820T062708811683Z</x:v>
      </x:c>
      <x:c r="B33" s="47" t="str">
        <x:v>TRF-078</x:v>
      </x:c>
      <x:c r="C33" s="47" t="str">
        <x:v>traficomTable6Dash8</x:v>
      </x:c>
      <x:c r="D33" s="48" t="str">
        <x:v>https://w3id.org/nltl/vocab#traficomTable6Dash8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9" t="str">
        <x:v>RUN-TRF-078-20260820T062708811683Z</x:v>
      </x:c>
      <x:c r="B34" s="49" t="str">
        <x:v>TRF-078</x:v>
      </x:c>
      <x:c r="C34" s="49" t="str">
        <x:v>traficomTable6Dash9</x:v>
      </x:c>
      <x:c r="D34" s="50" t="str">
        <x:v>https://w3id.org/nltl/vocab#traficomTable6Dash9</x:v>
      </x:c>
      <x:c r="E34" s="49" t="str">
        <x:v>NamedIndividual</x:v>
      </x:c>
      <x:c r="F34" s="49" t="str"/>
      <x:c r="G34" s="49" t="str">
        <x:v>https://w3id.org/nltl/vocab#tableReferenceValue</x:v>
      </x:c>
      <x:c r="H34" s="49" t="str"/>
      <x:c r="I34" s="50" t="str">
        <x:v>controlled value permitted by the range of tableReference; controlled value permitted by the range of traficomTable6Dash6; controlled value permitted by the range of traficomTable6Dash7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caeac5ec8b44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RUN-TRF-078-20260820T062708811683Z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RUN-TRF-078-20260820T062708811683Z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7" t="n">
        <x:v>0.069767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RUN-TRF-078-20260820T062708811683Z</x:v>
      </x:c>
      <x:c r="B6" s="49" t="str">
        <x:v>TRF-078</x:v>
      </x:c>
      <x:c r="C6" s="49" t="str">
        <x:v>FS-REL-01</x:v>
      </x:c>
      <x:c r="D6" s="49" t="str">
        <x:v>entity_relation</x:v>
      </x:c>
      <x:c r="E6" s="98" t="n">
        <x:v>0.068182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090282f69242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RUN-TRF-078-20260820T062708811683Z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RUN-TRF-078-20260820T062708811683Z</x:v>
      </x:c>
      <x:c r="B5" s="45" t="str">
        <x:v>TRF-078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https://w3id.org/nltl/vocab#classLoadCycleCount | https://w3id.org/nltl/vocab#evidenceArtifact | https://w3id.org/nltl/vocab#hasTableLookupCase | https://w3id.org/nltl/vocab#iceLoadCycleCoefficientK1 | https://w3id.org/nltl/vocab#iceLoadCycleCoefficientK2 | https://w3id.org/nltl/vocab#iceLoadCycleCoefficientK3 | https://w3id.org/nltl/vocab#iceLoadCycleCount | https://w3id.org/nltl/vocab#lookupSelectionEvidence | https://w3id.org/nltl/vocab#propellerBladeLoadSpectrumCountFactor | https://w3id.org/nltl/vocab#propellerLocation | https://w3id.org/nltl/vocab#propellerLocationValue | https://w3id.org/nltl/vocab#selectedIceClassCycleCount | https://w3id.org/nltl/vocab#selectedPropellerLocationFactor | https://w3id.org/nltl/vocab#ship | https://w3id.org/nltl/vocab#tableReference | https://w3id.org/nltl/vocab#traficomTable6Dash6 | https://w3id.org/nltl/vocab#traficomTable6Dash7</x:v>
      </x:c>
      <x:c r="O5" s="46" t="str"/>
      <x:c r="P5" s="46" t="str"/>
      <x:c r="Q5" s="46" t="str"/>
    </x:row>
    <x:row r="6">
      <x:c r="A6" s="47" t="str">
        <x:v>RUN-TRF-078-20260820T062708811683Z</x:v>
      </x:c>
      <x:c r="B6" s="47" t="str">
        <x:v>TRF-078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https://w3id.org/nltl/vocab#classLoadCycleCount | https://w3id.org/nltl/vocab#evidenceArtifact | https://w3id.org/nltl/vocab#hasTableLookupCase | https://w3id.org/nltl/vocab#iceLoadCycleCoefficientK1 | https://w3id.org/nltl/vocab#iceLoadCycleCoefficientK2 | https://w3id.org/nltl/vocab#iceLoadCycleCoefficientK3 | https://w3id.org/nltl/vocab#iceLoadCycleCount | https://w3id.org/nltl/vocab#lookupSelectionEvidence | https://w3id.org/nltl/vocab#propellerBladeLoadSpectrumCountFactor | https://w3id.org/nltl/vocab#propellerLocation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https://w3id.org/nltl/vocab#tableReference | https://w3id.org/nltl/vocab#traficomTable6Dash6 | https://w3id.org/nltl/vocab#traficomTable6Dash7</x:v>
      </x:c>
      <x:c r="O6" s="48" t="str"/>
      <x:c r="P6" s="48" t="str"/>
      <x:c r="Q6" s="48" t="str"/>
    </x:row>
    <x:row r="7">
      <x:c r="A7" s="49" t="str">
        <x:v>RUN-TRF-078-20260820T062708811683Z</x:v>
      </x:c>
      <x:c r="B7" s="49" t="str">
        <x:v>TRF-078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https://w3id.org/nltl/vocab#classLoadCycleCount | https://w3id.org/nltl/vocab#evidenceArtifact | https://w3id.org/nltl/vocab#hasTableLookupCase | https://w3id.org/nltl/vocab#iceLoadCycleCoefficientK1 | https://w3id.org/nltl/vocab#iceLoadCycleCoefficientK2 | https://w3id.org/nltl/vocab#iceLoadCycleCoefficientK3 | https://w3id.org/nltl/vocab#iceLoadCycleCount | https://w3id.org/nltl/vocab#lookupSelectionEvidence | https://w3id.org/nltl/vocab#propellerBladeLoadSpectrumCountFactor | https://w3id.org/nltl/vocab#propellerLocation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https://w3id.org/nltl/vocab#tableReference | https://w3id.org/nltl/vocab#traficomTable6Dash6 | https://w3id.org/nltl/vocab#traficomTable6Dash7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d1d8e35a44140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RUN-TRF-078-20260820T062708811683Z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RUN-TRF-078-20260820T062708811683Z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RUN-TRF-078-20260820T062708811683Z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49961e4dd701f24df31ea3fc16cc5d084c93f1d9955eb70a9ffce71c9764378f</x:v>
      </x:c>
      <x:c r="G5" s="58" t="n">
        <x:v>38388</x:v>
      </x:c>
    </x:row>
    <x:row r="6">
      <x:c r="A6" s="47" t="str">
        <x:v>RUN-TRF-078-20260820T062708811683Z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26bf945e5feedabc893720a3bb8f20e815029038bbf93c03a1f5f0607b11bc46</x:v>
      </x:c>
      <x:c r="G6" s="59" t="n">
        <x:v>5070</x:v>
      </x:c>
    </x:row>
    <x:row r="7">
      <x:c r="A7" s="47" t="str">
        <x:v>RUN-TRF-078-20260820T062708811683Z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3b0a8283802863f484f3d7cd8d7f94fa8179f21fcb954a20df86ec23c24cc6fa</x:v>
      </x:c>
      <x:c r="G7" s="59" t="n">
        <x:v>52756</x:v>
      </x:c>
    </x:row>
    <x:row r="8">
      <x:c r="A8" s="47" t="str">
        <x:v>RUN-TRF-078-20260820T062708811683Z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3b381e28b843c0a981db9192d6a48f11861f02189e9d076ced76dec349f67b8c</x:v>
      </x:c>
      <x:c r="G8" s="59" t="n">
        <x:v>6102</x:v>
      </x:c>
    </x:row>
    <x:row r="9">
      <x:c r="A9" s="47" t="str">
        <x:v>RUN-TRF-078-20260820T062708811683Z</x:v>
      </x:c>
      <x:c r="B9" s="47" t="str">
        <x:v>TRF-078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3bbc7d6a128fbc844b55aa6d2f06c2bdad370537d20d3a4f60659e716fc8a7fc</x:v>
      </x:c>
      <x:c r="G9" s="59" t="n">
        <x:v>6077</x:v>
      </x:c>
    </x:row>
    <x:row r="10">
      <x:c r="A10" s="47" t="str">
        <x:v>RUN-TRF-078-20260820T062708811683Z</x:v>
      </x:c>
      <x:c r="B10" s="47" t="str">
        <x:v>TRF-078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5899623c7ca120583b6c14d2cf28348082f4d9b07368b35954902d428f91c8cb</x:v>
      </x:c>
      <x:c r="G10" s="59" t="n">
        <x:v>1358</x:v>
      </x:c>
    </x:row>
    <x:row r="11">
      <x:c r="A11" s="47" t="str">
        <x:v>RUN-TRF-078-20260820T062708811683Z</x:v>
      </x:c>
      <x:c r="B11" s="47" t="str">
        <x:v>TRF-078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c0ac3847b15ed5970ea4a152b9901990778b80171f0b7e18937e17ec712ef30c</x:v>
      </x:c>
      <x:c r="G11" s="59" t="n">
        <x:v>56982</x:v>
      </x:c>
    </x:row>
    <x:row r="12">
      <x:c r="A12" s="47" t="str">
        <x:v>RUN-TRF-078-20260820T062708811683Z</x:v>
      </x:c>
      <x:c r="B12" s="47" t="str">
        <x:v>TRF-078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708ef48f6c8261872f2a43f8ab35628a790bb8bbeaeaac37fd87779130a658ee</x:v>
      </x:c>
      <x:c r="G12" s="59" t="n">
        <x:v>416</x:v>
      </x:c>
    </x:row>
    <x:row r="13">
      <x:c r="A13" s="47" t="str">
        <x:v>RUN-TRF-078-20260820T062708811683Z</x:v>
      </x:c>
      <x:c r="B13" s="47" t="str">
        <x:v>TRF-078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b11d3694ba744ff6fb2d57c5e9b77eefa4cce48a822fcf3573e2888f1d8def02</x:v>
      </x:c>
      <x:c r="G13" s="59" t="n">
        <x:v>53107</x:v>
      </x:c>
    </x:row>
    <x:row r="14">
      <x:c r="A14" s="47" t="str">
        <x:v>RUN-TRF-078-20260820T062708811683Z</x:v>
      </x:c>
      <x:c r="B14" s="47" t="str">
        <x:v>TRF-078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02b6832c6f1e2e34da35cb2605a6c823a5b9257626aaefaadf8d102c807dd51a</x:v>
      </x:c>
      <x:c r="G14" s="59" t="n">
        <x:v>8208</x:v>
      </x:c>
    </x:row>
    <x:row r="15">
      <x:c r="A15" s="47" t="str">
        <x:v>RUN-TRF-078-20260820T062708811683Z</x:v>
      </x:c>
      <x:c r="B15" s="47" t="str">
        <x:v>TRF-078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dd8d6c6aca13f2780bd0ec96d510c337c73e6d51eb6e3677cef852f8b35e7cd5</x:v>
      </x:c>
      <x:c r="G15" s="59" t="n">
        <x:v>8183</x:v>
      </x:c>
    </x:row>
    <x:row r="16">
      <x:c r="A16" s="47" t="str">
        <x:v>RUN-TRF-078-20260820T062708811683Z</x:v>
      </x:c>
      <x:c r="B16" s="47" t="str">
        <x:v>TRF-078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01385a284c602bf0711f2a56971e1ea4a3bebc61b0f184b4922a3f49144023b5</x:v>
      </x:c>
      <x:c r="G16" s="59" t="n">
        <x:v>1409</x:v>
      </x:c>
    </x:row>
    <x:row r="17">
      <x:c r="A17" s="47" t="str">
        <x:v>RUN-TRF-078-20260820T062708811683Z</x:v>
      </x:c>
      <x:c r="B17" s="47" t="str">
        <x:v>TRF-078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df1f00aad57df4579dc55b3f461da82b8a040589a0712ed9d8fbf3bb33d0464f</x:v>
      </x:c>
      <x:c r="G17" s="59" t="n">
        <x:v>59889</x:v>
      </x:c>
    </x:row>
    <x:row r="18">
      <x:c r="A18" s="47" t="str">
        <x:v>RUN-TRF-078-20260820T062708811683Z</x:v>
      </x:c>
      <x:c r="B18" s="47" t="str">
        <x:v>TRF-078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2e5f83be211e5ac9b9c30ad182fe21099943e7fa27234550164181b68665b9fc</x:v>
      </x:c>
      <x:c r="G18" s="59" t="n">
        <x:v>442</x:v>
      </x:c>
    </x:row>
    <x:row r="19">
      <x:c r="A19" s="47" t="str">
        <x:v>RUN-TRF-078-20260820T062708811683Z</x:v>
      </x:c>
      <x:c r="B19" s="47" t="str">
        <x:v>TRF-078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a00b2050b410ec0aebde62c423056dbe0376e2a610d3aedd26840dc30e223a17</x:v>
      </x:c>
      <x:c r="G19" s="59" t="n">
        <x:v>53492</x:v>
      </x:c>
    </x:row>
    <x:row r="20">
      <x:c r="A20" s="47" t="str">
        <x:v>RUN-TRF-078-20260820T062708811683Z</x:v>
      </x:c>
      <x:c r="B20" s="47" t="str">
        <x:v>TRF-078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f228a4a6ff09c5bbb723923730f04ba1229aae9e62ef9cc3361a4b713ed0eb75</x:v>
      </x:c>
      <x:c r="G20" s="59" t="n">
        <x:v>5298</x:v>
      </x:c>
    </x:row>
    <x:row r="21">
      <x:c r="A21" s="47" t="str">
        <x:v>RUN-TRF-078-20260820T062708811683Z</x:v>
      </x:c>
      <x:c r="B21" s="47" t="str">
        <x:v>TRF-078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6a3624b359ac3b2e58ca07c4d38edabc963d78ee1d9b9624fa5cbaa77ea52911</x:v>
      </x:c>
      <x:c r="G21" s="59" t="n">
        <x:v>5273</x:v>
      </x:c>
    </x:row>
    <x:row r="22">
      <x:c r="A22" s="47" t="str">
        <x:v>RUN-TRF-078-20260820T062708811683Z</x:v>
      </x:c>
      <x:c r="B22" s="47" t="str">
        <x:v>TRF-078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01385a284c602bf0711f2a56971e1ea4a3bebc61b0f184b4922a3f49144023b5</x:v>
      </x:c>
      <x:c r="G22" s="59" t="n">
        <x:v>1409</x:v>
      </x:c>
    </x:row>
    <x:row r="23">
      <x:c r="A23" s="47" t="str">
        <x:v>RUN-TRF-078-20260820T062708811683Z</x:v>
      </x:c>
      <x:c r="B23" s="47" t="str">
        <x:v>TRF-078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03c80f46e70f072884056a3218d5fcd7450ad5b490e861bc861b3dab4286217b</x:v>
      </x:c>
      <x:c r="G23" s="59" t="n">
        <x:v>57265</x:v>
      </x:c>
    </x:row>
    <x:row r="24">
      <x:c r="A24" s="49" t="str">
        <x:v>RUN-TRF-078-20260820T062708811683Z</x:v>
      </x:c>
      <x:c r="B24" s="49" t="str">
        <x:v>TRF-078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acfcdfcfbfe062d409ce2f1dff588782881dcceae96a464a8e7678e69684e396</x:v>
      </x:c>
      <x:c r="G24" s="60" t="n">
        <x:v>622</x:v>
      </x:c>
    </x:row>
  </x:sheetData>
  <x:pageMargins left="0.7" right="0.7" top="0.75" bottom="0.75" header="0.3" footer="0.3"/>
  <x:tableParts count="1">
    <x:tablePart xmlns:r="http://schemas.openxmlformats.org/officeDocument/2006/relationships" r:id="R373cd5b7439240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RUN-TRF-078-20260820T062708811683Z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RUN-TRF-078-20260820T062708811683Z</x:v>
      </x:c>
      <x:c r="B5" s="69" t="str">
        <x:v>TRF-078</x:v>
      </x:c>
      <x:c r="C5" s="71" t="n">
        <x:v>3</x:v>
      </x:c>
      <x:c r="D5" s="69" t="str">
        <x:v>MAX_ATTEMPTS_REACHED</x:v>
      </x:c>
      <x:c r="E5" s="73" t="str">
        <x:v>Make the Table 6-6 and Table 6-7 lookup selections unambiguous and non-combinatorial: require exactly one qualifying nltl:hasTableLookupCase for each cited table (add sh:qualifiedMaxCount 1 alongside each qualifiedMinCount 1), and constrain each qualifying case's nltl:tableReference to sh:maxCount 1. This prevents one case from claiming both tables and prevents the formula query from cross-joining multiple independently selected N_class or k_1 values. Retain the mandatory lookupSelectionEvidence and qudt:QuantityValue range constraints already present.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89a5ec76040b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RUN-TRF-078-20260820T062708811683Z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