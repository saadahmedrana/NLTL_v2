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c082b8d98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ab636604fa4892"/>
    <x:sheet xmlns:r="http://schemas.openxmlformats.org/officeDocument/2006/relationships" name="README" sheetId="2" r:id="Rd96098aa0fed4db4"/>
    <x:sheet xmlns:r="http://schemas.openxmlformats.org/officeDocument/2006/relationships" name="REGULATION_QUEUE" sheetId="3" r:id="R73e0e28f16d24eec"/>
    <x:sheet xmlns:r="http://schemas.openxmlformats.org/officeDocument/2006/relationships" name="RUNS" sheetId="4" r:id="R0e49e0af2f004d5f"/>
    <x:sheet xmlns:r="http://schemas.openxmlformats.org/officeDocument/2006/relationships" name="ITERATIONS" sheetId="5" r:id="Rdb1009de70684a3d"/>
    <x:sheet xmlns:r="http://schemas.openxmlformats.org/officeDocument/2006/relationships" name="API_CALLS" sheetId="6" r:id="Rbede3ca4adc045cd"/>
    <x:sheet xmlns:r="http://schemas.openxmlformats.org/officeDocument/2006/relationships" name="TERM_RETRIEVAL" sheetId="7" r:id="R7f4c86f7a9964679"/>
    <x:sheet xmlns:r="http://schemas.openxmlformats.org/officeDocument/2006/relationships" name="FEW_SHOT_SELECTION" sheetId="8" r:id="Ra2dfe9a2b8714853"/>
    <x:sheet xmlns:r="http://schemas.openxmlformats.org/officeDocument/2006/relationships" name="VALIDATION" sheetId="9" r:id="R462d405ca11b4f2a"/>
    <x:sheet xmlns:r="http://schemas.openxmlformats.org/officeDocument/2006/relationships" name="VOCAB_MATCHES" sheetId="10" r:id="Ra5182a85ec17446c"/>
    <x:sheet xmlns:r="http://schemas.openxmlformats.org/officeDocument/2006/relationships" name="ARTIFACTS" sheetId="11" r:id="R36f9da4143e0401e"/>
    <x:sheet xmlns:r="http://schemas.openxmlformats.org/officeDocument/2006/relationships" name="UNRESOLVED" sheetId="12" r:id="Rbf8d9d2b06ce4c2f"/>
    <x:sheet xmlns:r="http://schemas.openxmlformats.org/officeDocument/2006/relationships" name="RDF_TEST_QUEUE" sheetId="13" r:id="Re90752c0982843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416b6cc6b4e72" /><Relationship Type="http://schemas.openxmlformats.org/officeDocument/2006/relationships/theme" Target="/xl/theme/theme1.xml" Id="Re4ab4b5fa2fa4bbf" /><Relationship Type="http://schemas.microsoft.com/office/2022/11/relationships/FeaturePropertyBag" Target="/xl/featurePropertyBag/featurePropertyBag.xml" Id="Re82ca1628bff4c72" /><Relationship Type="http://schemas.openxmlformats.org/officeDocument/2006/relationships/sharedStrings" Target="/xl/sharedStrings.xml" Id="Raa81937777994342" /><Relationship Type="http://schemas.openxmlformats.org/officeDocument/2006/relationships/worksheet" Target="/xl/worksheets/sheet1.xml" Id="R21ab636604fa4892" /><Relationship Type="http://schemas.openxmlformats.org/officeDocument/2006/relationships/worksheet" Target="/xl/worksheets/sheet2.xml" Id="Rd96098aa0fed4db4" /><Relationship Type="http://schemas.openxmlformats.org/officeDocument/2006/relationships/worksheet" Target="/xl/worksheets/sheet3.xml" Id="R73e0e28f16d24eec" /><Relationship Type="http://schemas.openxmlformats.org/officeDocument/2006/relationships/worksheet" Target="/xl/worksheets/sheet4.xml" Id="R0e49e0af2f004d5f" /><Relationship Type="http://schemas.openxmlformats.org/officeDocument/2006/relationships/worksheet" Target="/xl/worksheets/sheet5.xml" Id="Rdb1009de70684a3d" /><Relationship Type="http://schemas.openxmlformats.org/officeDocument/2006/relationships/worksheet" Target="/xl/worksheets/sheet6.xml" Id="Rbede3ca4adc045cd" /><Relationship Type="http://schemas.openxmlformats.org/officeDocument/2006/relationships/worksheet" Target="/xl/worksheets/sheet7.xml" Id="R7f4c86f7a9964679" /><Relationship Type="http://schemas.openxmlformats.org/officeDocument/2006/relationships/worksheet" Target="/xl/worksheets/sheet8.xml" Id="Ra2dfe9a2b8714853" /><Relationship Type="http://schemas.openxmlformats.org/officeDocument/2006/relationships/worksheet" Target="/xl/worksheets/sheet9.xml" Id="R462d405ca11b4f2a" /><Relationship Type="http://schemas.openxmlformats.org/officeDocument/2006/relationships/worksheet" Target="/xl/worksheets/sheet10.xml" Id="Ra5182a85ec17446c" /><Relationship Type="http://schemas.openxmlformats.org/officeDocument/2006/relationships/worksheet" Target="/xl/worksheets/sheet11.xml" Id="R36f9da4143e0401e" /><Relationship Type="http://schemas.openxmlformats.org/officeDocument/2006/relationships/worksheet" Target="/xl/worksheets/sheet12.xml" Id="Rbf8d9d2b06ce4c2f" /><Relationship Type="http://schemas.openxmlformats.org/officeDocument/2006/relationships/worksheet" Target="/xl/worksheets/sheet13.xml" Id="Re90752c0982843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3dada3b37547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6b5bcc071645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c9837547c84e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722504202441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705964a39d4d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4b932567214c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30043a1ce04f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be571da80e47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aecef38739a40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b6940cc34204de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f3cda27ba1c43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RUN-TRF-102-20260820T065343857551Z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16081.350166666665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RUN-TRF-102-20260820T065343857551Z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3dada3b37547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RUN-TRF-102-20260820T065343857551Z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TERM_RESOLUTION_UNRESOLVED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6b5bcc071645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RUN-TRF-102-20260820T065343857551Z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RUN-TRF-102-20260820T065343857551Z</x:v>
      </x:c>
      <x:c r="C5" s="69" t="str">
        <x:v>TRF-102</x:v>
      </x:c>
      <x:c r="D5" s="70" t="n">
        <x:v>46254.28731318287</x:v>
      </x:c>
      <x:c r="E5" s="70" t="n">
        <x:v>46254.287888217594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semantically verifies the missing canonical Z operand required by the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9837547c84e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RUN-TRF-102-20260820T065343857551Z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RUN-TRF-102-20260820T065343857551Z</x:v>
      </x:c>
      <x:c r="B5" s="69" t="str">
        <x:v>TRF-102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properties with an exclusive SHACL alternative: either require the approved stress-analysis evidence or require the formula route, with no pass when neither route is evidenced. In the formula route require the missing canonical Z operand (locate it), EAR, C_LE0.8, C_TE0.8, F_ex, computed C_spex, Q_sex, and maximumSpindleTorque; use one bounded SPARQL formula constraint to enforce C_spex=max(0.3,0.7*(1-((4*EAR)/Z)^3)) and Q_sex=max(C_LE0.8,0.8*C_TE0.8)*C_spex*F_ex, then enforce the required maximum-torque determination/comparison. Do not use only C_spex&gt;=0.3: it omits the formula and upper branch. Preserve ship ownership and declared units, and use expected-result-scaled tolerance for derived decimals.</x:v>
      </x:c>
      <x:c r="I5" s="75" t="n">
        <x:v>34994.629</x:v>
      </x:c>
      <x:c r="J5" s="75" t="n">
        <x:v>10003.488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722504202441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RUN-TRF-102-20260820T065343857551Z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RUN-TRF-102-20260820T065343857551Z</x:v>
      </x:c>
      <x:c r="C5" s="45" t="str">
        <x:v>TRF-102</x:v>
      </x:c>
      <x:c r="D5" s="88" t="n">
        <x:v>46254.28771822916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34993.094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RUN-TRF-102-20260820T065343857551Z</x:v>
      </x:c>
      <x:c r="C6" s="47" t="str">
        <x:v>TRF-102</x:v>
      </x:c>
      <x:c r="D6" s="91" t="n">
        <x:v>46254.28771824074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34994.629</x:v>
      </x:c>
      <x:c r="L6" s="93" t="b">
        <x:v>0</x:v>
      </x:c>
      <x:c r="M6" s="47" t="str">
        <x:v>resp_06f8313ee96e1455006a86a478095081979e1c7382d27392d3</x:v>
      </x:c>
      <x:c r="N6" s="59" t="n">
        <x:v>8050</x:v>
      </x:c>
      <x:c r="O6" s="59" t="n">
        <x:v>2826</x:v>
      </x:c>
      <x:c r="P6" s="59" t="n">
        <x:v>10876</x:v>
      </x:c>
    </x:row>
    <x:row r="7">
      <x:c r="A7" s="47" t="str">
        <x:v>EVT-000029</x:v>
      </x:c>
      <x:c r="B7" s="47" t="str">
        <x:v>RUN-TRF-102-20260820T065343857551Z</x:v>
      </x:c>
      <x:c r="C7" s="47" t="str">
        <x:v>TRF-102</x:v>
      </x:c>
      <x:c r="D7" s="91" t="n">
        <x:v>46254.287836145835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10001.762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RUN-TRF-102-20260820T065343857551Z</x:v>
      </x:c>
      <x:c r="C8" s="47" t="str">
        <x:v>TRF-102</x:v>
      </x:c>
      <x:c r="D8" s="91" t="n">
        <x:v>46254.28783616898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10003.488</x:v>
      </x:c>
      <x:c r="L8" s="93" t="b">
        <x:v>0</x:v>
      </x:c>
      <x:c r="M8" s="47" t="str">
        <x:v>resp_034874b79bf9ab3a006a86a49c56b48194945a22311c28083c</x:v>
      </x:c>
      <x:c r="N8" s="59" t="n">
        <x:v>7891</x:v>
      </x:c>
      <x:c r="O8" s="59" t="n">
        <x:v>443</x:v>
      </x:c>
      <x:c r="P8" s="59" t="n">
        <x:v>8334</x:v>
      </x:c>
    </x:row>
    <x:row r="9">
      <x:c r="A9" s="47" t="str">
        <x:v>EVT-000036</x:v>
      </x:c>
      <x:c r="B9" s="47" t="str">
        <x:v>RUN-TRF-102-20260820T065343857551Z</x:v>
      </x:c>
      <x:c r="C9" s="47" t="str">
        <x:v>TRF-102</x:v>
      </x:c>
      <x:c r="D9" s="91" t="n">
        <x:v>46254.28788818287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3246.783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RUN-TRF-102-20260820T065343857551Z</x:v>
      </x:c>
      <x:c r="C10" s="49" t="str">
        <x:v>TRF-102</x:v>
      </x:c>
      <x:c r="D10" s="94" t="n">
        <x:v>46254.28788819444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3248.345</x:v>
      </x:c>
      <x:c r="L10" s="96" t="b">
        <x:v>0</x:v>
      </x:c>
      <x:c r="M10" s="49" t="str">
        <x:v>resp_03335cde29addf34006a86a4a70be0819693802a4f72c8b95c</x:v>
      </x:c>
      <x:c r="N10" s="60" t="n">
        <x:v>2585</x:v>
      </x:c>
      <x:c r="O10" s="60" t="n">
        <x:v>86</x:v>
      </x:c>
      <x:c r="P10" s="60" t="n">
        <x:v>2671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705964a39d4d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RUN-TRF-102-20260820T065343857551Z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RUN-TRF-102-20260820T065343857551Z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RUN-TRF-102-20260820T065343857551Z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RUN-TRF-102-20260820T065343857551Z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</x:v>
      </x:c>
      <x:c r="J7" s="47" t="n">
        <x:v>0</x:v>
      </x:c>
    </x:row>
    <x:row r="8">
      <x:c r="A8" s="47" t="str">
        <x:v>RUN-TRF-102-20260820T065343857551Z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RUN-TRF-102-20260820T065343857551Z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RUN-TRF-102-20260820T065343857551Z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RUN-TRF-102-20260820T065343857551Z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RUN-TRF-102-20260820T065343857551Z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RUN-TRF-102-20260820T065343857551Z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RUN-TRF-102-20260820T065343857551Z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RUN-TRF-102-20260820T065343857551Z</x:v>
      </x:c>
      <x:c r="B15" s="47" t="str">
        <x:v>TRF-102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5" s="47" t="n">
        <x:v>0</x:v>
      </x:c>
    </x:row>
    <x:row r="16">
      <x:c r="A16" s="47" t="str">
        <x:v>RUN-TRF-102-20260820T065343857551Z</x:v>
      </x:c>
      <x:c r="B16" s="47" t="str">
        <x:v>TRF-102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RUN-TRF-102-20260820T065343857551Z</x:v>
      </x:c>
      <x:c r="B17" s="49" t="str">
        <x:v>TRF-102</x:v>
      </x:c>
      <x:c r="C17" s="49" t="str">
        <x:v>trailingEdgeChordPortionAtZeroPointEightRadius</x:v>
      </x:c>
      <x:c r="D17" s="50" t="str">
        <x:v>https://w3id.org/nltl/vocab#trailingEdgeChordPortionAtZeroPointEightRadius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4b932567214c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RUN-TRF-102-20260820T065343857551Z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RUN-TRF-102-20260820T065343857551Z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9" t="n">
        <x:v>0.051282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RUN-TRF-102-20260820T065343857551Z</x:v>
      </x:c>
      <x:c r="B6" s="49" t="str">
        <x:v>TRF-102</x:v>
      </x:c>
      <x:c r="C6" s="49" t="str">
        <x:v>FS-QTY-01</x:v>
      </x:c>
      <x:c r="D6" s="49" t="str">
        <x:v>qudt_quantity</x:v>
      </x:c>
      <x:c r="E6" s="100" t="n">
        <x:v>0.025316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30043a1ce04f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RUN-TRF-102-20260820T065343857551Z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RUN-TRF-102-20260820T065343857551Z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be571da80e47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RUN-TRF-102-20260820T065343857551Z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RUN-TRF-102-20260820T065343857551Z</x:v>
      </x:c>
      <x:c r="B5" s="45" t="str">
        <x:v>TRF-102</x:v>
      </x:c>
      <x:c r="C5" s="58" t="n">
        <x:v>1</x:v>
      </x:c>
      <x:c r="D5" s="45" t="str">
        <x:v>matcher_search</x:v>
      </x:c>
      <x:c r="E5" s="46" t="str">
        <x:v>Replace the presence-only properties with an exclusive SHACL alternative: either require the approved stress-analysis evidence or require the formula route, with no pass when neither route is evidenced. In the formula route require the missing canonical Z operand (locate it), EAR, C_LE0.8, C_TE0.8, F_ex, computed C_spex, Q_sex, and maximumSpindleTorque; use one bounded SPARQL formula constraint to enforce C_spex=max(0.3,0.7*(1-((4*EAR)/Z)^3)) and Q_sex=max(C_LE0.8,0.8*C_TE0.8)*C_spex*F_ex, then enforce the required maximum-torque determination/comparison. Do not use only C_spex&gt;=0.3: it omits the formula and upper branch. Preserve ship ownership and declared units, and use expected-result-scaled tolerance for derived decimals.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RUN-TRF-102-20260820T065343857551Z</x:v>
      </x:c>
      <x:c r="B6" s="49" t="str">
        <x:v>TRF-102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semantically verifies the missing canonical Z operand required by the feedback.</x:v>
      </x:c>
    </x:row>
  </x:sheetData>
  <x:pageMargins left="0.7" right="0.7" top="0.75" bottom="0.75" header="0.3" footer="0.3"/>
  <x:tableParts count="1">
    <x:tablePart xmlns:r="http://schemas.openxmlformats.org/officeDocument/2006/relationships" r:id="R6aecef38739a407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RUN-TRF-102-20260820T065343857551Z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RUN-TRF-102-20260820T065343857551Z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9049a4eeaf8486e2b2eea23f72d15bf66710244a7c2322401e9e60f1cc051480</x:v>
      </x:c>
      <x:c r="G5" s="58" t="n">
        <x:v>18370</x:v>
      </x:c>
    </x:row>
    <x:row r="6">
      <x:c r="A6" s="47" t="str">
        <x:v>RUN-TRF-102-20260820T065343857551Z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1fe4c69f5bff2f00cb7eb780a3afb7b04522b193182891636715c4b5a70d4cac</x:v>
      </x:c>
      <x:c r="G6" s="59" t="n">
        <x:v>5255</x:v>
      </x:c>
    </x:row>
    <x:row r="7">
      <x:c r="A7" s="47" t="str">
        <x:v>RUN-TRF-102-20260820T065343857551Z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a7202ee40d6020f79a99deb11d1c2d2d19a03e0a4da809bd9bb9ba9bc5a693e8</x:v>
      </x:c>
      <x:c r="G7" s="59" t="n">
        <x:v>32905</x:v>
      </x:c>
    </x:row>
    <x:row r="8">
      <x:c r="A8" s="47" t="str">
        <x:v>RUN-TRF-102-20260820T065343857551Z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2507fb856c3ed65c411eaffc32f2156434f71456062d8f3a8210763259938ebd</x:v>
      </x:c>
      <x:c r="G8" s="59" t="n">
        <x:v>3454</x:v>
      </x:c>
    </x:row>
    <x:row r="9">
      <x:c r="A9" s="47" t="str">
        <x:v>RUN-TRF-102-20260820T065343857551Z</x:v>
      </x:c>
      <x:c r="B9" s="47" t="str">
        <x:v>TRF-102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3033e29a4c7d6fd9054fbe2bf91e1b41666b87566f91b36ff3ce474310c53934</x:v>
      </x:c>
      <x:c r="G9" s="59" t="n">
        <x:v>3429</x:v>
      </x:c>
    </x:row>
    <x:row r="10">
      <x:c r="A10" s="47" t="str">
        <x:v>RUN-TRF-102-20260820T065343857551Z</x:v>
      </x:c>
      <x:c r="B10" s="47" t="str">
        <x:v>TRF-102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c803d3ba20f99944e7c44d694213fdbff6e442b4101f1f1cc8ded1e5e3641e5b</x:v>
      </x:c>
      <x:c r="G10" s="59" t="n">
        <x:v>950</x:v>
      </x:c>
    </x:row>
    <x:row r="11">
      <x:c r="A11" s="47" t="str">
        <x:v>RUN-TRF-102-20260820T065343857551Z</x:v>
      </x:c>
      <x:c r="B11" s="47" t="str">
        <x:v>TRF-102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02c6be05b1173182e1aab58eb8ca2066329dd01832910336fbcfa086d7914d8a</x:v>
      </x:c>
      <x:c r="G11" s="59" t="n">
        <x:v>31341</x:v>
      </x:c>
    </x:row>
    <x:row r="12">
      <x:c r="A12" s="47" t="str">
        <x:v>RUN-TRF-102-20260820T065343857551Z</x:v>
      </x:c>
      <x:c r="B12" s="47" t="str">
        <x:v>TRF-102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56db590ae448f653b8474523d7aa4b5327e57544dce56e704b7ada33ce271167</x:v>
      </x:c>
      <x:c r="G12" s="59" t="n">
        <x:v>799</x:v>
      </x:c>
    </x:row>
    <x:row r="13">
      <x:c r="A13" s="47" t="str">
        <x:v>RUN-TRF-102-20260820T065343857551Z</x:v>
      </x:c>
      <x:c r="B13" s="47" t="str">
        <x:v>TRF-102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3370c3227854fdce750460af857d36605c0b3273665ca38eb9cc50a49ce3fbe9</x:v>
      </x:c>
      <x:c r="G13" s="59" t="n">
        <x:v>4083</x:v>
      </x:c>
    </x:row>
    <x:row r="14">
      <x:c r="A14" s="47" t="str">
        <x:v>RUN-TRF-102-20260820T065343857551Z</x:v>
      </x:c>
      <x:c r="B14" s="47" t="str">
        <x:v>TRF-102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591ba69b96768f69d8dcc95051382443d15e604b8329e2f5954a6582fd8d3f6d</x:v>
      </x:c>
      <x:c r="G14" s="59" t="n">
        <x:v>9526</x:v>
      </x:c>
    </x:row>
    <x:row r="15">
      <x:c r="A15" s="49" t="str">
        <x:v>RUN-TRF-102-20260820T065343857551Z</x:v>
      </x:c>
      <x:c r="B15" s="49" t="str">
        <x:v>TRF-102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7188fb6dfa44b9df53abe265867a27fa61e978514ecc3ee70bc4284c99f88b76</x:v>
      </x:c>
      <x:c r="G15" s="60" t="n">
        <x:v>181</x:v>
      </x:c>
    </x:row>
  </x:sheetData>
  <x:pageMargins left="0.7" right="0.7" top="0.75" bottom="0.75" header="0.3" footer="0.3"/>
  <x:tableParts count="1">
    <x:tablePart xmlns:r="http://schemas.openxmlformats.org/officeDocument/2006/relationships" r:id="R8b6940cc34204d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RUN-TRF-102-20260820T065343857551Z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RUN-TRF-102-20260820T065343857551Z</x:v>
      </x:c>
      <x:c r="B5" s="69" t="str">
        <x:v>TRF-102</x:v>
      </x:c>
      <x:c r="C5" s="71" t="n">
        <x:v>1</x:v>
      </x:c>
      <x:c r="D5" s="69" t="str">
        <x:v>TERM_RESOLUTION_UNRESOLVED</x:v>
      </x:c>
      <x:c r="E5" s="73" t="str">
        <x:v>No candidate semantically verifies the missing canonical Z operand required by the feedback.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3cda27ba1c43c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RUN-TRF-102-20260820T065343857551Z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