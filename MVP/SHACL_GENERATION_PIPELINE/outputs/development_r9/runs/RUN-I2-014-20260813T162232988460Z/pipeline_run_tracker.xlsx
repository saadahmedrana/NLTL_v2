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25d385266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38956474294e2d"/>
    <x:sheet xmlns:r="http://schemas.openxmlformats.org/officeDocument/2006/relationships" name="README" sheetId="2" r:id="R7ebb2db115874649"/>
    <x:sheet xmlns:r="http://schemas.openxmlformats.org/officeDocument/2006/relationships" name="REGULATION_QUEUE" sheetId="3" r:id="R5d0f31950263477f"/>
    <x:sheet xmlns:r="http://schemas.openxmlformats.org/officeDocument/2006/relationships" name="RUNS" sheetId="4" r:id="R69a3744885224127"/>
    <x:sheet xmlns:r="http://schemas.openxmlformats.org/officeDocument/2006/relationships" name="ITERATIONS" sheetId="5" r:id="Rcc71e106944f49cf"/>
    <x:sheet xmlns:r="http://schemas.openxmlformats.org/officeDocument/2006/relationships" name="API_CALLS" sheetId="6" r:id="R6d8c8f674ada4237"/>
    <x:sheet xmlns:r="http://schemas.openxmlformats.org/officeDocument/2006/relationships" name="TERM_RETRIEVAL" sheetId="7" r:id="R406754966c2f41bd"/>
    <x:sheet xmlns:r="http://schemas.openxmlformats.org/officeDocument/2006/relationships" name="FEW_SHOT_SELECTION" sheetId="8" r:id="Rd127ccf22b124710"/>
    <x:sheet xmlns:r="http://schemas.openxmlformats.org/officeDocument/2006/relationships" name="VALIDATION" sheetId="9" r:id="Rd36d7446ef544cb9"/>
    <x:sheet xmlns:r="http://schemas.openxmlformats.org/officeDocument/2006/relationships" name="VOCAB_MATCHES" sheetId="10" r:id="Ra0a04867bbd341f1"/>
    <x:sheet xmlns:r="http://schemas.openxmlformats.org/officeDocument/2006/relationships" name="ARTIFACTS" sheetId="11" r:id="R9c09b018402943a2"/>
    <x:sheet xmlns:r="http://schemas.openxmlformats.org/officeDocument/2006/relationships" name="UNRESOLVED" sheetId="12" r:id="R13c958188d5a464f"/>
    <x:sheet xmlns:r="http://schemas.openxmlformats.org/officeDocument/2006/relationships" name="RDF_TEST_QUEUE" sheetId="13" r:id="R8e70ea579c1b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28bf0e1474157" /><Relationship Type="http://schemas.openxmlformats.org/officeDocument/2006/relationships/theme" Target="/xl/theme/theme1.xml" Id="Rd33eb47501364c69" /><Relationship Type="http://schemas.microsoft.com/office/2022/11/relationships/FeaturePropertyBag" Target="/xl/featurePropertyBag/featurePropertyBag.xml" Id="R67a99b90cad54d6e" /><Relationship Type="http://schemas.openxmlformats.org/officeDocument/2006/relationships/sharedStrings" Target="/xl/sharedStrings.xml" Id="Rad2bbf22ab6944c4" /><Relationship Type="http://schemas.openxmlformats.org/officeDocument/2006/relationships/worksheet" Target="/xl/worksheets/sheet1.xml" Id="R5e38956474294e2d" /><Relationship Type="http://schemas.openxmlformats.org/officeDocument/2006/relationships/worksheet" Target="/xl/worksheets/sheet2.xml" Id="R7ebb2db115874649" /><Relationship Type="http://schemas.openxmlformats.org/officeDocument/2006/relationships/worksheet" Target="/xl/worksheets/sheet3.xml" Id="R5d0f31950263477f" /><Relationship Type="http://schemas.openxmlformats.org/officeDocument/2006/relationships/worksheet" Target="/xl/worksheets/sheet4.xml" Id="R69a3744885224127" /><Relationship Type="http://schemas.openxmlformats.org/officeDocument/2006/relationships/worksheet" Target="/xl/worksheets/sheet5.xml" Id="Rcc71e106944f49cf" /><Relationship Type="http://schemas.openxmlformats.org/officeDocument/2006/relationships/worksheet" Target="/xl/worksheets/sheet6.xml" Id="R6d8c8f674ada4237" /><Relationship Type="http://schemas.openxmlformats.org/officeDocument/2006/relationships/worksheet" Target="/xl/worksheets/sheet7.xml" Id="R406754966c2f41bd" /><Relationship Type="http://schemas.openxmlformats.org/officeDocument/2006/relationships/worksheet" Target="/xl/worksheets/sheet8.xml" Id="Rd127ccf22b124710" /><Relationship Type="http://schemas.openxmlformats.org/officeDocument/2006/relationships/worksheet" Target="/xl/worksheets/sheet9.xml" Id="Rd36d7446ef544cb9" /><Relationship Type="http://schemas.openxmlformats.org/officeDocument/2006/relationships/worksheet" Target="/xl/worksheets/sheet10.xml" Id="Ra0a04867bbd341f1" /><Relationship Type="http://schemas.openxmlformats.org/officeDocument/2006/relationships/worksheet" Target="/xl/worksheets/sheet11.xml" Id="R9c09b018402943a2" /><Relationship Type="http://schemas.openxmlformats.org/officeDocument/2006/relationships/worksheet" Target="/xl/worksheets/sheet12.xml" Id="R13c958188d5a464f" /><Relationship Type="http://schemas.openxmlformats.org/officeDocument/2006/relationships/worksheet" Target="/xl/worksheets/sheet13.xml" Id="R8e70ea579c1b4c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d231d411c4f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0737f06b3e4d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ce0cc976ea4f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529d77b5f244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5c8a45ccd144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81e79b240148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10a093c83847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172144819c44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ad378ecf55b48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6a3ed1e8a7b47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8b9d855be01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RUN-I2-014-20260813T162232988460Z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23016.120250000004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RUN-I2-014-20260813T162232988460Z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0d231d411c4f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TERM_RESOLUTION_UNRESOLVED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737f06b3e4d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RUN-I2-014-20260813T162232988460Z</x:v>
      </x:c>
      <x:c r="C5" s="69" t="str">
        <x:v>I2-014</x:v>
      </x:c>
      <x:c r="D5" s="70" t="n">
        <x:v>46247.68232626157</x:v>
      </x:c>
      <x:c r="E5" s="70" t="n">
        <x:v>46247.68395103009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load-patch aspect ratio (AR) or the downstream maximum/use obligations for F, Q, P, Pavg, b, and w.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e0cc976ea4f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RUN-I2-014-20260813T162232988460Z</x:v>
      </x:c>
      <x:c r="B5" s="45" t="str">
        <x:v>I2-014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graph omits required per-subregion force (F) and load-patch aspect ratio (AR), and it does not encode the requirement that the maxima of F, Q, and P are used to calculate Pavg, b, and w. A ship-level presence check for totalGlancingImpactForce is not a faithful substitute for a force result paired with each mid-length calculation case. Locate the canonical terms for the missing per-case result(s), aspect ratio, maxima, and downstream parameters/relationships, then constrain each of the four case nodes to carry the paired F, Q, P, and AR evidence and encode the declared maximum-to-parameter calculation relationship with appropriate bounded formula/tolerance checks.</x:v>
      </x:c>
      <x:c r="I5" s="81" t="n">
        <x:v>44857.12</x:v>
      </x:c>
      <x:c r="J5" s="81" t="n">
        <x:v>18727.069</x:v>
      </x:c>
    </x:row>
    <x:row r="6">
      <x:c r="A6" s="49" t="str">
        <x:v>RUN-I2-014-20260813T162232988460Z</x:v>
      </x:c>
      <x:c r="B6" s="49" t="str">
        <x:v>I2-014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graph omits the required load-patch aspect ratio (AR) for every bow-subregion calculation case and does not encode the requirement that each maximum of F, Q, and P is used in calculating Pavg, b, and w; presence-only F/Q/P checks are insufficient for those stated result/use obligations. Locate the canonical AR and downstream maximum/use terms, then add them on the supplied case/ship ownership paths while retaining the four distinct LBOW-derived midpoint checks and tolerance logic.</x:v>
      </x:c>
      <x:c r="I6" s="83" t="n">
        <x:v>50892.901</x:v>
      </x:c>
      <x:c r="J6" s="83" t="n">
        <x:v>16948.938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29d77b5f244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RUN-I2-014-20260813T162232988460Z</x:v>
      </x:c>
      <x:c r="C5" s="45" t="str">
        <x:v>I2-014</x:v>
      </x:c>
      <x:c r="D5" s="90" t="n">
        <x:v>46247.682845462965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44855.463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RUN-I2-014-20260813T162232988460Z</x:v>
      </x:c>
      <x:c r="C6" s="47" t="str">
        <x:v>I2-014</x:v>
      </x:c>
      <x:c r="D6" s="91" t="n">
        <x:v>46247.68284548611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44857.12</x:v>
      </x:c>
      <x:c r="L6" s="93" t="b">
        <x:v>0</x:v>
      </x:c>
      <x:c r="M6" s="47" t="str">
        <x:v>resp_0c44f29d27480665006a7def491d308196b6498a6e2d2305aa</x:v>
      </x:c>
      <x:c r="N6" s="59" t="n">
        <x:v>7609</x:v>
      </x:c>
      <x:c r="O6" s="59" t="n">
        <x:v>3834</x:v>
      </x:c>
      <x:c r="P6" s="59" t="n">
        <x:v>11443</x:v>
      </x:c>
    </x:row>
    <x:row r="7">
      <x:c r="A7" s="47" t="str">
        <x:v>EVT-000029</x:v>
      </x:c>
      <x:c r="B7" s="47" t="str">
        <x:v>RUN-I2-014-20260813T162232988460Z</x:v>
      </x:c>
      <x:c r="C7" s="47" t="str">
        <x:v>I2-014</x:v>
      </x:c>
      <x:c r="D7" s="91" t="n">
        <x:v>46247.68306484954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18725.535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RUN-I2-014-20260813T162232988460Z</x:v>
      </x:c>
      <x:c r="C8" s="47" t="str">
        <x:v>I2-014</x:v>
      </x:c>
      <x:c r="D8" s="91" t="n">
        <x:v>46247.68306487268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18727.069</x:v>
      </x:c>
      <x:c r="L8" s="93" t="b">
        <x:v>0</x:v>
      </x:c>
      <x:c r="M8" s="47" t="str">
        <x:v>resp_0e0afe883887002c006a7def7633448193951425fc3cd85a81</x:v>
      </x:c>
      <x:c r="N8" s="59" t="n">
        <x:v>8561</x:v>
      </x:c>
      <x:c r="O8" s="59" t="n">
        <x:v>1195</x:v>
      </x:c>
      <x:c r="P8" s="59" t="n">
        <x:v>9756</x:v>
      </x:c>
    </x:row>
    <x:row r="9">
      <x:c r="A9" s="47" t="str">
        <x:v>EVT-000036</x:v>
      </x:c>
      <x:c r="B9" s="47" t="str">
        <x:v>RUN-I2-014-20260813T162232988460Z</x:v>
      </x:c>
      <x:c r="C9" s="47" t="str">
        <x:v>I2-014</x:v>
      </x:c>
      <x:c r="D9" s="91" t="n">
        <x:v>46247.68313462963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4997.14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RUN-I2-014-20260813T162232988460Z</x:v>
      </x:c>
      <x:c r="C10" s="47" t="str">
        <x:v>I2-014</x:v>
      </x:c>
      <x:c r="D10" s="91" t="n">
        <x:v>46247.68313464121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4998.055</x:v>
      </x:c>
      <x:c r="L10" s="93" t="b">
        <x:v>0</x:v>
      </x:c>
      <x:c r="M10" s="47" t="str">
        <x:v>resp_00a70b7fa5300650006a7def89f7e4819499d35956d44de4a4</x:v>
      </x:c>
      <x:c r="N10" s="59" t="n">
        <x:v>1743</x:v>
      </x:c>
      <x:c r="O10" s="59" t="n">
        <x:v>364</x:v>
      </x:c>
      <x:c r="P10" s="59" t="n">
        <x:v>2107</x:v>
      </x:c>
    </x:row>
    <x:row r="11">
      <x:c r="A11" s="47" t="str">
        <x:v>EVT-000057</x:v>
      </x:c>
      <x:c r="B11" s="47" t="str">
        <x:v>RUN-I2-014-20260813T162232988460Z</x:v>
      </x:c>
      <x:c r="C11" s="47" t="str">
        <x:v>I2-014</x:v>
      </x:c>
      <x:c r="D11" s="91" t="n">
        <x:v>46247.6837237037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50891.307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RUN-I2-014-20260813T162232988460Z</x:v>
      </x:c>
      <x:c r="C12" s="47" t="str">
        <x:v>I2-014</x:v>
      </x:c>
      <x:c r="D12" s="91" t="n">
        <x:v>46247.68372372685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50892.901</x:v>
      </x:c>
      <x:c r="L12" s="93" t="b">
        <x:v>0</x:v>
      </x:c>
      <x:c r="M12" s="47" t="str">
        <x:v>resp_055ab10c9b562378006a7def8f128c8193b04b5ac98788c9e8</x:v>
      </x:c>
      <x:c r="N12" s="59" t="n">
        <x:v>7830</x:v>
      </x:c>
      <x:c r="O12" s="59" t="n">
        <x:v>4284</x:v>
      </x:c>
      <x:c r="P12" s="59" t="n">
        <x:v>12114</x:v>
      </x:c>
    </x:row>
    <x:row r="13">
      <x:c r="A13" s="47" t="str">
        <x:v>EVT-000065</x:v>
      </x:c>
      <x:c r="B13" s="47" t="str">
        <x:v>RUN-I2-014-20260813T162232988460Z</x:v>
      </x:c>
      <x:c r="C13" s="47" t="str">
        <x:v>I2-014</x:v>
      </x:c>
      <x:c r="D13" s="91" t="n">
        <x:v>46247.68392278935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16947.699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RUN-I2-014-20260813T162232988460Z</x:v>
      </x:c>
      <x:c r="C14" s="47" t="str">
        <x:v>I2-014</x:v>
      </x:c>
      <x:c r="D14" s="91" t="n">
        <x:v>46247.68392280093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16948.938</x:v>
      </x:c>
      <x:c r="L14" s="93" t="b">
        <x:v>0</x:v>
      </x:c>
      <x:c r="M14" s="47" t="str">
        <x:v>resp_0d8e3072f822a363006a7defc21c9c819596d2f5d2463d0869</x:v>
      </x:c>
      <x:c r="N14" s="59" t="n">
        <x:v>8792</x:v>
      </x:c>
      <x:c r="O14" s="59" t="n">
        <x:v>1154</x:v>
      </x:c>
      <x:c r="P14" s="59" t="n">
        <x:v>9946</x:v>
      </x:c>
    </x:row>
    <x:row r="15">
      <x:c r="A15" s="47" t="str">
        <x:v>EVT-000072</x:v>
      </x:c>
      <x:c r="B15" s="47" t="str">
        <x:v>RUN-I2-014-20260813T162232988460Z</x:v>
      </x:c>
      <x:c r="C15" s="47" t="str">
        <x:v>I2-014</x:v>
      </x:c>
      <x:c r="D15" s="91" t="n">
        <x:v>46247.68395100695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1675.724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RUN-I2-014-20260813T162232988460Z</x:v>
      </x:c>
      <x:c r="C16" s="49" t="str">
        <x:v>I2-014</x:v>
      </x:c>
      <x:c r="D16" s="94" t="n">
        <x:v>46247.68395101852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1676.492</x:v>
      </x:c>
      <x:c r="L16" s="82" t="b">
        <x:v>0</x:v>
      </x:c>
      <x:c r="M16" s="49" t="str">
        <x:v>resp_0d14f272878fc211006a7defd3d18881949b349f2b11c58e15</x:v>
      </x:c>
      <x:c r="N16" s="60" t="n">
        <x:v>1684</x:v>
      </x:c>
      <x:c r="O16" s="60" t="n">
        <x:v>101</x:v>
      </x:c>
      <x:c r="P16" s="60" t="n">
        <x:v>1785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5c8a45ccd144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RUN-I2-014-20260813T162232988460Z</x:v>
      </x:c>
      <x:c r="B5" s="45" t="str">
        <x:v>I2-014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bowLength; domain dependency of totalGlancingImpactForce</x:v>
      </x:c>
      <x:c r="J5" s="45" t="n">
        <x:v>0</x:v>
      </x:c>
    </x:row>
    <x:row r="6">
      <x:c r="A6" s="47" t="str">
        <x:v>RUN-I2-014-20260813T162232988460Z</x:v>
      </x:c>
      <x:c r="B6" s="47" t="str">
        <x:v>I2-014</x:v>
      </x:c>
      <x:c r="C6" s="47" t="str">
        <x:v>bowLength</x:v>
      </x:c>
      <x:c r="D6" s="48" t="str">
        <x:v>https://w3id.org/nltl-benchmark/vocab#bowLength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RUN-I2-014-20260813T162232988460Z</x:v>
      </x:c>
      <x:c r="B7" s="47" t="str">
        <x:v>I2-014</x:v>
      </x:c>
      <x:c r="C7" s="47" t="str">
        <x:v>bowSubregionCalculationCase</x:v>
      </x:c>
      <x:c r="D7" s="48" t="str">
        <x:v>https://w3id.org/nltl-benchmark/vocab#bowSubregionCalculationCase</x:v>
      </x:c>
      <x:c r="E7" s="47" t="str">
        <x:v>Class</x:v>
      </x:c>
      <x:c r="F7" s="47" t="str"/>
      <x:c r="G7" s="47" t="str">
        <x:v>https://w3id.org/nltl-benchmark/vocab#calculationCase</x:v>
      </x:c>
      <x:c r="H7" s="47" t="str"/>
      <x:c r="I7" s="48" t="str">
        <x:v>domain dependency of bowSubregionMidLengthPosition; domain dependency of glancingImpactLineLoad; domain dependency of glancingImpactPressure; linked by the locked 313-requirement index; range dependency of hasBowSubregionCalculationCase</x:v>
      </x:c>
      <x:c r="J7" s="47" t="n">
        <x:v>0</x:v>
      </x:c>
    </x:row>
    <x:row r="8">
      <x:c r="A8" s="47" t="str">
        <x:v>RUN-I2-014-20260813T162232988460Z</x:v>
      </x:c>
      <x:c r="B8" s="47" t="str">
        <x:v>I2-014</x:v>
      </x:c>
      <x:c r="C8" s="47" t="str">
        <x:v>bowSubregionCount</x:v>
      </x:c>
      <x:c r="D8" s="48" t="str">
        <x:v>https://w3id.org/nltl-benchmark/vocab#bowSubregionCount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RUN-I2-014-20260813T162232988460Z</x:v>
      </x:c>
      <x:c r="B9" s="47" t="str">
        <x:v>I2-014</x:v>
      </x:c>
      <x:c r="C9" s="47" t="str">
        <x:v>bowSubregionMidLengthPosition</x:v>
      </x:c>
      <x:c r="D9" s="48" t="str">
        <x:v>https://w3id.org/nltl-benchmark/vocab#bowSubregionMidLengthPosition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RUN-I2-014-20260813T162232988460Z</x:v>
      </x:c>
      <x:c r="B10" s="47" t="str">
        <x:v>I2-014</x:v>
      </x:c>
      <x:c r="C10" s="47" t="str">
        <x:v>calculationCase</x:v>
      </x:c>
      <x:c r="D10" s="48" t="str">
        <x:v>https://w3id.org/nltl-benchmark/vocab#calculationCase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RUN-I2-014-20260813T162232988460Z</x:v>
      </x:c>
      <x:c r="B11" s="47" t="str">
        <x:v>I2-014</x:v>
      </x:c>
      <x:c r="C11" s="47" t="str">
        <x:v>glancingImpactLineLoad</x:v>
      </x:c>
      <x:c r="D11" s="48" t="str">
        <x:v>https://w3id.org/nltl-benchmark/vocab#glancingImpactLineLoad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RUN-I2-014-20260813T162232988460Z</x:v>
      </x:c>
      <x:c r="B12" s="47" t="str">
        <x:v>I2-014</x:v>
      </x:c>
      <x:c r="C12" s="47" t="str">
        <x:v>glancingImpactPressure</x:v>
      </x:c>
      <x:c r="D12" s="48" t="str">
        <x:v>https://w3id.org/nltl-benchmark/vocab#glancingImpactPressure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RUN-I2-014-20260813T162232988460Z</x:v>
      </x:c>
      <x:c r="B13" s="47" t="str">
        <x:v>I2-014</x:v>
      </x:c>
      <x:c r="C13" s="47" t="str">
        <x:v>hasBowSubregionCalculationCase</x:v>
      </x:c>
      <x:c r="D13" s="48" t="str">
        <x:v>https://w3id.org/nltl-benchmark/vocab#hasBowSubregionCalculationCase</x:v>
      </x:c>
      <x:c r="E13" s="47" t="str">
        <x:v>ObjectProperty</x:v>
      </x:c>
      <x:c r="F13" s="47" t="str"/>
      <x:c r="G13" s="47" t="str">
        <x:v>https://w3id.org/nltl-benchmark/vocab#bowSubregionCalculationCase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RUN-I2-014-20260813T162232988460Z</x:v>
      </x:c>
      <x:c r="B14" s="47" t="str">
        <x:v>I2-014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RUN-I2-014-20260813T162232988460Z</x:v>
      </x:c>
      <x:c r="B15" s="47" t="str">
        <x:v>I2-014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bowSubregionCount; domain dependency of hasBowSubregionCalculationCase</x:v>
      </x:c>
      <x:c r="J15" s="47" t="n">
        <x:v>0</x:v>
      </x:c>
    </x:row>
    <x:row r="16">
      <x:c r="A16" s="47" t="str">
        <x:v>RUN-I2-014-20260813T162232988460Z</x:v>
      </x:c>
      <x:c r="B16" s="47" t="str">
        <x:v>I2-014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RUN-I2-014-20260813T162232988460Z</x:v>
      </x:c>
      <x:c r="B17" s="47" t="str">
        <x:v>I2-014</x:v>
      </x:c>
      <x:c r="C17" s="47" t="str">
        <x:v>totalGlancingImpactForce</x:v>
      </x:c>
      <x:c r="D17" s="48" t="str">
        <x:v>https://w3id.org/nltl-benchmark/vocab#totalGlancingImpactForce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RUN-I2-014-20260813T162232988460Z</x:v>
      </x:c>
      <x:c r="B18" s="47" t="str">
        <x:v>I2-014</x:v>
      </x:c>
      <x:c r="C18" s="47" t="str">
        <x:v>benchmarkEntity</x:v>
      </x:c>
      <x:c r="D18" s="48" t="str">
        <x:v>https://w3id.org/nltl-benchmark/vocab#benchmarkEntity</x:v>
      </x:c>
      <x:c r="E18" s="47" t="str">
        <x:v>Class</x:v>
      </x:c>
      <x:c r="F18" s="47" t="str"/>
      <x:c r="G18" s="47" t="str"/>
      <x:c r="H18" s="47" t="str"/>
      <x:c r="I18" s="48" t="str">
        <x:v>baseline target infrastructure; domain dependency of bowLength; domain dependency of totalGlancingImpactForce</x:v>
      </x:c>
      <x:c r="J18" s="47" t="n">
        <x:v>2</x:v>
      </x:c>
    </x:row>
    <x:row r="19">
      <x:c r="A19" s="47" t="str">
        <x:v>RUN-I2-014-20260813T162232988460Z</x:v>
      </x:c>
      <x:c r="B19" s="47" t="str">
        <x:v>I2-014</x:v>
      </x:c>
      <x:c r="C19" s="47" t="str">
        <x:v>bowLength</x:v>
      </x:c>
      <x:c r="D19" s="48" t="str">
        <x:v>https://w3id.org/nltl-benchmark/vocab#bowLength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2</x:v>
      </x:c>
    </x:row>
    <x:row r="20">
      <x:c r="A20" s="47" t="str">
        <x:v>RUN-I2-014-20260813T162232988460Z</x:v>
      </x:c>
      <x:c r="B20" s="47" t="str">
        <x:v>I2-014</x:v>
      </x:c>
      <x:c r="C20" s="47" t="str">
        <x:v>bowSubregionCalculationCase</x:v>
      </x:c>
      <x:c r="D20" s="48" t="str">
        <x:v>https://w3id.org/nltl-benchmark/vocab#bowSubregionCalculationCase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domain dependency of bowSubregionMidLengthPosition; domain dependency of glancingImpactLineLoad; domain dependency of glancingImpactPressure; linked by the locked 313-requirement index; range dependency of hasBowSubregionCalculationCase</x:v>
      </x:c>
      <x:c r="J20" s="47" t="n">
        <x:v>2</x:v>
      </x:c>
    </x:row>
    <x:row r="21">
      <x:c r="A21" s="47" t="str">
        <x:v>RUN-I2-014-20260813T162232988460Z</x:v>
      </x:c>
      <x:c r="B21" s="47" t="str">
        <x:v>I2-014</x:v>
      </x:c>
      <x:c r="C21" s="47" t="str">
        <x:v>bowSubregionCount</x:v>
      </x:c>
      <x:c r="D21" s="48" t="str">
        <x:v>https://w3id.org/nltl-benchmark/vocab#bowSubregionCount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RUN-I2-014-20260813T162232988460Z</x:v>
      </x:c>
      <x:c r="B22" s="47" t="str">
        <x:v>I2-014</x:v>
      </x:c>
      <x:c r="C22" s="47" t="str">
        <x:v>bowSubregionMidLengthPosition</x:v>
      </x:c>
      <x:c r="D22" s="48" t="str">
        <x:v>https://w3id.org/nltl-benchmark/vocab#bowSubregionMidLengthPosition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RUN-I2-014-20260813T162232988460Z</x:v>
      </x:c>
      <x:c r="B23" s="47" t="str">
        <x:v>I2-014</x:v>
      </x:c>
      <x:c r="C23" s="47" t="str">
        <x:v>calculationCase</x:v>
      </x:c>
      <x:c r="D23" s="48" t="str">
        <x:v>https://w3id.org/nltl-benchmark/vocab#calculationCase</x:v>
      </x:c>
      <x:c r="E23" s="47" t="str">
        <x:v>Class</x:v>
      </x:c>
      <x:c r="F23" s="47" t="str"/>
      <x:c r="G23" s="47" t="str">
        <x:v>https://w3id.org/nltl-benchmark/vocab#benchmarkEntity</x:v>
      </x:c>
      <x:c r="H23" s="47" t="str"/>
      <x:c r="I23" s="48" t="str">
        <x:v>range dependency of bowSubregionCalculationCase</x:v>
      </x:c>
      <x:c r="J23" s="47" t="n">
        <x:v>2</x:v>
      </x:c>
    </x:row>
    <x:row r="24">
      <x:c r="A24" s="47" t="str">
        <x:v>RUN-I2-014-20260813T162232988460Z</x:v>
      </x:c>
      <x:c r="B24" s="47" t="str">
        <x:v>I2-014</x:v>
      </x:c>
      <x:c r="C24" s="47" t="str">
        <x:v>glancingImpactLineLoad</x:v>
      </x:c>
      <x:c r="D24" s="48" t="str">
        <x:v>https://w3id.org/nltl-benchmark/vocab#glancingImpactLineLoad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http://qudt.org/vocab/unit/MegaN-M-PER-M2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RUN-I2-014-20260813T162232988460Z</x:v>
      </x:c>
      <x:c r="B25" s="47" t="str">
        <x:v>I2-014</x:v>
      </x:c>
      <x:c r="C25" s="47" t="str">
        <x:v>glancingImpactPressure</x:v>
      </x:c>
      <x:c r="D25" s="48" t="str">
        <x:v>https://w3id.org/nltl-benchmark/vocab#glancingImpactPressure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http://qudt.org/vocab/unit/MegaPA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RUN-I2-014-20260813T162232988460Z</x:v>
      </x:c>
      <x:c r="B26" s="47" t="str">
        <x:v>I2-014</x:v>
      </x:c>
      <x:c r="C26" s="47" t="str">
        <x:v>hasBowSubregionCalculationCase</x:v>
      </x:c>
      <x:c r="D26" s="48" t="str">
        <x:v>https://w3id.org/nltl-benchmark/vocab#hasBowSubregionCalculationCase</x:v>
      </x:c>
      <x:c r="E26" s="47" t="str">
        <x:v>ObjectProperty</x:v>
      </x:c>
      <x:c r="F26" s="47" t="str"/>
      <x:c r="G26" s="47" t="str">
        <x:v>https://w3id.org/nltl-benchmark/vocab#bowSubregionCalculationCase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RUN-I2-014-20260813T162232988460Z</x:v>
      </x:c>
      <x:c r="B27" s="47" t="str">
        <x:v>I2-014</x:v>
      </x:c>
      <x:c r="C27" s="47" t="str">
        <x:v>hasComponent</x:v>
      </x:c>
      <x:c r="D27" s="48" t="str">
        <x:v>https://w3id.org/nltl-benchmark/vocab#hasComponent</x:v>
      </x:c>
      <x:c r="E27" s="47" t="str">
        <x:v>ObjectProperty</x:v>
      </x:c>
      <x:c r="F27" s="47" t="str"/>
      <x:c r="G27" s="47" t="str">
        <x:v>https://w3id.org/nltl-benchmark/vocab#shipComponent</x:v>
      </x:c>
      <x:c r="H27" s="47" t="str"/>
      <x:c r="I27" s="48" t="str">
        <x:v>component-path dependency inferred from the linked term module</x:v>
      </x:c>
      <x:c r="J27" s="47" t="n">
        <x:v>2</x:v>
      </x:c>
    </x:row>
    <x:row r="28">
      <x:c r="A28" s="47" t="str">
        <x:v>RUN-I2-014-20260813T162232988460Z</x:v>
      </x:c>
      <x:c r="B28" s="47" t="str">
        <x:v>I2-014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bowSubregionCount; domain dependency of hasBowSubregionCalculationCase</x:v>
      </x:c>
      <x:c r="J28" s="47" t="n">
        <x:v>2</x:v>
      </x:c>
    </x:row>
    <x:row r="29">
      <x:c r="A29" s="47" t="str">
        <x:v>RUN-I2-014-20260813T162232988460Z</x:v>
      </x:c>
      <x:c r="B29" s="47" t="str">
        <x:v>I2-014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2</x:v>
      </x:c>
    </x:row>
    <x:row r="30">
      <x:c r="A30" s="49" t="str">
        <x:v>RUN-I2-014-20260813T162232988460Z</x:v>
      </x:c>
      <x:c r="B30" s="49" t="str">
        <x:v>I2-014</x:v>
      </x:c>
      <x:c r="C30" s="49" t="str">
        <x:v>totalGlancingImpactForce</x:v>
      </x:c>
      <x:c r="D30" s="50" t="str">
        <x:v>https://w3id.org/nltl-benchmark/vocab#totalGlancingImpactForce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http://qudt.org/vocab/unit/KiloN</x:v>
      </x:c>
      <x:c r="I30" s="50" t="str">
        <x:v>linked by the locked 313-requirement index; verified vocabulary-matcher addition</x:v>
      </x:c>
      <x:c r="J3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981e79b240148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RUN-I2-014-20260813T162232988460Z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RUN-I2-014-20260813T162232988460Z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RUN-I2-014-20260813T162232988460Z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0a093c83847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RUN-I2-014-20260813T162232988460Z</x:v>
      </x:c>
      <x:c r="B5" s="45" t="str">
        <x:v>I2-014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https://w3id.org/nltl-benchmark/vocab#bowLength | https://w3id.org/nltl-benchmark/vocab#bowSubregionCalculationCase | https://w3id.org/nltl-benchmark/vocab#bowSubregionCount | https://w3id.org/nltl-benchmark/vocab#bowSubregionMidLengthPosition | https://w3id.org/nltl-benchmark/vocab#glancingImpactLineLoad | https://w3id.org/nltl-benchmark/vocab#glancingImpactPressure | https://w3id.org/nltl-benchmark/vocab#hasBowSubregionCalculationCase | https://w3id.org/nltl-benchmark/vocab#ship | https://w3id.org/nltl-benchmark/vocab#totalGlancingImpactForce</x:v>
      </x:c>
      <x:c r="O5" s="46" t="str"/>
      <x:c r="P5" s="46" t="str"/>
      <x:c r="Q5" s="46" t="str"/>
    </x:row>
    <x:row r="6">
      <x:c r="A6" s="49" t="str">
        <x:v>RUN-I2-014-20260813T162232988460Z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https://w3id.org/nltl-benchmark/vocab#bowLength | https://w3id.org/nltl-benchmark/vocab#bowSubregionCalculationCase | https://w3id.org/nltl-benchmark/vocab#bowSubregionCount | https://w3id.org/nltl-benchmark/vocab#bowSubregionMidLengthPosition | https://w3id.org/nltl-benchmark/vocab#glancingImpactLineLoad | https://w3id.org/nltl-benchmark/vocab#glancingImpactPressure | https://w3id.org/nltl-benchmark/vocab#hasBowSubregionCalculationCase | https://w3id.org/nltl-benchmark/vocab#ship | https://w3id.org/nltl-benchmark/vocab#totalGlancingImpactForce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f172144819c44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RUN-I2-014-20260813T162232988460Z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RUN-I2-014-20260813T162232988460Z</x:v>
      </x:c>
      <x:c r="B5" s="45" t="str">
        <x:v>I2-014</x:v>
      </x:c>
      <x:c r="C5" s="58" t="n">
        <x:v>1</x:v>
      </x:c>
      <x:c r="D5" s="45" t="str">
        <x:v>matcher_search</x:v>
      </x:c>
      <x:c r="E5" s="46" t="str">
        <x:v>The graph omits required per-subregion force (F) and load-patch aspect ratio (AR), and it does not encode the requirement that the maxima of F, Q, and P are used to calculate Pavg, b, and w. A ship-level presence check for totalGlancingImpactForce is not a faithful substitute for a force result paired with each mid-length calculation case. Locate the canonical terms for the missing per-case result(s), aspect ratio, maxima, and downstream parameters/relationships, then constrain each of the four case nodes to carry the paired F, Q, P, and AR evidence and encode the declared maximum-to-parameter calculation relationship with appropriate bounded formula/tolerance checks.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RUN-I2-014-20260813T162232988460Z</x:v>
      </x:c>
      <x:c r="B6" s="47" t="str">
        <x:v>I2-014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totalGlancingImpactForce</x:v>
      </x:c>
      <x:c r="I6" s="48" t="str">
        <x:v>https://w3id.org/nltl-benchmark/vocab#totalGlancingImpactForce</x:v>
      </x:c>
      <x:c r="J6" s="48" t="str">
        <x:v>Use this exact term because it is the canonical QuantityProperty for total glancing impact force, with QuantityValue range and recommended kilonewton unit; attach it to each subregion calculation case rather than using only a ship-level presence check.</x:v>
      </x:c>
    </x:row>
    <x:row r="7">
      <x:c r="A7" s="47" t="str">
        <x:v>RUN-I2-014-20260813T162232988460Z</x:v>
      </x:c>
      <x:c r="B7" s="47" t="str">
        <x:v>I2-014</x:v>
      </x:c>
      <x:c r="C7" s="59" t="n">
        <x:v>2</x:v>
      </x:c>
      <x:c r="D7" s="47" t="str">
        <x:v>matcher_search</x:v>
      </x:c>
      <x:c r="E7" s="48" t="str">
        <x:v>The graph omits the required load-patch aspect ratio (AR) for every bow-subregion calculation case and does not encode the requirement that each maximum of F, Q, and P is used in calculating Pavg, b, and w; presence-only F/Q/P checks are insufficient for those stated result/use obligations. Locate the canonical AR and downstream maximum/use terms, then add them on the supplied case/ship ownership paths while retaining the four distinct LBOW-derived midpoint checks and tolerance logic.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RUN-I2-014-20260813T162232988460Z</x:v>
      </x:c>
      <x:c r="B8" s="49" t="str">
        <x:v>I2-014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represents load-patch aspect ratio (AR) or the downstream maximum/use obligations for F, Q, P, Pavg, b, and w.</x:v>
      </x:c>
    </x:row>
  </x:sheetData>
  <x:pageMargins left="0.7" right="0.7" top="0.75" bottom="0.75" header="0.3" footer="0.3"/>
  <x:tableParts count="1">
    <x:tablePart xmlns:r="http://schemas.openxmlformats.org/officeDocument/2006/relationships" r:id="R7ad378ecf55b480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RUN-I2-014-20260813T162232988460Z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RUN-I2-014-20260813T162232988460Z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23d337d27eb9fa5fca7ebaa9c86ff267bb237396c99fb9391d9ff8b6f580c54c</x:v>
      </x:c>
      <x:c r="G5" s="58" t="n">
        <x:v>18700</x:v>
      </x:c>
    </x:row>
    <x:row r="6">
      <x:c r="A6" s="47" t="str">
        <x:v>RUN-I2-014-20260813T162232988460Z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e27eee5e638b9d85b2132264551303b0b689748db9555ef7679b9549432af94b</x:v>
      </x:c>
      <x:c r="G6" s="59" t="n">
        <x:v>5365</x:v>
      </x:c>
    </x:row>
    <x:row r="7">
      <x:c r="A7" s="47" t="str">
        <x:v>RUN-I2-014-20260813T162232988460Z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5c7c83aa5f3cb63244c79c3f35db87620229e09b0e53b2acfc2f929396bd113f</x:v>
      </x:c>
      <x:c r="G7" s="59" t="n">
        <x:v>30677</x:v>
      </x:c>
    </x:row>
    <x:row r="8">
      <x:c r="A8" s="47" t="str">
        <x:v>RUN-I2-014-20260813T162232988460Z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3f22c60c52f082ee5e229f1f4be32ec0decdba7e6babeb0a148c2c2dc6f868e8</x:v>
      </x:c>
      <x:c r="G8" s="59" t="n">
        <x:v>6170</x:v>
      </x:c>
    </x:row>
    <x:row r="9">
      <x:c r="A9" s="47" t="str">
        <x:v>RUN-I2-014-20260813T162232988460Z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ad64dc0523ea8e6c973d431cb5295dfc0901cffd5afa3005b4d8ce043a628f70</x:v>
      </x:c>
      <x:c r="G9" s="59" t="n">
        <x:v>6145</x:v>
      </x:c>
    </x:row>
    <x:row r="10">
      <x:c r="A10" s="47" t="str">
        <x:v>RUN-I2-014-20260813T162232988460Z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3cb45df788acf2e3176e9775c7c5b491743f75e6ec3c6ee731530f6c155d76a0</x:v>
      </x:c>
      <x:c r="G10" s="59" t="n">
        <x:v>987</x:v>
      </x:c>
    </x:row>
    <x:row r="11">
      <x:c r="A11" s="47" t="str">
        <x:v>RUN-I2-014-20260813T162232988460Z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d81ae98b618985701542ca5e3f7635c917036152c789b41debe729e72b20ae32</x:v>
      </x:c>
      <x:c r="G11" s="59" t="n">
        <x:v>32505</x:v>
      </x:c>
    </x:row>
    <x:row r="12">
      <x:c r="A12" s="47" t="str">
        <x:v>RUN-I2-014-20260813T162232988460Z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173ac28b11dd6122b081b1eca38ab1d2bccb84a9d254246bc1c298b95c00d7c1</x:v>
      </x:c>
      <x:c r="G12" s="59" t="n">
        <x:v>739</x:v>
      </x:c>
    </x:row>
    <x:row r="13">
      <x:c r="A13" s="47" t="str">
        <x:v>RUN-I2-014-20260813T162232988460Z</x:v>
      </x:c>
      <x:c r="B13" s="47" t="str">
        <x:v>I2-014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13b03d88bdfca6385851175ad37e01f0297668720189416b90c14cc1d994a1ee</x:v>
      </x:c>
      <x:c r="G13" s="59" t="n">
        <x:v>1777</x:v>
      </x:c>
    </x:row>
    <x:row r="14">
      <x:c r="A14" s="47" t="str">
        <x:v>RUN-I2-014-20260813T162232988460Z</x:v>
      </x:c>
      <x:c r="B14" s="47" t="str">
        <x:v>I2-014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c9a2981da56f51f383517ac57e8c1f2677c12a26b4577b0ba97a231ed5abd3f0</x:v>
      </x:c>
      <x:c r="G14" s="59" t="n">
        <x:v>6977</x:v>
      </x:c>
    </x:row>
    <x:row r="15">
      <x:c r="A15" s="47" t="str">
        <x:v>RUN-I2-014-20260813T162232988460Z</x:v>
      </x:c>
      <x:c r="B15" s="47" t="str">
        <x:v>I2-014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9ab3e987efb7b46684108758f3c09e81f4582a90707b17cbc75ebedce2cc3e6e</x:v>
      </x:c>
      <x:c r="G15" s="59" t="n">
        <x:v>426</x:v>
      </x:c>
    </x:row>
    <x:row r="16">
      <x:c r="A16" s="47" t="str">
        <x:v>RUN-I2-014-20260813T162232988460Z</x:v>
      </x:c>
      <x:c r="B16" s="47" t="str">
        <x:v>I2-014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7ca3c6f18eae3aaa564a75f9dded18052f42afbd548b257c7829929bf93c0d86</x:v>
      </x:c>
      <x:c r="G16" s="59" t="n">
        <x:v>18738</x:v>
      </x:c>
    </x:row>
    <x:row r="17">
      <x:c r="A17" s="47" t="str">
        <x:v>RUN-I2-014-20260813T162232988460Z</x:v>
      </x:c>
      <x:c r="B17" s="47" t="str">
        <x:v>I2-014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84207d4bb81a8209c48e096878bf084d453fa19e04aad9217d92e4e9d103a064</x:v>
      </x:c>
      <x:c r="G17" s="59" t="n">
        <x:v>31753</x:v>
      </x:c>
    </x:row>
    <x:row r="18">
      <x:c r="A18" s="47" t="str">
        <x:v>RUN-I2-014-20260813T162232988460Z</x:v>
      </x:c>
      <x:c r="B18" s="47" t="str">
        <x:v>I2-014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54615d6c06990b4a918082a034af2dd9dd80475681d994856a0b99f6f34415b7</x:v>
      </x:c>
      <x:c r="G18" s="59" t="n">
        <x:v>6337</x:v>
      </x:c>
    </x:row>
    <x:row r="19">
      <x:c r="A19" s="47" t="str">
        <x:v>RUN-I2-014-20260813T162232988460Z</x:v>
      </x:c>
      <x:c r="B19" s="47" t="str">
        <x:v>I2-014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a754a96c4f41b90e814f4fd867cdb80fb64e2c02d37fa0f13354db2960a0fc2d</x:v>
      </x:c>
      <x:c r="G19" s="59" t="n">
        <x:v>6312</x:v>
      </x:c>
    </x:row>
    <x:row r="20">
      <x:c r="A20" s="47" t="str">
        <x:v>RUN-I2-014-20260813T162232988460Z</x:v>
      </x:c>
      <x:c r="B20" s="47" t="str">
        <x:v>I2-014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3cb45df788acf2e3176e9775c7c5b491743f75e6ec3c6ee731530f6c155d76a0</x:v>
      </x:c>
      <x:c r="G20" s="59" t="n">
        <x:v>987</x:v>
      </x:c>
    </x:row>
    <x:row r="21">
      <x:c r="A21" s="47" t="str">
        <x:v>RUN-I2-014-20260813T162232988460Z</x:v>
      </x:c>
      <x:c r="B21" s="47" t="str">
        <x:v>I2-014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c92cd91f99c803539c8a9487df9b3125a38e25bc6de20723952de222686b830b</x:v>
      </x:c>
      <x:c r="G21" s="59" t="n">
        <x:v>32764</x:v>
      </x:c>
    </x:row>
    <x:row r="22">
      <x:c r="A22" s="47" t="str">
        <x:v>RUN-I2-014-20260813T162232988460Z</x:v>
      </x:c>
      <x:c r="B22" s="47" t="str">
        <x:v>I2-014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2a36311d4bc3c8406b171a3501f77b19e7d9d01cce7cebf87a8f7536e56d2c95</x:v>
      </x:c>
      <x:c r="G22" s="59" t="n">
        <x:v>552</x:v>
      </x:c>
    </x:row>
    <x:row r="23">
      <x:c r="A23" s="47" t="str">
        <x:v>RUN-I2-014-20260813T162232988460Z</x:v>
      </x:c>
      <x:c r="B23" s="47" t="str">
        <x:v>I2-014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f372c627a26c75c3815e8694f0dbf8d6248e61011ed8da13002f8ebe0ed599c3</x:v>
      </x:c>
      <x:c r="G23" s="59" t="n">
        <x:v>1671</x:v>
      </x:c>
    </x:row>
    <x:row r="24">
      <x:c r="A24" s="47" t="str">
        <x:v>RUN-I2-014-20260813T162232988460Z</x:v>
      </x:c>
      <x:c r="B24" s="47" t="str">
        <x:v>I2-014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b1bccdbf1cebdc7c7d530b3a9c594ac0abd91527ba1e9234fa58d389faee42d9</x:v>
      </x:c>
      <x:c r="G24" s="59" t="n">
        <x:v>6684</x:v>
      </x:c>
    </x:row>
    <x:row r="25">
      <x:c r="A25" s="49" t="str">
        <x:v>RUN-I2-014-20260813T162232988460Z</x:v>
      </x:c>
      <x:c r="B25" s="49" t="str">
        <x:v>I2-014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b605884a9f1a80f731aa1a5f27414b00d31083561ce394f02563e916d6b06de7</x:v>
      </x:c>
      <x:c r="G25" s="60" t="n">
        <x:v>221</x:v>
      </x:c>
    </x:row>
  </x:sheetData>
  <x:pageMargins left="0.7" right="0.7" top="0.75" bottom="0.75" header="0.3" footer="0.3"/>
  <x:tableParts count="1">
    <x:tablePart xmlns:r="http://schemas.openxmlformats.org/officeDocument/2006/relationships" r:id="R56a3ed1e8a7b47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RUN-I2-014-20260813T162232988460Z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RUN-I2-014-20260813T162232988460Z</x:v>
      </x:c>
      <x:c r="B5" s="69" t="str">
        <x:v>I2-014</x:v>
      </x:c>
      <x:c r="C5" s="71" t="n">
        <x:v>2</x:v>
      </x:c>
      <x:c r="D5" s="69" t="str">
        <x:v>TERM_RESOLUTION_UNRESOLVED</x:v>
      </x:c>
      <x:c r="E5" s="73" t="str">
        <x:v>No supplied candidate represents load-patch aspect ratio (AR) or the downstream maximum/use obligations for F, Q, P, Pavg, b, and w.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9d855be014e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RUN-I2-014-20260813T162232988460Z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