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8251ffa87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73ff1abfbe4858"/>
    <x:sheet xmlns:r="http://schemas.openxmlformats.org/officeDocument/2006/relationships" name="README" sheetId="2" r:id="R9df8a070864f4e9b"/>
    <x:sheet xmlns:r="http://schemas.openxmlformats.org/officeDocument/2006/relationships" name="REGULATION_QUEUE" sheetId="3" r:id="R3024503d3a834e46"/>
    <x:sheet xmlns:r="http://schemas.openxmlformats.org/officeDocument/2006/relationships" name="RUNS" sheetId="4" r:id="R17e02fdb18b84291"/>
    <x:sheet xmlns:r="http://schemas.openxmlformats.org/officeDocument/2006/relationships" name="ITERATIONS" sheetId="5" r:id="R55d90338f3ff4391"/>
    <x:sheet xmlns:r="http://schemas.openxmlformats.org/officeDocument/2006/relationships" name="API_CALLS" sheetId="6" r:id="Rb19a943d51e04c9f"/>
    <x:sheet xmlns:r="http://schemas.openxmlformats.org/officeDocument/2006/relationships" name="TERM_RETRIEVAL" sheetId="7" r:id="R0af6254d23414cb7"/>
    <x:sheet xmlns:r="http://schemas.openxmlformats.org/officeDocument/2006/relationships" name="FEW_SHOT_SELECTION" sheetId="8" r:id="R076fd6bae0594873"/>
    <x:sheet xmlns:r="http://schemas.openxmlformats.org/officeDocument/2006/relationships" name="VALIDATION" sheetId="9" r:id="Rf7a04edd57db4c19"/>
    <x:sheet xmlns:r="http://schemas.openxmlformats.org/officeDocument/2006/relationships" name="VOCAB_MATCHES" sheetId="10" r:id="R2ce4675b9da14f5f"/>
    <x:sheet xmlns:r="http://schemas.openxmlformats.org/officeDocument/2006/relationships" name="ARTIFACTS" sheetId="11" r:id="R2798cc31707841ef"/>
    <x:sheet xmlns:r="http://schemas.openxmlformats.org/officeDocument/2006/relationships" name="UNRESOLVED" sheetId="12" r:id="R57a8430452164c13"/>
    <x:sheet xmlns:r="http://schemas.openxmlformats.org/officeDocument/2006/relationships" name="RDF_TEST_QUEUE" sheetId="13" r:id="R651ab0068565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7529b3e264882" /><Relationship Type="http://schemas.openxmlformats.org/officeDocument/2006/relationships/theme" Target="/xl/theme/theme1.xml" Id="R3c8a5f12b4cf4d54" /><Relationship Type="http://schemas.microsoft.com/office/2022/11/relationships/FeaturePropertyBag" Target="/xl/featurePropertyBag/featurePropertyBag.xml" Id="Rb3479aa31fc04a5e" /><Relationship Type="http://schemas.openxmlformats.org/officeDocument/2006/relationships/sharedStrings" Target="/xl/sharedStrings.xml" Id="R62ad06d91fd744d0" /><Relationship Type="http://schemas.openxmlformats.org/officeDocument/2006/relationships/worksheet" Target="/xl/worksheets/sheet1.xml" Id="Rd973ff1abfbe4858" /><Relationship Type="http://schemas.openxmlformats.org/officeDocument/2006/relationships/worksheet" Target="/xl/worksheets/sheet2.xml" Id="R9df8a070864f4e9b" /><Relationship Type="http://schemas.openxmlformats.org/officeDocument/2006/relationships/worksheet" Target="/xl/worksheets/sheet3.xml" Id="R3024503d3a834e46" /><Relationship Type="http://schemas.openxmlformats.org/officeDocument/2006/relationships/worksheet" Target="/xl/worksheets/sheet4.xml" Id="R17e02fdb18b84291" /><Relationship Type="http://schemas.openxmlformats.org/officeDocument/2006/relationships/worksheet" Target="/xl/worksheets/sheet5.xml" Id="R55d90338f3ff4391" /><Relationship Type="http://schemas.openxmlformats.org/officeDocument/2006/relationships/worksheet" Target="/xl/worksheets/sheet6.xml" Id="Rb19a943d51e04c9f" /><Relationship Type="http://schemas.openxmlformats.org/officeDocument/2006/relationships/worksheet" Target="/xl/worksheets/sheet7.xml" Id="R0af6254d23414cb7" /><Relationship Type="http://schemas.openxmlformats.org/officeDocument/2006/relationships/worksheet" Target="/xl/worksheets/sheet8.xml" Id="R076fd6bae0594873" /><Relationship Type="http://schemas.openxmlformats.org/officeDocument/2006/relationships/worksheet" Target="/xl/worksheets/sheet9.xml" Id="Rf7a04edd57db4c19" /><Relationship Type="http://schemas.openxmlformats.org/officeDocument/2006/relationships/worksheet" Target="/xl/worksheets/sheet10.xml" Id="R2ce4675b9da14f5f" /><Relationship Type="http://schemas.openxmlformats.org/officeDocument/2006/relationships/worksheet" Target="/xl/worksheets/sheet11.xml" Id="R2798cc31707841ef" /><Relationship Type="http://schemas.openxmlformats.org/officeDocument/2006/relationships/worksheet" Target="/xl/worksheets/sheet12.xml" Id="R57a8430452164c13" /><Relationship Type="http://schemas.openxmlformats.org/officeDocument/2006/relationships/worksheet" Target="/xl/worksheets/sheet13.xml" Id="R651ab006856543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bda75700b547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55a4e6e4ee45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0a188039754f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d33e42a3b544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11c921beb947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ce0f843ed64e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f2519405b3444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dd6170559b4ab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44795a80f6d48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f03c1dc47a445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ced2c51cb654f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RUN-I2-017-20260813T162650713904Z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17064.238999999998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RUN-I2-017-20260813T162650713904Z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bda75700b547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RUN-I2-017-20260813T162650713904Z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TERM_RESOLUTION_UNRESOLVED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55a4e6e4ee45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RUN-I2-017-20260813T162650713904Z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RUN-I2-017-20260813T162650713904Z</x:v>
      </x:c>
      <x:c r="C5" s="69" t="str">
        <x:v>I2-017</x:v>
      </x:c>
      <x:c r="D5" s="70" t="n">
        <x:v>46247.685309189816</x:v>
      </x:c>
      <x:c r="E5" s="70" t="n">
        <x:v>46247.68591753472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is a canonical ship-to-case relationship; the supplied properties and classes cannot satisfy the required relationship mismatch.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0a188039754f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RUN-I2-017-20260813T162650713904Z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RUN-I2-017-20260813T162650713904Z</x:v>
      </x:c>
      <x:c r="B5" s="69" t="str">
        <x:v>I2-017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nonBowIceForce check with a ship-targeted formula constraint for FNonBow = 0.36 × CFC × DF MN (equivalently 360 × CFC × DF kN). Require decimal numeric values and canonical units for nonBowIceForce, crushingFailureClassFactor, shipDisplacementFactor, and the COMPLETE-contract loadPatchDimensionClassFactor term. Compare the reported force to the expected formula result using a tolerance scaled from that expected result, not exact equality or a tolerance based on the reported value. Respect canonical domains: CFC and CFD belong on a tableLookupCase and DF on a calculationCase, while the required target owner remains the ship. A canonical ship-to-case relationship is not supplied in the scoped vocabulary and must be located by the variable matcher; do not place those case properties directly on the ship or target the case instead of the ship.</x:v>
      </x:c>
      <x:c r="I5" s="75" t="n">
        <x:v>27261.829</x:v>
      </x:c>
      <x:c r="J5" s="75" t="n">
        <x:v>17962.072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d33e42a3b544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RUN-I2-017-20260813T162650713904Z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RUN-I2-017-20260813T162650713904Z</x:v>
      </x:c>
      <x:c r="C5" s="45" t="str">
        <x:v>I2-017</x:v>
      </x:c>
      <x:c r="D5" s="88" t="n">
        <x:v>46247.68562473379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27260.359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RUN-I2-017-20260813T162650713904Z</x:v>
      </x:c>
      <x:c r="C6" s="47" t="str">
        <x:v>I2-017</x:v>
      </x:c>
      <x:c r="D6" s="91" t="n">
        <x:v>46247.685624756945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27261.829</x:v>
      </x:c>
      <x:c r="L6" s="93" t="b">
        <x:v>0</x:v>
      </x:c>
      <x:c r="M6" s="47" t="str">
        <x:v>resp_0471262d817af56d006a7df04ad7f0819387bb38e134d6a6d4</x:v>
      </x:c>
      <x:c r="N6" s="59" t="n">
        <x:v>7914</x:v>
      </x:c>
      <x:c r="O6" s="59" t="n">
        <x:v>1701</x:v>
      </x:c>
      <x:c r="P6" s="59" t="n">
        <x:v>9615</x:v>
      </x:c>
    </x:row>
    <x:row r="7">
      <x:c r="A7" s="47" t="str">
        <x:v>EVT-000030</x:v>
      </x:c>
      <x:c r="B7" s="47" t="str">
        <x:v>RUN-I2-017-20260813T162650713904Z</x:v>
      </x:c>
      <x:c r="C7" s="47" t="str">
        <x:v>I2-017</x:v>
      </x:c>
      <x:c r="D7" s="91" t="n">
        <x:v>46247.68583332176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17960.625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RUN-I2-017-20260813T162650713904Z</x:v>
      </x:c>
      <x:c r="C8" s="47" t="str">
        <x:v>I2-017</x:v>
      </x:c>
      <x:c r="D8" s="91" t="n">
        <x:v>46247.68583333334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17962.072</x:v>
      </x:c>
      <x:c r="L8" s="93" t="b">
        <x:v>0</x:v>
      </x:c>
      <x:c r="M8" s="47" t="str">
        <x:v>resp_024bde434735e276006a7df06683e88197a5cf92b3ac54ca38</x:v>
      </x:c>
      <x:c r="N8" s="59" t="n">
        <x:v>6272</x:v>
      </x:c>
      <x:c r="O8" s="59" t="n">
        <x:v>1212</x:v>
      </x:c>
      <x:c r="P8" s="59" t="n">
        <x:v>7484</x:v>
      </x:c>
    </x:row>
    <x:row r="9">
      <x:c r="A9" s="47" t="str">
        <x:v>EVT-000037</x:v>
      </x:c>
      <x:c r="B9" s="47" t="str">
        <x:v>RUN-I2-017-20260813T162650713904Z</x:v>
      </x:c>
      <x:c r="C9" s="47" t="str">
        <x:v>I2-017</x:v>
      </x:c>
      <x:c r="D9" s="91" t="n">
        <x:v>46247.685917476854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5969.512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RUN-I2-017-20260813T162650713904Z</x:v>
      </x:c>
      <x:c r="C10" s="49" t="str">
        <x:v>I2-017</x:v>
      </x:c>
      <x:c r="D10" s="94" t="n">
        <x:v>46247.6859175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5971.037</x:v>
      </x:c>
      <x:c r="L10" s="96" t="b">
        <x:v>0</x:v>
      </x:c>
      <x:c r="M10" s="49" t="str">
        <x:v>resp_0fdef26b729a614c006a7df0796d488194a0e92184359e0720</x:v>
      </x:c>
      <x:c r="N10" s="60" t="n">
        <x:v>3032</x:v>
      </x:c>
      <x:c r="O10" s="60" t="n">
        <x:v>370</x:v>
      </x:c>
      <x:c r="P10" s="60" t="n">
        <x:v>3402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11c921beb947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RUN-I2-017-20260813T162650713904Z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RUN-I2-017-20260813T162650713904Z</x:v>
      </x:c>
      <x:c r="B5" s="45" t="str">
        <x:v>I2-017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RUN-I2-017-20260813T162650713904Z</x:v>
      </x:c>
      <x:c r="B6" s="47" t="str">
        <x:v>I2-017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RUN-I2-017-20260813T162650713904Z</x:v>
      </x:c>
      <x:c r="B7" s="47" t="str">
        <x:v>I2-017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domain dependency of shipDisplacementFactor</x:v>
      </x:c>
      <x:c r="J7" s="47" t="n">
        <x:v>0</x:v>
      </x:c>
    </x:row>
    <x:row r="8">
      <x:c r="A8" s="47" t="str">
        <x:v>RUN-I2-017-20260813T162650713904Z</x:v>
      </x:c>
      <x:c r="B8" s="47" t="str">
        <x:v>I2-017</x:v>
      </x:c>
      <x:c r="C8" s="47" t="str">
        <x:v>crushingFailureClassFactor</x:v>
      </x:c>
      <x:c r="D8" s="48" t="str">
        <x:v>https://w3id.org/nltl-benchmark/vocab#crushingFailureClassFactor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RUN-I2-017-20260813T162650713904Z</x:v>
      </x:c>
      <x:c r="B9" s="47" t="str">
        <x:v>I2-017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RUN-I2-017-20260813T162650713904Z</x:v>
      </x:c>
      <x:c r="B10" s="47" t="str">
        <x:v>I2-017</x:v>
      </x:c>
      <x:c r="C10" s="47" t="str">
        <x:v>loadPatchDimensionClassFactor</x:v>
      </x:c>
      <x:c r="D10" s="48" t="str">
        <x:v>https://w3id.org/nltl-benchmark/vocab#loadPatchDimensionClassFactor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RUN-I2-017-20260813T162650713904Z</x:v>
      </x:c>
      <x:c r="B11" s="47" t="str">
        <x:v>I2-017</x:v>
      </x:c>
      <x:c r="C11" s="47" t="str">
        <x:v>nonBowIceForce</x:v>
      </x:c>
      <x:c r="D11" s="48" t="str">
        <x:v>https://w3id.org/nltl-benchmark/vocab#nonBowIceForce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RUN-I2-017-20260813T162650713904Z</x:v>
      </x:c>
      <x:c r="B12" s="47" t="str">
        <x:v>I2-017</x:v>
      </x:c>
      <x:c r="C12" s="47" t="str">
        <x:v>nonBowLineLoad</x:v>
      </x:c>
      <x:c r="D12" s="48" t="str">
        <x:v>https://w3id.org/nltl-benchmark/vocab#nonBowLineLoad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RUN-I2-017-20260813T162650713904Z</x:v>
      </x:c>
      <x:c r="B13" s="47" t="str">
        <x:v>I2-017</x:v>
      </x:c>
      <x:c r="C13" s="47" t="str">
        <x:v>nonBowLoadPatchHeight</x:v>
      </x:c>
      <x:c r="D13" s="48" t="str">
        <x:v>https://w3id.org/nltl-benchmark/vocab#nonBowLoadPatchHeight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RUN-I2-017-20260813T162650713904Z</x:v>
      </x:c>
      <x:c r="B14" s="47" t="str">
        <x:v>I2-017</x:v>
      </x:c>
      <x:c r="C14" s="47" t="str">
        <x:v>nonBowLoadPatchLength</x:v>
      </x:c>
      <x:c r="D14" s="48" t="str">
        <x:v>https://w3id.org/nltl-benchmark/vocab#nonBowLoadPatchLength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RUN-I2-017-20260813T162650713904Z</x:v>
      </x:c>
      <x:c r="B15" s="47" t="str">
        <x:v>I2-017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RUN-I2-017-20260813T162650713904Z</x:v>
      </x:c>
      <x:c r="B16" s="47" t="str">
        <x:v>I2-017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RUN-I2-017-20260813T162650713904Z</x:v>
      </x:c>
      <x:c r="B17" s="47" t="str">
        <x:v>I2-017</x:v>
      </x:c>
      <x:c r="C17" s="47" t="str">
        <x:v>shipDisplacementFactor</x:v>
      </x:c>
      <x:c r="D17" s="48" t="str">
        <x:v>https://w3id.org/nltl-benchmark/vocab#shipDisplacementFactor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RUN-I2-017-20260813T162650713904Z</x:v>
      </x:c>
      <x:c r="B18" s="49" t="str">
        <x:v>I2-017</x:v>
      </x:c>
      <x:c r="C18" s="49" t="str">
        <x:v>tableLookupCase</x:v>
      </x:c>
      <x:c r="D18" s="50" t="str">
        <x:v>https://w3id.org/nltl-benchmark/vocab#tableLookupCase</x:v>
      </x:c>
      <x:c r="E18" s="49" t="str">
        <x:v>Class</x:v>
      </x:c>
      <x:c r="F18" s="49" t="str"/>
      <x:c r="G18" s="49" t="str">
        <x:v>https://w3id.org/nltl-benchmark/vocab#calculationCase</x:v>
      </x:c>
      <x:c r="H18" s="49" t="str"/>
      <x:c r="I18" s="50" t="str">
        <x:v>domain dependency of crushingFailureClassFactor; domain dependency of loadPatchDimensionClassFactor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ce0f843ed64e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RUN-I2-017-20260813T162650713904Z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RUN-I2-017-20260813T162650713904Z</x:v>
      </x:c>
      <x:c r="B5" s="45" t="str">
        <x:v>I2-017</x:v>
      </x:c>
      <x:c r="C5" s="45" t="str">
        <x:v>FS-CALC-02</x:v>
      </x:c>
      <x:c r="D5" s="45" t="str">
        <x:v>comparison_calculation</x:v>
      </x:c>
      <x:c r="E5" s="99" t="n">
        <x:v>0.083333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RUN-I2-017-20260813T162650713904Z</x:v>
      </x:c>
      <x:c r="B6" s="49" t="str">
        <x:v>I2-017</x:v>
      </x:c>
      <x:c r="C6" s="49" t="str">
        <x:v>FS-QTY-01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2519405b3444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RUN-I2-017-20260813T162650713904Z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RUN-I2-017-20260813T162650713904Z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https://w3id.org/nltl-benchmark/vocab#nonBowIceForce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dd6170559b4a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RUN-I2-017-20260813T162650713904Z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RUN-I2-017-20260813T162650713904Z</x:v>
      </x:c>
      <x:c r="B5" s="45" t="str">
        <x:v>I2-017</x:v>
      </x:c>
      <x:c r="C5" s="58" t="n">
        <x:v>1</x:v>
      </x:c>
      <x:c r="D5" s="45" t="str">
        <x:v>matcher_search</x:v>
      </x:c>
      <x:c r="E5" s="46" t="str">
        <x:v>Replace the presence-only nonBowIceForce check with a ship-targeted formula constraint for FNonBow = 0.36 × CFC × DF MN (equivalently 360 × CFC × DF kN). Require decimal numeric values and canonical units for nonBowIceForce, crushingFailureClassFactor, shipDisplacementFactor, and the COMPLETE-contract loadPatchDimensionClassFactor term. Compare the reported force to the expected formula result using a tolerance scaled from that expected result, not exact equality or a tolerance based on the reported value. Respect canonical domains: CFC and CFD belong on a tableLookupCase and DF on a calculationCase, while the required target owner remains the ship. A canonical ship-to-case relationship is not supplied in the scoped vocabulary and must be located by the variable matcher; do not place those case properties directly on the ship or target the case instead of the ship.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RUN-I2-017-20260813T162650713904Z</x:v>
      </x:c>
      <x:c r="B6" s="49" t="str">
        <x:v>I2-017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canonical ship-to-case relationship; the supplied properties and classes cannot satisfy the required relationship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c44795a80f6d489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RUN-I2-017-20260813T162650713904Z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RUN-I2-017-20260813T162650713904Z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4c799899d070eb0f879e6de0563591524f277e1b5b014282f3bb09a3db9fb0f6</x:v>
      </x:c>
      <x:c r="G5" s="58" t="n">
        <x:v>19381</x:v>
      </x:c>
    </x:row>
    <x:row r="6">
      <x:c r="A6" s="47" t="str">
        <x:v>RUN-I2-017-20260813T162650713904Z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f62ee58a5c6760a9743058add963ee2230fba8769a3433bce7e752183081a2c6</x:v>
      </x:c>
      <x:c r="G6" s="59" t="n">
        <x:v>5365</x:v>
      </x:c>
    </x:row>
    <x:row r="7">
      <x:c r="A7" s="47" t="str">
        <x:v>RUN-I2-017-20260813T162650713904Z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6877ff4c41f952e5f89eae87fbc84f21b0fad9498c1b00b6c9f7838411b47bf9</x:v>
      </x:c>
      <x:c r="G7" s="59" t="n">
        <x:v>31358</x:v>
      </x:c>
    </x:row>
    <x:row r="8">
      <x:c r="A8" s="47" t="str">
        <x:v>RUN-I2-017-20260813T162650713904Z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b6ec6ecf659ee662cae8ade7b7065369c3fa9d2282e4a98f636b48f59328ea3e</x:v>
      </x:c>
      <x:c r="G8" s="59" t="n">
        <x:v>928</x:v>
      </x:c>
    </x:row>
    <x:row r="9">
      <x:c r="A9" s="47" t="str">
        <x:v>RUN-I2-017-20260813T162650713904Z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e79185bc0f70aef4dcdb0be2f9b6627cf45e18163bc2a1dbb266974b6672da39</x:v>
      </x:c>
      <x:c r="G9" s="59" t="n">
        <x:v>903</x:v>
      </x:c>
    </x:row>
    <x:row r="10">
      <x:c r="A10" s="47" t="str">
        <x:v>RUN-I2-017-20260813T162650713904Z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3873199147460d1c6d26f3e5421e15768b43b14a0c591ff8303b896bb5a1f3c3</x:v>
      </x:c>
      <x:c r="G10" s="59" t="n">
        <x:v>499</x:v>
      </x:c>
    </x:row>
    <x:row r="11">
      <x:c r="A11" s="47" t="str">
        <x:v>RUN-I2-017-20260813T162650713904Z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f9d43b29b064804fc6d0b1ffb78fea599cf506973f0905b56a6c411381df84ce</x:v>
      </x:c>
      <x:c r="G11" s="59" t="n">
        <x:v>24679</x:v>
      </x:c>
    </x:row>
    <x:row r="12">
      <x:c r="A12" s="47" t="str">
        <x:v>RUN-I2-017-20260813T162650713904Z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2f9ff25c9f2ef9e373984b732bf08a1489528cfab6e93d11ecc8d0a1907a4f36</x:v>
      </x:c>
      <x:c r="G12" s="59" t="n">
        <x:v>944</x:v>
      </x:c>
    </x:row>
    <x:row r="13">
      <x:c r="A13" s="47" t="str">
        <x:v>RUN-I2-017-20260813T162650713904Z</x:v>
      </x:c>
      <x:c r="B13" s="47" t="str">
        <x:v>I2-017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ff9eb786b819d8aefc90d06cbab5c6bf9502b2e26cb3e13e5ff799f4d1c04a7c</x:v>
      </x:c>
      <x:c r="G13" s="59" t="n">
        <x:v>6031</x:v>
      </x:c>
    </x:row>
    <x:row r="14">
      <x:c r="A14" s="47" t="str">
        <x:v>RUN-I2-017-20260813T162650713904Z</x:v>
      </x:c>
      <x:c r="B14" s="47" t="str">
        <x:v>I2-017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15512d4b72d459788b8a56aa24f4ce015ace3ae4ea2fbce845b6d3180cdfcdd2</x:v>
      </x:c>
      <x:c r="G14" s="59" t="n">
        <x:v>11504</x:v>
      </x:c>
    </x:row>
    <x:row r="15">
      <x:c r="A15" s="49" t="str">
        <x:v>RUN-I2-017-20260813T162650713904Z</x:v>
      </x:c>
      <x:c r="B15" s="49" t="str">
        <x:v>I2-017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28ee5ca5836c894bb18453e9c2b10eed928f1ea609a4c63bcce02bfc82619e6c</x:v>
      </x:c>
      <x:c r="G15" s="60" t="n">
        <x:v>230</x:v>
      </x:c>
    </x:row>
  </x:sheetData>
  <x:pageMargins left="0.7" right="0.7" top="0.75" bottom="0.75" header="0.3" footer="0.3"/>
  <x:tableParts count="1">
    <x:tablePart xmlns:r="http://schemas.openxmlformats.org/officeDocument/2006/relationships" r:id="R2f03c1dc47a445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RUN-I2-017-20260813T162650713904Z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RUN-I2-017-20260813T162650713904Z</x:v>
      </x:c>
      <x:c r="B5" s="69" t="str">
        <x:v>I2-017</x:v>
      </x:c>
      <x:c r="C5" s="71" t="n">
        <x:v>1</x:v>
      </x:c>
      <x:c r="D5" s="69" t="str">
        <x:v>TERM_RESOLUTION_UNRESOLVED</x:v>
      </x:c>
      <x:c r="E5" s="73" t="str">
        <x:v>No candidate is a canonical ship-to-case relationship; the supplied properties and classes cannot satisfy the required relationship mismatch.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ed2c51cb654fb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RUN-I2-017-20260813T162650713904Z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