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tables/table9.xml" ContentType="application/vnd.openxmlformats-officedocument.spreadsheetml.table+xml"/>
  <Override PartName="/xl/worksheets/sheet11.xml" ContentType="application/vnd.openxmlformats-officedocument.spreadsheetml.worksheet+xml"/>
  <Override PartName="/xl/tables/table10.xml" ContentType="application/vnd.openxmlformats-officedocument.spreadsheetml.table+xml"/>
  <Override PartName="/xl/worksheets/sheet12.xml" ContentType="application/vnd.openxmlformats-officedocument.spreadsheetml.worksheet+xml"/>
  <Override PartName="/xl/tables/table11.xml" ContentType="application/vnd.openxmlformats-officedocument.spreadsheetml.table+xml"/>
  <Override PartName="/xl/worksheets/sheet1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09c918971b44909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77602519c5d54acc"/>
    <x:sheet xmlns:r="http://schemas.openxmlformats.org/officeDocument/2006/relationships" name="README" sheetId="2" r:id="Re8e17c4d1ab34db6"/>
    <x:sheet xmlns:r="http://schemas.openxmlformats.org/officeDocument/2006/relationships" name="REGULATION_QUEUE" sheetId="3" r:id="R6f2cf83d44ce47c8"/>
    <x:sheet xmlns:r="http://schemas.openxmlformats.org/officeDocument/2006/relationships" name="RUNS" sheetId="4" r:id="Rd1a5f2074b6947a7"/>
    <x:sheet xmlns:r="http://schemas.openxmlformats.org/officeDocument/2006/relationships" name="ITERATIONS" sheetId="5" r:id="R4424f2ead60e45ce"/>
    <x:sheet xmlns:r="http://schemas.openxmlformats.org/officeDocument/2006/relationships" name="API_CALLS" sheetId="6" r:id="R37c95dfe3dee4e36"/>
    <x:sheet xmlns:r="http://schemas.openxmlformats.org/officeDocument/2006/relationships" name="TERM_RETRIEVAL" sheetId="7" r:id="R5c22e2d07cb74f07"/>
    <x:sheet xmlns:r="http://schemas.openxmlformats.org/officeDocument/2006/relationships" name="FEW_SHOT_SELECTION" sheetId="8" r:id="R24c42b339882430f"/>
    <x:sheet xmlns:r="http://schemas.openxmlformats.org/officeDocument/2006/relationships" name="VALIDATION" sheetId="9" r:id="R83a285323e1241c1"/>
    <x:sheet xmlns:r="http://schemas.openxmlformats.org/officeDocument/2006/relationships" name="VOCAB_MATCHES" sheetId="10" r:id="Rbbd8bfb4db7243a6"/>
    <x:sheet xmlns:r="http://schemas.openxmlformats.org/officeDocument/2006/relationships" name="ARTIFACTS" sheetId="11" r:id="R455f9b909633483d"/>
    <x:sheet xmlns:r="http://schemas.openxmlformats.org/officeDocument/2006/relationships" name="UNRESOLVED" sheetId="12" r:id="Rd6d9a2eeb1da4a09"/>
    <x:sheet xmlns:r="http://schemas.openxmlformats.org/officeDocument/2006/relationships" name="RDF_TEST_QUEUE" sheetId="13" r:id="R5f3be57fd31e4acb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105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201" fontId="0" fillId="0" borderId="0" xfId="0" applyNumberFormat="1" applyFont="1" applyFill="1" applyBorder="1" applyAlignment="1">
      <x:alignment vertical="top"/>
    </x:xf>
    <x:xf numFmtId="201" fontId="6" fillId="0" borderId="0" xfId="0" applyNumberFormat="1" applyFont="1" applyFill="1" applyBorder="1" applyAlignment="1">
      <x:alignment vertical="top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2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1" xfId="0" applyNumberFormat="1" applyFont="1" applyFill="1" applyBorder="1" applyAlignment="1">
      <x:alignment vertical="top"/>
    </x:xf>
    <x:xf numFmtId="201" fontId="0" fillId="0" borderId="2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1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2" xfId="0" applyNumberFormat="1" applyFont="1" applyFill="1" applyBorder="1" applyAlignment="1">
      <x:alignment vertical="top"/>
    </x:xf>
    <x:xf numFmtId="201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1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48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c4b0a15fad114196" /><Relationship Type="http://schemas.openxmlformats.org/officeDocument/2006/relationships/theme" Target="/xl/theme/theme1.xml" Id="R123a4424078641c2" /><Relationship Type="http://schemas.microsoft.com/office/2022/11/relationships/FeaturePropertyBag" Target="/xl/featurePropertyBag/featurePropertyBag.xml" Id="Ra997d7112fa04281" /><Relationship Type="http://schemas.openxmlformats.org/officeDocument/2006/relationships/sharedStrings" Target="/xl/sharedStrings.xml" Id="Rbc9c22e76cb44df9" /><Relationship Type="http://schemas.openxmlformats.org/officeDocument/2006/relationships/worksheet" Target="/xl/worksheets/sheet1.xml" Id="R77602519c5d54acc" /><Relationship Type="http://schemas.openxmlformats.org/officeDocument/2006/relationships/worksheet" Target="/xl/worksheets/sheet2.xml" Id="Re8e17c4d1ab34db6" /><Relationship Type="http://schemas.openxmlformats.org/officeDocument/2006/relationships/worksheet" Target="/xl/worksheets/sheet3.xml" Id="R6f2cf83d44ce47c8" /><Relationship Type="http://schemas.openxmlformats.org/officeDocument/2006/relationships/worksheet" Target="/xl/worksheets/sheet4.xml" Id="Rd1a5f2074b6947a7" /><Relationship Type="http://schemas.openxmlformats.org/officeDocument/2006/relationships/worksheet" Target="/xl/worksheets/sheet5.xml" Id="R4424f2ead60e45ce" /><Relationship Type="http://schemas.openxmlformats.org/officeDocument/2006/relationships/worksheet" Target="/xl/worksheets/sheet6.xml" Id="R37c95dfe3dee4e36" /><Relationship Type="http://schemas.openxmlformats.org/officeDocument/2006/relationships/worksheet" Target="/xl/worksheets/sheet7.xml" Id="R5c22e2d07cb74f07" /><Relationship Type="http://schemas.openxmlformats.org/officeDocument/2006/relationships/worksheet" Target="/xl/worksheets/sheet8.xml" Id="R24c42b339882430f" /><Relationship Type="http://schemas.openxmlformats.org/officeDocument/2006/relationships/worksheet" Target="/xl/worksheets/sheet9.xml" Id="R83a285323e1241c1" /><Relationship Type="http://schemas.openxmlformats.org/officeDocument/2006/relationships/worksheet" Target="/xl/worksheets/sheet10.xml" Id="Rbbd8bfb4db7243a6" /><Relationship Type="http://schemas.openxmlformats.org/officeDocument/2006/relationships/worksheet" Target="/xl/worksheets/sheet11.xml" Id="R455f9b909633483d" /><Relationship Type="http://schemas.openxmlformats.org/officeDocument/2006/relationships/worksheet" Target="/xl/worksheets/sheet12.xml" Id="Rd6d9a2eeb1da4a09" /><Relationship Type="http://schemas.openxmlformats.org/officeDocument/2006/relationships/worksheet" Target="/xl/worksheets/sheet13.xml" Id="R5f3be57fd31e4acb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5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10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15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5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9_VOCABMATCHES" displayName="T9_VOCABMATCHES" ref="A4:J6" headerRowCount="1" totalsRowCount="0" totalsRowShown="0">
  <x:tableColumns count="10">
    <x:tableColumn id="1" name="RUN_ID"/>
    <x:tableColumn id="2" name="REQUIREMENT_ID"/>
    <x:tableColumn id="3" name="ITERATION"/>
    <x:tableColumn id="4" name="EVENT"/>
    <x:tableColumn id="5" name="QUERY_FEEDBACK"/>
    <x:tableColumn id="6" name="CANDIDATE_COUNT"/>
    <x:tableColumn id="7" name="MATCH_FOUND"/>
    <x:tableColumn id="8" name="CANONICAL_LOCAL_NAME"/>
    <x:tableColumn id="9" name="CANONICAL_IRI"/>
    <x:tableColumn id="10" name="FEEDBACK_APPENDIX"/>
  </x:tableColumns>
  <x:tableStyleInfo name="TableStyleMedium2" showFirstColumn="0" showLastColumn="0" showRowStripes="1" showColumnStripes="0"/>
</x:table>
</file>

<file path=xl/tables/table10.xml><?xml version="1.0" encoding="utf-8"?>
<x:table xmlns:x="http://schemas.openxmlformats.org/spreadsheetml/2006/main" id="10" name="T10_ARTIFACTS" displayName="T10_ARTIFACTS" ref="A4:G15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ables/table11.xml><?xml version="1.0" encoding="utf-8"?>
<x:table xmlns:x="http://schemas.openxmlformats.org/spreadsheetml/2006/main" id="11" name="T11_UNRESOLVED" displayName="T11_UNRESOLVED" ref="A4:F5" headerRowCount="1" totalsRowCount="0" totalsRowShown="0">
  <x:tableColumns count="6">
    <x:tableColumn id="1" name="RUN_ID"/>
    <x:tableColumn id="2" name="REQUIREMENT_ID"/>
    <x:tableColumn id="3" name="ITERATION"/>
    <x:tableColumn id="4" name="ISSUE_TYPE"/>
    <x:tableColumn id="5" name="DETAIL"/>
    <x:tableColumn id="6" name="STATU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2f88a642103c4d69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516960dc6a8c4ede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114f28dd62fc44fc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f073124d4f1249f2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9cccedf6d4b44c95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b1232bf965754142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693ad3ba8b30412c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21331f9b51534d56" /></Relationships>
</file>

<file path=xl/worksheets/_rels/sheet10.xml.rels>&#65279;<?xml version="1.0" encoding="utf-8"?><Relationships xmlns="http://schemas.openxmlformats.org/package/2006/relationships"><Relationship Type="http://schemas.openxmlformats.org/officeDocument/2006/relationships/table" Target="/xl/tables/table9.xml" Id="Rc242d690dc2d4941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10.xml" Id="R0a66ebc315c04505" /></Relationships>
</file>

<file path=xl/worksheets/_rels/sheet12.xml.rels>&#65279;<?xml version="1.0" encoding="utf-8"?><Relationships xmlns="http://schemas.openxmlformats.org/package/2006/relationships"><Relationship Type="http://schemas.openxmlformats.org/officeDocument/2006/relationships/table" Target="/xl/tables/table11.xml" Id="R2a203ececefc49f2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RUN-I2-018-20260813T162753844670Z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239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0</x:v>
      </x:c>
      <x:c r="C8" s="21"/>
      <x:c r="D8" s="21"/>
    </x:row>
    <x:row r="9">
      <x:c r="A9" s="25" t="str">
        <x:v>API/LLM records</x:v>
      </x:c>
      <x:c r="B9" s="26" t="n">
        <x:f>COUNTA('API_CALLS'!$A$5:$A$10)</x:f>
        <x:v>6</x:v>
      </x:c>
      <x:c r="C9" s="21"/>
      <x:c r="D9" s="21"/>
    </x:row>
    <x:row r="10">
      <x:c r="A10" s="27" t="str">
        <x:v>Mean API/LLM elapsed ms</x:v>
      </x:c>
      <x:c r="B10" s="28" t="n">
        <x:f>IFERROR(AVERAGE('API_CALLS'!$K$5:$K$10),0)</x:f>
        <x:v>15608.167999999998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RUN-I2-018-20260813T162753844670Z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2f88a642103c4d69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12" hidden="0" customWidth="1"/>
    <x:col min="9" max="9" width="18" hidden="0" customWidth="1"/>
    <x:col min="10" max="10" width="19" hidden="0" customWidth="1"/>
    <x:col min="11" max="11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RUN-I2-018-20260813T162753844670Z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Stage 2 candidate - direct/deterministic</x:v>
      </x:c>
      <x:c r="H6" s="47" t="str">
        <x:v>High</x:v>
      </x:c>
      <x:c r="I6" s="47" t="str">
        <x:v>No</x:v>
      </x:c>
      <x:c r="J6" s="47" t="str">
        <x:v>ELIGIBLE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Complex</x:v>
      </x:c>
      <x:c r="G7" s="48" t="str">
        <x:v>Deferred - composite/evidence workflow review</x:v>
      </x:c>
      <x:c r="H7" s="47" t="str">
        <x:v>Medium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Static Calculation</x:v>
      </x:c>
      <x:c r="G11" s="48" t="str">
        <x:v>Stage 2 candidate - direct/deterministic</x:v>
      </x:c>
      <x:c r="H11" s="47" t="str">
        <x:v>High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 Calculation</x:v>
      </x:c>
      <x:c r="G12" s="48" t="str">
        <x:v>Stage 2 candidate - direct/deterministic</x:v>
      </x:c>
      <x:c r="H12" s="47" t="str">
        <x:v>High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 Calculation</x:v>
      </x:c>
      <x:c r="G13" s="48" t="str">
        <x:v>Stage 2 candidate - direct/deterministic</x:v>
      </x:c>
      <x:c r="H13" s="47" t="str">
        <x:v>High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Static</x:v>
      </x:c>
      <x:c r="G15" s="48" t="str">
        <x:v>Stage 2 candidate - direct/deterministic</x:v>
      </x:c>
      <x:c r="H15" s="47" t="str">
        <x:v>Medium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Static Calculation</x:v>
      </x:c>
      <x:c r="G17" s="48" t="str">
        <x:v>Stage 2 candidate - direct/deterministic</x:v>
      </x:c>
      <x:c r="H17" s="47" t="str">
        <x:v>High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Static Calculation</x:v>
      </x:c>
      <x:c r="G18" s="48" t="str">
        <x:v>Stage 2 candidate - direct/deterministic</x:v>
      </x:c>
      <x:c r="H18" s="47" t="str">
        <x:v>High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TERM_RESOLUTION_UNRESOLVED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Static Calculation</x:v>
      </x:c>
      <x:c r="G22" s="48" t="str">
        <x:v>Stage 2 candidate - direct/deterministic</x:v>
      </x:c>
      <x:c r="H22" s="47" t="str">
        <x:v>High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Static Calculation</x:v>
      </x:c>
      <x:c r="G23" s="48" t="str">
        <x:v>Stage 2 candidate - direct/deterministic</x:v>
      </x:c>
      <x:c r="H23" s="47" t="str">
        <x:v>Medium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Static Calculation</x:v>
      </x:c>
      <x:c r="G24" s="48" t="str">
        <x:v>Stage 2 candidate - direct/deterministic</x:v>
      </x:c>
      <x:c r="H24" s="47" t="str">
        <x:v>High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 Calculation</x:v>
      </x:c>
      <x:c r="G26" s="48" t="str">
        <x:v>Stage 2 candidate - direct/deterministic</x:v>
      </x:c>
      <x:c r="H26" s="47" t="str">
        <x:v>Medium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Static Calculation</x:v>
      </x:c>
      <x:c r="G27" s="48" t="str">
        <x:v>Stage 2 candidate - direct/deterministic</x:v>
      </x:c>
      <x:c r="H27" s="47" t="str">
        <x:v>Medium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Static Calculation</x:v>
      </x:c>
      <x:c r="G33" s="48" t="str">
        <x:v>Stage 2 candidate - direct/deterministic</x:v>
      </x:c>
      <x:c r="H33" s="47" t="str">
        <x:v>Medium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Static Calculation</x:v>
      </x:c>
      <x:c r="G34" s="48" t="str">
        <x:v>Stage 2 candidate - direct/deterministic</x:v>
      </x:c>
      <x:c r="H34" s="47" t="str">
        <x:v>Medium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Static Calculation</x:v>
      </x:c>
      <x:c r="G36" s="48" t="str">
        <x:v>Stage 2 candidate - direct/deterministic</x:v>
      </x:c>
      <x:c r="H36" s="47" t="str">
        <x:v>Medium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 Calculation</x:v>
      </x:c>
      <x:c r="G39" s="48" t="str">
        <x:v>Stage 2 candidate - direct/deterministic</x:v>
      </x:c>
      <x:c r="H39" s="47" t="str">
        <x:v>Medium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Static Calculation</x:v>
      </x:c>
      <x:c r="G40" s="48" t="str">
        <x:v>Stage 2 candidate - direct/deterministic</x:v>
      </x:c>
      <x:c r="H40" s="47" t="str">
        <x:v>High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Static</x:v>
      </x:c>
      <x:c r="G42" s="48" t="str">
        <x:v>Stage 2 candidate - direct/deterministic</x:v>
      </x:c>
      <x:c r="H42" s="47" t="str">
        <x:v>High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Static Calculation</x:v>
      </x:c>
      <x:c r="G43" s="48" t="str">
        <x:v>Deferred - missing normative companion method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Static Calculation</x:v>
      </x:c>
      <x:c r="G44" s="48" t="str">
        <x:v>Stage 2 candidate - direct/deterministic</x:v>
      </x:c>
      <x:c r="H44" s="47" t="str">
        <x:v>High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 Calculation</x:v>
      </x:c>
      <x:c r="G45" s="48" t="str">
        <x:v>Stage 2 candidate - direct/deterministic</x:v>
      </x:c>
      <x:c r="H45" s="47" t="str">
        <x:v>Medium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Static</x:v>
      </x:c>
      <x:c r="G48" s="48" t="str">
        <x:v>Stage 2 candidate - direct/deterministic</x:v>
      </x:c>
      <x:c r="H48" s="47" t="str">
        <x:v>High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Static Calculation</x:v>
      </x:c>
      <x:c r="G49" s="48" t="str">
        <x:v>Stage 2 candidate - direct/deterministic</x:v>
      </x:c>
      <x:c r="H49" s="47" t="str">
        <x:v>High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Static Calculation</x:v>
      </x:c>
      <x:c r="G50" s="48" t="str">
        <x:v>Stage 2 candidate - direct/deterministic</x:v>
      </x:c>
      <x:c r="H50" s="47" t="str">
        <x:v>Medium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Static Calculation</x:v>
      </x:c>
      <x:c r="G63" s="48" t="str">
        <x:v>Stage 2 candidate - direct/deterministic</x:v>
      </x:c>
      <x:c r="H63" s="47" t="str">
        <x:v>High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Complex</x:v>
      </x:c>
      <x:c r="G70" s="48" t="str">
        <x:v>Deferred - composite/evidence workflow review</x:v>
      </x:c>
      <x:c r="H70" s="47" t="str">
        <x:v>Medium</x:v>
      </x:c>
      <x:c r="I70" s="47" t="str">
        <x:v>No</x:v>
      </x:c>
      <x:c r="J70" s="47" t="str">
        <x:v>DEFERRED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Complex</x:v>
      </x:c>
      <x:c r="G73" s="48" t="str">
        <x:v>Deferred - composite/evidence workflow review</x:v>
      </x:c>
      <x:c r="H73" s="47" t="str">
        <x:v>Medium</x:v>
      </x:c>
      <x:c r="I73" s="47" t="str">
        <x:v>No</x:v>
      </x:c>
      <x:c r="J73" s="47" t="str">
        <x:v>DEFERRED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Complex</x:v>
      </x:c>
      <x:c r="G79" s="48" t="str">
        <x:v>Deferred - composite/evidence workflow review</x:v>
      </x:c>
      <x:c r="H79" s="47" t="str">
        <x:v>Medium</x:v>
      </x:c>
      <x:c r="I79" s="47" t="str">
        <x:v>No</x:v>
      </x:c>
      <x:c r="J79" s="47" t="str">
        <x:v>DEFERRED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Complex</x:v>
      </x:c>
      <x:c r="G80" s="48" t="str">
        <x:v>Deferred - composite/evidence workflow review</x:v>
      </x:c>
      <x:c r="H80" s="47" t="str">
        <x:v>Medium</x:v>
      </x:c>
      <x:c r="I80" s="47" t="str">
        <x:v>No</x:v>
      </x:c>
      <x:c r="J80" s="47" t="str">
        <x:v>DEFERRED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Complex</x:v>
      </x:c>
      <x:c r="G82" s="48" t="str">
        <x:v>Deferred - composite/evidence workflow review</x:v>
      </x:c>
      <x:c r="H82" s="47" t="str">
        <x:v>Medium</x:v>
      </x:c>
      <x:c r="I82" s="47" t="str">
        <x:v>No</x:v>
      </x:c>
      <x:c r="J82" s="47" t="str">
        <x:v>DEFERRED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Complex</x:v>
      </x:c>
      <x:c r="G83" s="48" t="str">
        <x:v>Deferred - composite/evidence workflow review</x:v>
      </x:c>
      <x:c r="H83" s="47" t="str">
        <x:v>Medium</x:v>
      </x:c>
      <x:c r="I83" s="47" t="str">
        <x:v>No</x:v>
      </x:c>
      <x:c r="J83" s="47" t="str">
        <x:v>DEFERRED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Complex</x:v>
      </x:c>
      <x:c r="G84" s="48" t="str">
        <x:v>Deferred - composite/evidence workflow review</x:v>
      </x:c>
      <x:c r="H84" s="47" t="str">
        <x:v>Medium</x:v>
      </x:c>
      <x:c r="I84" s="47" t="str">
        <x:v>No</x:v>
      </x:c>
      <x:c r="J84" s="47" t="str">
        <x:v>DEFERRED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Complex</x:v>
      </x:c>
      <x:c r="G86" s="48" t="str">
        <x:v>Deferred - composite/evidence workflow review</x:v>
      </x:c>
      <x:c r="H86" s="47" t="str">
        <x:v>Medium</x:v>
      </x:c>
      <x:c r="I86" s="47" t="str">
        <x:v>No</x:v>
      </x:c>
      <x:c r="J86" s="47" t="str">
        <x:v>DEFERRED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Static Calculation</x:v>
      </x:c>
      <x:c r="G89" s="48" t="str">
        <x:v>Stage 2 candidate - direct/deterministic</x:v>
      </x:c>
      <x:c r="H89" s="47" t="str">
        <x:v>High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Complex</x:v>
      </x:c>
      <x:c r="G100" s="48" t="str">
        <x:v>Deferred - composite/evidence workflow review</x:v>
      </x:c>
      <x:c r="H100" s="47" t="str">
        <x:v>Medium</x:v>
      </x:c>
      <x:c r="I100" s="47" t="str">
        <x:v>No</x:v>
      </x:c>
      <x:c r="J100" s="47" t="str">
        <x:v>DEFERRED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Complex</x:v>
      </x:c>
      <x:c r="G101" s="48" t="str">
        <x:v>Deferred - composite/evidence workflow review</x:v>
      </x:c>
      <x:c r="H101" s="47" t="str">
        <x:v>Medium</x:v>
      </x:c>
      <x:c r="I101" s="47" t="str">
        <x:v>No</x:v>
      </x:c>
      <x:c r="J101" s="47" t="str">
        <x:v>DEFERRED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Complex</x:v>
      </x:c>
      <x:c r="G117" s="48" t="str">
        <x:v>Deferred - composite/evidence workflow review</x:v>
      </x:c>
      <x:c r="H117" s="47" t="str">
        <x:v>Medium</x:v>
      </x:c>
      <x:c r="I117" s="47" t="str">
        <x:v>No</x:v>
      </x:c>
      <x:c r="J117" s="47" t="str">
        <x:v>DEFERRED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Complex</x:v>
      </x:c>
      <x:c r="G120" s="48" t="str">
        <x:v>Deferred - composite/evidence workflow review</x:v>
      </x:c>
      <x:c r="H120" s="47" t="str">
        <x:v>Medium</x:v>
      </x:c>
      <x:c r="I120" s="47" t="str">
        <x:v>No</x:v>
      </x:c>
      <x:c r="J120" s="47" t="str">
        <x:v>DEFERRED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Complex</x:v>
      </x:c>
      <x:c r="G151" s="48" t="str">
        <x:v>Deferred - composite/evidence workflow review</x:v>
      </x:c>
      <x:c r="H151" s="47" t="str">
        <x:v>Medium</x:v>
      </x:c>
      <x:c r="I151" s="47" t="str">
        <x:v>No</x:v>
      </x:c>
      <x:c r="J151" s="47" t="str">
        <x:v>DEFERRED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Complex</x:v>
      </x:c>
      <x:c r="G152" s="48" t="str">
        <x:v>Deferred - composite/evidence workflow review</x:v>
      </x:c>
      <x:c r="H152" s="47" t="str">
        <x:v>Medium</x:v>
      </x:c>
      <x:c r="I152" s="47" t="str">
        <x:v>No</x:v>
      </x:c>
      <x:c r="J152" s="47" t="str">
        <x:v>DEFERRED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Complex</x:v>
      </x:c>
      <x:c r="G153" s="48" t="str">
        <x:v>Deferred - composite/evidence workflow review</x:v>
      </x:c>
      <x:c r="H153" s="47" t="str">
        <x:v>Medium</x:v>
      </x:c>
      <x:c r="I153" s="47" t="str">
        <x:v>No</x:v>
      </x:c>
      <x:c r="J153" s="47" t="str">
        <x:v>DEFERRED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Complex</x:v>
      </x:c>
      <x:c r="G155" s="48" t="str">
        <x:v>Deferred - composite/evidence workflow review</x:v>
      </x:c>
      <x:c r="H155" s="47" t="str">
        <x:v>Medium</x:v>
      </x:c>
      <x:c r="I155" s="47" t="str">
        <x:v>No</x:v>
      </x:c>
      <x:c r="J155" s="47" t="str">
        <x:v>DEFERRED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 Calculation</x:v>
      </x:c>
      <x:c r="G160" s="48" t="str">
        <x:v>Stage 2 candidate - direct/deterministic</x:v>
      </x:c>
      <x:c r="H160" s="47" t="str">
        <x:v>High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 Calculation</x:v>
      </x:c>
      <x:c r="G161" s="48" t="str">
        <x:v>Stage 2 candidate - direct/deterministic</x:v>
      </x:c>
      <x:c r="H161" s="47" t="str">
        <x:v>High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Complex</x:v>
      </x:c>
      <x:c r="G162" s="48" t="str">
        <x:v>Deferred - composite/evidence workflow review</x:v>
      </x:c>
      <x:c r="H162" s="47" t="str">
        <x:v>Medium</x:v>
      </x:c>
      <x:c r="I162" s="47" t="str">
        <x:v>No</x:v>
      </x:c>
      <x:c r="J162" s="47" t="str">
        <x:v>DEFERRED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 Calculation</x:v>
      </x:c>
      <x:c r="G163" s="48" t="str">
        <x:v>Stage 2 candidate - direct/deterministic</x:v>
      </x:c>
      <x:c r="H163" s="47" t="str">
        <x:v>High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Complex</x:v>
      </x:c>
      <x:c r="G166" s="48" t="str">
        <x:v>Deferred - composite/evidence workflow review</x:v>
      </x:c>
      <x:c r="H166" s="47" t="str">
        <x:v>Medium</x:v>
      </x:c>
      <x:c r="I166" s="47" t="str">
        <x:v>No</x:v>
      </x:c>
      <x:c r="J166" s="47" t="str">
        <x:v>DEFERRED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 Calculation</x:v>
      </x:c>
      <x:c r="G167" s="48" t="str">
        <x:v>Stage 2 candidate - direct/deterministic</x:v>
      </x:c>
      <x:c r="H167" s="47" t="str">
        <x:v>High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 Calculation</x:v>
      </x:c>
      <x:c r="G168" s="48" t="str">
        <x:v>Stage 2 candidate - direct/deterministic</x:v>
      </x:c>
      <x:c r="H168" s="47" t="str">
        <x:v>High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Complex</x:v>
      </x:c>
      <x:c r="G169" s="48" t="str">
        <x:v>Deferred - composite/evidence workflow review</x:v>
      </x:c>
      <x:c r="H169" s="47" t="str">
        <x:v>Medium</x:v>
      </x:c>
      <x:c r="I169" s="47" t="str">
        <x:v>No</x:v>
      </x:c>
      <x:c r="J169" s="47" t="str">
        <x:v>DEFERRED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Complex</x:v>
      </x:c>
      <x:c r="G171" s="48" t="str">
        <x:v>Deferred - composite/evidence workflow review</x:v>
      </x:c>
      <x:c r="H171" s="47" t="str">
        <x:v>Medium</x:v>
      </x:c>
      <x:c r="I171" s="47" t="str">
        <x:v>No</x:v>
      </x:c>
      <x:c r="J171" s="47" t="str">
        <x:v>DEFERRED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 Calculation</x:v>
      </x:c>
      <x:c r="G172" s="48" t="str">
        <x:v>Stage 2 candidate - direct/deterministic</x:v>
      </x:c>
      <x:c r="H172" s="47" t="str">
        <x:v>High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Complex</x:v>
      </x:c>
      <x:c r="G175" s="48" t="str">
        <x:v>Deferred - composite/evidence workflow review</x:v>
      </x:c>
      <x:c r="H175" s="47" t="str">
        <x:v>Medium</x:v>
      </x:c>
      <x:c r="I175" s="47" t="str">
        <x:v>No</x:v>
      </x:c>
      <x:c r="J175" s="47" t="str">
        <x:v>DEFERRED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 Calculation</x:v>
      </x:c>
      <x:c r="G176" s="48" t="str">
        <x:v>Stage 2 candidate - direct/deterministic</x:v>
      </x:c>
      <x:c r="H176" s="47" t="str">
        <x:v>High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Complex</x:v>
      </x:c>
      <x:c r="G184" s="48" t="str">
        <x:v>Deferred - composite/evidence workflow review</x:v>
      </x:c>
      <x:c r="H184" s="47" t="str">
        <x:v>High</x:v>
      </x:c>
      <x:c r="I184" s="47" t="str">
        <x:v>No</x:v>
      </x:c>
      <x:c r="J184" s="47" t="str">
        <x:v>DEFERRED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Complex</x:v>
      </x:c>
      <x:c r="G185" s="48" t="str">
        <x:v>Deferred - composite/evidence workflow review</x:v>
      </x:c>
      <x:c r="H185" s="47" t="str">
        <x:v>Medium</x:v>
      </x:c>
      <x:c r="I185" s="47" t="str">
        <x:v>No</x:v>
      </x:c>
      <x:c r="J185" s="47" t="str">
        <x:v>DEFERRED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Complex</x:v>
      </x:c>
      <x:c r="G188" s="48" t="str">
        <x:v>Deferred - composite/evidence workflow review</x:v>
      </x:c>
      <x:c r="H188" s="47" t="str">
        <x:v>High</x:v>
      </x:c>
      <x:c r="I188" s="47" t="str">
        <x:v>No</x:v>
      </x:c>
      <x:c r="J188" s="47" t="str">
        <x:v>DEFERRED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Complex</x:v>
      </x:c>
      <x:c r="G194" s="48" t="str">
        <x:v>Deferred - composite/evidence workflow review</x:v>
      </x:c>
      <x:c r="H194" s="47" t="str">
        <x:v>Medium</x:v>
      </x:c>
      <x:c r="I194" s="47" t="str">
        <x:v>No</x:v>
      </x:c>
      <x:c r="J194" s="47" t="str">
        <x:v>DEFERRED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Complex</x:v>
      </x:c>
      <x:c r="G195" s="48" t="str">
        <x:v>Deferred - composite/evidence workflow review</x:v>
      </x:c>
      <x:c r="H195" s="47" t="str">
        <x:v>Medium</x:v>
      </x:c>
      <x:c r="I195" s="47" t="str">
        <x:v>No</x:v>
      </x:c>
      <x:c r="J195" s="47" t="str">
        <x:v>DEFERRED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Static</x:v>
      </x:c>
      <x:c r="G206" s="48" t="str">
        <x:v>Stage 2 candidate - direct/deterministic</x:v>
      </x:c>
      <x:c r="H206" s="47" t="str">
        <x:v>High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Static Calculation</x:v>
      </x:c>
      <x:c r="G213" s="48" t="str">
        <x:v>Stage 2 candidate - direct/deterministic</x:v>
      </x:c>
      <x:c r="H213" s="47" t="str">
        <x:v>Medium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Static Calculation</x:v>
      </x:c>
      <x:c r="G214" s="48" t="str">
        <x:v>Stage 2 candidate - direct/deterministic</x:v>
      </x:c>
      <x:c r="H214" s="47" t="str">
        <x:v>Medium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Static Calculation</x:v>
      </x:c>
      <x:c r="G217" s="48" t="str">
        <x:v>Stage 2 candidate - direct/deterministic</x:v>
      </x:c>
      <x:c r="H217" s="47" t="str">
        <x:v>High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Static Calculation</x:v>
      </x:c>
      <x:c r="G218" s="48" t="str">
        <x:v>Stage 2 candidate - direct/deterministic</x:v>
      </x:c>
      <x:c r="H218" s="47" t="str">
        <x:v>High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Physical Test</x:v>
      </x:c>
      <x:c r="G220" s="48" t="str">
        <x:v>Evidence-only - physical result not inferred by SHACL</x:v>
      </x:c>
      <x:c r="H220" s="47" t="str">
        <x:v>Medium</x:v>
      </x:c>
      <x:c r="I220" s="47" t="str">
        <x:v>No</x:v>
      </x:c>
      <x:c r="J220" s="47" t="str">
        <x:v>DEFERRED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Complex</x:v>
      </x:c>
      <x:c r="G221" s="48" t="str">
        <x:v>Deferred - composite/evidence workflow review</x:v>
      </x:c>
      <x:c r="H221" s="47" t="str">
        <x:v>Medium</x:v>
      </x:c>
      <x:c r="I221" s="47" t="str">
        <x:v>No</x:v>
      </x:c>
      <x:c r="J221" s="47" t="str">
        <x:v>DEFERRED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Static Calculation</x:v>
      </x:c>
      <x:c r="G222" s="48" t="str">
        <x:v>Stage 2 candidate - direct/deterministic</x:v>
      </x:c>
      <x:c r="H222" s="47" t="str">
        <x:v>High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Static Calculation</x:v>
      </x:c>
      <x:c r="G225" s="48" t="str">
        <x:v>Stage 2 candidate - direct/deterministic</x:v>
      </x:c>
      <x:c r="H225" s="47" t="str">
        <x:v>Medium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 Calculation</x:v>
      </x:c>
      <x:c r="G227" s="48" t="str">
        <x:v>Stage 2 candidate - direct/deterministic</x:v>
      </x:c>
      <x:c r="H227" s="47" t="str">
        <x:v>Medium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Complex</x:v>
      </x:c>
      <x:c r="G229" s="48" t="str">
        <x:v>Deferred - composite/evidence workflow review</x:v>
      </x:c>
      <x:c r="H229" s="47" t="str">
        <x:v>Medium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Complex</x:v>
      </x:c>
      <x:c r="G230" s="48" t="str">
        <x:v>Deferred - composite/evidence workflow review</x:v>
      </x:c>
      <x:c r="H230" s="47" t="str">
        <x:v>Medium</x:v>
      </x:c>
      <x:c r="I230" s="47" t="str">
        <x:v>No</x:v>
      </x:c>
      <x:c r="J230" s="47" t="str">
        <x:v>DEFERRED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Static Calculation</x:v>
      </x:c>
      <x:c r="G231" s="48" t="str">
        <x:v>Stage 2 candidate - direct/deterministic</x:v>
      </x:c>
      <x:c r="H231" s="47" t="str">
        <x:v>High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 Calculation</x:v>
      </x:c>
      <x:c r="G239" s="48" t="str">
        <x:v>Stage 2 candidate - direct/deterministic</x:v>
      </x:c>
      <x:c r="H239" s="47" t="str">
        <x:v>High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Static Calculation</x:v>
      </x:c>
      <x:c r="G241" s="48" t="str">
        <x:v>Stage 2 candidate - direct/deterministic</x:v>
      </x:c>
      <x:c r="H241" s="47" t="str">
        <x:v>Medium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 Calculation</x:v>
      </x:c>
      <x:c r="G245" s="48" t="str">
        <x:v>Stage 2 candidate - direct/deterministic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 Calculation</x:v>
      </x:c>
      <x:c r="G246" s="48" t="str">
        <x:v>Stage 2 candidate - direct/deterministic</x:v>
      </x:c>
      <x:c r="H246" s="47" t="str">
        <x:v>High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Static Calculation</x:v>
      </x:c>
      <x:c r="G250" s="48" t="str">
        <x:v>Stage 2 candidate - direct/deterministic</x:v>
      </x:c>
      <x:c r="H250" s="47" t="str">
        <x:v>Medium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Static Calculation</x:v>
      </x:c>
      <x:c r="G260" s="48" t="str">
        <x:v>Stage 2 candidate - direct/deterministic</x:v>
      </x:c>
      <x:c r="H260" s="47" t="str">
        <x:v>High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Complex</x:v>
      </x:c>
      <x:c r="G264" s="48" t="str">
        <x:v>Deferred - composite/evidence workflow review</x:v>
      </x:c>
      <x:c r="H264" s="47" t="str">
        <x:v>Medium</x:v>
      </x:c>
      <x:c r="I264" s="47" t="str">
        <x:v>No</x:v>
      </x:c>
      <x:c r="J264" s="47" t="str">
        <x:v>DEFERRED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 Calculation</x:v>
      </x:c>
      <x:c r="G266" s="48" t="str">
        <x:v>Stage 2 candidate - direct/deterministic</x:v>
      </x:c>
      <x:c r="H266" s="47" t="str">
        <x:v>High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</x:v>
      </x:c>
      <x:c r="G269" s="48" t="str">
        <x:v>Stage 2 candidate - direct/deterministic</x:v>
      </x:c>
      <x:c r="H269" s="47" t="str">
        <x:v>High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</x:v>
      </x:c>
      <x:c r="G273" s="48" t="str">
        <x:v>Stage 2 candidate - direct/deterministic</x:v>
      </x:c>
      <x:c r="H273" s="47" t="str">
        <x:v>High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</x:v>
      </x:c>
      <x:c r="G275" s="48" t="str">
        <x:v>Stage 2 candidate - direct/deterministic</x:v>
      </x:c>
      <x:c r="H275" s="47" t="str">
        <x:v>High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 Calculation</x:v>
      </x:c>
      <x:c r="G277" s="48" t="str">
        <x:v>Stage 2 candidate - direct/deterministic</x:v>
      </x:c>
      <x:c r="H277" s="47" t="str">
        <x:v>Medium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Complex</x:v>
      </x:c>
      <x:c r="G281" s="48" t="str">
        <x:v>Deferred - composite/evidence workflow review</x:v>
      </x:c>
      <x:c r="H281" s="47" t="str">
        <x:v>Medium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Static Calculation</x:v>
      </x:c>
      <x:c r="G285" s="48" t="str">
        <x:v>Stage 2 candidate - direct/deterministic</x:v>
      </x:c>
      <x:c r="H285" s="47" t="str">
        <x:v>High</x:v>
      </x:c>
      <x:c r="I285" s="47" t="str">
        <x:v>No</x:v>
      </x:c>
      <x:c r="J285" s="47" t="str">
        <x:v>ELIGIBLE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Complex</x:v>
      </x:c>
      <x:c r="G292" s="48" t="str">
        <x:v>Deferred - composite/evidence workflow review</x:v>
      </x:c>
      <x:c r="H292" s="47" t="str">
        <x:v>Medium</x:v>
      </x:c>
      <x:c r="I292" s="47" t="str">
        <x:v>No</x:v>
      </x:c>
      <x:c r="J292" s="47" t="str">
        <x:v>DEFERRED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Static Calculation</x:v>
      </x:c>
      <x:c r="G299" s="48" t="str">
        <x:v>Stage 2 candidate - direct/deterministic</x:v>
      </x:c>
      <x:c r="H299" s="47" t="str">
        <x:v>High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Static Calculation</x:v>
      </x:c>
      <x:c r="G300" s="48" t="str">
        <x:v>Stage 2 candidate - direct/deterministic</x:v>
      </x:c>
      <x:c r="H300" s="47" t="str">
        <x:v>High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Static</x:v>
      </x:c>
      <x:c r="G302" s="48" t="str">
        <x:v>Stage 2 candidate - direct/deterministic</x:v>
      </x:c>
      <x:c r="H302" s="47" t="str">
        <x:v>Medium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Static Calculation</x:v>
      </x:c>
      <x:c r="G303" s="48" t="str">
        <x:v>Stage 2 candidate - direct/deterministic</x:v>
      </x:c>
      <x:c r="H303" s="47" t="str">
        <x:v>High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Static Calculation</x:v>
      </x:c>
      <x:c r="G304" s="48" t="str">
        <x:v>Stage 2 candidate - direct/deterministic</x:v>
      </x:c>
      <x:c r="H304" s="47" t="str">
        <x:v>High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Static Calculation</x:v>
      </x:c>
      <x:c r="G308" s="48" t="str">
        <x:v>Stage 2 candidate - direct/deterministic</x:v>
      </x:c>
      <x:c r="H308" s="47" t="str">
        <x:v>Medium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 Calculation</x:v>
      </x:c>
      <x:c r="G312" s="48" t="str">
        <x:v>Stage 2 candidate - direct/deterministic</x:v>
      </x:c>
      <x:c r="H312" s="47" t="str">
        <x:v>High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</x:v>
      </x:c>
      <x:c r="G314" s="48" t="str">
        <x:v>Stage 2 candidate - direct/deterministic</x:v>
      </x:c>
      <x:c r="H314" s="47" t="str">
        <x:v>High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516960dc6a8c4ede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4" hidden="0" customWidth="1"/>
    <x:col min="7" max="7" width="24" hidden="0" customWidth="1"/>
    <x:col min="8" max="8" width="11" hidden="0" customWidth="1"/>
    <x:col min="9" max="9" width="24" hidden="0" customWidth="1"/>
    <x:col min="10" max="10" width="11" hidden="0" customWidth="1"/>
    <x:col min="11" max="11" width="1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RUN-I2-018-20260813T162753844670Z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SESSION-BATCH-20260813T151944473992Z</x:v>
      </x:c>
      <x:c r="B5" s="69" t="str">
        <x:v>RUN-I2-018-20260813T162753844670Z</x:v>
      </x:c>
      <x:c r="C5" s="69" t="str">
        <x:v>I2-018</x:v>
      </x:c>
      <x:c r="D5" s="70" t="n">
        <x:v>46247.686039872686</x:v>
      </x:c>
      <x:c r="E5" s="70" t="n">
        <x:v>46247.68659666667</x:v>
      </x:c>
      <x:c r="F5" s="69" t="str">
        <x:v>0.9.0-dev-r9-foundation</x:v>
      </x:c>
      <x:c r="G5" s="69" t="str">
        <x:v>VOCAB-DEV-2026-08-13-R9-FOUNDATION</x:v>
      </x:c>
      <x:c r="H5" s="71" t="n">
        <x:v>1</x:v>
      </x:c>
      <x:c r="I5" s="69" t="str">
        <x:v>TERM_RESOLUTION_UNRESOLVED</x:v>
      </x:c>
      <x:c r="J5" s="72" t="b">
        <x:v>0</x:v>
      </x:c>
      <x:c r="K5" s="69" t="str"/>
      <x:c r="L5" s="73" t="str">
        <x:v>No supplied candidate represents the absent canonical hull-area/localized-member selector evidence or Table 3 entry/value term required by the feedback.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114f28dd62fc44fc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22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RUN-I2-018-20260813T162753844670Z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69" t="str">
        <x:v>RUN-I2-018-20260813T162753844670Z</x:v>
      </x:c>
      <x:c r="B5" s="69" t="str">
        <x:v>I2-018</x:v>
      </x:c>
      <x:c r="C5" s="71" t="n">
        <x:v>1</x:v>
      </x:c>
      <x:c r="D5" s="72" t="b">
        <x:v>1</x:v>
      </x:c>
      <x:c r="E5" s="72" t="b">
        <x:v>0</x:v>
      </x:c>
      <x:c r="F5" s="72" t="b">
        <x:v>1</x:v>
      </x:c>
      <x:c r="G5" s="69" t="str">
        <x:v>STOP_TERM_RESOLUTION</x:v>
      </x:c>
      <x:c r="H5" s="73" t="str">
        <x:v>Replace the presence-only peakPressureFactor check with the required Table 3 lookup and constraint, including the canonical hull-area/localized-member selection evidence needed to choose and apply the appropriate peak factor; likewise encode the FBow/FNonBow and bBow/bNonBow/wBow/wNonBow conditional selection without allowing missing branch evidence to pass. Keep authoritative ship ownership and the hasIceLoadPatch relationship, retain the correctly directed Pavg = F/(1000*b*w) tolerance comparison, and bound each formula quantity and its numeric value/unit to one value to avoid combinatorial cross-product failures. Run the variable matcher for the absent canonical selector, table-entry/value, and localized-member terms rather than inventing them.</x:v>
      </x:c>
      <x:c r="I5" s="75" t="n">
        <x:v>32852.06</x:v>
      </x:c>
      <x:c r="J5" s="75" t="n">
        <x:v>10452.072</x:v>
      </x:c>
    </x:row>
  </x:sheetData>
  <x:conditionalFormatting sqref="G5:G5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f073124d4f1249f2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20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RUN-I2-018-20260813T162753844670Z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EVT-000019</x:v>
      </x:c>
      <x:c r="B5" s="45" t="str">
        <x:v>RUN-I2-018-20260813T162753844670Z</x:v>
      </x:c>
      <x:c r="C5" s="45" t="str">
        <x:v>I2-018</x:v>
      </x:c>
      <x:c r="D5" s="88" t="n">
        <x:v>46247.686420115744</x:v>
      </x:c>
      <x:c r="E5" s="45" t="str">
        <x:v>generator</x:v>
      </x:c>
      <x:c r="F5" s="45" t="str">
        <x:v>gpt-5.6-sol-2026-07-09</x:v>
      </x:c>
      <x:c r="G5" s="45" t="n">
        <x:v>1</x:v>
      </x:c>
      <x:c r="H5" s="45" t="n">
        <x:v>200</x:v>
      </x:c>
      <x:c r="I5" s="45" t="str">
        <x:v>Ocp-Apim-Subscription-Key</x:v>
      </x:c>
      <x:c r="J5" s="89" t="n">
        <x:v>0</x:v>
      </x:c>
      <x:c r="K5" s="89" t="n">
        <x:v>32850.53</x:v>
      </x:c>
      <x:c r="L5" s="90" t="b">
        <x:v>0</x:v>
      </x:c>
      <x:c r="M5" s="45" t="str"/>
      <x:c r="N5" s="58" t="str"/>
      <x:c r="O5" s="58" t="str"/>
      <x:c r="P5" s="58" t="str"/>
    </x:row>
    <x:row r="6">
      <x:c r="A6" s="47" t="str">
        <x:v>EVT-000020</x:v>
      </x:c>
      <x:c r="B6" s="47" t="str">
        <x:v>RUN-I2-018-20260813T162753844670Z</x:v>
      </x:c>
      <x:c r="C6" s="47" t="str">
        <x:v>I2-018</x:v>
      </x:c>
      <x:c r="D6" s="91" t="n">
        <x:v>46247.68642012731</x:v>
      </x:c>
      <x:c r="E6" s="47" t="str">
        <x:v>generator</x:v>
      </x:c>
      <x:c r="F6" s="47" t="str">
        <x:v>gpt-5.6-sol-2026-07-09</x:v>
      </x:c>
      <x:c r="G6" s="47" t="n">
        <x:v>1</x:v>
      </x:c>
      <x:c r="H6" s="47" t="str">
        <x:v>COMPLETED</x:v>
      </x:c>
      <x:c r="I6" s="47" t="str"/>
      <x:c r="J6" s="92" t="n">
        <x:v>0</x:v>
      </x:c>
      <x:c r="K6" s="92" t="n">
        <x:v>32852.06</x:v>
      </x:c>
      <x:c r="L6" s="93" t="b">
        <x:v>0</x:v>
      </x:c>
      <x:c r="M6" s="47" t="str">
        <x:v>resp_0e02343e8c64172b006a7df089f94881908ce8dda0a0682f7e</x:v>
      </x:c>
      <x:c r="N6" s="59" t="n">
        <x:v>7093</x:v>
      </x:c>
      <x:c r="O6" s="59" t="n">
        <x:v>2768</x:v>
      </x:c>
      <x:c r="P6" s="59" t="n">
        <x:v>9861</x:v>
      </x:c>
    </x:row>
    <x:row r="7">
      <x:c r="A7" s="47" t="str">
        <x:v>EVT-000027</x:v>
      </x:c>
      <x:c r="B7" s="47" t="str">
        <x:v>RUN-I2-018-20260813T162753844670Z</x:v>
      </x:c>
      <x:c r="C7" s="47" t="str">
        <x:v>I2-018</x:v>
      </x:c>
      <x:c r="D7" s="91" t="n">
        <x:v>46247.68654322917</x:v>
      </x:c>
      <x:c r="E7" s="47" t="str">
        <x:v>validator</x:v>
      </x:c>
      <x:c r="F7" s="47" t="str">
        <x:v>gpt-5.6-sol-2026-07-09</x:v>
      </x:c>
      <x:c r="G7" s="47" t="n">
        <x:v>1</x:v>
      </x:c>
      <x:c r="H7" s="47" t="n">
        <x:v>200</x:v>
      </x:c>
      <x:c r="I7" s="47" t="str">
        <x:v>Ocp-Apim-Subscription-Key</x:v>
      </x:c>
      <x:c r="J7" s="92" t="n">
        <x:v>0</x:v>
      </x:c>
      <x:c r="K7" s="92" t="n">
        <x:v>10451.469</x:v>
      </x:c>
      <x:c r="L7" s="93" t="b">
        <x:v>0</x:v>
      </x:c>
      <x:c r="M7" s="47" t="str"/>
      <x:c r="N7" s="59" t="str"/>
      <x:c r="O7" s="59" t="str"/>
      <x:c r="P7" s="59" t="str"/>
    </x:row>
    <x:row r="8">
      <x:c r="A8" s="47" t="str">
        <x:v>EVT-000028</x:v>
      </x:c>
      <x:c r="B8" s="47" t="str">
        <x:v>RUN-I2-018-20260813T162753844670Z</x:v>
      </x:c>
      <x:c r="C8" s="47" t="str">
        <x:v>I2-018</x:v>
      </x:c>
      <x:c r="D8" s="91" t="n">
        <x:v>46247.68654324074</x:v>
      </x:c>
      <x:c r="E8" s="47" t="str">
        <x:v>validator</x:v>
      </x:c>
      <x:c r="F8" s="47" t="str">
        <x:v>gpt-5.6-sol-2026-07-09</x:v>
      </x:c>
      <x:c r="G8" s="47" t="n">
        <x:v>1</x:v>
      </x:c>
      <x:c r="H8" s="47" t="str">
        <x:v>COMPLETED</x:v>
      </x:c>
      <x:c r="I8" s="47" t="str"/>
      <x:c r="J8" s="92" t="n">
        <x:v>0</x:v>
      </x:c>
      <x:c r="K8" s="92" t="n">
        <x:v>10452.072</x:v>
      </x:c>
      <x:c r="L8" s="93" t="b">
        <x:v>0</x:v>
      </x:c>
      <x:c r="M8" s="47" t="str">
        <x:v>resp_0cff8ce1dd6580ad006a7df0ab02b881969a44b21fd68a4abd</x:v>
      </x:c>
      <x:c r="N8" s="59" t="n">
        <x:v>7240</x:v>
      </x:c>
      <x:c r="O8" s="59" t="n">
        <x:v>678</x:v>
      </x:c>
      <x:c r="P8" s="59" t="n">
        <x:v>7918</x:v>
      </x:c>
    </x:row>
    <x:row r="9">
      <x:c r="A9" s="47" t="str">
        <x:v>EVT-000034</x:v>
      </x:c>
      <x:c r="B9" s="47" t="str">
        <x:v>RUN-I2-018-20260813T162753844670Z</x:v>
      </x:c>
      <x:c r="C9" s="47" t="str">
        <x:v>I2-018</x:v>
      </x:c>
      <x:c r="D9" s="91" t="n">
        <x:v>46247.68659658565</x:v>
      </x:c>
      <x:c r="E9" s="47" t="str">
        <x:v>vocabulary_matcher</x:v>
      </x:c>
      <x:c r="F9" s="47" t="str">
        <x:v>gpt-5.6-sol-2026-07-09</x:v>
      </x:c>
      <x:c r="G9" s="47" t="n">
        <x:v>1</x:v>
      </x:c>
      <x:c r="H9" s="47" t="n">
        <x:v>200</x:v>
      </x:c>
      <x:c r="I9" s="47" t="str">
        <x:v>Ocp-Apim-Subscription-Key</x:v>
      </x:c>
      <x:c r="J9" s="92" t="n">
        <x:v>0</x:v>
      </x:c>
      <x:c r="K9" s="92" t="n">
        <x:v>3520.9</x:v>
      </x:c>
      <x:c r="L9" s="93" t="b">
        <x:v>0</x:v>
      </x:c>
      <x:c r="M9" s="47" t="str"/>
      <x:c r="N9" s="59" t="str"/>
      <x:c r="O9" s="59" t="str"/>
      <x:c r="P9" s="59" t="str"/>
    </x:row>
    <x:row r="10">
      <x:c r="A10" s="49" t="str">
        <x:v>EVT-000035</x:v>
      </x:c>
      <x:c r="B10" s="49" t="str">
        <x:v>RUN-I2-018-20260813T162753844670Z</x:v>
      </x:c>
      <x:c r="C10" s="49" t="str">
        <x:v>I2-018</x:v>
      </x:c>
      <x:c r="D10" s="94" t="n">
        <x:v>46247.68659660879</x:v>
      </x:c>
      <x:c r="E10" s="49" t="str">
        <x:v>vocabulary_matcher</x:v>
      </x:c>
      <x:c r="F10" s="49" t="str">
        <x:v>gpt-5.6-sol-2026-07-09</x:v>
      </x:c>
      <x:c r="G10" s="49" t="n">
        <x:v>1</x:v>
      </x:c>
      <x:c r="H10" s="49" t="str">
        <x:v>COMPLETED</x:v>
      </x:c>
      <x:c r="I10" s="49" t="str"/>
      <x:c r="J10" s="95" t="n">
        <x:v>0</x:v>
      </x:c>
      <x:c r="K10" s="95" t="n">
        <x:v>3521.977</x:v>
      </x:c>
      <x:c r="L10" s="96" t="b">
        <x:v>0</x:v>
      </x:c>
      <x:c r="M10" s="49" t="str">
        <x:v>resp_02d8a091535f14ac006a7df0b6be1c8197a6cfaf0cb5203467</x:v>
      </x:c>
      <x:c r="N10" s="60" t="n">
        <x:v>2081</x:v>
      </x:c>
      <x:c r="O10" s="60" t="n">
        <x:v>150</x:v>
      </x:c>
      <x:c r="P10" s="60" t="n">
        <x:v>2231</x:v>
      </x:c>
    </x:row>
  </x:sheetData>
  <x:conditionalFormatting sqref="H5:H10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9cccedf6d4b44c95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1" hidden="0" customWidth="1"/>
    <x:col min="7" max="7" width="46" hidden="0" customWidth="1"/>
    <x:col min="8" max="8" width="24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RUN-I2-018-20260813T162753844670Z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RUN-I2-018-20260813T162753844670Z</x:v>
      </x:c>
      <x:c r="B5" s="45" t="str">
        <x:v>I2-018</x:v>
      </x:c>
      <x:c r="C5" s="45" t="str">
        <x:v>averageIcePressure</x:v>
      </x:c>
      <x:c r="D5" s="46" t="str">
        <x:v>https://w3id.org/nltl-benchmark/vocab#averageIcePressure</x:v>
      </x:c>
      <x:c r="E5" s="45" t="str">
        <x:v>QuantityProperty</x:v>
      </x:c>
      <x:c r="F5" s="45" t="str"/>
      <x:c r="G5" s="45" t="str">
        <x:v>http://qudt.org/schema/qudt/QuantityValue</x:v>
      </x:c>
      <x:c r="H5" s="45" t="str">
        <x:v>http://qudt.org/vocab/unit/MegaPA</x:v>
      </x:c>
      <x:c r="I5" s="46" t="str">
        <x:v>linked by the locked 313-requirement index</x:v>
      </x:c>
      <x:c r="J5" s="45" t="n">
        <x:v>0</x:v>
      </x:c>
    </x:row>
    <x:row r="6">
      <x:c r="A6" s="47" t="str">
        <x:v>RUN-I2-018-20260813T162753844670Z</x:v>
      </x:c>
      <x:c r="B6" s="47" t="str">
        <x:v>I2-018</x:v>
      </x:c>
      <x:c r="C6" s="47" t="str">
        <x:v>benchmarkEntity</x:v>
      </x:c>
      <x:c r="D6" s="48" t="str">
        <x:v>https://w3id.org/nltl-benchmark/vocab#benchmarkEntity</x:v>
      </x:c>
      <x:c r="E6" s="47" t="str">
        <x:v>Class</x:v>
      </x:c>
      <x:c r="F6" s="47" t="str"/>
      <x:c r="G6" s="47" t="str"/>
      <x:c r="H6" s="47" t="str"/>
      <x:c r="I6" s="48" t="str">
        <x:v>baseline target infrastructure; domain dependency of averageIcePressure; domain dependency of iceForce; domain dependency of loadPatchHeight; domain dependency of loadPatchLength; domain dependency of peakPressureFactor</x:v>
      </x:c>
      <x:c r="J6" s="47" t="n">
        <x:v>0</x:v>
      </x:c>
    </x:row>
    <x:row r="7">
      <x:c r="A7" s="47" t="str">
        <x:v>RUN-I2-018-20260813T162753844670Z</x:v>
      </x:c>
      <x:c r="B7" s="47" t="str">
        <x:v>I2-018</x:v>
      </x:c>
      <x:c r="C7" s="47" t="str">
        <x:v>hasComponent</x:v>
      </x:c>
      <x:c r="D7" s="48" t="str">
        <x:v>https://w3id.org/nltl-benchmark/vocab#hasComponent</x:v>
      </x:c>
      <x:c r="E7" s="47" t="str">
        <x:v>ObjectProperty</x:v>
      </x:c>
      <x:c r="F7" s="47" t="str"/>
      <x:c r="G7" s="47" t="str">
        <x:v>https://w3id.org/nltl-benchmark/vocab#shipComponent</x:v>
      </x:c>
      <x:c r="H7" s="47" t="str"/>
      <x:c r="I7" s="48" t="str">
        <x:v>component-path dependency inferred from the linked term module</x:v>
      </x:c>
      <x:c r="J7" s="47" t="n">
        <x:v>0</x:v>
      </x:c>
    </x:row>
    <x:row r="8">
      <x:c r="A8" s="47" t="str">
        <x:v>RUN-I2-018-20260813T162753844670Z</x:v>
      </x:c>
      <x:c r="B8" s="47" t="str">
        <x:v>I2-018</x:v>
      </x:c>
      <x:c r="C8" s="47" t="str">
        <x:v>hasIceLoadPatch</x:v>
      </x:c>
      <x:c r="D8" s="48" t="str">
        <x:v>https://w3id.org/nltl-benchmark/vocab#hasIceLoadPatch</x:v>
      </x:c>
      <x:c r="E8" s="47" t="str">
        <x:v>ObjectProperty</x:v>
      </x:c>
      <x:c r="F8" s="47" t="str"/>
      <x:c r="G8" s="47" t="str">
        <x:v>https://w3id.org/nltl-benchmark/vocab#iceLoadPatch</x:v>
      </x:c>
      <x:c r="H8" s="47" t="str"/>
      <x:c r="I8" s="48" t="str">
        <x:v>linked by the locked 313-requirement index</x:v>
      </x:c>
      <x:c r="J8" s="47" t="n">
        <x:v>0</x:v>
      </x:c>
    </x:row>
    <x:row r="9">
      <x:c r="A9" s="47" t="str">
        <x:v>RUN-I2-018-20260813T162753844670Z</x:v>
      </x:c>
      <x:c r="B9" s="47" t="str">
        <x:v>I2-018</x:v>
      </x:c>
      <x:c r="C9" s="47" t="str">
        <x:v>iceForce</x:v>
      </x:c>
      <x:c r="D9" s="48" t="str">
        <x:v>https://w3id.org/nltl-benchmark/vocab#iceForce</x:v>
      </x:c>
      <x:c r="E9" s="47" t="str">
        <x:v>QuantityProperty</x:v>
      </x:c>
      <x:c r="F9" s="47" t="str"/>
      <x:c r="G9" s="47" t="str">
        <x:v>http://qudt.org/schema/qudt/QuantityValue</x:v>
      </x:c>
      <x:c r="H9" s="47" t="str">
        <x:v>http://qudt.org/vocab/unit/KiloN</x:v>
      </x:c>
      <x:c r="I9" s="48" t="str">
        <x:v>linked by the locked 313-requirement index</x:v>
      </x:c>
      <x:c r="J9" s="47" t="n">
        <x:v>0</x:v>
      </x:c>
    </x:row>
    <x:row r="10">
      <x:c r="A10" s="47" t="str">
        <x:v>RUN-I2-018-20260813T162753844670Z</x:v>
      </x:c>
      <x:c r="B10" s="47" t="str">
        <x:v>I2-018</x:v>
      </x:c>
      <x:c r="C10" s="47" t="str">
        <x:v>iceLoadPatch</x:v>
      </x:c>
      <x:c r="D10" s="48" t="str">
        <x:v>https://w3id.org/nltl-benchmark/vocab#iceLoadPatch</x:v>
      </x:c>
      <x:c r="E10" s="47" t="str">
        <x:v>Class</x:v>
      </x:c>
      <x:c r="F10" s="47" t="str"/>
      <x:c r="G10" s="47" t="str">
        <x:v>https://w3id.org/nltl-benchmark/vocab#hullStructure</x:v>
      </x:c>
      <x:c r="H10" s="47" t="str"/>
      <x:c r="I10" s="48" t="str">
        <x:v>range dependency of hasIceLoadPatch</x:v>
      </x:c>
      <x:c r="J10" s="47" t="n">
        <x:v>0</x:v>
      </x:c>
    </x:row>
    <x:row r="11">
      <x:c r="A11" s="47" t="str">
        <x:v>RUN-I2-018-20260813T162753844670Z</x:v>
      </x:c>
      <x:c r="B11" s="47" t="str">
        <x:v>I2-018</x:v>
      </x:c>
      <x:c r="C11" s="47" t="str">
        <x:v>loadPatchHeight</x:v>
      </x:c>
      <x:c r="D11" s="48" t="str">
        <x:v>https://w3id.org/nltl-benchmark/vocab#loadPatchHeight</x:v>
      </x:c>
      <x:c r="E11" s="47" t="str">
        <x:v>QuantityProperty</x:v>
      </x:c>
      <x:c r="F11" s="47" t="str"/>
      <x:c r="G11" s="47" t="str">
        <x:v>http://qudt.org/schema/qudt/QuantityValue</x:v>
      </x:c>
      <x:c r="H11" s="47" t="str">
        <x:v>http://qudt.org/vocab/unit/M</x:v>
      </x:c>
      <x:c r="I11" s="48" t="str">
        <x:v>linked by the locked 313-requirement index</x:v>
      </x:c>
      <x:c r="J11" s="47" t="n">
        <x:v>0</x:v>
      </x:c>
    </x:row>
    <x:row r="12">
      <x:c r="A12" s="47" t="str">
        <x:v>RUN-I2-018-20260813T162753844670Z</x:v>
      </x:c>
      <x:c r="B12" s="47" t="str">
        <x:v>I2-018</x:v>
      </x:c>
      <x:c r="C12" s="47" t="str">
        <x:v>loadPatchLength</x:v>
      </x:c>
      <x:c r="D12" s="48" t="str">
        <x:v>https://w3id.org/nltl-benchmark/vocab#loadPatchLength</x:v>
      </x:c>
      <x:c r="E12" s="47" t="str">
        <x:v>QuantityProperty</x:v>
      </x:c>
      <x:c r="F12" s="47" t="str"/>
      <x:c r="G12" s="47" t="str">
        <x:v>http://qudt.org/schema/qudt/QuantityValue</x:v>
      </x:c>
      <x:c r="H12" s="47" t="str">
        <x:v>http://qudt.org/vocab/unit/M</x:v>
      </x:c>
      <x:c r="I12" s="48" t="str">
        <x:v>linked by the locked 313-requirement index</x:v>
      </x:c>
      <x:c r="J12" s="47" t="n">
        <x:v>0</x:v>
      </x:c>
    </x:row>
    <x:row r="13">
      <x:c r="A13" s="47" t="str">
        <x:v>RUN-I2-018-20260813T162753844670Z</x:v>
      </x:c>
      <x:c r="B13" s="47" t="str">
        <x:v>I2-018</x:v>
      </x:c>
      <x:c r="C13" s="47" t="str">
        <x:v>peakPressureFactor</x:v>
      </x:c>
      <x:c r="D13" s="48" t="str">
        <x:v>https://w3id.org/nltl-benchmark/vocab#peakPressureFactor</x:v>
      </x:c>
      <x:c r="E13" s="47" t="str">
        <x:v>QuantityProperty</x:v>
      </x:c>
      <x:c r="F13" s="47" t="str"/>
      <x:c r="G13" s="47" t="str">
        <x:v>http://qudt.org/schema/qudt/QuantityValue</x:v>
      </x:c>
      <x:c r="H13" s="47" t="str">
        <x:v>http://qudt.org/vocab/unit/UNITLESS</x:v>
      </x:c>
      <x:c r="I13" s="48" t="str">
        <x:v>linked by the locked 313-requirement index</x:v>
      </x:c>
      <x:c r="J13" s="47" t="n">
        <x:v>0</x:v>
      </x:c>
    </x:row>
    <x:row r="14">
      <x:c r="A14" s="47" t="str">
        <x:v>RUN-I2-018-20260813T162753844670Z</x:v>
      </x:c>
      <x:c r="B14" s="47" t="str">
        <x:v>I2-018</x:v>
      </x:c>
      <x:c r="C14" s="47" t="str">
        <x:v>ship</x:v>
      </x:c>
      <x:c r="D14" s="48" t="str">
        <x:v>https://w3id.org/nltl-benchmark/vocab#ship</x:v>
      </x:c>
      <x:c r="E14" s="47" t="str">
        <x:v>Class</x:v>
      </x:c>
      <x:c r="F14" s="47" t="str"/>
      <x:c r="G14" s="47" t="str"/>
      <x:c r="H14" s="47" t="str"/>
      <x:c r="I14" s="48" t="str">
        <x:v>authoritative required owner class; authoritative requirement target owner; baseline target infrastructure; domain dependency of hasIceLoadPatch</x:v>
      </x:c>
      <x:c r="J14" s="47" t="n">
        <x:v>0</x:v>
      </x:c>
    </x:row>
    <x:row r="15">
      <x:c r="A15" s="49" t="str">
        <x:v>RUN-I2-018-20260813T162753844670Z</x:v>
      </x:c>
      <x:c r="B15" s="49" t="str">
        <x:v>I2-018</x:v>
      </x:c>
      <x:c r="C15" s="49" t="str">
        <x:v>shipComponent</x:v>
      </x:c>
      <x:c r="D15" s="50" t="str">
        <x:v>https://w3id.org/nltl-benchmark/vocab#shipComponent</x:v>
      </x:c>
      <x:c r="E15" s="49" t="str">
        <x:v>Class</x:v>
      </x:c>
      <x:c r="F15" s="49" t="str"/>
      <x:c r="G15" s="49" t="str"/>
      <x:c r="H15" s="49" t="str"/>
      <x:c r="I15" s="50" t="str">
        <x:v>component-path dependency inferred from the linked term module</x:v>
      </x:c>
      <x:c r="J15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b1232bf965754142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2" hidden="0" customWidth="1"/>
    <x:col min="4" max="4" width="24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RUN-I2-018-20260813T162753844670Z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RUN-I2-018-20260813T162753844670Z</x:v>
      </x:c>
      <x:c r="B5" s="45" t="str">
        <x:v>I2-018</x:v>
      </x:c>
      <x:c r="C5" s="45" t="str">
        <x:v>FS-CALC-02</x:v>
      </x:c>
      <x:c r="D5" s="45" t="str">
        <x:v>comparison_calculation</x:v>
      </x:c>
      <x:c r="E5" s="99" t="n">
        <x:v>0.04</x:v>
      </x:c>
      <x:c r="F5" s="45" t="str">
        <x:v>calculation | comparison | sparql</x:v>
      </x:c>
      <x:c r="G5" s="45" t="str">
        <x:v>synthetic-few-shot-not-benchmark-ground-truth</x:v>
      </x:c>
    </x:row>
    <x:row r="6">
      <x:c r="A6" s="49" t="str">
        <x:v>RUN-I2-018-20260813T162753844670Z</x:v>
      </x:c>
      <x:c r="B6" s="49" t="str">
        <x:v>I2-018</x:v>
      </x:c>
      <x:c r="C6" s="49" t="str">
        <x:v>FS-QTY-01</x:v>
      </x:c>
      <x:c r="D6" s="49" t="str">
        <x:v>qudt_quantity</x:v>
      </x:c>
      <x:c r="E6" s="100" t="n">
        <x:v>0.026667</x:v>
      </x:c>
      <x:c r="F6" s="49" t="str">
        <x:v>quantity | qudt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693ad3ba8b30412c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20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RUN-I2-018-20260813T162753844670Z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69" t="str">
        <x:v>RUN-I2-018-20260813T162753844670Z</x:v>
      </x:c>
      <x:c r="B5" s="69" t="str">
        <x:v>I2-018</x:v>
      </x:c>
      <x:c r="C5" s="71" t="n">
        <x:v>1</x:v>
      </x:c>
      <x:c r="D5" s="72" t="b">
        <x:v>1</x:v>
      </x:c>
      <x:c r="E5" s="72" t="b">
        <x:v>1</x:v>
      </x:c>
      <x:c r="F5" s="72" t="b">
        <x:v>1</x:v>
      </x:c>
      <x:c r="G5" s="72" t="b">
        <x:v>1</x:v>
      </x:c>
      <x:c r="H5" s="72" t="b">
        <x:v>1</x:v>
      </x:c>
      <x:c r="I5" s="72" t="b">
        <x:v>1</x:v>
      </x:c>
      <x:c r="J5" s="72" t="b">
        <x:v>1</x:v>
      </x:c>
      <x:c r="K5" s="102" t="b">
        <x:v>1</x:v>
      </x:c>
      <x:c r="L5" s="73" t="str"/>
      <x:c r="M5" s="73" t="str"/>
      <x:c r="N5" s="73" t="str">
        <x:v>https://w3id.org/nltl-benchmark/vocab#averageIcePressure | https://w3id.org/nltl-benchmark/vocab#hasIceLoadPatch | https://w3id.org/nltl-benchmark/vocab#iceForce | https://w3id.org/nltl-benchmark/vocab#iceLoadPatch | https://w3id.org/nltl-benchmark/vocab#loadPatchHeight | https://w3id.org/nltl-benchmark/vocab#loadPatchLength | https://w3id.org/nltl-benchmark/vocab#peakPressureFactor | https://w3id.org/nltl-benchmark/vocab#ship</x:v>
      </x:c>
      <x:c r="O5" s="73" t="str"/>
      <x:c r="P5" s="73" t="str"/>
      <x:c r="Q5" s="73" t="str"/>
    </x:row>
  </x:sheetData>
  <x:pageMargins left="0.7" right="0.7" top="0.75" bottom="0.75" header="0.3" footer="0.3"/>
  <x:tableParts count="1">
    <x:tablePart xmlns:r="http://schemas.openxmlformats.org/officeDocument/2006/relationships" r:id="R21331f9b51534d56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8" hidden="0" customWidth="1"/>
    <x:col min="5" max="5" width="52" hidden="0" customWidth="1"/>
    <x:col min="6" max="6" width="17" hidden="0" customWidth="1"/>
    <x:col min="7" max="7" width="13" hidden="0" customWidth="1"/>
    <x:col min="8" max="8" width="40" hidden="0" customWidth="1"/>
    <x:col min="9" max="9" width="52" hidden="0" customWidth="1"/>
    <x:col min="10" max="10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RUN-I2-018-20260813T162753844670Z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45" t="str">
        <x:v>RUN-I2-018-20260813T162753844670Z</x:v>
      </x:c>
      <x:c r="B5" s="45" t="str">
        <x:v>I2-018</x:v>
      </x:c>
      <x:c r="C5" s="58" t="n">
        <x:v>1</x:v>
      </x:c>
      <x:c r="D5" s="45" t="str">
        <x:v>matcher_search</x:v>
      </x:c>
      <x:c r="E5" s="46" t="str">
        <x:v>Replace the presence-only peakPressureFactor check with the required Table 3 lookup and constraint, including the canonical hull-area/localized-member selection evidence needed to choose and apply the appropriate peak factor; likewise encode the FBow/FNonBow and bBow/bNonBow/wBow/wNonBow conditional selection without allowing missing branch evidence to pass. Keep authoritative ship ownership and the hasIceLoadPatch relationship, retain the correctly directed Pavg = F/(1000*b*w) tolerance comparison, and bound each formula quantity and its numeric value/unit to one value to avoid combinatorial cross-product failures. Run the variable matcher for the absent canonical selector, table-entry/value, and localized-member terms rather than inventing them.</x:v>
      </x:c>
      <x:c r="F5" s="58" t="n">
        <x:v>4</x:v>
      </x:c>
      <x:c r="G5" s="45" t="str"/>
      <x:c r="H5" s="45" t="str"/>
      <x:c r="I5" s="46" t="str"/>
      <x:c r="J5" s="46" t="str"/>
    </x:row>
    <x:row r="6">
      <x:c r="A6" s="49" t="str">
        <x:v>RUN-I2-018-20260813T162753844670Z</x:v>
      </x:c>
      <x:c r="B6" s="49" t="str">
        <x:v>I2-018</x:v>
      </x:c>
      <x:c r="C6" s="60" t="n">
        <x:v>1</x:v>
      </x:c>
      <x:c r="D6" s="49" t="str">
        <x:v>matcher_decision</x:v>
      </x:c>
      <x:c r="E6" s="50" t="str"/>
      <x:c r="F6" s="60" t="str"/>
      <x:c r="G6" s="96" t="b">
        <x:v>0</x:v>
      </x:c>
      <x:c r="H6" s="49" t="str"/>
      <x:c r="I6" s="50" t="str"/>
      <x:c r="J6" s="50" t="str">
        <x:v>No supplied candidate represents the absent canonical hull-area/localized-member selector evidence or Table 3 entry/value term required by the feedback.</x:v>
      </x:c>
    </x:row>
  </x:sheetData>
  <x:pageMargins left="0.7" right="0.7" top="0.75" bottom="0.75" header="0.3" footer="0.3"/>
  <x:tableParts count="1">
    <x:tablePart xmlns:r="http://schemas.openxmlformats.org/officeDocument/2006/relationships" r:id="Rc242d690dc2d4941"/>
  </x:tableParts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RUN-I2-018-20260813T162753844670Z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RUN-I2-018-20260813T162753844670Z</x:v>
      </x:c>
      <x:c r="B5" s="45" t="str">
        <x:v>I2-018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f9bd323d0e27dcb0bfeba9d363b81c25ad874547f29b053a4c996a55a6bc29a9</x:v>
      </x:c>
      <x:c r="G5" s="58" t="n">
        <x:v>16415</x:v>
      </x:c>
    </x:row>
    <x:row r="6">
      <x:c r="A6" s="47" t="str">
        <x:v>RUN-I2-018-20260813T162753844670Z</x:v>
      </x:c>
      <x:c r="B6" s="47" t="str">
        <x:v>I2-018</x:v>
      </x:c>
      <x:c r="C6" s="59"/>
      <x:c r="D6" s="47" t="str">
        <x:v>few_shot_selection</x:v>
      </x:c>
      <x:c r="E6" s="48" t="str">
        <x:v>artifacts/few_shots_selected.json</x:v>
      </x:c>
      <x:c r="F6" s="47" t="str">
        <x:v>e1cf8c847e2eeb184678ec18b6a328bcb045ddec0ee71502199d70e03fe6a68e</x:v>
      </x:c>
      <x:c r="G6" s="59" t="n">
        <x:v>5344</x:v>
      </x:c>
    </x:row>
    <x:row r="7">
      <x:c r="A7" s="47" t="str">
        <x:v>RUN-I2-018-20260813T162753844670Z</x:v>
      </x:c>
      <x:c r="B7" s="47" t="str">
        <x:v>I2-018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291d6d31df50d5bd1dc7c7fe425a7be0e5d8e30750c7bf62344624e06afc0182</x:v>
      </x:c>
      <x:c r="G7" s="59" t="n">
        <x:v>28369</x:v>
      </x:c>
    </x:row>
    <x:row r="8">
      <x:c r="A8" s="47" t="str">
        <x:v>RUN-I2-018-20260813T162753844670Z</x:v>
      </x:c>
      <x:c r="B8" s="47" t="str">
        <x:v>I2-018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ca7b10fa4a6e7ba3f12b1c4522537b431b4e0a7cff4b68c42d8a0232f50dc2a6</x:v>
      </x:c>
      <x:c r="G8" s="59" t="n">
        <x:v>4630</x:v>
      </x:c>
    </x:row>
    <x:row r="9">
      <x:c r="A9" s="47" t="str">
        <x:v>RUN-I2-018-20260813T162753844670Z</x:v>
      </x:c>
      <x:c r="B9" s="47" t="str">
        <x:v>I2-018</x:v>
      </x:c>
      <x:c r="C9" s="59" t="n">
        <x:v>1</x:v>
      </x:c>
      <x:c r="D9" s="47" t="str">
        <x:v>candidate_shape</x:v>
      </x:c>
      <x:c r="E9" s="48" t="str">
        <x:v>artifacts/attempt_01/candidate_shape.ttl</x:v>
      </x:c>
      <x:c r="F9" s="47" t="str">
        <x:v>e69c8ac5623ba90070296490473ac4da254d96f9357dbff19283b6adbe351d8b</x:v>
      </x:c>
      <x:c r="G9" s="59" t="n">
        <x:v>4605</x:v>
      </x:c>
    </x:row>
    <x:row r="10">
      <x:c r="A10" s="47" t="str">
        <x:v>RUN-I2-018-20260813T162753844670Z</x:v>
      </x:c>
      <x:c r="B10" s="47" t="str">
        <x:v>I2-018</x:v>
      </x:c>
      <x:c r="C10" s="59" t="n">
        <x:v>1</x:v>
      </x:c>
      <x:c r="D10" s="47" t="str">
        <x:v>deterministic_validation</x:v>
      </x:c>
      <x:c r="E10" s="48" t="str">
        <x:v>artifacts/attempt_01/deterministic_validation.json</x:v>
      </x:c>
      <x:c r="F10" s="47" t="str">
        <x:v>8f7bdecbf1e8446cdae47af49f05efb46b47f3661fbcea8601cda0d8b9f811ec</x:v>
      </x:c>
      <x:c r="G10" s="59" t="n">
        <x:v>862</x:v>
      </x:c>
    </x:row>
    <x:row r="11">
      <x:c r="A11" s="47" t="str">
        <x:v>RUN-I2-018-20260813T162753844670Z</x:v>
      </x:c>
      <x:c r="B11" s="47" t="str">
        <x:v>I2-018</x:v>
      </x:c>
      <x:c r="C11" s="59" t="n">
        <x:v>1</x:v>
      </x:c>
      <x:c r="D11" s="47" t="str">
        <x:v>validator_prompt</x:v>
      </x:c>
      <x:c r="E11" s="48" t="str">
        <x:v>artifacts/attempt_01/validator_prompt_01.txt</x:v>
      </x:c>
      <x:c r="F11" s="47" t="str">
        <x:v>836cb966e42eac6c53480add2f7695cd9bcfea270b69cde7b74cce4100d035fa</x:v>
      </x:c>
      <x:c r="G11" s="59" t="n">
        <x:v>28160</x:v>
      </x:c>
    </x:row>
    <x:row r="12">
      <x:c r="A12" s="47" t="str">
        <x:v>RUN-I2-018-20260813T162753844670Z</x:v>
      </x:c>
      <x:c r="B12" s="47" t="str">
        <x:v>I2-018</x:v>
      </x:c>
      <x:c r="C12" s="59" t="n">
        <x:v>1</x:v>
      </x:c>
      <x:c r="D12" s="47" t="str">
        <x:v>validator_raw_response</x:v>
      </x:c>
      <x:c r="E12" s="48" t="str">
        <x:v>artifacts/attempt_01/validator_raw_01.txt</x:v>
      </x:c>
      <x:c r="F12" s="47" t="str">
        <x:v>bc4a109d0bc5cd6acd6e5dfd347abff9a3d99d8a9e823fd1816762b1d88d389b</x:v>
      </x:c>
      <x:c r="G12" s="59" t="n">
        <x:v>820</x:v>
      </x:c>
    </x:row>
    <x:row r="13">
      <x:c r="A13" s="47" t="str">
        <x:v>RUN-I2-018-20260813T162753844670Z</x:v>
      </x:c>
      <x:c r="B13" s="47" t="str">
        <x:v>I2-018</x:v>
      </x:c>
      <x:c r="C13" s="59" t="n">
        <x:v>1</x:v>
      </x:c>
      <x:c r="D13" s="47" t="str">
        <x:v>matcher_candidates</x:v>
      </x:c>
      <x:c r="E13" s="48" t="str">
        <x:v>artifacts/attempt_01/matcher_candidates.json</x:v>
      </x:c>
      <x:c r="F13" s="47" t="str">
        <x:v>57bef71230708096440557561e6160c197eef5193e3f7fe27f5194561c72b17f</x:v>
      </x:c>
      <x:c r="G13" s="59" t="n">
        <x:v>2434</x:v>
      </x:c>
    </x:row>
    <x:row r="14">
      <x:c r="A14" s="47" t="str">
        <x:v>RUN-I2-018-20260813T162753844670Z</x:v>
      </x:c>
      <x:c r="B14" s="47" t="str">
        <x:v>I2-018</x:v>
      </x:c>
      <x:c r="C14" s="59" t="n">
        <x:v>1</x:v>
      </x:c>
      <x:c r="D14" s="47" t="str">
        <x:v>vocabulary_matcher_prompt</x:v>
      </x:c>
      <x:c r="E14" s="48" t="str">
        <x:v>artifacts/attempt_01/vocabulary_matcher_prompt_01.txt</x:v>
      </x:c>
      <x:c r="F14" s="47" t="str">
        <x:v>621618f83eee85c08f47e36eee7fa2cd2cd7bd4eacb8452aabb3c485eacd443c</x:v>
      </x:c>
      <x:c r="G14" s="59" t="n">
        <x:v>8385</x:v>
      </x:c>
    </x:row>
    <x:row r="15">
      <x:c r="A15" s="49" t="str">
        <x:v>RUN-I2-018-20260813T162753844670Z</x:v>
      </x:c>
      <x:c r="B15" s="49" t="str">
        <x:v>I2-018</x:v>
      </x:c>
      <x:c r="C15" s="60" t="n">
        <x:v>1</x:v>
      </x:c>
      <x:c r="D15" s="49" t="str">
        <x:v>vocabulary_matcher_raw_response</x:v>
      </x:c>
      <x:c r="E15" s="50" t="str">
        <x:v>artifacts/attempt_01/vocabulary_matcher_raw_01.txt</x:v>
      </x:c>
      <x:c r="F15" s="49" t="str">
        <x:v>4bb0d29f53ae8e8c5059f9be7d21d2d87f704899e614452f24ba7c49a2bce7ce</x:v>
      </x:c>
      <x:c r="G15" s="60" t="n">
        <x:v>241</x:v>
      </x:c>
    </x:row>
  </x:sheetData>
  <x:pageMargins left="0.7" right="0.7" top="0.75" bottom="0.75" header="0.3" footer="0.3"/>
  <x:tableParts count="1">
    <x:tablePart xmlns:r="http://schemas.openxmlformats.org/officeDocument/2006/relationships" r:id="R0a66ebc315c04505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4" hidden="0" customWidth="1"/>
    <x:col min="5" max="5" width="52" hidden="0" customWidth="1"/>
    <x:col min="6" max="6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RUN-I2-018-20260813T162753844670Z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69" t="str">
        <x:v>RUN-I2-018-20260813T162753844670Z</x:v>
      </x:c>
      <x:c r="B5" s="69" t="str">
        <x:v>I2-018</x:v>
      </x:c>
      <x:c r="C5" s="71" t="n">
        <x:v>1</x:v>
      </x:c>
      <x:c r="D5" s="69" t="str">
        <x:v>TERM_RESOLUTION_UNRESOLVED</x:v>
      </x:c>
      <x:c r="E5" s="73" t="str">
        <x:v>No supplied candidate represents the absent canonical hull-area/localized-member selector evidence or Table 3 entry/value term required by the feedback.</x:v>
      </x:c>
      <x:c r="F5" s="69" t="str">
        <x:v>OPEN</x:v>
      </x:c>
    </x:row>
  </x:sheetData>
  <x:conditionalFormatting sqref="F5:F5">
    <x:cfRule type="containsText" dxfId="42" priority="1" operator="containsText" text="ACCEPT"/>
    <x:cfRule type="containsText" dxfId="43" priority="2" operator="containsText" text="ELIGIBLE"/>
    <x:cfRule type="containsText" dxfId="44" priority="3" operator="containsText" text="PASS"/>
    <x:cfRule type="containsText" dxfId="45" priority="4" operator="containsText" text="GAP"/>
    <x:cfRule type="containsText" dxfId="46" priority="5" operator="containsText" text="FAIL"/>
    <x:cfRule type="containsText" dxfId="47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2a203ececefc49f2"/>
  </x:tableParts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RUN-I2-018-20260813T162753844670Z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