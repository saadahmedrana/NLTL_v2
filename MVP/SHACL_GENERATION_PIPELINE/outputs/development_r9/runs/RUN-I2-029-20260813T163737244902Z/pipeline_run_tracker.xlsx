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c0a3ca311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bc6a247e614b68"/>
    <x:sheet xmlns:r="http://schemas.openxmlformats.org/officeDocument/2006/relationships" name="README" sheetId="2" r:id="R066e3b9c19e44e5e"/>
    <x:sheet xmlns:r="http://schemas.openxmlformats.org/officeDocument/2006/relationships" name="REGULATION_QUEUE" sheetId="3" r:id="Rba8eed361d414097"/>
    <x:sheet xmlns:r="http://schemas.openxmlformats.org/officeDocument/2006/relationships" name="RUNS" sheetId="4" r:id="Rc1c839dd4ca74a01"/>
    <x:sheet xmlns:r="http://schemas.openxmlformats.org/officeDocument/2006/relationships" name="ITERATIONS" sheetId="5" r:id="R23505492a1c34e19"/>
    <x:sheet xmlns:r="http://schemas.openxmlformats.org/officeDocument/2006/relationships" name="API_CALLS" sheetId="6" r:id="R343284fad5544bb2"/>
    <x:sheet xmlns:r="http://schemas.openxmlformats.org/officeDocument/2006/relationships" name="TERM_RETRIEVAL" sheetId="7" r:id="R9a05fdad748f4ef6"/>
    <x:sheet xmlns:r="http://schemas.openxmlformats.org/officeDocument/2006/relationships" name="FEW_SHOT_SELECTION" sheetId="8" r:id="Rff0aafc22876446e"/>
    <x:sheet xmlns:r="http://schemas.openxmlformats.org/officeDocument/2006/relationships" name="VALIDATION" sheetId="9" r:id="R32383a336cc04b79"/>
    <x:sheet xmlns:r="http://schemas.openxmlformats.org/officeDocument/2006/relationships" name="VOCAB_MATCHES" sheetId="10" r:id="Ra514aa2381d645a2"/>
    <x:sheet xmlns:r="http://schemas.openxmlformats.org/officeDocument/2006/relationships" name="ARTIFACTS" sheetId="11" r:id="Rc11718cc82564243"/>
    <x:sheet xmlns:r="http://schemas.openxmlformats.org/officeDocument/2006/relationships" name="UNRESOLVED" sheetId="12" r:id="Re398c55e61134f1b"/>
    <x:sheet xmlns:r="http://schemas.openxmlformats.org/officeDocument/2006/relationships" name="RDF_TEST_QUEUE" sheetId="13" r:id="R4f00c706eb0e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5e06b1cb44d6d" /><Relationship Type="http://schemas.openxmlformats.org/officeDocument/2006/relationships/theme" Target="/xl/theme/theme1.xml" Id="R26a47e3b17ab4eb9" /><Relationship Type="http://schemas.microsoft.com/office/2022/11/relationships/FeaturePropertyBag" Target="/xl/featurePropertyBag/featurePropertyBag.xml" Id="R60e7bc5cb3444518" /><Relationship Type="http://schemas.openxmlformats.org/officeDocument/2006/relationships/sharedStrings" Target="/xl/sharedStrings.xml" Id="Re900ad6c404347e3" /><Relationship Type="http://schemas.openxmlformats.org/officeDocument/2006/relationships/worksheet" Target="/xl/worksheets/sheet1.xml" Id="Rfebc6a247e614b68" /><Relationship Type="http://schemas.openxmlformats.org/officeDocument/2006/relationships/worksheet" Target="/xl/worksheets/sheet2.xml" Id="R066e3b9c19e44e5e" /><Relationship Type="http://schemas.openxmlformats.org/officeDocument/2006/relationships/worksheet" Target="/xl/worksheets/sheet3.xml" Id="Rba8eed361d414097" /><Relationship Type="http://schemas.openxmlformats.org/officeDocument/2006/relationships/worksheet" Target="/xl/worksheets/sheet4.xml" Id="Rc1c839dd4ca74a01" /><Relationship Type="http://schemas.openxmlformats.org/officeDocument/2006/relationships/worksheet" Target="/xl/worksheets/sheet5.xml" Id="R23505492a1c34e19" /><Relationship Type="http://schemas.openxmlformats.org/officeDocument/2006/relationships/worksheet" Target="/xl/worksheets/sheet6.xml" Id="R343284fad5544bb2" /><Relationship Type="http://schemas.openxmlformats.org/officeDocument/2006/relationships/worksheet" Target="/xl/worksheets/sheet7.xml" Id="R9a05fdad748f4ef6" /><Relationship Type="http://schemas.openxmlformats.org/officeDocument/2006/relationships/worksheet" Target="/xl/worksheets/sheet8.xml" Id="Rff0aafc22876446e" /><Relationship Type="http://schemas.openxmlformats.org/officeDocument/2006/relationships/worksheet" Target="/xl/worksheets/sheet9.xml" Id="R32383a336cc04b79" /><Relationship Type="http://schemas.openxmlformats.org/officeDocument/2006/relationships/worksheet" Target="/xl/worksheets/sheet10.xml" Id="Ra514aa2381d645a2" /><Relationship Type="http://schemas.openxmlformats.org/officeDocument/2006/relationships/worksheet" Target="/xl/worksheets/sheet11.xml" Id="Rc11718cc82564243" /><Relationship Type="http://schemas.openxmlformats.org/officeDocument/2006/relationships/worksheet" Target="/xl/worksheets/sheet12.xml" Id="Re398c55e61134f1b" /><Relationship Type="http://schemas.openxmlformats.org/officeDocument/2006/relationships/worksheet" Target="/xl/worksheets/sheet13.xml" Id="R4f00c706eb0e44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ab46ae159d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752929ed56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3463fa18d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53ba9db86949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d03beef23a4c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f27bdf11fd46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f595f74d254d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92115983ab4a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22307a645943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bd472aaae264f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d4e1c7d93b40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RUN-I2-029-20260813T163737244902Z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17852.67483333333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RUN-I2-029-20260813T163737244902Z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ab46ae159d43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TERM_RESOLUTION_UNRESOLVED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52929ed5640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RUN-I2-029-20260813T163737244902Z</x:v>
      </x:c>
      <x:c r="C5" s="69" t="str">
        <x:v>I2-029</x:v>
      </x:c>
      <x:c r="D5" s="70" t="n">
        <x:v>46247.69279219907</x:v>
      </x:c>
      <x:c r="E5" s="70" t="n">
        <x:v>46247.69406592593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the supplied terms do not represent calculation-input evidence, flange-fitted branch selection, or material inclusion/exclusion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3463fa18d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RUN-I2-029-20260813T163737244902Z</x:v>
      </x:c>
      <x:c r="B5" s="45" t="str">
        <x:v>I2-029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graph only checks co-occurrence: a ship-level result can be satisfied by any structural member having web and attached-shell thicknesses, without proving that those net values were used for that result. It also lets a fitted flange pass with no net flange thickness or branch-selection evidence and omits the shear-area rule allowing full-depth web/flange material while excluding attached shell plating. Locate canonical terms for calculation-to-member/operand evidence, flange-fitted selection, and shear-area material inclusion/exclusion; then constrain each reported section-modulus or shear-area calculation to its specific member and net inputs, require netFlangeThickness when the flange-fitted branch applies, and encode the stated shear-area envelope without allowing missing selection evidence to pass.</x:v>
      </x:c>
      <x:c r="I5" s="81" t="n">
        <x:v>41315.29</x:v>
      </x:c>
      <x:c r="J5" s="81" t="n">
        <x:v>14564.02</x:v>
      </x:c>
    </x:row>
    <x:row r="6">
      <x:c r="A6" s="49" t="str">
        <x:v>RUN-I2-029-20260813T163737244902Z</x:v>
      </x:c>
      <x:c r="B6" s="49" t="str">
        <x:v>I2-029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presence-only, vacuously passing model: add required cardinalities for sectionModulus, shearArea, hasStructuralMember, netWebThickness, and netAttachedShellPlateThickness; keep netFlangeThickness conditional on explicit flange-fitted evidence so missing branch-selection evidence cannot pass. Encode evidence that the section-modulus and shear-area calculations actually use the applicable net thicknesses, and enforce the shear-area material envelope permitting web/full-depth material and a fitted flange while excluding attached shell plating. The scoped vocabulary lacks the calculation-input/evidence, flange-selection, and material inclusion/exclusion terms needed for that repair, so locate their canonical terms with the matcher. Preserve the ship target and structural-member relationship, with thickness properties on their domain-compatible member nodes.</x:v>
      </x:c>
      <x:c r="I6" s="83" t="n">
        <x:v>26510.04</x:v>
      </x:c>
      <x:c r="J6" s="83" t="n">
        <x:v>17683.466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3ba9db86949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RUN-I2-029-20260813T163737244902Z</x:v>
      </x:c>
      <x:c r="C5" s="45" t="str">
        <x:v>I2-029</x:v>
      </x:c>
      <x:c r="D5" s="90" t="n">
        <x:v>46247.69327038195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41313.748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RUN-I2-029-20260813T163737244902Z</x:v>
      </x:c>
      <x:c r="C6" s="47" t="str">
        <x:v>I2-029</x:v>
      </x:c>
      <x:c r="D6" s="91" t="n">
        <x:v>46247.69327040509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41315.29</x:v>
      </x:c>
      <x:c r="L6" s="93" t="b">
        <x:v>0</x:v>
      </x:c>
      <x:c r="M6" s="47" t="str">
        <x:v>resp_07c6e588311c0924006a7df2d15e8481939c01732797c59ccf</x:v>
      </x:c>
      <x:c r="N6" s="59" t="n">
        <x:v>7886</x:v>
      </x:c>
      <x:c r="O6" s="59" t="n">
        <x:v>3184</x:v>
      </x:c>
      <x:c r="P6" s="59" t="n">
        <x:v>11070</x:v>
      </x:c>
    </x:row>
    <x:row r="7">
      <x:c r="A7" s="47" t="str">
        <x:v>EVT-000028</x:v>
      </x:c>
      <x:c r="B7" s="47" t="str">
        <x:v>RUN-I2-029-20260813T163737244902Z</x:v>
      </x:c>
      <x:c r="C7" s="47" t="str">
        <x:v>I2-029</x:v>
      </x:c>
      <x:c r="D7" s="91" t="n">
        <x:v>46247.69344106482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14562.515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RUN-I2-029-20260813T163737244902Z</x:v>
      </x:c>
      <x:c r="C8" s="47" t="str">
        <x:v>I2-029</x:v>
      </x:c>
      <x:c r="D8" s="91" t="n">
        <x:v>46247.69344108796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14564.02</x:v>
      </x:c>
      <x:c r="L8" s="93" t="b">
        <x:v>0</x:v>
      </x:c>
      <x:c r="M8" s="47" t="str">
        <x:v>resp_0e7685629e003e87006a7df2fadf3c819485fd6cd90b0c6811</x:v>
      </x:c>
      <x:c r="N8" s="59" t="n">
        <x:v>7681</x:v>
      </x:c>
      <x:c r="O8" s="59" t="n">
        <x:v>991</x:v>
      </x:c>
      <x:c r="P8" s="59" t="n">
        <x:v>8672</x:v>
      </x:c>
    </x:row>
    <x:row r="9">
      <x:c r="A9" s="47" t="str">
        <x:v>EVT-000035</x:v>
      </x:c>
      <x:c r="B9" s="47" t="str">
        <x:v>RUN-I2-029-20260813T163737244902Z</x:v>
      </x:c>
      <x:c r="C9" s="47" t="str">
        <x:v>I2-029</x:v>
      </x:c>
      <x:c r="D9" s="91" t="n">
        <x:v>46247.693493217594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3223.12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RUN-I2-029-20260813T163737244902Z</x:v>
      </x:c>
      <x:c r="C10" s="47" t="str">
        <x:v>I2-029</x:v>
      </x:c>
      <x:c r="D10" s="91" t="n">
        <x:v>46247.69349322917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3224.518</x:v>
      </x:c>
      <x:c r="L10" s="93" t="b">
        <x:v>0</x:v>
      </x:c>
      <x:c r="M10" s="47" t="str">
        <x:v>resp_0067ef6b06f21c64006a7df30ab8e88196ab25b13bbe0ca476</x:v>
      </x:c>
      <x:c r="N10" s="59" t="n">
        <x:v>2269</x:v>
      </x:c>
      <x:c r="O10" s="59" t="n">
        <x:v>218</x:v>
      </x:c>
      <x:c r="P10" s="59" t="n">
        <x:v>2487</x:v>
      </x:c>
    </x:row>
    <x:row r="11">
      <x:c r="A11" s="47" t="str">
        <x:v>EVT-000055</x:v>
      </x:c>
      <x:c r="B11" s="47" t="str">
        <x:v>RUN-I2-029-20260813T163737244902Z</x:v>
      </x:c>
      <x:c r="C11" s="47" t="str">
        <x:v>I2-029</x:v>
      </x:c>
      <x:c r="D11" s="91" t="n">
        <x:v>46247.69380015046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26509.122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RUN-I2-029-20260813T163737244902Z</x:v>
      </x:c>
      <x:c r="C12" s="47" t="str">
        <x:v>I2-029</x:v>
      </x:c>
      <x:c r="D12" s="91" t="n">
        <x:v>46247.69380016204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26510.04</x:v>
      </x:c>
      <x:c r="L12" s="93" t="b">
        <x:v>0</x:v>
      </x:c>
      <x:c r="M12" s="47" t="str">
        <x:v>resp_01538f60da1f0b8e006a7df30dff588195909d6d5434445a6a</x:v>
      </x:c>
      <x:c r="N12" s="59" t="n">
        <x:v>8119</x:v>
      </x:c>
      <x:c r="O12" s="59" t="n">
        <x:v>2076</x:v>
      </x:c>
      <x:c r="P12" s="59" t="n">
        <x:v>10195</x:v>
      </x:c>
    </x:row>
    <x:row r="13">
      <x:c r="A13" s="47" t="str">
        <x:v>EVT-000063</x:v>
      </x:c>
      <x:c r="B13" s="47" t="str">
        <x:v>RUN-I2-029-20260813T163737244902Z</x:v>
      </x:c>
      <x:c r="C13" s="47" t="str">
        <x:v>I2-029</x:v>
      </x:c>
      <x:c r="D13" s="91" t="n">
        <x:v>46247.69400638889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17682.028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RUN-I2-029-20260813T163737244902Z</x:v>
      </x:c>
      <x:c r="C14" s="47" t="str">
        <x:v>I2-029</x:v>
      </x:c>
      <x:c r="D14" s="91" t="n">
        <x:v>46247.694006412035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17683.466</x:v>
      </x:c>
      <x:c r="L14" s="93" t="b">
        <x:v>0</x:v>
      </x:c>
      <x:c r="M14" s="47" t="str">
        <x:v>resp_0f2af63400854d70006a7df32910c48194b9ce38017d6bb691</x:v>
      </x:c>
      <x:c r="N14" s="59" t="n">
        <x:v>7450</x:v>
      </x:c>
      <x:c r="O14" s="59" t="n">
        <x:v>1106</x:v>
      </x:c>
      <x:c r="P14" s="59" t="n">
        <x:v>8556</x:v>
      </x:c>
    </x:row>
    <x:row r="15">
      <x:c r="A15" s="47" t="str">
        <x:v>EVT-000070</x:v>
      </x:c>
      <x:c r="B15" s="47" t="str">
        <x:v>RUN-I2-029-20260813T163737244902Z</x:v>
      </x:c>
      <x:c r="C15" s="47" t="str">
        <x:v>I2-029</x:v>
      </x:c>
      <x:c r="D15" s="91" t="n">
        <x:v>46247.694065868054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3821.379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RUN-I2-029-20260813T163737244902Z</x:v>
      </x:c>
      <x:c r="C16" s="49" t="str">
        <x:v>I2-029</x:v>
      </x:c>
      <x:c r="D16" s="94" t="n">
        <x:v>46247.69406587963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3822.852</x:v>
      </x:c>
      <x:c r="L16" s="82" t="b">
        <x:v>0</x:v>
      </x:c>
      <x:c r="M16" s="49" t="str">
        <x:v>resp_0fa7bb5dbbe22c3e006a7df33b9c8c81958c5593337d03bfd9</x:v>
      </x:c>
      <x:c r="N16" s="60" t="n">
        <x:v>4175</x:v>
      </x:c>
      <x:c r="O16" s="60" t="n">
        <x:v>124</x:v>
      </x:c>
      <x:c r="P16" s="60" t="n">
        <x:v>4299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03beef23a4c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RUN-I2-029-20260813T163737244902Z</x:v>
      </x:c>
      <x:c r="B5" s="45" t="str">
        <x:v>I2-029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sectionModulus; domain dependency of shearArea; domain dependency of thickness</x:v>
      </x:c>
      <x:c r="J5" s="45" t="n">
        <x:v>0</x:v>
      </x:c>
    </x:row>
    <x:row r="6">
      <x:c r="A6" s="47" t="str">
        <x:v>RUN-I2-029-20260813T163737244902Z</x:v>
      </x:c>
      <x:c r="B6" s="47" t="str">
        <x:v>I2-029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RUN-I2-029-20260813T163737244902Z</x:v>
      </x:c>
      <x:c r="B7" s="47" t="str">
        <x:v>I2-029</x:v>
      </x:c>
      <x:c r="C7" s="47" t="str">
        <x:v>hasStructuralMember</x:v>
      </x:c>
      <x:c r="D7" s="48" t="str">
        <x:v>https://w3id.org/nltl-benchmark/vocab#hasStructuralMember</x:v>
      </x:c>
      <x:c r="E7" s="47" t="str">
        <x:v>ObjectProperty</x:v>
      </x:c>
      <x:c r="F7" s="47" t="str"/>
      <x:c r="G7" s="47" t="str">
        <x:v>https://w3id.org/nltl-benchmark/vocab#structuralMember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RUN-I2-029-20260813T163737244902Z</x:v>
      </x:c>
      <x:c r="B8" s="47" t="str">
        <x:v>I2-029</x:v>
      </x:c>
      <x:c r="C8" s="47" t="str">
        <x:v>netAttachedShellPlateThickness</x:v>
      </x:c>
      <x:c r="D8" s="48" t="str">
        <x:v>https://w3id.org/nltl-benchmark/vocab#netAttachedShellPlateThickness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RUN-I2-029-20260813T163737244902Z</x:v>
      </x:c>
      <x:c r="B9" s="47" t="str">
        <x:v>I2-029</x:v>
      </x:c>
      <x:c r="C9" s="47" t="str">
        <x:v>netFlangeThickness</x:v>
      </x:c>
      <x:c r="D9" s="48" t="str">
        <x:v>https://w3id.org/nltl-benchmark/vocab#netFlangeThickness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RUN-I2-029-20260813T163737244902Z</x:v>
      </x:c>
      <x:c r="B10" s="47" t="str">
        <x:v>I2-029</x:v>
      </x:c>
      <x:c r="C10" s="47" t="str">
        <x:v>netWebThickness</x:v>
      </x:c>
      <x:c r="D10" s="48" t="str">
        <x:v>https://w3id.org/nltl-benchmark/vocab#netWebThickness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RUN-I2-029-20260813T163737244902Z</x:v>
      </x:c>
      <x:c r="B11" s="47" t="str">
        <x:v>I2-029</x:v>
      </x:c>
      <x:c r="C11" s="47" t="str">
        <x:v>sectionModulus</x:v>
      </x:c>
      <x:c r="D11" s="48" t="str">
        <x:v>https://w3id.org/nltl-benchmark/vocab#sectionModulus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RUN-I2-029-20260813T163737244902Z</x:v>
      </x:c>
      <x:c r="B12" s="47" t="str">
        <x:v>I2-029</x:v>
      </x:c>
      <x:c r="C12" s="47" t="str">
        <x:v>shearArea</x:v>
      </x:c>
      <x:c r="D12" s="48" t="str">
        <x:v>https://w3id.org/nltl-benchmark/vocab#shearArea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RUN-I2-029-20260813T163737244902Z</x:v>
      </x:c>
      <x:c r="B13" s="47" t="str">
        <x:v>I2-029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RUN-I2-029-20260813T163737244902Z</x:v>
      </x:c>
      <x:c r="B14" s="47" t="str">
        <x:v>I2-029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RUN-I2-029-20260813T163737244902Z</x:v>
      </x:c>
      <x:c r="B15" s="47" t="str">
        <x:v>I2-029</x:v>
      </x:c>
      <x:c r="C15" s="47" t="str">
        <x:v>structuralMember</x:v>
      </x:c>
      <x:c r="D15" s="48" t="str">
        <x:v>https://w3id.org/nltl-benchmark/vocab#structuralMember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domain dependency of netAttachedShellPlateThickness; domain dependency of netFlangeThickness; domain dependency of netWebThickness; range dependency of hasStructuralMember</x:v>
      </x:c>
      <x:c r="J15" s="47" t="n">
        <x:v>0</x:v>
      </x:c>
    </x:row>
    <x:row r="16">
      <x:c r="A16" s="47" t="str">
        <x:v>RUN-I2-029-20260813T163737244902Z</x:v>
      </x:c>
      <x:c r="B16" s="47" t="str">
        <x:v>I2-029</x:v>
      </x:c>
      <x:c r="C16" s="47" t="str">
        <x:v>thickness</x:v>
      </x:c>
      <x:c r="D16" s="48" t="str">
        <x:v>https://w3id.org/nltl-benchmark/vocab#thickness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RUN-I2-029-20260813T163737244902Z</x:v>
      </x:c>
      <x:c r="B17" s="47" t="str">
        <x:v>I2-029</x:v>
      </x:c>
      <x:c r="C17" s="47" t="str">
        <x:v>benchmarkEntity</x:v>
      </x:c>
      <x:c r="D17" s="48" t="str">
        <x:v>https://w3id.org/nltl-benchmark/vocab#benchmarkEntity</x:v>
      </x:c>
      <x:c r="E17" s="47" t="str">
        <x:v>Class</x:v>
      </x:c>
      <x:c r="F17" s="47" t="str"/>
      <x:c r="G17" s="47" t="str"/>
      <x:c r="H17" s="47" t="str"/>
      <x:c r="I17" s="48" t="str">
        <x:v>baseline target infrastructure; domain dependency of sectionModulus; domain dependency of shearArea; domain dependency of thickness</x:v>
      </x:c>
      <x:c r="J17" s="47" t="n">
        <x:v>2</x:v>
      </x:c>
    </x:row>
    <x:row r="18">
      <x:c r="A18" s="47" t="str">
        <x:v>RUN-I2-029-20260813T163737244902Z</x:v>
      </x:c>
      <x:c r="B18" s="47" t="str">
        <x:v>I2-029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2</x:v>
      </x:c>
    </x:row>
    <x:row r="19">
      <x:c r="A19" s="47" t="str">
        <x:v>RUN-I2-029-20260813T163737244902Z</x:v>
      </x:c>
      <x:c r="B19" s="47" t="str">
        <x:v>I2-029</x:v>
      </x:c>
      <x:c r="C19" s="47" t="str">
        <x:v>hasStructuralMember</x:v>
      </x:c>
      <x:c r="D19" s="48" t="str">
        <x:v>https://w3id.org/nltl-benchmark/vocab#hasStructuralMember</x:v>
      </x:c>
      <x:c r="E19" s="47" t="str">
        <x:v>ObjectProperty</x:v>
      </x:c>
      <x:c r="F19" s="47" t="str"/>
      <x:c r="G19" s="47" t="str">
        <x:v>https://w3id.org/nltl-benchmark/vocab#structuralMember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RUN-I2-029-20260813T163737244902Z</x:v>
      </x:c>
      <x:c r="B20" s="47" t="str">
        <x:v>I2-029</x:v>
      </x:c>
      <x:c r="C20" s="47" t="str">
        <x:v>netAttachedShellPlateThickness</x:v>
      </x:c>
      <x:c r="D20" s="48" t="str">
        <x:v>https://w3id.org/nltl-benchmark/vocab#netAttachedShellPlateThickness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http://qudt.org/vocab/unit/MilliM</x:v>
      </x:c>
      <x:c r="I20" s="48" t="str">
        <x:v>linked by the locked 313-requirement index</x:v>
      </x:c>
      <x:c r="J20" s="47" t="n">
        <x:v>2</x:v>
      </x:c>
    </x:row>
    <x:row r="21">
      <x:c r="A21" s="47" t="str">
        <x:v>RUN-I2-029-20260813T163737244902Z</x:v>
      </x:c>
      <x:c r="B21" s="47" t="str">
        <x:v>I2-029</x:v>
      </x:c>
      <x:c r="C21" s="47" t="str">
        <x:v>netFlangeThickness</x:v>
      </x:c>
      <x:c r="D21" s="48" t="str">
        <x:v>https://w3id.org/nltl-benchmark/vocab#netFlangeThickness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index; verified vocabulary-matcher addition</x:v>
      </x:c>
      <x:c r="J21" s="47" t="n">
        <x:v>2</x:v>
      </x:c>
    </x:row>
    <x:row r="22">
      <x:c r="A22" s="47" t="str">
        <x:v>RUN-I2-029-20260813T163737244902Z</x:v>
      </x:c>
      <x:c r="B22" s="47" t="str">
        <x:v>I2-029</x:v>
      </x:c>
      <x:c r="C22" s="47" t="str">
        <x:v>netWebThickness</x:v>
      </x:c>
      <x:c r="D22" s="48" t="str">
        <x:v>https://w3id.org/nltl-benchmark/vocab#netWebThickness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RUN-I2-029-20260813T163737244902Z</x:v>
      </x:c>
      <x:c r="B23" s="47" t="str">
        <x:v>I2-029</x:v>
      </x:c>
      <x:c r="C23" s="47" t="str">
        <x:v>sectionModulus</x:v>
      </x:c>
      <x:c r="D23" s="48" t="str">
        <x:v>https://w3id.org/nltl-benchmark/vocab#sectionModulus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http://qudt.org/vocab/unit/CentiM3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RUN-I2-029-20260813T163737244902Z</x:v>
      </x:c>
      <x:c r="B24" s="47" t="str">
        <x:v>I2-029</x:v>
      </x:c>
      <x:c r="C24" s="47" t="str">
        <x:v>shearArea</x:v>
      </x:c>
      <x:c r="D24" s="48" t="str">
        <x:v>https://w3id.org/nltl-benchmark/vocab#shearArea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http://qudt.org/vocab/unit/M2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RUN-I2-029-20260813T163737244902Z</x:v>
      </x:c>
      <x:c r="B25" s="47" t="str">
        <x:v>I2-029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2</x:v>
      </x:c>
    </x:row>
    <x:row r="26">
      <x:c r="A26" s="47" t="str">
        <x:v>RUN-I2-029-20260813T163737244902Z</x:v>
      </x:c>
      <x:c r="B26" s="47" t="str">
        <x:v>I2-029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RUN-I2-029-20260813T163737244902Z</x:v>
      </x:c>
      <x:c r="B27" s="47" t="str">
        <x:v>I2-029</x:v>
      </x:c>
      <x:c r="C27" s="47" t="str">
        <x:v>structuralMember</x:v>
      </x:c>
      <x:c r="D27" s="48" t="str">
        <x:v>https://w3id.org/nltl-benchmark/vocab#structuralMember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domain dependency of netAttachedShellPlateThickness; domain dependency of netFlangeThickness; domain dependency of netWebThickness; range dependency of hasStructuralMember</x:v>
      </x:c>
      <x:c r="J27" s="47" t="n">
        <x:v>2</x:v>
      </x:c>
    </x:row>
    <x:row r="28">
      <x:c r="A28" s="49" t="str">
        <x:v>RUN-I2-029-20260813T163737244902Z</x:v>
      </x:c>
      <x:c r="B28" s="49" t="str">
        <x:v>I2-029</x:v>
      </x:c>
      <x:c r="C28" s="49" t="str">
        <x:v>thickness</x:v>
      </x:c>
      <x:c r="D28" s="50" t="str">
        <x:v>https://w3id.org/nltl-benchmark/vocab#thickness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</x:v>
      </x:c>
      <x:c r="I28" s="50" t="str">
        <x:v>linked by the locked 313-requirement index</x:v>
      </x:c>
      <x:c r="J28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9f27bdf11fd46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RUN-I2-029-20260813T163737244902Z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RUN-I2-029-20260813T163737244902Z</x:v>
      </x:c>
      <x:c r="B5" s="45" t="str">
        <x:v>I2-029</x:v>
      </x:c>
      <x:c r="C5" s="45" t="str">
        <x:v>FS-CALC-02</x:v>
      </x:c>
      <x:c r="D5" s="45" t="str">
        <x:v>comparison_calculation</x:v>
      </x:c>
      <x:c r="E5" s="97" t="n">
        <x:v>0.056604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RUN-I2-029-20260813T163737244902Z</x:v>
      </x:c>
      <x:c r="B6" s="49" t="str">
        <x:v>I2-029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595f74d254d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RUN-I2-029-20260813T163737244902Z</x:v>
      </x:c>
      <x:c r="B5" s="45" t="str">
        <x:v>I2-029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https://w3id.org/nltl-benchmark/vocab#hasStructuralMember | https://w3id.org/nltl-benchmark/vocab#netAttachedShellPlateThickness | https://w3id.org/nltl-benchmark/vocab#netFlangeThickness | https://w3id.org/nltl-benchmark/vocab#netWebThickness | https://w3id.org/nltl-benchmark/vocab#sectionModulus | https://w3id.org/nltl-benchmark/vocab#shearArea | https://w3id.org/nltl-benchmark/vocab#ship | https://w3id.org/nltl-benchmark/vocab#structuralMember</x:v>
      </x:c>
      <x:c r="O5" s="46" t="str"/>
      <x:c r="P5" s="46" t="str"/>
      <x:c r="Q5" s="46" t="str"/>
    </x:row>
    <x:row r="6">
      <x:c r="A6" s="49" t="str">
        <x:v>RUN-I2-029-20260813T163737244902Z</x:v>
      </x:c>
      <x:c r="B6" s="49" t="str">
        <x:v>I2-029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https://w3id.org/nltl-benchmark/vocab#hasStructuralMember | https://w3id.org/nltl-benchmark/vocab#netAttachedShellPlateThickness | https://w3id.org/nltl-benchmark/vocab#netFlangeThickness | https://w3id.org/nltl-benchmark/vocab#netWebThickness | https://w3id.org/nltl-benchmark/vocab#sectionModulus | https://w3id.org/nltl-benchmark/vocab#shearArea | https://w3id.org/nltl-benchmark/vocab#ship | https://w3id.org/nltl-benchmark/vocab#structuralMember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92115983ab4a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RUN-I2-029-20260813T163737244902Z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RUN-I2-029-20260813T163737244902Z</x:v>
      </x:c>
      <x:c r="B5" s="45" t="str">
        <x:v>I2-029</x:v>
      </x:c>
      <x:c r="C5" s="58" t="n">
        <x:v>1</x:v>
      </x:c>
      <x:c r="D5" s="45" t="str">
        <x:v>matcher_search</x:v>
      </x:c>
      <x:c r="E5" s="46" t="str">
        <x:v>The graph only checks co-occurrence: a ship-level result can be satisfied by any structural member having web and attached-shell thicknesses, without proving that those net values were used for that result. It also lets a fitted flange pass with no net flange thickness or branch-selection evidence and omits the shear-area rule allowing full-depth web/flange material while excluding attached shell plating. Locate canonical terms for calculation-to-member/operand evidence, flange-fitted selection, and shear-area material inclusion/exclusion; then constrain each reported section-modulus or shear-area calculation to its specific member and net inputs, require netFlangeThickness when the flange-fitted branch applies, and encode the stated shear-area envelope without allowing missing selection evidence to pass.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RUN-I2-029-20260813T163737244902Z</x:v>
      </x:c>
      <x:c r="B6" s="47" t="str">
        <x:v>I2-029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netFlangeThickness</x:v>
      </x:c>
      <x:c r="I6" s="48" t="str">
        <x:v>https://w3id.org/nltl-benchmark/vocab#netFlangeThickness</x:v>
      </x:c>
      <x:c r="J6" s="48" t="str">
        <x:v>Use this exact term because it is the requirement-scoped quantity property for the net thickness of a fitted flange, with QuantityValue range and millimetre unit; it supports the required flange-thickness operand, though separate canonical terms are still needed for branch-selection and calculation evidence.</x:v>
      </x:c>
    </x:row>
    <x:row r="7">
      <x:c r="A7" s="47" t="str">
        <x:v>RUN-I2-029-20260813T163737244902Z</x:v>
      </x:c>
      <x:c r="B7" s="47" t="str">
        <x:v>I2-029</x:v>
      </x:c>
      <x:c r="C7" s="59" t="n">
        <x:v>2</x:v>
      </x:c>
      <x:c r="D7" s="47" t="str">
        <x:v>matcher_search</x:v>
      </x:c>
      <x:c r="E7" s="48" t="str">
        <x:v>Replace the presence-only, vacuously passing model: add required cardinalities for sectionModulus, shearArea, hasStructuralMember, netWebThickness, and netAttachedShellPlateThickness; keep netFlangeThickness conditional on explicit flange-fitted evidence so missing branch-selection evidence cannot pass. Encode evidence that the section-modulus and shear-area calculations actually use the applicable net thicknesses, and enforce the shear-area material envelope permitting web/full-depth material and a fitted flange while excluding attached shell plating. The scoped vocabulary lacks the calculation-input/evidence, flange-selection, and material inclusion/exclusion terms needed for that repair, so locate their canonical terms with the matcher. Preserve the ship target and structural-member relationship, with thickness properties on their domain-compatible member nodes.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9" t="str">
        <x:v>RUN-I2-029-20260813T163737244902Z</x:v>
      </x:c>
      <x:c r="B8" s="49" t="str">
        <x:v>I2-029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is verified because the supplied terms do not represent calculation-input evidence, flange-fitted branch selection, or material inclusion/exclusion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c722307a6459430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RUN-I2-029-20260813T163737244902Z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RUN-I2-029-20260813T163737244902Z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66adcb4674fc476b5c3011c4c796c7299647cfba920b33d5e16ea9a9e07101a3</x:v>
      </x:c>
      <x:c r="G5" s="58" t="n">
        <x:v>18182</x:v>
      </x:c>
    </x:row>
    <x:row r="6">
      <x:c r="A6" s="47" t="str">
        <x:v>RUN-I2-029-20260813T163737244902Z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bd72016321386f1a57b62f856891ae184547634de78f20abe08cacf8bed7b672</x:v>
      </x:c>
      <x:c r="G6" s="59" t="n">
        <x:v>5348</x:v>
      </x:c>
    </x:row>
    <x:row r="7">
      <x:c r="A7" s="47" t="str">
        <x:v>RUN-I2-029-20260813T163737244902Z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6560b91b0c908a34fb28c39c79dba21ceaf359eabe99b7164dec653369ddc9d9</x:v>
      </x:c>
      <x:c r="G7" s="59" t="n">
        <x:v>30140</x:v>
      </x:c>
    </x:row>
    <x:row r="8">
      <x:c r="A8" s="47" t="str">
        <x:v>RUN-I2-029-20260813T163737244902Z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f1323d1f1678ef30a77cf3cb7ae208b840db93c49b517dceeb7b2855bfd9a7cb</x:v>
      </x:c>
      <x:c r="G8" s="59" t="n">
        <x:v>3018</x:v>
      </x:c>
    </x:row>
    <x:row r="9">
      <x:c r="A9" s="47" t="str">
        <x:v>RUN-I2-029-20260813T163737244902Z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143f62cb24b2b633ce32aa8731e332d49872f4fd033032af6df8292c021b8dfe</x:v>
      </x:c>
      <x:c r="G9" s="59" t="n">
        <x:v>2993</x:v>
      </x:c>
    </x:row>
    <x:row r="10">
      <x:c r="A10" s="47" t="str">
        <x:v>RUN-I2-029-20260813T163737244902Z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53a51978b82e66aa422475e9b0d9603e90acaad9b2f01c496ee3c7feef23ce38</x:v>
      </x:c>
      <x:c r="G10" s="59" t="n">
        <x:v>882</x:v>
      </x:c>
    </x:row>
    <x:row r="11">
      <x:c r="A11" s="47" t="str">
        <x:v>RUN-I2-029-20260813T163737244902Z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e4d44d4b66e698d1b1a69897fb0eed305016a60a66c5af12fd692c0d0db4c1a4</x:v>
      </x:c>
      <x:c r="G11" s="59" t="n">
        <x:v>28328</x:v>
      </x:c>
    </x:row>
    <x:row r="12">
      <x:c r="A12" s="47" t="str">
        <x:v>RUN-I2-029-20260813T163737244902Z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2d764970ffe38fd37cf6aef461a8aabf2d4c5a0bafeb5efaad4615e04ba1e6c6</x:v>
      </x:c>
      <x:c r="G12" s="59" t="n">
        <x:v>879</x:v>
      </x:c>
    </x:row>
    <x:row r="13">
      <x:c r="A13" s="47" t="str">
        <x:v>RUN-I2-029-20260813T163737244902Z</x:v>
      </x:c>
      <x:c r="B13" s="47" t="str">
        <x:v>I2-029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e985a339432cdff3a162072b5e8ac4bad765ab0f956d6665e3b3c95ec5893f21</x:v>
      </x:c>
      <x:c r="G13" s="59" t="n">
        <x:v>3416</x:v>
      </x:c>
    </x:row>
    <x:row r="14">
      <x:c r="A14" s="47" t="str">
        <x:v>RUN-I2-029-20260813T163737244902Z</x:v>
      </x:c>
      <x:c r="B14" s="47" t="str">
        <x:v>I2-029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730996e0749bcf269a527badfa920806b1a551ecbf254b3ddcf010086be43286</x:v>
      </x:c>
      <x:c r="G14" s="59" t="n">
        <x:v>8696</x:v>
      </x:c>
    </x:row>
    <x:row r="15">
      <x:c r="A15" s="47" t="str">
        <x:v>RUN-I2-029-20260813T163737244902Z</x:v>
      </x:c>
      <x:c r="B15" s="47" t="str">
        <x:v>I2-029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595a648bf0d6b85e40f814d739238311bd65e70c3ad46a7ff4d027ad815b0c44</x:v>
      </x:c>
      <x:c r="G15" s="59" t="n">
        <x:v>471</x:v>
      </x:c>
    </x:row>
    <x:row r="16">
      <x:c r="A16" s="47" t="str">
        <x:v>RUN-I2-029-20260813T163737244902Z</x:v>
      </x:c>
      <x:c r="B16" s="47" t="str">
        <x:v>I2-029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d0290153bddbf3b6ed4e26a46b1c293c715e2218f1ea56550536fb34661d24df</x:v>
      </x:c>
      <x:c r="G16" s="59" t="n">
        <x:v>18220</x:v>
      </x:c>
    </x:row>
    <x:row r="17">
      <x:c r="A17" s="47" t="str">
        <x:v>RUN-I2-029-20260813T163737244902Z</x:v>
      </x:c>
      <x:c r="B17" s="47" t="str">
        <x:v>I2-029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b3f083e497dbaf15ca2a06c8c6341a92bce83ac354e70aa89638ebf47883b4c3</x:v>
      </x:c>
      <x:c r="G17" s="59" t="n">
        <x:v>31407</x:v>
      </x:c>
    </x:row>
    <x:row r="18">
      <x:c r="A18" s="47" t="str">
        <x:v>RUN-I2-029-20260813T163737244902Z</x:v>
      </x:c>
      <x:c r="B18" s="47" t="str">
        <x:v>I2-029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579ff54d3f4a5859ea46f5a1c6165dbcec03627253b62840c71cb0adeefd7811</x:v>
      </x:c>
      <x:c r="G18" s="59" t="n">
        <x:v>2096</x:v>
      </x:c>
    </x:row>
    <x:row r="19">
      <x:c r="A19" s="47" t="str">
        <x:v>RUN-I2-029-20260813T163737244902Z</x:v>
      </x:c>
      <x:c r="B19" s="47" t="str">
        <x:v>I2-029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b6b5d70d5cfb8b13492e53a344325a3b1689aa943b8deddca87e303909b777b4</x:v>
      </x:c>
      <x:c r="G19" s="59" t="n">
        <x:v>2071</x:v>
      </x:c>
    </x:row>
    <x:row r="20">
      <x:c r="A20" s="47" t="str">
        <x:v>RUN-I2-029-20260813T163737244902Z</x:v>
      </x:c>
      <x:c r="B20" s="47" t="str">
        <x:v>I2-029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53a51978b82e66aa422475e9b0d9603e90acaad9b2f01c496ee3c7feef23ce38</x:v>
      </x:c>
      <x:c r="G20" s="59" t="n">
        <x:v>882</x:v>
      </x:c>
    </x:row>
    <x:row r="21">
      <x:c r="A21" s="47" t="str">
        <x:v>RUN-I2-029-20260813T163737244902Z</x:v>
      </x:c>
      <x:c r="B21" s="47" t="str">
        <x:v>I2-029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dad4eb670e20285cb3f3ed12c6bfd4c5f8b0b181bfaf74f7c193a2143bf5ab3d</x:v>
      </x:c>
      <x:c r="G21" s="59" t="n">
        <x:v>27412</x:v>
      </x:c>
    </x:row>
    <x:row r="22">
      <x:c r="A22" s="47" t="str">
        <x:v>RUN-I2-029-20260813T163737244902Z</x:v>
      </x:c>
      <x:c r="B22" s="47" t="str">
        <x:v>I2-029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0ed851db67a2b5d256eb56a2681d82feba603cbd09bd923e66a3625e400248d5</x:v>
      </x:c>
      <x:c r="G22" s="59" t="n">
        <x:v>940</x:v>
      </x:c>
    </x:row>
    <x:row r="23">
      <x:c r="A23" s="47" t="str">
        <x:v>RUN-I2-029-20260813T163737244902Z</x:v>
      </x:c>
      <x:c r="B23" s="47" t="str">
        <x:v>I2-029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e8d8c8da1151efce3e81589246b28553653204c80a453e797141c2293980f444</x:v>
      </x:c>
      <x:c r="G23" s="59" t="n">
        <x:v>8889</x:v>
      </x:c>
    </x:row>
    <x:row r="24">
      <x:c r="A24" s="47" t="str">
        <x:v>RUN-I2-029-20260813T163737244902Z</x:v>
      </x:c>
      <x:c r="B24" s="47" t="str">
        <x:v>I2-029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4d61e0b76cff34b3f9698f77828c6d0b681ea3c8c6e50ee5cf437167c33da1a0</x:v>
      </x:c>
      <x:c r="G24" s="59" t="n">
        <x:v>14472</x:v>
      </x:c>
    </x:row>
    <x:row r="25">
      <x:c r="A25" s="49" t="str">
        <x:v>RUN-I2-029-20260813T163737244902Z</x:v>
      </x:c>
      <x:c r="B25" s="49" t="str">
        <x:v>I2-029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2da41bdb4d211e412b1da58f8d97684e863e14b7df6bc8667c3877be72efaec9</x:v>
      </x:c>
      <x:c r="G25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2bd472aaae264f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RUN-I2-029-20260813T163737244902Z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RUN-I2-029-20260813T163737244902Z</x:v>
      </x:c>
      <x:c r="B5" s="69" t="str">
        <x:v>I2-029</x:v>
      </x:c>
      <x:c r="C5" s="71" t="n">
        <x:v>2</x:v>
      </x:c>
      <x:c r="D5" s="69" t="str">
        <x:v>TERM_RESOLUTION_UNRESOLVED</x:v>
      </x:c>
      <x:c r="E5" s="73" t="str">
        <x:v>No candidate is verified because the supplied terms do not represent calculation-input evidence, flange-fitted branch selection, or material inclusion/exclusion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4e1c7d93b40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RUN-I2-029-20260813T163737244902Z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