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d128b46d5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32ea32bccb4860"/>
    <x:sheet xmlns:r="http://schemas.openxmlformats.org/officeDocument/2006/relationships" name="README" sheetId="2" r:id="R5b481add27814cb6"/>
    <x:sheet xmlns:r="http://schemas.openxmlformats.org/officeDocument/2006/relationships" name="REGULATION_QUEUE" sheetId="3" r:id="R7466aca6f1ad4a67"/>
    <x:sheet xmlns:r="http://schemas.openxmlformats.org/officeDocument/2006/relationships" name="RUNS" sheetId="4" r:id="R2f9f035c0a2f4eda"/>
    <x:sheet xmlns:r="http://schemas.openxmlformats.org/officeDocument/2006/relationships" name="ITERATIONS" sheetId="5" r:id="R2a129b71c31c477f"/>
    <x:sheet xmlns:r="http://schemas.openxmlformats.org/officeDocument/2006/relationships" name="API_CALLS" sheetId="6" r:id="R3c888a78d5514e23"/>
    <x:sheet xmlns:r="http://schemas.openxmlformats.org/officeDocument/2006/relationships" name="TERM_RETRIEVAL" sheetId="7" r:id="R426dc1465e2e4a2a"/>
    <x:sheet xmlns:r="http://schemas.openxmlformats.org/officeDocument/2006/relationships" name="FEW_SHOT_SELECTION" sheetId="8" r:id="R69beec7f9020444d"/>
    <x:sheet xmlns:r="http://schemas.openxmlformats.org/officeDocument/2006/relationships" name="VALIDATION" sheetId="9" r:id="Rf0e4722d6a4e457b"/>
    <x:sheet xmlns:r="http://schemas.openxmlformats.org/officeDocument/2006/relationships" name="VOCAB_MATCHES" sheetId="10" r:id="R42a504c758484237"/>
    <x:sheet xmlns:r="http://schemas.openxmlformats.org/officeDocument/2006/relationships" name="ARTIFACTS" sheetId="11" r:id="Rb0b92442cef74431"/>
    <x:sheet xmlns:r="http://schemas.openxmlformats.org/officeDocument/2006/relationships" name="UNRESOLVED" sheetId="12" r:id="R3fb49ac8cfa94b9b"/>
    <x:sheet xmlns:r="http://schemas.openxmlformats.org/officeDocument/2006/relationships" name="RDF_TEST_QUEUE" sheetId="13" r:id="R195978dd6fcd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04969860c4205" /><Relationship Type="http://schemas.openxmlformats.org/officeDocument/2006/relationships/theme" Target="/xl/theme/theme1.xml" Id="R03f786d92dd04e0f" /><Relationship Type="http://schemas.microsoft.com/office/2022/11/relationships/FeaturePropertyBag" Target="/xl/featurePropertyBag/featurePropertyBag.xml" Id="Rc644f11e57fb4bfb" /><Relationship Type="http://schemas.openxmlformats.org/officeDocument/2006/relationships/sharedStrings" Target="/xl/sharedStrings.xml" Id="R90a31498a67341f3" /><Relationship Type="http://schemas.openxmlformats.org/officeDocument/2006/relationships/worksheet" Target="/xl/worksheets/sheet1.xml" Id="R7132ea32bccb4860" /><Relationship Type="http://schemas.openxmlformats.org/officeDocument/2006/relationships/worksheet" Target="/xl/worksheets/sheet2.xml" Id="R5b481add27814cb6" /><Relationship Type="http://schemas.openxmlformats.org/officeDocument/2006/relationships/worksheet" Target="/xl/worksheets/sheet3.xml" Id="R7466aca6f1ad4a67" /><Relationship Type="http://schemas.openxmlformats.org/officeDocument/2006/relationships/worksheet" Target="/xl/worksheets/sheet4.xml" Id="R2f9f035c0a2f4eda" /><Relationship Type="http://schemas.openxmlformats.org/officeDocument/2006/relationships/worksheet" Target="/xl/worksheets/sheet5.xml" Id="R2a129b71c31c477f" /><Relationship Type="http://schemas.openxmlformats.org/officeDocument/2006/relationships/worksheet" Target="/xl/worksheets/sheet6.xml" Id="R3c888a78d5514e23" /><Relationship Type="http://schemas.openxmlformats.org/officeDocument/2006/relationships/worksheet" Target="/xl/worksheets/sheet7.xml" Id="R426dc1465e2e4a2a" /><Relationship Type="http://schemas.openxmlformats.org/officeDocument/2006/relationships/worksheet" Target="/xl/worksheets/sheet8.xml" Id="R69beec7f9020444d" /><Relationship Type="http://schemas.openxmlformats.org/officeDocument/2006/relationships/worksheet" Target="/xl/worksheets/sheet9.xml" Id="Rf0e4722d6a4e457b" /><Relationship Type="http://schemas.openxmlformats.org/officeDocument/2006/relationships/worksheet" Target="/xl/worksheets/sheet10.xml" Id="R42a504c758484237" /><Relationship Type="http://schemas.openxmlformats.org/officeDocument/2006/relationships/worksheet" Target="/xl/worksheets/sheet11.xml" Id="Rb0b92442cef74431" /><Relationship Type="http://schemas.openxmlformats.org/officeDocument/2006/relationships/worksheet" Target="/xl/worksheets/sheet12.xml" Id="R3fb49ac8cfa94b9b" /><Relationship Type="http://schemas.openxmlformats.org/officeDocument/2006/relationships/worksheet" Target="/xl/worksheets/sheet13.xml" Id="R195978dd6fcd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a18583e1c34a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debe52dcf43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f3f483f3644e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2b00a8258f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a793841c284b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f426ad239f4e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ad4d5fccf147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e9635655834b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3118ed085248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c544172acb54b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2921df707784a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RUN-I2-032-20260813T164451750652Z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22746.614666666665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RUN-I2-032-20260813T164451750652Z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a18583e1c34a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debe52dcf43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RUN-I2-032-20260813T164451750652Z</x:v>
      </x:c>
      <x:c r="C5" s="69" t="str">
        <x:v>I2-032</x:v>
      </x:c>
      <x:c r="D5" s="70" t="n">
        <x:v>46247.69782119213</x:v>
      </x:c>
      <x:c r="E5" s="70" t="n">
        <x:v>46247.69862630787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canonical candidate is semantically verified for either load-patch height b or area factor AF; the supplied span and factor terms represent different quantities.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3f483f3644e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RUN-I2-032-20260813T164451750652Z</x:v>
      </x:c>
      <x:c r="B5" s="69" t="str">
        <x:v>I2-032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required-area check with a bounded formula validation. Locate canonical terms for the missing load-patch height b and area factor AF, require them on the ship, derive LL as min(frameSpan, b), and compute A_t = 100^2*0.5*LL*frameSpacing*(AF*peakPressureFactor*averageIcePressure)/(0.577*yieldStrength) in cm^2. Validate the reported requiredTransverseFrameShearArea against that expected derived value using a tolerance scaled from the expected result, then enforce shearArea converted from m^2 to cm^2 &gt;= A_t. The current span &lt;= frameSpan check omits b and does not establish the required minimum, while averageIcePressure, frameSpacing, peakPressureFactor, and yieldStrength are only checked for presence and never used in the formula.</x:v>
      </x:c>
      <x:c r="I5" s="75" t="n">
        <x:v>56346.812</x:v>
      </x:c>
      <x:c r="J5" s="75" t="n">
        <x:v>9154.81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b00a8258f41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RUN-I2-032-20260813T164451750652Z</x:v>
      </x:c>
      <x:c r="C5" s="45" t="str">
        <x:v>I2-032</x:v>
      </x:c>
      <x:c r="D5" s="88" t="n">
        <x:v>46247.69847335648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56345.099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RUN-I2-032-20260813T164451750652Z</x:v>
      </x:c>
      <x:c r="C6" s="47" t="str">
        <x:v>I2-032</x:v>
      </x:c>
      <x:c r="D6" s="91" t="n">
        <x:v>46247.69847337963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56346.812</x:v>
      </x:c>
      <x:c r="L6" s="93" t="b">
        <x:v>0</x:v>
      </x:c>
      <x:c r="M6" s="47" t="str">
        <x:v>resp_05a560098ec31b2d006a7df483e20c8196b1772dfe4fa64d22</x:v>
      </x:c>
      <x:c r="N6" s="59" t="n">
        <x:v>8170</x:v>
      </x:c>
      <x:c r="O6" s="59" t="n">
        <x:v>3720</x:v>
      </x:c>
      <x:c r="P6" s="59" t="n">
        <x:v>11890</x:v>
      </x:c>
    </x:row>
    <x:row r="7">
      <x:c r="A7" s="47" t="str">
        <x:v>EVT-000029</x:v>
      </x:c>
      <x:c r="B7" s="47" t="str">
        <x:v>RUN-I2-032-20260813T164451750652Z</x:v>
      </x:c>
      <x:c r="C7" s="47" t="str">
        <x:v>I2-032</x:v>
      </x:c>
      <x:c r="D7" s="91" t="n">
        <x:v>46247.69858153935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9153.417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RUN-I2-032-20260813T164451750652Z</x:v>
      </x:c>
      <x:c r="C8" s="47" t="str">
        <x:v>I2-032</x:v>
      </x:c>
      <x:c r="D8" s="91" t="n">
        <x:v>46247.6985815625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9154.81</x:v>
      </x:c>
      <x:c r="L8" s="93" t="b">
        <x:v>0</x:v>
      </x:c>
      <x:c r="M8" s="47" t="str">
        <x:v>resp_0f24d8774607f949006a7df4bc93fc81939e1f27a04b6dc900</x:v>
      </x:c>
      <x:c r="N8" s="59" t="n">
        <x:v>8695</x:v>
      </x:c>
      <x:c r="O8" s="59" t="n">
        <x:v>659</x:v>
      </x:c>
      <x:c r="P8" s="59" t="n">
        <x:v>9354</x:v>
      </x:c>
    </x:row>
    <x:row r="9">
      <x:c r="A9" s="47" t="str">
        <x:v>EVT-000036</x:v>
      </x:c>
      <x:c r="B9" s="47" t="str">
        <x:v>RUN-I2-032-20260813T164451750652Z</x:v>
      </x:c>
      <x:c r="C9" s="47" t="str">
        <x:v>I2-032</x:v>
      </x:c>
      <x:c r="D9" s="91" t="n">
        <x:v>46247.69862623842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2739.069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RUN-I2-032-20260813T164451750652Z</x:v>
      </x:c>
      <x:c r="C10" s="49" t="str">
        <x:v>I2-032</x:v>
      </x:c>
      <x:c r="D10" s="94" t="n">
        <x:v>46247.698626261576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2740.481</x:v>
      </x:c>
      <x:c r="L10" s="96" t="b">
        <x:v>0</x:v>
      </x:c>
      <x:c r="M10" s="49" t="str">
        <x:v>resp_04e61c7e0c6a966d006a7df4c6b22c8195a9df48fa55791e35</x:v>
      </x:c>
      <x:c r="N10" s="60" t="n">
        <x:v>4364</x:v>
      </x:c>
      <x:c r="O10" s="60" t="n">
        <x:v>145</x:v>
      </x:c>
      <x:c r="P10" s="60" t="n">
        <x:v>4509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793841c284b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RUN-I2-032-20260813T164451750652Z</x:v>
      </x:c>
      <x:c r="B5" s="45" t="str">
        <x:v>I2-032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RUN-I2-032-20260813T164451750652Z</x:v>
      </x:c>
      <x:c r="B6" s="47" t="str">
        <x:v>I2-032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RUN-I2-032-20260813T164451750652Z</x:v>
      </x:c>
      <x:c r="B7" s="47" t="str">
        <x:v>I2-032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RUN-I2-032-20260813T164451750652Z</x:v>
      </x:c>
      <x:c r="B8" s="47" t="str">
        <x:v>I2-032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RUN-I2-032-20260813T164451750652Z</x:v>
      </x:c>
      <x:c r="B9" s="47" t="str">
        <x:v>I2-032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RUN-I2-032-20260813T164451750652Z</x:v>
      </x:c>
      <x:c r="B10" s="47" t="str">
        <x:v>I2-032</x:v>
      </x:c>
      <x:c r="C10" s="47" t="str">
        <x:v>peakPressureFactor</x:v>
      </x:c>
      <x:c r="D10" s="48" t="str">
        <x:v>https://w3id.org/nltl-benchmark/vocab#peakPressureFactor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RUN-I2-032-20260813T164451750652Z</x:v>
      </x:c>
      <x:c r="B11" s="47" t="str">
        <x:v>I2-032</x:v>
      </x:c>
      <x:c r="C11" s="47" t="str">
        <x:v>requiredTransverseFrameShearArea</x:v>
      </x:c>
      <x:c r="D11" s="48" t="str">
        <x:v>https://w3id.org/nltl-benchmark/vocab#requiredTransverseFrameShearArea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RUN-I2-032-20260813T164451750652Z</x:v>
      </x:c>
      <x:c r="B12" s="47" t="str">
        <x:v>I2-032</x:v>
      </x:c>
      <x:c r="C12" s="47" t="str">
        <x:v>shearArea</x:v>
      </x:c>
      <x:c r="D12" s="48" t="str">
        <x:v>https://w3id.org/nltl-benchmark/vocab#shearArea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RUN-I2-032-20260813T164451750652Z</x:v>
      </x:c>
      <x:c r="B13" s="47" t="str">
        <x:v>I2-032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RUN-I2-032-20260813T164451750652Z</x:v>
      </x:c>
      <x:c r="B14" s="47" t="str">
        <x:v>I2-032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RUN-I2-032-20260813T164451750652Z</x:v>
      </x:c>
      <x:c r="B15" s="47" t="str">
        <x:v>I2-032</x:v>
      </x:c>
      <x:c r="C15" s="47" t="str">
        <x:v>span</x:v>
      </x:c>
      <x:c r="D15" s="48" t="str">
        <x:v>https://w3id.org/nltl-benchmark/vocab#span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RUN-I2-032-20260813T164451750652Z</x:v>
      </x:c>
      <x:c r="B16" s="47" t="str">
        <x:v>I2-032</x:v>
      </x:c>
      <x:c r="C16" s="47" t="str">
        <x:v>structuralMember</x:v>
      </x:c>
      <x:c r="D16" s="48" t="str">
        <x:v>https://w3id.org/nltl-benchmark/vocab#structuralMember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frameSpacing; domain dependency of requiredTransverseFrameShearArea</x:v>
      </x:c>
      <x:c r="J16" s="47" t="n">
        <x:v>0</x:v>
      </x:c>
    </x:row>
    <x:row r="17">
      <x:c r="A17" s="49" t="str">
        <x:v>RUN-I2-032-20260813T164451750652Z</x:v>
      </x:c>
      <x:c r="B17" s="49" t="str">
        <x:v>I2-032</x:v>
      </x:c>
      <x:c r="C17" s="49" t="str">
        <x:v>yieldStrength</x:v>
      </x:c>
      <x:c r="D17" s="50" t="str">
        <x:v>https://w3id.org/nltl-benchmark/vocab#yieldStrength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f426ad239f4e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RUN-I2-032-20260813T164451750652Z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RUN-I2-032-20260813T164451750652Z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9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RUN-I2-032-20260813T164451750652Z</x:v>
      </x:c>
      <x:c r="B6" s="49" t="str">
        <x:v>I2-032</x:v>
      </x:c>
      <x:c r="C6" s="49" t="str">
        <x:v>FS-QTY-01</x:v>
      </x:c>
      <x:c r="D6" s="49" t="str">
        <x:v>qudt_quantity</x:v>
      </x:c>
      <x:c r="E6" s="100" t="n">
        <x:v>0.033333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d4d5fccf147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RUN-I2-032-20260813T164451750652Z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https://w3id.org/nltl-benchmark/vocab#peakPressureFactor | https://w3id.org/nltl-benchmark/vocab#requiredTransverseFrameShearArea | https://w3id.org/nltl-benchmark/vocab#shearArea | https://w3id.org/nltl-benchmark/vocab#ship | https://w3id.org/nltl-benchmark/vocab#span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e9635655834b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RUN-I2-032-20260813T164451750652Z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RUN-I2-032-20260813T164451750652Z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Replace the presence-only required-area check with a bounded formula validation. Locate canonical terms for the missing load-patch height b and area factor AF, require them on the ship, derive LL as min(frameSpan, b), and compute A_t = 100^2*0.5*LL*frameSpacing*(AF*peakPressureFactor*averageIcePressure)/(0.577*yieldStrength) in cm^2. Validate the reported requiredTransverseFrameShearArea against that expected derived value using a tolerance scaled from the expected result, then enforce shearArea converted from m^2 to cm^2 &gt;= A_t. The current span &lt;= frameSpan check omits b and does not establish the required minimum, while averageIcePressure, frameSpacing, peakPressureFactor, and yieldStrength are only checked for presence and never used in the formula.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RUN-I2-032-20260813T164451750652Z</x:v>
      </x:c>
      <x:c r="B6" s="49" t="str">
        <x:v>I2-032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canonical candidate is semantically verified for either load-patch height b or area factor AF; the supplied span and factor terms represent different quantities.</x:v>
      </x:c>
    </x:row>
  </x:sheetData>
  <x:pageMargins left="0.7" right="0.7" top="0.75" bottom="0.75" header="0.3" footer="0.3"/>
  <x:tableParts count="1">
    <x:tablePart xmlns:r="http://schemas.openxmlformats.org/officeDocument/2006/relationships" r:id="Re33118ed085248c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RUN-I2-032-20260813T164451750652Z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RUN-I2-032-20260813T164451750652Z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2a2d9096f8240f29e57e265a406fc4f2914929832f925260713a5feadfa58d8b</x:v>
      </x:c>
      <x:c r="G5" s="58" t="n">
        <x:v>18709</x:v>
      </x:c>
    </x:row>
    <x:row r="6">
      <x:c r="A6" s="47" t="str">
        <x:v>RUN-I2-032-20260813T164451750652Z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8cccab0c8f07b411d0bedfc1538b029ff8630d03fa1c77324135178eee6dd3fc</x:v>
      </x:c>
      <x:c r="G6" s="59" t="n">
        <x:v>5365</x:v>
      </x:c>
    </x:row>
    <x:row r="7">
      <x:c r="A7" s="47" t="str">
        <x:v>RUN-I2-032-20260813T164451750652Z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a1ee624bc3934ad4203a0e847769cf46148979e59d932caf155325facad94d11</x:v>
      </x:c>
      <x:c r="G7" s="59" t="n">
        <x:v>30686</x:v>
      </x:c>
    </x:row>
    <x:row r="8">
      <x:c r="A8" s="47" t="str">
        <x:v>RUN-I2-032-20260813T164451750652Z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84ca24188f89ca7765bda57f66940e361f1106ca01193f6e4d99d1bc71a3a838</x:v>
      </x:c>
      <x:c r="G8" s="59" t="n">
        <x:v>4914</x:v>
      </x:c>
    </x:row>
    <x:row r="9">
      <x:c r="A9" s="47" t="str">
        <x:v>RUN-I2-032-20260813T164451750652Z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c75712988728212830ec1ffd5f5426e4b097044335738339ff54d90cff4d3ce0</x:v>
      </x:c>
      <x:c r="G9" s="59" t="n">
        <x:v>4889</x:v>
      </x:c>
    </x:row>
    <x:row r="10">
      <x:c r="A10" s="47" t="str">
        <x:v>RUN-I2-032-20260813T164451750652Z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66aa1592b5690d44fc56a4f53f6438dc4188fc96b60109e2c009075c9fd43b0a</x:v>
      </x:c>
      <x:c r="G10" s="59" t="n">
        <x:v>922</x:v>
      </x:c>
    </x:row>
    <x:row r="11">
      <x:c r="A11" s="47" t="str">
        <x:v>RUN-I2-032-20260813T164451750652Z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409ac2230cb0ba6ff4cbed7048926eb1da1ea0086a1b1f78d4002b957f711078</x:v>
      </x:c>
      <x:c r="G11" s="59" t="n">
        <x:v>31278</x:v>
      </x:c>
    </x:row>
    <x:row r="12">
      <x:c r="A12" s="47" t="str">
        <x:v>RUN-I2-032-20260813T164451750652Z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70b94ef8d4848f48ea809c17ffeba67c26a1e953e45a82f40fb589c75b0c4142</x:v>
      </x:c>
      <x:c r="G12" s="59" t="n">
        <x:v>826</x:v>
      </x:c>
    </x:row>
    <x:row r="13">
      <x:c r="A13" s="47" t="str">
        <x:v>RUN-I2-032-20260813T164451750652Z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55b42d12804c54dbd66210a1f3d71cc97dd53885923e3879a41076abe7d68bf7</x:v>
      </x:c>
      <x:c r="G13" s="59" t="n">
        <x:v>9360</x:v>
      </x:c>
    </x:row>
    <x:row r="14">
      <x:c r="A14" s="47" t="str">
        <x:v>RUN-I2-032-20260813T164451750652Z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964db54470c79ddb0143e664ab786ad92802c58c23230bc1238a75e59fb2ef4c</x:v>
      </x:c>
      <x:c r="G14" s="59" t="n">
        <x:v>14483</x:v>
      </x:c>
    </x:row>
    <x:row r="15">
      <x:c r="A15" s="49" t="str">
        <x:v>RUN-I2-032-20260813T164451750652Z</x:v>
      </x:c>
      <x:c r="B15" s="49" t="str">
        <x:v>I2-032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8bf792bfd67eb3dbe3c43df05ff906416480e0652b5604575e753ef2680ec519</x:v>
      </x:c>
      <x:c r="G15" s="60" t="n">
        <x:v>253</x:v>
      </x:c>
    </x:row>
  </x:sheetData>
  <x:pageMargins left="0.7" right="0.7" top="0.75" bottom="0.75" header="0.3" footer="0.3"/>
  <x:tableParts count="1">
    <x:tablePart xmlns:r="http://schemas.openxmlformats.org/officeDocument/2006/relationships" r:id="R7c544172acb54b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RUN-I2-032-20260813T164451750652Z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RUN-I2-032-20260813T164451750652Z</x:v>
      </x:c>
      <x:c r="B5" s="69" t="str">
        <x:v>I2-032</x:v>
      </x:c>
      <x:c r="C5" s="71" t="n">
        <x:v>1</x:v>
      </x:c>
      <x:c r="D5" s="69" t="str">
        <x:v>TERM_RESOLUTION_UNRESOLVED</x:v>
      </x:c>
      <x:c r="E5" s="73" t="str">
        <x:v>No canonical candidate is semantically verified for either load-patch height b or area factor AF; the supplied span and factor terms represent different quantities.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21df707784a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RUN-I2-032-20260813T164451750652Z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