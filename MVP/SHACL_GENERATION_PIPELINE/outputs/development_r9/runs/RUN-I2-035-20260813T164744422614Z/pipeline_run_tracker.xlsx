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ef0c18bc3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52f92cdc054dae"/>
    <x:sheet xmlns:r="http://schemas.openxmlformats.org/officeDocument/2006/relationships" name="README" sheetId="2" r:id="R3f1b52f04a9f405f"/>
    <x:sheet xmlns:r="http://schemas.openxmlformats.org/officeDocument/2006/relationships" name="REGULATION_QUEUE" sheetId="3" r:id="R78d09b498f3a4a4e"/>
    <x:sheet xmlns:r="http://schemas.openxmlformats.org/officeDocument/2006/relationships" name="RUNS" sheetId="4" r:id="R518e37ee225a4655"/>
    <x:sheet xmlns:r="http://schemas.openxmlformats.org/officeDocument/2006/relationships" name="ITERATIONS" sheetId="5" r:id="Rceb21c28881a4de3"/>
    <x:sheet xmlns:r="http://schemas.openxmlformats.org/officeDocument/2006/relationships" name="API_CALLS" sheetId="6" r:id="R3672e69163a54554"/>
    <x:sheet xmlns:r="http://schemas.openxmlformats.org/officeDocument/2006/relationships" name="TERM_RETRIEVAL" sheetId="7" r:id="R6f3aa27876314299"/>
    <x:sheet xmlns:r="http://schemas.openxmlformats.org/officeDocument/2006/relationships" name="FEW_SHOT_SELECTION" sheetId="8" r:id="Recc3cbb79e6c4052"/>
    <x:sheet xmlns:r="http://schemas.openxmlformats.org/officeDocument/2006/relationships" name="VALIDATION" sheetId="9" r:id="R8dc79783bf2d4e18"/>
    <x:sheet xmlns:r="http://schemas.openxmlformats.org/officeDocument/2006/relationships" name="VOCAB_MATCHES" sheetId="10" r:id="R06d3f2aca4d843a5"/>
    <x:sheet xmlns:r="http://schemas.openxmlformats.org/officeDocument/2006/relationships" name="ARTIFACTS" sheetId="11" r:id="R89b54ae572724243"/>
    <x:sheet xmlns:r="http://schemas.openxmlformats.org/officeDocument/2006/relationships" name="UNRESOLVED" sheetId="12" r:id="Rdbac2530f6dc4070"/>
    <x:sheet xmlns:r="http://schemas.openxmlformats.org/officeDocument/2006/relationships" name="RDF_TEST_QUEUE" sheetId="13" r:id="R580ffae35c10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863b82ebe4c89" /><Relationship Type="http://schemas.openxmlformats.org/officeDocument/2006/relationships/theme" Target="/xl/theme/theme1.xml" Id="Rcf83377956b940f4" /><Relationship Type="http://schemas.microsoft.com/office/2022/11/relationships/FeaturePropertyBag" Target="/xl/featurePropertyBag/featurePropertyBag.xml" Id="R4f0fba6fb3144900" /><Relationship Type="http://schemas.openxmlformats.org/officeDocument/2006/relationships/sharedStrings" Target="/xl/sharedStrings.xml" Id="Rb5a6999bf09f47f1" /><Relationship Type="http://schemas.openxmlformats.org/officeDocument/2006/relationships/worksheet" Target="/xl/worksheets/sheet1.xml" Id="Ra352f92cdc054dae" /><Relationship Type="http://schemas.openxmlformats.org/officeDocument/2006/relationships/worksheet" Target="/xl/worksheets/sheet2.xml" Id="R3f1b52f04a9f405f" /><Relationship Type="http://schemas.openxmlformats.org/officeDocument/2006/relationships/worksheet" Target="/xl/worksheets/sheet3.xml" Id="R78d09b498f3a4a4e" /><Relationship Type="http://schemas.openxmlformats.org/officeDocument/2006/relationships/worksheet" Target="/xl/worksheets/sheet4.xml" Id="R518e37ee225a4655" /><Relationship Type="http://schemas.openxmlformats.org/officeDocument/2006/relationships/worksheet" Target="/xl/worksheets/sheet5.xml" Id="Rceb21c28881a4de3" /><Relationship Type="http://schemas.openxmlformats.org/officeDocument/2006/relationships/worksheet" Target="/xl/worksheets/sheet6.xml" Id="R3672e69163a54554" /><Relationship Type="http://schemas.openxmlformats.org/officeDocument/2006/relationships/worksheet" Target="/xl/worksheets/sheet7.xml" Id="R6f3aa27876314299" /><Relationship Type="http://schemas.openxmlformats.org/officeDocument/2006/relationships/worksheet" Target="/xl/worksheets/sheet8.xml" Id="Recc3cbb79e6c4052" /><Relationship Type="http://schemas.openxmlformats.org/officeDocument/2006/relationships/worksheet" Target="/xl/worksheets/sheet9.xml" Id="R8dc79783bf2d4e18" /><Relationship Type="http://schemas.openxmlformats.org/officeDocument/2006/relationships/worksheet" Target="/xl/worksheets/sheet10.xml" Id="R06d3f2aca4d843a5" /><Relationship Type="http://schemas.openxmlformats.org/officeDocument/2006/relationships/worksheet" Target="/xl/worksheets/sheet11.xml" Id="R89b54ae572724243" /><Relationship Type="http://schemas.openxmlformats.org/officeDocument/2006/relationships/worksheet" Target="/xl/worksheets/sheet12.xml" Id="Rdbac2530f6dc4070" /><Relationship Type="http://schemas.openxmlformats.org/officeDocument/2006/relationships/worksheet" Target="/xl/worksheets/sheet13.xml" Id="R580ffae35c104c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3ba20422d049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21df70f7df4d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bed82a96554f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731c927ec74a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a29a88f51c4a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92a00b2cd243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4e8fa99f9049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bdb9d45a0d47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166b06c2ff14f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ec677b05a444ef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963f4decde449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RUN-I2-035-20260813T164744422614Z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18193.860666666667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RUN-I2-035-20260813T164744422614Z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3ba20422d049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RUN-I2-035-20260813T164744422614Z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TERM_RESOLUTION_UNRESOLVED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21df70f7df4d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RUN-I2-035-20260813T164744422614Z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RUN-I2-035-20260813T164744422614Z</x:v>
      </x:c>
      <x:c r="C5" s="69" t="str">
        <x:v>I2-035</x:v>
      </x:c>
      <x:c r="D5" s="70" t="n">
        <x:v>46247.69981971065</x:v>
      </x:c>
      <x:c r="E5" s="70" t="n">
        <x:v>46247.70046574074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 for the missing AF or b properties or required modeled intermediates.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bed82a96554f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RUN-I2-035-20260813T164744422614Z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RUN-I2-035-20260813T164744422614Z</x:v>
      </x:c>
      <x:c r="B5" s="69" t="str">
        <x:v>I2-035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treatment of requiredLongitudinalFrameShearArea with a bounded formula validation implementing the complete comparisonModel: compute b'=b/s, conditional b2, ko, b1, and A_L from AF, PPF_s, P_avg, a, s, b, and sigma_y; validate the reported A_L in cm² using a tolerance scaled from the computed value, then enforce converted actual shearArea &gt;= A_L. Add the missing canonical properties for AF and b (and any required modeled intermediates) on the ship; run the variable matcher because those terms were not supplied. Retain the supplied ship ownership and existing units, and ensure missing branch-selection operands cannot pass.</x:v>
      </x:c>
      <x:c r="I5" s="75" t="n">
        <x:v>39017.051</x:v>
      </x:c>
      <x:c r="J5" s="75" t="n">
        <x:v>9404.318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731c927ec74a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RUN-I2-035-20260813T164744422614Z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RUN-I2-035-20260813T164744422614Z</x:v>
      </x:c>
      <x:c r="C5" s="45" t="str">
        <x:v>I2-035</x:v>
      </x:c>
      <x:c r="D5" s="88" t="n">
        <x:v>46247.70027129629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39015.511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RUN-I2-035-20260813T164744422614Z</x:v>
      </x:c>
      <x:c r="C6" s="47" t="str">
        <x:v>I2-035</x:v>
      </x:c>
      <x:c r="D6" s="91" t="n">
        <x:v>46247.700271319445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39017.051</x:v>
      </x:c>
      <x:c r="L6" s="93" t="b">
        <x:v>0</x:v>
      </x:c>
      <x:c r="M6" s="47" t="str">
        <x:v>resp_031845f65c2a745d006a7df5308b8881939143ad41d8bb317b</x:v>
      </x:c>
      <x:c r="N6" s="59" t="n">
        <x:v>7960</x:v>
      </x:c>
      <x:c r="O6" s="59" t="n">
        <x:v>3303</x:v>
      </x:c>
      <x:c r="P6" s="59" t="n">
        <x:v>11263</x:v>
      </x:c>
    </x:row>
    <x:row r="7">
      <x:c r="A7" s="47" t="str">
        <x:v>EVT-000028</x:v>
      </x:c>
      <x:c r="B7" s="47" t="str">
        <x:v>RUN-I2-035-20260813T164744422614Z</x:v>
      </x:c>
      <x:c r="C7" s="47" t="str">
        <x:v>I2-035</x:v>
      </x:c>
      <x:c r="D7" s="91" t="n">
        <x:v>46247.700382696756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9402.637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RUN-I2-035-20260813T164744422614Z</x:v>
      </x:c>
      <x:c r="C8" s="47" t="str">
        <x:v>I2-035</x:v>
      </x:c>
      <x:c r="D8" s="91" t="n">
        <x:v>46247.70038271991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9404.318</x:v>
      </x:c>
      <x:c r="L8" s="93" t="b">
        <x:v>0</x:v>
      </x:c>
      <x:c r="M8" s="47" t="str">
        <x:v>resp_0d8ef48ecc2d73a1006a7df557caf881948d019b4cc8c68bea</x:v>
      </x:c>
      <x:c r="N8" s="59" t="n">
        <x:v>8288</x:v>
      </x:c>
      <x:c r="O8" s="59" t="n">
        <x:v>640</x:v>
      </x:c>
      <x:c r="P8" s="59" t="n">
        <x:v>8928</x:v>
      </x:c>
    </x:row>
    <x:row r="9">
      <x:c r="A9" s="47" t="str">
        <x:v>EVT-000035</x:v>
      </x:c>
      <x:c r="B9" s="47" t="str">
        <x:v>RUN-I2-035-20260813T164744422614Z</x:v>
      </x:c>
      <x:c r="C9" s="47" t="str">
        <x:v>I2-035</x:v>
      </x:c>
      <x:c r="D9" s="91" t="n">
        <x:v>46247.700465671296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6161.268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RUN-I2-035-20260813T164744422614Z</x:v>
      </x:c>
      <x:c r="C10" s="49" t="str">
        <x:v>I2-035</x:v>
      </x:c>
      <x:c r="D10" s="94" t="n">
        <x:v>46247.70046569444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6162.379</x:v>
      </x:c>
      <x:c r="L10" s="96" t="b">
        <x:v>0</x:v>
      </x:c>
      <x:c r="M10" s="49" t="str">
        <x:v>resp_01c255e72d959ee6006a7df56231f4819483cb99cb1672b969</x:v>
      </x:c>
      <x:c r="N10" s="60" t="n">
        <x:v>2759</x:v>
      </x:c>
      <x:c r="O10" s="60" t="n">
        <x:v>322</x:v>
      </x:c>
      <x:c r="P10" s="60" t="n">
        <x:v>3081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a29a88f51c4a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RUN-I2-035-20260813T164744422614Z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RUN-I2-035-20260813T164744422614Z</x:v>
      </x:c>
      <x:c r="B5" s="45" t="str">
        <x:v>I2-035</x:v>
      </x:c>
      <x:c r="C5" s="45" t="str">
        <x:v>averageIcePressure</x:v>
      </x:c>
      <x:c r="D5" s="46" t="str">
        <x:v>https://w3id.org/nltl-benchmark/vocab#averageIcePressure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RUN-I2-035-20260813T164744422614Z</x:v>
      </x:c>
      <x:c r="B6" s="47" t="str">
        <x:v>I2-035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RUN-I2-035-20260813T164744422614Z</x:v>
      </x:c>
      <x:c r="B7" s="47" t="str">
        <x:v>I2-035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RUN-I2-035-20260813T164744422614Z</x:v>
      </x:c>
      <x:c r="B8" s="47" t="str">
        <x:v>I2-035</x:v>
      </x:c>
      <x:c r="C8" s="47" t="str">
        <x:v>frameSpan</x:v>
      </x:c>
      <x:c r="D8" s="48" t="str">
        <x:v>https://w3id.org/nltl-benchmark/vocab#frameSpan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RUN-I2-035-20260813T164744422614Z</x:v>
      </x:c>
      <x:c r="B9" s="47" t="str">
        <x:v>I2-035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RUN-I2-035-20260813T164744422614Z</x:v>
      </x:c>
      <x:c r="B10" s="47" t="str">
        <x:v>I2-035</x:v>
      </x:c>
      <x:c r="C10" s="47" t="str">
        <x:v>peakPressureFactor</x:v>
      </x:c>
      <x:c r="D10" s="48" t="str">
        <x:v>https://w3id.org/nltl-benchmark/vocab#peakPressureFactor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RUN-I2-035-20260813T164744422614Z</x:v>
      </x:c>
      <x:c r="B11" s="47" t="str">
        <x:v>I2-035</x:v>
      </x:c>
      <x:c r="C11" s="47" t="str">
        <x:v>requiredLongitudinalFrameShearArea</x:v>
      </x:c>
      <x:c r="D11" s="48" t="str">
        <x:v>https://w3id.org/nltl-benchmark/vocab#requiredLongitudinalFrameShearArea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http://qudt.org/vocab/unit/CentiM2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RUN-I2-035-20260813T164744422614Z</x:v>
      </x:c>
      <x:c r="B12" s="47" t="str">
        <x:v>I2-035</x:v>
      </x:c>
      <x:c r="C12" s="47" t="str">
        <x:v>shearArea</x:v>
      </x:c>
      <x:c r="D12" s="48" t="str">
        <x:v>https://w3id.org/nltl-benchmark/vocab#shearArea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RUN-I2-035-20260813T164744422614Z</x:v>
      </x:c>
      <x:c r="B13" s="47" t="str">
        <x:v>I2-035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RUN-I2-035-20260813T164744422614Z</x:v>
      </x:c>
      <x:c r="B14" s="47" t="str">
        <x:v>I2-035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RUN-I2-035-20260813T164744422614Z</x:v>
      </x:c>
      <x:c r="B15" s="47" t="str">
        <x:v>I2-035</x:v>
      </x:c>
      <x:c r="C15" s="47" t="str">
        <x:v>structuralMember</x:v>
      </x:c>
      <x:c r="D15" s="48" t="str">
        <x:v>https://w3id.org/nltl-benchmark/vocab#structuralMember</x:v>
      </x:c>
      <x:c r="E15" s="47" t="str">
        <x:v>Class</x:v>
      </x:c>
      <x:c r="F15" s="47" t="str"/>
      <x:c r="G15" s="47" t="str">
        <x:v>https://w3id.org/nltl-benchmark/vocab#hullStructure</x:v>
      </x:c>
      <x:c r="H15" s="47" t="str"/>
      <x:c r="I15" s="48" t="str">
        <x:v>domain dependency of frameSpacing; domain dependency of requiredLongitudinalFrameShearArea</x:v>
      </x:c>
      <x:c r="J15" s="47" t="n">
        <x:v>0</x:v>
      </x:c>
    </x:row>
    <x:row r="16">
      <x:c r="A16" s="49" t="str">
        <x:v>RUN-I2-035-20260813T164744422614Z</x:v>
      </x:c>
      <x:c r="B16" s="49" t="str">
        <x:v>I2-035</x:v>
      </x:c>
      <x:c r="C16" s="49" t="str">
        <x:v>yieldStrength</x:v>
      </x:c>
      <x:c r="D16" s="50" t="str">
        <x:v>https://w3id.org/nltl-benchmark/vocab#yieldStrength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http://qudt.org/vocab/unit/MegaPA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92a00b2cd243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RUN-I2-035-20260813T164744422614Z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RUN-I2-035-20260813T164744422614Z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9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RUN-I2-035-20260813T164744422614Z</x:v>
      </x:c>
      <x:c r="B6" s="49" t="str">
        <x:v>I2-035</x:v>
      </x:c>
      <x:c r="C6" s="49" t="str">
        <x:v>FS-QTY-01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e8fa99f9049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RUN-I2-035-20260813T164744422614Z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RUN-I2-035-20260813T164744422614Z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https://w3id.org/nltl-benchmark/vocab#averageIcePressure | https://w3id.org/nltl-benchmark/vocab#frameSpacing | https://w3id.org/nltl-benchmark/vocab#frameSpan | https://w3id.org/nltl-benchmark/vocab#peakPressureFactor | https://w3id.org/nltl-benchmark/vocab#requiredLongitudinalFrameShearArea | https://w3id.org/nltl-benchmark/vocab#shearArea | https://w3id.org/nltl-benchmark/vocab#ship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bdb9d45a0d47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RUN-I2-035-20260813T164744422614Z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RUN-I2-035-20260813T164744422614Z</x:v>
      </x:c>
      <x:c r="B5" s="45" t="str">
        <x:v>I2-035</x:v>
      </x:c>
      <x:c r="C5" s="58" t="n">
        <x:v>1</x:v>
      </x:c>
      <x:c r="D5" s="45" t="str">
        <x:v>matcher_search</x:v>
      </x:c>
      <x:c r="E5" s="46" t="str">
        <x:v>Replace the presence-only treatment of requiredLongitudinalFrameShearArea with a bounded formula validation implementing the complete comparisonModel: compute b'=b/s, conditional b2, ko, b1, and A_L from AF, PPF_s, P_avg, a, s, b, and sigma_y; validate the reported A_L in cm² using a tolerance scaled from the computed value, then enforce converted actual shearArea &gt;= A_L. Add the missing canonical properties for AF and b (and any required modeled intermediates) on the ship; run the variable matcher because those terms were not supplied. Retain the supplied ship ownership and existing units, and ensure missing branch-selection operands cannot pass.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RUN-I2-035-20260813T164744422614Z</x:v>
      </x:c>
      <x:c r="B6" s="49" t="str">
        <x:v>I2-035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supported for the missing AF or b properties or required modeled intermediates.</x:v>
      </x:c>
    </x:row>
  </x:sheetData>
  <x:pageMargins left="0.7" right="0.7" top="0.75" bottom="0.75" header="0.3" footer="0.3"/>
  <x:tableParts count="1">
    <x:tablePart xmlns:r="http://schemas.openxmlformats.org/officeDocument/2006/relationships" r:id="Rf166b06c2ff14f7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RUN-I2-035-20260813T164744422614Z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RUN-I2-035-20260813T164744422614Z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9f6b5970f2055735d46accb46f372f444eb2accbe287b4ae6fbe273039c3bd14</x:v>
      </x:c>
      <x:c r="G5" s="58" t="n">
        <x:v>17655</x:v>
      </x:c>
    </x:row>
    <x:row r="6">
      <x:c r="A6" s="47" t="str">
        <x:v>RUN-I2-035-20260813T164744422614Z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4a49193b74c04d0276a1c4049627e8d650ccd7e2dabb56cad5a1a4a0c842d1de</x:v>
      </x:c>
      <x:c r="G6" s="59" t="n">
        <x:v>5365</x:v>
      </x:c>
    </x:row>
    <x:row r="7">
      <x:c r="A7" s="47" t="str">
        <x:v>RUN-I2-035-20260813T164744422614Z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710de3fa816b0ed8ba720b06cecf02412b4255eca481691b6e8be114d5fe72ad</x:v>
      </x:c>
      <x:c r="G7" s="59" t="n">
        <x:v>29632</x:v>
      </x:c>
    </x:row>
    <x:row r="8">
      <x:c r="A8" s="47" t="str">
        <x:v>RUN-I2-035-20260813T164744422614Z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bf5d6498bb5e6dee145c4d568d52e320bcbf48870f101cf6511be15c19a7e9c4</x:v>
      </x:c>
      <x:c r="G8" s="59" t="n">
        <x:v>5131</x:v>
      </x:c>
    </x:row>
    <x:row r="9">
      <x:c r="A9" s="47" t="str">
        <x:v>RUN-I2-035-20260813T164744422614Z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f18a61cbbb13aa864f8051153d3482599f1904bc577a1132a2f945bbd04efd26</x:v>
      </x:c>
      <x:c r="G9" s="59" t="n">
        <x:v>5106</x:v>
      </x:c>
    </x:row>
    <x:row r="10">
      <x:c r="A10" s="47" t="str">
        <x:v>RUN-I2-035-20260813T164744422614Z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94d43d6e117f359e7d2fa2825580f9b4c5088756794fc82096adf592bb60f232</x:v>
      </x:c>
      <x:c r="G10" s="59" t="n">
        <x:v>874</x:v>
      </x:c>
    </x:row>
    <x:row r="11">
      <x:c r="A11" s="47" t="str">
        <x:v>RUN-I2-035-20260813T164744422614Z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b1d466898cc3771582c06d92d60e378eff4e38dee0bea1df4f0b47e80d584cc3</x:v>
      </x:c>
      <x:c r="G11" s="59" t="n">
        <x:v>30061</x:v>
      </x:c>
    </x:row>
    <x:row r="12">
      <x:c r="A12" s="47" t="str">
        <x:v>RUN-I2-035-20260813T164744422614Z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d01158f4b555bc6773434cfa815fd267def8b45f70788fd33e21985b274a32e7</x:v>
      </x:c>
      <x:c r="G12" s="59" t="n">
        <x:v>719</x:v>
      </x:c>
    </x:row>
    <x:row r="13">
      <x:c r="A13" s="47" t="str">
        <x:v>RUN-I2-035-20260813T164744422614Z</x:v>
      </x:c>
      <x:c r="B13" s="47" t="str">
        <x:v>I2-035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2d4372bc737f06c4420e882bbca044ede77843deb346415dc9696c5fb4d355ad</x:v>
      </x:c>
      <x:c r="G13" s="59" t="n">
        <x:v>4436</x:v>
      </x:c>
    </x:row>
    <x:row r="14">
      <x:c r="A14" s="47" t="str">
        <x:v>RUN-I2-035-20260813T164744422614Z</x:v>
      </x:c>
      <x:c r="B14" s="47" t="str">
        <x:v>I2-035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35041db48e3c3cd3229da8faf2e45e7ad6dccc430dcab47203e9c4c7814ed0cd</x:v>
      </x:c>
      <x:c r="G14" s="59" t="n">
        <x:v>9249</x:v>
      </x:c>
    </x:row>
    <x:row r="15">
      <x:c r="A15" s="49" t="str">
        <x:v>RUN-I2-035-20260813T164744422614Z</x:v>
      </x:c>
      <x:c r="B15" s="49" t="str">
        <x:v>I2-035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ccd107cd52679f76ab48cb7b08cef0838b548ec1a1f78cc1984a77770b17b07a</x:v>
      </x:c>
      <x:c r="G15" s="60" t="n">
        <x:v>206</x:v>
      </x:c>
    </x:row>
  </x:sheetData>
  <x:pageMargins left="0.7" right="0.7" top="0.75" bottom="0.75" header="0.3" footer="0.3"/>
  <x:tableParts count="1">
    <x:tablePart xmlns:r="http://schemas.openxmlformats.org/officeDocument/2006/relationships" r:id="R2ec677b05a444e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RUN-I2-035-20260813T164744422614Z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RUN-I2-035-20260813T164744422614Z</x:v>
      </x:c>
      <x:c r="B5" s="69" t="str">
        <x:v>I2-035</x:v>
      </x:c>
      <x:c r="C5" s="71" t="n">
        <x:v>1</x:v>
      </x:c>
      <x:c r="D5" s="69" t="str">
        <x:v>TERM_RESOLUTION_UNRESOLVED</x:v>
      </x:c>
      <x:c r="E5" s="73" t="str">
        <x:v>No supplied candidate is semantically supported for the missing AF or b properties or required modeled intermediates.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63f4decde449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RUN-I2-035-20260813T164744422614Z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