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5c79a0f09f64f3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63486b8e794677"/>
    <x:sheet xmlns:r="http://schemas.openxmlformats.org/officeDocument/2006/relationships" name="README" sheetId="2" r:id="Rc2c719499a3f4e5d"/>
    <x:sheet xmlns:r="http://schemas.openxmlformats.org/officeDocument/2006/relationships" name="REGULATION_QUEUE" sheetId="3" r:id="R8d469a2e0c3b4d4b"/>
    <x:sheet xmlns:r="http://schemas.openxmlformats.org/officeDocument/2006/relationships" name="RUNS" sheetId="4" r:id="Rb7927e8d873b4a49"/>
    <x:sheet xmlns:r="http://schemas.openxmlformats.org/officeDocument/2006/relationships" name="ITERATIONS" sheetId="5" r:id="R93fd282a18d24705"/>
    <x:sheet xmlns:r="http://schemas.openxmlformats.org/officeDocument/2006/relationships" name="API_CALLS" sheetId="6" r:id="R66176ea582fd41ed"/>
    <x:sheet xmlns:r="http://schemas.openxmlformats.org/officeDocument/2006/relationships" name="TERM_RETRIEVAL" sheetId="7" r:id="R4b3c45318c35499f"/>
    <x:sheet xmlns:r="http://schemas.openxmlformats.org/officeDocument/2006/relationships" name="FEW_SHOT_SELECTION" sheetId="8" r:id="R7e2ed7f128d9439e"/>
    <x:sheet xmlns:r="http://schemas.openxmlformats.org/officeDocument/2006/relationships" name="VALIDATION" sheetId="9" r:id="R52d4427007e24f34"/>
    <x:sheet xmlns:r="http://schemas.openxmlformats.org/officeDocument/2006/relationships" name="VOCAB_MATCHES" sheetId="10" r:id="R1ee650bb87c046f0"/>
    <x:sheet xmlns:r="http://schemas.openxmlformats.org/officeDocument/2006/relationships" name="ARTIFACTS" sheetId="11" r:id="Re05f2493d4fb4903"/>
    <x:sheet xmlns:r="http://schemas.openxmlformats.org/officeDocument/2006/relationships" name="UNRESOLVED" sheetId="12" r:id="R597534e9c2654d5a"/>
    <x:sheet xmlns:r="http://schemas.openxmlformats.org/officeDocument/2006/relationships" name="RDF_TEST_QUEUE" sheetId="13" r:id="Rdd89f7af154f45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0" fillId="0" borderId="1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1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1" fontId="6" fillId="0" borderId="3" xfId="0" applyNumberFormat="1" applyFont="1" applyFill="1" applyBorder="1" applyAlignment="1">
      <x:alignment vertical="top"/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1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3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48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9c436857684694" /><Relationship Type="http://schemas.openxmlformats.org/officeDocument/2006/relationships/theme" Target="/xl/theme/theme1.xml" Id="R90b272f3d1674798" /><Relationship Type="http://schemas.microsoft.com/office/2022/11/relationships/FeaturePropertyBag" Target="/xl/featurePropertyBag/featurePropertyBag.xml" Id="R627c62f4ecc54390" /><Relationship Type="http://schemas.openxmlformats.org/officeDocument/2006/relationships/sharedStrings" Target="/xl/sharedStrings.xml" Id="R4998c8f76f114d02" /><Relationship Type="http://schemas.openxmlformats.org/officeDocument/2006/relationships/worksheet" Target="/xl/worksheets/sheet1.xml" Id="R9563486b8e794677" /><Relationship Type="http://schemas.openxmlformats.org/officeDocument/2006/relationships/worksheet" Target="/xl/worksheets/sheet2.xml" Id="Rc2c719499a3f4e5d" /><Relationship Type="http://schemas.openxmlformats.org/officeDocument/2006/relationships/worksheet" Target="/xl/worksheets/sheet3.xml" Id="R8d469a2e0c3b4d4b" /><Relationship Type="http://schemas.openxmlformats.org/officeDocument/2006/relationships/worksheet" Target="/xl/worksheets/sheet4.xml" Id="Rb7927e8d873b4a49" /><Relationship Type="http://schemas.openxmlformats.org/officeDocument/2006/relationships/worksheet" Target="/xl/worksheets/sheet5.xml" Id="R93fd282a18d24705" /><Relationship Type="http://schemas.openxmlformats.org/officeDocument/2006/relationships/worksheet" Target="/xl/worksheets/sheet6.xml" Id="R66176ea582fd41ed" /><Relationship Type="http://schemas.openxmlformats.org/officeDocument/2006/relationships/worksheet" Target="/xl/worksheets/sheet7.xml" Id="R4b3c45318c35499f" /><Relationship Type="http://schemas.openxmlformats.org/officeDocument/2006/relationships/worksheet" Target="/xl/worksheets/sheet8.xml" Id="R7e2ed7f128d9439e" /><Relationship Type="http://schemas.openxmlformats.org/officeDocument/2006/relationships/worksheet" Target="/xl/worksheets/sheet9.xml" Id="R52d4427007e24f34" /><Relationship Type="http://schemas.openxmlformats.org/officeDocument/2006/relationships/worksheet" Target="/xl/worksheets/sheet10.xml" Id="R1ee650bb87c046f0" /><Relationship Type="http://schemas.openxmlformats.org/officeDocument/2006/relationships/worksheet" Target="/xl/worksheets/sheet11.xml" Id="Re05f2493d4fb4903" /><Relationship Type="http://schemas.openxmlformats.org/officeDocument/2006/relationships/worksheet" Target="/xl/worksheets/sheet12.xml" Id="R597534e9c2654d5a" /><Relationship Type="http://schemas.openxmlformats.org/officeDocument/2006/relationships/worksheet" Target="/xl/worksheets/sheet13.xml" Id="Rdd89f7af154f456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6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17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74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6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9_VOCABMATCHES" displayName="T9_VOCABMATCHES" ref="A4:J8" headerRowCount="1" totalsRowCount="0" totalsRowShown="0">
  <x:tableColumns count="10">
    <x:tableColumn id="1" name="RUN_ID"/>
    <x:tableColumn id="2" name="REQUIREMENT_ID"/>
    <x:tableColumn id="3" name="ITERATION"/>
    <x:tableColumn id="4" name="EVENT"/>
    <x:tableColumn id="5" name="QUERY_FEEDBACK"/>
    <x:tableColumn id="6" name="CANDIDATE_COUNT"/>
    <x:tableColumn id="7" name="MATCH_FOUND"/>
    <x:tableColumn id="8" name="CANONICAL_LOCAL_NAME"/>
    <x:tableColumn id="9" name="CANONICAL_IRI"/>
    <x:tableColumn id="10" name="FEEDBACK_APPENDIX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0_ARTIFACTS" displayName="T10_ARTIFACTS" ref="A4:G25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T11_UNRESOLVED" displayName="T11_UNRESOLVED" ref="A4:F5" headerRowCount="1" totalsRowCount="0" totalsRowShown="0">
  <x:tableColumns count="6">
    <x:tableColumn id="1" name="RUN_ID"/>
    <x:tableColumn id="2" name="REQUIREMENT_ID"/>
    <x:tableColumn id="3" name="ITERATION"/>
    <x:tableColumn id="4" name="ISSUE_TYPE"/>
    <x:tableColumn id="5" name="DETAIL"/>
    <x:tableColumn id="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f8d02e68c2d24da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57c40d0595a8480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8f8cfe8aa5554dae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0597949daef94f92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ce27add35504dac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e9cea9be9146477c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24f5081e20984fbf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ffc6e25faf54009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ff2b4304c1d84b93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a03987eb4e6e49a4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610449199baf4253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RUN-I2-048-20260813T165805775641Z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239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0</x:v>
      </x:c>
      <x:c r="C8" s="21"/>
      <x:c r="D8" s="21"/>
    </x:row>
    <x:row r="9">
      <x:c r="A9" s="25" t="str">
        <x:v>API/LLM records</x:v>
      </x:c>
      <x:c r="B9" s="26" t="n">
        <x:f>COUNTA('API_CALLS'!$A$5:$A$17)</x:f>
        <x:v>13</x:v>
      </x:c>
      <x:c r="C9" s="21"/>
      <x:c r="D9" s="21"/>
    </x:row>
    <x:row r="10">
      <x:c r="A10" s="27" t="str">
        <x:v>Mean API/LLM elapsed ms</x:v>
      </x:c>
      <x:c r="B10" s="28" t="n">
        <x:f>IFERROR(AVERAGE('API_CALLS'!$K$5:$K$17),0)</x:f>
        <x:v>45587.04061538461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RUN-I2-048-20260813T165805775641Z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f8d02e68c2d24dab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12" hidden="0" customWidth="1"/>
    <x:col min="9" max="9" width="18" hidden="0" customWidth="1"/>
    <x:col min="10" max="10" width="19" hidden="0" customWidth="1"/>
    <x:col min="11" max="11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RUN-I2-048-20260813T165805775641Z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Stage 2 candidate - direct/deterministic</x:v>
      </x:c>
      <x:c r="H6" s="47" t="str">
        <x:v>High</x:v>
      </x:c>
      <x:c r="I6" s="47" t="str">
        <x:v>No</x:v>
      </x:c>
      <x:c r="J6" s="47" t="str">
        <x:v>ELIGIBLE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Complex</x:v>
      </x:c>
      <x:c r="G7" s="48" t="str">
        <x:v>Deferred - composite/evidence workflow review</x:v>
      </x:c>
      <x:c r="H7" s="47" t="str">
        <x:v>Medium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Static Calculation</x:v>
      </x:c>
      <x:c r="G11" s="48" t="str">
        <x:v>Stage 2 candidate - direct/deterministic</x:v>
      </x:c>
      <x:c r="H11" s="47" t="str">
        <x:v>High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 Calculation</x:v>
      </x:c>
      <x:c r="G12" s="48" t="str">
        <x:v>Stage 2 candidate - direct/deterministic</x:v>
      </x:c>
      <x:c r="H12" s="47" t="str">
        <x:v>High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 Calculation</x:v>
      </x:c>
      <x:c r="G13" s="48" t="str">
        <x:v>Stage 2 candidate - direct/deterministic</x:v>
      </x:c>
      <x:c r="H13" s="47" t="str">
        <x:v>High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Static</x:v>
      </x:c>
      <x:c r="G15" s="48" t="str">
        <x:v>Stage 2 candidate - direct/deterministic</x:v>
      </x:c>
      <x:c r="H15" s="47" t="str">
        <x:v>Medium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Static Calculation</x:v>
      </x:c>
      <x:c r="G17" s="48" t="str">
        <x:v>Stage 2 candidate - direct/deterministic</x:v>
      </x:c>
      <x:c r="H17" s="47" t="str">
        <x:v>High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Static Calculation</x:v>
      </x:c>
      <x:c r="G18" s="48" t="str">
        <x:v>Stage 2 candidate - direct/deterministic</x:v>
      </x:c>
      <x:c r="H18" s="47" t="str">
        <x:v>High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Static Calculation</x:v>
      </x:c>
      <x:c r="G22" s="48" t="str">
        <x:v>Stage 2 candidate - direct/deterministic</x:v>
      </x:c>
      <x:c r="H22" s="47" t="str">
        <x:v>High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Static Calculation</x:v>
      </x:c>
      <x:c r="G23" s="48" t="str">
        <x:v>Stage 2 candidate - direct/deterministic</x:v>
      </x:c>
      <x:c r="H23" s="47" t="str">
        <x:v>Medium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Static Calculation</x:v>
      </x:c>
      <x:c r="G24" s="48" t="str">
        <x:v>Stage 2 candidate - direct/deterministic</x:v>
      </x:c>
      <x:c r="H24" s="47" t="str">
        <x:v>High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 Calculation</x:v>
      </x:c>
      <x:c r="G26" s="48" t="str">
        <x:v>Stage 2 candidate - direct/deterministic</x:v>
      </x:c>
      <x:c r="H26" s="47" t="str">
        <x:v>Medium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Static Calculation</x:v>
      </x:c>
      <x:c r="G27" s="48" t="str">
        <x:v>Stage 2 candidate - direct/deterministic</x:v>
      </x:c>
      <x:c r="H27" s="47" t="str">
        <x:v>Medium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Static Calculation</x:v>
      </x:c>
      <x:c r="G33" s="48" t="str">
        <x:v>Stage 2 candidate - direct/deterministic</x:v>
      </x:c>
      <x:c r="H33" s="47" t="str">
        <x:v>Medium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Static Calculation</x:v>
      </x:c>
      <x:c r="G34" s="48" t="str">
        <x:v>Stage 2 candidate - direct/deterministic</x:v>
      </x:c>
      <x:c r="H34" s="47" t="str">
        <x:v>Medium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Static Calculation</x:v>
      </x:c>
      <x:c r="G36" s="48" t="str">
        <x:v>Stage 2 candidate - direct/deterministic</x:v>
      </x:c>
      <x:c r="H36" s="47" t="str">
        <x:v>Medium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 Calculation</x:v>
      </x:c>
      <x:c r="G39" s="48" t="str">
        <x:v>Stage 2 candidate - direct/deterministic</x:v>
      </x:c>
      <x:c r="H39" s="47" t="str">
        <x:v>Medium</x:v>
      </x:c>
      <x:c r="I39" s="47" t="str">
        <x:v>No</x:v>
      </x:c>
      <x:c r="J39" s="47" t="str">
        <x:v>ELIGIBLE</x:v>
      </x:c>
      <x:c r="K39" s="47" t="str">
        <x:v>TERM_RESOLUTION_UNRESOLVED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Static Calculation</x:v>
      </x:c>
      <x:c r="G40" s="48" t="str">
        <x:v>Stage 2 candidate - direct/deterministic</x:v>
      </x:c>
      <x:c r="H40" s="47" t="str">
        <x:v>High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Static</x:v>
      </x:c>
      <x:c r="G42" s="48" t="str">
        <x:v>Stage 2 candidate - direct/deterministic</x:v>
      </x:c>
      <x:c r="H42" s="47" t="str">
        <x:v>High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Static Calculation</x:v>
      </x:c>
      <x:c r="G43" s="48" t="str">
        <x:v>Deferred - missing normative companion method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Static Calculation</x:v>
      </x:c>
      <x:c r="G44" s="48" t="str">
        <x:v>Stage 2 candidate - direct/deterministic</x:v>
      </x:c>
      <x:c r="H44" s="47" t="str">
        <x:v>High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 Calculation</x:v>
      </x:c>
      <x:c r="G45" s="48" t="str">
        <x:v>Stage 2 candidate - direct/deterministic</x:v>
      </x:c>
      <x:c r="H45" s="47" t="str">
        <x:v>Medium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Static</x:v>
      </x:c>
      <x:c r="G48" s="48" t="str">
        <x:v>Stage 2 candidate - direct/deterministic</x:v>
      </x:c>
      <x:c r="H48" s="47" t="str">
        <x:v>High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Static Calculation</x:v>
      </x:c>
      <x:c r="G49" s="48" t="str">
        <x:v>Stage 2 candidate - direct/deterministic</x:v>
      </x:c>
      <x:c r="H49" s="47" t="str">
        <x:v>High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Static Calculation</x:v>
      </x:c>
      <x:c r="G50" s="48" t="str">
        <x:v>Stage 2 candidate - direct/deterministic</x:v>
      </x:c>
      <x:c r="H50" s="47" t="str">
        <x:v>Medium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Static Calculation</x:v>
      </x:c>
      <x:c r="G63" s="48" t="str">
        <x:v>Stage 2 candidate - direct/deterministic</x:v>
      </x:c>
      <x:c r="H63" s="47" t="str">
        <x:v>High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Complex</x:v>
      </x:c>
      <x:c r="G70" s="48" t="str">
        <x:v>Deferred - composite/evidence workflow review</x:v>
      </x:c>
      <x:c r="H70" s="47" t="str">
        <x:v>Medium</x:v>
      </x:c>
      <x:c r="I70" s="47" t="str">
        <x:v>No</x:v>
      </x:c>
      <x:c r="J70" s="47" t="str">
        <x:v>DEFERRED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Complex</x:v>
      </x:c>
      <x:c r="G73" s="48" t="str">
        <x:v>Deferred - composite/evidence workflow review</x:v>
      </x:c>
      <x:c r="H73" s="47" t="str">
        <x:v>Medium</x:v>
      </x:c>
      <x:c r="I73" s="47" t="str">
        <x:v>No</x:v>
      </x:c>
      <x:c r="J73" s="47" t="str">
        <x:v>DEFERRED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Complex</x:v>
      </x:c>
      <x:c r="G79" s="48" t="str">
        <x:v>Deferred - composite/evidence workflow review</x:v>
      </x:c>
      <x:c r="H79" s="47" t="str">
        <x:v>Medium</x:v>
      </x:c>
      <x:c r="I79" s="47" t="str">
        <x:v>No</x:v>
      </x:c>
      <x:c r="J79" s="47" t="str">
        <x:v>DEFERRED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Complex</x:v>
      </x:c>
      <x:c r="G80" s="48" t="str">
        <x:v>Deferred - composite/evidence workflow review</x:v>
      </x:c>
      <x:c r="H80" s="47" t="str">
        <x:v>Medium</x:v>
      </x:c>
      <x:c r="I80" s="47" t="str">
        <x:v>No</x:v>
      </x:c>
      <x:c r="J80" s="47" t="str">
        <x:v>DEFERRED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Complex</x:v>
      </x:c>
      <x:c r="G82" s="48" t="str">
        <x:v>Deferred - composite/evidence workflow review</x:v>
      </x:c>
      <x:c r="H82" s="47" t="str">
        <x:v>Medium</x:v>
      </x:c>
      <x:c r="I82" s="47" t="str">
        <x:v>No</x:v>
      </x:c>
      <x:c r="J82" s="47" t="str">
        <x:v>DEFERRED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Complex</x:v>
      </x:c>
      <x:c r="G83" s="48" t="str">
        <x:v>Deferred - composite/evidence workflow review</x:v>
      </x:c>
      <x:c r="H83" s="47" t="str">
        <x:v>Medium</x:v>
      </x:c>
      <x:c r="I83" s="47" t="str">
        <x:v>No</x:v>
      </x:c>
      <x:c r="J83" s="47" t="str">
        <x:v>DEFERRED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Complex</x:v>
      </x:c>
      <x:c r="G84" s="48" t="str">
        <x:v>Deferred - composite/evidence workflow review</x:v>
      </x:c>
      <x:c r="H84" s="47" t="str">
        <x:v>Medium</x:v>
      </x:c>
      <x:c r="I84" s="47" t="str">
        <x:v>No</x:v>
      </x:c>
      <x:c r="J84" s="47" t="str">
        <x:v>DEFERRED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Complex</x:v>
      </x:c>
      <x:c r="G86" s="48" t="str">
        <x:v>Deferred - composite/evidence workflow review</x:v>
      </x:c>
      <x:c r="H86" s="47" t="str">
        <x:v>Medium</x:v>
      </x:c>
      <x:c r="I86" s="47" t="str">
        <x:v>No</x:v>
      </x:c>
      <x:c r="J86" s="47" t="str">
        <x:v>DEFERRED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Static Calculation</x:v>
      </x:c>
      <x:c r="G89" s="48" t="str">
        <x:v>Stage 2 candidate - direct/deterministic</x:v>
      </x:c>
      <x:c r="H89" s="47" t="str">
        <x:v>High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Complex</x:v>
      </x:c>
      <x:c r="G100" s="48" t="str">
        <x:v>Deferred - composite/evidence workflow review</x:v>
      </x:c>
      <x:c r="H100" s="47" t="str">
        <x:v>Medium</x:v>
      </x:c>
      <x:c r="I100" s="47" t="str">
        <x:v>No</x:v>
      </x:c>
      <x:c r="J100" s="47" t="str">
        <x:v>DEFERRED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Complex</x:v>
      </x:c>
      <x:c r="G101" s="48" t="str">
        <x:v>Deferred - composite/evidence workflow review</x:v>
      </x:c>
      <x:c r="H101" s="47" t="str">
        <x:v>Medium</x:v>
      </x:c>
      <x:c r="I101" s="47" t="str">
        <x:v>No</x:v>
      </x:c>
      <x:c r="J101" s="47" t="str">
        <x:v>DEFERRED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Complex</x:v>
      </x:c>
      <x:c r="G117" s="48" t="str">
        <x:v>Deferred - composite/evidence workflow review</x:v>
      </x:c>
      <x:c r="H117" s="47" t="str">
        <x:v>Medium</x:v>
      </x:c>
      <x:c r="I117" s="47" t="str">
        <x:v>No</x:v>
      </x:c>
      <x:c r="J117" s="47" t="str">
        <x:v>DEFERRED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Complex</x:v>
      </x:c>
      <x:c r="G120" s="48" t="str">
        <x:v>Deferred - composite/evidence workflow review</x:v>
      </x:c>
      <x:c r="H120" s="47" t="str">
        <x:v>Medium</x:v>
      </x:c>
      <x:c r="I120" s="47" t="str">
        <x:v>No</x:v>
      </x:c>
      <x:c r="J120" s="47" t="str">
        <x:v>DEFERRED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Complex</x:v>
      </x:c>
      <x:c r="G151" s="48" t="str">
        <x:v>Deferred - composite/evidence workflow review</x:v>
      </x:c>
      <x:c r="H151" s="47" t="str">
        <x:v>Medium</x:v>
      </x:c>
      <x:c r="I151" s="47" t="str">
        <x:v>No</x:v>
      </x:c>
      <x:c r="J151" s="47" t="str">
        <x:v>DEFERRED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Complex</x:v>
      </x:c>
      <x:c r="G152" s="48" t="str">
        <x:v>Deferred - composite/evidence workflow review</x:v>
      </x:c>
      <x:c r="H152" s="47" t="str">
        <x:v>Medium</x:v>
      </x:c>
      <x:c r="I152" s="47" t="str">
        <x:v>No</x:v>
      </x:c>
      <x:c r="J152" s="47" t="str">
        <x:v>DEFERRED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Complex</x:v>
      </x:c>
      <x:c r="G153" s="48" t="str">
        <x:v>Deferred - composite/evidence workflow review</x:v>
      </x:c>
      <x:c r="H153" s="47" t="str">
        <x:v>Medium</x:v>
      </x:c>
      <x:c r="I153" s="47" t="str">
        <x:v>No</x:v>
      </x:c>
      <x:c r="J153" s="47" t="str">
        <x:v>DEFERRED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Complex</x:v>
      </x:c>
      <x:c r="G155" s="48" t="str">
        <x:v>Deferred - composite/evidence workflow review</x:v>
      </x:c>
      <x:c r="H155" s="47" t="str">
        <x:v>Medium</x:v>
      </x:c>
      <x:c r="I155" s="47" t="str">
        <x:v>No</x:v>
      </x:c>
      <x:c r="J155" s="47" t="str">
        <x:v>DEFERRED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 Calculation</x:v>
      </x:c>
      <x:c r="G160" s="48" t="str">
        <x:v>Stage 2 candidate - direct/deterministic</x:v>
      </x:c>
      <x:c r="H160" s="47" t="str">
        <x:v>High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 Calculation</x:v>
      </x:c>
      <x:c r="G161" s="48" t="str">
        <x:v>Stage 2 candidate - direct/deterministic</x:v>
      </x:c>
      <x:c r="H161" s="47" t="str">
        <x:v>High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Complex</x:v>
      </x:c>
      <x:c r="G162" s="48" t="str">
        <x:v>Deferred - composite/evidence workflow review</x:v>
      </x:c>
      <x:c r="H162" s="47" t="str">
        <x:v>Medium</x:v>
      </x:c>
      <x:c r="I162" s="47" t="str">
        <x:v>No</x:v>
      </x:c>
      <x:c r="J162" s="47" t="str">
        <x:v>DEFERRED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 Calculation</x:v>
      </x:c>
      <x:c r="G163" s="48" t="str">
        <x:v>Stage 2 candidate - direct/deterministic</x:v>
      </x:c>
      <x:c r="H163" s="47" t="str">
        <x:v>High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Complex</x:v>
      </x:c>
      <x:c r="G166" s="48" t="str">
        <x:v>Deferred - composite/evidence workflow review</x:v>
      </x:c>
      <x:c r="H166" s="47" t="str">
        <x:v>Medium</x:v>
      </x:c>
      <x:c r="I166" s="47" t="str">
        <x:v>No</x:v>
      </x:c>
      <x:c r="J166" s="47" t="str">
        <x:v>DEFERRED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 Calculation</x:v>
      </x:c>
      <x:c r="G167" s="48" t="str">
        <x:v>Stage 2 candidate - direct/deterministic</x:v>
      </x:c>
      <x:c r="H167" s="47" t="str">
        <x:v>High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 Calculation</x:v>
      </x:c>
      <x:c r="G168" s="48" t="str">
        <x:v>Stage 2 candidate - direct/deterministic</x:v>
      </x:c>
      <x:c r="H168" s="47" t="str">
        <x:v>High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Complex</x:v>
      </x:c>
      <x:c r="G169" s="48" t="str">
        <x:v>Deferred - composite/evidence workflow review</x:v>
      </x:c>
      <x:c r="H169" s="47" t="str">
        <x:v>Medium</x:v>
      </x:c>
      <x:c r="I169" s="47" t="str">
        <x:v>No</x:v>
      </x:c>
      <x:c r="J169" s="47" t="str">
        <x:v>DEFERRED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Complex</x:v>
      </x:c>
      <x:c r="G171" s="48" t="str">
        <x:v>Deferred - composite/evidence workflow review</x:v>
      </x:c>
      <x:c r="H171" s="47" t="str">
        <x:v>Medium</x:v>
      </x:c>
      <x:c r="I171" s="47" t="str">
        <x:v>No</x:v>
      </x:c>
      <x:c r="J171" s="47" t="str">
        <x:v>DEFERRED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 Calculation</x:v>
      </x:c>
      <x:c r="G172" s="48" t="str">
        <x:v>Stage 2 candidate - direct/deterministic</x:v>
      </x:c>
      <x:c r="H172" s="47" t="str">
        <x:v>High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Complex</x:v>
      </x:c>
      <x:c r="G175" s="48" t="str">
        <x:v>Deferred - composite/evidence workflow review</x:v>
      </x:c>
      <x:c r="H175" s="47" t="str">
        <x:v>Medium</x:v>
      </x:c>
      <x:c r="I175" s="47" t="str">
        <x:v>No</x:v>
      </x:c>
      <x:c r="J175" s="47" t="str">
        <x:v>DEFERRED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 Calculation</x:v>
      </x:c>
      <x:c r="G176" s="48" t="str">
        <x:v>Stage 2 candidate - direct/deterministic</x:v>
      </x:c>
      <x:c r="H176" s="47" t="str">
        <x:v>High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Complex</x:v>
      </x:c>
      <x:c r="G184" s="48" t="str">
        <x:v>Deferred - composite/evidence workflow review</x:v>
      </x:c>
      <x:c r="H184" s="47" t="str">
        <x:v>High</x:v>
      </x:c>
      <x:c r="I184" s="47" t="str">
        <x:v>No</x:v>
      </x:c>
      <x:c r="J184" s="47" t="str">
        <x:v>DEFERRED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Complex</x:v>
      </x:c>
      <x:c r="G185" s="48" t="str">
        <x:v>Deferred - composite/evidence workflow review</x:v>
      </x:c>
      <x:c r="H185" s="47" t="str">
        <x:v>Medium</x:v>
      </x:c>
      <x:c r="I185" s="47" t="str">
        <x:v>No</x:v>
      </x:c>
      <x:c r="J185" s="47" t="str">
        <x:v>DEFERRED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Complex</x:v>
      </x:c>
      <x:c r="G188" s="48" t="str">
        <x:v>Deferred - composite/evidence workflow review</x:v>
      </x:c>
      <x:c r="H188" s="47" t="str">
        <x:v>High</x:v>
      </x:c>
      <x:c r="I188" s="47" t="str">
        <x:v>No</x:v>
      </x:c>
      <x:c r="J188" s="47" t="str">
        <x:v>DEFERRED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Complex</x:v>
      </x:c>
      <x:c r="G194" s="48" t="str">
        <x:v>Deferred - composite/evidence workflow review</x:v>
      </x:c>
      <x:c r="H194" s="47" t="str">
        <x:v>Medium</x:v>
      </x:c>
      <x:c r="I194" s="47" t="str">
        <x:v>No</x:v>
      </x:c>
      <x:c r="J194" s="47" t="str">
        <x:v>DEFERRED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Complex</x:v>
      </x:c>
      <x:c r="G195" s="48" t="str">
        <x:v>Deferred - composite/evidence workflow review</x:v>
      </x:c>
      <x:c r="H195" s="47" t="str">
        <x:v>Medium</x:v>
      </x:c>
      <x:c r="I195" s="47" t="str">
        <x:v>No</x:v>
      </x:c>
      <x:c r="J195" s="47" t="str">
        <x:v>DEFERRED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Static</x:v>
      </x:c>
      <x:c r="G206" s="48" t="str">
        <x:v>Stage 2 candidate - direct/deterministic</x:v>
      </x:c>
      <x:c r="H206" s="47" t="str">
        <x:v>High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Static Calculation</x:v>
      </x:c>
      <x:c r="G213" s="48" t="str">
        <x:v>Stage 2 candidate - direct/deterministic</x:v>
      </x:c>
      <x:c r="H213" s="47" t="str">
        <x:v>Medium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Static Calculation</x:v>
      </x:c>
      <x:c r="G214" s="48" t="str">
        <x:v>Stage 2 candidate - direct/deterministic</x:v>
      </x:c>
      <x:c r="H214" s="47" t="str">
        <x:v>Medium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Static Calculation</x:v>
      </x:c>
      <x:c r="G217" s="48" t="str">
        <x:v>Stage 2 candidate - direct/deterministic</x:v>
      </x:c>
      <x:c r="H217" s="47" t="str">
        <x:v>High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Static Calculation</x:v>
      </x:c>
      <x:c r="G218" s="48" t="str">
        <x:v>Stage 2 candidate - direct/deterministic</x:v>
      </x:c>
      <x:c r="H218" s="47" t="str">
        <x:v>High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Physical Test</x:v>
      </x:c>
      <x:c r="G220" s="48" t="str">
        <x:v>Evidence-only - physical result not inferred by SHACL</x:v>
      </x:c>
      <x:c r="H220" s="47" t="str">
        <x:v>Medium</x:v>
      </x:c>
      <x:c r="I220" s="47" t="str">
        <x:v>No</x:v>
      </x:c>
      <x:c r="J220" s="47" t="str">
        <x:v>DEFERRED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Complex</x:v>
      </x:c>
      <x:c r="G221" s="48" t="str">
        <x:v>Deferred - composite/evidence workflow review</x:v>
      </x:c>
      <x:c r="H221" s="47" t="str">
        <x:v>Medium</x:v>
      </x:c>
      <x:c r="I221" s="47" t="str">
        <x:v>No</x:v>
      </x:c>
      <x:c r="J221" s="47" t="str">
        <x:v>DEFERRED</x:v>
      </x:c>
      <x:c r="K221" s="47" t="str">
        <x:v>NOT_RUN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Static Calculation</x:v>
      </x:c>
      <x:c r="G222" s="48" t="str">
        <x:v>Stage 2 candidate - direct/deterministic</x:v>
      </x:c>
      <x:c r="H222" s="47" t="str">
        <x:v>High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Static Calculation</x:v>
      </x:c>
      <x:c r="G225" s="48" t="str">
        <x:v>Stage 2 candidate - direct/deterministic</x:v>
      </x:c>
      <x:c r="H225" s="47" t="str">
        <x:v>Medium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 Calculation</x:v>
      </x:c>
      <x:c r="G227" s="48" t="str">
        <x:v>Stage 2 candidate - direct/deterministic</x:v>
      </x:c>
      <x:c r="H227" s="47" t="str">
        <x:v>Medium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Complex</x:v>
      </x:c>
      <x:c r="G229" s="48" t="str">
        <x:v>Deferred - composite/evidence workflow review</x:v>
      </x:c>
      <x:c r="H229" s="47" t="str">
        <x:v>Medium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Complex</x:v>
      </x:c>
      <x:c r="G230" s="48" t="str">
        <x:v>Deferred - composite/evidence workflow review</x:v>
      </x:c>
      <x:c r="H230" s="47" t="str">
        <x:v>Medium</x:v>
      </x:c>
      <x:c r="I230" s="47" t="str">
        <x:v>No</x:v>
      </x:c>
      <x:c r="J230" s="47" t="str">
        <x:v>DEFERRED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Static Calculation</x:v>
      </x:c>
      <x:c r="G231" s="48" t="str">
        <x:v>Stage 2 candidate - direct/deterministic</x:v>
      </x:c>
      <x:c r="H231" s="47" t="str">
        <x:v>High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 Calculation</x:v>
      </x:c>
      <x:c r="G239" s="48" t="str">
        <x:v>Stage 2 candidate - direct/deterministic</x:v>
      </x:c>
      <x:c r="H239" s="47" t="str">
        <x:v>High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Static Calculation</x:v>
      </x:c>
      <x:c r="G241" s="48" t="str">
        <x:v>Stage 2 candidate - direct/deterministic</x:v>
      </x:c>
      <x:c r="H241" s="47" t="str">
        <x:v>Medium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 Calculation</x:v>
      </x:c>
      <x:c r="G245" s="48" t="str">
        <x:v>Stage 2 candidate - direct/deterministic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 Calculation</x:v>
      </x:c>
      <x:c r="G246" s="48" t="str">
        <x:v>Stage 2 candidate - direct/deterministic</x:v>
      </x:c>
      <x:c r="H246" s="47" t="str">
        <x:v>High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Static Calculation</x:v>
      </x:c>
      <x:c r="G250" s="48" t="str">
        <x:v>Stage 2 candidate - direct/deterministic</x:v>
      </x:c>
      <x:c r="H250" s="47" t="str">
        <x:v>Medium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Static Calculation</x:v>
      </x:c>
      <x:c r="G260" s="48" t="str">
        <x:v>Stage 2 candidate - direct/deterministic</x:v>
      </x:c>
      <x:c r="H260" s="47" t="str">
        <x:v>High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Complex</x:v>
      </x:c>
      <x:c r="G264" s="48" t="str">
        <x:v>Deferred - composite/evidence workflow review</x:v>
      </x:c>
      <x:c r="H264" s="47" t="str">
        <x:v>Medium</x:v>
      </x:c>
      <x:c r="I264" s="47" t="str">
        <x:v>No</x:v>
      </x:c>
      <x:c r="J264" s="47" t="str">
        <x:v>DEFERRED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 Calculation</x:v>
      </x:c>
      <x:c r="G266" s="48" t="str">
        <x:v>Stage 2 candidate - direct/deterministic</x:v>
      </x:c>
      <x:c r="H266" s="47" t="str">
        <x:v>High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</x:v>
      </x:c>
      <x:c r="G269" s="48" t="str">
        <x:v>Stage 2 candidate - direct/deterministic</x:v>
      </x:c>
      <x:c r="H269" s="47" t="str">
        <x:v>High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</x:v>
      </x:c>
      <x:c r="G273" s="48" t="str">
        <x:v>Stage 2 candidate - direct/deterministic</x:v>
      </x:c>
      <x:c r="H273" s="47" t="str">
        <x:v>High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</x:v>
      </x:c>
      <x:c r="G275" s="48" t="str">
        <x:v>Stage 2 candidate - direct/deterministic</x:v>
      </x:c>
      <x:c r="H275" s="47" t="str">
        <x:v>High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 Calculation</x:v>
      </x:c>
      <x:c r="G277" s="48" t="str">
        <x:v>Stage 2 candidate - direct/deterministic</x:v>
      </x:c>
      <x:c r="H277" s="47" t="str">
        <x:v>Medium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Complex</x:v>
      </x:c>
      <x:c r="G281" s="48" t="str">
        <x:v>Deferred - composite/evidence workflow review</x:v>
      </x:c>
      <x:c r="H281" s="47" t="str">
        <x:v>Medium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Static Calculation</x:v>
      </x:c>
      <x:c r="G285" s="48" t="str">
        <x:v>Stage 2 candidate - direct/deterministic</x:v>
      </x:c>
      <x:c r="H285" s="47" t="str">
        <x:v>High</x:v>
      </x:c>
      <x:c r="I285" s="47" t="str">
        <x:v>No</x:v>
      </x:c>
      <x:c r="J285" s="47" t="str">
        <x:v>ELIGIBLE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Complex</x:v>
      </x:c>
      <x:c r="G292" s="48" t="str">
        <x:v>Deferred - composite/evidence workflow review</x:v>
      </x:c>
      <x:c r="H292" s="47" t="str">
        <x:v>Medium</x:v>
      </x:c>
      <x:c r="I292" s="47" t="str">
        <x:v>No</x:v>
      </x:c>
      <x:c r="J292" s="47" t="str">
        <x:v>DEFERRED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Static Calculation</x:v>
      </x:c>
      <x:c r="G299" s="48" t="str">
        <x:v>Stage 2 candidate - direct/deterministic</x:v>
      </x:c>
      <x:c r="H299" s="47" t="str">
        <x:v>High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Static Calculation</x:v>
      </x:c>
      <x:c r="G300" s="48" t="str">
        <x:v>Stage 2 candidate - direct/deterministic</x:v>
      </x:c>
      <x:c r="H300" s="47" t="str">
        <x:v>High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Static</x:v>
      </x:c>
      <x:c r="G302" s="48" t="str">
        <x:v>Stage 2 candidate - direct/deterministic</x:v>
      </x:c>
      <x:c r="H302" s="47" t="str">
        <x:v>Medium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Static Calculation</x:v>
      </x:c>
      <x:c r="G303" s="48" t="str">
        <x:v>Stage 2 candidate - direct/deterministic</x:v>
      </x:c>
      <x:c r="H303" s="47" t="str">
        <x:v>High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Static Calculation</x:v>
      </x:c>
      <x:c r="G304" s="48" t="str">
        <x:v>Stage 2 candidate - direct/deterministic</x:v>
      </x:c>
      <x:c r="H304" s="47" t="str">
        <x:v>High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Static Calculation</x:v>
      </x:c>
      <x:c r="G308" s="48" t="str">
        <x:v>Stage 2 candidate - direct/deterministic</x:v>
      </x:c>
      <x:c r="H308" s="47" t="str">
        <x:v>Medium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 Calculation</x:v>
      </x:c>
      <x:c r="G312" s="48" t="str">
        <x:v>Stage 2 candidate - direct/deterministic</x:v>
      </x:c>
      <x:c r="H312" s="47" t="str">
        <x:v>High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</x:v>
      </x:c>
      <x:c r="G314" s="48" t="str">
        <x:v>Stage 2 candidate - direct/deterministic</x:v>
      </x:c>
      <x:c r="H314" s="47" t="str">
        <x:v>High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c40d0595a8480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4" hidden="0" customWidth="1"/>
    <x:col min="7" max="7" width="24" hidden="0" customWidth="1"/>
    <x:col min="8" max="8" width="11" hidden="0" customWidth="1"/>
    <x:col min="9" max="9" width="24" hidden="0" customWidth="1"/>
    <x:col min="10" max="10" width="11" hidden="0" customWidth="1"/>
    <x:col min="11" max="11" width="1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RUN-I2-048-20260813T165805775641Z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SESSION-BATCH-20260813T151944473992Z</x:v>
      </x:c>
      <x:c r="B5" s="69" t="str">
        <x:v>RUN-I2-048-20260813T165805775641Z</x:v>
      </x:c>
      <x:c r="C5" s="69" t="str">
        <x:v>I2-048</x:v>
      </x:c>
      <x:c r="D5" s="70" t="n">
        <x:v>46247.70701130787</x:v>
      </x:c>
      <x:c r="E5" s="70" t="n">
        <x:v>46247.71050074074</x:v>
      </x:c>
      <x:c r="F5" s="69" t="str">
        <x:v>0.9.0-dev-r9-foundation</x:v>
      </x:c>
      <x:c r="G5" s="69" t="str">
        <x:v>VOCAB-DEV-2026-08-13-R9-FOUNDATION</x:v>
      </x:c>
      <x:c r="H5" s="71" t="n">
        <x:v>2</x:v>
      </x:c>
      <x:c r="I5" s="69" t="str">
        <x:v>TERM_RESOLUTION_UNRESOLVED</x:v>
      </x:c>
      <x:c r="J5" s="72" t="b">
        <x:v>0</x:v>
      </x:c>
      <x:c r="K5" s="69" t="str"/>
      <x:c r="L5" s="73" t="str">
        <x:v>No candidate provides the absent canonical ordered-grade or comparison term needed for a Table 8 minimum-grade comparison; steelGrade is string-valued and must not be used for lexical ordering.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8f8cfe8aa5554dae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22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RUN-I2-048-20260813T165805775641Z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45" t="str">
        <x:v>RUN-I2-048-20260813T165805775641Z</x:v>
      </x:c>
      <x:c r="B5" s="45" t="str">
        <x:v>I2-048</x:v>
      </x:c>
      <x:c r="C5" s="58" t="n">
        <x:v>1</x:v>
      </x:c>
      <x:c r="D5" s="80" t="b">
        <x:v>1</x:v>
      </x:c>
      <x:c r="E5" s="80" t="b">
        <x:v>0</x:v>
      </x:c>
      <x:c r="F5" s="80" t="b">
        <x:v>1</x:v>
      </x:c>
      <x:c r="G5" s="45" t="str">
        <x:v>REVISE_WITH_MATCH</x:v>
      </x:c>
      <x:c r="H5" s="46" t="str">
        <x:v>Replace the presence-only approximation with an actual Table 8 lookup and not-less-than validation. The case currently accepts any steelGradeValue and never checks the ship/plating's actual grade against the minimum grade selected from Polar Class, as-built thickness, material class, and strength category; it also omits the dependency-contract applicability term materialClass. Use one case node to pair the lookup inputs and result, constrain each lookup field to an unambiguous single value, encode the exact Table 8 selection, and compare actual grade in the correct ordering direction (actual grade &gt;= required Table 8 grade). Do not compare ordered grades as strings. Activate vocabulary matching to locate the missing canonical actual-grade, grade-order, and/or Table 8 mapping terms or controlled values rather than inventing them.</x:v>
      </x:c>
      <x:c r="I5" s="81" t="n">
        <x:v>37983.439</x:v>
      </x:c>
      <x:c r="J5" s="81" t="n">
        <x:v>20921.345</x:v>
      </x:c>
    </x:row>
    <x:row r="6">
      <x:c r="A6" s="49" t="str">
        <x:v>RUN-I2-048-20260813T165805775641Z</x:v>
      </x:c>
      <x:c r="B6" s="49" t="str">
        <x:v>I2-048</x:v>
      </x:c>
      <x:c r="C6" s="60" t="n">
        <x:v>2</x:v>
      </x:c>
      <x:c r="D6" s="82" t="b">
        <x:v>1</x:v>
      </x:c>
      <x:c r="E6" s="82" t="b">
        <x:v>0</x:v>
      </x:c>
      <x:c r="F6" s="82" t="b">
        <x:v>1</x:v>
      </x:c>
      <x:c r="G6" s="49" t="str">
        <x:v>STOP_TERM_RESOLUTION</x:v>
      </x:c>
      <x:c r="H6" s="50" t="str">
        <x:v>Replace the presence-only case shape with an actual Table 8 lookup and comparison: validate that the cited-table minimum is selected from the paired as-built thickness, Polar Class, material class, and steel-strength category, then verify that the plating's actual steel grade is not less than that minimum using canonical ordered-grade/comparison terms. Locate those absent canonical terms with the matcher; do not compare the available string-valued steelGrade lexically. Also move polarClass, materialClass, asBuiltPlateThickness, and requiredHullStructuralSteelGrade checks to their authoritative ship owner, while retaining only relationships whose canonical domain requires the steel-grade case, and avoid duplicating facts on ship and case.</x:v>
      </x:c>
      <x:c r="I6" s="83" t="n">
        <x:v>216460.706</x:v>
      </x:c>
      <x:c r="J6" s="83" t="n">
        <x:v>10528.095</x:v>
      </x:c>
    </x:row>
  </x:sheetData>
  <x:conditionalFormatting sqref="G5:G6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0597949daef94f92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20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RUN-I2-048-20260813T165805775641Z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EVT-000043</x:v>
      </x:c>
      <x:c r="B5" s="45" t="str">
        <x:v>RUN-I2-048-20260813T165805775641Z</x:v>
      </x:c>
      <x:c r="C5" s="45" t="str">
        <x:v>I2-048</x:v>
      </x:c>
      <x:c r="D5" s="90" t="n">
        <x:v>46247.70745097222</x:v>
      </x:c>
      <x:c r="E5" s="45" t="str">
        <x:v>generator</x:v>
      </x:c>
      <x:c r="F5" s="45" t="str">
        <x:v>gpt-5.6-sol-2026-07-09</x:v>
      </x:c>
      <x:c r="G5" s="45" t="n">
        <x:v>1</x:v>
      </x:c>
      <x:c r="H5" s="45" t="n">
        <x:v>200</x:v>
      </x:c>
      <x:c r="I5" s="45" t="str">
        <x:v>Ocp-Apim-Subscription-Key</x:v>
      </x:c>
      <x:c r="J5" s="81" t="n">
        <x:v>0</x:v>
      </x:c>
      <x:c r="K5" s="81" t="n">
        <x:v>37982.168</x:v>
      </x:c>
      <x:c r="L5" s="80" t="b">
        <x:v>0</x:v>
      </x:c>
      <x:c r="M5" s="45" t="str"/>
      <x:c r="N5" s="58" t="str"/>
      <x:c r="O5" s="58" t="str"/>
      <x:c r="P5" s="58" t="str"/>
    </x:row>
    <x:row r="6">
      <x:c r="A6" s="47" t="str">
        <x:v>EVT-000044</x:v>
      </x:c>
      <x:c r="B6" s="47" t="str">
        <x:v>RUN-I2-048-20260813T165805775641Z</x:v>
      </x:c>
      <x:c r="C6" s="47" t="str">
        <x:v>I2-048</x:v>
      </x:c>
      <x:c r="D6" s="91" t="n">
        <x:v>46247.70745099537</x:v>
      </x:c>
      <x:c r="E6" s="47" t="str">
        <x:v>generator</x:v>
      </x:c>
      <x:c r="F6" s="47" t="str">
        <x:v>gpt-5.6-sol-2026-07-09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37983.439</x:v>
      </x:c>
      <x:c r="L6" s="93" t="b">
        <x:v>0</x:v>
      </x:c>
      <x:c r="M6" s="47" t="str">
        <x:v>resp_033ac3530a30fe6a006a7df79dedb48195844564939f1e3f80</x:v>
      </x:c>
      <x:c r="N6" s="59" t="n">
        <x:v>12938</x:v>
      </x:c>
      <x:c r="O6" s="59" t="n">
        <x:v>3088</x:v>
      </x:c>
      <x:c r="P6" s="59" t="n">
        <x:v>16026</x:v>
      </x:c>
    </x:row>
    <x:row r="7">
      <x:c r="A7" s="47" t="str">
        <x:v>EVT-000051</x:v>
      </x:c>
      <x:c r="B7" s="47" t="str">
        <x:v>RUN-I2-048-20260813T165805775641Z</x:v>
      </x:c>
      <x:c r="C7" s="47" t="str">
        <x:v>I2-048</x:v>
      </x:c>
      <x:c r="D7" s="91" t="n">
        <x:v>46247.707694606484</x:v>
      </x:c>
      <x:c r="E7" s="47" t="str">
        <x:v>validator</x:v>
      </x:c>
      <x:c r="F7" s="47" t="str">
        <x:v>gpt-5.6-sol-2026-07-09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20920.101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7" t="str">
        <x:v>EVT-000052</x:v>
      </x:c>
      <x:c r="B8" s="47" t="str">
        <x:v>RUN-I2-048-20260813T165805775641Z</x:v>
      </x:c>
      <x:c r="C8" s="47" t="str">
        <x:v>I2-048</x:v>
      </x:c>
      <x:c r="D8" s="91" t="n">
        <x:v>46247.70769461805</x:v>
      </x:c>
      <x:c r="E8" s="47" t="str">
        <x:v>validator</x:v>
      </x:c>
      <x:c r="F8" s="47" t="str">
        <x:v>gpt-5.6-sol-2026-07-09</x:v>
      </x:c>
      <x:c r="G8" s="47" t="n">
        <x:v>1</x:v>
      </x:c>
      <x:c r="H8" s="47" t="str">
        <x:v>COMPLETED</x:v>
      </x:c>
      <x:c r="I8" s="47" t="str"/>
      <x:c r="J8" s="92" t="n">
        <x:v>0</x:v>
      </x:c>
      <x:c r="K8" s="92" t="n">
        <x:v>20921.345</x:v>
      </x:c>
      <x:c r="L8" s="93" t="b">
        <x:v>0</x:v>
      </x:c>
      <x:c r="M8" s="47" t="str">
        <x:v>resp_036913fad4a39c59006a7df7c40a188195914ab564123c5145</x:v>
      </x:c>
      <x:c r="N8" s="59" t="n">
        <x:v>14789</x:v>
      </x:c>
      <x:c r="O8" s="59" t="n">
        <x:v>1432</x:v>
      </x:c>
      <x:c r="P8" s="59" t="n">
        <x:v>16221</x:v>
      </x:c>
    </x:row>
    <x:row r="9">
      <x:c r="A9" s="47" t="str">
        <x:v>EVT-000058</x:v>
      </x:c>
      <x:c r="B9" s="47" t="str">
        <x:v>RUN-I2-048-20260813T165805775641Z</x:v>
      </x:c>
      <x:c r="C9" s="47" t="str">
        <x:v>I2-048</x:v>
      </x:c>
      <x:c r="D9" s="91" t="n">
        <x:v>46247.70783634259</x:v>
      </x:c>
      <x:c r="E9" s="47" t="str">
        <x:v>vocabulary_matcher</x:v>
      </x:c>
      <x:c r="F9" s="47" t="str">
        <x:v>gpt-5.6-sol-2026-07-09</x:v>
      </x:c>
      <x:c r="G9" s="47" t="n">
        <x:v>1</x:v>
      </x:c>
      <x:c r="H9" s="47" t="n">
        <x:v>200</x:v>
      </x:c>
      <x:c r="I9" s="47" t="str">
        <x:v>Ocp-Apim-Subscription-Key</x:v>
      </x:c>
      <x:c r="J9" s="92" t="n">
        <x:v>0</x:v>
      </x:c>
      <x:c r="K9" s="92" t="n">
        <x:v>11022.935</x:v>
      </x:c>
      <x:c r="L9" s="93" t="b">
        <x:v>0</x:v>
      </x:c>
      <x:c r="M9" s="47" t="str"/>
      <x:c r="N9" s="59" t="str"/>
      <x:c r="O9" s="59" t="str"/>
      <x:c r="P9" s="59" t="str"/>
    </x:row>
    <x:row r="10">
      <x:c r="A10" s="47" t="str">
        <x:v>EVT-000059</x:v>
      </x:c>
      <x:c r="B10" s="47" t="str">
        <x:v>RUN-I2-048-20260813T165805775641Z</x:v>
      </x:c>
      <x:c r="C10" s="47" t="str">
        <x:v>I2-048</x:v>
      </x:c>
      <x:c r="D10" s="91" t="n">
        <x:v>46247.707836354166</x:v>
      </x:c>
      <x:c r="E10" s="47" t="str">
        <x:v>vocabulary_matcher</x:v>
      </x:c>
      <x:c r="F10" s="47" t="str">
        <x:v>gpt-5.6-sol-2026-07-09</x:v>
      </x:c>
      <x:c r="G10" s="47" t="n">
        <x:v>1</x:v>
      </x:c>
      <x:c r="H10" s="47" t="str">
        <x:v>COMPLETED</x:v>
      </x:c>
      <x:c r="I10" s="47" t="str"/>
      <x:c r="J10" s="92" t="n">
        <x:v>0</x:v>
      </x:c>
      <x:c r="K10" s="92" t="n">
        <x:v>11024.268</x:v>
      </x:c>
      <x:c r="L10" s="93" t="b">
        <x:v>0</x:v>
      </x:c>
      <x:c r="M10" s="47" t="str">
        <x:v>resp_024587a9eb6a28ce006a7df7dd1924819792fab1c987b8a1d1</x:v>
      </x:c>
      <x:c r="N10" s="59" t="n">
        <x:v>2843</x:v>
      </x:c>
      <x:c r="O10" s="59" t="n">
        <x:v>434</x:v>
      </x:c>
      <x:c r="P10" s="59" t="n">
        <x:v>3277</x:v>
      </x:c>
    </x:row>
    <x:row r="11">
      <x:c r="A11" s="47" t="str">
        <x:v>EVT-000101</x:v>
      </x:c>
      <x:c r="B11" s="47" t="str">
        <x:v>RUN-I2-048-20260813T165805775641Z</x:v>
      </x:c>
      <x:c r="C11" s="47" t="str">
        <x:v>I2-048</x:v>
      </x:c>
      <x:c r="D11" s="91" t="n">
        <x:v>46247.70971960648</x:v>
      </x:c>
      <x:c r="E11" s="47" t="str">
        <x:v>generator</x:v>
      </x:c>
      <x:c r="F11" s="47" t="str">
        <x:v>gpt-5.6-sol-2026-07-09</x:v>
      </x:c>
      <x:c r="G11" s="47" t="n">
        <x:v>1</x:v>
      </x:c>
      <x:c r="H11" s="47" t="n">
        <x:v>500</x:v>
      </x:c>
      <x:c r="I11" s="47" t="str">
        <x:v>Ocp-Apim-Subscription-Key</x:v>
      </x:c>
      <x:c r="J11" s="92" t="n">
        <x:v>0</x:v>
      </x:c>
      <x:c r="K11" s="92" t="n">
        <x:v>162697.442</x:v>
      </x:c>
      <x:c r="L11" s="93" t="b">
        <x:v>1</x:v>
      </x:c>
      <x:c r="M11" s="47" t="str"/>
      <x:c r="N11" s="59" t="str"/>
      <x:c r="O11" s="59" t="str"/>
      <x:c r="P11" s="59" t="str"/>
    </x:row>
    <x:row r="12">
      <x:c r="A12" s="47" t="str">
        <x:v>EVT-000104</x:v>
      </x:c>
      <x:c r="B12" s="47" t="str">
        <x:v>RUN-I2-048-20260813T165805775641Z</x:v>
      </x:c>
      <x:c r="C12" s="47" t="str">
        <x:v>I2-048</x:v>
      </x:c>
      <x:c r="D12" s="91" t="n">
        <x:v>46247.71034184028</x:v>
      </x:c>
      <x:c r="E12" s="47" t="str">
        <x:v>generator</x:v>
      </x:c>
      <x:c r="F12" s="47" t="str">
        <x:v>gpt-5.6-sol-2026-07-09</x:v>
      </x:c>
      <x:c r="G12" s="47" t="n">
        <x:v>2</x:v>
      </x:c>
      <x:c r="H12" s="47" t="n">
        <x:v>200</x:v>
      </x:c>
      <x:c r="I12" s="47" t="str">
        <x:v>Ocp-Apim-Subscription-Key</x:v>
      </x:c>
      <x:c r="J12" s="92" t="n">
        <x:v>0</x:v>
      </x:c>
      <x:c r="K12" s="92" t="n">
        <x:v>48746.998</x:v>
      </x:c>
      <x:c r="L12" s="93" t="b">
        <x:v>0</x:v>
      </x:c>
      <x:c r="M12" s="47" t="str"/>
      <x:c r="N12" s="59" t="str"/>
      <x:c r="O12" s="59" t="str"/>
      <x:c r="P12" s="59" t="str"/>
    </x:row>
    <x:row r="13">
      <x:c r="A13" s="47" t="str">
        <x:v>EVT-000105</x:v>
      </x:c>
      <x:c r="B13" s="47" t="str">
        <x:v>RUN-I2-048-20260813T165805775641Z</x:v>
      </x:c>
      <x:c r="C13" s="47" t="str">
        <x:v>I2-048</x:v>
      </x:c>
      <x:c r="D13" s="91" t="n">
        <x:v>46247.71034186343</x:v>
      </x:c>
      <x:c r="E13" s="47" t="str">
        <x:v>generator</x:v>
      </x:c>
      <x:c r="F13" s="47" t="str">
        <x:v>gpt-5.6-sol-2026-07-09</x:v>
      </x:c>
      <x:c r="G13" s="47" t="n">
        <x:v>2</x:v>
      </x:c>
      <x:c r="H13" s="47" t="str">
        <x:v>COMPLETED</x:v>
      </x:c>
      <x:c r="I13" s="47" t="str"/>
      <x:c r="J13" s="92" t="n">
        <x:v>0</x:v>
      </x:c>
      <x:c r="K13" s="92" t="n">
        <x:v>216460.706</x:v>
      </x:c>
      <x:c r="L13" s="93" t="b">
        <x:v>0</x:v>
      </x:c>
      <x:c r="M13" s="47" t="str">
        <x:v>resp_03b4f659299a6327006a7df88cf6008190a46930ae6ee85d98</x:v>
      </x:c>
      <x:c r="N13" s="59" t="n">
        <x:v>13160</x:v>
      </x:c>
      <x:c r="O13" s="59" t="n">
        <x:v>3728</x:v>
      </x:c>
      <x:c r="P13" s="59" t="n">
        <x:v>16888</x:v>
      </x:c>
    </x:row>
    <x:row r="14">
      <x:c r="A14" s="47" t="str">
        <x:v>EVT-000112</x:v>
      </x:c>
      <x:c r="B14" s="47" t="str">
        <x:v>RUN-I2-048-20260813T165805775641Z</x:v>
      </x:c>
      <x:c r="C14" s="47" t="str">
        <x:v>I2-048</x:v>
      </x:c>
      <x:c r="D14" s="91" t="n">
        <x:v>46247.71046511574</x:v>
      </x:c>
      <x:c r="E14" s="47" t="str">
        <x:v>validator</x:v>
      </x:c>
      <x:c r="F14" s="47" t="str">
        <x:v>gpt-5.6-sol-2026-07-09</x:v>
      </x:c>
      <x:c r="G14" s="47" t="n">
        <x:v>1</x:v>
      </x:c>
      <x:c r="H14" s="47" t="n">
        <x:v>200</x:v>
      </x:c>
      <x:c r="I14" s="47" t="str">
        <x:v>Ocp-Apim-Subscription-Key</x:v>
      </x:c>
      <x:c r="J14" s="92" t="n">
        <x:v>0</x:v>
      </x:c>
      <x:c r="K14" s="92" t="n">
        <x:v>10526.945</x:v>
      </x:c>
      <x:c r="L14" s="93" t="b">
        <x:v>0</x:v>
      </x:c>
      <x:c r="M14" s="47" t="str"/>
      <x:c r="N14" s="59" t="str"/>
      <x:c r="O14" s="59" t="str"/>
      <x:c r="P14" s="59" t="str"/>
    </x:row>
    <x:row r="15">
      <x:c r="A15" s="47" t="str">
        <x:v>EVT-000113</x:v>
      </x:c>
      <x:c r="B15" s="47" t="str">
        <x:v>RUN-I2-048-20260813T165805775641Z</x:v>
      </x:c>
      <x:c r="C15" s="47" t="str">
        <x:v>I2-048</x:v>
      </x:c>
      <x:c r="D15" s="91" t="n">
        <x:v>46247.71046513889</x:v>
      </x:c>
      <x:c r="E15" s="47" t="str">
        <x:v>validator</x:v>
      </x:c>
      <x:c r="F15" s="47" t="str">
        <x:v>gpt-5.6-sol-2026-07-09</x:v>
      </x:c>
      <x:c r="G15" s="47" t="n">
        <x:v>1</x:v>
      </x:c>
      <x:c r="H15" s="47" t="str">
        <x:v>COMPLETED</x:v>
      </x:c>
      <x:c r="I15" s="47" t="str"/>
      <x:c r="J15" s="92" t="n">
        <x:v>0</x:v>
      </x:c>
      <x:c r="K15" s="92" t="n">
        <x:v>10528.095</x:v>
      </x:c>
      <x:c r="L15" s="93" t="b">
        <x:v>0</x:v>
      </x:c>
      <x:c r="M15" s="47" t="str">
        <x:v>resp_076ff70f09483d5a006a7df8bdca688193bba4d46bdeb7eda8</x:v>
      </x:c>
      <x:c r="N15" s="59" t="n">
        <x:v>14858</x:v>
      </x:c>
      <x:c r="O15" s="59" t="n">
        <x:v>661</x:v>
      </x:c>
      <x:c r="P15" s="59" t="n">
        <x:v>15519</x:v>
      </x:c>
    </x:row>
    <x:row r="16">
      <x:c r="A16" s="47" t="str">
        <x:v>EVT-000119</x:v>
      </x:c>
      <x:c r="B16" s="47" t="str">
        <x:v>RUN-I2-048-20260813T165805775641Z</x:v>
      </x:c>
      <x:c r="C16" s="47" t="str">
        <x:v>I2-048</x:v>
      </x:c>
      <x:c r="D16" s="91" t="n">
        <x:v>46247.71050068287</x:v>
      </x:c>
      <x:c r="E16" s="47" t="str">
        <x:v>vocabulary_matcher</x:v>
      </x:c>
      <x:c r="F16" s="47" t="str">
        <x:v>gpt-5.6-sol-2026-07-09</x:v>
      </x:c>
      <x:c r="G16" s="47" t="n">
        <x:v>1</x:v>
      </x:c>
      <x:c r="H16" s="47" t="n">
        <x:v>200</x:v>
      </x:c>
      <x:c r="I16" s="47" t="str">
        <x:v>Ocp-Apim-Subscription-Key</x:v>
      </x:c>
      <x:c r="J16" s="92" t="n">
        <x:v>0</x:v>
      </x:c>
      <x:c r="K16" s="92" t="n">
        <x:v>1908.014</x:v>
      </x:c>
      <x:c r="L16" s="93" t="b">
        <x:v>0</x:v>
      </x:c>
      <x:c r="M16" s="47" t="str"/>
      <x:c r="N16" s="59" t="str"/>
      <x:c r="O16" s="59" t="str"/>
      <x:c r="P16" s="59" t="str"/>
    </x:row>
    <x:row r="17">
      <x:c r="A17" s="49" t="str">
        <x:v>EVT-000120</x:v>
      </x:c>
      <x:c r="B17" s="49" t="str">
        <x:v>RUN-I2-048-20260813T165805775641Z</x:v>
      </x:c>
      <x:c r="C17" s="49" t="str">
        <x:v>I2-048</x:v>
      </x:c>
      <x:c r="D17" s="94" t="n">
        <x:v>46247.71050069445</x:v>
      </x:c>
      <x:c r="E17" s="49" t="str">
        <x:v>vocabulary_matcher</x:v>
      </x:c>
      <x:c r="F17" s="49" t="str">
        <x:v>gpt-5.6-sol-2026-07-09</x:v>
      </x:c>
      <x:c r="G17" s="49" t="n">
        <x:v>1</x:v>
      </x:c>
      <x:c r="H17" s="49" t="str">
        <x:v>COMPLETED</x:v>
      </x:c>
      <x:c r="I17" s="49" t="str"/>
      <x:c r="J17" s="83" t="n">
        <x:v>0</x:v>
      </x:c>
      <x:c r="K17" s="83" t="n">
        <x:v>1909.072</x:v>
      </x:c>
      <x:c r="L17" s="82" t="b">
        <x:v>0</x:v>
      </x:c>
      <x:c r="M17" s="49" t="str">
        <x:v>resp_0eb344f8c8ac9947006a7df8c97d088193973ab4e98c27d9ed</x:v>
      </x:c>
      <x:c r="N17" s="60" t="n">
        <x:v>3255</x:v>
      </x:c>
      <x:c r="O17" s="60" t="n">
        <x:v>110</x:v>
      </x:c>
      <x:c r="P17" s="60" t="n">
        <x:v>3365</x:v>
      </x:c>
    </x:row>
  </x:sheetData>
  <x:conditionalFormatting sqref="H5:H17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7ce27add35504dac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2" hidden="0" customWidth="1"/>
    <x:col min="7" max="7" width="46" hidden="0" customWidth="1"/>
    <x:col min="8" max="8" width="24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RUN-I2-048-20260813T165805775641Z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RUN-I2-048-20260813T165805775641Z</x:v>
      </x:c>
      <x:c r="B5" s="45" t="str">
        <x:v>I2-048</x:v>
      </x:c>
      <x:c r="C5" s="45" t="str">
        <x:v>asBuiltPlateThickness</x:v>
      </x:c>
      <x:c r="D5" s="46" t="str">
        <x:v>https://w3id.org/nltl-benchmark/vocab#asBuiltPlateThickness</x:v>
      </x:c>
      <x:c r="E5" s="45" t="str">
        <x:v>QuantityProperty</x:v>
      </x:c>
      <x:c r="F5" s="45" t="str"/>
      <x:c r="G5" s="45" t="str">
        <x:v>http://qudt.org/schema/qudt/QuantityValue</x:v>
      </x:c>
      <x:c r="H5" s="45" t="str">
        <x:v>http://qudt.org/vocab/unit/MilliM</x:v>
      </x:c>
      <x:c r="I5" s="46" t="str">
        <x:v>linked by the locked 313-requirement index</x:v>
      </x:c>
      <x:c r="J5" s="45" t="n">
        <x:v>0</x:v>
      </x:c>
    </x:row>
    <x:row r="6">
      <x:c r="A6" s="47" t="str">
        <x:v>RUN-I2-048-20260813T165805775641Z</x:v>
      </x:c>
      <x:c r="B6" s="47" t="str">
        <x:v>I2-048</x:v>
      </x:c>
      <x:c r="C6" s="47" t="str">
        <x:v>asBuiltThickness</x:v>
      </x:c>
      <x:c r="D6" s="48" t="str">
        <x:v>https://w3id.org/nltl-benchmark/vocab#asBuiltThickness</x:v>
      </x:c>
      <x:c r="E6" s="47" t="str">
        <x:v>QuantityProperty</x:v>
      </x:c>
      <x:c r="F6" s="47" t="str"/>
      <x:c r="G6" s="47" t="str">
        <x:v>http://qudt.org/schema/qudt/QuantityValue</x:v>
      </x:c>
      <x:c r="H6" s="47" t="str">
        <x:v>http://qudt.org/vocab/unit/M</x:v>
      </x:c>
      <x:c r="I6" s="48" t="str">
        <x:v>linked by the locked 313-requirement index</x:v>
      </x:c>
      <x:c r="J6" s="47" t="n">
        <x:v>0</x:v>
      </x:c>
    </x:row>
    <x:row r="7">
      <x:c r="A7" s="47" t="str">
        <x:v>RUN-I2-048-20260813T165805775641Z</x:v>
      </x:c>
      <x:c r="B7" s="47" t="str">
        <x:v>I2-048</x:v>
      </x:c>
      <x:c r="C7" s="47" t="str">
        <x:v>benchmarkEntity</x:v>
      </x:c>
      <x:c r="D7" s="48" t="str">
        <x:v>https://w3id.org/nltl-benchmark/vocab#benchmarkEntity</x:v>
      </x:c>
      <x:c r="E7" s="47" t="str">
        <x:v>Class</x:v>
      </x:c>
      <x:c r="F7" s="47" t="str"/>
      <x:c r="G7" s="47" t="str"/>
      <x:c r="H7" s="47" t="str"/>
      <x:c r="I7" s="48" t="str">
        <x:v>baseline target infrastructure; domain dependency of asBuiltThickness; domain dependency of materialClass; domain dependency of polarClass; range dependency of steelMaterialClassValue; range dependency of steelStrengthCategoryValue</x:v>
      </x:c>
      <x:c r="J7" s="47" t="n">
        <x:v>0</x:v>
      </x:c>
    </x:row>
    <x:row r="8">
      <x:c r="A8" s="47" t="str">
        <x:v>RUN-I2-048-20260813T165805775641Z</x:v>
      </x:c>
      <x:c r="B8" s="47" t="str">
        <x:v>I2-048</x:v>
      </x:c>
      <x:c r="C8" s="47" t="str">
        <x:v>hasComponent</x:v>
      </x:c>
      <x:c r="D8" s="48" t="str">
        <x:v>https://w3id.org/nltl-benchmark/vocab#hasComponent</x:v>
      </x:c>
      <x:c r="E8" s="47" t="str">
        <x:v>ObjectProperty</x:v>
      </x:c>
      <x:c r="F8" s="47" t="str"/>
      <x:c r="G8" s="47" t="str">
        <x:v>https://w3id.org/nltl-benchmark/vocab#shipComponent</x:v>
      </x:c>
      <x:c r="H8" s="47" t="str"/>
      <x:c r="I8" s="48" t="str">
        <x:v>component-path dependency inferred from the linked term module</x:v>
      </x:c>
      <x:c r="J8" s="47" t="n">
        <x:v>0</x:v>
      </x:c>
    </x:row>
    <x:row r="9">
      <x:c r="A9" s="47" t="str">
        <x:v>RUN-I2-048-20260813T165805775641Z</x:v>
      </x:c>
      <x:c r="B9" s="47" t="str">
        <x:v>I2-048</x:v>
      </x:c>
      <x:c r="C9" s="47" t="str">
        <x:v>hasSteelGradeRequirementCase</x:v>
      </x:c>
      <x:c r="D9" s="48" t="str">
        <x:v>https://w3id.org/nltl-benchmark/vocab#hasSteelGradeRequirementCase</x:v>
      </x:c>
      <x:c r="E9" s="47" t="str">
        <x:v>ObjectProperty</x:v>
      </x:c>
      <x:c r="F9" s="47" t="str"/>
      <x:c r="G9" s="47" t="str">
        <x:v>https://w3id.org/nltl-benchmark/vocab#steelGradeRequirementCase</x:v>
      </x:c>
      <x:c r="H9" s="47" t="str"/>
      <x:c r="I9" s="48" t="str">
        <x:v>linked by the locked 313-requirement index</x:v>
      </x:c>
      <x:c r="J9" s="47" t="n">
        <x:v>0</x:v>
      </x:c>
    </x:row>
    <x:row r="10">
      <x:c r="A10" s="47" t="str">
        <x:v>RUN-I2-048-20260813T165805775641Z</x:v>
      </x:c>
      <x:c r="B10" s="47" t="str">
        <x:v>I2-048</x:v>
      </x:c>
      <x:c r="C10" s="47" t="str">
        <x:v>highStrengthHullStructuralSteel</x:v>
      </x:c>
      <x:c r="D10" s="48" t="str">
        <x:v>https://w3id.org/nltl-benchmark/vocab#highStrengthHullStructuralSteel</x:v>
      </x:c>
      <x:c r="E10" s="47" t="str">
        <x:v>NamedIndividual</x:v>
      </x:c>
      <x:c r="F10" s="47" t="str"/>
      <x:c r="G10" s="47" t="str">
        <x:v>https://w3id.org/nltl-benchmark/vocab#steelGradeValue</x:v>
      </x:c>
      <x:c r="H10" s="47" t="str"/>
      <x:c r="I10" s="48" t="str">
        <x:v>controlled value permitted by the range of requiredHullStructuralSteelGrade</x:v>
      </x:c>
      <x:c r="J10" s="47" t="n">
        <x:v>0</x:v>
      </x:c>
    </x:row>
    <x:row r="11">
      <x:c r="A11" s="47" t="str">
        <x:v>RUN-I2-048-20260813T165805775641Z</x:v>
      </x:c>
      <x:c r="B11" s="47" t="str">
        <x:v>I2-048</x:v>
      </x:c>
      <x:c r="C11" s="47" t="str">
        <x:v>highTensileSteelCategory</x:v>
      </x:c>
      <x:c r="D11" s="48" t="str">
        <x:v>https://w3id.org/nltl-benchmark/vocab#highTensileSteelCategory</x:v>
      </x:c>
      <x:c r="E11" s="47" t="str">
        <x:v>NamedIndividual</x:v>
      </x:c>
      <x:c r="F11" s="47" t="str"/>
      <x:c r="G11" s="47" t="str">
        <x:v>https://w3id.org/nltl-benchmark/vocab#steelStrengthCategoryValue</x:v>
      </x:c>
      <x:c r="H11" s="47" t="str"/>
      <x:c r="I11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1" s="47" t="n">
        <x:v>0</x:v>
      </x:c>
    </x:row>
    <x:row r="12">
      <x:c r="A12" s="47" t="str">
        <x:v>RUN-I2-048-20260813T165805775641Z</x:v>
      </x:c>
      <x:c r="B12" s="47" t="str">
        <x:v>I2-048</x:v>
      </x:c>
      <x:c r="C12" s="47" t="str">
        <x:v>hullStructure</x:v>
      </x:c>
      <x:c r="D12" s="48" t="str">
        <x:v>https://w3id.org/nltl-benchmark/vocab#hullStructure</x:v>
      </x:c>
      <x:c r="E12" s="47" t="str">
        <x:v>Class</x:v>
      </x:c>
      <x:c r="F12" s="47" t="str"/>
      <x:c r="G12" s="47" t="str"/>
      <x:c r="H12" s="47" t="str"/>
      <x:c r="I12" s="48" t="str">
        <x:v>range dependency of plating</x:v>
      </x:c>
      <x:c r="J12" s="47" t="n">
        <x:v>0</x:v>
      </x:c>
    </x:row>
    <x:row r="13">
      <x:c r="A13" s="47" t="str">
        <x:v>RUN-I2-048-20260813T165805775641Z</x:v>
      </x:c>
      <x:c r="B13" s="47" t="str">
        <x:v>I2-048</x:v>
      </x:c>
      <x:c r="C13" s="47" t="str">
        <x:v>materialClass</x:v>
      </x:c>
      <x:c r="D13" s="48" t="str">
        <x:v>https://w3id.org/nltl-benchmark/vocab#materialClass</x:v>
      </x:c>
      <x:c r="E13" s="47" t="str">
        <x:v>DatatypeProperty</x:v>
      </x:c>
      <x:c r="F13" s="47" t="str">
        <x:v>xsd:string</x:v>
      </x:c>
      <x:c r="G13" s="47" t="str">
        <x:v>http://www.w3.org/2001/XMLSchema#string</x:v>
      </x:c>
      <x:c r="H13" s="47" t="str"/>
      <x:c r="I13" s="48" t="str">
        <x:v>linked by the locked 313-requirement index</x:v>
      </x:c>
      <x:c r="J13" s="47" t="n">
        <x:v>0</x:v>
      </x:c>
    </x:row>
    <x:row r="14">
      <x:c r="A14" s="47" t="str">
        <x:v>RUN-I2-048-20260813T165805775641Z</x:v>
      </x:c>
      <x:c r="B14" s="47" t="str">
        <x:v>I2-048</x:v>
      </x:c>
      <x:c r="C14" s="47" t="str">
        <x:v>normalStrengthHullStructuralSteel</x:v>
      </x:c>
      <x:c r="D14" s="48" t="str">
        <x:v>https://w3id.org/nltl-benchmark/vocab#normalStrengthHullStructuralSteel</x:v>
      </x:c>
      <x:c r="E14" s="47" t="str">
        <x:v>NamedIndividual</x:v>
      </x:c>
      <x:c r="F14" s="47" t="str"/>
      <x:c r="G14" s="47" t="str">
        <x:v>https://w3id.org/nltl-benchmark/vocab#steelGradeValue</x:v>
      </x:c>
      <x:c r="H14" s="47" t="str"/>
      <x:c r="I14" s="48" t="str">
        <x:v>controlled value permitted by the range of requiredHullStructuralSteelGrade</x:v>
      </x:c>
      <x:c r="J14" s="47" t="n">
        <x:v>0</x:v>
      </x:c>
    </x:row>
    <x:row r="15">
      <x:c r="A15" s="47" t="str">
        <x:v>RUN-I2-048-20260813T165805775641Z</x:v>
      </x:c>
      <x:c r="B15" s="47" t="str">
        <x:v>I2-048</x:v>
      </x:c>
      <x:c r="C15" s="47" t="str">
        <x:v>normalStrengthSteelCategory</x:v>
      </x:c>
      <x:c r="D15" s="48" t="str">
        <x:v>https://w3id.org/nltl-benchmark/vocab#normalStrengthSteelCategory</x:v>
      </x:c>
      <x:c r="E15" s="47" t="str">
        <x:v>NamedIndividual</x:v>
      </x:c>
      <x:c r="F15" s="47" t="str"/>
      <x:c r="G15" s="47" t="str">
        <x:v>https://w3id.org/nltl-benchmark/vocab#steelStrengthCategoryValue</x:v>
      </x:c>
      <x:c r="H15" s="47" t="str"/>
      <x:c r="I15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15" s="47" t="n">
        <x:v>0</x:v>
      </x:c>
    </x:row>
    <x:row r="16">
      <x:c r="A16" s="47" t="str">
        <x:v>RUN-I2-048-20260813T165805775641Z</x:v>
      </x:c>
      <x:c r="B16" s="47" t="str">
        <x:v>I2-048</x:v>
      </x:c>
      <x:c r="C16" s="47" t="str">
        <x:v>plating</x:v>
      </x:c>
      <x:c r="D16" s="48" t="str">
        <x:v>https://w3id.org/nltl-benchmark/vocab#plating</x:v>
      </x:c>
      <x:c r="E16" s="47" t="str">
        <x:v>Class</x:v>
      </x:c>
      <x:c r="F16" s="47" t="str"/>
      <x:c r="G16" s="47" t="str">
        <x:v>https://w3id.org/nltl-benchmark/vocab#hullStructure</x:v>
      </x:c>
      <x:c r="H16" s="47" t="str"/>
      <x:c r="I16" s="48" t="str">
        <x:v>linked by the locked 313-requirement index</x:v>
      </x:c>
      <x:c r="J16" s="47" t="n">
        <x:v>0</x:v>
      </x:c>
    </x:row>
    <x:row r="17">
      <x:c r="A17" s="47" t="str">
        <x:v>RUN-I2-048-20260813T165805775641Z</x:v>
      </x:c>
      <x:c r="B17" s="47" t="str">
        <x:v>I2-048</x:v>
      </x:c>
      <x:c r="C17" s="47" t="str">
        <x:v>polarClass</x:v>
      </x:c>
      <x:c r="D17" s="48" t="str">
        <x:v>https://w3id.org/nltl-benchmark/vocab#polarClass</x:v>
      </x:c>
      <x:c r="E17" s="47" t="str">
        <x:v>ObjectProperty</x:v>
      </x:c>
      <x:c r="F17" s="47" t="str"/>
      <x:c r="G17" s="47" t="str">
        <x:v>https://w3id.org/nltl-benchmark/vocab#polarClassValue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RUN-I2-048-20260813T165805775641Z</x:v>
      </x:c>
      <x:c r="B18" s="47" t="str">
        <x:v>I2-048</x:v>
      </x:c>
      <x:c r="C18" s="47" t="str">
        <x:v>polarClassPc1</x:v>
      </x:c>
      <x:c r="D18" s="48" t="str">
        <x:v>https://w3id.org/nltl-benchmark/vocab#polarClassPc1</x:v>
      </x:c>
      <x:c r="E18" s="47" t="str">
        <x:v>NamedIndividual</x:v>
      </x:c>
      <x:c r="F18" s="47" t="str"/>
      <x:c r="G18" s="47" t="str">
        <x:v>https://w3id.org/nltl-benchmark/vocab#polarClassValue</x:v>
      </x:c>
      <x:c r="H18" s="47" t="str"/>
      <x:c r="I18" s="48" t="str">
        <x:v>controlled value permitted by the range of polarClass</x:v>
      </x:c>
      <x:c r="J18" s="47" t="n">
        <x:v>0</x:v>
      </x:c>
    </x:row>
    <x:row r="19">
      <x:c r="A19" s="47" t="str">
        <x:v>RUN-I2-048-20260813T165805775641Z</x:v>
      </x:c>
      <x:c r="B19" s="47" t="str">
        <x:v>I2-048</x:v>
      </x:c>
      <x:c r="C19" s="47" t="str">
        <x:v>polarClassPc2</x:v>
      </x:c>
      <x:c r="D19" s="48" t="str">
        <x:v>https://w3id.org/nltl-benchmark/vocab#polarClassPc2</x:v>
      </x:c>
      <x:c r="E19" s="47" t="str">
        <x:v>NamedIndividual</x:v>
      </x:c>
      <x:c r="F19" s="47" t="str"/>
      <x:c r="G19" s="47" t="str">
        <x:v>https://w3id.org/nltl-benchmark/vocab#polarClassValue</x:v>
      </x:c>
      <x:c r="H19" s="47" t="str"/>
      <x:c r="I19" s="48" t="str">
        <x:v>controlled value permitted by the range of polarClass</x:v>
      </x:c>
      <x:c r="J19" s="47" t="n">
        <x:v>0</x:v>
      </x:c>
    </x:row>
    <x:row r="20">
      <x:c r="A20" s="47" t="str">
        <x:v>RUN-I2-048-20260813T165805775641Z</x:v>
      </x:c>
      <x:c r="B20" s="47" t="str">
        <x:v>I2-048</x:v>
      </x:c>
      <x:c r="C20" s="47" t="str">
        <x:v>polarClassPc3</x:v>
      </x:c>
      <x:c r="D20" s="48" t="str">
        <x:v>https://w3id.org/nltl-benchmark/vocab#polarClassPc3</x:v>
      </x:c>
      <x:c r="E20" s="47" t="str">
        <x:v>NamedIndividual</x:v>
      </x:c>
      <x:c r="F20" s="47" t="str"/>
      <x:c r="G20" s="47" t="str">
        <x:v>https://w3id.org/nltl-benchmark/vocab#polarClassValue</x:v>
      </x:c>
      <x:c r="H20" s="47" t="str"/>
      <x:c r="I20" s="48" t="str">
        <x:v>controlled value permitted by the range of polarClass</x:v>
      </x:c>
      <x:c r="J20" s="47" t="n">
        <x:v>0</x:v>
      </x:c>
    </x:row>
    <x:row r="21">
      <x:c r="A21" s="47" t="str">
        <x:v>RUN-I2-048-20260813T165805775641Z</x:v>
      </x:c>
      <x:c r="B21" s="47" t="str">
        <x:v>I2-048</x:v>
      </x:c>
      <x:c r="C21" s="47" t="str">
        <x:v>polarClassPc4</x:v>
      </x:c>
      <x:c r="D21" s="48" t="str">
        <x:v>https://w3id.org/nltl-benchmark/vocab#polarClassPc4</x:v>
      </x:c>
      <x:c r="E21" s="47" t="str">
        <x:v>NamedIndividual</x:v>
      </x:c>
      <x:c r="F21" s="47" t="str"/>
      <x:c r="G21" s="47" t="str">
        <x:v>https://w3id.org/nltl-benchmark/vocab#polarClassValue</x:v>
      </x:c>
      <x:c r="H21" s="47" t="str"/>
      <x:c r="I21" s="48" t="str">
        <x:v>controlled value permitted by the range of polarClass</x:v>
      </x:c>
      <x:c r="J21" s="47" t="n">
        <x:v>0</x:v>
      </x:c>
    </x:row>
    <x:row r="22">
      <x:c r="A22" s="47" t="str">
        <x:v>RUN-I2-048-20260813T165805775641Z</x:v>
      </x:c>
      <x:c r="B22" s="47" t="str">
        <x:v>I2-048</x:v>
      </x:c>
      <x:c r="C22" s="47" t="str">
        <x:v>polarClassPc5</x:v>
      </x:c>
      <x:c r="D22" s="48" t="str">
        <x:v>https://w3id.org/nltl-benchmark/vocab#polarClassPc5</x:v>
      </x:c>
      <x:c r="E22" s="47" t="str">
        <x:v>NamedIndividual</x:v>
      </x:c>
      <x:c r="F22" s="47" t="str"/>
      <x:c r="G22" s="47" t="str">
        <x:v>https://w3id.org/nltl-benchmark/vocab#polarClassValue</x:v>
      </x:c>
      <x:c r="H22" s="47" t="str"/>
      <x:c r="I22" s="48" t="str">
        <x:v>controlled value permitted by the range of polarClass</x:v>
      </x:c>
      <x:c r="J22" s="47" t="n">
        <x:v>0</x:v>
      </x:c>
    </x:row>
    <x:row r="23">
      <x:c r="A23" s="47" t="str">
        <x:v>RUN-I2-048-20260813T165805775641Z</x:v>
      </x:c>
      <x:c r="B23" s="47" t="str">
        <x:v>I2-048</x:v>
      </x:c>
      <x:c r="C23" s="47" t="str">
        <x:v>polarClassPc6</x:v>
      </x:c>
      <x:c r="D23" s="48" t="str">
        <x:v>https://w3id.org/nltl-benchmark/vocab#polarClassPc6</x:v>
      </x:c>
      <x:c r="E23" s="47" t="str">
        <x:v>NamedIndividual</x:v>
      </x:c>
      <x:c r="F23" s="47" t="str"/>
      <x:c r="G23" s="47" t="str">
        <x:v>https://w3id.org/nltl-benchmark/vocab#polarClassValue</x:v>
      </x:c>
      <x:c r="H23" s="47" t="str"/>
      <x:c r="I23" s="48" t="str">
        <x:v>controlled value permitted by the range of polarClass</x:v>
      </x:c>
      <x:c r="J23" s="47" t="n">
        <x:v>0</x:v>
      </x:c>
    </x:row>
    <x:row r="24">
      <x:c r="A24" s="47" t="str">
        <x:v>RUN-I2-048-20260813T165805775641Z</x:v>
      </x:c>
      <x:c r="B24" s="47" t="str">
        <x:v>I2-048</x:v>
      </x:c>
      <x:c r="C24" s="47" t="str">
        <x:v>polarClassPc7</x:v>
      </x:c>
      <x:c r="D24" s="48" t="str">
        <x:v>https://w3id.org/nltl-benchmark/vocab#polarClassPc7</x:v>
      </x:c>
      <x:c r="E24" s="47" t="str">
        <x:v>NamedIndividual</x:v>
      </x:c>
      <x:c r="F24" s="47" t="str"/>
      <x:c r="G24" s="47" t="str">
        <x:v>https://w3id.org/nltl-benchmark/vocab#polarClassValue</x:v>
      </x:c>
      <x:c r="H24" s="47" t="str"/>
      <x:c r="I24" s="48" t="str">
        <x:v>controlled value permitted by the range of polarClass</x:v>
      </x:c>
      <x:c r="J24" s="47" t="n">
        <x:v>0</x:v>
      </x:c>
    </x:row>
    <x:row r="25">
      <x:c r="A25" s="47" t="str">
        <x:v>RUN-I2-048-20260813T165805775641Z</x:v>
      </x:c>
      <x:c r="B25" s="47" t="str">
        <x:v>I2-048</x:v>
      </x:c>
      <x:c r="C25" s="47" t="str">
        <x:v>polarClassValue</x:v>
      </x:c>
      <x:c r="D25" s="48" t="str">
        <x:v>https://w3id.org/nltl-benchmark/vocab#polarClassValue</x:v>
      </x:c>
      <x:c r="E25" s="47" t="str">
        <x:v>Class</x:v>
      </x:c>
      <x:c r="F25" s="47" t="str"/>
      <x:c r="G25" s="47" t="str"/>
      <x:c r="H25" s="47" t="str"/>
      <x:c r="I25" s="48" t="str">
        <x:v>range dependency of polarClass</x:v>
      </x:c>
      <x:c r="J25" s="47" t="n">
        <x:v>0</x:v>
      </x:c>
    </x:row>
    <x:row r="26">
      <x:c r="A26" s="47" t="str">
        <x:v>RUN-I2-048-20260813T165805775641Z</x:v>
      </x:c>
      <x:c r="B26" s="47" t="str">
        <x:v>I2-048</x:v>
      </x:c>
      <x:c r="C26" s="47" t="str">
        <x:v>requiredHullStructuralSteelGrade</x:v>
      </x:c>
      <x:c r="D26" s="48" t="str">
        <x:v>https://w3id.org/nltl-benchmark/vocab#requiredHullStructuralSteelGrade</x:v>
      </x:c>
      <x:c r="E26" s="47" t="str">
        <x:v>ObjectProperty</x:v>
      </x:c>
      <x:c r="F26" s="47" t="str"/>
      <x:c r="G26" s="47" t="str">
        <x:v>https://w3id.org/nltl-benchmark/vocab#steelGradeValue</x:v>
      </x:c>
      <x:c r="H26" s="47" t="str"/>
      <x:c r="I26" s="48" t="str">
        <x:v>linked by the locked 313-requirement index</x:v>
      </x:c>
      <x:c r="J26" s="47" t="n">
        <x:v>0</x:v>
      </x:c>
    </x:row>
    <x:row r="27">
      <x:c r="A27" s="47" t="str">
        <x:v>RUN-I2-048-20260813T165805775641Z</x:v>
      </x:c>
      <x:c r="B27" s="47" t="str">
        <x:v>I2-048</x:v>
      </x:c>
      <x:c r="C27" s="47" t="str">
        <x:v>ship</x:v>
      </x:c>
      <x:c r="D27" s="48" t="str">
        <x:v>https://w3id.org/nltl-benchmark/vocab#ship</x:v>
      </x:c>
      <x:c r="E27" s="47" t="str">
        <x:v>Class</x:v>
      </x:c>
      <x:c r="F27" s="47" t="str"/>
      <x:c r="G27" s="47" t="str"/>
      <x:c r="H27" s="47" t="str"/>
      <x:c r="I27" s="48" t="str">
        <x:v>authoritative required owner class; authoritative requirement target owner; baseline target infrastructure; domain dependency of hasSteelGradeRequirementCase</x:v>
      </x:c>
      <x:c r="J27" s="47" t="n">
        <x:v>0</x:v>
      </x:c>
    </x:row>
    <x:row r="28">
      <x:c r="A28" s="47" t="str">
        <x:v>RUN-I2-048-20260813T165805775641Z</x:v>
      </x:c>
      <x:c r="B28" s="47" t="str">
        <x:v>I2-048</x:v>
      </x:c>
      <x:c r="C28" s="47" t="str">
        <x:v>shipComponent</x:v>
      </x:c>
      <x:c r="D28" s="48" t="str">
        <x:v>https://w3id.org/nltl-benchmark/vocab#shipComponent</x:v>
      </x:c>
      <x:c r="E28" s="47" t="str">
        <x:v>Class</x:v>
      </x:c>
      <x:c r="F28" s="47" t="str"/>
      <x:c r="G28" s="47" t="str"/>
      <x:c r="H28" s="47" t="str"/>
      <x:c r="I28" s="48" t="str">
        <x:v>component-path dependency inferred from the linked term module</x:v>
      </x:c>
      <x:c r="J28" s="47" t="n">
        <x:v>0</x:v>
      </x:c>
    </x:row>
    <x:row r="29">
      <x:c r="A29" s="47" t="str">
        <x:v>RUN-I2-048-20260813T165805775641Z</x:v>
      </x:c>
      <x:c r="B29" s="47" t="str">
        <x:v>I2-048</x:v>
      </x:c>
      <x:c r="C29" s="47" t="str">
        <x:v>steelGrade</x:v>
      </x:c>
      <x:c r="D29" s="48" t="str">
        <x:v>https://w3id.org/nltl-benchmark/vocab#steelGrade</x:v>
      </x:c>
      <x:c r="E29" s="47" t="str">
        <x:v>DatatypeProperty</x:v>
      </x:c>
      <x:c r="F29" s="47" t="str">
        <x:v>xsd:string</x:v>
      </x:c>
      <x:c r="G29" s="47" t="str">
        <x:v>http://www.w3.org/2001/XMLSchema#string</x:v>
      </x:c>
      <x:c r="H29" s="47" t="str"/>
      <x:c r="I29" s="48" t="str">
        <x:v>linked by the locked 313-requirement index</x:v>
      </x:c>
      <x:c r="J29" s="47" t="n">
        <x:v>0</x:v>
      </x:c>
    </x:row>
    <x:row r="30">
      <x:c r="A30" s="47" t="str">
        <x:v>RUN-I2-048-20260813T165805775641Z</x:v>
      </x:c>
      <x:c r="B30" s="47" t="str">
        <x:v>I2-048</x:v>
      </x:c>
      <x:c r="C30" s="47" t="str">
        <x:v>steelGradeRequirementCase</x:v>
      </x:c>
      <x:c r="D30" s="48" t="str">
        <x:v>https://w3id.org/nltl-benchmark/vocab#steelGradeRequirementCase</x:v>
      </x:c>
      <x:c r="E30" s="47" t="str">
        <x:v>Class</x:v>
      </x:c>
      <x:c r="F30" s="47" t="str"/>
      <x:c r="G30" s="47" t="str">
        <x:v>https://w3id.org/nltl-benchmark/vocab#tableLookupCase</x:v>
      </x:c>
      <x:c r="H30" s="47" t="str"/>
      <x:c r="I30" s="48" t="str">
        <x:v>domain dependency of asBuiltPlateThickness; domain dependency of requiredHullStructuralSteelGrade; domain dependency of steelMaterialClass; domain dependency of steelStrengthCategory; linked by the locked 313-requirement index; range dependency of hasSteelGradeRequirementCase</x:v>
      </x:c>
      <x:c r="J30" s="47" t="n">
        <x:v>0</x:v>
      </x:c>
    </x:row>
    <x:row r="31">
      <x:c r="A31" s="47" t="str">
        <x:v>RUN-I2-048-20260813T165805775641Z</x:v>
      </x:c>
      <x:c r="B31" s="47" t="str">
        <x:v>I2-048</x:v>
      </x:c>
      <x:c r="C31" s="47" t="str">
        <x:v>steelGradeValue</x:v>
      </x:c>
      <x:c r="D31" s="48" t="str">
        <x:v>https://w3id.org/nltl-benchmark/vocab#steelGradeValue</x:v>
      </x:c>
      <x:c r="E31" s="47" t="str">
        <x:v>Class</x:v>
      </x:c>
      <x:c r="F31" s="47" t="str"/>
      <x:c r="G31" s="47" t="str">
        <x:v>https://w3id.org/nltl-benchmark/vocab#benchmarkEntity</x:v>
      </x:c>
      <x:c r="H31" s="47" t="str"/>
      <x:c r="I31" s="48" t="str">
        <x:v>range dependency of requiredHullStructuralSteelGrade</x:v>
      </x:c>
      <x:c r="J31" s="47" t="n">
        <x:v>0</x:v>
      </x:c>
    </x:row>
    <x:row r="32">
      <x:c r="A32" s="47" t="str">
        <x:v>RUN-I2-048-20260813T165805775641Z</x:v>
      </x:c>
      <x:c r="B32" s="47" t="str">
        <x:v>I2-048</x:v>
      </x:c>
      <x:c r="C32" s="47" t="str">
        <x:v>steelMaterialClass</x:v>
      </x:c>
      <x:c r="D32" s="48" t="str">
        <x:v>https://w3id.org/nltl-benchmark/vocab#steelMaterialClass</x:v>
      </x:c>
      <x:c r="E32" s="47" t="str">
        <x:v>ObjectProperty</x:v>
      </x:c>
      <x:c r="F32" s="47" t="str"/>
      <x:c r="G32" s="47" t="str">
        <x:v>https://w3id.org/nltl-benchmark/vocab#steelMaterialClassValue</x:v>
      </x:c>
      <x:c r="H32" s="47" t="str"/>
      <x:c r="I32" s="48" t="str">
        <x:v>linked by the locked 313-requirement index</x:v>
      </x:c>
      <x:c r="J32" s="47" t="n">
        <x:v>0</x:v>
      </x:c>
    </x:row>
    <x:row r="33">
      <x:c r="A33" s="47" t="str">
        <x:v>RUN-I2-048-20260813T165805775641Z</x:v>
      </x:c>
      <x:c r="B33" s="47" t="str">
        <x:v>I2-048</x:v>
      </x:c>
      <x:c r="C33" s="47" t="str">
        <x:v>steelMaterialClassOne</x:v>
      </x:c>
      <x:c r="D33" s="48" t="str">
        <x:v>https://w3id.org/nltl-benchmark/vocab#steelMaterialClassOne</x:v>
      </x:c>
      <x:c r="E33" s="47" t="str">
        <x:v>NamedIndividual</x:v>
      </x:c>
      <x:c r="F33" s="47" t="str"/>
      <x:c r="G33" s="47" t="str">
        <x:v>https://w3id.org/nltl-benchmark/vocab#steelMaterialClassValue</x:v>
      </x:c>
      <x:c r="H33" s="47" t="str"/>
      <x:c r="I33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33" s="47" t="n">
        <x:v>0</x:v>
      </x:c>
    </x:row>
    <x:row r="34">
      <x:c r="A34" s="47" t="str">
        <x:v>RUN-I2-048-20260813T165805775641Z</x:v>
      </x:c>
      <x:c r="B34" s="47" t="str">
        <x:v>I2-048</x:v>
      </x:c>
      <x:c r="C34" s="47" t="str">
        <x:v>steelMaterialClassThree</x:v>
      </x:c>
      <x:c r="D34" s="48" t="str">
        <x:v>https://w3id.org/nltl-benchmark/vocab#steelMaterialClassThree</x:v>
      </x:c>
      <x:c r="E34" s="47" t="str">
        <x:v>NamedIndividual</x:v>
      </x:c>
      <x:c r="F34" s="47" t="str"/>
      <x:c r="G34" s="47" t="str">
        <x:v>https://w3id.org/nltl-benchmark/vocab#steelMaterialClassValue</x:v>
      </x:c>
      <x:c r="H34" s="47" t="str"/>
      <x:c r="I34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34" s="47" t="n">
        <x:v>0</x:v>
      </x:c>
    </x:row>
    <x:row r="35">
      <x:c r="A35" s="47" t="str">
        <x:v>RUN-I2-048-20260813T165805775641Z</x:v>
      </x:c>
      <x:c r="B35" s="47" t="str">
        <x:v>I2-048</x:v>
      </x:c>
      <x:c r="C35" s="47" t="str">
        <x:v>steelMaterialClassTwo</x:v>
      </x:c>
      <x:c r="D35" s="48" t="str">
        <x:v>https://w3id.org/nltl-benchmark/vocab#steelMaterialClassTwo</x:v>
      </x:c>
      <x:c r="E35" s="47" t="str">
        <x:v>NamedIndividual</x:v>
      </x:c>
      <x:c r="F35" s="47" t="str"/>
      <x:c r="G35" s="47" t="str">
        <x:v>https://w3id.org/nltl-benchmark/vocab#steelMaterialClassValue</x:v>
      </x:c>
      <x:c r="H35" s="47" t="str"/>
      <x:c r="I35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35" s="47" t="n">
        <x:v>0</x:v>
      </x:c>
    </x:row>
    <x:row r="36">
      <x:c r="A36" s="47" t="str">
        <x:v>RUN-I2-048-20260813T165805775641Z</x:v>
      </x:c>
      <x:c r="B36" s="47" t="str">
        <x:v>I2-048</x:v>
      </x:c>
      <x:c r="C36" s="47" t="str">
        <x:v>steelMaterialClassValue</x:v>
      </x:c>
      <x:c r="D36" s="48" t="str">
        <x:v>https://w3id.org/nltl-benchmark/vocab#steelMaterialClassValue</x:v>
      </x:c>
      <x:c r="E36" s="47" t="str">
        <x:v>Class</x:v>
      </x:c>
      <x:c r="F36" s="47" t="str"/>
      <x:c r="G36" s="47" t="str">
        <x:v>https://w3id.org/nltl-benchmark/vocab#benchmarkEntity</x:v>
      </x:c>
      <x:c r="H36" s="47" t="str"/>
      <x:c r="I36" s="48" t="str">
        <x:v>linked by the locked 313-requirement index; range dependency of steelMaterialClass; range dependency of steelMaterialClassOne; range dependency of steelMaterialClassThree; range dependency of steelMaterialClassTwo</x:v>
      </x:c>
      <x:c r="J36" s="47" t="n">
        <x:v>0</x:v>
      </x:c>
    </x:row>
    <x:row r="37">
      <x:c r="A37" s="47" t="str">
        <x:v>RUN-I2-048-20260813T165805775641Z</x:v>
      </x:c>
      <x:c r="B37" s="47" t="str">
        <x:v>I2-048</x:v>
      </x:c>
      <x:c r="C37" s="47" t="str">
        <x:v>steelStrengthCategory</x:v>
      </x:c>
      <x:c r="D37" s="48" t="str">
        <x:v>https://w3id.org/nltl-benchmark/vocab#steelStrengthCategory</x:v>
      </x:c>
      <x:c r="E37" s="47" t="str">
        <x:v>ObjectProperty</x:v>
      </x:c>
      <x:c r="F37" s="47" t="str"/>
      <x:c r="G37" s="47" t="str">
        <x:v>https://w3id.org/nltl-benchmark/vocab#steelStrengthCategoryValue</x:v>
      </x:c>
      <x:c r="H37" s="47" t="str"/>
      <x:c r="I37" s="48" t="str">
        <x:v>linked by the locked 313-requirement index</x:v>
      </x:c>
      <x:c r="J37" s="47" t="n">
        <x:v>0</x:v>
      </x:c>
    </x:row>
    <x:row r="38">
      <x:c r="A38" s="47" t="str">
        <x:v>RUN-I2-048-20260813T165805775641Z</x:v>
      </x:c>
      <x:c r="B38" s="47" t="str">
        <x:v>I2-048</x:v>
      </x:c>
      <x:c r="C38" s="47" t="str">
        <x:v>steelStrengthCategoryValue</x:v>
      </x:c>
      <x:c r="D38" s="48" t="str">
        <x:v>https://w3id.org/nltl-benchmark/vocab#steelStrengthCategoryValue</x:v>
      </x:c>
      <x:c r="E38" s="47" t="str">
        <x:v>Class</x:v>
      </x:c>
      <x:c r="F38" s="47" t="str"/>
      <x:c r="G38" s="47" t="str">
        <x:v>https://w3id.org/nltl-benchmark/vocab#benchmarkEntity</x:v>
      </x:c>
      <x:c r="H38" s="47" t="str"/>
      <x:c r="I38" s="48" t="str">
        <x:v>linked by the locked 313-requirement index; range dependency of highTensileSteelCategory; range dependency of normalStrengthSteelCategory; range dependency of steelStrengthCategory</x:v>
      </x:c>
      <x:c r="J38" s="47" t="n">
        <x:v>0</x:v>
      </x:c>
    </x:row>
    <x:row r="39">
      <x:c r="A39" s="47" t="str">
        <x:v>RUN-I2-048-20260813T165805775641Z</x:v>
      </x:c>
      <x:c r="B39" s="47" t="str">
        <x:v>I2-048</x:v>
      </x:c>
      <x:c r="C39" s="47" t="str">
        <x:v>tableLookupCase</x:v>
      </x:c>
      <x:c r="D39" s="48" t="str">
        <x:v>https://w3id.org/nltl-benchmark/vocab#tableLookupCase</x:v>
      </x:c>
      <x:c r="E39" s="47" t="str">
        <x:v>Class</x:v>
      </x:c>
      <x:c r="F39" s="47" t="str"/>
      <x:c r="G39" s="47" t="str">
        <x:v>https://w3id.org/nltl-benchmark/vocab#calculationCase</x:v>
      </x:c>
      <x:c r="H39" s="47" t="str"/>
      <x:c r="I39" s="48" t="str">
        <x:v>range dependency of steelGradeRequirementCase</x:v>
      </x:c>
      <x:c r="J39" s="47" t="n">
        <x:v>0</x:v>
      </x:c>
    </x:row>
    <x:row r="40">
      <x:c r="A40" s="47" t="str">
        <x:v>RUN-I2-048-20260813T165805775641Z</x:v>
      </x:c>
      <x:c r="B40" s="47" t="str">
        <x:v>I2-048</x:v>
      </x:c>
      <x:c r="C40" s="47" t="str">
        <x:v>asBuiltPlateThickness</x:v>
      </x:c>
      <x:c r="D40" s="48" t="str">
        <x:v>https://w3id.org/nltl-benchmark/vocab#asBuiltPlateThickness</x:v>
      </x:c>
      <x:c r="E40" s="47" t="str">
        <x:v>QuantityProperty</x:v>
      </x:c>
      <x:c r="F40" s="47" t="str"/>
      <x:c r="G40" s="47" t="str">
        <x:v>http://qudt.org/schema/qudt/QuantityValue</x:v>
      </x:c>
      <x:c r="H40" s="47" t="str">
        <x:v>http://qudt.org/vocab/unit/MilliM</x:v>
      </x:c>
      <x:c r="I40" s="48" t="str">
        <x:v>linked by the locked 313-requirement index</x:v>
      </x:c>
      <x:c r="J40" s="47" t="n">
        <x:v>2</x:v>
      </x:c>
    </x:row>
    <x:row r="41">
      <x:c r="A41" s="47" t="str">
        <x:v>RUN-I2-048-20260813T165805775641Z</x:v>
      </x:c>
      <x:c r="B41" s="47" t="str">
        <x:v>I2-048</x:v>
      </x:c>
      <x:c r="C41" s="47" t="str">
        <x:v>asBuiltThickness</x:v>
      </x:c>
      <x:c r="D41" s="48" t="str">
        <x:v>https://w3id.org/nltl-benchmark/vocab#asBuiltThickness</x:v>
      </x:c>
      <x:c r="E41" s="47" t="str">
        <x:v>QuantityProperty</x:v>
      </x:c>
      <x:c r="F41" s="47" t="str"/>
      <x:c r="G41" s="47" t="str">
        <x:v>http://qudt.org/schema/qudt/QuantityValue</x:v>
      </x:c>
      <x:c r="H41" s="47" t="str">
        <x:v>http://qudt.org/vocab/unit/M</x:v>
      </x:c>
      <x:c r="I41" s="48" t="str">
        <x:v>linked by the locked 313-requirement index</x:v>
      </x:c>
      <x:c r="J41" s="47" t="n">
        <x:v>2</x:v>
      </x:c>
    </x:row>
    <x:row r="42">
      <x:c r="A42" s="47" t="str">
        <x:v>RUN-I2-048-20260813T165805775641Z</x:v>
      </x:c>
      <x:c r="B42" s="47" t="str">
        <x:v>I2-048</x:v>
      </x:c>
      <x:c r="C42" s="47" t="str">
        <x:v>benchmarkEntity</x:v>
      </x:c>
      <x:c r="D42" s="48" t="str">
        <x:v>https://w3id.org/nltl-benchmark/vocab#benchmarkEntity</x:v>
      </x:c>
      <x:c r="E42" s="47" t="str">
        <x:v>Class</x:v>
      </x:c>
      <x:c r="F42" s="47" t="str"/>
      <x:c r="G42" s="47" t="str"/>
      <x:c r="H42" s="47" t="str"/>
      <x:c r="I42" s="48" t="str">
        <x:v>baseline target infrastructure; domain dependency of asBuiltThickness; domain dependency of materialClass; domain dependency of polarClass; range dependency of steelMaterialClassValue; range dependency of steelStrengthCategoryValue</x:v>
      </x:c>
      <x:c r="J42" s="47" t="n">
        <x:v>2</x:v>
      </x:c>
    </x:row>
    <x:row r="43">
      <x:c r="A43" s="47" t="str">
        <x:v>RUN-I2-048-20260813T165805775641Z</x:v>
      </x:c>
      <x:c r="B43" s="47" t="str">
        <x:v>I2-048</x:v>
      </x:c>
      <x:c r="C43" s="47" t="str">
        <x:v>hasComponent</x:v>
      </x:c>
      <x:c r="D43" s="48" t="str">
        <x:v>https://w3id.org/nltl-benchmark/vocab#hasComponent</x:v>
      </x:c>
      <x:c r="E43" s="47" t="str">
        <x:v>ObjectProperty</x:v>
      </x:c>
      <x:c r="F43" s="47" t="str"/>
      <x:c r="G43" s="47" t="str">
        <x:v>https://w3id.org/nltl-benchmark/vocab#shipComponent</x:v>
      </x:c>
      <x:c r="H43" s="47" t="str"/>
      <x:c r="I43" s="48" t="str">
        <x:v>component-path dependency inferred from the linked term module</x:v>
      </x:c>
      <x:c r="J43" s="47" t="n">
        <x:v>2</x:v>
      </x:c>
    </x:row>
    <x:row r="44">
      <x:c r="A44" s="47" t="str">
        <x:v>RUN-I2-048-20260813T165805775641Z</x:v>
      </x:c>
      <x:c r="B44" s="47" t="str">
        <x:v>I2-048</x:v>
      </x:c>
      <x:c r="C44" s="47" t="str">
        <x:v>hasSteelGradeRequirementCase</x:v>
      </x:c>
      <x:c r="D44" s="48" t="str">
        <x:v>https://w3id.org/nltl-benchmark/vocab#hasSteelGradeRequirementCase</x:v>
      </x:c>
      <x:c r="E44" s="47" t="str">
        <x:v>ObjectProperty</x:v>
      </x:c>
      <x:c r="F44" s="47" t="str"/>
      <x:c r="G44" s="47" t="str">
        <x:v>https://w3id.org/nltl-benchmark/vocab#steelGradeRequirementCase</x:v>
      </x:c>
      <x:c r="H44" s="47" t="str"/>
      <x:c r="I44" s="48" t="str">
        <x:v>linked by the locked 313-requirement index</x:v>
      </x:c>
      <x:c r="J44" s="47" t="n">
        <x:v>2</x:v>
      </x:c>
    </x:row>
    <x:row r="45">
      <x:c r="A45" s="47" t="str">
        <x:v>RUN-I2-048-20260813T165805775641Z</x:v>
      </x:c>
      <x:c r="B45" s="47" t="str">
        <x:v>I2-048</x:v>
      </x:c>
      <x:c r="C45" s="47" t="str">
        <x:v>highStrengthHullStructuralSteel</x:v>
      </x:c>
      <x:c r="D45" s="48" t="str">
        <x:v>https://w3id.org/nltl-benchmark/vocab#highStrengthHullStructuralSteel</x:v>
      </x:c>
      <x:c r="E45" s="47" t="str">
        <x:v>NamedIndividual</x:v>
      </x:c>
      <x:c r="F45" s="47" t="str"/>
      <x:c r="G45" s="47" t="str">
        <x:v>https://w3id.org/nltl-benchmark/vocab#steelGradeValue</x:v>
      </x:c>
      <x:c r="H45" s="47" t="str"/>
      <x:c r="I45" s="48" t="str">
        <x:v>controlled value permitted by the range of requiredHullStructuralSteelGrade</x:v>
      </x:c>
      <x:c r="J45" s="47" t="n">
        <x:v>2</x:v>
      </x:c>
    </x:row>
    <x:row r="46">
      <x:c r="A46" s="47" t="str">
        <x:v>RUN-I2-048-20260813T165805775641Z</x:v>
      </x:c>
      <x:c r="B46" s="47" t="str">
        <x:v>I2-048</x:v>
      </x:c>
      <x:c r="C46" s="47" t="str">
        <x:v>highTensileSteelCategory</x:v>
      </x:c>
      <x:c r="D46" s="48" t="str">
        <x:v>https://w3id.org/nltl-benchmark/vocab#highTensileSteelCategory</x:v>
      </x:c>
      <x:c r="E46" s="47" t="str">
        <x:v>NamedIndividual</x:v>
      </x:c>
      <x:c r="F46" s="47" t="str"/>
      <x:c r="G46" s="47" t="str">
        <x:v>https://w3id.org/nltl-benchmark/vocab#steelStrengthCategoryValue</x:v>
      </x:c>
      <x:c r="H46" s="47" t="str"/>
      <x:c r="I46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46" s="47" t="n">
        <x:v>2</x:v>
      </x:c>
    </x:row>
    <x:row r="47">
      <x:c r="A47" s="47" t="str">
        <x:v>RUN-I2-048-20260813T165805775641Z</x:v>
      </x:c>
      <x:c r="B47" s="47" t="str">
        <x:v>I2-048</x:v>
      </x:c>
      <x:c r="C47" s="47" t="str">
        <x:v>hullStructure</x:v>
      </x:c>
      <x:c r="D47" s="48" t="str">
        <x:v>https://w3id.org/nltl-benchmark/vocab#hullStructure</x:v>
      </x:c>
      <x:c r="E47" s="47" t="str">
        <x:v>Class</x:v>
      </x:c>
      <x:c r="F47" s="47" t="str"/>
      <x:c r="G47" s="47" t="str"/>
      <x:c r="H47" s="47" t="str"/>
      <x:c r="I47" s="48" t="str">
        <x:v>range dependency of plating</x:v>
      </x:c>
      <x:c r="J47" s="47" t="n">
        <x:v>2</x:v>
      </x:c>
    </x:row>
    <x:row r="48">
      <x:c r="A48" s="47" t="str">
        <x:v>RUN-I2-048-20260813T165805775641Z</x:v>
      </x:c>
      <x:c r="B48" s="47" t="str">
        <x:v>I2-048</x:v>
      </x:c>
      <x:c r="C48" s="47" t="str">
        <x:v>materialClass</x:v>
      </x:c>
      <x:c r="D48" s="48" t="str">
        <x:v>https://w3id.org/nltl-benchmark/vocab#materialClass</x:v>
      </x:c>
      <x:c r="E48" s="47" t="str">
        <x:v>DatatypeProperty</x:v>
      </x:c>
      <x:c r="F48" s="47" t="str">
        <x:v>xsd:string</x:v>
      </x:c>
      <x:c r="G48" s="47" t="str">
        <x:v>http://www.w3.org/2001/XMLSchema#string</x:v>
      </x:c>
      <x:c r="H48" s="47" t="str"/>
      <x:c r="I48" s="48" t="str">
        <x:v>linked by the locked 313-requirement index; verified vocabulary-matcher addition</x:v>
      </x:c>
      <x:c r="J48" s="47" t="n">
        <x:v>2</x:v>
      </x:c>
    </x:row>
    <x:row r="49">
      <x:c r="A49" s="47" t="str">
        <x:v>RUN-I2-048-20260813T165805775641Z</x:v>
      </x:c>
      <x:c r="B49" s="47" t="str">
        <x:v>I2-048</x:v>
      </x:c>
      <x:c r="C49" s="47" t="str">
        <x:v>normalStrengthHullStructuralSteel</x:v>
      </x:c>
      <x:c r="D49" s="48" t="str">
        <x:v>https://w3id.org/nltl-benchmark/vocab#normalStrengthHullStructuralSteel</x:v>
      </x:c>
      <x:c r="E49" s="47" t="str">
        <x:v>NamedIndividual</x:v>
      </x:c>
      <x:c r="F49" s="47" t="str"/>
      <x:c r="G49" s="47" t="str">
        <x:v>https://w3id.org/nltl-benchmark/vocab#steelGradeValue</x:v>
      </x:c>
      <x:c r="H49" s="47" t="str"/>
      <x:c r="I49" s="48" t="str">
        <x:v>controlled value permitted by the range of requiredHullStructuralSteelGrade</x:v>
      </x:c>
      <x:c r="J49" s="47" t="n">
        <x:v>2</x:v>
      </x:c>
    </x:row>
    <x:row r="50">
      <x:c r="A50" s="47" t="str">
        <x:v>RUN-I2-048-20260813T165805775641Z</x:v>
      </x:c>
      <x:c r="B50" s="47" t="str">
        <x:v>I2-048</x:v>
      </x:c>
      <x:c r="C50" s="47" t="str">
        <x:v>normalStrengthSteelCategory</x:v>
      </x:c>
      <x:c r="D50" s="48" t="str">
        <x:v>https://w3id.org/nltl-benchmark/vocab#normalStrengthSteelCategory</x:v>
      </x:c>
      <x:c r="E50" s="47" t="str">
        <x:v>NamedIndividual</x:v>
      </x:c>
      <x:c r="F50" s="47" t="str"/>
      <x:c r="G50" s="47" t="str">
        <x:v>https://w3id.org/nltl-benchmark/vocab#steelStrengthCategoryValue</x:v>
      </x:c>
      <x:c r="H50" s="47" t="str"/>
      <x:c r="I50" s="48" t="str">
        <x:v>controlled value permitted by the range of highTensileSteelCategory; controlled value permitted by the range of normalStrengthSteelCategory; controlled value permitted by the range of steelStrengthCategory; linked by the locked 313-requirement index</x:v>
      </x:c>
      <x:c r="J50" s="47" t="n">
        <x:v>2</x:v>
      </x:c>
    </x:row>
    <x:row r="51">
      <x:c r="A51" s="47" t="str">
        <x:v>RUN-I2-048-20260813T165805775641Z</x:v>
      </x:c>
      <x:c r="B51" s="47" t="str">
        <x:v>I2-048</x:v>
      </x:c>
      <x:c r="C51" s="47" t="str">
        <x:v>plating</x:v>
      </x:c>
      <x:c r="D51" s="48" t="str">
        <x:v>https://w3id.org/nltl-benchmark/vocab#plating</x:v>
      </x:c>
      <x:c r="E51" s="47" t="str">
        <x:v>Class</x:v>
      </x:c>
      <x:c r="F51" s="47" t="str"/>
      <x:c r="G51" s="47" t="str">
        <x:v>https://w3id.org/nltl-benchmark/vocab#hullStructure</x:v>
      </x:c>
      <x:c r="H51" s="47" t="str"/>
      <x:c r="I51" s="48" t="str">
        <x:v>linked by the locked 313-requirement index</x:v>
      </x:c>
      <x:c r="J51" s="47" t="n">
        <x:v>2</x:v>
      </x:c>
    </x:row>
    <x:row r="52">
      <x:c r="A52" s="47" t="str">
        <x:v>RUN-I2-048-20260813T165805775641Z</x:v>
      </x:c>
      <x:c r="B52" s="47" t="str">
        <x:v>I2-048</x:v>
      </x:c>
      <x:c r="C52" s="47" t="str">
        <x:v>polarClass</x:v>
      </x:c>
      <x:c r="D52" s="48" t="str">
        <x:v>https://w3id.org/nltl-benchmark/vocab#polarClass</x:v>
      </x:c>
      <x:c r="E52" s="47" t="str">
        <x:v>ObjectProperty</x:v>
      </x:c>
      <x:c r="F52" s="47" t="str"/>
      <x:c r="G52" s="47" t="str">
        <x:v>https://w3id.org/nltl-benchmark/vocab#polarClassValue</x:v>
      </x:c>
      <x:c r="H52" s="47" t="str"/>
      <x:c r="I52" s="48" t="str">
        <x:v>linked by the locked 313-requirement index</x:v>
      </x:c>
      <x:c r="J52" s="47" t="n">
        <x:v>2</x:v>
      </x:c>
    </x:row>
    <x:row r="53">
      <x:c r="A53" s="47" t="str">
        <x:v>RUN-I2-048-20260813T165805775641Z</x:v>
      </x:c>
      <x:c r="B53" s="47" t="str">
        <x:v>I2-048</x:v>
      </x:c>
      <x:c r="C53" s="47" t="str">
        <x:v>polarClassPc1</x:v>
      </x:c>
      <x:c r="D53" s="48" t="str">
        <x:v>https://w3id.org/nltl-benchmark/vocab#polarClassPc1</x:v>
      </x:c>
      <x:c r="E53" s="47" t="str">
        <x:v>NamedIndividual</x:v>
      </x:c>
      <x:c r="F53" s="47" t="str"/>
      <x:c r="G53" s="47" t="str">
        <x:v>https://w3id.org/nltl-benchmark/vocab#polarClassValue</x:v>
      </x:c>
      <x:c r="H53" s="47" t="str"/>
      <x:c r="I53" s="48" t="str">
        <x:v>controlled value permitted by the range of polarClass</x:v>
      </x:c>
      <x:c r="J53" s="47" t="n">
        <x:v>2</x:v>
      </x:c>
    </x:row>
    <x:row r="54">
      <x:c r="A54" s="47" t="str">
        <x:v>RUN-I2-048-20260813T165805775641Z</x:v>
      </x:c>
      <x:c r="B54" s="47" t="str">
        <x:v>I2-048</x:v>
      </x:c>
      <x:c r="C54" s="47" t="str">
        <x:v>polarClassPc2</x:v>
      </x:c>
      <x:c r="D54" s="48" t="str">
        <x:v>https://w3id.org/nltl-benchmark/vocab#polarClassPc2</x:v>
      </x:c>
      <x:c r="E54" s="47" t="str">
        <x:v>NamedIndividual</x:v>
      </x:c>
      <x:c r="F54" s="47" t="str"/>
      <x:c r="G54" s="47" t="str">
        <x:v>https://w3id.org/nltl-benchmark/vocab#polarClassValue</x:v>
      </x:c>
      <x:c r="H54" s="47" t="str"/>
      <x:c r="I54" s="48" t="str">
        <x:v>controlled value permitted by the range of polarClass</x:v>
      </x:c>
      <x:c r="J54" s="47" t="n">
        <x:v>2</x:v>
      </x:c>
    </x:row>
    <x:row r="55">
      <x:c r="A55" s="47" t="str">
        <x:v>RUN-I2-048-20260813T165805775641Z</x:v>
      </x:c>
      <x:c r="B55" s="47" t="str">
        <x:v>I2-048</x:v>
      </x:c>
      <x:c r="C55" s="47" t="str">
        <x:v>polarClassPc3</x:v>
      </x:c>
      <x:c r="D55" s="48" t="str">
        <x:v>https://w3id.org/nltl-benchmark/vocab#polarClassPc3</x:v>
      </x:c>
      <x:c r="E55" s="47" t="str">
        <x:v>NamedIndividual</x:v>
      </x:c>
      <x:c r="F55" s="47" t="str"/>
      <x:c r="G55" s="47" t="str">
        <x:v>https://w3id.org/nltl-benchmark/vocab#polarClassValue</x:v>
      </x:c>
      <x:c r="H55" s="47" t="str"/>
      <x:c r="I55" s="48" t="str">
        <x:v>controlled value permitted by the range of polarClass</x:v>
      </x:c>
      <x:c r="J55" s="47" t="n">
        <x:v>2</x:v>
      </x:c>
    </x:row>
    <x:row r="56">
      <x:c r="A56" s="47" t="str">
        <x:v>RUN-I2-048-20260813T165805775641Z</x:v>
      </x:c>
      <x:c r="B56" s="47" t="str">
        <x:v>I2-048</x:v>
      </x:c>
      <x:c r="C56" s="47" t="str">
        <x:v>polarClassPc4</x:v>
      </x:c>
      <x:c r="D56" s="48" t="str">
        <x:v>https://w3id.org/nltl-benchmark/vocab#polarClassPc4</x:v>
      </x:c>
      <x:c r="E56" s="47" t="str">
        <x:v>NamedIndividual</x:v>
      </x:c>
      <x:c r="F56" s="47" t="str"/>
      <x:c r="G56" s="47" t="str">
        <x:v>https://w3id.org/nltl-benchmark/vocab#polarClassValue</x:v>
      </x:c>
      <x:c r="H56" s="47" t="str"/>
      <x:c r="I56" s="48" t="str">
        <x:v>controlled value permitted by the range of polarClass</x:v>
      </x:c>
      <x:c r="J56" s="47" t="n">
        <x:v>2</x:v>
      </x:c>
    </x:row>
    <x:row r="57">
      <x:c r="A57" s="47" t="str">
        <x:v>RUN-I2-048-20260813T165805775641Z</x:v>
      </x:c>
      <x:c r="B57" s="47" t="str">
        <x:v>I2-048</x:v>
      </x:c>
      <x:c r="C57" s="47" t="str">
        <x:v>polarClassPc5</x:v>
      </x:c>
      <x:c r="D57" s="48" t="str">
        <x:v>https://w3id.org/nltl-benchmark/vocab#polarClassPc5</x:v>
      </x:c>
      <x:c r="E57" s="47" t="str">
        <x:v>NamedIndividual</x:v>
      </x:c>
      <x:c r="F57" s="47" t="str"/>
      <x:c r="G57" s="47" t="str">
        <x:v>https://w3id.org/nltl-benchmark/vocab#polarClassValue</x:v>
      </x:c>
      <x:c r="H57" s="47" t="str"/>
      <x:c r="I57" s="48" t="str">
        <x:v>controlled value permitted by the range of polarClass</x:v>
      </x:c>
      <x:c r="J57" s="47" t="n">
        <x:v>2</x:v>
      </x:c>
    </x:row>
    <x:row r="58">
      <x:c r="A58" s="47" t="str">
        <x:v>RUN-I2-048-20260813T165805775641Z</x:v>
      </x:c>
      <x:c r="B58" s="47" t="str">
        <x:v>I2-048</x:v>
      </x:c>
      <x:c r="C58" s="47" t="str">
        <x:v>polarClassPc6</x:v>
      </x:c>
      <x:c r="D58" s="48" t="str">
        <x:v>https://w3id.org/nltl-benchmark/vocab#polarClassPc6</x:v>
      </x:c>
      <x:c r="E58" s="47" t="str">
        <x:v>NamedIndividual</x:v>
      </x:c>
      <x:c r="F58" s="47" t="str"/>
      <x:c r="G58" s="47" t="str">
        <x:v>https://w3id.org/nltl-benchmark/vocab#polarClassValue</x:v>
      </x:c>
      <x:c r="H58" s="47" t="str"/>
      <x:c r="I58" s="48" t="str">
        <x:v>controlled value permitted by the range of polarClass</x:v>
      </x:c>
      <x:c r="J58" s="47" t="n">
        <x:v>2</x:v>
      </x:c>
    </x:row>
    <x:row r="59">
      <x:c r="A59" s="47" t="str">
        <x:v>RUN-I2-048-20260813T165805775641Z</x:v>
      </x:c>
      <x:c r="B59" s="47" t="str">
        <x:v>I2-048</x:v>
      </x:c>
      <x:c r="C59" s="47" t="str">
        <x:v>polarClassPc7</x:v>
      </x:c>
      <x:c r="D59" s="48" t="str">
        <x:v>https://w3id.org/nltl-benchmark/vocab#polarClassPc7</x:v>
      </x:c>
      <x:c r="E59" s="47" t="str">
        <x:v>NamedIndividual</x:v>
      </x:c>
      <x:c r="F59" s="47" t="str"/>
      <x:c r="G59" s="47" t="str">
        <x:v>https://w3id.org/nltl-benchmark/vocab#polarClassValue</x:v>
      </x:c>
      <x:c r="H59" s="47" t="str"/>
      <x:c r="I59" s="48" t="str">
        <x:v>controlled value permitted by the range of polarClass</x:v>
      </x:c>
      <x:c r="J59" s="47" t="n">
        <x:v>2</x:v>
      </x:c>
    </x:row>
    <x:row r="60">
      <x:c r="A60" s="47" t="str">
        <x:v>RUN-I2-048-20260813T165805775641Z</x:v>
      </x:c>
      <x:c r="B60" s="47" t="str">
        <x:v>I2-048</x:v>
      </x:c>
      <x:c r="C60" s="47" t="str">
        <x:v>polarClassValue</x:v>
      </x:c>
      <x:c r="D60" s="48" t="str">
        <x:v>https://w3id.org/nltl-benchmark/vocab#polarClassValue</x:v>
      </x:c>
      <x:c r="E60" s="47" t="str">
        <x:v>Class</x:v>
      </x:c>
      <x:c r="F60" s="47" t="str"/>
      <x:c r="G60" s="47" t="str"/>
      <x:c r="H60" s="47" t="str"/>
      <x:c r="I60" s="48" t="str">
        <x:v>range dependency of polarClass</x:v>
      </x:c>
      <x:c r="J60" s="47" t="n">
        <x:v>2</x:v>
      </x:c>
    </x:row>
    <x:row r="61">
      <x:c r="A61" s="47" t="str">
        <x:v>RUN-I2-048-20260813T165805775641Z</x:v>
      </x:c>
      <x:c r="B61" s="47" t="str">
        <x:v>I2-048</x:v>
      </x:c>
      <x:c r="C61" s="47" t="str">
        <x:v>requiredHullStructuralSteelGrade</x:v>
      </x:c>
      <x:c r="D61" s="48" t="str">
        <x:v>https://w3id.org/nltl-benchmark/vocab#requiredHullStructuralSteelGrade</x:v>
      </x:c>
      <x:c r="E61" s="47" t="str">
        <x:v>ObjectProperty</x:v>
      </x:c>
      <x:c r="F61" s="47" t="str"/>
      <x:c r="G61" s="47" t="str">
        <x:v>https://w3id.org/nltl-benchmark/vocab#steelGradeValue</x:v>
      </x:c>
      <x:c r="H61" s="47" t="str"/>
      <x:c r="I61" s="48" t="str">
        <x:v>linked by the locked 313-requirement index</x:v>
      </x:c>
      <x:c r="J61" s="47" t="n">
        <x:v>2</x:v>
      </x:c>
    </x:row>
    <x:row r="62">
      <x:c r="A62" s="47" t="str">
        <x:v>RUN-I2-048-20260813T165805775641Z</x:v>
      </x:c>
      <x:c r="B62" s="47" t="str">
        <x:v>I2-048</x:v>
      </x:c>
      <x:c r="C62" s="47" t="str">
        <x:v>ship</x:v>
      </x:c>
      <x:c r="D62" s="48" t="str">
        <x:v>https://w3id.org/nltl-benchmark/vocab#ship</x:v>
      </x:c>
      <x:c r="E62" s="47" t="str">
        <x:v>Class</x:v>
      </x:c>
      <x:c r="F62" s="47" t="str"/>
      <x:c r="G62" s="47" t="str"/>
      <x:c r="H62" s="47" t="str"/>
      <x:c r="I62" s="48" t="str">
        <x:v>authoritative required owner class; authoritative requirement target owner; baseline target infrastructure; domain dependency of hasSteelGradeRequirementCase</x:v>
      </x:c>
      <x:c r="J62" s="47" t="n">
        <x:v>2</x:v>
      </x:c>
    </x:row>
    <x:row r="63">
      <x:c r="A63" s="47" t="str">
        <x:v>RUN-I2-048-20260813T165805775641Z</x:v>
      </x:c>
      <x:c r="B63" s="47" t="str">
        <x:v>I2-048</x:v>
      </x:c>
      <x:c r="C63" s="47" t="str">
        <x:v>shipComponent</x:v>
      </x:c>
      <x:c r="D63" s="48" t="str">
        <x:v>https://w3id.org/nltl-benchmark/vocab#shipComponent</x:v>
      </x:c>
      <x:c r="E63" s="47" t="str">
        <x:v>Class</x:v>
      </x:c>
      <x:c r="F63" s="47" t="str"/>
      <x:c r="G63" s="47" t="str"/>
      <x:c r="H63" s="47" t="str"/>
      <x:c r="I63" s="48" t="str">
        <x:v>component-path dependency inferred from the linked term module</x:v>
      </x:c>
      <x:c r="J63" s="47" t="n">
        <x:v>2</x:v>
      </x:c>
    </x:row>
    <x:row r="64">
      <x:c r="A64" s="47" t="str">
        <x:v>RUN-I2-048-20260813T165805775641Z</x:v>
      </x:c>
      <x:c r="B64" s="47" t="str">
        <x:v>I2-048</x:v>
      </x:c>
      <x:c r="C64" s="47" t="str">
        <x:v>steelGrade</x:v>
      </x:c>
      <x:c r="D64" s="48" t="str">
        <x:v>https://w3id.org/nltl-benchmark/vocab#steelGrade</x:v>
      </x:c>
      <x:c r="E64" s="47" t="str">
        <x:v>DatatypeProperty</x:v>
      </x:c>
      <x:c r="F64" s="47" t="str">
        <x:v>xsd:string</x:v>
      </x:c>
      <x:c r="G64" s="47" t="str">
        <x:v>http://www.w3.org/2001/XMLSchema#string</x:v>
      </x:c>
      <x:c r="H64" s="47" t="str"/>
      <x:c r="I64" s="48" t="str">
        <x:v>linked by the locked 313-requirement index</x:v>
      </x:c>
      <x:c r="J64" s="47" t="n">
        <x:v>2</x:v>
      </x:c>
    </x:row>
    <x:row r="65">
      <x:c r="A65" s="47" t="str">
        <x:v>RUN-I2-048-20260813T165805775641Z</x:v>
      </x:c>
      <x:c r="B65" s="47" t="str">
        <x:v>I2-048</x:v>
      </x:c>
      <x:c r="C65" s="47" t="str">
        <x:v>steelGradeRequirementCase</x:v>
      </x:c>
      <x:c r="D65" s="48" t="str">
        <x:v>https://w3id.org/nltl-benchmark/vocab#steelGradeRequirementCase</x:v>
      </x:c>
      <x:c r="E65" s="47" t="str">
        <x:v>Class</x:v>
      </x:c>
      <x:c r="F65" s="47" t="str"/>
      <x:c r="G65" s="47" t="str">
        <x:v>https://w3id.org/nltl-benchmark/vocab#tableLookupCase</x:v>
      </x:c>
      <x:c r="H65" s="47" t="str"/>
      <x:c r="I65" s="48" t="str">
        <x:v>domain dependency of asBuiltPlateThickness; domain dependency of requiredHullStructuralSteelGrade; domain dependency of steelMaterialClass; domain dependency of steelStrengthCategory; linked by the locked 313-requirement index; range dependency of hasSteelGradeRequirementCase</x:v>
      </x:c>
      <x:c r="J65" s="47" t="n">
        <x:v>2</x:v>
      </x:c>
    </x:row>
    <x:row r="66">
      <x:c r="A66" s="47" t="str">
        <x:v>RUN-I2-048-20260813T165805775641Z</x:v>
      </x:c>
      <x:c r="B66" s="47" t="str">
        <x:v>I2-048</x:v>
      </x:c>
      <x:c r="C66" s="47" t="str">
        <x:v>steelGradeValue</x:v>
      </x:c>
      <x:c r="D66" s="48" t="str">
        <x:v>https://w3id.org/nltl-benchmark/vocab#steelGradeValue</x:v>
      </x:c>
      <x:c r="E66" s="47" t="str">
        <x:v>Class</x:v>
      </x:c>
      <x:c r="F66" s="47" t="str"/>
      <x:c r="G66" s="47" t="str">
        <x:v>https://w3id.org/nltl-benchmark/vocab#benchmarkEntity</x:v>
      </x:c>
      <x:c r="H66" s="47" t="str"/>
      <x:c r="I66" s="48" t="str">
        <x:v>range dependency of requiredHullStructuralSteelGrade</x:v>
      </x:c>
      <x:c r="J66" s="47" t="n">
        <x:v>2</x:v>
      </x:c>
    </x:row>
    <x:row r="67">
      <x:c r="A67" s="47" t="str">
        <x:v>RUN-I2-048-20260813T165805775641Z</x:v>
      </x:c>
      <x:c r="B67" s="47" t="str">
        <x:v>I2-048</x:v>
      </x:c>
      <x:c r="C67" s="47" t="str">
        <x:v>steelMaterialClass</x:v>
      </x:c>
      <x:c r="D67" s="48" t="str">
        <x:v>https://w3id.org/nltl-benchmark/vocab#steelMaterialClass</x:v>
      </x:c>
      <x:c r="E67" s="47" t="str">
        <x:v>ObjectProperty</x:v>
      </x:c>
      <x:c r="F67" s="47" t="str"/>
      <x:c r="G67" s="47" t="str">
        <x:v>https://w3id.org/nltl-benchmark/vocab#steelMaterialClassValue</x:v>
      </x:c>
      <x:c r="H67" s="47" t="str"/>
      <x:c r="I67" s="48" t="str">
        <x:v>linked by the locked 313-requirement index</x:v>
      </x:c>
      <x:c r="J67" s="47" t="n">
        <x:v>2</x:v>
      </x:c>
    </x:row>
    <x:row r="68">
      <x:c r="A68" s="47" t="str">
        <x:v>RUN-I2-048-20260813T165805775641Z</x:v>
      </x:c>
      <x:c r="B68" s="47" t="str">
        <x:v>I2-048</x:v>
      </x:c>
      <x:c r="C68" s="47" t="str">
        <x:v>steelMaterialClassOne</x:v>
      </x:c>
      <x:c r="D68" s="48" t="str">
        <x:v>https://w3id.org/nltl-benchmark/vocab#steelMaterialClassOne</x:v>
      </x:c>
      <x:c r="E68" s="47" t="str">
        <x:v>NamedIndividual</x:v>
      </x:c>
      <x:c r="F68" s="47" t="str"/>
      <x:c r="G68" s="47" t="str">
        <x:v>https://w3id.org/nltl-benchmark/vocab#steelMaterialClassValue</x:v>
      </x:c>
      <x:c r="H68" s="47" t="str"/>
      <x:c r="I68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68" s="47" t="n">
        <x:v>2</x:v>
      </x:c>
    </x:row>
    <x:row r="69">
      <x:c r="A69" s="47" t="str">
        <x:v>RUN-I2-048-20260813T165805775641Z</x:v>
      </x:c>
      <x:c r="B69" s="47" t="str">
        <x:v>I2-048</x:v>
      </x:c>
      <x:c r="C69" s="47" t="str">
        <x:v>steelMaterialClassThree</x:v>
      </x:c>
      <x:c r="D69" s="48" t="str">
        <x:v>https://w3id.org/nltl-benchmark/vocab#steelMaterialClassThree</x:v>
      </x:c>
      <x:c r="E69" s="47" t="str">
        <x:v>NamedIndividual</x:v>
      </x:c>
      <x:c r="F69" s="47" t="str"/>
      <x:c r="G69" s="47" t="str">
        <x:v>https://w3id.org/nltl-benchmark/vocab#steelMaterialClassValue</x:v>
      </x:c>
      <x:c r="H69" s="47" t="str"/>
      <x:c r="I69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69" s="47" t="n">
        <x:v>2</x:v>
      </x:c>
    </x:row>
    <x:row r="70">
      <x:c r="A70" s="47" t="str">
        <x:v>RUN-I2-048-20260813T165805775641Z</x:v>
      </x:c>
      <x:c r="B70" s="47" t="str">
        <x:v>I2-048</x:v>
      </x:c>
      <x:c r="C70" s="47" t="str">
        <x:v>steelMaterialClassTwo</x:v>
      </x:c>
      <x:c r="D70" s="48" t="str">
        <x:v>https://w3id.org/nltl-benchmark/vocab#steelMaterialClassTwo</x:v>
      </x:c>
      <x:c r="E70" s="47" t="str">
        <x:v>NamedIndividual</x:v>
      </x:c>
      <x:c r="F70" s="47" t="str"/>
      <x:c r="G70" s="47" t="str">
        <x:v>https://w3id.org/nltl-benchmark/vocab#steelMaterialClassValue</x:v>
      </x:c>
      <x:c r="H70" s="47" t="str"/>
      <x:c r="I70" s="48" t="str">
        <x:v>controlled value permitted by the range of steelMaterialClass; controlled value permitted by the range of steelMaterialClassOne; controlled value permitted by the range of steelMaterialClassThree; controlled value permitted by the range of steelMaterialClassTwo; linked by the locked 313-requirement index</x:v>
      </x:c>
      <x:c r="J70" s="47" t="n">
        <x:v>2</x:v>
      </x:c>
    </x:row>
    <x:row r="71">
      <x:c r="A71" s="47" t="str">
        <x:v>RUN-I2-048-20260813T165805775641Z</x:v>
      </x:c>
      <x:c r="B71" s="47" t="str">
        <x:v>I2-048</x:v>
      </x:c>
      <x:c r="C71" s="47" t="str">
        <x:v>steelMaterialClassValue</x:v>
      </x:c>
      <x:c r="D71" s="48" t="str">
        <x:v>https://w3id.org/nltl-benchmark/vocab#steelMaterialClassValue</x:v>
      </x:c>
      <x:c r="E71" s="47" t="str">
        <x:v>Class</x:v>
      </x:c>
      <x:c r="F71" s="47" t="str"/>
      <x:c r="G71" s="47" t="str">
        <x:v>https://w3id.org/nltl-benchmark/vocab#benchmarkEntity</x:v>
      </x:c>
      <x:c r="H71" s="47" t="str"/>
      <x:c r="I71" s="48" t="str">
        <x:v>linked by the locked 313-requirement index; range dependency of steelMaterialClass; range dependency of steelMaterialClassOne; range dependency of steelMaterialClassThree; range dependency of steelMaterialClassTwo</x:v>
      </x:c>
      <x:c r="J71" s="47" t="n">
        <x:v>2</x:v>
      </x:c>
    </x:row>
    <x:row r="72">
      <x:c r="A72" s="47" t="str">
        <x:v>RUN-I2-048-20260813T165805775641Z</x:v>
      </x:c>
      <x:c r="B72" s="47" t="str">
        <x:v>I2-048</x:v>
      </x:c>
      <x:c r="C72" s="47" t="str">
        <x:v>steelStrengthCategory</x:v>
      </x:c>
      <x:c r="D72" s="48" t="str">
        <x:v>https://w3id.org/nltl-benchmark/vocab#steelStrengthCategory</x:v>
      </x:c>
      <x:c r="E72" s="47" t="str">
        <x:v>ObjectProperty</x:v>
      </x:c>
      <x:c r="F72" s="47" t="str"/>
      <x:c r="G72" s="47" t="str">
        <x:v>https://w3id.org/nltl-benchmark/vocab#steelStrengthCategoryValue</x:v>
      </x:c>
      <x:c r="H72" s="47" t="str"/>
      <x:c r="I72" s="48" t="str">
        <x:v>linked by the locked 313-requirement index</x:v>
      </x:c>
      <x:c r="J72" s="47" t="n">
        <x:v>2</x:v>
      </x:c>
    </x:row>
    <x:row r="73">
      <x:c r="A73" s="47" t="str">
        <x:v>RUN-I2-048-20260813T165805775641Z</x:v>
      </x:c>
      <x:c r="B73" s="47" t="str">
        <x:v>I2-048</x:v>
      </x:c>
      <x:c r="C73" s="47" t="str">
        <x:v>steelStrengthCategoryValue</x:v>
      </x:c>
      <x:c r="D73" s="48" t="str">
        <x:v>https://w3id.org/nltl-benchmark/vocab#steelStrengthCategoryValue</x:v>
      </x:c>
      <x:c r="E73" s="47" t="str">
        <x:v>Class</x:v>
      </x:c>
      <x:c r="F73" s="47" t="str"/>
      <x:c r="G73" s="47" t="str">
        <x:v>https://w3id.org/nltl-benchmark/vocab#benchmarkEntity</x:v>
      </x:c>
      <x:c r="H73" s="47" t="str"/>
      <x:c r="I73" s="48" t="str">
        <x:v>linked by the locked 313-requirement index; range dependency of highTensileSteelCategory; range dependency of normalStrengthSteelCategory; range dependency of steelStrengthCategory</x:v>
      </x:c>
      <x:c r="J73" s="47" t="n">
        <x:v>2</x:v>
      </x:c>
    </x:row>
    <x:row r="74">
      <x:c r="A74" s="49" t="str">
        <x:v>RUN-I2-048-20260813T165805775641Z</x:v>
      </x:c>
      <x:c r="B74" s="49" t="str">
        <x:v>I2-048</x:v>
      </x:c>
      <x:c r="C74" s="49" t="str">
        <x:v>tableLookupCase</x:v>
      </x:c>
      <x:c r="D74" s="50" t="str">
        <x:v>https://w3id.org/nltl-benchmark/vocab#tableLookupCase</x:v>
      </x:c>
      <x:c r="E74" s="49" t="str">
        <x:v>Class</x:v>
      </x:c>
      <x:c r="F74" s="49" t="str"/>
      <x:c r="G74" s="49" t="str">
        <x:v>https://w3id.org/nltl-benchmark/vocab#calculationCase</x:v>
      </x:c>
      <x:c r="H74" s="49" t="str"/>
      <x:c r="I74" s="50" t="str">
        <x:v>range dependency of steelGradeRequirementCase</x:v>
      </x:c>
      <x:c r="J74" s="49" t="n">
        <x:v>2</x:v>
      </x:c>
    </x:row>
  </x:sheetData>
  <x:pageMargins left="0.7" right="0.7" top="0.75" bottom="0.75" header="0.3" footer="0.3"/>
  <x:tableParts count="1">
    <x:tablePart xmlns:r="http://schemas.openxmlformats.org/officeDocument/2006/relationships" r:id="Re9cea9be9146477c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24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RUN-I2-048-20260813T165805775641Z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RUN-I2-048-20260813T165805775641Z</x:v>
      </x:c>
      <x:c r="B5" s="45" t="str">
        <x:v>I2-048</x:v>
      </x:c>
      <x:c r="C5" s="45" t="str">
        <x:v>FS-CALC-02</x:v>
      </x:c>
      <x:c r="D5" s="45" t="str">
        <x:v>comparison_calculation</x:v>
      </x:c>
      <x:c r="E5" s="97" t="n">
        <x:v>0.0625</x:v>
      </x:c>
      <x:c r="F5" s="45" t="str">
        <x:v>calculation | comparison | sparql</x:v>
      </x:c>
      <x:c r="G5" s="45" t="str">
        <x:v>synthetic-few-shot-not-benchmark-ground-truth</x:v>
      </x:c>
    </x:row>
    <x:row r="6">
      <x:c r="A6" s="49" t="str">
        <x:v>RUN-I2-048-20260813T165805775641Z</x:v>
      </x:c>
      <x:c r="B6" s="49" t="str">
        <x:v>I2-048</x:v>
      </x:c>
      <x:c r="C6" s="49" t="str">
        <x:v>FS-REL-01</x:v>
      </x:c>
      <x:c r="D6" s="49" t="str">
        <x:v>entity_relation</x:v>
      </x:c>
      <x:c r="E6" s="98" t="n">
        <x:v>0.061224</x:v>
      </x:c>
      <x:c r="F6" s="49" t="str">
        <x:v>class | entity | relation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4f5081e20984fbf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RUN-I2-048-20260813T165805775641Z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45" t="str">
        <x:v>RUN-I2-048-20260813T165805775641Z</x:v>
      </x:c>
      <x:c r="B5" s="45" t="str">
        <x:v>I2-048</x:v>
      </x:c>
      <x:c r="C5" s="58" t="n">
        <x:v>1</x:v>
      </x:c>
      <x:c r="D5" s="80" t="b">
        <x:v>1</x:v>
      </x:c>
      <x:c r="E5" s="80" t="b">
        <x:v>1</x:v>
      </x:c>
      <x:c r="F5" s="80" t="b">
        <x:v>1</x:v>
      </x:c>
      <x:c r="G5" s="80" t="b">
        <x:v>1</x:v>
      </x:c>
      <x:c r="H5" s="80" t="b">
        <x:v>1</x:v>
      </x:c>
      <x:c r="I5" s="80" t="b">
        <x:v>1</x:v>
      </x:c>
      <x:c r="J5" s="80" t="b">
        <x:v>1</x:v>
      </x:c>
      <x:c r="K5" s="101" t="b">
        <x:v>1</x:v>
      </x:c>
      <x:c r="L5" s="46" t="str"/>
      <x:c r="M5" s="46" t="str"/>
      <x:c r="N5" s="46" t="str">
        <x:v>https://w3id.org/nltl-benchmark/vocab#asBuiltPlateThickness | https://w3id.org/nltl-benchmark/vocab#hasSteelGradeRequirementCase | https://w3id.org/nltl-benchmark/vocab#highTensileSteelCategory | https://w3id.org/nltl-benchmark/vocab#normalStrengthSteelCategory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https://w3id.org/nltl-benchmark/vocab#polarClassValue | https://w3id.org/nltl-benchmark/vocab#requiredHullStructuralSteelGrade | https://w3id.org/nltl-benchmark/vocab#ship | https://w3id.org/nltl-benchmark/vocab#steelGradeRequirementCase | https://w3id.org/nltl-benchmark/vocab#steelGradeValue | https://w3id.org/nltl-benchmark/vocab#steelMaterialClass | https://w3id.org/nltl-benchmark/vocab#steelMaterialClassOne | https://w3id.org/nltl-benchmark/vocab#steelMaterialClassThree | https://w3id.org/nltl-benchmark/vocab#steelMaterialClassTwo | https://w3id.org/nltl-benchmark/vocab#steelMaterialClassValue | https://w3id.org/nltl-benchmark/vocab#steelStrengthCategory | https://w3id.org/nltl-benchmark/vocab#steelStrengthCategoryValue</x:v>
      </x:c>
      <x:c r="O5" s="46" t="str"/>
      <x:c r="P5" s="46" t="str"/>
      <x:c r="Q5" s="46" t="str"/>
    </x:row>
    <x:row r="6">
      <x:c r="A6" s="49" t="str">
        <x:v>RUN-I2-048-20260813T165805775641Z</x:v>
      </x:c>
      <x:c r="B6" s="49" t="str">
        <x:v>I2-048</x:v>
      </x:c>
      <x:c r="C6" s="60" t="n">
        <x:v>2</x:v>
      </x:c>
      <x:c r="D6" s="82" t="b">
        <x:v>1</x:v>
      </x:c>
      <x:c r="E6" s="82" t="b">
        <x:v>1</x:v>
      </x:c>
      <x:c r="F6" s="82" t="b">
        <x:v>1</x:v>
      </x:c>
      <x:c r="G6" s="82" t="b">
        <x:v>1</x:v>
      </x:c>
      <x:c r="H6" s="82" t="b">
        <x:v>1</x:v>
      </x:c>
      <x:c r="I6" s="82" t="b">
        <x:v>1</x:v>
      </x:c>
      <x:c r="J6" s="82" t="b">
        <x:v>1</x:v>
      </x:c>
      <x:c r="K6" s="102" t="b">
        <x:v>1</x:v>
      </x:c>
      <x:c r="L6" s="50" t="str"/>
      <x:c r="M6" s="50" t="str"/>
      <x:c r="N6" s="50" t="str">
        <x:v>https://w3id.org/nltl-benchmark/vocab#asBuiltPlateThickness | https://w3id.org/nltl-benchmark/vocab#hasSteelGradeRequirementCase | https://w3id.org/nltl-benchmark/vocab#highTensileSteelCategory | https://w3id.org/nltl-benchmark/vocab#materialClass | https://w3id.org/nltl-benchmark/vocab#normalStrengthSteelCategory | https://w3id.org/nltl-benchmark/vocab#polarClass | https://w3id.org/nltl-benchmark/vocab#polarClassPc1 | https://w3id.org/nltl-benchmark/vocab#polarClassPc2 | https://w3id.org/nltl-benchmark/vocab#polarClassPc3 | https://w3id.org/nltl-benchmark/vocab#polarClassPc4 | https://w3id.org/nltl-benchmark/vocab#polarClassPc5 | https://w3id.org/nltl-benchmark/vocab#polarClassPc6 | https://w3id.org/nltl-benchmark/vocab#polarClassPc7 | https://w3id.org/nltl-benchmark/vocab#polarClassValue | https://w3id.org/nltl-benchmark/vocab#requiredHullStructuralSteelGrade | https://w3id.org/nltl-benchmark/vocab#ship | https://w3id.org/nltl-benchmark/vocab#steelGradeRequirementCase | https://w3id.org/nltl-benchmark/vocab#steelGradeValue | https://w3id.org/nltl-benchmark/vocab#steelMaterialClass | https://w3id.org/nltl-benchmark/vocab#steelMaterialClassOne | https://w3id.org/nltl-benchmark/vocab#steelMaterialClassThree | https://w3id.org/nltl-benchmark/vocab#steelMaterialClassTwo | https://w3id.org/nltl-benchmark/vocab#steelMaterialClassValue | https://w3id.org/nltl-benchmark/vocab#steelStrengthCategory | https://w3id.org/nltl-benchmark/vocab#steelStrengthCategoryValue</x:v>
      </x:c>
      <x:c r="O6" s="50" t="str"/>
      <x:c r="P6" s="50" t="str"/>
      <x:c r="Q6" s="50" t="str"/>
    </x:row>
  </x:sheetData>
  <x:pageMargins left="0.7" right="0.7" top="0.75" bottom="0.75" header="0.3" footer="0.3"/>
  <x:tableParts count="1">
    <x:tablePart xmlns:r="http://schemas.openxmlformats.org/officeDocument/2006/relationships" r:id="R5ffc6e25faf54009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8" hidden="0" customWidth="1"/>
    <x:col min="5" max="5" width="52" hidden="0" customWidth="1"/>
    <x:col min="6" max="6" width="17" hidden="0" customWidth="1"/>
    <x:col min="7" max="7" width="13" hidden="0" customWidth="1"/>
    <x:col min="8" max="8" width="40" hidden="0" customWidth="1"/>
    <x:col min="9" max="9" width="52" hidden="0" customWidth="1"/>
    <x:col min="10" max="10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RUN-I2-048-20260813T165805775641Z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45" t="str">
        <x:v>RUN-I2-048-20260813T165805775641Z</x:v>
      </x:c>
      <x:c r="B5" s="45" t="str">
        <x:v>I2-048</x:v>
      </x:c>
      <x:c r="C5" s="58" t="n">
        <x:v>1</x:v>
      </x:c>
      <x:c r="D5" s="45" t="str">
        <x:v>matcher_search</x:v>
      </x:c>
      <x:c r="E5" s="46" t="str">
        <x:v>Replace the presence-only approximation with an actual Table 8 lookup and not-less-than validation. The case currently accepts any steelGradeValue and never checks the ship/plating's actual grade against the minimum grade selected from Polar Class, as-built thickness, material class, and strength category; it also omits the dependency-contract applicability term materialClass. Use one case node to pair the lookup inputs and result, constrain each lookup field to an unambiguous single value, encode the exact Table 8 selection, and compare actual grade in the correct ordering direction (actual grade &gt;= required Table 8 grade). Do not compare ordered grades as strings. Activate vocabulary matching to locate the missing canonical actual-grade, grade-order, and/or Table 8 mapping terms or controlled values rather than inventing them.</x:v>
      </x:c>
      <x:c r="F5" s="58" t="n">
        <x:v>7</x:v>
      </x:c>
      <x:c r="G5" s="45" t="str"/>
      <x:c r="H5" s="45" t="str"/>
      <x:c r="I5" s="46" t="str"/>
      <x:c r="J5" s="46" t="str"/>
    </x:row>
    <x:row r="6">
      <x:c r="A6" s="47" t="str">
        <x:v>RUN-I2-048-20260813T165805775641Z</x:v>
      </x:c>
      <x:c r="B6" s="47" t="str">
        <x:v>I2-048</x:v>
      </x:c>
      <x:c r="C6" s="59" t="n">
        <x:v>1</x:v>
      </x:c>
      <x:c r="D6" s="47" t="str">
        <x:v>matcher_decision</x:v>
      </x:c>
      <x:c r="E6" s="48" t="str"/>
      <x:c r="F6" s="59" t="str"/>
      <x:c r="G6" s="93" t="b">
        <x:v>1</x:v>
      </x:c>
      <x:c r="H6" s="47" t="str">
        <x:v>materialClass</x:v>
      </x:c>
      <x:c r="I6" s="48" t="str">
        <x:v>https://w3id.org/nltl-benchmark/vocab#materialClass</x:v>
      </x:c>
      <x:c r="J6" s="48" t="str">
        <x:v>Use this exact term because it is the canonical datatype property for the material-class lookup input explicitly required by I2.12.1 and omitted from the dependency-contract applicability constraints.</x:v>
      </x:c>
    </x:row>
    <x:row r="7">
      <x:c r="A7" s="47" t="str">
        <x:v>RUN-I2-048-20260813T165805775641Z</x:v>
      </x:c>
      <x:c r="B7" s="47" t="str">
        <x:v>I2-048</x:v>
      </x:c>
      <x:c r="C7" s="59" t="n">
        <x:v>2</x:v>
      </x:c>
      <x:c r="D7" s="47" t="str">
        <x:v>matcher_search</x:v>
      </x:c>
      <x:c r="E7" s="48" t="str">
        <x:v>Replace the presence-only case shape with an actual Table 8 lookup and comparison: validate that the cited-table minimum is selected from the paired as-built thickness, Polar Class, material class, and steel-strength category, then verify that the plating's actual steel grade is not less than that minimum using canonical ordered-grade/comparison terms. Locate those absent canonical terms with the matcher; do not compare the available string-valued steelGrade lexically. Also move polarClass, materialClass, asBuiltPlateThickness, and requiredHullStructuralSteelGrade checks to their authoritative ship owner, while retaining only relationships whose canonical domain requires the steel-grade case, and avoid duplicating facts on ship and case.</x:v>
      </x:c>
      <x:c r="F7" s="59" t="n">
        <x:v>9</x:v>
      </x:c>
      <x:c r="G7" s="47" t="str"/>
      <x:c r="H7" s="47" t="str"/>
      <x:c r="I7" s="48" t="str"/>
      <x:c r="J7" s="48" t="str"/>
    </x:row>
    <x:row r="8">
      <x:c r="A8" s="49" t="str">
        <x:v>RUN-I2-048-20260813T165805775641Z</x:v>
      </x:c>
      <x:c r="B8" s="49" t="str">
        <x:v>I2-048</x:v>
      </x:c>
      <x:c r="C8" s="60" t="n">
        <x:v>2</x:v>
      </x:c>
      <x:c r="D8" s="49" t="str">
        <x:v>matcher_decision</x:v>
      </x:c>
      <x:c r="E8" s="50" t="str"/>
      <x:c r="F8" s="60" t="str"/>
      <x:c r="G8" s="82" t="b">
        <x:v>0</x:v>
      </x:c>
      <x:c r="H8" s="49" t="str"/>
      <x:c r="I8" s="50" t="str"/>
      <x:c r="J8" s="50" t="str">
        <x:v>No candidate provides the absent canonical ordered-grade or comparison term needed for a Table 8 minimum-grade comparison; steelGrade is string-valued and must not be used for lexical ordering.</x:v>
      </x:c>
    </x:row>
  </x:sheetData>
  <x:pageMargins left="0.7" right="0.7" top="0.75" bottom="0.75" header="0.3" footer="0.3"/>
  <x:tableParts count="1">
    <x:tablePart xmlns:r="http://schemas.openxmlformats.org/officeDocument/2006/relationships" r:id="Rff2b4304c1d84b93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RUN-I2-048-20260813T165805775641Z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RUN-I2-048-20260813T165805775641Z</x:v>
      </x:c>
      <x:c r="B5" s="45" t="str">
        <x:v>I2-048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592cdf79169e1a8ad80405683ffd946c642039077d8a4a20cab9643a81f7405c</x:v>
      </x:c>
      <x:c r="G5" s="58" t="n">
        <x:v>41602</x:v>
      </x:c>
    </x:row>
    <x:row r="6">
      <x:c r="A6" s="47" t="str">
        <x:v>RUN-I2-048-20260813T165805775641Z</x:v>
      </x:c>
      <x:c r="B6" s="47" t="str">
        <x:v>I2-048</x:v>
      </x:c>
      <x:c r="C6" s="59"/>
      <x:c r="D6" s="47" t="str">
        <x:v>few_shot_selection</x:v>
      </x:c>
      <x:c r="E6" s="48" t="str">
        <x:v>artifacts/few_shots_selected.json</x:v>
      </x:c>
      <x:c r="F6" s="47" t="str">
        <x:v>51b08564e4cf19f8c51ec280aca87189fd18f31dabd84333ca97eb72363336e2</x:v>
      </x:c>
      <x:c r="G6" s="59" t="n">
        <x:v>5198</x:v>
      </x:c>
    </x:row>
    <x:row r="7">
      <x:c r="A7" s="47" t="str">
        <x:v>RUN-I2-048-20260813T165805775641Z</x:v>
      </x:c>
      <x:c r="B7" s="47" t="str">
        <x:v>I2-048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e30de632ceaa2f1acbf2d82dc6ff2bd4846426d19aa75ff2eefda83b2aa7cc7c</x:v>
      </x:c>
      <x:c r="G7" s="59" t="n">
        <x:v>53430</x:v>
      </x:c>
    </x:row>
    <x:row r="8">
      <x:c r="A8" s="47" t="str">
        <x:v>RUN-I2-048-20260813T165805775641Z</x:v>
      </x:c>
      <x:c r="B8" s="47" t="str">
        <x:v>I2-048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07a4fb603fa714b32c8d3f31d75eccbd162f14a083804f733ca5564e2047da78</x:v>
      </x:c>
      <x:c r="G8" s="59" t="n">
        <x:v>3902</x:v>
      </x:c>
    </x:row>
    <x:row r="9">
      <x:c r="A9" s="47" t="str">
        <x:v>RUN-I2-048-20260813T165805775641Z</x:v>
      </x:c>
      <x:c r="B9" s="47" t="str">
        <x:v>I2-048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1d6013eef3bc9950e549da86433ec1b4541f81844b069cd57a759e5d99d51ca8</x:v>
      </x:c>
      <x:c r="G9" s="59" t="n">
        <x:v>3877</x:v>
      </x:c>
    </x:row>
    <x:row r="10">
      <x:c r="A10" s="47" t="str">
        <x:v>RUN-I2-048-20260813T165805775641Z</x:v>
      </x:c>
      <x:c r="B10" s="47" t="str">
        <x:v>I2-048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a6b502d4ce529138100521640868448fb682fcaed0407748e88e5abf75a2deb5</x:v>
      </x:c>
      <x:c r="G10" s="59" t="n">
        <x:v>1938</x:v>
      </x:c>
    </x:row>
    <x:row r="11">
      <x:c r="A11" s="47" t="str">
        <x:v>RUN-I2-048-20260813T165805775641Z</x:v>
      </x:c>
      <x:c r="B11" s="47" t="str">
        <x:v>I2-048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cb846fc8caf8745a639bc8593ba47ae31d239278c96a94b6c6108445d293662d</x:v>
      </x:c>
      <x:c r="G11" s="59" t="n">
        <x:v>58960</x:v>
      </x:c>
    </x:row>
    <x:row r="12">
      <x:c r="A12" s="47" t="str">
        <x:v>RUN-I2-048-20260813T165805775641Z</x:v>
      </x:c>
      <x:c r="B12" s="47" t="str">
        <x:v>I2-048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f30b13aad0e7435d7217e0102c77372735b2ef3557779f6b82eae11029ee85a8</x:v>
      </x:c>
      <x:c r="G12" s="59" t="n">
        <x:v>903</x:v>
      </x:c>
    </x:row>
    <x:row r="13">
      <x:c r="A13" s="47" t="str">
        <x:v>RUN-I2-048-20260813T165805775641Z</x:v>
      </x:c>
      <x:c r="B13" s="47" t="str">
        <x:v>I2-048</x:v>
      </x:c>
      <x:c r="C13" s="59" t="n">
        <x:v>1</x:v>
      </x:c>
      <x:c r="D13" s="47" t="str">
        <x:v>matcher_candidates</x:v>
      </x:c>
      <x:c r="E13" s="48" t="str">
        <x:v>artifacts/attempt_01/matcher_candidates.json</x:v>
      </x:c>
      <x:c r="F13" s="47" t="str">
        <x:v>0f183104ee5e3b5ab091ef0d9e59332d86d6ac51e1b466b962b80d5a4a664959</x:v>
      </x:c>
      <x:c r="G13" s="59" t="n">
        <x:v>4783</x:v>
      </x:c>
    </x:row>
    <x:row r="14">
      <x:c r="A14" s="47" t="str">
        <x:v>RUN-I2-048-20260813T165805775641Z</x:v>
      </x:c>
      <x:c r="B14" s="47" t="str">
        <x:v>I2-048</x:v>
      </x:c>
      <x:c r="C14" s="59" t="n">
        <x:v>1</x:v>
      </x:c>
      <x:c r="D14" s="47" t="str">
        <x:v>vocabulary_matcher_prompt</x:v>
      </x:c>
      <x:c r="E14" s="48" t="str">
        <x:v>artifacts/attempt_01/vocabulary_matcher_prompt_01.txt</x:v>
      </x:c>
      <x:c r="F14" s="47" t="str">
        <x:v>b771dfd5b595a4f2880927b59481d10e546b277ade742bf8884cc5407153bf1e</x:v>
      </x:c>
      <x:c r="G14" s="59" t="n">
        <x:v>10809</x:v>
      </x:c>
    </x:row>
    <x:row r="15">
      <x:c r="A15" s="47" t="str">
        <x:v>RUN-I2-048-20260813T165805775641Z</x:v>
      </x:c>
      <x:c r="B15" s="47" t="str">
        <x:v>I2-048</x:v>
      </x:c>
      <x:c r="C15" s="59" t="n">
        <x:v>1</x:v>
      </x:c>
      <x:c r="D15" s="47" t="str">
        <x:v>vocabulary_matcher_raw_response</x:v>
      </x:c>
      <x:c r="E15" s="48" t="str">
        <x:v>artifacts/attempt_01/vocabulary_matcher_raw_01.txt</x:v>
      </x:c>
      <x:c r="F15" s="47" t="str">
        <x:v>f2f7372ecfbfcb45fd4610f58746a522f32e15f95446fcccbe88d89e243c14ee</x:v>
      </x:c>
      <x:c r="G15" s="59" t="n">
        <x:v>352</x:v>
      </x:c>
    </x:row>
    <x:row r="16">
      <x:c r="A16" s="47" t="str">
        <x:v>RUN-I2-048-20260813T165805775641Z</x:v>
      </x:c>
      <x:c r="B16" s="47" t="str">
        <x:v>I2-048</x:v>
      </x:c>
      <x:c r="C16" s="59" t="n">
        <x:v>2</x:v>
      </x:c>
      <x:c r="D16" s="47" t="str">
        <x:v>expanded_context_pack</x:v>
      </x:c>
      <x:c r="E16" s="48" t="str">
        <x:v>artifacts/attempt_02/context_pack_expanded.json</x:v>
      </x:c>
      <x:c r="F16" s="47" t="str">
        <x:v>308513d63e04ee416db7fa657dd713a3c2de83b2885a2eecd777eb4c41e8a25a</x:v>
      </x:c>
      <x:c r="G16" s="59" t="n">
        <x:v>41640</x:v>
      </x:c>
    </x:row>
    <x:row r="17">
      <x:c r="A17" s="47" t="str">
        <x:v>RUN-I2-048-20260813T165805775641Z</x:v>
      </x:c>
      <x:c r="B17" s="47" t="str">
        <x:v>I2-048</x:v>
      </x:c>
      <x:c r="C17" s="59" t="n">
        <x:v>2</x:v>
      </x:c>
      <x:c r="D17" s="47" t="str">
        <x:v>generator_prompt</x:v>
      </x:c>
      <x:c r="E17" s="48" t="str">
        <x:v>artifacts/attempt_02/generator_prompt.txt</x:v>
      </x:c>
      <x:c r="F17" s="47" t="str">
        <x:v>0502098f943cb56bb4c3a702f1dd115c56e5506afdcf322f93cd498a9f2211a7</x:v>
      </x:c>
      <x:c r="G17" s="59" t="n">
        <x:v>54607</x:v>
      </x:c>
    </x:row>
    <x:row r="18">
      <x:c r="A18" s="47" t="str">
        <x:v>RUN-I2-048-20260813T165805775641Z</x:v>
      </x:c>
      <x:c r="B18" s="47" t="str">
        <x:v>I2-048</x:v>
      </x:c>
      <x:c r="C18" s="59" t="n">
        <x:v>2</x:v>
      </x:c>
      <x:c r="D18" s="47" t="str">
        <x:v>generator_raw_response</x:v>
      </x:c>
      <x:c r="E18" s="48" t="str">
        <x:v>artifacts/attempt_02/generator_raw.txt</x:v>
      </x:c>
      <x:c r="F18" s="47" t="str">
        <x:v>7f604c107fa615e31e1c9b1b7eeb2100c14a0dc3c8077be867e946f49e169b49</x:v>
      </x:c>
      <x:c r="G18" s="59" t="n">
        <x:v>3518</x:v>
      </x:c>
    </x:row>
    <x:row r="19">
      <x:c r="A19" s="47" t="str">
        <x:v>RUN-I2-048-20260813T165805775641Z</x:v>
      </x:c>
      <x:c r="B19" s="47" t="str">
        <x:v>I2-048</x:v>
      </x:c>
      <x:c r="C19" s="59" t="n">
        <x:v>2</x:v>
      </x:c>
      <x:c r="D19" s="47" t="str">
        <x:v>candidate_shape</x:v>
      </x:c>
      <x:c r="E19" s="48" t="str">
        <x:v>artifacts/attempt_02/candidate_shape.ttl</x:v>
      </x:c>
      <x:c r="F19" s="47" t="str">
        <x:v>6520337064a443e3dd3bccc4a2b57246f8593c8743c0b52e53a1bfcb712bcf99</x:v>
      </x:c>
      <x:c r="G19" s="59" t="n">
        <x:v>3493</x:v>
      </x:c>
    </x:row>
    <x:row r="20">
      <x:c r="A20" s="47" t="str">
        <x:v>RUN-I2-048-20260813T165805775641Z</x:v>
      </x:c>
      <x:c r="B20" s="47" t="str">
        <x:v>I2-048</x:v>
      </x:c>
      <x:c r="C20" s="59" t="n">
        <x:v>2</x:v>
      </x:c>
      <x:c r="D20" s="47" t="str">
        <x:v>deterministic_validation</x:v>
      </x:c>
      <x:c r="E20" s="48" t="str">
        <x:v>artifacts/attempt_02/deterministic_validation.json</x:v>
      </x:c>
      <x:c r="F20" s="47" t="str">
        <x:v>9df886ce2fadd3da9cf26e5dd7d8d48a67c1322f56da9b0ddcfefbe4c58ccefc</x:v>
      </x:c>
      <x:c r="G20" s="59" t="n">
        <x:v>1997</x:v>
      </x:c>
    </x:row>
    <x:row r="21">
      <x:c r="A21" s="47" t="str">
        <x:v>RUN-I2-048-20260813T165805775641Z</x:v>
      </x:c>
      <x:c r="B21" s="47" t="str">
        <x:v>I2-048</x:v>
      </x:c>
      <x:c r="C21" s="59" t="n">
        <x:v>2</x:v>
      </x:c>
      <x:c r="D21" s="47" t="str">
        <x:v>validator_prompt</x:v>
      </x:c>
      <x:c r="E21" s="48" t="str">
        <x:v>artifacts/attempt_02/validator_prompt_01.txt</x:v>
      </x:c>
      <x:c r="F21" s="47" t="str">
        <x:v>eeb92e8511d2d609a98723e776046833e7d6d7dd59ab2a7d6da714d5aa9d5240</x:v>
      </x:c>
      <x:c r="G21" s="59" t="n">
        <x:v>59022</x:v>
      </x:c>
    </x:row>
    <x:row r="22">
      <x:c r="A22" s="47" t="str">
        <x:v>RUN-I2-048-20260813T165805775641Z</x:v>
      </x:c>
      <x:c r="B22" s="47" t="str">
        <x:v>I2-048</x:v>
      </x:c>
      <x:c r="C22" s="59" t="n">
        <x:v>2</x:v>
      </x:c>
      <x:c r="D22" s="47" t="str">
        <x:v>validator_raw_response</x:v>
      </x:c>
      <x:c r="E22" s="48" t="str">
        <x:v>artifacts/attempt_02/validator_raw_01.txt</x:v>
      </x:c>
      <x:c r="F22" s="47" t="str">
        <x:v>14162bf85b8da2e54d36a637101ed5ff2dd7d2c4bf40b3f81c178ef13dbcdca2</x:v>
      </x:c>
      <x:c r="G22" s="59" t="n">
        <x:v>810</x:v>
      </x:c>
    </x:row>
    <x:row r="23">
      <x:c r="A23" s="47" t="str">
        <x:v>RUN-I2-048-20260813T165805775641Z</x:v>
      </x:c>
      <x:c r="B23" s="47" t="str">
        <x:v>I2-048</x:v>
      </x:c>
      <x:c r="C23" s="59" t="n">
        <x:v>2</x:v>
      </x:c>
      <x:c r="D23" s="47" t="str">
        <x:v>matcher_candidates</x:v>
      </x:c>
      <x:c r="E23" s="48" t="str">
        <x:v>artifacts/attempt_02/matcher_candidates.json</x:v>
      </x:c>
      <x:c r="F23" s="47" t="str">
        <x:v>92ce68213e77ae9080303c378bb63b226dc70830e83779d26113b08686a1de11</x:v>
      </x:c>
      <x:c r="G23" s="59" t="n">
        <x:v>6398</x:v>
      </x:c>
    </x:row>
    <x:row r="24">
      <x:c r="A24" s="47" t="str">
        <x:v>RUN-I2-048-20260813T165805775641Z</x:v>
      </x:c>
      <x:c r="B24" s="47" t="str">
        <x:v>I2-048</x:v>
      </x:c>
      <x:c r="C24" s="59" t="n">
        <x:v>2</x:v>
      </x:c>
      <x:c r="D24" s="47" t="str">
        <x:v>vocabulary_matcher_prompt</x:v>
      </x:c>
      <x:c r="E24" s="48" t="str">
        <x:v>artifacts/attempt_02/vocabulary_matcher_prompt_01.txt</x:v>
      </x:c>
      <x:c r="F24" s="47" t="str">
        <x:v>7d588f2c78770b9cc97d88dedfef6689c7c720a41482be184734d71682ac1eb3</x:v>
      </x:c>
      <x:c r="G24" s="59" t="n">
        <x:v>12409</x:v>
      </x:c>
    </x:row>
    <x:row r="25">
      <x:c r="A25" s="49" t="str">
        <x:v>RUN-I2-048-20260813T165805775641Z</x:v>
      </x:c>
      <x:c r="B25" s="49" t="str">
        <x:v>I2-048</x:v>
      </x:c>
      <x:c r="C25" s="60" t="n">
        <x:v>2</x:v>
      </x:c>
      <x:c r="D25" s="49" t="str">
        <x:v>vocabulary_matcher_raw_response</x:v>
      </x:c>
      <x:c r="E25" s="50" t="str">
        <x:v>artifacts/attempt_02/vocabulary_matcher_raw_01.txt</x:v>
      </x:c>
      <x:c r="F25" s="49" t="str">
        <x:v>a5a74357c37e03cd7feec1b0c83b65ba3ca6e012334856bd58b7120f2bd99d1b</x:v>
      </x:c>
      <x:c r="G25" s="60" t="n">
        <x:v>282</x:v>
      </x:c>
    </x:row>
  </x:sheetData>
  <x:pageMargins left="0.7" right="0.7" top="0.75" bottom="0.75" header="0.3" footer="0.3"/>
  <x:tableParts count="1">
    <x:tablePart xmlns:r="http://schemas.openxmlformats.org/officeDocument/2006/relationships" r:id="Ra03987eb4e6e49a4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4" hidden="0" customWidth="1"/>
    <x:col min="5" max="5" width="52" hidden="0" customWidth="1"/>
    <x:col min="6" max="6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RUN-I2-048-20260813T165805775641Z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69" t="str">
        <x:v>RUN-I2-048-20260813T165805775641Z</x:v>
      </x:c>
      <x:c r="B5" s="69" t="str">
        <x:v>I2-048</x:v>
      </x:c>
      <x:c r="C5" s="71" t="n">
        <x:v>2</x:v>
      </x:c>
      <x:c r="D5" s="69" t="str">
        <x:v>TERM_RESOLUTION_UNRESOLVED</x:v>
      </x:c>
      <x:c r="E5" s="73" t="str">
        <x:v>No candidate provides the absent canonical ordered-grade or comparison term needed for a Table 8 minimum-grade comparison; steelGrade is string-valued and must not be used for lexical ordering.</x:v>
      </x:c>
      <x:c r="F5" s="69" t="str">
        <x:v>OPEN</x:v>
      </x:c>
    </x:row>
  </x:sheetData>
  <x:conditionalFormatting sqref="F5:F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610449199baf4253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RUN-I2-048-20260813T165805775641Z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