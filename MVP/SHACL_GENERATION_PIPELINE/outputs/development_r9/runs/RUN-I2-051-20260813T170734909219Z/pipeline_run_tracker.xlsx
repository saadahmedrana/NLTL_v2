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e9551b258144dab" /></Relationships>
</file>

<file path=xl/workbook.xml><?xml version="1.0" encoding="utf-8"?>
<x:workbook xmlns:x="http://schemas.openxmlformats.org/spreadsheetml/2006/main">
  <x:sheets>
    <x:sheet xmlns:r="http://schemas.openxmlformats.org/officeDocument/2006/relationships" name="SUMMARY" sheetId="1" r:id="R54f14a13c1554cae"/>
    <x:sheet xmlns:r="http://schemas.openxmlformats.org/officeDocument/2006/relationships" name="README" sheetId="2" r:id="Rbb872e01278f49f5"/>
    <x:sheet xmlns:r="http://schemas.openxmlformats.org/officeDocument/2006/relationships" name="REGULATION_QUEUE" sheetId="3" r:id="R72e32c38107d40cd"/>
    <x:sheet xmlns:r="http://schemas.openxmlformats.org/officeDocument/2006/relationships" name="RUNS" sheetId="4" r:id="Ra42efe5267a94eb1"/>
    <x:sheet xmlns:r="http://schemas.openxmlformats.org/officeDocument/2006/relationships" name="ITERATIONS" sheetId="5" r:id="Rf2abd29bb26d41d9"/>
    <x:sheet xmlns:r="http://schemas.openxmlformats.org/officeDocument/2006/relationships" name="API_CALLS" sheetId="6" r:id="Reb57ff568426469c"/>
    <x:sheet xmlns:r="http://schemas.openxmlformats.org/officeDocument/2006/relationships" name="TERM_RETRIEVAL" sheetId="7" r:id="Rf62b6ca3b0364f9c"/>
    <x:sheet xmlns:r="http://schemas.openxmlformats.org/officeDocument/2006/relationships" name="FEW_SHOT_SELECTION" sheetId="8" r:id="R245d7024213048f3"/>
    <x:sheet xmlns:r="http://schemas.openxmlformats.org/officeDocument/2006/relationships" name="VALIDATION" sheetId="9" r:id="R7978af2876404c52"/>
    <x:sheet xmlns:r="http://schemas.openxmlformats.org/officeDocument/2006/relationships" name="VOCAB_MATCHES" sheetId="10" r:id="Ra3c691629ee847a2"/>
    <x:sheet xmlns:r="http://schemas.openxmlformats.org/officeDocument/2006/relationships" name="ARTIFACTS" sheetId="11" r:id="R26d6a86a47804c6b"/>
    <x:sheet xmlns:r="http://schemas.openxmlformats.org/officeDocument/2006/relationships" name="UNRESOLVED" sheetId="12" r:id="R0038b87d3b3d47a8"/>
    <x:sheet xmlns:r="http://schemas.openxmlformats.org/officeDocument/2006/relationships" name="RDF_TEST_QUEUE" sheetId="13" r:id="R6029a0d530584e1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aeb06e42ca944f7" /><Relationship Type="http://schemas.openxmlformats.org/officeDocument/2006/relationships/theme" Target="/xl/theme/theme1.xml" Id="R4091ea2fcd6a451f" /><Relationship Type="http://schemas.microsoft.com/office/2022/11/relationships/FeaturePropertyBag" Target="/xl/featurePropertyBag/featurePropertyBag.xml" Id="Rb77e22d49ad445f4" /><Relationship Type="http://schemas.openxmlformats.org/officeDocument/2006/relationships/sharedStrings" Target="/xl/sharedStrings.xml" Id="R1cc431867fc54160" /><Relationship Type="http://schemas.openxmlformats.org/officeDocument/2006/relationships/worksheet" Target="/xl/worksheets/sheet1.xml" Id="R54f14a13c1554cae" /><Relationship Type="http://schemas.openxmlformats.org/officeDocument/2006/relationships/worksheet" Target="/xl/worksheets/sheet2.xml" Id="Rbb872e01278f49f5" /><Relationship Type="http://schemas.openxmlformats.org/officeDocument/2006/relationships/worksheet" Target="/xl/worksheets/sheet3.xml" Id="R72e32c38107d40cd" /><Relationship Type="http://schemas.openxmlformats.org/officeDocument/2006/relationships/worksheet" Target="/xl/worksheets/sheet4.xml" Id="Ra42efe5267a94eb1" /><Relationship Type="http://schemas.openxmlformats.org/officeDocument/2006/relationships/worksheet" Target="/xl/worksheets/sheet5.xml" Id="Rf2abd29bb26d41d9" /><Relationship Type="http://schemas.openxmlformats.org/officeDocument/2006/relationships/worksheet" Target="/xl/worksheets/sheet6.xml" Id="Reb57ff568426469c" /><Relationship Type="http://schemas.openxmlformats.org/officeDocument/2006/relationships/worksheet" Target="/xl/worksheets/sheet7.xml" Id="Rf62b6ca3b0364f9c" /><Relationship Type="http://schemas.openxmlformats.org/officeDocument/2006/relationships/worksheet" Target="/xl/worksheets/sheet8.xml" Id="R245d7024213048f3" /><Relationship Type="http://schemas.openxmlformats.org/officeDocument/2006/relationships/worksheet" Target="/xl/worksheets/sheet9.xml" Id="R7978af2876404c52" /><Relationship Type="http://schemas.openxmlformats.org/officeDocument/2006/relationships/worksheet" Target="/xl/worksheets/sheet10.xml" Id="Ra3c691629ee847a2" /><Relationship Type="http://schemas.openxmlformats.org/officeDocument/2006/relationships/worksheet" Target="/xl/worksheets/sheet11.xml" Id="R26d6a86a47804c6b" /><Relationship Type="http://schemas.openxmlformats.org/officeDocument/2006/relationships/worksheet" Target="/xl/worksheets/sheet12.xml" Id="R0038b87d3b3d47a8" /><Relationship Type="http://schemas.openxmlformats.org/officeDocument/2006/relationships/worksheet" Target="/xl/worksheets/sheet13.xml" Id="R6029a0d530584e1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d24e7a2e7b84b90" /></Relationships>
</file>

<file path=xl/worksheets/_rels/sheet3.xml.rels>&#65279;<?xml version="1.0" encoding="utf-8"?><Relationships xmlns="http://schemas.openxmlformats.org/package/2006/relationships"><Relationship Type="http://schemas.openxmlformats.org/officeDocument/2006/relationships/table" Target="/xl/tables/table2.xml" Id="R83b4d1b4693a4562" /></Relationships>
</file>

<file path=xl/worksheets/_rels/sheet4.xml.rels>&#65279;<?xml version="1.0" encoding="utf-8"?><Relationships xmlns="http://schemas.openxmlformats.org/package/2006/relationships"><Relationship Type="http://schemas.openxmlformats.org/officeDocument/2006/relationships/table" Target="/xl/tables/table3.xml" Id="Rad820e6d03f3497d" /></Relationships>
</file>

<file path=xl/worksheets/_rels/sheet5.xml.rels>&#65279;<?xml version="1.0" encoding="utf-8"?><Relationships xmlns="http://schemas.openxmlformats.org/package/2006/relationships"><Relationship Type="http://schemas.openxmlformats.org/officeDocument/2006/relationships/table" Target="/xl/tables/table4.xml" Id="Rbc9a64159758428a" /></Relationships>
</file>

<file path=xl/worksheets/_rels/sheet6.xml.rels>&#65279;<?xml version="1.0" encoding="utf-8"?><Relationships xmlns="http://schemas.openxmlformats.org/package/2006/relationships"><Relationship Type="http://schemas.openxmlformats.org/officeDocument/2006/relationships/table" Target="/xl/tables/table5.xml" Id="Rcdf7f19511d74382" /></Relationships>
</file>

<file path=xl/worksheets/_rels/sheet7.xml.rels>&#65279;<?xml version="1.0" encoding="utf-8"?><Relationships xmlns="http://schemas.openxmlformats.org/package/2006/relationships"><Relationship Type="http://schemas.openxmlformats.org/officeDocument/2006/relationships/table" Target="/xl/tables/table6.xml" Id="Rd4bfb1f77c9d4483" /></Relationships>
</file>

<file path=xl/worksheets/_rels/sheet8.xml.rels>&#65279;<?xml version="1.0" encoding="utf-8"?><Relationships xmlns="http://schemas.openxmlformats.org/package/2006/relationships"><Relationship Type="http://schemas.openxmlformats.org/officeDocument/2006/relationships/table" Target="/xl/tables/table7.xml" Id="R3bbeda4f99524d27" /></Relationships>
</file>

<file path=xl/worksheets/_rels/sheet9.xml.rels>&#65279;<?xml version="1.0" encoding="utf-8"?><Relationships xmlns="http://schemas.openxmlformats.org/package/2006/relationships"><Relationship Type="http://schemas.openxmlformats.org/officeDocument/2006/relationships/table" Target="/xl/tables/table8.xml" Id="R7f107b8ebf3e4242" /></Relationships>
</file>

<file path=xl/worksheets/_rels/sheet10.xml.rels>&#65279;<?xml version="1.0" encoding="utf-8"?><Relationships xmlns="http://schemas.openxmlformats.org/package/2006/relationships"><Relationship Type="http://schemas.openxmlformats.org/officeDocument/2006/relationships/table" Target="/xl/tables/table9.xml" Id="Rc72cc176195c4715" /></Relationships>
</file>

<file path=xl/worksheets/_rels/sheet11.xml.rels>&#65279;<?xml version="1.0" encoding="utf-8"?><Relationships xmlns="http://schemas.openxmlformats.org/package/2006/relationships"><Relationship Type="http://schemas.openxmlformats.org/officeDocument/2006/relationships/table" Target="/xl/tables/table10.xml" Id="R6dd347c66fef414a" /></Relationships>
</file>

<file path=xl/worksheets/_rels/sheet12.xml.rels>&#65279;<?xml version="1.0" encoding="utf-8"?><Relationships xmlns="http://schemas.openxmlformats.org/package/2006/relationships"><Relationship Type="http://schemas.openxmlformats.org/officeDocument/2006/relationships/table" Target="/xl/tables/table11.xml" Id="Ra42cb773794b4d0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RUN-I2-051-20260813T170734909219Z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239</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COUNTA('API_CALLS'!$A$5:$A$18)</x:f>
        <x:v>14</x:v>
      </x:c>
      <x:c r="C9" s="21"/>
      <x:c r="D9" s="21"/>
    </x:row>
    <x:row r="10">
      <x:c r="A10" s="27" t="str">
        <x:v>Mean API/LLM elapsed ms</x:v>
      </x:c>
      <x:c r="B10" s="28" t="n">
        <x:f>IFERROR(AVERAGE('API_CALLS'!$K$5:$K$18),0)</x:f>
        <x:v>33310.40457142857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RUN-I2-051-20260813T170734909219Z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2d24e7a2e7b84b9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RUN-I2-051-20260813T170734909219Z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TERM_RESOLUTION_UNRESOLVED</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3b4d1b4693a456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RUN-I2-051-20260813T170734909219Z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SESSION-BATCH-20260813T151944473992Z</x:v>
      </x:c>
      <x:c r="B5" s="69" t="str">
        <x:v>RUN-I2-051-20260813T170734909219Z</x:v>
      </x:c>
      <x:c r="C5" s="69" t="str">
        <x:v>I2-051</x:v>
      </x:c>
      <x:c r="D5" s="70" t="n">
        <x:v>46247.71359849537</x:v>
      </x:c>
      <x:c r="E5" s="70" t="n">
        <x:v>46247.716318819446</x:v>
      </x:c>
      <x:c r="F5" s="69" t="str">
        <x:v>0.9.0-dev-r9-foundation</x:v>
      </x:c>
      <x:c r="G5" s="69" t="str">
        <x:v>VOCAB-DEV-2026-08-13-R9-FOUNDATION</x:v>
      </x:c>
      <x:c r="H5" s="71" t="n">
        <x:v>3</x:v>
      </x:c>
      <x:c r="I5" s="69" t="str">
        <x:v>TERM_RESOLUTION_UNRESOLVED</x:v>
      </x:c>
      <x:c r="J5" s="72" t="b">
        <x:v>0</x:v>
      </x:c>
      <x:c r="K5" s="69" t="str"/>
      <x:c r="L5" s="73" t="str">
        <x:v>No supplied candidate is the canonical ship-to-calculation-case relationship requested by the validator; calculationCase is a class, not the required relationship property.</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d820e6d03f3497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RUN-I2-051-20260813T170734909219Z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RUN-I2-051-20260813T170734909219Z</x:v>
      </x:c>
      <x:c r="B5" s="45" t="str">
        <x:v>I2-051</x:v>
      </x:c>
      <x:c r="C5" s="58" t="n">
        <x:v>1</x:v>
      </x:c>
      <x:c r="D5" s="83" t="b">
        <x:v>1</x:v>
      </x:c>
      <x:c r="E5" s="83" t="b">
        <x:v>0</x:v>
      </x:c>
      <x:c r="F5" s="83" t="b">
        <x:v>0</x:v>
      </x:c>
      <x:c r="G5" s="45" t="str">
        <x:v>REVISE</x:v>
      </x:c>
      <x:c r="H5" s="46" t="str">
        <x:v>Retarget the requirement to nltl:ship and remove the hasComponent/inverse-component indirection. The authoritative required owner is the ship, but the candidate places shearForceDirection, hullGirderLongitudinalPositionFromAft, longitudinalDistributionFactor, and designVerticalIceShearForce on a calculation-case/component node. Constrain LUI, FIB, direction, position, Cf, and FI on the same ship node, classifying that node as calculationCase as needed for the supplied property domains, and rewrite both region targets and the bounded formula query to use $this directly. Preserve the inclusive 0–0.6 LUI and 0.9–1.0 LUI regions, exact Cf constants, MN-to-kN conversion, and expected-result-scaled tolerance.</x:v>
      </x:c>
      <x:c r="I5" s="84" t="n">
        <x:v>72522.609</x:v>
      </x:c>
      <x:c r="J5" s="84" t="n">
        <x:v>21243.137</x:v>
      </x:c>
    </x:row>
    <x:row r="6">
      <x:c r="A6" s="47" t="str">
        <x:v>RUN-I2-051-20260813T170734909219Z</x:v>
      </x:c>
      <x:c r="B6" s="47" t="str">
        <x:v>I2-051</x:v>
      </x:c>
      <x:c r="C6" s="59" t="n">
        <x:v>2</x:v>
      </x:c>
      <x:c r="D6" s="85" t="b">
        <x:v>1</x:v>
      </x:c>
      <x:c r="E6" s="85" t="b">
        <x:v>0</x:v>
      </x:c>
      <x:c r="F6" s="85" t="b">
        <x:v>0</x:v>
      </x:c>
      <x:c r="G6" s="47" t="str">
        <x:v>REVISE</x:v>
      </x:c>
      <x:c r="H6" s="48" t="str">
        <x:v>Remove the node-level sh:class nltl:calculationCase constraint: the authoritative target/owner is nltl:ship, and requiring each targeted ship also to be a calculationCase invents an unsupported typing obligation. Bound the positive-direction selector and every formula/interval quantity to exactly one value (including one decimal qudt:numericValue and one required unit) using appropriate sh:maxCount constraints; otherwise multiple values create ambiguous branch selection and Cartesian/combinatorial formula evaluation. Keep the properties directly on the ship and retain the expected-result-scaled tolerance and exact inclusive bounds for the regulatory Cf constants.</x:v>
      </x:c>
      <x:c r="I6" s="86" t="n">
        <x:v>43617.354</x:v>
      </x:c>
      <x:c r="J6" s="86" t="n">
        <x:v>26791.074</x:v>
      </x:c>
    </x:row>
    <x:row r="7">
      <x:c r="A7" s="49" t="str">
        <x:v>RUN-I2-051-20260813T170734909219Z</x:v>
      </x:c>
      <x:c r="B7" s="49" t="str">
        <x:v>I2-051</x:v>
      </x:c>
      <x:c r="C7" s="60" t="n">
        <x:v>3</x:v>
      </x:c>
      <x:c r="D7" s="87" t="b">
        <x:v>1</x:v>
      </x:c>
      <x:c r="E7" s="87" t="b">
        <x:v>0</x:v>
      </x:c>
      <x:c r="F7" s="87" t="b">
        <x:v>1</x:v>
      </x:c>
      <x:c r="G7" s="49" t="str">
        <x:v>STOP_TERM_RESOLUTION</x:v>
      </x:c>
      <x:c r="H7" s="50" t="str">
        <x:v>Remodel the constraint around calculation-case nodes while retaining ship as the required target owner. shearForceDirection and hullGirderLongitudinalPositionFromAft have canonical domain calculationCase and must not be placed directly on ship. Locate the canonical ship-to-calculation-case relationship, require each relevant case to carry the direction/position and paired Cf/FI values, keep ship-owned LUI and FIB on the ship, and evaluate the regional bounds and FI = Cf × FIB conversion per positive-shear case. Remove the ship-level maxCount 1 constraints that incorrectly allow only one longitudinal case, and ensure missing shear-direction evidence cannot bypass branch selection.</x:v>
      </x:c>
      <x:c r="I7" s="88" t="n">
        <x:v>45472.799</x:v>
      </x:c>
      <x:c r="J7" s="88" t="n">
        <x:v>20923.332</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c9a64159758428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RUN-I2-051-20260813T170734909219Z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EVT-000022</x:v>
      </x:c>
      <x:c r="B5" s="45" t="str">
        <x:v>RUN-I2-051-20260813T170734909219Z</x:v>
      </x:c>
      <x:c r="C5" s="45" t="str">
        <x:v>I2-051</x:v>
      </x:c>
      <x:c r="D5" s="92" t="n">
        <x:v>46247.71443788194</x:v>
      </x:c>
      <x:c r="E5" s="45" t="str">
        <x:v>generator</x:v>
      </x:c>
      <x:c r="F5" s="45" t="str">
        <x:v>gpt-5.6-sol-2026-07-09</x:v>
      </x:c>
      <x:c r="G5" s="45" t="n">
        <x:v>1</x:v>
      </x:c>
      <x:c r="H5" s="45" t="n">
        <x:v>200</x:v>
      </x:c>
      <x:c r="I5" s="45" t="str">
        <x:v>Ocp-Apim-Subscription-Key</x:v>
      </x:c>
      <x:c r="J5" s="84" t="n">
        <x:v>0</x:v>
      </x:c>
      <x:c r="K5" s="84" t="n">
        <x:v>72520.965</x:v>
      </x:c>
      <x:c r="L5" s="83" t="b">
        <x:v>0</x:v>
      </x:c>
      <x:c r="M5" s="45" t="str"/>
      <x:c r="N5" s="58" t="str"/>
      <x:c r="O5" s="58" t="str"/>
      <x:c r="P5" s="58" t="str"/>
    </x:row>
    <x:row r="6">
      <x:c r="A6" s="47" t="str">
        <x:v>EVT-000023</x:v>
      </x:c>
      <x:c r="B6" s="47" t="str">
        <x:v>RUN-I2-051-20260813T170734909219Z</x:v>
      </x:c>
      <x:c r="C6" s="47" t="str">
        <x:v>I2-051</x:v>
      </x:c>
      <x:c r="D6" s="93" t="n">
        <x:v>46247.714437905095</x:v>
      </x:c>
      <x:c r="E6" s="47" t="str">
        <x:v>generator</x:v>
      </x:c>
      <x:c r="F6" s="47" t="str">
        <x:v>gpt-5.6-sol-2026-07-09</x:v>
      </x:c>
      <x:c r="G6" s="47" t="n">
        <x:v>1</x:v>
      </x:c>
      <x:c r="H6" s="47" t="str">
        <x:v>COMPLETED</x:v>
      </x:c>
      <x:c r="I6" s="47" t="str"/>
      <x:c r="J6" s="86" t="n">
        <x:v>0</x:v>
      </x:c>
      <x:c r="K6" s="86" t="n">
        <x:v>72522.609</x:v>
      </x:c>
      <x:c r="L6" s="85" t="b">
        <x:v>0</x:v>
      </x:c>
      <x:c r="M6" s="47" t="str">
        <x:v>resp_0bcac991b05abb2d006a7df9d70e50819088a46cbcbc9926c5</x:v>
      </x:c>
      <x:c r="N6" s="59" t="n">
        <x:v>8026</x:v>
      </x:c>
      <x:c r="O6" s="59" t="n">
        <x:v>5606</x:v>
      </x:c>
      <x:c r="P6" s="59" t="n">
        <x:v>13632</x:v>
      </x:c>
    </x:row>
    <x:row r="7">
      <x:c r="A7" s="47" t="str">
        <x:v>EVT-000030</x:v>
      </x:c>
      <x:c r="B7" s="47" t="str">
        <x:v>RUN-I2-051-20260813T170734909219Z</x:v>
      </x:c>
      <x:c r="C7" s="47" t="str">
        <x:v>I2-051</x:v>
      </x:c>
      <x:c r="D7" s="93" t="n">
        <x:v>46247.714686747684</x:v>
      </x:c>
      <x:c r="E7" s="47" t="str">
        <x:v>validator</x:v>
      </x:c>
      <x:c r="F7" s="47" t="str">
        <x:v>gpt-5.6-sol-2026-07-09</x:v>
      </x:c>
      <x:c r="G7" s="47" t="n">
        <x:v>1</x:v>
      </x:c>
      <x:c r="H7" s="47" t="n">
        <x:v>200</x:v>
      </x:c>
      <x:c r="I7" s="47" t="str">
        <x:v>Ocp-Apim-Subscription-Key</x:v>
      </x:c>
      <x:c r="J7" s="86" t="n">
        <x:v>0</x:v>
      </x:c>
      <x:c r="K7" s="86" t="n">
        <x:v>21241.71</x:v>
      </x:c>
      <x:c r="L7" s="85" t="b">
        <x:v>0</x:v>
      </x:c>
      <x:c r="M7" s="47" t="str"/>
      <x:c r="N7" s="59" t="str"/>
      <x:c r="O7" s="59" t="str"/>
      <x:c r="P7" s="59" t="str"/>
    </x:row>
    <x:row r="8">
      <x:c r="A8" s="47" t="str">
        <x:v>EVT-000031</x:v>
      </x:c>
      <x:c r="B8" s="47" t="str">
        <x:v>RUN-I2-051-20260813T170734909219Z</x:v>
      </x:c>
      <x:c r="C8" s="47" t="str">
        <x:v>I2-051</x:v>
      </x:c>
      <x:c r="D8" s="93" t="n">
        <x:v>46247.71468675926</x:v>
      </x:c>
      <x:c r="E8" s="47" t="str">
        <x:v>validator</x:v>
      </x:c>
      <x:c r="F8" s="47" t="str">
        <x:v>gpt-5.6-sol-2026-07-09</x:v>
      </x:c>
      <x:c r="G8" s="47" t="n">
        <x:v>1</x:v>
      </x:c>
      <x:c r="H8" s="47" t="str">
        <x:v>COMPLETED</x:v>
      </x:c>
      <x:c r="I8" s="47" t="str"/>
      <x:c r="J8" s="86" t="n">
        <x:v>0</x:v>
      </x:c>
      <x:c r="K8" s="86" t="n">
        <x:v>21243.137</x:v>
      </x:c>
      <x:c r="L8" s="85" t="b">
        <x:v>0</x:v>
      </x:c>
      <x:c r="M8" s="47" t="str">
        <x:v>resp_0eceb1bbcc721397006a7dfa224ac881939b77575fc35b8727</x:v>
      </x:c>
      <x:c r="N8" s="59" t="n">
        <x:v>9616</x:v>
      </x:c>
      <x:c r="O8" s="59" t="n">
        <x:v>1176</x:v>
      </x:c>
      <x:c r="P8" s="59" t="n">
        <x:v>10792</x:v>
      </x:c>
    </x:row>
    <x:row r="9">
      <x:c r="A9" s="47" t="str">
        <x:v>EVT-000036</x:v>
      </x:c>
      <x:c r="B9" s="47" t="str">
        <x:v>RUN-I2-051-20260813T170734909219Z</x:v>
      </x:c>
      <x:c r="C9" s="47" t="str">
        <x:v>I2-051</x:v>
      </x:c>
      <x:c r="D9" s="93" t="n">
        <x:v>46247.71519163194</x:v>
      </x:c>
      <x:c r="E9" s="47" t="str">
        <x:v>generator</x:v>
      </x:c>
      <x:c r="F9" s="47" t="str">
        <x:v>gpt-5.6-sol-2026-07-09</x:v>
      </x:c>
      <x:c r="G9" s="47" t="n">
        <x:v>1</x:v>
      </x:c>
      <x:c r="H9" s="47" t="n">
        <x:v>200</x:v>
      </x:c>
      <x:c r="I9" s="47" t="str">
        <x:v>Ocp-Apim-Subscription-Key</x:v>
      </x:c>
      <x:c r="J9" s="86" t="n">
        <x:v>0</x:v>
      </x:c>
      <x:c r="K9" s="86" t="n">
        <x:v>43616.225</x:v>
      </x:c>
      <x:c r="L9" s="85" t="b">
        <x:v>0</x:v>
      </x:c>
      <x:c r="M9" s="47" t="str"/>
      <x:c r="N9" s="59" t="str"/>
      <x:c r="O9" s="59" t="str"/>
      <x:c r="P9" s="59" t="str"/>
    </x:row>
    <x:row r="10">
      <x:c r="A10" s="47" t="str">
        <x:v>EVT-000037</x:v>
      </x:c>
      <x:c r="B10" s="47" t="str">
        <x:v>RUN-I2-051-20260813T170734909219Z</x:v>
      </x:c>
      <x:c r="C10" s="47" t="str">
        <x:v>I2-051</x:v>
      </x:c>
      <x:c r="D10" s="93" t="n">
        <x:v>46247.71519164352</x:v>
      </x:c>
      <x:c r="E10" s="47" t="str">
        <x:v>generator</x:v>
      </x:c>
      <x:c r="F10" s="47" t="str">
        <x:v>gpt-5.6-sol-2026-07-09</x:v>
      </x:c>
      <x:c r="G10" s="47" t="n">
        <x:v>1</x:v>
      </x:c>
      <x:c r="H10" s="47" t="str">
        <x:v>COMPLETED</x:v>
      </x:c>
      <x:c r="I10" s="47" t="str"/>
      <x:c r="J10" s="86" t="n">
        <x:v>0</x:v>
      </x:c>
      <x:c r="K10" s="86" t="n">
        <x:v>43617.354</x:v>
      </x:c>
      <x:c r="L10" s="85" t="b">
        <x:v>0</x:v>
      </x:c>
      <x:c r="M10" s="47" t="str">
        <x:v>resp_0603019785adee38006a7dfa3513888197b88c8645882f76e0</x:v>
      </x:c>
      <x:c r="N10" s="59" t="n">
        <x:v>8188</x:v>
      </x:c>
      <x:c r="O10" s="59" t="n">
        <x:v>3764</x:v>
      </x:c>
      <x:c r="P10" s="59" t="n">
        <x:v>11952</x:v>
      </x:c>
    </x:row>
    <x:row r="11">
      <x:c r="A11" s="47" t="str">
        <x:v>EVT-000044</x:v>
      </x:c>
      <x:c r="B11" s="47" t="str">
        <x:v>RUN-I2-051-20260813T170734909219Z</x:v>
      </x:c>
      <x:c r="C11" s="47" t="str">
        <x:v>I2-051</x:v>
      </x:c>
      <x:c r="D11" s="93" t="n">
        <x:v>46247.71550453704</x:v>
      </x:c>
      <x:c r="E11" s="47" t="str">
        <x:v>validator</x:v>
      </x:c>
      <x:c r="F11" s="47" t="str">
        <x:v>gpt-5.6-sol-2026-07-09</x:v>
      </x:c>
      <x:c r="G11" s="47" t="n">
        <x:v>1</x:v>
      </x:c>
      <x:c r="H11" s="47" t="n">
        <x:v>200</x:v>
      </x:c>
      <x:c r="I11" s="47" t="str">
        <x:v>Ocp-Apim-Subscription-Key</x:v>
      </x:c>
      <x:c r="J11" s="86" t="n">
        <x:v>0</x:v>
      </x:c>
      <x:c r="K11" s="86" t="n">
        <x:v>26789.66</x:v>
      </x:c>
      <x:c r="L11" s="85" t="b">
        <x:v>0</x:v>
      </x:c>
      <x:c r="M11" s="47" t="str"/>
      <x:c r="N11" s="59" t="str"/>
      <x:c r="O11" s="59" t="str"/>
      <x:c r="P11" s="59" t="str"/>
    </x:row>
    <x:row r="12">
      <x:c r="A12" s="47" t="str">
        <x:v>EVT-000045</x:v>
      </x:c>
      <x:c r="B12" s="47" t="str">
        <x:v>RUN-I2-051-20260813T170734909219Z</x:v>
      </x:c>
      <x:c r="C12" s="47" t="str">
        <x:v>I2-051</x:v>
      </x:c>
      <x:c r="D12" s="93" t="n">
        <x:v>46247.71550456018</x:v>
      </x:c>
      <x:c r="E12" s="47" t="str">
        <x:v>validator</x:v>
      </x:c>
      <x:c r="F12" s="47" t="str">
        <x:v>gpt-5.6-sol-2026-07-09</x:v>
      </x:c>
      <x:c r="G12" s="47" t="n">
        <x:v>1</x:v>
      </x:c>
      <x:c r="H12" s="47" t="str">
        <x:v>COMPLETED</x:v>
      </x:c>
      <x:c r="I12" s="47" t="str"/>
      <x:c r="J12" s="86" t="n">
        <x:v>0</x:v>
      </x:c>
      <x:c r="K12" s="86" t="n">
        <x:v>26791.074</x:v>
      </x:c>
      <x:c r="L12" s="85" t="b">
        <x:v>0</x:v>
      </x:c>
      <x:c r="M12" s="47" t="str">
        <x:v>resp_0b1b23d1f67a1651006a7dfa60fb388196987ae0be88991fc3</x:v>
      </x:c>
      <x:c r="N12" s="59" t="n">
        <x:v>9202</x:v>
      </x:c>
      <x:c r="O12" s="59" t="n">
        <x:v>1695</x:v>
      </x:c>
      <x:c r="P12" s="59" t="n">
        <x:v>10897</x:v>
      </x:c>
    </x:row>
    <x:row r="13">
      <x:c r="A13" s="47" t="str">
        <x:v>EVT-000050</x:v>
      </x:c>
      <x:c r="B13" s="47" t="str">
        <x:v>RUN-I2-051-20260813T170734909219Z</x:v>
      </x:c>
      <x:c r="C13" s="47" t="str">
        <x:v>I2-051</x:v>
      </x:c>
      <x:c r="D13" s="93" t="n">
        <x:v>46247.716030902775</x:v>
      </x:c>
      <x:c r="E13" s="47" t="str">
        <x:v>generator</x:v>
      </x:c>
      <x:c r="F13" s="47" t="str">
        <x:v>gpt-5.6-sol-2026-07-09</x:v>
      </x:c>
      <x:c r="G13" s="47" t="n">
        <x:v>1</x:v>
      </x:c>
      <x:c r="H13" s="47" t="n">
        <x:v>200</x:v>
      </x:c>
      <x:c r="I13" s="47" t="str">
        <x:v>Ocp-Apim-Subscription-Key</x:v>
      </x:c>
      <x:c r="J13" s="86" t="n">
        <x:v>0</x:v>
      </x:c>
      <x:c r="K13" s="86" t="n">
        <x:v>45471.375</x:v>
      </x:c>
      <x:c r="L13" s="85" t="b">
        <x:v>0</x:v>
      </x:c>
      <x:c r="M13" s="47" t="str"/>
      <x:c r="N13" s="59" t="str"/>
      <x:c r="O13" s="59" t="str"/>
      <x:c r="P13" s="59" t="str"/>
    </x:row>
    <x:row r="14">
      <x:c r="A14" s="47" t="str">
        <x:v>EVT-000051</x:v>
      </x:c>
      <x:c r="B14" s="47" t="str">
        <x:v>RUN-I2-051-20260813T170734909219Z</x:v>
      </x:c>
      <x:c r="C14" s="47" t="str">
        <x:v>I2-051</x:v>
      </x:c>
      <x:c r="D14" s="93" t="n">
        <x:v>46247.71603092593</x:v>
      </x:c>
      <x:c r="E14" s="47" t="str">
        <x:v>generator</x:v>
      </x:c>
      <x:c r="F14" s="47" t="str">
        <x:v>gpt-5.6-sol-2026-07-09</x:v>
      </x:c>
      <x:c r="G14" s="47" t="n">
        <x:v>1</x:v>
      </x:c>
      <x:c r="H14" s="47" t="str">
        <x:v>COMPLETED</x:v>
      </x:c>
      <x:c r="I14" s="47" t="str"/>
      <x:c r="J14" s="86" t="n">
        <x:v>0</x:v>
      </x:c>
      <x:c r="K14" s="86" t="n">
        <x:v>45472.799</x:v>
      </x:c>
      <x:c r="L14" s="85" t="b">
        <x:v>0</x:v>
      </x:c>
      <x:c r="M14" s="47" t="str">
        <x:v>resp_04cb0f612a7caad5006a7dfa7bbb30819498f34fbccac94d5b</x:v>
      </x:c>
      <x:c r="N14" s="59" t="n">
        <x:v>8314</x:v>
      </x:c>
      <x:c r="O14" s="59" t="n">
        <x:v>4192</x:v>
      </x:c>
      <x:c r="P14" s="59" t="n">
        <x:v>12506</x:v>
      </x:c>
    </x:row>
    <x:row r="15">
      <x:c r="A15" s="47" t="str">
        <x:v>EVT-000058</x:v>
      </x:c>
      <x:c r="B15" s="47" t="str">
        <x:v>RUN-I2-051-20260813T170734909219Z</x:v>
      </x:c>
      <x:c r="C15" s="47" t="str">
        <x:v>I2-051</x:v>
      </x:c>
      <x:c r="D15" s="93" t="n">
        <x:v>46247.71627607639</x:v>
      </x:c>
      <x:c r="E15" s="47" t="str">
        <x:v>validator</x:v>
      </x:c>
      <x:c r="F15" s="47" t="str">
        <x:v>gpt-5.6-sol-2026-07-09</x:v>
      </x:c>
      <x:c r="G15" s="47" t="n">
        <x:v>1</x:v>
      </x:c>
      <x:c r="H15" s="47" t="n">
        <x:v>200</x:v>
      </x:c>
      <x:c r="I15" s="47" t="str">
        <x:v>Ocp-Apim-Subscription-Key</x:v>
      </x:c>
      <x:c r="J15" s="86" t="n">
        <x:v>0</x:v>
      </x:c>
      <x:c r="K15" s="86" t="n">
        <x:v>20921.804</x:v>
      </x:c>
      <x:c r="L15" s="85" t="b">
        <x:v>0</x:v>
      </x:c>
      <x:c r="M15" s="47" t="str"/>
      <x:c r="N15" s="59" t="str"/>
      <x:c r="O15" s="59" t="str"/>
      <x:c r="P15" s="59" t="str"/>
    </x:row>
    <x:row r="16">
      <x:c r="A16" s="47" t="str">
        <x:v>EVT-000059</x:v>
      </x:c>
      <x:c r="B16" s="47" t="str">
        <x:v>RUN-I2-051-20260813T170734909219Z</x:v>
      </x:c>
      <x:c r="C16" s="47" t="str">
        <x:v>I2-051</x:v>
      </x:c>
      <x:c r="D16" s="93" t="n">
        <x:v>46247.716276099534</x:v>
      </x:c>
      <x:c r="E16" s="47" t="str">
        <x:v>validator</x:v>
      </x:c>
      <x:c r="F16" s="47" t="str">
        <x:v>gpt-5.6-sol-2026-07-09</x:v>
      </x:c>
      <x:c r="G16" s="47" t="n">
        <x:v>1</x:v>
      </x:c>
      <x:c r="H16" s="47" t="str">
        <x:v>COMPLETED</x:v>
      </x:c>
      <x:c r="I16" s="47" t="str"/>
      <x:c r="J16" s="86" t="n">
        <x:v>0</x:v>
      </x:c>
      <x:c r="K16" s="86" t="n">
        <x:v>20923.332</x:v>
      </x:c>
      <x:c r="L16" s="85" t="b">
        <x:v>0</x:v>
      </x:c>
      <x:c r="M16" s="47" t="str">
        <x:v>resp_0982d982ce6d1888006a7dfaa974e881949ac8f0ad4168f689</x:v>
      </x:c>
      <x:c r="N16" s="59" t="n">
        <x:v>9468</x:v>
      </x:c>
      <x:c r="O16" s="59" t="n">
        <x:v>1389</x:v>
      </x:c>
      <x:c r="P16" s="59" t="n">
        <x:v>10857</x:v>
      </x:c>
    </x:row>
    <x:row r="17">
      <x:c r="A17" s="47" t="str">
        <x:v>EVT-000065</x:v>
      </x:c>
      <x:c r="B17" s="47" t="str">
        <x:v>RUN-I2-051-20260813T170734909219Z</x:v>
      </x:c>
      <x:c r="C17" s="47" t="str">
        <x:v>I2-051</x:v>
      </x:c>
      <x:c r="D17" s="93" t="n">
        <x:v>46247.71631876157</x:v>
      </x:c>
      <x:c r="E17" s="47" t="str">
        <x:v>vocabulary_matcher</x:v>
      </x:c>
      <x:c r="F17" s="47" t="str">
        <x:v>gpt-5.6-sol-2026-07-09</x:v>
      </x:c>
      <x:c r="G17" s="47" t="n">
        <x:v>1</x:v>
      </x:c>
      <x:c r="H17" s="47" t="n">
        <x:v>200</x:v>
      </x:c>
      <x:c r="I17" s="47" t="str">
        <x:v>Ocp-Apim-Subscription-Key</x:v>
      </x:c>
      <x:c r="J17" s="86" t="n">
        <x:v>0</x:v>
      </x:c>
      <x:c r="K17" s="86" t="n">
        <x:v>2606.133</x:v>
      </x:c>
      <x:c r="L17" s="85" t="b">
        <x:v>0</x:v>
      </x:c>
      <x:c r="M17" s="47" t="str"/>
      <x:c r="N17" s="59" t="str"/>
      <x:c r="O17" s="59" t="str"/>
      <x:c r="P17" s="59" t="str"/>
    </x:row>
    <x:row r="18">
      <x:c r="A18" s="49" t="str">
        <x:v>EVT-000066</x:v>
      </x:c>
      <x:c r="B18" s="49" t="str">
        <x:v>RUN-I2-051-20260813T170734909219Z</x:v>
      </x:c>
      <x:c r="C18" s="49" t="str">
        <x:v>I2-051</x:v>
      </x:c>
      <x:c r="D18" s="94" t="n">
        <x:v>46247.71631877315</x:v>
      </x:c>
      <x:c r="E18" s="49" t="str">
        <x:v>vocabulary_matcher</x:v>
      </x:c>
      <x:c r="F18" s="49" t="str">
        <x:v>gpt-5.6-sol-2026-07-09</x:v>
      </x:c>
      <x:c r="G18" s="49" t="n">
        <x:v>1</x:v>
      </x:c>
      <x:c r="H18" s="49" t="str">
        <x:v>COMPLETED</x:v>
      </x:c>
      <x:c r="I18" s="49" t="str"/>
      <x:c r="J18" s="88" t="n">
        <x:v>0</x:v>
      </x:c>
      <x:c r="K18" s="88" t="n">
        <x:v>2607.487</x:v>
      </x:c>
      <x:c r="L18" s="87" t="b">
        <x:v>0</x:v>
      </x:c>
      <x:c r="M18" s="49" t="str">
        <x:v>resp_059d1a6895ea2f40006a7dfabf79d88197bb715c6fe13f781d</x:v>
      </x:c>
      <x:c r="N18" s="60" t="n">
        <x:v>2476</x:v>
      </x:c>
      <x:c r="O18" s="60" t="n">
        <x:v>161</x:v>
      </x:c>
      <x:c r="P18" s="60" t="n">
        <x:v>2637</x:v>
      </x:c>
    </x:row>
  </x:sheetData>
  <x:conditionalFormatting sqref="H5:H1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cdf7f19511d7438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RUN-I2-051-20260813T170734909219Z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RUN-I2-051-20260813T170734909219Z</x:v>
      </x:c>
      <x:c r="B5" s="45" t="str">
        <x:v>I2-051</x:v>
      </x:c>
      <x:c r="C5" s="45" t="str">
        <x:v>benchmarkEntity</x:v>
      </x:c>
      <x:c r="D5" s="46" t="str">
        <x:v>https://w3id.org/nltl-benchmark/vocab#benchmarkEntity</x:v>
      </x:c>
      <x:c r="E5" s="45" t="str">
        <x:v>Class</x:v>
      </x:c>
      <x:c r="F5" s="45" t="str"/>
      <x:c r="G5" s="45" t="str"/>
      <x:c r="H5" s="45" t="str"/>
      <x:c r="I5" s="46" t="str">
        <x:v>baseline target infrastructure; domain dependency of designVerticalIceShearForce; domain dependency of hullGirderPosition; domain dependency of longitudinalDistributionFactor; range dependency of shearForceDirectionValue</x:v>
      </x:c>
      <x:c r="J5" s="45" t="n">
        <x:v>0</x:v>
      </x:c>
    </x:row>
    <x:row r="6">
      <x:c r="A6" s="47" t="str">
        <x:v>RUN-I2-051-20260813T170734909219Z</x:v>
      </x:c>
      <x:c r="B6" s="47" t="str">
        <x:v>I2-051</x:v>
      </x:c>
      <x:c r="C6" s="47" t="str">
        <x:v>calculationCase</x:v>
      </x:c>
      <x:c r="D6" s="48" t="str">
        <x:v>https://w3id.org/nltl-benchmark/vocab#calculationCase</x:v>
      </x:c>
      <x:c r="E6" s="47" t="str">
        <x:v>Class</x:v>
      </x:c>
      <x:c r="F6" s="47" t="str"/>
      <x:c r="G6" s="47" t="str">
        <x:v>https://w3id.org/nltl-benchmark/vocab#benchmarkEntity</x:v>
      </x:c>
      <x:c r="H6" s="47" t="str"/>
      <x:c r="I6" s="48" t="str">
        <x:v>domain dependency of hullGirderLongitudinalPositionFromAft; domain dependency of shearForceDirection</x:v>
      </x:c>
      <x:c r="J6" s="47" t="n">
        <x:v>0</x:v>
      </x:c>
    </x:row>
    <x:row r="7">
      <x:c r="A7" s="47" t="str">
        <x:v>RUN-I2-051-20260813T170734909219Z</x:v>
      </x:c>
      <x:c r="B7" s="47" t="str">
        <x:v>I2-051</x:v>
      </x:c>
      <x:c r="C7" s="47" t="str">
        <x:v>designVerticalIceForceAtBow</x:v>
      </x:c>
      <x:c r="D7" s="48" t="str">
        <x:v>https://w3id.org/nltl-benchmark/vocab#designVerticalIceForceAtBow</x:v>
      </x:c>
      <x:c r="E7" s="47" t="str">
        <x:v>QuantityProperty</x:v>
      </x:c>
      <x:c r="F7" s="47" t="str"/>
      <x:c r="G7" s="47" t="str">
        <x:v>http://qudt.org/schema/qudt/QuantityValue</x:v>
      </x:c>
      <x:c r="H7" s="47" t="str">
        <x:v>http://qudt.org/vocab/unit/MegaN</x:v>
      </x:c>
      <x:c r="I7" s="48" t="str">
        <x:v>linked by the locked 313-requirement index</x:v>
      </x:c>
      <x:c r="J7" s="47" t="n">
        <x:v>0</x:v>
      </x:c>
    </x:row>
    <x:row r="8">
      <x:c r="A8" s="47" t="str">
        <x:v>RUN-I2-051-20260813T170734909219Z</x:v>
      </x:c>
      <x:c r="B8" s="47" t="str">
        <x:v>I2-051</x:v>
      </x:c>
      <x:c r="C8" s="47" t="str">
        <x:v>designVerticalIceShearForce</x:v>
      </x:c>
      <x:c r="D8" s="48" t="str">
        <x:v>https://w3id.org/nltl-benchmark/vocab#designVerticalIceShearForce</x:v>
      </x:c>
      <x:c r="E8" s="47" t="str">
        <x:v>QuantityProperty</x:v>
      </x:c>
      <x:c r="F8" s="47" t="str"/>
      <x:c r="G8" s="47" t="str">
        <x:v>http://qudt.org/schema/qudt/QuantityValue</x:v>
      </x:c>
      <x:c r="H8" s="47" t="str">
        <x:v>http://qudt.org/vocab/unit/KiloN</x:v>
      </x:c>
      <x:c r="I8" s="48" t="str">
        <x:v>linked by the locked 313-requirement index</x:v>
      </x:c>
      <x:c r="J8" s="47" t="n">
        <x:v>0</x:v>
      </x:c>
    </x:row>
    <x:row r="9">
      <x:c r="A9" s="47" t="str">
        <x:v>RUN-I2-051-20260813T170734909219Z</x:v>
      </x:c>
      <x:c r="B9" s="47" t="str">
        <x:v>I2-051</x:v>
      </x:c>
      <x:c r="C9" s="47" t="str">
        <x:v>hasComponent</x:v>
      </x:c>
      <x:c r="D9" s="48" t="str">
        <x:v>https://w3id.org/nltl-benchmark/vocab#hasComponent</x:v>
      </x:c>
      <x:c r="E9" s="47" t="str">
        <x:v>ObjectProperty</x:v>
      </x:c>
      <x:c r="F9" s="47" t="str"/>
      <x:c r="G9" s="47" t="str">
        <x:v>https://w3id.org/nltl-benchmark/vocab#shipComponent</x:v>
      </x:c>
      <x:c r="H9" s="47" t="str"/>
      <x:c r="I9" s="48" t="str">
        <x:v>component-path dependency inferred from the linked term module</x:v>
      </x:c>
      <x:c r="J9" s="47" t="n">
        <x:v>0</x:v>
      </x:c>
    </x:row>
    <x:row r="10">
      <x:c r="A10" s="47" t="str">
        <x:v>RUN-I2-051-20260813T170734909219Z</x:v>
      </x:c>
      <x:c r="B10" s="47" t="str">
        <x:v>I2-051</x:v>
      </x:c>
      <x:c r="C10" s="47" t="str">
        <x:v>hullGirderLongitudinalPositionFromAft</x:v>
      </x:c>
      <x:c r="D10" s="48" t="str">
        <x:v>https://w3id.org/nltl-benchmark/vocab#hullGirderLongitudinalPositionFromAft</x:v>
      </x:c>
      <x:c r="E10" s="47" t="str">
        <x:v>QuantityProperty</x:v>
      </x:c>
      <x:c r="F10" s="47" t="str"/>
      <x:c r="G10" s="47" t="str">
        <x:v>http://qudt.org/schema/qudt/QuantityValue</x:v>
      </x:c>
      <x:c r="H10" s="47" t="str">
        <x:v>http://qudt.org/vocab/unit/M</x:v>
      </x:c>
      <x:c r="I10" s="48" t="str">
        <x:v>linked by the locked 313-requirement index</x:v>
      </x:c>
      <x:c r="J10" s="47" t="n">
        <x:v>0</x:v>
      </x:c>
    </x:row>
    <x:row r="11">
      <x:c r="A11" s="47" t="str">
        <x:v>RUN-I2-051-20260813T170734909219Z</x:v>
      </x:c>
      <x:c r="B11" s="47" t="str">
        <x:v>I2-051</x:v>
      </x:c>
      <x:c r="C11" s="47" t="str">
        <x:v>hullGirderPosition</x:v>
      </x:c>
      <x:c r="D11" s="48" t="str">
        <x:v>https://w3id.org/nltl-benchmark/vocab#hullGirderPosition</x:v>
      </x:c>
      <x:c r="E11" s="47" t="str">
        <x:v>DatatypeProperty</x:v>
      </x:c>
      <x:c r="F11" s="47" t="str">
        <x:v>xsd:string</x:v>
      </x:c>
      <x:c r="G11" s="47" t="str">
        <x:v>http://www.w3.org/2001/XMLSchema#string</x:v>
      </x:c>
      <x:c r="H11" s="47" t="str"/>
      <x:c r="I11" s="48" t="str">
        <x:v>linked by the locked 313-requirement index</x:v>
      </x:c>
      <x:c r="J11" s="47" t="n">
        <x:v>0</x:v>
      </x:c>
    </x:row>
    <x:row r="12">
      <x:c r="A12" s="47" t="str">
        <x:v>RUN-I2-051-20260813T170734909219Z</x:v>
      </x:c>
      <x:c r="B12" s="47" t="str">
        <x:v>I2-051</x:v>
      </x:c>
      <x:c r="C12" s="47" t="str">
        <x:v>longitudinalDistributionFactor</x:v>
      </x:c>
      <x:c r="D12" s="48" t="str">
        <x:v>https://w3id.org/nltl-benchmark/vocab#longitudinalDistributionFactor</x:v>
      </x:c>
      <x:c r="E12" s="47" t="str">
        <x:v>QuantityProperty</x:v>
      </x:c>
      <x:c r="F12" s="47" t="str"/>
      <x:c r="G12" s="47" t="str">
        <x:v>http://qudt.org/schema/qudt/QuantityValue</x:v>
      </x:c>
      <x:c r="H12" s="47" t="str">
        <x:v>http://qudt.org/vocab/unit/UNITLESS</x:v>
      </x:c>
      <x:c r="I12" s="48" t="str">
        <x:v>linked by the locked 313-requirement index</x:v>
      </x:c>
      <x:c r="J12" s="47" t="n">
        <x:v>0</x:v>
      </x:c>
    </x:row>
    <x:row r="13">
      <x:c r="A13" s="47" t="str">
        <x:v>RUN-I2-051-20260813T170734909219Z</x:v>
      </x:c>
      <x:c r="B13" s="47" t="str">
        <x:v>I2-051</x:v>
      </x:c>
      <x:c r="C13" s="47" t="str">
        <x:v>positiveShearForce</x:v>
      </x:c>
      <x:c r="D13" s="48" t="str">
        <x:v>https://w3id.org/nltl-benchmark/vocab#positiveShearForce</x:v>
      </x:c>
      <x:c r="E13" s="47" t="str">
        <x:v>NamedIndividual</x:v>
      </x:c>
      <x:c r="F13" s="47" t="str"/>
      <x:c r="G13" s="47" t="str">
        <x:v>https://w3id.org/nltl-benchmark/vocab#shearForceDirectionValue</x:v>
      </x:c>
      <x:c r="H13" s="47" t="str"/>
      <x:c r="I13" s="48" t="str">
        <x:v>controlled value permitted by the range of positiveShearForce; controlled value permitted by the range of shearForceDirection; linked by the locked 313-requirement index</x:v>
      </x:c>
      <x:c r="J13" s="47" t="n">
        <x:v>0</x:v>
      </x:c>
    </x:row>
    <x:row r="14">
      <x:c r="A14" s="47" t="str">
        <x:v>RUN-I2-051-20260813T170734909219Z</x:v>
      </x:c>
      <x:c r="B14" s="47" t="str">
        <x:v>I2-051</x:v>
      </x:c>
      <x:c r="C14" s="47" t="str">
        <x:v>shearForceDirection</x:v>
      </x:c>
      <x:c r="D14" s="48" t="str">
        <x:v>https://w3id.org/nltl-benchmark/vocab#shearForceDirection</x:v>
      </x:c>
      <x:c r="E14" s="47" t="str">
        <x:v>ObjectProperty</x:v>
      </x:c>
      <x:c r="F14" s="47" t="str"/>
      <x:c r="G14" s="47" t="str">
        <x:v>https://w3id.org/nltl-benchmark/vocab#shearForceDirectionValue</x:v>
      </x:c>
      <x:c r="H14" s="47" t="str"/>
      <x:c r="I14" s="48" t="str">
        <x:v>linked by the locked 313-requirement index</x:v>
      </x:c>
      <x:c r="J14" s="47" t="n">
        <x:v>0</x:v>
      </x:c>
    </x:row>
    <x:row r="15">
      <x:c r="A15" s="47" t="str">
        <x:v>RUN-I2-051-20260813T170734909219Z</x:v>
      </x:c>
      <x:c r="B15" s="47" t="str">
        <x:v>I2-051</x:v>
      </x:c>
      <x:c r="C15" s="47" t="str">
        <x:v>shearForceDirectionValue</x:v>
      </x:c>
      <x:c r="D15" s="48" t="str">
        <x:v>https://w3id.org/nltl-benchmark/vocab#shearForceDirectionValue</x:v>
      </x:c>
      <x:c r="E15" s="47" t="str">
        <x:v>Class</x:v>
      </x:c>
      <x:c r="F15" s="47" t="str"/>
      <x:c r="G15" s="47" t="str">
        <x:v>https://w3id.org/nltl-benchmark/vocab#benchmarkEntity</x:v>
      </x:c>
      <x:c r="H15" s="47" t="str"/>
      <x:c r="I15" s="48" t="str">
        <x:v>linked by the locked 313-requirement index; range dependency of positiveShearForce; range dependency of shearForceDirection</x:v>
      </x:c>
      <x:c r="J15" s="47" t="n">
        <x:v>0</x:v>
      </x:c>
    </x:row>
    <x:row r="16">
      <x:c r="A16" s="47" t="str">
        <x:v>RUN-I2-051-20260813T170734909219Z</x:v>
      </x:c>
      <x:c r="B16" s="47" t="str">
        <x:v>I2-051</x:v>
      </x:c>
      <x:c r="C16" s="47" t="str">
        <x:v>ship</x:v>
      </x:c>
      <x:c r="D16" s="48" t="str">
        <x:v>https://w3id.org/nltl-benchmark/vocab#ship</x:v>
      </x:c>
      <x:c r="E16" s="47" t="str">
        <x:v>Class</x:v>
      </x:c>
      <x:c r="F16" s="47" t="str"/>
      <x:c r="G16" s="47" t="str"/>
      <x:c r="H16" s="47" t="str"/>
      <x:c r="I16" s="48" t="str">
        <x:v>authoritative required owner class; authoritative requirement target owner; baseline target infrastructure; domain dependency of designVerticalIceForceAtBow; domain dependency of upperIceWaterlineLengthLUI</x:v>
      </x:c>
      <x:c r="J16" s="47" t="n">
        <x:v>0</x:v>
      </x:c>
    </x:row>
    <x:row r="17">
      <x:c r="A17" s="47" t="str">
        <x:v>RUN-I2-051-20260813T170734909219Z</x:v>
      </x:c>
      <x:c r="B17" s="47" t="str">
        <x:v>I2-051</x:v>
      </x:c>
      <x:c r="C17" s="47" t="str">
        <x:v>shipComponent</x:v>
      </x:c>
      <x:c r="D17" s="48" t="str">
        <x:v>https://w3id.org/nltl-benchmark/vocab#shipComponent</x:v>
      </x:c>
      <x:c r="E17" s="47" t="str">
        <x:v>Class</x:v>
      </x:c>
      <x:c r="F17" s="47" t="str"/>
      <x:c r="G17" s="47" t="str"/>
      <x:c r="H17" s="47" t="str"/>
      <x:c r="I17" s="48" t="str">
        <x:v>component-path dependency inferred from the linked term module</x:v>
      </x:c>
      <x:c r="J17" s="47" t="n">
        <x:v>0</x:v>
      </x:c>
    </x:row>
    <x:row r="18">
      <x:c r="A18" s="49" t="str">
        <x:v>RUN-I2-051-20260813T170734909219Z</x:v>
      </x:c>
      <x:c r="B18" s="49" t="str">
        <x:v>I2-051</x:v>
      </x:c>
      <x:c r="C18" s="49" t="str">
        <x:v>upperIceWaterlineLengthLUI</x:v>
      </x:c>
      <x:c r="D18" s="50" t="str">
        <x:v>https://w3id.org/nltl-benchmark/vocab#upperIceWaterlineLengthLUI</x:v>
      </x:c>
      <x:c r="E18" s="49" t="str">
        <x:v>QuantityProperty</x:v>
      </x:c>
      <x:c r="F18" s="49" t="str"/>
      <x:c r="G18" s="49" t="str">
        <x:v>http://qudt.org/schema/qudt/QuantityValue</x:v>
      </x:c>
      <x:c r="H18" s="49" t="str">
        <x:v>http://qudt.org/vocab/unit/M</x:v>
      </x:c>
      <x:c r="I18" s="50" t="str">
        <x:v>linked by the locked 313-requirement index</x:v>
      </x:c>
      <x:c r="J18" s="49" t="n">
        <x:v>0</x:v>
      </x:c>
    </x:row>
  </x:sheetData>
  <x:pageMargins left="0.7" right="0.7" top="0.75" bottom="0.75" header="0.3" footer="0.3"/>
  <x:tableParts count="1">
    <x:tablePart xmlns:r="http://schemas.openxmlformats.org/officeDocument/2006/relationships" r:id="Rd4bfb1f77c9d448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RUN-I2-051-20260813T170734909219Z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RUN-I2-051-20260813T170734909219Z</x:v>
      </x:c>
      <x:c r="B5" s="45" t="str">
        <x:v>I2-051</x:v>
      </x:c>
      <x:c r="C5" s="45" t="str">
        <x:v>FS-CALC-02</x:v>
      </x:c>
      <x:c r="D5" s="45" t="str">
        <x:v>comparison_calculation</x:v>
      </x:c>
      <x:c r="E5" s="97" t="n">
        <x:v>0.08</x:v>
      </x:c>
      <x:c r="F5" s="45" t="str">
        <x:v>calculation | comparison | formula | sparql</x:v>
      </x:c>
      <x:c r="G5" s="45" t="str">
        <x:v>synthetic-few-shot-not-benchmark-ground-truth</x:v>
      </x:c>
    </x:row>
    <x:row r="6">
      <x:c r="A6" s="49" t="str">
        <x:v>RUN-I2-051-20260813T170734909219Z</x:v>
      </x:c>
      <x:c r="B6" s="49" t="str">
        <x:v>I2-051</x:v>
      </x:c>
      <x:c r="C6" s="49" t="str">
        <x:v>FS-QTY-01</x:v>
      </x:c>
      <x:c r="D6" s="49" t="str">
        <x:v>qudt_quantity</x:v>
      </x:c>
      <x:c r="E6" s="98" t="n">
        <x:v>0.039216</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bbeda4f99524d2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RUN-I2-051-20260813T170734909219Z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RUN-I2-051-20260813T170734909219Z</x:v>
      </x:c>
      <x:c r="B5" s="45" t="str">
        <x:v>I2-051</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https://w3id.org/nltl-benchmark/vocab#calculationCase | https://w3id.org/nltl-benchmark/vocab#designVerticalIceForceAtBow | https://w3id.org/nltl-benchmark/vocab#designVerticalIceShearForce | https://w3id.org/nltl-benchmark/vocab#hasComponent | https://w3id.org/nltl-benchmark/vocab#hullGirderLongitudinalPositionFromAft | https://w3id.org/nltl-benchmark/vocab#longitudinalDistributionFactor | https://w3id.org/nltl-benchmark/vocab#positiveShearForce | https://w3id.org/nltl-benchmark/vocab#shearForceDirection | https://w3id.org/nltl-benchmark/vocab#ship | https://w3id.org/nltl-benchmark/vocab#upperIceWaterlineLengthLUI</x:v>
      </x:c>
      <x:c r="O5" s="46" t="str"/>
      <x:c r="P5" s="46" t="str"/>
      <x:c r="Q5" s="46" t="str"/>
    </x:row>
    <x:row r="6">
      <x:c r="A6" s="47" t="str">
        <x:v>RUN-I2-051-20260813T170734909219Z</x:v>
      </x:c>
      <x:c r="B6" s="47" t="str">
        <x:v>I2-051</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https://w3id.org/nltl-benchmark/vocab#calculationCase | https://w3id.org/nltl-benchmark/vocab#designVerticalIceForceAtBow | https://w3id.org/nltl-benchmark/vocab#designVerticalIceShearForce | https://w3id.org/nltl-benchmark/vocab#hullGirderLongitudinalPositionFromAft | https://w3id.org/nltl-benchmark/vocab#longitudinalDistributionFactor | https://w3id.org/nltl-benchmark/vocab#positiveShearForce | https://w3id.org/nltl-benchmark/vocab#shearForceDirection | https://w3id.org/nltl-benchmark/vocab#ship | https://w3id.org/nltl-benchmark/vocab#upperIceWaterlineLengthLUI</x:v>
      </x:c>
      <x:c r="O6" s="48" t="str"/>
      <x:c r="P6" s="48" t="str"/>
      <x:c r="Q6" s="48" t="str"/>
    </x:row>
    <x:row r="7">
      <x:c r="A7" s="49" t="str">
        <x:v>RUN-I2-051-20260813T170734909219Z</x:v>
      </x:c>
      <x:c r="B7" s="49" t="str">
        <x:v>I2-051</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https://w3id.org/nltl-benchmark/vocab#designVerticalIceForceAtBow | https://w3id.org/nltl-benchmark/vocab#designVerticalIceShearForce | https://w3id.org/nltl-benchmark/vocab#hullGirderLongitudinalPositionFromAft | https://w3id.org/nltl-benchmark/vocab#longitudinalDistributionFactor | https://w3id.org/nltl-benchmark/vocab#positiveShearForce | https://w3id.org/nltl-benchmark/vocab#shearForceDirection | https://w3id.org/nltl-benchmark/vocab#ship | https://w3id.org/nltl-benchmark/vocab#upperIceWaterlineLengthLUI</x:v>
      </x:c>
      <x:c r="O7" s="50" t="str"/>
      <x:c r="P7" s="50" t="str"/>
      <x:c r="Q7" s="50" t="str"/>
    </x:row>
  </x:sheetData>
  <x:pageMargins left="0.7" right="0.7" top="0.75" bottom="0.75" header="0.3" footer="0.3"/>
  <x:tableParts count="1">
    <x:tablePart xmlns:r="http://schemas.openxmlformats.org/officeDocument/2006/relationships" r:id="R7f107b8ebf3e4242"/>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RUN-I2-051-20260813T170734909219Z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RUN-I2-051-20260813T170734909219Z</x:v>
      </x:c>
      <x:c r="B5" s="45" t="str">
        <x:v>I2-051</x:v>
      </x:c>
      <x:c r="C5" s="58" t="n">
        <x:v>3</x:v>
      </x:c>
      <x:c r="D5" s="45" t="str">
        <x:v>matcher_search</x:v>
      </x:c>
      <x:c r="E5" s="46" t="str">
        <x:v>Remodel the constraint around calculation-case nodes while retaining ship as the required target owner. shearForceDirection and hullGirderLongitudinalPositionFromAft have canonical domain calculationCase and must not be placed directly on ship. Locate the canonical ship-to-calculation-case relationship, require each relevant case to carry the direction/position and paired Cf/FI values, keep ship-owned LUI and FIB on the ship, and evaluate the regional bounds and FI = Cf × FIB conversion per positive-shear case. Remove the ship-level maxCount 1 constraints that incorrectly allow only one longitudinal case, and ensure missing shear-direction evidence cannot bypass branch selection.</x:v>
      </x:c>
      <x:c r="F5" s="58" t="n">
        <x:v>6</x:v>
      </x:c>
      <x:c r="G5" s="45" t="str"/>
      <x:c r="H5" s="45" t="str"/>
      <x:c r="I5" s="46" t="str"/>
      <x:c r="J5" s="46" t="str"/>
    </x:row>
    <x:row r="6">
      <x:c r="A6" s="49" t="str">
        <x:v>RUN-I2-051-20260813T170734909219Z</x:v>
      </x:c>
      <x:c r="B6" s="49" t="str">
        <x:v>I2-051</x:v>
      </x:c>
      <x:c r="C6" s="60" t="n">
        <x:v>3</x:v>
      </x:c>
      <x:c r="D6" s="49" t="str">
        <x:v>matcher_decision</x:v>
      </x:c>
      <x:c r="E6" s="50" t="str"/>
      <x:c r="F6" s="60" t="str"/>
      <x:c r="G6" s="87" t="b">
        <x:v>0</x:v>
      </x:c>
      <x:c r="H6" s="49" t="str"/>
      <x:c r="I6" s="50" t="str"/>
      <x:c r="J6" s="50" t="str">
        <x:v>No supplied candidate is the canonical ship-to-calculation-case relationship requested by the validator; calculationCase is a class, not the required relationship property.</x:v>
      </x:c>
    </x:row>
  </x:sheetData>
  <x:pageMargins left="0.7" right="0.7" top="0.75" bottom="0.75" header="0.3" footer="0.3"/>
  <x:tableParts count="1">
    <x:tablePart xmlns:r="http://schemas.openxmlformats.org/officeDocument/2006/relationships" r:id="Rc72cc176195c4715"/>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RUN-I2-051-20260813T170734909219Z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RUN-I2-051-20260813T170734909219Z</x:v>
      </x:c>
      <x:c r="B5" s="45" t="str">
        <x:v>I2-051</x:v>
      </x:c>
      <x:c r="C5" s="58"/>
      <x:c r="D5" s="45" t="str">
        <x:v>initial_context_pack</x:v>
      </x:c>
      <x:c r="E5" s="46" t="str">
        <x:v>artifacts/context_pack_initial.json</x:v>
      </x:c>
      <x:c r="F5" s="45" t="str">
        <x:v>35a6bda397ca42b174a2b44ec0198953b4a746aec8d38b691c889f100a1e67b9</x:v>
      </x:c>
      <x:c r="G5" s="58" t="n">
        <x:v>20087</x:v>
      </x:c>
    </x:row>
    <x:row r="6">
      <x:c r="A6" s="47" t="str">
        <x:v>RUN-I2-051-20260813T170734909219Z</x:v>
      </x:c>
      <x:c r="B6" s="47" t="str">
        <x:v>I2-051</x:v>
      </x:c>
      <x:c r="C6" s="59"/>
      <x:c r="D6" s="47" t="str">
        <x:v>few_shot_selection</x:v>
      </x:c>
      <x:c r="E6" s="48" t="str">
        <x:v>artifacts/few_shots_selected.json</x:v>
      </x:c>
      <x:c r="F6" s="47" t="str">
        <x:v>c2596224f5162cd26e07cd64e5a31149c2df150008292fcc928a0fc62ad4e6ed</x:v>
      </x:c>
      <x:c r="G6" s="59" t="n">
        <x:v>5361</x:v>
      </x:c>
    </x:row>
    <x:row r="7">
      <x:c r="A7" s="47" t="str">
        <x:v>RUN-I2-051-20260813T170734909219Z</x:v>
      </x:c>
      <x:c r="B7" s="47" t="str">
        <x:v>I2-051</x:v>
      </x:c>
      <x:c r="C7" s="59" t="n">
        <x:v>1</x:v>
      </x:c>
      <x:c r="D7" s="47" t="str">
        <x:v>generator_prompt</x:v>
      </x:c>
      <x:c r="E7" s="48" t="str">
        <x:v>artifacts/attempt_01/generator_prompt.txt</x:v>
      </x:c>
      <x:c r="F7" s="47" t="str">
        <x:v>cf1e1335cb635eaed2974cd8311d26383a5981c1b49aaf8330aed4b9fdf2c4bb</x:v>
      </x:c>
      <x:c r="G7" s="59" t="n">
        <x:v>32060</x:v>
      </x:c>
    </x:row>
    <x:row r="8">
      <x:c r="A8" s="47" t="str">
        <x:v>RUN-I2-051-20260813T170734909219Z</x:v>
      </x:c>
      <x:c r="B8" s="47" t="str">
        <x:v>I2-051</x:v>
      </x:c>
      <x:c r="C8" s="59" t="n">
        <x:v>1</x:v>
      </x:c>
      <x:c r="D8" s="47" t="str">
        <x:v>generator_raw_response</x:v>
      </x:c>
      <x:c r="E8" s="48" t="str">
        <x:v>artifacts/attempt_01/generator_raw.txt</x:v>
      </x:c>
      <x:c r="F8" s="47" t="str">
        <x:v>d853621682589a9425f51baa7bd2037e640eaef83124466b6dcfb0c820a546ff</x:v>
      </x:c>
      <x:c r="G8" s="59" t="n">
        <x:v>7754</x:v>
      </x:c>
    </x:row>
    <x:row r="9">
      <x:c r="A9" s="47" t="str">
        <x:v>RUN-I2-051-20260813T170734909219Z</x:v>
      </x:c>
      <x:c r="B9" s="47" t="str">
        <x:v>I2-051</x:v>
      </x:c>
      <x:c r="C9" s="59" t="n">
        <x:v>1</x:v>
      </x:c>
      <x:c r="D9" s="47" t="str">
        <x:v>candidate_shape</x:v>
      </x:c>
      <x:c r="E9" s="48" t="str">
        <x:v>artifacts/attempt_01/candidate_shape.ttl</x:v>
      </x:c>
      <x:c r="F9" s="47" t="str">
        <x:v>605f89646a4379990292c10b07c7f19a6db4718dca26f704e0bfcd21e71dc3b8</x:v>
      </x:c>
      <x:c r="G9" s="59" t="n">
        <x:v>7729</x:v>
      </x:c>
    </x:row>
    <x:row r="10">
      <x:c r="A10" s="47" t="str">
        <x:v>RUN-I2-051-20260813T170734909219Z</x:v>
      </x:c>
      <x:c r="B10" s="47" t="str">
        <x:v>I2-051</x:v>
      </x:c>
      <x:c r="C10" s="59" t="n">
        <x:v>1</x:v>
      </x:c>
      <x:c r="D10" s="47" t="str">
        <x:v>deterministic_validation</x:v>
      </x:c>
      <x:c r="E10" s="48" t="str">
        <x:v>artifacts/attempt_01/deterministic_validation.json</x:v>
      </x:c>
      <x:c r="F10" s="47" t="str">
        <x:v>d2e3205eb093776691f86708b12b4a17f44ff00420762bc3b1bb033781a03212</x:v>
      </x:c>
      <x:c r="G10" s="59" t="n">
        <x:v>1064</x:v>
      </x:c>
    </x:row>
    <x:row r="11">
      <x:c r="A11" s="47" t="str">
        <x:v>RUN-I2-051-20260813T170734909219Z</x:v>
      </x:c>
      <x:c r="B11" s="47" t="str">
        <x:v>I2-051</x:v>
      </x:c>
      <x:c r="C11" s="59" t="n">
        <x:v>1</x:v>
      </x:c>
      <x:c r="D11" s="47" t="str">
        <x:v>validator_prompt</x:v>
      </x:c>
      <x:c r="E11" s="48" t="str">
        <x:v>artifacts/attempt_01/validator_prompt_01.txt</x:v>
      </x:c>
      <x:c r="F11" s="47" t="str">
        <x:v>a81fb7ab37e07761eda0abe2909fd248274c6909b487065d8a3bf5cedd74a47b</x:v>
      </x:c>
      <x:c r="G11" s="59" t="n">
        <x:v>36084</x:v>
      </x:c>
    </x:row>
    <x:row r="12">
      <x:c r="A12" s="47" t="str">
        <x:v>RUN-I2-051-20260813T170734909219Z</x:v>
      </x:c>
      <x:c r="B12" s="47" t="str">
        <x:v>I2-051</x:v>
      </x:c>
      <x:c r="C12" s="59" t="n">
        <x:v>1</x:v>
      </x:c>
      <x:c r="D12" s="47" t="str">
        <x:v>validator_raw_response</x:v>
      </x:c>
      <x:c r="E12" s="48" t="str">
        <x:v>artifacts/attempt_01/validator_raw_01.txt</x:v>
      </x:c>
      <x:c r="F12" s="47" t="str">
        <x:v>9eab94992a06944d7afb31b7b4303451e2d8c9950f7e1eb27441498ad3a60814</x:v>
      </x:c>
      <x:c r="G12" s="59" t="n">
        <x:v>780</x:v>
      </x:c>
    </x:row>
    <x:row r="13">
      <x:c r="A13" s="47" t="str">
        <x:v>RUN-I2-051-20260813T170734909219Z</x:v>
      </x:c>
      <x:c r="B13" s="47" t="str">
        <x:v>I2-051</x:v>
      </x:c>
      <x:c r="C13" s="59" t="n">
        <x:v>2</x:v>
      </x:c>
      <x:c r="D13" s="47" t="str">
        <x:v>generator_prompt</x:v>
      </x:c>
      <x:c r="E13" s="48" t="str">
        <x:v>artifacts/attempt_02/generator_prompt.txt</x:v>
      </x:c>
      <x:c r="F13" s="47" t="str">
        <x:v>4d2f1ffe680ab599fadc5de6bcf042ce0756b65c03a2ca6b98ff780c2f02a3a6</x:v>
      </x:c>
      <x:c r="G13" s="59" t="n">
        <x:v>32781</x:v>
      </x:c>
    </x:row>
    <x:row r="14">
      <x:c r="A14" s="47" t="str">
        <x:v>RUN-I2-051-20260813T170734909219Z</x:v>
      </x:c>
      <x:c r="B14" s="47" t="str">
        <x:v>I2-051</x:v>
      </x:c>
      <x:c r="C14" s="59" t="n">
        <x:v>2</x:v>
      </x:c>
      <x:c r="D14" s="47" t="str">
        <x:v>generator_raw_response</x:v>
      </x:c>
      <x:c r="E14" s="48" t="str">
        <x:v>artifacts/attempt_02/generator_raw.txt</x:v>
      </x:c>
      <x:c r="F14" s="47" t="str">
        <x:v>050d42e4b573736f187a0a4f3c67b5c8bf155529b453cfa5e8b0a59fdcbf66a5</x:v>
      </x:c>
      <x:c r="G14" s="59" t="n">
        <x:v>7401</x:v>
      </x:c>
    </x:row>
    <x:row r="15">
      <x:c r="A15" s="47" t="str">
        <x:v>RUN-I2-051-20260813T170734909219Z</x:v>
      </x:c>
      <x:c r="B15" s="47" t="str">
        <x:v>I2-051</x:v>
      </x:c>
      <x:c r="C15" s="59" t="n">
        <x:v>2</x:v>
      </x:c>
      <x:c r="D15" s="47" t="str">
        <x:v>candidate_shape</x:v>
      </x:c>
      <x:c r="E15" s="48" t="str">
        <x:v>artifacts/attempt_02/candidate_shape.ttl</x:v>
      </x:c>
      <x:c r="F15" s="47" t="str">
        <x:v>0cd66231fdddac29c28a73351a489c64265e097eb201b965fabad919cb21429d</x:v>
      </x:c>
      <x:c r="G15" s="59" t="n">
        <x:v>7376</x:v>
      </x:c>
    </x:row>
    <x:row r="16">
      <x:c r="A16" s="47" t="str">
        <x:v>RUN-I2-051-20260813T170734909219Z</x:v>
      </x:c>
      <x:c r="B16" s="47" t="str">
        <x:v>I2-051</x:v>
      </x:c>
      <x:c r="C16" s="59" t="n">
        <x:v>2</x:v>
      </x:c>
      <x:c r="D16" s="47" t="str">
        <x:v>deterministic_validation</x:v>
      </x:c>
      <x:c r="E16" s="48" t="str">
        <x:v>artifacts/attempt_02/deterministic_validation.json</x:v>
      </x:c>
      <x:c r="F16" s="47" t="str">
        <x:v>e67cad2940fc1e5161b88b8c1454442e0481d94fd8cec47c82d4dd9ca42ac273</x:v>
      </x:c>
      <x:c r="G16" s="59" t="n">
        <x:v>1006</x:v>
      </x:c>
    </x:row>
    <x:row r="17">
      <x:c r="A17" s="47" t="str">
        <x:v>RUN-I2-051-20260813T170734909219Z</x:v>
      </x:c>
      <x:c r="B17" s="47" t="str">
        <x:v>I2-051</x:v>
      </x:c>
      <x:c r="C17" s="59" t="n">
        <x:v>2</x:v>
      </x:c>
      <x:c r="D17" s="47" t="str">
        <x:v>validator_prompt</x:v>
      </x:c>
      <x:c r="E17" s="48" t="str">
        <x:v>artifacts/attempt_02/validator_prompt_01.txt</x:v>
      </x:c>
      <x:c r="F17" s="47" t="str">
        <x:v>16f972000b1eccb445ac133fe8b49aa8532485a676d1089425c380433cc9fb0e</x:v>
      </x:c>
      <x:c r="G17" s="59" t="n">
        <x:v>35314</x:v>
      </x:c>
    </x:row>
    <x:row r="18">
      <x:c r="A18" s="47" t="str">
        <x:v>RUN-I2-051-20260813T170734909219Z</x:v>
      </x:c>
      <x:c r="B18" s="47" t="str">
        <x:v>I2-051</x:v>
      </x:c>
      <x:c r="C18" s="59" t="n">
        <x:v>2</x:v>
      </x:c>
      <x:c r="D18" s="47" t="str">
        <x:v>validator_raw_response</x:v>
      </x:c>
      <x:c r="E18" s="48" t="str">
        <x:v>artifacts/attempt_02/validator_raw_01.txt</x:v>
      </x:c>
      <x:c r="F18" s="47" t="str">
        <x:v>4692105f9e59e55993ccac127de41e062f8fa4ed28e32dade6009c3a7c85ff46</x:v>
      </x:c>
      <x:c r="G18" s="59" t="n">
        <x:v>735</x:v>
      </x:c>
    </x:row>
    <x:row r="19">
      <x:c r="A19" s="47" t="str">
        <x:v>RUN-I2-051-20260813T170734909219Z</x:v>
      </x:c>
      <x:c r="B19" s="47" t="str">
        <x:v>I2-051</x:v>
      </x:c>
      <x:c r="C19" s="59" t="n">
        <x:v>3</x:v>
      </x:c>
      <x:c r="D19" s="47" t="str">
        <x:v>generator_prompt</x:v>
      </x:c>
      <x:c r="E19" s="48" t="str">
        <x:v>artifacts/attempt_03/generator_prompt.txt</x:v>
      </x:c>
      <x:c r="F19" s="47" t="str">
        <x:v>7b4c9d3fedf36d021843bfa77b0265d9d7a030217537125e758764e2a64aacbd</x:v>
      </x:c>
      <x:c r="G19" s="59" t="n">
        <x:v>33459</x:v>
      </x:c>
    </x:row>
    <x:row r="20">
      <x:c r="A20" s="47" t="str">
        <x:v>RUN-I2-051-20260813T170734909219Z</x:v>
      </x:c>
      <x:c r="B20" s="47" t="str">
        <x:v>I2-051</x:v>
      </x:c>
      <x:c r="C20" s="59" t="n">
        <x:v>3</x:v>
      </x:c>
      <x:c r="D20" s="47" t="str">
        <x:v>generator_raw_response</x:v>
      </x:c>
      <x:c r="E20" s="48" t="str">
        <x:v>artifacts/attempt_03/generator_raw.txt</x:v>
      </x:c>
      <x:c r="F20" s="47" t="str">
        <x:v>9adeeef38259e20942d7aea6f7356cebaad71fada3b3cce66ca64a942b5fd1ac</x:v>
      </x:c>
      <x:c r="G20" s="59" t="n">
        <x:v>8757</x:v>
      </x:c>
    </x:row>
    <x:row r="21">
      <x:c r="A21" s="47" t="str">
        <x:v>RUN-I2-051-20260813T170734909219Z</x:v>
      </x:c>
      <x:c r="B21" s="47" t="str">
        <x:v>I2-051</x:v>
      </x:c>
      <x:c r="C21" s="59" t="n">
        <x:v>3</x:v>
      </x:c>
      <x:c r="D21" s="47" t="str">
        <x:v>candidate_shape</x:v>
      </x:c>
      <x:c r="E21" s="48" t="str">
        <x:v>artifacts/attempt_03/candidate_shape.ttl</x:v>
      </x:c>
      <x:c r="F21" s="47" t="str">
        <x:v>8786f14b39d85d20ef94020a1eadc0bc28d4e4d0d2b5b1e7a474d2dc8a184c7c</x:v>
      </x:c>
      <x:c r="G21" s="59" t="n">
        <x:v>8732</x:v>
      </x:c>
    </x:row>
    <x:row r="22">
      <x:c r="A22" s="47" t="str">
        <x:v>RUN-I2-051-20260813T170734909219Z</x:v>
      </x:c>
      <x:c r="B22" s="47" t="str">
        <x:v>I2-051</x:v>
      </x:c>
      <x:c r="C22" s="59" t="n">
        <x:v>3</x:v>
      </x:c>
      <x:c r="D22" s="47" t="str">
        <x:v>deterministic_validation</x:v>
      </x:c>
      <x:c r="E22" s="48" t="str">
        <x:v>artifacts/attempt_03/deterministic_validation.json</x:v>
      </x:c>
      <x:c r="F22" s="47" t="str">
        <x:v>b3649643e4f651ff47a409c999075e9e62c3f2b5339efe39bce0bbf7f23b10ba</x:v>
      </x:c>
      <x:c r="G22" s="59" t="n">
        <x:v>945</x:v>
      </x:c>
    </x:row>
    <x:row r="23">
      <x:c r="A23" s="47" t="str">
        <x:v>RUN-I2-051-20260813T170734909219Z</x:v>
      </x:c>
      <x:c r="B23" s="47" t="str">
        <x:v>I2-051</x:v>
      </x:c>
      <x:c r="C23" s="59" t="n">
        <x:v>3</x:v>
      </x:c>
      <x:c r="D23" s="47" t="str">
        <x:v>validator_prompt</x:v>
      </x:c>
      <x:c r="E23" s="48" t="str">
        <x:v>artifacts/attempt_03/validator_prompt_01.txt</x:v>
      </x:c>
      <x:c r="F23" s="47" t="str">
        <x:v>767335f7c179ba7f03e4915f53d0ead99a7456b88fa11e9eaee61fbdda2322bb</x:v>
      </x:c>
      <x:c r="G23" s="59" t="n">
        <x:v>36339</x:v>
      </x:c>
    </x:row>
    <x:row r="24">
      <x:c r="A24" s="47" t="str">
        <x:v>RUN-I2-051-20260813T170734909219Z</x:v>
      </x:c>
      <x:c r="B24" s="47" t="str">
        <x:v>I2-051</x:v>
      </x:c>
      <x:c r="C24" s="59" t="n">
        <x:v>3</x:v>
      </x:c>
      <x:c r="D24" s="47" t="str">
        <x:v>validator_raw_response</x:v>
      </x:c>
      <x:c r="E24" s="48" t="str">
        <x:v>artifacts/attempt_03/validator_raw_01.txt</x:v>
      </x:c>
      <x:c r="F24" s="47" t="str">
        <x:v>6b6a83c2c0bf93ee305924f8229123bc85400c27f9c74ff43a3463b493c6d56c</x:v>
      </x:c>
      <x:c r="G24" s="59" t="n">
        <x:v>752</x:v>
      </x:c>
    </x:row>
    <x:row r="25">
      <x:c r="A25" s="47" t="str">
        <x:v>RUN-I2-051-20260813T170734909219Z</x:v>
      </x:c>
      <x:c r="B25" s="47" t="str">
        <x:v>I2-051</x:v>
      </x:c>
      <x:c r="C25" s="59" t="n">
        <x:v>3</x:v>
      </x:c>
      <x:c r="D25" s="47" t="str">
        <x:v>matcher_candidates</x:v>
      </x:c>
      <x:c r="E25" s="48" t="str">
        <x:v>artifacts/attempt_03/matcher_candidates.json</x:v>
      </x:c>
      <x:c r="F25" s="47" t="str">
        <x:v>bba636387cf3642a7cb8db9d7ab67e20194830d0ee80d980b539bcc059d17486</x:v>
      </x:c>
      <x:c r="G25" s="59" t="n">
        <x:v>4095</x:v>
      </x:c>
    </x:row>
    <x:row r="26">
      <x:c r="A26" s="47" t="str">
        <x:v>RUN-I2-051-20260813T170734909219Z</x:v>
      </x:c>
      <x:c r="B26" s="47" t="str">
        <x:v>I2-051</x:v>
      </x:c>
      <x:c r="C26" s="59" t="n">
        <x:v>3</x:v>
      </x:c>
      <x:c r="D26" s="47" t="str">
        <x:v>vocabulary_matcher_prompt</x:v>
      </x:c>
      <x:c r="E26" s="48" t="str">
        <x:v>artifacts/attempt_03/vocabulary_matcher_prompt_01.txt</x:v>
      </x:c>
      <x:c r="F26" s="47" t="str">
        <x:v>13f7f7b2104f81490e0711e5e29eb63913420287556d6c3501bf74101bd78419</x:v>
      </x:c>
      <x:c r="G26" s="59" t="n">
        <x:v>9379</x:v>
      </x:c>
    </x:row>
    <x:row r="27">
      <x:c r="A27" s="49" t="str">
        <x:v>RUN-I2-051-20260813T170734909219Z</x:v>
      </x:c>
      <x:c r="B27" s="49" t="str">
        <x:v>I2-051</x:v>
      </x:c>
      <x:c r="C27" s="60" t="n">
        <x:v>3</x:v>
      </x:c>
      <x:c r="D27" s="49" t="str">
        <x:v>vocabulary_matcher_raw_response</x:v>
      </x:c>
      <x:c r="E27" s="50" t="str">
        <x:v>artifacts/attempt_03/vocabulary_matcher_raw_01.txt</x:v>
      </x:c>
      <x:c r="F27" s="49" t="str">
        <x:v>2605766ffdedfc6d9722e72e2f001fc657839c0c377edb7260788766d64044f0</x:v>
      </x:c>
      <x:c r="G27" s="60" t="n">
        <x:v>261</x:v>
      </x:c>
    </x:row>
  </x:sheetData>
  <x:pageMargins left="0.7" right="0.7" top="0.75" bottom="0.75" header="0.3" footer="0.3"/>
  <x:tableParts count="1">
    <x:tablePart xmlns:r="http://schemas.openxmlformats.org/officeDocument/2006/relationships" r:id="R6dd347c66fef414a"/>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RUN-I2-051-20260813T170734909219Z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RUN-I2-051-20260813T170734909219Z</x:v>
      </x:c>
      <x:c r="B5" s="69" t="str">
        <x:v>I2-051</x:v>
      </x:c>
      <x:c r="C5" s="71" t="n">
        <x:v>3</x:v>
      </x:c>
      <x:c r="D5" s="69" t="str">
        <x:v>TERM_RESOLUTION_UNRESOLVED</x:v>
      </x:c>
      <x:c r="E5" s="73" t="str">
        <x:v>No supplied candidate is the canonical ship-to-calculation-case relationship requested by the validator; calculationCase is a class, not the required relationship property.</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a42cb773794b4d0b"/>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RUN-I2-051-20260813T170734909219Z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