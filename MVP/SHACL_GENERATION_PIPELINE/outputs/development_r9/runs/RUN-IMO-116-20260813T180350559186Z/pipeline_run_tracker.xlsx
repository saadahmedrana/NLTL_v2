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2ebcee838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1a6758f3b742ac"/>
    <x:sheet xmlns:r="http://schemas.openxmlformats.org/officeDocument/2006/relationships" name="README" sheetId="2" r:id="Rdc7424cf52d94949"/>
    <x:sheet xmlns:r="http://schemas.openxmlformats.org/officeDocument/2006/relationships" name="REGULATION_QUEUE" sheetId="3" r:id="R744ffb9225654e55"/>
    <x:sheet xmlns:r="http://schemas.openxmlformats.org/officeDocument/2006/relationships" name="RUNS" sheetId="4" r:id="R406b894ea59e4bd6"/>
    <x:sheet xmlns:r="http://schemas.openxmlformats.org/officeDocument/2006/relationships" name="ITERATIONS" sheetId="5" r:id="R0c7dec9f2ba04b1c"/>
    <x:sheet xmlns:r="http://schemas.openxmlformats.org/officeDocument/2006/relationships" name="API_CALLS" sheetId="6" r:id="Rce945da78edd47bd"/>
    <x:sheet xmlns:r="http://schemas.openxmlformats.org/officeDocument/2006/relationships" name="TERM_RETRIEVAL" sheetId="7" r:id="R91ed3be33d6349eb"/>
    <x:sheet xmlns:r="http://schemas.openxmlformats.org/officeDocument/2006/relationships" name="FEW_SHOT_SELECTION" sheetId="8" r:id="Rbe378cc7f9ae493a"/>
    <x:sheet xmlns:r="http://schemas.openxmlformats.org/officeDocument/2006/relationships" name="VALIDATION" sheetId="9" r:id="R19e3f85a2f31405a"/>
    <x:sheet xmlns:r="http://schemas.openxmlformats.org/officeDocument/2006/relationships" name="VOCAB_MATCHES" sheetId="10" r:id="R5ebeea087e0043a1"/>
    <x:sheet xmlns:r="http://schemas.openxmlformats.org/officeDocument/2006/relationships" name="ARTIFACTS" sheetId="11" r:id="Rb2e158bbf1fe45fc"/>
    <x:sheet xmlns:r="http://schemas.openxmlformats.org/officeDocument/2006/relationships" name="UNRESOLVED" sheetId="12" r:id="R25cb8895cc544ffc"/>
    <x:sheet xmlns:r="http://schemas.openxmlformats.org/officeDocument/2006/relationships" name="RDF_TEST_QUEUE" sheetId="13" r:id="Rf203b680dbaa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ff0f2c75f43c4" /><Relationship Type="http://schemas.openxmlformats.org/officeDocument/2006/relationships/theme" Target="/xl/theme/theme1.xml" Id="Rb590f1743de8403b" /><Relationship Type="http://schemas.microsoft.com/office/2022/11/relationships/FeaturePropertyBag" Target="/xl/featurePropertyBag/featurePropertyBag.xml" Id="R66aeb8c509814422" /><Relationship Type="http://schemas.openxmlformats.org/officeDocument/2006/relationships/sharedStrings" Target="/xl/sharedStrings.xml" Id="Ra36e6b2648d34a4f" /><Relationship Type="http://schemas.openxmlformats.org/officeDocument/2006/relationships/worksheet" Target="/xl/worksheets/sheet1.xml" Id="R2d1a6758f3b742ac" /><Relationship Type="http://schemas.openxmlformats.org/officeDocument/2006/relationships/worksheet" Target="/xl/worksheets/sheet2.xml" Id="Rdc7424cf52d94949" /><Relationship Type="http://schemas.openxmlformats.org/officeDocument/2006/relationships/worksheet" Target="/xl/worksheets/sheet3.xml" Id="R744ffb9225654e55" /><Relationship Type="http://schemas.openxmlformats.org/officeDocument/2006/relationships/worksheet" Target="/xl/worksheets/sheet4.xml" Id="R406b894ea59e4bd6" /><Relationship Type="http://schemas.openxmlformats.org/officeDocument/2006/relationships/worksheet" Target="/xl/worksheets/sheet5.xml" Id="R0c7dec9f2ba04b1c" /><Relationship Type="http://schemas.openxmlformats.org/officeDocument/2006/relationships/worksheet" Target="/xl/worksheets/sheet6.xml" Id="Rce945da78edd47bd" /><Relationship Type="http://schemas.openxmlformats.org/officeDocument/2006/relationships/worksheet" Target="/xl/worksheets/sheet7.xml" Id="R91ed3be33d6349eb" /><Relationship Type="http://schemas.openxmlformats.org/officeDocument/2006/relationships/worksheet" Target="/xl/worksheets/sheet8.xml" Id="Rbe378cc7f9ae493a" /><Relationship Type="http://schemas.openxmlformats.org/officeDocument/2006/relationships/worksheet" Target="/xl/worksheets/sheet9.xml" Id="R19e3f85a2f31405a" /><Relationship Type="http://schemas.openxmlformats.org/officeDocument/2006/relationships/worksheet" Target="/xl/worksheets/sheet10.xml" Id="R5ebeea087e0043a1" /><Relationship Type="http://schemas.openxmlformats.org/officeDocument/2006/relationships/worksheet" Target="/xl/worksheets/sheet11.xml" Id="Rb2e158bbf1fe45fc" /><Relationship Type="http://schemas.openxmlformats.org/officeDocument/2006/relationships/worksheet" Target="/xl/worksheets/sheet12.xml" Id="R25cb8895cc544ffc" /><Relationship Type="http://schemas.openxmlformats.org/officeDocument/2006/relationships/worksheet" Target="/xl/worksheets/sheet13.xml" Id="Rf203b680dbaa42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c4f6f45a78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4681f1bbc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66951cc0d8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250b4cfb7c42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5afac8fdb445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7f8ca1c49b49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645ec3213346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28efbdd94845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ab41a0424c48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cdc85a1b5948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RUN-IMO-116-20260813T180350559186Z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29523.421875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RUN-IMO-116-20260813T180350559186Z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c4f6f45a784b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GENERATION_ACCEPTED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4681f1bbc48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RUN-IMO-116-20260813T180350559186Z</x:v>
      </x:c>
      <x:c r="C5" s="69" t="str">
        <x:v>IMO-116</x:v>
      </x:c>
      <x:c r="D5" s="70" t="n">
        <x:v>46247.752668506946</x:v>
      </x:c>
      <x:c r="E5" s="70" t="n">
        <x:v>46247.754039293985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requirement, including applicability consistency, MARPOL status, strict distance and ice-concentration thresholds, required units, and the distinct recorded distance from qualifying ice-concentration areas.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66951cc0d843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RUN-IMO-116-20260813T180350559186Z</x:v>
      </x:c>
      <x:c r="B5" s="45" t="str">
        <x:v>IMO-116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sewageDischargeType is currently only presence-checked, so an arbitrary string combined with notComminutedOrDisinfected=false bypasses all obligations. Make the exact discharge-type value "not_comminuted_or_disinfected" and the boolean flag consistent branch selectors: the applicable branch must require that string and true before enforcing MARPOL status, &gt;12 nmi, nearby concentration &gt;1 tenth, and the recorded concentration-area distance; the non-applicable branch must require a different discharge type and false. Add maxCount 1 to both selectors and to the boolean compliance result to prevent contradictory values from satisfying sh:hasValue branches.</x:v>
      </x:c>
      <x:c r="I5" s="81" t="n">
        <x:v>36825.022</x:v>
      </x:c>
      <x:c r="J5" s="81" t="n">
        <x:v>15819.407</x:v>
      </x:c>
    </x:row>
    <x:row r="6">
      <x:c r="A6" s="49" t="str">
        <x:v>RUN-IMO-116-20260813T180350559186Z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requirement, including applicability consistency, MARPOL status, strict distance and ice-concentration thresholds, required units, and the distinct recorded distance from qualifying ice-concentration areas.</x:v>
      </x:c>
      <x:c r="I6" s="83" t="n">
        <x:v>51910.039</x:v>
      </x:c>
      <x:c r="J6" s="83" t="n">
        <x:v>13542.385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50b4cfb7c42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RUN-IMO-116-20260813T180350559186Z</x:v>
      </x:c>
      <x:c r="C5" s="45" t="str">
        <x:v>IMO-116</x:v>
      </x:c>
      <x:c r="D5" s="90" t="n">
        <x:v>46247.7530946412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36823.331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RUN-IMO-116-20260813T180350559186Z</x:v>
      </x:c>
      <x:c r="C6" s="47" t="str">
        <x:v>IMO-116</x:v>
      </x:c>
      <x:c r="D6" s="91" t="n">
        <x:v>46247.75309465278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36825.022</x:v>
      </x:c>
      <x:c r="L6" s="93" t="b">
        <x:v>0</x:v>
      </x:c>
      <x:c r="M6" s="47" t="str">
        <x:v>resp_064d6790b3af199c006a7e0706a25881958c2a6f1537ade586</x:v>
      </x:c>
      <x:c r="N6" s="59" t="n">
        <x:v>7243</x:v>
      </x:c>
      <x:c r="O6" s="59" t="n">
        <x:v>2929</x:v>
      </x:c>
      <x:c r="P6" s="59" t="n">
        <x:v>10172</x:v>
      </x:c>
    </x:row>
    <x:row r="7">
      <x:c r="A7" s="47" t="str">
        <x:v>EVT-000025</x:v>
      </x:c>
      <x:c r="B7" s="47" t="str">
        <x:v>RUN-IMO-116-20260813T180350559186Z</x:v>
      </x:c>
      <x:c r="C7" s="47" t="str">
        <x:v>IMO-116</x:v>
      </x:c>
      <x:c r="D7" s="91" t="n">
        <x:v>46247.75327952547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15817.922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RUN-IMO-116-20260813T180350559186Z</x:v>
      </x:c>
      <x:c r="C8" s="47" t="str">
        <x:v>IMO-116</x:v>
      </x:c>
      <x:c r="D8" s="91" t="n">
        <x:v>46247.75327954861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15819.407</x:v>
      </x:c>
      <x:c r="L8" s="93" t="b">
        <x:v>0</x:v>
      </x:c>
      <x:c r="M8" s="47" t="str">
        <x:v>resp_051205819e9f54ff006a7e072b9db88195a52d4891422940f2</x:v>
      </x:c>
      <x:c r="N8" s="59" t="n">
        <x:v>6832</x:v>
      </x:c>
      <x:c r="O8" s="59" t="n">
        <x:v>1077</x:v>
      </x:c>
      <x:c r="P8" s="59" t="n">
        <x:v>7909</x:v>
      </x:c>
    </x:row>
    <x:row r="9">
      <x:c r="A9" s="47" t="str">
        <x:v>EVT-000031</x:v>
      </x:c>
      <x:c r="B9" s="47" t="str">
        <x:v>RUN-IMO-116-20260813T180350559186Z</x:v>
      </x:c>
      <x:c r="C9" s="47" t="str">
        <x:v>IMO-116</x:v>
      </x:c>
      <x:c r="D9" s="91" t="n">
        <x:v>46247.75388039352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51908.431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RUN-IMO-116-20260813T180350559186Z</x:v>
      </x:c>
      <x:c r="C10" s="47" t="str">
        <x:v>IMO-116</x:v>
      </x:c>
      <x:c r="D10" s="91" t="n">
        <x:v>46247.75388041667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51910.039</x:v>
      </x:c>
      <x:c r="L10" s="93" t="b">
        <x:v>0</x:v>
      </x:c>
      <x:c r="M10" s="47" t="str">
        <x:v>resp_00d38ab9bec98dac006a7e073b81808190ae743f2feb57d1c9</x:v>
      </x:c>
      <x:c r="N10" s="59" t="n">
        <x:v>7376</x:v>
      </x:c>
      <x:c r="O10" s="59" t="n">
        <x:v>4064</x:v>
      </x:c>
      <x:c r="P10" s="59" t="n">
        <x:v>11440</x:v>
      </x:c>
    </x:row>
    <x:row r="11">
      <x:c r="A11" s="47" t="str">
        <x:v>EVT-000039</x:v>
      </x:c>
      <x:c r="B11" s="47" t="str">
        <x:v>RUN-IMO-116-20260813T180350559186Z</x:v>
      </x:c>
      <x:c r="C11" s="47" t="str">
        <x:v>IMO-116</x:v>
      </x:c>
      <x:c r="D11" s="91" t="n">
        <x:v>46247.754039224536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13540.838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RUN-IMO-116-20260813T180350559186Z</x:v>
      </x:c>
      <x:c r="C12" s="49" t="str">
        <x:v>IMO-116</x:v>
      </x:c>
      <x:c r="D12" s="94" t="n">
        <x:v>46247.75403924769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13542.385</x:v>
      </x:c>
      <x:c r="L12" s="82" t="b">
        <x:v>0</x:v>
      </x:c>
      <x:c r="M12" s="49" t="str">
        <x:v>resp_0df590eb1e3259c5006a7e076f880881959e3be4e8eae9946f</x:v>
      </x:c>
      <x:c r="N12" s="60" t="n">
        <x:v>7038</x:v>
      </x:c>
      <x:c r="O12" s="60" t="n">
        <x:v>930</x:v>
      </x:c>
      <x:c r="P12" s="60" t="n">
        <x:v>7968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afac8fdb445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RUN-IMO-116-20260813T180350559186Z</x:v>
      </x:c>
      <x:c r="B5" s="45" t="str">
        <x:v>IMO-116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RUN-IMO-116-20260813T180350559186Z</x:v>
      </x:c>
      <x:c r="B6" s="47" t="str">
        <x:v>IMO-116</x:v>
      </x:c>
      <x:c r="C6" s="47" t="str">
        <x:v>distanceFromAreaWithIceConcentrationAboveOneTenth</x:v>
      </x:c>
      <x:c r="D6" s="48" t="str">
        <x:v>https://w3id.org/nltl-benchmark/vocab#distanceFromAreaWithIceConcentrationAboveOneTenth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RUN-IMO-116-20260813T180350559186Z</x:v>
      </x:c>
      <x:c r="B7" s="47" t="str">
        <x:v>IMO-116</x:v>
      </x:c>
      <x:c r="C7" s="47" t="str">
        <x:v>distanceToNearestIceShelfOrFastIce</x:v>
      </x:c>
      <x:c r="D7" s="48" t="str">
        <x:v>https://w3id.org/nltl-benchmark/vocab#distanceToNearestIceShelfOrFastIce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RUN-IMO-116-20260813T180350559186Z</x:v>
      </x:c>
      <x:c r="B8" s="47" t="str">
        <x:v>IMO-116</x:v>
      </x:c>
      <x:c r="C8" s="47" t="str">
        <x:v>iceConcentration</x:v>
      </x:c>
      <x:c r="D8" s="48" t="str">
        <x:v>https://w3id.org/nltl-benchmark/vocab#iceConcentration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RUN-IMO-116-20260813T180350559186Z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https://w3id.org/nltl-benchmark/vocab#marpolAnnexIvRegulation11Point1Point1ComplianceStatus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RUN-IMO-116-20260813T180350559186Z</x:v>
      </x:c>
      <x:c r="B10" s="47" t="str">
        <x:v>IMO-116</x:v>
      </x:c>
      <x:c r="C10" s="47" t="str">
        <x:v>nearbyIceConcentration</x:v>
      </x:c>
      <x:c r="D10" s="48" t="str">
        <x:v>https://w3id.org/nltl-benchmark/vocab#nearbyIceConcentration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RUN-IMO-116-20260813T180350559186Z</x:v>
      </x:c>
      <x:c r="B11" s="47" t="str">
        <x:v>IMO-116</x:v>
      </x:c>
      <x:c r="C11" s="47" t="str">
        <x:v>notComminutedOrDisinfected</x:v>
      </x:c>
      <x:c r="D11" s="48" t="str">
        <x:v>https://w3id.org/nltl-benchmark/vocab#notComminutedOrDisinfected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RUN-IMO-116-20260813T180350559186Z</x:v>
      </x:c>
      <x:c r="B12" s="47" t="str">
        <x:v>IMO-116</x:v>
      </x:c>
      <x:c r="C12" s="47" t="str">
        <x:v>sewageDischargeType</x:v>
      </x:c>
      <x:c r="D12" s="48" t="str">
        <x:v>https://w3id.org/nltl-benchmark/vocab#sewageDischargeType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RUN-IMO-116-20260813T180350559186Z</x:v>
      </x:c>
      <x:c r="B13" s="49" t="str">
        <x:v>IMO-116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7f8ca1c49b49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RUN-IMO-116-20260813T180350559186Z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RUN-IMO-116-20260813T180350559186Z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0.056338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RUN-IMO-116-20260813T180350559186Z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45ec3213346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RUN-IMO-116-20260813T180350559186Z</x:v>
      </x:c>
      <x:c r="B5" s="45" t="str">
        <x:v>IMO-116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https://w3id.org/nltl-benchmark/vocab#distanceFromAreaWithIceConcentrationAboveOneTenth | https://w3id.org/nltl-benchmark/vocab#distanceToNearestIceShelfOrFastIce | https://w3id.org/nltl-benchmark/vocab#marpolAnnexIvRegulation11Point1Point1ComplianceStatus | https://w3id.org/nltl-benchmark/vocab#nearbyIceConcentration | https://w3id.org/nltl-benchmark/vocab#notComminutedOrDisinfected | https://w3id.org/nltl-benchmark/vocab#sewageDischargeType | https://w3id.org/nltl-benchmark/vocab#ship</x:v>
      </x:c>
      <x:c r="O5" s="46" t="str"/>
      <x:c r="P5" s="46" t="str"/>
      <x:c r="Q5" s="46" t="str"/>
    </x:row>
    <x:row r="6">
      <x:c r="A6" s="49" t="str">
        <x:v>RUN-IMO-116-20260813T180350559186Z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https://w3id.org/nltl-benchmark/vocab#distanceFromAreaWithIceConcentrationAboveOneTenth | https://w3id.org/nltl-benchmark/vocab#distanceToNearestIceShelfOrFastIce | https://w3id.org/nltl-benchmark/vocab#marpolAnnexIvRegulation11Point1Point1ComplianceStatus | https://w3id.org/nltl-benchmark/vocab#nearbyIceConcentration | https://w3id.org/nltl-benchmark/vocab#notComminutedOrDisinfected | https://w3id.org/nltl-benchmark/vocab#sewageDischargeType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f28efbdd94845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RUN-IMO-116-20260813T180350559186Z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RUN-IMO-116-20260813T180350559186Z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RUN-IMO-116-20260813T180350559186Z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a81b9cab2b5020614a9389f78943de66c2fdf17fd0ef4c857e0d454d4dd53324</x:v>
      </x:c>
      <x:c r="G5" s="58" t="n">
        <x:v>15486</x:v>
      </x:c>
    </x:row>
    <x:row r="6">
      <x:c r="A6" s="47" t="str">
        <x:v>RUN-IMO-116-20260813T180350559186Z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0085f6083a8c56c858798025870b645708924db079b1eee83b18c4a7ee551beb</x:v>
      </x:c>
      <x:c r="G6" s="59" t="n">
        <x:v>6289</x:v>
      </x:c>
    </x:row>
    <x:row r="7">
      <x:c r="A7" s="47" t="str">
        <x:v>RUN-IMO-116-20260813T180350559186Z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d4ad532e6e718b0d32786806de45651d143a16ed79ce6eb9ae620f1cb6558a7e</x:v>
      </x:c>
      <x:c r="G7" s="59" t="n">
        <x:v>28447</x:v>
      </x:c>
    </x:row>
    <x:row r="8">
      <x:c r="A8" s="47" t="str">
        <x:v>RUN-IMO-116-20260813T180350559186Z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b2d256289cfb3e1e24b405409929c7c5b3d3372c767decb7eedf30764d65d06a</x:v>
      </x:c>
      <x:c r="G8" s="59" t="n">
        <x:v>4175</x:v>
      </x:c>
    </x:row>
    <x:row r="9">
      <x:c r="A9" s="47" t="str">
        <x:v>RUN-IMO-116-20260813T180350559186Z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7494f52ada6e6876a796f6c4cb60866876e0a04a851163a4f286fd1b2bf4f669</x:v>
      </x:c>
      <x:c r="G9" s="59" t="n">
        <x:v>4150</x:v>
      </x:c>
    </x:row>
    <x:row r="10">
      <x:c r="A10" s="47" t="str">
        <x:v>RUN-IMO-116-20260813T180350559186Z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76cc9db92b491e801e28948c180656f835c5a840d26b8fbed341b943b4a796e6</x:v>
      </x:c>
      <x:c r="G10" s="59" t="n">
        <x:v>918</x:v>
      </x:c>
    </x:row>
    <x:row r="11">
      <x:c r="A11" s="47" t="str">
        <x:v>RUN-IMO-116-20260813T180350559186Z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98b556bbe41079d5882d6dac140783a6b4a5a1f1d7a1cfbcf3ce39b2b1ac8f5d</x:v>
      </x:c>
      <x:c r="G11" s="59" t="n">
        <x:v>26826</x:v>
      </x:c>
    </x:row>
    <x:row r="12">
      <x:c r="A12" s="47" t="str">
        <x:v>RUN-IMO-116-20260813T180350559186Z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574a86886cf38bf987bb65f389ab431682010a1fc7f99b9937bc5bb18fd8ad9e</x:v>
      </x:c>
      <x:c r="G12" s="59" t="n">
        <x:v>758</x:v>
      </x:c>
    </x:row>
    <x:row r="13">
      <x:c r="A13" s="47" t="str">
        <x:v>RUN-IMO-116-20260813T180350559186Z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e42049ce3a62aa0a72815a794dfaa1a6f49e12036a0b238bb6a2cb7fb64ec329</x:v>
      </x:c>
      <x:c r="G13" s="59" t="n">
        <x:v>29140</x:v>
      </x:c>
    </x:row>
    <x:row r="14">
      <x:c r="A14" s="47" t="str">
        <x:v>RUN-IMO-116-20260813T180350559186Z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729cb6f01f5b0a4691f1572650c5472a6ca5591310fea811903f6ef2112f4939</x:v>
      </x:c>
      <x:c r="G14" s="59" t="n">
        <x:v>4635</x:v>
      </x:c>
    </x:row>
    <x:row r="15">
      <x:c r="A15" s="47" t="str">
        <x:v>RUN-IMO-116-20260813T180350559186Z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cdc99e812226c143bfcd0301961c09b34165c75bd9ea21dfb3e505bbb4a7aed4</x:v>
      </x:c>
      <x:c r="G15" s="59" t="n">
        <x:v>4610</x:v>
      </x:c>
    </x:row>
    <x:row r="16">
      <x:c r="A16" s="47" t="str">
        <x:v>RUN-IMO-116-20260813T180350559186Z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76cc9db92b491e801e28948c180656f835c5a840d26b8fbed341b943b4a796e6</x:v>
      </x:c>
      <x:c r="G16" s="59" t="n">
        <x:v>918</x:v>
      </x:c>
    </x:row>
    <x:row r="17">
      <x:c r="A17" s="47" t="str">
        <x:v>RUN-IMO-116-20260813T180350559186Z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e3140ac3566789ceb91571288dbb3b33d96dffa2bd0be268c97b81a1465ff60d</x:v>
      </x:c>
      <x:c r="G17" s="59" t="n">
        <x:v>27316</x:v>
      </x:c>
    </x:row>
    <x:row r="18">
      <x:c r="A18" s="47" t="str">
        <x:v>RUN-IMO-116-20260813T180350559186Z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d66d2aa348ae099d12d756b536d35b196bc3ca21dca49b13e91f509e73aef5b9</x:v>
      </x:c>
      <x:c r="G18" s="59" t="n">
        <x:v>328</x:v>
      </x:c>
    </x:row>
    <x:row r="19">
      <x:c r="A19" s="49" t="str">
        <x:v>RUN-IMO-116-20260813T180350559186Z</x:v>
      </x:c>
      <x:c r="B19" s="49" t="str">
        <x:v>IMO-116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cdc99e812226c143bfcd0301961c09b34165c75bd9ea21dfb3e505bbb4a7aed4</x:v>
      </x:c>
      <x:c r="G19" s="60" t="n">
        <x:v>4610</x:v>
      </x:c>
    </x:row>
  </x:sheetData>
  <x:pageMargins left="0.7" right="0.7" top="0.75" bottom="0.75" header="0.3" footer="0.3"/>
  <x:tableParts count="1">
    <x:tablePart xmlns:r="http://schemas.openxmlformats.org/officeDocument/2006/relationships" r:id="R27ab41a0424c48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RUN-IMO-116-20260813T180350559186Z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RUN-IMO-116-20260813T180350559186Z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RUN-IMO-116-20260813T180350559186Z</x:v>
      </x:c>
      <x:c r="B5" s="69" t="str">
        <x:v>IMO-116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dc85a1b59484a"/>
  </x:tableParts>
</x:worksheet>
</file>