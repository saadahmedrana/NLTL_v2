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tables/table9.xml" ContentType="application/vnd.openxmlformats-officedocument.spreadsheetml.table+xml"/>
  <Override PartName="/xl/worksheets/sheet11.xml" ContentType="application/vnd.openxmlformats-officedocument.spreadsheetml.worksheet+xml"/>
  <Override PartName="/xl/tables/table10.xml" ContentType="application/vnd.openxmlformats-officedocument.spreadsheetml.table+xml"/>
  <Override PartName="/xl/worksheets/sheet12.xml" ContentType="application/vnd.openxmlformats-officedocument.spreadsheetml.worksheet+xml"/>
  <Override PartName="/xl/tables/table11.xml" ContentType="application/vnd.openxmlformats-officedocument.spreadsheetml.table+xml"/>
  <Override PartName="/xl/worksheets/sheet1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eabefd9a1cb4939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806238ef31144579"/>
    <x:sheet xmlns:r="http://schemas.openxmlformats.org/officeDocument/2006/relationships" name="README" sheetId="2" r:id="R8172a7a14e934779"/>
    <x:sheet xmlns:r="http://schemas.openxmlformats.org/officeDocument/2006/relationships" name="REGULATION_QUEUE" sheetId="3" r:id="Rd32dc20b5a2a4a83"/>
    <x:sheet xmlns:r="http://schemas.openxmlformats.org/officeDocument/2006/relationships" name="RUNS" sheetId="4" r:id="Racf28851d5874dec"/>
    <x:sheet xmlns:r="http://schemas.openxmlformats.org/officeDocument/2006/relationships" name="ITERATIONS" sheetId="5" r:id="R0f80f64a406943aa"/>
    <x:sheet xmlns:r="http://schemas.openxmlformats.org/officeDocument/2006/relationships" name="API_CALLS" sheetId="6" r:id="Rfc063e88939c4a9c"/>
    <x:sheet xmlns:r="http://schemas.openxmlformats.org/officeDocument/2006/relationships" name="TERM_RETRIEVAL" sheetId="7" r:id="R992693c12230430a"/>
    <x:sheet xmlns:r="http://schemas.openxmlformats.org/officeDocument/2006/relationships" name="FEW_SHOT_SELECTION" sheetId="8" r:id="R5546591ea23e4265"/>
    <x:sheet xmlns:r="http://schemas.openxmlformats.org/officeDocument/2006/relationships" name="VALIDATION" sheetId="9" r:id="Rd4a750072170401c"/>
    <x:sheet xmlns:r="http://schemas.openxmlformats.org/officeDocument/2006/relationships" name="VOCAB_MATCHES" sheetId="10" r:id="R575b938b21d24d23"/>
    <x:sheet xmlns:r="http://schemas.openxmlformats.org/officeDocument/2006/relationships" name="ARTIFACTS" sheetId="11" r:id="Ra329e234406746d6"/>
    <x:sheet xmlns:r="http://schemas.openxmlformats.org/officeDocument/2006/relationships" name="UNRESOLVED" sheetId="12" r:id="R965e1b790b224ac9"/>
    <x:sheet xmlns:r="http://schemas.openxmlformats.org/officeDocument/2006/relationships" name="RDF_TEST_QUEUE" sheetId="13" r:id="R34610287648e45f2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105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/>
    </x:xf>
    <x:xf numFmtId="201" fontId="6" fillId="0" borderId="0" xfId="0" applyNumberFormat="1" applyFont="1" applyFill="1" applyBorder="1" applyAlignment="1">
      <x:alignment vertical="top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2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1" xfId="0" applyNumberFormat="1" applyFont="1" applyFill="1" applyBorder="1" applyAlignment="1">
      <x:alignment vertical="top"/>
    </x:xf>
    <x:xf numFmtId="201" fontId="0" fillId="0" borderId="2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1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2" xfId="0" applyNumberFormat="1" applyFont="1" applyFill="1" applyBorder="1" applyAlignment="1">
      <x:alignment vertical="top"/>
    </x:xf>
    <x:xf numFmtId="201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1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48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fde042bcb44c4ae7" /><Relationship Type="http://schemas.openxmlformats.org/officeDocument/2006/relationships/theme" Target="/xl/theme/theme1.xml" Id="R38718ccc1c434849" /><Relationship Type="http://schemas.microsoft.com/office/2022/11/relationships/FeaturePropertyBag" Target="/xl/featurePropertyBag/featurePropertyBag.xml" Id="Ra8fc1e36e5304468" /><Relationship Type="http://schemas.openxmlformats.org/officeDocument/2006/relationships/sharedStrings" Target="/xl/sharedStrings.xml" Id="R4b54bcb5f82d482d" /><Relationship Type="http://schemas.openxmlformats.org/officeDocument/2006/relationships/worksheet" Target="/xl/worksheets/sheet1.xml" Id="R806238ef31144579" /><Relationship Type="http://schemas.openxmlformats.org/officeDocument/2006/relationships/worksheet" Target="/xl/worksheets/sheet2.xml" Id="R8172a7a14e934779" /><Relationship Type="http://schemas.openxmlformats.org/officeDocument/2006/relationships/worksheet" Target="/xl/worksheets/sheet3.xml" Id="Rd32dc20b5a2a4a83" /><Relationship Type="http://schemas.openxmlformats.org/officeDocument/2006/relationships/worksheet" Target="/xl/worksheets/sheet4.xml" Id="Racf28851d5874dec" /><Relationship Type="http://schemas.openxmlformats.org/officeDocument/2006/relationships/worksheet" Target="/xl/worksheets/sheet5.xml" Id="R0f80f64a406943aa" /><Relationship Type="http://schemas.openxmlformats.org/officeDocument/2006/relationships/worksheet" Target="/xl/worksheets/sheet6.xml" Id="Rfc063e88939c4a9c" /><Relationship Type="http://schemas.openxmlformats.org/officeDocument/2006/relationships/worksheet" Target="/xl/worksheets/sheet7.xml" Id="R992693c12230430a" /><Relationship Type="http://schemas.openxmlformats.org/officeDocument/2006/relationships/worksheet" Target="/xl/worksheets/sheet8.xml" Id="R5546591ea23e4265" /><Relationship Type="http://schemas.openxmlformats.org/officeDocument/2006/relationships/worksheet" Target="/xl/worksheets/sheet9.xml" Id="Rd4a750072170401c" /><Relationship Type="http://schemas.openxmlformats.org/officeDocument/2006/relationships/worksheet" Target="/xl/worksheets/sheet10.xml" Id="R575b938b21d24d23" /><Relationship Type="http://schemas.openxmlformats.org/officeDocument/2006/relationships/worksheet" Target="/xl/worksheets/sheet11.xml" Id="Ra329e234406746d6" /><Relationship Type="http://schemas.openxmlformats.org/officeDocument/2006/relationships/worksheet" Target="/xl/worksheets/sheet12.xml" Id="R965e1b790b224ac9" /><Relationship Type="http://schemas.openxmlformats.org/officeDocument/2006/relationships/worksheet" Target="/xl/worksheets/sheet13.xml" Id="R34610287648e45f2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5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10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12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5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9_VOCABMATCHES" displayName="T9_VOCABMATCHES" ref="A4:J6" headerRowCount="1" totalsRowCount="0" totalsRowShown="0">
  <x:tableColumns count="10">
    <x:tableColumn id="1" name="RUN_ID"/>
    <x:tableColumn id="2" name="REQUIREMENT_ID"/>
    <x:tableColumn id="3" name="ITERATION"/>
    <x:tableColumn id="4" name="EVENT"/>
    <x:tableColumn id="5" name="QUERY_FEEDBACK"/>
    <x:tableColumn id="6" name="CANDIDATE_COUNT"/>
    <x:tableColumn id="7" name="MATCH_FOUND"/>
    <x:tableColumn id="8" name="CANONICAL_LOCAL_NAME"/>
    <x:tableColumn id="9" name="CANONICAL_IRI"/>
    <x:tableColumn id="10" name="FEEDBACK_APPENDIX"/>
  </x:tableColumns>
  <x:tableStyleInfo name="TableStyleMedium2" showFirstColumn="0" showLastColumn="0" showRowStripes="1" showColumnStripes="0"/>
</x:table>
</file>

<file path=xl/tables/table10.xml><?xml version="1.0" encoding="utf-8"?>
<x:table xmlns:x="http://schemas.openxmlformats.org/spreadsheetml/2006/main" id="10" name="T10_ARTIFACTS" displayName="T10_ARTIFACTS" ref="A4:G15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ables/table11.xml><?xml version="1.0" encoding="utf-8"?>
<x:table xmlns:x="http://schemas.openxmlformats.org/spreadsheetml/2006/main" id="11" name="T11_UNRESOLVED" displayName="T11_UNRESOLVED" ref="A4:F5" headerRowCount="1" totalsRowCount="0" totalsRowShown="0">
  <x:tableColumns count="6">
    <x:tableColumn id="1" name="RUN_ID"/>
    <x:tableColumn id="2" name="REQUIREMENT_ID"/>
    <x:tableColumn id="3" name="ITERATION"/>
    <x:tableColumn id="4" name="ISSUE_TYPE"/>
    <x:tableColumn id="5" name="DETAIL"/>
    <x:tableColumn id="6" name="STATU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b2fd421bc8604b34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98158d74f44b437d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11b86c760a4c492e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39022d6b101e4c18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f8d9264296c34910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c1ecc7e5b2484945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e979d06af60d4137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270dffd3599048c6" /></Relationships>
</file>

<file path=xl/worksheets/_rels/sheet10.xml.rels>&#65279;<?xml version="1.0" encoding="utf-8"?><Relationships xmlns="http://schemas.openxmlformats.org/package/2006/relationships"><Relationship Type="http://schemas.openxmlformats.org/officeDocument/2006/relationships/table" Target="/xl/tables/table9.xml" Id="Rf5c662d5f76e4422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10.xml" Id="R503071f8aea84dae" /></Relationships>
</file>

<file path=xl/worksheets/_rels/sheet12.xml.rels>&#65279;<?xml version="1.0" encoding="utf-8"?><Relationships xmlns="http://schemas.openxmlformats.org/package/2006/relationships"><Relationship Type="http://schemas.openxmlformats.org/officeDocument/2006/relationships/table" Target="/xl/tables/table11.xml" Id="R8c354d7b51da4551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RUN-TRF-079-20260813T153604669737Z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239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0</x:v>
      </x:c>
      <x:c r="C8" s="21"/>
      <x:c r="D8" s="21"/>
    </x:row>
    <x:row r="9">
      <x:c r="A9" s="25" t="str">
        <x:v>API/LLM records</x:v>
      </x:c>
      <x:c r="B9" s="26" t="n">
        <x:f>COUNTA('API_CALLS'!$A$5:$A$10)</x:f>
        <x:v>6</x:v>
      </x:c>
      <x:c r="C9" s="21"/>
      <x:c r="D9" s="21"/>
    </x:row>
    <x:row r="10">
      <x:c r="A10" s="27" t="str">
        <x:v>Mean API/LLM elapsed ms</x:v>
      </x:c>
      <x:c r="B10" s="28" t="n">
        <x:f>IFERROR(AVERAGE('API_CALLS'!$K$5:$K$10),0)</x:f>
        <x:v>11264.511666666667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RUN-TRF-079-20260813T153604669737Z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b2fd421bc8604b34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12" hidden="0" customWidth="1"/>
    <x:col min="9" max="9" width="18" hidden="0" customWidth="1"/>
    <x:col min="10" max="10" width="19" hidden="0" customWidth="1"/>
    <x:col min="11" max="11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RUN-TRF-079-20260813T153604669737Z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Stage 2 candidate - direct/deterministic</x:v>
      </x:c>
      <x:c r="H6" s="47" t="str">
        <x:v>High</x:v>
      </x:c>
      <x:c r="I6" s="47" t="str">
        <x:v>No</x:v>
      </x:c>
      <x:c r="J6" s="47" t="str">
        <x:v>ELIGIBLE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Complex</x:v>
      </x:c>
      <x:c r="G7" s="48" t="str">
        <x:v>Deferred - composite/evidence workflow review</x:v>
      </x:c>
      <x:c r="H7" s="47" t="str">
        <x:v>Medium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Static Calculation</x:v>
      </x:c>
      <x:c r="G11" s="48" t="str">
        <x:v>Stage 2 candidate - direct/deterministic</x:v>
      </x:c>
      <x:c r="H11" s="47" t="str">
        <x:v>High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 Calculation</x:v>
      </x:c>
      <x:c r="G12" s="48" t="str">
        <x:v>Stage 2 candidate - direct/deterministic</x:v>
      </x:c>
      <x:c r="H12" s="47" t="str">
        <x:v>High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 Calculation</x:v>
      </x:c>
      <x:c r="G13" s="48" t="str">
        <x:v>Stage 2 candidate - direct/deterministic</x:v>
      </x:c>
      <x:c r="H13" s="47" t="str">
        <x:v>High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Static</x:v>
      </x:c>
      <x:c r="G15" s="48" t="str">
        <x:v>Stage 2 candidate - direct/deterministic</x:v>
      </x:c>
      <x:c r="H15" s="47" t="str">
        <x:v>Medium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Static Calculation</x:v>
      </x:c>
      <x:c r="G17" s="48" t="str">
        <x:v>Stage 2 candidate - direct/deterministic</x:v>
      </x:c>
      <x:c r="H17" s="47" t="str">
        <x:v>High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Static Calculation</x:v>
      </x:c>
      <x:c r="G18" s="48" t="str">
        <x:v>Stage 2 candidate - direct/deterministic</x:v>
      </x:c>
      <x:c r="H18" s="47" t="str">
        <x:v>High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Static Calculation</x:v>
      </x:c>
      <x:c r="G22" s="48" t="str">
        <x:v>Stage 2 candidate - direct/deterministic</x:v>
      </x:c>
      <x:c r="H22" s="47" t="str">
        <x:v>High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Static Calculation</x:v>
      </x:c>
      <x:c r="G23" s="48" t="str">
        <x:v>Stage 2 candidate - direct/deterministic</x:v>
      </x:c>
      <x:c r="H23" s="47" t="str">
        <x:v>Medium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Static Calculation</x:v>
      </x:c>
      <x:c r="G24" s="48" t="str">
        <x:v>Stage 2 candidate - direct/deterministic</x:v>
      </x:c>
      <x:c r="H24" s="47" t="str">
        <x:v>High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 Calculation</x:v>
      </x:c>
      <x:c r="G26" s="48" t="str">
        <x:v>Stage 2 candidate - direct/deterministic</x:v>
      </x:c>
      <x:c r="H26" s="47" t="str">
        <x:v>Medium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Static Calculation</x:v>
      </x:c>
      <x:c r="G27" s="48" t="str">
        <x:v>Stage 2 candidate - direct/deterministic</x:v>
      </x:c>
      <x:c r="H27" s="47" t="str">
        <x:v>Medium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Static Calculation</x:v>
      </x:c>
      <x:c r="G33" s="48" t="str">
        <x:v>Stage 2 candidate - direct/deterministic</x:v>
      </x:c>
      <x:c r="H33" s="47" t="str">
        <x:v>Medium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Static Calculation</x:v>
      </x:c>
      <x:c r="G34" s="48" t="str">
        <x:v>Stage 2 candidate - direct/deterministic</x:v>
      </x:c>
      <x:c r="H34" s="47" t="str">
        <x:v>Medium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Static Calculation</x:v>
      </x:c>
      <x:c r="G36" s="48" t="str">
        <x:v>Stage 2 candidate - direct/deterministic</x:v>
      </x:c>
      <x:c r="H36" s="47" t="str">
        <x:v>Medium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 Calculation</x:v>
      </x:c>
      <x:c r="G39" s="48" t="str">
        <x:v>Stage 2 candidate - direct/deterministic</x:v>
      </x:c>
      <x:c r="H39" s="47" t="str">
        <x:v>Medium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Static Calculation</x:v>
      </x:c>
      <x:c r="G40" s="48" t="str">
        <x:v>Stage 2 candidate - direct/deterministic</x:v>
      </x:c>
      <x:c r="H40" s="47" t="str">
        <x:v>High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Static</x:v>
      </x:c>
      <x:c r="G42" s="48" t="str">
        <x:v>Stage 2 candidate - direct/deterministic</x:v>
      </x:c>
      <x:c r="H42" s="47" t="str">
        <x:v>High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Static Calculation</x:v>
      </x:c>
      <x:c r="G43" s="48" t="str">
        <x:v>Deferred - missing normative companion method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Static Calculation</x:v>
      </x:c>
      <x:c r="G44" s="48" t="str">
        <x:v>Stage 2 candidate - direct/deterministic</x:v>
      </x:c>
      <x:c r="H44" s="47" t="str">
        <x:v>High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 Calculation</x:v>
      </x:c>
      <x:c r="G45" s="48" t="str">
        <x:v>Stage 2 candidate - direct/deterministic</x:v>
      </x:c>
      <x:c r="H45" s="47" t="str">
        <x:v>Medium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Static</x:v>
      </x:c>
      <x:c r="G48" s="48" t="str">
        <x:v>Stage 2 candidate - direct/deterministic</x:v>
      </x:c>
      <x:c r="H48" s="47" t="str">
        <x:v>High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Static Calculation</x:v>
      </x:c>
      <x:c r="G49" s="48" t="str">
        <x:v>Stage 2 candidate - direct/deterministic</x:v>
      </x:c>
      <x:c r="H49" s="47" t="str">
        <x:v>High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Static Calculation</x:v>
      </x:c>
      <x:c r="G50" s="48" t="str">
        <x:v>Stage 2 candidate - direct/deterministic</x:v>
      </x:c>
      <x:c r="H50" s="47" t="str">
        <x:v>Medium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Static Calculation</x:v>
      </x:c>
      <x:c r="G63" s="48" t="str">
        <x:v>Stage 2 candidate - direct/deterministic</x:v>
      </x:c>
      <x:c r="H63" s="47" t="str">
        <x:v>High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Complex</x:v>
      </x:c>
      <x:c r="G70" s="48" t="str">
        <x:v>Deferred - composite/evidence workflow review</x:v>
      </x:c>
      <x:c r="H70" s="47" t="str">
        <x:v>Medium</x:v>
      </x:c>
      <x:c r="I70" s="47" t="str">
        <x:v>No</x:v>
      </x:c>
      <x:c r="J70" s="47" t="str">
        <x:v>DEFERRED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Complex</x:v>
      </x:c>
      <x:c r="G73" s="48" t="str">
        <x:v>Deferred - composite/evidence workflow review</x:v>
      </x:c>
      <x:c r="H73" s="47" t="str">
        <x:v>Medium</x:v>
      </x:c>
      <x:c r="I73" s="47" t="str">
        <x:v>No</x:v>
      </x:c>
      <x:c r="J73" s="47" t="str">
        <x:v>DEFERRED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Complex</x:v>
      </x:c>
      <x:c r="G79" s="48" t="str">
        <x:v>Deferred - composite/evidence workflow review</x:v>
      </x:c>
      <x:c r="H79" s="47" t="str">
        <x:v>Medium</x:v>
      </x:c>
      <x:c r="I79" s="47" t="str">
        <x:v>No</x:v>
      </x:c>
      <x:c r="J79" s="47" t="str">
        <x:v>DEFERRED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Complex</x:v>
      </x:c>
      <x:c r="G80" s="48" t="str">
        <x:v>Deferred - composite/evidence workflow review</x:v>
      </x:c>
      <x:c r="H80" s="47" t="str">
        <x:v>Medium</x:v>
      </x:c>
      <x:c r="I80" s="47" t="str">
        <x:v>No</x:v>
      </x:c>
      <x:c r="J80" s="47" t="str">
        <x:v>DEFERRED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Complex</x:v>
      </x:c>
      <x:c r="G82" s="48" t="str">
        <x:v>Deferred - composite/evidence workflow review</x:v>
      </x:c>
      <x:c r="H82" s="47" t="str">
        <x:v>Medium</x:v>
      </x:c>
      <x:c r="I82" s="47" t="str">
        <x:v>No</x:v>
      </x:c>
      <x:c r="J82" s="47" t="str">
        <x:v>DEFERRED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Complex</x:v>
      </x:c>
      <x:c r="G83" s="48" t="str">
        <x:v>Deferred - composite/evidence workflow review</x:v>
      </x:c>
      <x:c r="H83" s="47" t="str">
        <x:v>Medium</x:v>
      </x:c>
      <x:c r="I83" s="47" t="str">
        <x:v>No</x:v>
      </x:c>
      <x:c r="J83" s="47" t="str">
        <x:v>DEFERRED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Complex</x:v>
      </x:c>
      <x:c r="G84" s="48" t="str">
        <x:v>Deferred - composite/evidence workflow review</x:v>
      </x:c>
      <x:c r="H84" s="47" t="str">
        <x:v>Medium</x:v>
      </x:c>
      <x:c r="I84" s="47" t="str">
        <x:v>No</x:v>
      </x:c>
      <x:c r="J84" s="47" t="str">
        <x:v>DEFERRED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Complex</x:v>
      </x:c>
      <x:c r="G86" s="48" t="str">
        <x:v>Deferred - composite/evidence workflow review</x:v>
      </x:c>
      <x:c r="H86" s="47" t="str">
        <x:v>Medium</x:v>
      </x:c>
      <x:c r="I86" s="47" t="str">
        <x:v>No</x:v>
      </x:c>
      <x:c r="J86" s="47" t="str">
        <x:v>DEFERRED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Static Calculation</x:v>
      </x:c>
      <x:c r="G89" s="48" t="str">
        <x:v>Stage 2 candidate - direct/deterministic</x:v>
      </x:c>
      <x:c r="H89" s="47" t="str">
        <x:v>High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Complex</x:v>
      </x:c>
      <x:c r="G100" s="48" t="str">
        <x:v>Deferred - composite/evidence workflow review</x:v>
      </x:c>
      <x:c r="H100" s="47" t="str">
        <x:v>Medium</x:v>
      </x:c>
      <x:c r="I100" s="47" t="str">
        <x:v>No</x:v>
      </x:c>
      <x:c r="J100" s="47" t="str">
        <x:v>DEFERRED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Complex</x:v>
      </x:c>
      <x:c r="G101" s="48" t="str">
        <x:v>Deferred - composite/evidence workflow review</x:v>
      </x:c>
      <x:c r="H101" s="47" t="str">
        <x:v>Medium</x:v>
      </x:c>
      <x:c r="I101" s="47" t="str">
        <x:v>No</x:v>
      </x:c>
      <x:c r="J101" s="47" t="str">
        <x:v>DEFERRED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Complex</x:v>
      </x:c>
      <x:c r="G117" s="48" t="str">
        <x:v>Deferred - composite/evidence workflow review</x:v>
      </x:c>
      <x:c r="H117" s="47" t="str">
        <x:v>Medium</x:v>
      </x:c>
      <x:c r="I117" s="47" t="str">
        <x:v>No</x:v>
      </x:c>
      <x:c r="J117" s="47" t="str">
        <x:v>DEFERRED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Complex</x:v>
      </x:c>
      <x:c r="G120" s="48" t="str">
        <x:v>Deferred - composite/evidence workflow review</x:v>
      </x:c>
      <x:c r="H120" s="47" t="str">
        <x:v>Medium</x:v>
      </x:c>
      <x:c r="I120" s="47" t="str">
        <x:v>No</x:v>
      </x:c>
      <x:c r="J120" s="47" t="str">
        <x:v>DEFERRED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Complex</x:v>
      </x:c>
      <x:c r="G151" s="48" t="str">
        <x:v>Deferred - composite/evidence workflow review</x:v>
      </x:c>
      <x:c r="H151" s="47" t="str">
        <x:v>Medium</x:v>
      </x:c>
      <x:c r="I151" s="47" t="str">
        <x:v>No</x:v>
      </x:c>
      <x:c r="J151" s="47" t="str">
        <x:v>DEFERRED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Complex</x:v>
      </x:c>
      <x:c r="G152" s="48" t="str">
        <x:v>Deferred - composite/evidence workflow review</x:v>
      </x:c>
      <x:c r="H152" s="47" t="str">
        <x:v>Medium</x:v>
      </x:c>
      <x:c r="I152" s="47" t="str">
        <x:v>No</x:v>
      </x:c>
      <x:c r="J152" s="47" t="str">
        <x:v>DEFERRED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Complex</x:v>
      </x:c>
      <x:c r="G153" s="48" t="str">
        <x:v>Deferred - composite/evidence workflow review</x:v>
      </x:c>
      <x:c r="H153" s="47" t="str">
        <x:v>Medium</x:v>
      </x:c>
      <x:c r="I153" s="47" t="str">
        <x:v>No</x:v>
      </x:c>
      <x:c r="J153" s="47" t="str">
        <x:v>DEFERRED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Complex</x:v>
      </x:c>
      <x:c r="G155" s="48" t="str">
        <x:v>Deferred - composite/evidence workflow review</x:v>
      </x:c>
      <x:c r="H155" s="47" t="str">
        <x:v>Medium</x:v>
      </x:c>
      <x:c r="I155" s="47" t="str">
        <x:v>No</x:v>
      </x:c>
      <x:c r="J155" s="47" t="str">
        <x:v>DEFERRED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 Calculation</x:v>
      </x:c>
      <x:c r="G160" s="48" t="str">
        <x:v>Stage 2 candidate - direct/deterministic</x:v>
      </x:c>
      <x:c r="H160" s="47" t="str">
        <x:v>High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 Calculation</x:v>
      </x:c>
      <x:c r="G161" s="48" t="str">
        <x:v>Stage 2 candidate - direct/deterministic</x:v>
      </x:c>
      <x:c r="H161" s="47" t="str">
        <x:v>High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Complex</x:v>
      </x:c>
      <x:c r="G162" s="48" t="str">
        <x:v>Deferred - composite/evidence workflow review</x:v>
      </x:c>
      <x:c r="H162" s="47" t="str">
        <x:v>Medium</x:v>
      </x:c>
      <x:c r="I162" s="47" t="str">
        <x:v>No</x:v>
      </x:c>
      <x:c r="J162" s="47" t="str">
        <x:v>DEFERRED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 Calculation</x:v>
      </x:c>
      <x:c r="G163" s="48" t="str">
        <x:v>Stage 2 candidate - direct/deterministic</x:v>
      </x:c>
      <x:c r="H163" s="47" t="str">
        <x:v>High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Complex</x:v>
      </x:c>
      <x:c r="G166" s="48" t="str">
        <x:v>Deferred - composite/evidence workflow review</x:v>
      </x:c>
      <x:c r="H166" s="47" t="str">
        <x:v>Medium</x:v>
      </x:c>
      <x:c r="I166" s="47" t="str">
        <x:v>No</x:v>
      </x:c>
      <x:c r="J166" s="47" t="str">
        <x:v>DEFERRED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 Calculation</x:v>
      </x:c>
      <x:c r="G167" s="48" t="str">
        <x:v>Stage 2 candidate - direct/deterministic</x:v>
      </x:c>
      <x:c r="H167" s="47" t="str">
        <x:v>High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 Calculation</x:v>
      </x:c>
      <x:c r="G168" s="48" t="str">
        <x:v>Stage 2 candidate - direct/deterministic</x:v>
      </x:c>
      <x:c r="H168" s="47" t="str">
        <x:v>High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Complex</x:v>
      </x:c>
      <x:c r="G169" s="48" t="str">
        <x:v>Deferred - composite/evidence workflow review</x:v>
      </x:c>
      <x:c r="H169" s="47" t="str">
        <x:v>Medium</x:v>
      </x:c>
      <x:c r="I169" s="47" t="str">
        <x:v>No</x:v>
      </x:c>
      <x:c r="J169" s="47" t="str">
        <x:v>DEFERRED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Complex</x:v>
      </x:c>
      <x:c r="G171" s="48" t="str">
        <x:v>Deferred - composite/evidence workflow review</x:v>
      </x:c>
      <x:c r="H171" s="47" t="str">
        <x:v>Medium</x:v>
      </x:c>
      <x:c r="I171" s="47" t="str">
        <x:v>No</x:v>
      </x:c>
      <x:c r="J171" s="47" t="str">
        <x:v>DEFERRED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 Calculation</x:v>
      </x:c>
      <x:c r="G172" s="48" t="str">
        <x:v>Stage 2 candidate - direct/deterministic</x:v>
      </x:c>
      <x:c r="H172" s="47" t="str">
        <x:v>High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Complex</x:v>
      </x:c>
      <x:c r="G175" s="48" t="str">
        <x:v>Deferred - composite/evidence workflow review</x:v>
      </x:c>
      <x:c r="H175" s="47" t="str">
        <x:v>Medium</x:v>
      </x:c>
      <x:c r="I175" s="47" t="str">
        <x:v>No</x:v>
      </x:c>
      <x:c r="J175" s="47" t="str">
        <x:v>DEFERRED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 Calculation</x:v>
      </x:c>
      <x:c r="G176" s="48" t="str">
        <x:v>Stage 2 candidate - direct/deterministic</x:v>
      </x:c>
      <x:c r="H176" s="47" t="str">
        <x:v>High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Complex</x:v>
      </x:c>
      <x:c r="G184" s="48" t="str">
        <x:v>Deferred - composite/evidence workflow review</x:v>
      </x:c>
      <x:c r="H184" s="47" t="str">
        <x:v>High</x:v>
      </x:c>
      <x:c r="I184" s="47" t="str">
        <x:v>No</x:v>
      </x:c>
      <x:c r="J184" s="47" t="str">
        <x:v>DEFERRED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Complex</x:v>
      </x:c>
      <x:c r="G185" s="48" t="str">
        <x:v>Deferred - composite/evidence workflow review</x:v>
      </x:c>
      <x:c r="H185" s="47" t="str">
        <x:v>Medium</x:v>
      </x:c>
      <x:c r="I185" s="47" t="str">
        <x:v>No</x:v>
      </x:c>
      <x:c r="J185" s="47" t="str">
        <x:v>DEFERRED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Complex</x:v>
      </x:c>
      <x:c r="G188" s="48" t="str">
        <x:v>Deferred - composite/evidence workflow review</x:v>
      </x:c>
      <x:c r="H188" s="47" t="str">
        <x:v>High</x:v>
      </x:c>
      <x:c r="I188" s="47" t="str">
        <x:v>No</x:v>
      </x:c>
      <x:c r="J188" s="47" t="str">
        <x:v>DEFERRED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Complex</x:v>
      </x:c>
      <x:c r="G194" s="48" t="str">
        <x:v>Deferred - composite/evidence workflow review</x:v>
      </x:c>
      <x:c r="H194" s="47" t="str">
        <x:v>Medium</x:v>
      </x:c>
      <x:c r="I194" s="47" t="str">
        <x:v>No</x:v>
      </x:c>
      <x:c r="J194" s="47" t="str">
        <x:v>DEFERRED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Complex</x:v>
      </x:c>
      <x:c r="G195" s="48" t="str">
        <x:v>Deferred - composite/evidence workflow review</x:v>
      </x:c>
      <x:c r="H195" s="47" t="str">
        <x:v>Medium</x:v>
      </x:c>
      <x:c r="I195" s="47" t="str">
        <x:v>No</x:v>
      </x:c>
      <x:c r="J195" s="47" t="str">
        <x:v>DEFERRED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Static</x:v>
      </x:c>
      <x:c r="G206" s="48" t="str">
        <x:v>Stage 2 candidate - direct/deterministic</x:v>
      </x:c>
      <x:c r="H206" s="47" t="str">
        <x:v>High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Static Calculation</x:v>
      </x:c>
      <x:c r="G213" s="48" t="str">
        <x:v>Stage 2 candidate - direct/deterministic</x:v>
      </x:c>
      <x:c r="H213" s="47" t="str">
        <x:v>Medium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Static Calculation</x:v>
      </x:c>
      <x:c r="G214" s="48" t="str">
        <x:v>Stage 2 candidate - direct/deterministic</x:v>
      </x:c>
      <x:c r="H214" s="47" t="str">
        <x:v>Medium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Static Calculation</x:v>
      </x:c>
      <x:c r="G217" s="48" t="str">
        <x:v>Stage 2 candidate - direct/deterministic</x:v>
      </x:c>
      <x:c r="H217" s="47" t="str">
        <x:v>High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Static Calculation</x:v>
      </x:c>
      <x:c r="G218" s="48" t="str">
        <x:v>Stage 2 candidate - direct/deterministic</x:v>
      </x:c>
      <x:c r="H218" s="47" t="str">
        <x:v>High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Physical Test</x:v>
      </x:c>
      <x:c r="G220" s="48" t="str">
        <x:v>Evidence-only - physical result not inferred by SHACL</x:v>
      </x:c>
      <x:c r="H220" s="47" t="str">
        <x:v>Medium</x:v>
      </x:c>
      <x:c r="I220" s="47" t="str">
        <x:v>No</x:v>
      </x:c>
      <x:c r="J220" s="47" t="str">
        <x:v>DEFERRED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Complex</x:v>
      </x:c>
      <x:c r="G221" s="48" t="str">
        <x:v>Deferred - composite/evidence workflow review</x:v>
      </x:c>
      <x:c r="H221" s="47" t="str">
        <x:v>Medium</x:v>
      </x:c>
      <x:c r="I221" s="47" t="str">
        <x:v>No</x:v>
      </x:c>
      <x:c r="J221" s="47" t="str">
        <x:v>DEFERRED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Static Calculation</x:v>
      </x:c>
      <x:c r="G222" s="48" t="str">
        <x:v>Stage 2 candidate - direct/deterministic</x:v>
      </x:c>
      <x:c r="H222" s="47" t="str">
        <x:v>High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Static Calculation</x:v>
      </x:c>
      <x:c r="G225" s="48" t="str">
        <x:v>Stage 2 candidate - direct/deterministic</x:v>
      </x:c>
      <x:c r="H225" s="47" t="str">
        <x:v>Medium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 Calculation</x:v>
      </x:c>
      <x:c r="G227" s="48" t="str">
        <x:v>Stage 2 candidate - direct/deterministic</x:v>
      </x:c>
      <x:c r="H227" s="47" t="str">
        <x:v>Medium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Complex</x:v>
      </x:c>
      <x:c r="G229" s="48" t="str">
        <x:v>Deferred - composite/evidence workflow review</x:v>
      </x:c>
      <x:c r="H229" s="47" t="str">
        <x:v>Medium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Complex</x:v>
      </x:c>
      <x:c r="G230" s="48" t="str">
        <x:v>Deferred - composite/evidence workflow review</x:v>
      </x:c>
      <x:c r="H230" s="47" t="str">
        <x:v>Medium</x:v>
      </x:c>
      <x:c r="I230" s="47" t="str">
        <x:v>No</x:v>
      </x:c>
      <x:c r="J230" s="47" t="str">
        <x:v>DEFERRED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Static Calculation</x:v>
      </x:c>
      <x:c r="G231" s="48" t="str">
        <x:v>Stage 2 candidate - direct/deterministic</x:v>
      </x:c>
      <x:c r="H231" s="47" t="str">
        <x:v>High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 Calculation</x:v>
      </x:c>
      <x:c r="G239" s="48" t="str">
        <x:v>Stage 2 candidate - direct/deterministic</x:v>
      </x:c>
      <x:c r="H239" s="47" t="str">
        <x:v>High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Static Calculation</x:v>
      </x:c>
      <x:c r="G241" s="48" t="str">
        <x:v>Stage 2 candidate - direct/deterministic</x:v>
      </x:c>
      <x:c r="H241" s="47" t="str">
        <x:v>Medium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 Calculation</x:v>
      </x:c>
      <x:c r="G245" s="48" t="str">
        <x:v>Stage 2 candidate - direct/deterministic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 Calculation</x:v>
      </x:c>
      <x:c r="G246" s="48" t="str">
        <x:v>Stage 2 candidate - direct/deterministic</x:v>
      </x:c>
      <x:c r="H246" s="47" t="str">
        <x:v>High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Static Calculation</x:v>
      </x:c>
      <x:c r="G250" s="48" t="str">
        <x:v>Stage 2 candidate - direct/deterministic</x:v>
      </x:c>
      <x:c r="H250" s="47" t="str">
        <x:v>Medium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Static Calculation</x:v>
      </x:c>
      <x:c r="G260" s="48" t="str">
        <x:v>Stage 2 candidate - direct/deterministic</x:v>
      </x:c>
      <x:c r="H260" s="47" t="str">
        <x:v>High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Complex</x:v>
      </x:c>
      <x:c r="G264" s="48" t="str">
        <x:v>Deferred - composite/evidence workflow review</x:v>
      </x:c>
      <x:c r="H264" s="47" t="str">
        <x:v>Medium</x:v>
      </x:c>
      <x:c r="I264" s="47" t="str">
        <x:v>No</x:v>
      </x:c>
      <x:c r="J264" s="47" t="str">
        <x:v>DEFERRED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 Calculation</x:v>
      </x:c>
      <x:c r="G266" s="48" t="str">
        <x:v>Stage 2 candidate - direct/deterministic</x:v>
      </x:c>
      <x:c r="H266" s="47" t="str">
        <x:v>High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TERM_RESOLUTION_UNRESOLVED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</x:v>
      </x:c>
      <x:c r="G269" s="48" t="str">
        <x:v>Stage 2 candidate - direct/deterministic</x:v>
      </x:c>
      <x:c r="H269" s="47" t="str">
        <x:v>High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</x:v>
      </x:c>
      <x:c r="G273" s="48" t="str">
        <x:v>Stage 2 candidate - direct/deterministic</x:v>
      </x:c>
      <x:c r="H273" s="47" t="str">
        <x:v>High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</x:v>
      </x:c>
      <x:c r="G275" s="48" t="str">
        <x:v>Stage 2 candidate - direct/deterministic</x:v>
      </x:c>
      <x:c r="H275" s="47" t="str">
        <x:v>High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 Calculation</x:v>
      </x:c>
      <x:c r="G277" s="48" t="str">
        <x:v>Stage 2 candidate - direct/deterministic</x:v>
      </x:c>
      <x:c r="H277" s="47" t="str">
        <x:v>Medium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Complex</x:v>
      </x:c>
      <x:c r="G281" s="48" t="str">
        <x:v>Deferred - composite/evidence workflow review</x:v>
      </x:c>
      <x:c r="H281" s="47" t="str">
        <x:v>Medium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Static Calculation</x:v>
      </x:c>
      <x:c r="G285" s="48" t="str">
        <x:v>Stage 2 candidate - direct/deterministic</x:v>
      </x:c>
      <x:c r="H285" s="47" t="str">
        <x:v>High</x:v>
      </x:c>
      <x:c r="I285" s="47" t="str">
        <x:v>No</x:v>
      </x:c>
      <x:c r="J285" s="47" t="str">
        <x:v>ELIGIBLE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Complex</x:v>
      </x:c>
      <x:c r="G292" s="48" t="str">
        <x:v>Deferred - composite/evidence workflow review</x:v>
      </x:c>
      <x:c r="H292" s="47" t="str">
        <x:v>Medium</x:v>
      </x:c>
      <x:c r="I292" s="47" t="str">
        <x:v>No</x:v>
      </x:c>
      <x:c r="J292" s="47" t="str">
        <x:v>DEFERRED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Static Calculation</x:v>
      </x:c>
      <x:c r="G299" s="48" t="str">
        <x:v>Stage 2 candidate - direct/deterministic</x:v>
      </x:c>
      <x:c r="H299" s="47" t="str">
        <x:v>High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Static Calculation</x:v>
      </x:c>
      <x:c r="G300" s="48" t="str">
        <x:v>Stage 2 candidate - direct/deterministic</x:v>
      </x:c>
      <x:c r="H300" s="47" t="str">
        <x:v>High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Static</x:v>
      </x:c>
      <x:c r="G302" s="48" t="str">
        <x:v>Stage 2 candidate - direct/deterministic</x:v>
      </x:c>
      <x:c r="H302" s="47" t="str">
        <x:v>Medium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Static Calculation</x:v>
      </x:c>
      <x:c r="G303" s="48" t="str">
        <x:v>Stage 2 candidate - direct/deterministic</x:v>
      </x:c>
      <x:c r="H303" s="47" t="str">
        <x:v>High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Static Calculation</x:v>
      </x:c>
      <x:c r="G304" s="48" t="str">
        <x:v>Stage 2 candidate - direct/deterministic</x:v>
      </x:c>
      <x:c r="H304" s="47" t="str">
        <x:v>High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Static Calculation</x:v>
      </x:c>
      <x:c r="G308" s="48" t="str">
        <x:v>Stage 2 candidate - direct/deterministic</x:v>
      </x:c>
      <x:c r="H308" s="47" t="str">
        <x:v>Medium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 Calculation</x:v>
      </x:c>
      <x:c r="G312" s="48" t="str">
        <x:v>Stage 2 candidate - direct/deterministic</x:v>
      </x:c>
      <x:c r="H312" s="47" t="str">
        <x:v>High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</x:v>
      </x:c>
      <x:c r="G314" s="48" t="str">
        <x:v>Stage 2 candidate - direct/deterministic</x:v>
      </x:c>
      <x:c r="H314" s="47" t="str">
        <x:v>High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98158d74f44b437d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4" hidden="0" customWidth="1"/>
    <x:col min="7" max="7" width="24" hidden="0" customWidth="1"/>
    <x:col min="8" max="8" width="11" hidden="0" customWidth="1"/>
    <x:col min="9" max="9" width="24" hidden="0" customWidth="1"/>
    <x:col min="10" max="10" width="11" hidden="0" customWidth="1"/>
    <x:col min="11" max="11" width="1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RUN-TRF-079-20260813T153604669737Z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SESSION-BATCH-20260813T151944473992Z</x:v>
      </x:c>
      <x:c r="B5" s="69" t="str">
        <x:v>RUN-TRF-079-20260813T153604669737Z</x:v>
      </x:c>
      <x:c r="C5" s="69" t="str">
        <x:v>TRF-079</x:v>
      </x:c>
      <x:c r="D5" s="70" t="n">
        <x:v>46247.65005405092</x:v>
      </x:c>
      <x:c r="E5" s="70" t="n">
        <x:v>46247.65045650463</x:v>
      </x:c>
      <x:c r="F5" s="69" t="str">
        <x:v>0.9.0-dev-r9-foundation</x:v>
      </x:c>
      <x:c r="G5" s="69" t="str">
        <x:v>VOCAB-DEV-2026-08-13-R9-FOUNDATION</x:v>
      </x:c>
      <x:c r="H5" s="71" t="n">
        <x:v>1</x:v>
      </x:c>
      <x:c r="I5" s="69" t="str">
        <x:v>TERM_RESOLUTION_UNRESOLVED</x:v>
      </x:c>
      <x:c r="J5" s="72" t="b">
        <x:v>0</x:v>
      </x:c>
      <x:c r="K5" s="69" t="str"/>
      <x:c r="L5" s="73" t="str">
        <x:v>No supplied candidate represents the required propeller-diameter D quantity with the necessary quantity range and length unit.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11b86c760a4c492e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22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RUN-TRF-079-20260813T153604669737Z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69" t="str">
        <x:v>RUN-TRF-079-20260813T153604669737Z</x:v>
      </x:c>
      <x:c r="B5" s="69" t="str">
        <x:v>TRF-079</x:v>
      </x:c>
      <x:c r="C5" s="71" t="n">
        <x:v>1</x:v>
      </x:c>
      <x:c r="D5" s="72" t="b">
        <x:v>1</x:v>
      </x:c>
      <x:c r="E5" s="72" t="b">
        <x:v>0</x:v>
      </x:c>
      <x:c r="F5" s="72" t="b">
        <x:v>1</x:v>
      </x:c>
      <x:c r="G5" s="69" t="str">
        <x:v>STOP_TERM_RESOLUTION</x:v>
      </x:c>
      <x:c r="H5" s="73" t="str">
        <x:v>The candidate validates only the piecewise k2(f) equation and treats h0 and H_ice as presence-only values. Encode equation 6.16 as well: locate the canonical propeller-diameter D quantity term, require it on the ship with the canonical datatype/unit, and validate reported f against (h0 - H_ice)/(D/2) - 1 using a tolerance scaled from that expected result. Retain the piecewise k2 validation using the validated/reported f and its expected-result-scaled tolerance; ensure all operands are mandatory and guard invalid zero diameter.</x:v>
      </x:c>
      <x:c r="I5" s="75" t="n">
        <x:v>22785.961</x:v>
      </x:c>
      <x:c r="J5" s="75" t="n">
        <x:v>8536.441</x:v>
      </x:c>
    </x:row>
  </x:sheetData>
  <x:conditionalFormatting sqref="G5:G5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39022d6b101e4c18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20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RUN-TRF-079-20260813T153604669737Z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EVT-000016</x:v>
      </x:c>
      <x:c r="B5" s="45" t="str">
        <x:v>RUN-TRF-079-20260813T153604669737Z</x:v>
      </x:c>
      <x:c r="C5" s="45" t="str">
        <x:v>TRF-079</x:v>
      </x:c>
      <x:c r="D5" s="88" t="n">
        <x:v>46247.6503177662</x:v>
      </x:c>
      <x:c r="E5" s="45" t="str">
        <x:v>generator</x:v>
      </x:c>
      <x:c r="F5" s="45" t="str">
        <x:v>gpt-5.6-sol-2026-07-09</x:v>
      </x:c>
      <x:c r="G5" s="45" t="n">
        <x:v>1</x:v>
      </x:c>
      <x:c r="H5" s="45" t="n">
        <x:v>200</x:v>
      </x:c>
      <x:c r="I5" s="45" t="str">
        <x:v>Ocp-Apim-Subscription-Key</x:v>
      </x:c>
      <x:c r="J5" s="89" t="n">
        <x:v>0</x:v>
      </x:c>
      <x:c r="K5" s="89" t="n">
        <x:v>22784.274</x:v>
      </x:c>
      <x:c r="L5" s="90" t="b">
        <x:v>0</x:v>
      </x:c>
      <x:c r="M5" s="45" t="str"/>
      <x:c r="N5" s="58" t="str"/>
      <x:c r="O5" s="58" t="str"/>
      <x:c r="P5" s="58" t="str"/>
    </x:row>
    <x:row r="6">
      <x:c r="A6" s="47" t="str">
        <x:v>EVT-000017</x:v>
      </x:c>
      <x:c r="B6" s="47" t="str">
        <x:v>RUN-TRF-079-20260813T153604669737Z</x:v>
      </x:c>
      <x:c r="C6" s="47" t="str">
        <x:v>TRF-079</x:v>
      </x:c>
      <x:c r="D6" s="91" t="n">
        <x:v>46247.650317789354</x:v>
      </x:c>
      <x:c r="E6" s="47" t="str">
        <x:v>generator</x:v>
      </x:c>
      <x:c r="F6" s="47" t="str">
        <x:v>gpt-5.6-sol-2026-07-09</x:v>
      </x:c>
      <x:c r="G6" s="47" t="n">
        <x:v>1</x:v>
      </x:c>
      <x:c r="H6" s="47" t="str">
        <x:v>COMPLETED</x:v>
      </x:c>
      <x:c r="I6" s="47" t="str"/>
      <x:c r="J6" s="92" t="n">
        <x:v>0</x:v>
      </x:c>
      <x:c r="K6" s="92" t="n">
        <x:v>22785.961</x:v>
      </x:c>
      <x:c r="L6" s="93" t="b">
        <x:v>0</x:v>
      </x:c>
      <x:c r="M6" s="47" t="str">
        <x:v>resp_04ff8d691c52b2f8006a7de464deb08194a723a66080efb3a5</x:v>
      </x:c>
      <x:c r="N6" s="59" t="n">
        <x:v>6136</x:v>
      </x:c>
      <x:c r="O6" s="59" t="n">
        <x:v>2145</x:v>
      </x:c>
      <x:c r="P6" s="59" t="n">
        <x:v>8281</x:v>
      </x:c>
    </x:row>
    <x:row r="7">
      <x:c r="A7" s="47" t="str">
        <x:v>EVT-000024</x:v>
      </x:c>
      <x:c r="B7" s="47" t="str">
        <x:v>RUN-TRF-079-20260813T153604669737Z</x:v>
      </x:c>
      <x:c r="C7" s="47" t="str">
        <x:v>TRF-079</x:v>
      </x:c>
      <x:c r="D7" s="91" t="n">
        <x:v>46247.6504184838</x:v>
      </x:c>
      <x:c r="E7" s="47" t="str">
        <x:v>validator</x:v>
      </x:c>
      <x:c r="F7" s="47" t="str">
        <x:v>gpt-5.6-sol-2026-07-09</x:v>
      </x:c>
      <x:c r="G7" s="47" t="n">
        <x:v>1</x:v>
      </x:c>
      <x:c r="H7" s="47" t="n">
        <x:v>200</x:v>
      </x:c>
      <x:c r="I7" s="47" t="str">
        <x:v>Ocp-Apim-Subscription-Key</x:v>
      </x:c>
      <x:c r="J7" s="92" t="n">
        <x:v>0</x:v>
      </x:c>
      <x:c r="K7" s="92" t="n">
        <x:v>8535.082</x:v>
      </x:c>
      <x:c r="L7" s="93" t="b">
        <x:v>0</x:v>
      </x:c>
      <x:c r="M7" s="47" t="str"/>
      <x:c r="N7" s="59" t="str"/>
      <x:c r="O7" s="59" t="str"/>
      <x:c r="P7" s="59" t="str"/>
    </x:row>
    <x:row r="8">
      <x:c r="A8" s="47" t="str">
        <x:v>EVT-000025</x:v>
      </x:c>
      <x:c r="B8" s="47" t="str">
        <x:v>RUN-TRF-079-20260813T153604669737Z</x:v>
      </x:c>
      <x:c r="C8" s="47" t="str">
        <x:v>TRF-079</x:v>
      </x:c>
      <x:c r="D8" s="91" t="n">
        <x:v>46247.650418495374</x:v>
      </x:c>
      <x:c r="E8" s="47" t="str">
        <x:v>validator</x:v>
      </x:c>
      <x:c r="F8" s="47" t="str">
        <x:v>gpt-5.6-sol-2026-07-09</x:v>
      </x:c>
      <x:c r="G8" s="47" t="n">
        <x:v>1</x:v>
      </x:c>
      <x:c r="H8" s="47" t="str">
        <x:v>COMPLETED</x:v>
      </x:c>
      <x:c r="I8" s="47" t="str"/>
      <x:c r="J8" s="92" t="n">
        <x:v>0</x:v>
      </x:c>
      <x:c r="K8" s="92" t="n">
        <x:v>8536.441</x:v>
      </x:c>
      <x:c r="L8" s="93" t="b">
        <x:v>0</x:v>
      </x:c>
      <x:c r="M8" s="47" t="str">
        <x:v>resp_0bcad15bb82a872d006a7de47bda7c81908af501c7c7b9727f</x:v>
      </x:c>
      <x:c r="N8" s="59" t="n">
        <x:v>5975</x:v>
      </x:c>
      <x:c r="O8" s="59" t="n">
        <x:v>484</x:v>
      </x:c>
      <x:c r="P8" s="59" t="n">
        <x:v>6459</x:v>
      </x:c>
    </x:row>
    <x:row r="9">
      <x:c r="A9" s="47" t="str">
        <x:v>EVT-000031</x:v>
      </x:c>
      <x:c r="B9" s="47" t="str">
        <x:v>RUN-TRF-079-20260813T153604669737Z</x:v>
      </x:c>
      <x:c r="C9" s="47" t="str">
        <x:v>TRF-079</x:v>
      </x:c>
      <x:c r="D9" s="91" t="n">
        <x:v>46247.650456435185</x:v>
      </x:c>
      <x:c r="E9" s="47" t="str">
        <x:v>vocabulary_matcher</x:v>
      </x:c>
      <x:c r="F9" s="47" t="str">
        <x:v>gpt-5.6-sol-2026-07-09</x:v>
      </x:c>
      <x:c r="G9" s="47" t="n">
        <x:v>1</x:v>
      </x:c>
      <x:c r="H9" s="47" t="n">
        <x:v>200</x:v>
      </x:c>
      <x:c r="I9" s="47" t="str">
        <x:v>Ocp-Apim-Subscription-Key</x:v>
      </x:c>
      <x:c r="J9" s="92" t="n">
        <x:v>0</x:v>
      </x:c>
      <x:c r="K9" s="92" t="n">
        <x:v>2471.799</x:v>
      </x:c>
      <x:c r="L9" s="93" t="b">
        <x:v>0</x:v>
      </x:c>
      <x:c r="M9" s="47" t="str"/>
      <x:c r="N9" s="59" t="str"/>
      <x:c r="O9" s="59" t="str"/>
      <x:c r="P9" s="59" t="str"/>
    </x:row>
    <x:row r="10">
      <x:c r="A10" s="49" t="str">
        <x:v>EVT-000032</x:v>
      </x:c>
      <x:c r="B10" s="49" t="str">
        <x:v>RUN-TRF-079-20260813T153604669737Z</x:v>
      </x:c>
      <x:c r="C10" s="49" t="str">
        <x:v>TRF-079</x:v>
      </x:c>
      <x:c r="D10" s="94" t="n">
        <x:v>46247.65045645833</x:v>
      </x:c>
      <x:c r="E10" s="49" t="str">
        <x:v>vocabulary_matcher</x:v>
      </x:c>
      <x:c r="F10" s="49" t="str">
        <x:v>gpt-5.6-sol-2026-07-09</x:v>
      </x:c>
      <x:c r="G10" s="49" t="n">
        <x:v>1</x:v>
      </x:c>
      <x:c r="H10" s="49" t="str">
        <x:v>COMPLETED</x:v>
      </x:c>
      <x:c r="I10" s="49" t="str"/>
      <x:c r="J10" s="95" t="n">
        <x:v>0</x:v>
      </x:c>
      <x:c r="K10" s="95" t="n">
        <x:v>2473.513</x:v>
      </x:c>
      <x:c r="L10" s="96" t="b">
        <x:v>0</x:v>
      </x:c>
      <x:c r="M10" s="49" t="str">
        <x:v>resp_0fa06060f1421901006a7de485179c819091376c509297c948</x:v>
      </x:c>
      <x:c r="N10" s="60" t="n">
        <x:v>1632</x:v>
      </x:c>
      <x:c r="O10" s="60" t="n">
        <x:v>97</x:v>
      </x:c>
      <x:c r="P10" s="60" t="n">
        <x:v>1729</x:v>
      </x:c>
    </x:row>
  </x:sheetData>
  <x:conditionalFormatting sqref="H5:H10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f8d9264296c34910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1" hidden="0" customWidth="1"/>
    <x:col min="7" max="7" width="46" hidden="0" customWidth="1"/>
    <x:col min="8" max="8" width="24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RUN-TRF-079-20260813T153604669737Z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RUN-TRF-079-20260813T153604669737Z</x:v>
      </x:c>
      <x:c r="B5" s="45" t="str">
        <x:v>TRF-079</x:v>
      </x:c>
      <x:c r="C5" s="45" t="str">
        <x:v>benchmarkEntity</x:v>
      </x:c>
      <x:c r="D5" s="46" t="str">
        <x:v>https://w3id.org/nltl-benchmark/vocab#benchmarkEntity</x:v>
      </x:c>
      <x:c r="E5" s="45" t="str">
        <x:v>Class</x:v>
      </x:c>
      <x:c r="F5" s="45" t="str"/>
      <x:c r="G5" s="45" t="str"/>
      <x:c r="H5" s="45" t="str"/>
      <x:c r="I5" s="46" t="str">
        <x:v>baseline target infrastructure; domain dependency of iceLoadCycleCoefficientK2</x:v>
      </x:c>
      <x:c r="J5" s="45" t="n">
        <x:v>0</x:v>
      </x:c>
    </x:row>
    <x:row r="6">
      <x:c r="A6" s="47" t="str">
        <x:v>RUN-TRF-079-20260813T153604669737Z</x:v>
      </x:c>
      <x:c r="B6" s="47" t="str">
        <x:v>TRF-079</x:v>
      </x:c>
      <x:c r="C6" s="47" t="str">
        <x:v>designIceThickness</x:v>
      </x:c>
      <x:c r="D6" s="48" t="str">
        <x:v>https://w3id.org/nltl-benchmark/vocab#designIceThickness</x:v>
      </x:c>
      <x:c r="E6" s="47" t="str">
        <x:v>QuantityProperty</x:v>
      </x:c>
      <x:c r="F6" s="47" t="str"/>
      <x:c r="G6" s="47" t="str">
        <x:v>http://qudt.org/schema/qudt/QuantityValue</x:v>
      </x:c>
      <x:c r="H6" s="47" t="str">
        <x:v>http://qudt.org/vocab/unit/M</x:v>
      </x:c>
      <x:c r="I6" s="48" t="str">
        <x:v>linked by the locked 313-requirement index</x:v>
      </x:c>
      <x:c r="J6" s="47" t="n">
        <x:v>0</x:v>
      </x:c>
    </x:row>
    <x:row r="7">
      <x:c r="A7" s="47" t="str">
        <x:v>RUN-TRF-079-20260813T153604669737Z</x:v>
      </x:c>
      <x:c r="B7" s="47" t="str">
        <x:v>TRF-079</x:v>
      </x:c>
      <x:c r="C7" s="47" t="str">
        <x:v>hasComponent</x:v>
      </x:c>
      <x:c r="D7" s="48" t="str">
        <x:v>https://w3id.org/nltl-benchmark/vocab#hasComponent</x:v>
      </x:c>
      <x:c r="E7" s="47" t="str">
        <x:v>ObjectProperty</x:v>
      </x:c>
      <x:c r="F7" s="47" t="str"/>
      <x:c r="G7" s="47" t="str">
        <x:v>https://w3id.org/nltl-benchmark/vocab#shipComponent</x:v>
      </x:c>
      <x:c r="H7" s="47" t="str"/>
      <x:c r="I7" s="48" t="str">
        <x:v>component-path dependency inferred from the linked term module</x:v>
      </x:c>
      <x:c r="J7" s="47" t="n">
        <x:v>0</x:v>
      </x:c>
    </x:row>
    <x:row r="8">
      <x:c r="A8" s="47" t="str">
        <x:v>RUN-TRF-079-20260813T153604669737Z</x:v>
      </x:c>
      <x:c r="B8" s="47" t="str">
        <x:v>TRF-079</x:v>
      </x:c>
      <x:c r="C8" s="47" t="str">
        <x:v>iceLoadCycleCoefficientK2</x:v>
      </x:c>
      <x:c r="D8" s="48" t="str">
        <x:v>https://w3id.org/nltl-benchmark/vocab#iceLoadCycleCoefficientK2</x:v>
      </x:c>
      <x:c r="E8" s="47" t="str">
        <x:v>QuantityProperty</x:v>
      </x:c>
      <x:c r="F8" s="47" t="str"/>
      <x:c r="G8" s="47" t="str">
        <x:v>http://qudt.org/schema/qudt/QuantityValue</x:v>
      </x:c>
      <x:c r="H8" s="47" t="str">
        <x:v>http://qudt.org/vocab/unit/UNITLESS</x:v>
      </x:c>
      <x:c r="I8" s="48" t="str">
        <x:v>linked by the locked 313-requirement index</x:v>
      </x:c>
      <x:c r="J8" s="47" t="n">
        <x:v>0</x:v>
      </x:c>
    </x:row>
    <x:row r="9">
      <x:c r="A9" s="47" t="str">
        <x:v>RUN-TRF-079-20260813T153604669737Z</x:v>
      </x:c>
      <x:c r="B9" s="47" t="str">
        <x:v>TRF-079</x:v>
      </x:c>
      <x:c r="C9" s="47" t="str">
        <x:v>propellerImmersionFunction</x:v>
      </x:c>
      <x:c r="D9" s="48" t="str">
        <x:v>https://w3id.org/nltl-benchmark/vocab#propellerImmersionFunction</x:v>
      </x:c>
      <x:c r="E9" s="47" t="str">
        <x:v>QuantityProperty</x:v>
      </x:c>
      <x:c r="F9" s="47" t="str"/>
      <x:c r="G9" s="47" t="str">
        <x:v>http://qudt.org/schema/qudt/QuantityValue</x:v>
      </x:c>
      <x:c r="H9" s="47" t="str">
        <x:v>http://qudt.org/vocab/unit/UNITLESS</x:v>
      </x:c>
      <x:c r="I9" s="48" t="str">
        <x:v>linked by the locked 313-requirement index</x:v>
      </x:c>
      <x:c r="J9" s="47" t="n">
        <x:v>0</x:v>
      </x:c>
    </x:row>
    <x:row r="10">
      <x:c r="A10" s="47" t="str">
        <x:v>RUN-TRF-079-20260813T153604669737Z</x:v>
      </x:c>
      <x:c r="B10" s="47" t="str">
        <x:v>TRF-079</x:v>
      </x:c>
      <x:c r="C10" s="47" t="str">
        <x:v>propellerShaftCentrelineDepth</x:v>
      </x:c>
      <x:c r="D10" s="48" t="str">
        <x:v>https://w3id.org/nltl-benchmark/vocab#propellerShaftCentrelineDepth</x:v>
      </x:c>
      <x:c r="E10" s="47" t="str">
        <x:v>QuantityProperty</x:v>
      </x:c>
      <x:c r="F10" s="47" t="str"/>
      <x:c r="G10" s="47" t="str">
        <x:v>http://qudt.org/schema/qudt/QuantityValue</x:v>
      </x:c>
      <x:c r="H10" s="47" t="str">
        <x:v>http://qudt.org/vocab/unit/M</x:v>
      </x:c>
      <x:c r="I10" s="48" t="str">
        <x:v>linked by the locked 313-requirement index</x:v>
      </x:c>
      <x:c r="J10" s="47" t="n">
        <x:v>0</x:v>
      </x:c>
    </x:row>
    <x:row r="11">
      <x:c r="A11" s="47" t="str">
        <x:v>RUN-TRF-079-20260813T153604669737Z</x:v>
      </x:c>
      <x:c r="B11" s="47" t="str">
        <x:v>TRF-079</x:v>
      </x:c>
      <x:c r="C11" s="47" t="str">
        <x:v>ship</x:v>
      </x:c>
      <x:c r="D11" s="48" t="str">
        <x:v>https://w3id.org/nltl-benchmark/vocab#ship</x:v>
      </x:c>
      <x:c r="E11" s="47" t="str">
        <x:v>Class</x:v>
      </x:c>
      <x:c r="F11" s="47" t="str"/>
      <x:c r="G11" s="47" t="str"/>
      <x:c r="H11" s="47" t="str"/>
      <x:c r="I11" s="48" t="str">
        <x:v>authoritative required owner class; authoritative requirement target owner; baseline target infrastructure; domain dependency of designIceThickness; domain dependency of propellerImmersionFunction; domain dependency of propellerShaftCentrelineDepth</x:v>
      </x:c>
      <x:c r="J11" s="47" t="n">
        <x:v>0</x:v>
      </x:c>
    </x:row>
    <x:row r="12">
      <x:c r="A12" s="49" t="str">
        <x:v>RUN-TRF-079-20260813T153604669737Z</x:v>
      </x:c>
      <x:c r="B12" s="49" t="str">
        <x:v>TRF-079</x:v>
      </x:c>
      <x:c r="C12" s="49" t="str">
        <x:v>shipComponent</x:v>
      </x:c>
      <x:c r="D12" s="50" t="str">
        <x:v>https://w3id.org/nltl-benchmark/vocab#shipComponent</x:v>
      </x:c>
      <x:c r="E12" s="49" t="str">
        <x:v>Class</x:v>
      </x:c>
      <x:c r="F12" s="49" t="str"/>
      <x:c r="G12" s="49" t="str"/>
      <x:c r="H12" s="49" t="str"/>
      <x:c r="I12" s="50" t="str">
        <x:v>component-path dependency inferred from the linked term module</x:v>
      </x:c>
      <x:c r="J12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c1ecc7e5b2484945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24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RUN-TRF-079-20260813T153604669737Z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RUN-TRF-079-20260813T153604669737Z</x:v>
      </x:c>
      <x:c r="B5" s="45" t="str">
        <x:v>TRF-079</x:v>
      </x:c>
      <x:c r="C5" s="45" t="str">
        <x:v>FS-CALC-02</x:v>
      </x:c>
      <x:c r="D5" s="45" t="str">
        <x:v>comparison_calculation</x:v>
      </x:c>
      <x:c r="E5" s="99" t="n">
        <x:v>0.105263</x:v>
      </x:c>
      <x:c r="F5" s="45" t="str">
        <x:v>calculation | comparison | formula | sparql</x:v>
      </x:c>
      <x:c r="G5" s="45" t="str">
        <x:v>synthetic-few-shot-not-benchmark-ground-truth</x:v>
      </x:c>
    </x:row>
    <x:row r="6">
      <x:c r="A6" s="49" t="str">
        <x:v>RUN-TRF-079-20260813T153604669737Z</x:v>
      </x:c>
      <x:c r="B6" s="49" t="str">
        <x:v>TRF-079</x:v>
      </x:c>
      <x:c r="C6" s="49" t="str">
        <x:v>FS-QTY-01</x:v>
      </x:c>
      <x:c r="D6" s="49" t="str">
        <x:v>qudt_quantity</x:v>
      </x:c>
      <x:c r="E6" s="100" t="n">
        <x:v>0.051282</x:v>
      </x:c>
      <x:c r="F6" s="49" t="str">
        <x:v>quantity | qudt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e979d06af60d4137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RUN-TRF-079-20260813T153604669737Z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69" t="str">
        <x:v>RUN-TRF-079-20260813T153604669737Z</x:v>
      </x:c>
      <x:c r="B5" s="69" t="str">
        <x:v>TRF-079</x:v>
      </x:c>
      <x:c r="C5" s="71" t="n">
        <x:v>1</x:v>
      </x:c>
      <x:c r="D5" s="72" t="b">
        <x:v>1</x:v>
      </x:c>
      <x:c r="E5" s="72" t="b">
        <x:v>1</x:v>
      </x:c>
      <x:c r="F5" s="72" t="b">
        <x:v>1</x:v>
      </x:c>
      <x:c r="G5" s="72" t="b">
        <x:v>1</x:v>
      </x:c>
      <x:c r="H5" s="72" t="b">
        <x:v>1</x:v>
      </x:c>
      <x:c r="I5" s="72" t="b">
        <x:v>1</x:v>
      </x:c>
      <x:c r="J5" s="72" t="b">
        <x:v>1</x:v>
      </x:c>
      <x:c r="K5" s="102" t="b">
        <x:v>1</x:v>
      </x:c>
      <x:c r="L5" s="73" t="str"/>
      <x:c r="M5" s="73" t="str"/>
      <x:c r="N5" s="73" t="str">
        <x:v>https://w3id.org/nltl-benchmark/vocab#designIceThickness | https://w3id.org/nltl-benchmark/vocab#iceLoadCycleCoefficientK2 | https://w3id.org/nltl-benchmark/vocab#propellerImmersionFunction | https://w3id.org/nltl-benchmark/vocab#propellerShaftCentrelineDepth | https://w3id.org/nltl-benchmark/vocab#ship</x:v>
      </x:c>
      <x:c r="O5" s="73" t="str"/>
      <x:c r="P5" s="73" t="str"/>
      <x:c r="Q5" s="73" t="str"/>
    </x:row>
  </x:sheetData>
  <x:pageMargins left="0.7" right="0.7" top="0.75" bottom="0.75" header="0.3" footer="0.3"/>
  <x:tableParts count="1">
    <x:tablePart xmlns:r="http://schemas.openxmlformats.org/officeDocument/2006/relationships" r:id="R270dffd3599048c6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8" hidden="0" customWidth="1"/>
    <x:col min="5" max="5" width="52" hidden="0" customWidth="1"/>
    <x:col min="6" max="6" width="17" hidden="0" customWidth="1"/>
    <x:col min="7" max="7" width="13" hidden="0" customWidth="1"/>
    <x:col min="8" max="8" width="40" hidden="0" customWidth="1"/>
    <x:col min="9" max="9" width="52" hidden="0" customWidth="1"/>
    <x:col min="10" max="10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RUN-TRF-079-20260813T153604669737Z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45" t="str">
        <x:v>RUN-TRF-079-20260813T153604669737Z</x:v>
      </x:c>
      <x:c r="B5" s="45" t="str">
        <x:v>TRF-079</x:v>
      </x:c>
      <x:c r="C5" s="58" t="n">
        <x:v>1</x:v>
      </x:c>
      <x:c r="D5" s="45" t="str">
        <x:v>matcher_search</x:v>
      </x:c>
      <x:c r="E5" s="46" t="str">
        <x:v>The candidate validates only the piecewise k2(f) equation and treats h0 and H_ice as presence-only values. Encode equation 6.16 as well: locate the canonical propeller-diameter D quantity term, require it on the ship with the canonical datatype/unit, and validate reported f against (h0 - H_ice)/(D/2) - 1 using a tolerance scaled from that expected result. Retain the piecewise k2 validation using the validated/reported f and its expected-result-scaled tolerance; ensure all operands are mandatory and guard invalid zero diameter.</x:v>
      </x:c>
      <x:c r="F5" s="58" t="n">
        <x:v>2</x:v>
      </x:c>
      <x:c r="G5" s="45" t="str"/>
      <x:c r="H5" s="45" t="str"/>
      <x:c r="I5" s="46" t="str"/>
      <x:c r="J5" s="46" t="str"/>
    </x:row>
    <x:row r="6">
      <x:c r="A6" s="49" t="str">
        <x:v>RUN-TRF-079-20260813T153604669737Z</x:v>
      </x:c>
      <x:c r="B6" s="49" t="str">
        <x:v>TRF-079</x:v>
      </x:c>
      <x:c r="C6" s="60" t="n">
        <x:v>1</x:v>
      </x:c>
      <x:c r="D6" s="49" t="str">
        <x:v>matcher_decision</x:v>
      </x:c>
      <x:c r="E6" s="50" t="str"/>
      <x:c r="F6" s="60" t="str"/>
      <x:c r="G6" s="96" t="b">
        <x:v>0</x:v>
      </x:c>
      <x:c r="H6" s="49" t="str"/>
      <x:c r="I6" s="50" t="str"/>
      <x:c r="J6" s="50" t="str">
        <x:v>No supplied candidate represents the required propeller-diameter D quantity with the necessary quantity range and length unit.</x:v>
      </x:c>
    </x:row>
  </x:sheetData>
  <x:pageMargins left="0.7" right="0.7" top="0.75" bottom="0.75" header="0.3" footer="0.3"/>
  <x:tableParts count="1">
    <x:tablePart xmlns:r="http://schemas.openxmlformats.org/officeDocument/2006/relationships" r:id="Rf5c662d5f76e4422"/>
  </x:tableParts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RUN-TRF-079-20260813T153604669737Z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RUN-TRF-079-20260813T153604669737Z</x:v>
      </x:c>
      <x:c r="B5" s="45" t="str">
        <x:v>TRF-079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d43b8cdcc85b495f82de679dc2b4af647800b6c3237db674648ad4e2194ca7a8</x:v>
      </x:c>
      <x:c r="G5" s="58" t="n">
        <x:v>12269</x:v>
      </x:c>
    </x:row>
    <x:row r="6">
      <x:c r="A6" s="47" t="str">
        <x:v>RUN-TRF-079-20260813T153604669737Z</x:v>
      </x:c>
      <x:c r="B6" s="47" t="str">
        <x:v>TRF-079</x:v>
      </x:c>
      <x:c r="C6" s="59"/>
      <x:c r="D6" s="47" t="str">
        <x:v>few_shot_selection</x:v>
      </x:c>
      <x:c r="E6" s="48" t="str">
        <x:v>artifacts/few_shots_selected.json</x:v>
      </x:c>
      <x:c r="F6" s="47" t="str">
        <x:v>59385158d6d9eef321ecdabc7aebc5177e1322710a1f237ae88ac618f239d7c4</x:v>
      </x:c>
      <x:c r="G6" s="59" t="n">
        <x:v>5365</x:v>
      </x:c>
    </x:row>
    <x:row r="7">
      <x:c r="A7" s="47" t="str">
        <x:v>RUN-TRF-079-20260813T153604669737Z</x:v>
      </x:c>
      <x:c r="B7" s="47" t="str">
        <x:v>TRF-079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525792ad01b94a8864174f2ee30a2ac12d0de4f20a32636af3f460d3ad113bf9</x:v>
      </x:c>
      <x:c r="G7" s="59" t="n">
        <x:v>24246</x:v>
      </x:c>
    </x:row>
    <x:row r="8">
      <x:c r="A8" s="47" t="str">
        <x:v>RUN-TRF-079-20260813T153604669737Z</x:v>
      </x:c>
      <x:c r="B8" s="47" t="str">
        <x:v>TRF-079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2ba05c5cce5a880d31a32053d9ba13b4010113f3e10f8dfd3881ea6d03a78cee</x:v>
      </x:c>
      <x:c r="G8" s="59" t="n">
        <x:v>4709</x:v>
      </x:c>
    </x:row>
    <x:row r="9">
      <x:c r="A9" s="47" t="str">
        <x:v>RUN-TRF-079-20260813T153604669737Z</x:v>
      </x:c>
      <x:c r="B9" s="47" t="str">
        <x:v>TRF-079</x:v>
      </x:c>
      <x:c r="C9" s="59" t="n">
        <x:v>1</x:v>
      </x:c>
      <x:c r="D9" s="47" t="str">
        <x:v>candidate_shape</x:v>
      </x:c>
      <x:c r="E9" s="48" t="str">
        <x:v>artifacts/attempt_01/candidate_shape.ttl</x:v>
      </x:c>
      <x:c r="F9" s="47" t="str">
        <x:v>407bdbb82369442d02ddc00c7b383385a37207d46084181093aedf5a495bf204</x:v>
      </x:c>
      <x:c r="G9" s="59" t="n">
        <x:v>4684</x:v>
      </x:c>
    </x:row>
    <x:row r="10">
      <x:c r="A10" s="47" t="str">
        <x:v>RUN-TRF-079-20260813T153604669737Z</x:v>
      </x:c>
      <x:c r="B10" s="47" t="str">
        <x:v>TRF-079</x:v>
      </x:c>
      <x:c r="C10" s="59" t="n">
        <x:v>1</x:v>
      </x:c>
      <x:c r="D10" s="47" t="str">
        <x:v>deterministic_validation</x:v>
      </x:c>
      <x:c r="E10" s="48" t="str">
        <x:v>artifacts/attempt_01/deterministic_validation.json</x:v>
      </x:c>
      <x:c r="F10" s="47" t="str">
        <x:v>5493c3e085e4ea1040dd0106218d239ab47f66468aa8bbca20d467807f631e93</x:v>
      </x:c>
      <x:c r="G10" s="59" t="n">
        <x:v>721</x:v>
      </x:c>
    </x:row>
    <x:row r="11">
      <x:c r="A11" s="47" t="str">
        <x:v>RUN-TRF-079-20260813T153604669737Z</x:v>
      </x:c>
      <x:c r="B11" s="47" t="str">
        <x:v>TRF-079</x:v>
      </x:c>
      <x:c r="C11" s="59" t="n">
        <x:v>1</x:v>
      </x:c>
      <x:c r="D11" s="47" t="str">
        <x:v>validator_prompt</x:v>
      </x:c>
      <x:c r="E11" s="48" t="str">
        <x:v>artifacts/attempt_01/validator_prompt_01.txt</x:v>
      </x:c>
      <x:c r="F11" s="47" t="str">
        <x:v>2e7020e534dfcca80fb1dfe61c8343a0aed5315f4db6e2e98a3bebc5c5062737</x:v>
      </x:c>
      <x:c r="G11" s="59" t="n">
        <x:v>22975</x:v>
      </x:c>
    </x:row>
    <x:row r="12">
      <x:c r="A12" s="47" t="str">
        <x:v>RUN-TRF-079-20260813T153604669737Z</x:v>
      </x:c>
      <x:c r="B12" s="47" t="str">
        <x:v>TRF-079</x:v>
      </x:c>
      <x:c r="C12" s="59" t="n">
        <x:v>1</x:v>
      </x:c>
      <x:c r="D12" s="47" t="str">
        <x:v>validator_raw_response</x:v>
      </x:c>
      <x:c r="E12" s="48" t="str">
        <x:v>artifacts/attempt_01/validator_raw_01.txt</x:v>
      </x:c>
      <x:c r="F12" s="47" t="str">
        <x:v>c64a230870549b759931afed0c0c68782b2565da58678569a1120628936518f9</x:v>
      </x:c>
      <x:c r="G12" s="59" t="n">
        <x:v>595</x:v>
      </x:c>
    </x:row>
    <x:row r="13">
      <x:c r="A13" s="47" t="str">
        <x:v>RUN-TRF-079-20260813T153604669737Z</x:v>
      </x:c>
      <x:c r="B13" s="47" t="str">
        <x:v>TRF-079</x:v>
      </x:c>
      <x:c r="C13" s="59" t="n">
        <x:v>1</x:v>
      </x:c>
      <x:c r="D13" s="47" t="str">
        <x:v>matcher_candidates</x:v>
      </x:c>
      <x:c r="E13" s="48" t="str">
        <x:v>artifacts/attempt_01/matcher_candidates.json</x:v>
      </x:c>
      <x:c r="F13" s="47" t="str">
        <x:v>24524a7c31e9dd7443809fbb141de16c746ad012baf9a18007c0a3bbc4f60ad2</x:v>
      </x:c>
      <x:c r="G13" s="59" t="n">
        <x:v>1154</x:v>
      </x:c>
    </x:row>
    <x:row r="14">
      <x:c r="A14" s="47" t="str">
        <x:v>RUN-TRF-079-20260813T153604669737Z</x:v>
      </x:c>
      <x:c r="B14" s="47" t="str">
        <x:v>TRF-079</x:v>
      </x:c>
      <x:c r="C14" s="59" t="n">
        <x:v>1</x:v>
      </x:c>
      <x:c r="D14" s="47" t="str">
        <x:v>vocabulary_matcher_prompt</x:v>
      </x:c>
      <x:c r="E14" s="48" t="str">
        <x:v>artifacts/attempt_01/vocabulary_matcher_prompt_01.txt</x:v>
      </x:c>
      <x:c r="F14" s="47" t="str">
        <x:v>e8d7cc3b1b36ccc1382ff102fb03cacab5c4e8bbab25d8f4c65a86a82b88768d</x:v>
      </x:c>
      <x:c r="G14" s="59" t="n">
        <x:v>5620</x:v>
      </x:c>
    </x:row>
    <x:row r="15">
      <x:c r="A15" s="49" t="str">
        <x:v>RUN-TRF-079-20260813T153604669737Z</x:v>
      </x:c>
      <x:c r="B15" s="49" t="str">
        <x:v>TRF-079</x:v>
      </x:c>
      <x:c r="C15" s="60" t="n">
        <x:v>1</x:v>
      </x:c>
      <x:c r="D15" s="49" t="str">
        <x:v>vocabulary_matcher_raw_response</x:v>
      </x:c>
      <x:c r="E15" s="50" t="str">
        <x:v>artifacts/attempt_01/vocabulary_matcher_raw_01.txt</x:v>
      </x:c>
      <x:c r="F15" s="49" t="str">
        <x:v>97894aa6f36630ccbb5adba1a3fbf833148b3c262919d046dd7237ed22e522de</x:v>
      </x:c>
      <x:c r="G15" s="60" t="n">
        <x:v>215</x:v>
      </x:c>
    </x:row>
  </x:sheetData>
  <x:pageMargins left="0.7" right="0.7" top="0.75" bottom="0.75" header="0.3" footer="0.3"/>
  <x:tableParts count="1">
    <x:tablePart xmlns:r="http://schemas.openxmlformats.org/officeDocument/2006/relationships" r:id="R503071f8aea84dae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4" hidden="0" customWidth="1"/>
    <x:col min="5" max="5" width="52" hidden="0" customWidth="1"/>
    <x:col min="6" max="6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RUN-TRF-079-20260813T153604669737Z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69" t="str">
        <x:v>RUN-TRF-079-20260813T153604669737Z</x:v>
      </x:c>
      <x:c r="B5" s="69" t="str">
        <x:v>TRF-079</x:v>
      </x:c>
      <x:c r="C5" s="71" t="n">
        <x:v>1</x:v>
      </x:c>
      <x:c r="D5" s="69" t="str">
        <x:v>TERM_RESOLUTION_UNRESOLVED</x:v>
      </x:c>
      <x:c r="E5" s="73" t="str">
        <x:v>No supplied candidate represents the required propeller-diameter D quantity with the necessary quantity range and length unit.</x:v>
      </x:c>
      <x:c r="F5" s="69" t="str">
        <x:v>OPEN</x:v>
      </x:c>
    </x:row>
  </x:sheetData>
  <x:conditionalFormatting sqref="F5:F5">
    <x:cfRule type="containsText" dxfId="42" priority="1" operator="containsText" text="ACCEPT"/>
    <x:cfRule type="containsText" dxfId="43" priority="2" operator="containsText" text="ELIGIBLE"/>
    <x:cfRule type="containsText" dxfId="44" priority="3" operator="containsText" text="PASS"/>
    <x:cfRule type="containsText" dxfId="45" priority="4" operator="containsText" text="GAP"/>
    <x:cfRule type="containsText" dxfId="46" priority="5" operator="containsText" text="FAIL"/>
    <x:cfRule type="containsText" dxfId="47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8c354d7b51da4551"/>
  </x:tableParts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RUN-TRF-079-20260813T153604669737Z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