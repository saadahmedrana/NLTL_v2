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ef1f84fde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9c827562334ab9"/>
    <x:sheet xmlns:r="http://schemas.openxmlformats.org/officeDocument/2006/relationships" name="README" sheetId="2" r:id="Rb2bae96627bd4b9b"/>
    <x:sheet xmlns:r="http://schemas.openxmlformats.org/officeDocument/2006/relationships" name="REGULATION_QUEUE" sheetId="3" r:id="R9881dac9e23b4685"/>
    <x:sheet xmlns:r="http://schemas.openxmlformats.org/officeDocument/2006/relationships" name="RUNS" sheetId="4" r:id="R7a70a63b6c3d43d1"/>
    <x:sheet xmlns:r="http://schemas.openxmlformats.org/officeDocument/2006/relationships" name="ITERATIONS" sheetId="5" r:id="R38b6cd33702d4031"/>
    <x:sheet xmlns:r="http://schemas.openxmlformats.org/officeDocument/2006/relationships" name="API_CALLS" sheetId="6" r:id="R7918ff4096a24f7f"/>
    <x:sheet xmlns:r="http://schemas.openxmlformats.org/officeDocument/2006/relationships" name="TERM_RETRIEVAL" sheetId="7" r:id="Rbc3d2b03fc37455d"/>
    <x:sheet xmlns:r="http://schemas.openxmlformats.org/officeDocument/2006/relationships" name="FEW_SHOT_SELECTION" sheetId="8" r:id="R345220c1555943ad"/>
    <x:sheet xmlns:r="http://schemas.openxmlformats.org/officeDocument/2006/relationships" name="VALIDATION" sheetId="9" r:id="R793aab57c3c44b7f"/>
    <x:sheet xmlns:r="http://schemas.openxmlformats.org/officeDocument/2006/relationships" name="VOCAB_MATCHES" sheetId="10" r:id="R273cca1e8d4c4457"/>
    <x:sheet xmlns:r="http://schemas.openxmlformats.org/officeDocument/2006/relationships" name="ARTIFACTS" sheetId="11" r:id="R647c2271b86d47bc"/>
    <x:sheet xmlns:r="http://schemas.openxmlformats.org/officeDocument/2006/relationships" name="UNRESOLVED" sheetId="12" r:id="R06b0cb58f6534294"/>
    <x:sheet xmlns:r="http://schemas.openxmlformats.org/officeDocument/2006/relationships" name="RDF_TEST_QUEUE" sheetId="13" r:id="R7092a3540c02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35c69217741db" /><Relationship Type="http://schemas.openxmlformats.org/officeDocument/2006/relationships/theme" Target="/xl/theme/theme1.xml" Id="Ra4b2bfdf58394c5f" /><Relationship Type="http://schemas.microsoft.com/office/2022/11/relationships/FeaturePropertyBag" Target="/xl/featurePropertyBag/featurePropertyBag.xml" Id="R7caa2354b4be43e6" /><Relationship Type="http://schemas.openxmlformats.org/officeDocument/2006/relationships/sharedStrings" Target="/xl/sharedStrings.xml" Id="R60f2555a28f14d73" /><Relationship Type="http://schemas.openxmlformats.org/officeDocument/2006/relationships/worksheet" Target="/xl/worksheets/sheet1.xml" Id="R929c827562334ab9" /><Relationship Type="http://schemas.openxmlformats.org/officeDocument/2006/relationships/worksheet" Target="/xl/worksheets/sheet2.xml" Id="Rb2bae96627bd4b9b" /><Relationship Type="http://schemas.openxmlformats.org/officeDocument/2006/relationships/worksheet" Target="/xl/worksheets/sheet3.xml" Id="R9881dac9e23b4685" /><Relationship Type="http://schemas.openxmlformats.org/officeDocument/2006/relationships/worksheet" Target="/xl/worksheets/sheet4.xml" Id="R7a70a63b6c3d43d1" /><Relationship Type="http://schemas.openxmlformats.org/officeDocument/2006/relationships/worksheet" Target="/xl/worksheets/sheet5.xml" Id="R38b6cd33702d4031" /><Relationship Type="http://schemas.openxmlformats.org/officeDocument/2006/relationships/worksheet" Target="/xl/worksheets/sheet6.xml" Id="R7918ff4096a24f7f" /><Relationship Type="http://schemas.openxmlformats.org/officeDocument/2006/relationships/worksheet" Target="/xl/worksheets/sheet7.xml" Id="Rbc3d2b03fc37455d" /><Relationship Type="http://schemas.openxmlformats.org/officeDocument/2006/relationships/worksheet" Target="/xl/worksheets/sheet8.xml" Id="R345220c1555943ad" /><Relationship Type="http://schemas.openxmlformats.org/officeDocument/2006/relationships/worksheet" Target="/xl/worksheets/sheet9.xml" Id="R793aab57c3c44b7f" /><Relationship Type="http://schemas.openxmlformats.org/officeDocument/2006/relationships/worksheet" Target="/xl/worksheets/sheet10.xml" Id="R273cca1e8d4c4457" /><Relationship Type="http://schemas.openxmlformats.org/officeDocument/2006/relationships/worksheet" Target="/xl/worksheets/sheet11.xml" Id="R647c2271b86d47bc" /><Relationship Type="http://schemas.openxmlformats.org/officeDocument/2006/relationships/worksheet" Target="/xl/worksheets/sheet12.xml" Id="R06b0cb58f6534294" /><Relationship Type="http://schemas.openxmlformats.org/officeDocument/2006/relationships/worksheet" Target="/xl/worksheets/sheet13.xml" Id="R7092a3540c0247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15316ba2694b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68c549a35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e3c4d15a7140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de454b7cd3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b3472c786445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f6b51a2e5249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262cdcdb864b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ffed6617a34e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cb16b015d549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18785b366541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39f1e2761c846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RUN-TRF-102-20260813T154739643115Z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24212.3587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RUN-TRF-102-20260813T154739643115Z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15316ba2694b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68c549a3544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RUN-TRF-102-20260813T154739643115Z</x:v>
      </x:c>
      <x:c r="C5" s="69" t="str">
        <x:v>TRF-102</x:v>
      </x:c>
      <x:c r="D5" s="70" t="n">
        <x:v>46247.658097719905</x:v>
      </x:c>
      <x:c r="E5" s="70" t="n">
        <x:v>46247.65951719908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formula-derived spindle torque constraint and the approved stress-analysis alternative with correct ship targeting, operands, formulas, tolerance handling,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3c4d15a7140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RUN-TRF-102-20260813T154739643115Z</x:v>
      </x:c>
      <x:c r="B5" s="45" t="str">
        <x:v>TRF-102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formula branch only constrains C_spex to be at least 0.3 and never computes it from EAR and Z, so arbitrary factor values pass and bladeExpandedAreaRatio is presence-only. Locate the canonical term for propeller blade count Z, require it on the ship with its canonical datatype/unit, and validate C_spex = max(0.3, 0.7*(1-((4*EAR)/Z)^3)) using tolerance scaled from that expected result. Then validate Q_sex = max(C_LE0.8, 0.8*C_TE0.8)*C_spex*F_ex with a separately expected-result-scaled tolerance. The stress-analysis alternative must also represent the directly determined maximum spindle torque using the supplied canonical maximumSpindleTorque term, not merely the presence of an approval record.</x:v>
      </x:c>
      <x:c r="I5" s="81" t="n">
        <x:v>49830.116</x:v>
      </x:c>
      <x:c r="J5" s="81" t="n">
        <x:v>21383.502</x:v>
      </x:c>
    </x:row>
    <x:row r="6">
      <x:c r="A6" s="49" t="str">
        <x:v>RUN-TRF-102-20260813T154739643115Z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formula-derived spindle torque constraint and the approved stress-analysis alternative with correct ship targeting, operands, formulas, tolerance handling, datatypes, and units.</x:v>
      </x:c>
      <x:c r="I6" s="83" t="n">
        <x:v>34103.903</x:v>
      </x:c>
      <x:c r="J6" s="83" t="n">
        <x:v>14256.428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e454b7cd340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RUN-TRF-102-20260813T154739643115Z</x:v>
      </x:c>
      <x:c r="C5" s="45" t="str">
        <x:v>TRF-102</x:v>
      </x:c>
      <x:c r="D5" s="90" t="n">
        <x:v>46247.65867445602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49828.245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RUN-TRF-102-20260813T154739643115Z</x:v>
      </x:c>
      <x:c r="C6" s="47" t="str">
        <x:v>TRF-102</x:v>
      </x:c>
      <x:c r="D6" s="91" t="n">
        <x:v>46247.658674479164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49830.116</x:v>
      </x:c>
      <x:c r="L6" s="93" t="b">
        <x:v>0</x:v>
      </x:c>
      <x:c r="M6" s="47" t="str">
        <x:v>resp_0674ab9ae5254f4c006a7de71bcbe881978b6ea3b327f0dd79</x:v>
      </x:c>
      <x:c r="N6" s="59" t="n">
        <x:v>7591</x:v>
      </x:c>
      <x:c r="O6" s="59" t="n">
        <x:v>4187</x:v>
      </x:c>
      <x:c r="P6" s="59" t="n">
        <x:v>11778</x:v>
      </x:c>
    </x:row>
    <x:row r="7">
      <x:c r="A7" s="47" t="str">
        <x:v>EVT-000029</x:v>
      </x:c>
      <x:c r="B7" s="47" t="str">
        <x:v>RUN-TRF-102-20260813T154739643115Z</x:v>
      </x:c>
      <x:c r="C7" s="47" t="str">
        <x:v>TRF-102</x:v>
      </x:c>
      <x:c r="D7" s="91" t="n">
        <x:v>46247.65892450231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21381.779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RUN-TRF-102-20260813T154739643115Z</x:v>
      </x:c>
      <x:c r="C8" s="47" t="str">
        <x:v>TRF-102</x:v>
      </x:c>
      <x:c r="D8" s="91" t="n">
        <x:v>46247.658924525465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21383.502</x:v>
      </x:c>
      <x:c r="L8" s="93" t="b">
        <x:v>0</x:v>
      </x:c>
      <x:c r="M8" s="47" t="str">
        <x:v>resp_0844ed67aa3179d5006a7de74ddf1c819390a6405c84037044</x:v>
      </x:c>
      <x:c r="N8" s="59" t="n">
        <x:v>8392</x:v>
      </x:c>
      <x:c r="O8" s="59" t="n">
        <x:v>1553</x:v>
      </x:c>
      <x:c r="P8" s="59" t="n">
        <x:v>9945</x:v>
      </x:c>
    </x:row>
    <x:row r="9">
      <x:c r="A9" s="47" t="str">
        <x:v>EVT-000036</x:v>
      </x:c>
      <x:c r="B9" s="47" t="str">
        <x:v>RUN-TRF-102-20260813T154739643115Z</x:v>
      </x:c>
      <x:c r="C9" s="47" t="str">
        <x:v>TRF-102</x:v>
      </x:c>
      <x:c r="D9" s="91" t="n">
        <x:v>46247.658954004626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1490.557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RUN-TRF-102-20260813T154739643115Z</x:v>
      </x:c>
      <x:c r="C10" s="47" t="str">
        <x:v>TRF-102</x:v>
      </x:c>
      <x:c r="D10" s="91" t="n">
        <x:v>46247.6589540162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1492.224</x:v>
      </x:c>
      <x:c r="L10" s="93" t="b">
        <x:v>0</x:v>
      </x:c>
      <x:c r="M10" s="47" t="str">
        <x:v>resp_0ee568844e19332f006a7de7644b888195b196fd633a374d81</x:v>
      </x:c>
      <x:c r="N10" s="59" t="n">
        <x:v>3154</x:v>
      </x:c>
      <x:c r="O10" s="59" t="n">
        <x:v>86</x:v>
      </x:c>
      <x:c r="P10" s="59" t="n">
        <x:v>3240</x:v>
      </x:c>
    </x:row>
    <x:row r="11">
      <x:c r="A11" s="47" t="str">
        <x:v>EVT-000058</x:v>
      </x:c>
      <x:c r="B11" s="47" t="str">
        <x:v>RUN-TRF-102-20260813T154739643115Z</x:v>
      </x:c>
      <x:c r="C11" s="47" t="str">
        <x:v>TRF-102</x:v>
      </x:c>
      <x:c r="D11" s="91" t="n">
        <x:v>46247.65934881944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34102.136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RUN-TRF-102-20260813T154739643115Z</x:v>
      </x:c>
      <x:c r="C12" s="47" t="str">
        <x:v>TRF-102</x:v>
      </x:c>
      <x:c r="D12" s="91" t="n">
        <x:v>46247.65934884259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34103.903</x:v>
      </x:c>
      <x:c r="L12" s="93" t="b">
        <x:v>0</x:v>
      </x:c>
      <x:c r="M12" s="47" t="str">
        <x:v>resp_0d268a49bb6f01c3006a7de7666e6081959b86795a3760167b</x:v>
      </x:c>
      <x:c r="N12" s="59" t="n">
        <x:v>8113</x:v>
      </x:c>
      <x:c r="O12" s="59" t="n">
        <x:v>3078</x:v>
      </x:c>
      <x:c r="P12" s="59" t="n">
        <x:v>11191</x:v>
      </x:c>
    </x:row>
    <x:row r="13">
      <x:c r="A13" s="47" t="str">
        <x:v>EVT-000066</x:v>
      </x:c>
      <x:c r="B13" s="47" t="str">
        <x:v>RUN-TRF-102-20260813T154739643115Z</x:v>
      </x:c>
      <x:c r="C13" s="47" t="str">
        <x:v>TRF-102</x:v>
      </x:c>
      <x:c r="D13" s="91" t="n">
        <x:v>46247.65951711805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14254.697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EVT-000067</x:v>
      </x:c>
      <x:c r="B14" s="49" t="str">
        <x:v>RUN-TRF-102-20260813T154739643115Z</x:v>
      </x:c>
      <x:c r="C14" s="49" t="str">
        <x:v>TRF-102</x:v>
      </x:c>
      <x:c r="D14" s="94" t="n">
        <x:v>46247.659517141205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14256.428</x:v>
      </x:c>
      <x:c r="L14" s="82" t="b">
        <x:v>0</x:v>
      </x:c>
      <x:c r="M14" s="49" t="str">
        <x:v>resp_07cb46365d8194cd006a7de788690481959175e75880346eb8</x:v>
      </x:c>
      <x:c r="N14" s="60" t="n">
        <x:v>9384</x:v>
      </x:c>
      <x:c r="O14" s="60" t="n">
        <x:v>734</x:v>
      </x:c>
      <x:c r="P14" s="60" t="n">
        <x:v>10118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b3472c786445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RUN-TRF-102-20260813T154739643115Z</x:v>
      </x:c>
      <x:c r="B5" s="45" t="str">
        <x:v>TRF-102</x:v>
      </x:c>
      <x:c r="C5" s="45" t="str">
        <x:v>approvalRecord</x:v>
      </x:c>
      <x:c r="D5" s="46" t="str">
        <x:v>https://w3id.org/nltl-benchmark/vocab#approvalRecord</x:v>
      </x:c>
      <x:c r="E5" s="45" t="str">
        <x:v>Class</x:v>
      </x:c>
      <x:c r="F5" s="45" t="str"/>
      <x:c r="G5" s="45" t="str">
        <x:v>https://w3id.org/nltl-benchmark/vocab#evidenceArtifact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RUN-TRF-102-20260813T154739643115Z</x:v>
      </x:c>
      <x:c r="B6" s="47" t="str">
        <x:v>TRF-102</x:v>
      </x:c>
      <x:c r="C6" s="47" t="str">
        <x:v>approvedSpindleTorqueStressAnalysis</x:v>
      </x:c>
      <x:c r="D6" s="48" t="str">
        <x:v>https://w3id.org/nltl-benchmark/vocab#approvedSpindleTorqueStressAnalysis</x:v>
      </x:c>
      <x:c r="E6" s="47" t="str">
        <x:v>ObjectProperty</x:v>
      </x:c>
      <x:c r="F6" s="47" t="str"/>
      <x:c r="G6" s="47" t="str">
        <x:v>https://w3id.org/nltl-benchmark/vocab#approvalRecord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RUN-TRF-102-20260813T154739643115Z</x:v>
      </x:c>
      <x:c r="B7" s="47" t="str">
        <x:v>TRF-102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</x:v>
      </x:c>
      <x:c r="J7" s="47" t="n">
        <x:v>0</x:v>
      </x:c>
    </x:row>
    <x:row r="8">
      <x:c r="A8" s="47" t="str">
        <x:v>RUN-TRF-102-20260813T154739643115Z</x:v>
      </x:c>
      <x:c r="B8" s="47" t="str">
        <x:v>TRF-102</x:v>
      </x:c>
      <x:c r="C8" s="47" t="str">
        <x:v>bladeExpandedAreaRatio</x:v>
      </x:c>
      <x:c r="D8" s="48" t="str">
        <x:v>https://w3id.org/nltl-benchmark/vocab#bladeExpandedAreaRatio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RUN-TRF-102-20260813T154739643115Z</x:v>
      </x:c>
      <x:c r="B9" s="47" t="str">
        <x:v>TRF-102</x:v>
      </x:c>
      <x:c r="C9" s="47" t="str">
        <x:v>bladeFailureSpindleTorque</x:v>
      </x:c>
      <x:c r="D9" s="48" t="str">
        <x:v>https://w3id.org/nltl-benchmark/vocab#bladeFailureSpindleTorque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RUN-TRF-102-20260813T154739643115Z</x:v>
      </x:c>
      <x:c r="B10" s="47" t="str">
        <x:v>TRF-102</x:v>
      </x:c>
      <x:c r="C10" s="47" t="str">
        <x:v>bladeFailureSpindleTorqueFactor</x:v>
      </x:c>
      <x:c r="D10" s="48" t="str">
        <x:v>https://w3id.org/nltl-benchmark/vocab#bladeFailureSpindleTorqueFactor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RUN-TRF-102-20260813T154739643115Z</x:v>
      </x:c>
      <x:c r="B11" s="47" t="str">
        <x:v>TRF-102</x:v>
      </x:c>
      <x:c r="C11" s="47" t="str">
        <x:v>extremeIceForce</x:v>
      </x:c>
      <x:c r="D11" s="48" t="str">
        <x:v>https://w3id.org/nltl-benchmark/vocab#extremeIceForce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RUN-TRF-102-20260813T154739643115Z</x:v>
      </x:c>
      <x:c r="B12" s="47" t="str">
        <x:v>TRF-102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RUN-TRF-102-20260813T154739643115Z</x:v>
      </x:c>
      <x:c r="B13" s="47" t="str">
        <x:v>TRF-102</x:v>
      </x:c>
      <x:c r="C13" s="47" t="str">
        <x:v>leadingEdgeChordPortionAtZeroPointEightRadius</x:v>
      </x:c>
      <x:c r="D13" s="48" t="str">
        <x:v>https://w3id.org/nltl-benchmark/vocab#leadingEdgeChordPortionAtZeroPointEightRadius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RUN-TRF-102-20260813T154739643115Z</x:v>
      </x:c>
      <x:c r="B14" s="47" t="str">
        <x:v>TRF-102</x:v>
      </x:c>
      <x:c r="C14" s="47" t="str">
        <x:v>maximumSpindleTorque</x:v>
      </x:c>
      <x:c r="D14" s="48" t="str">
        <x:v>https://w3id.org/nltl-benchmark/vocab#maximumSpindleTorque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RUN-TRF-102-20260813T154739643115Z</x:v>
      </x:c>
      <x:c r="B15" s="47" t="str">
        <x:v>TRF-102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5" s="47" t="n">
        <x:v>0</x:v>
      </x:c>
    </x:row>
    <x:row r="16">
      <x:c r="A16" s="47" t="str">
        <x:v>RUN-TRF-102-20260813T154739643115Z</x:v>
      </x:c>
      <x:c r="B16" s="47" t="str">
        <x:v>TRF-102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RUN-TRF-102-20260813T154739643115Z</x:v>
      </x:c>
      <x:c r="B17" s="47" t="str">
        <x:v>TRF-102</x:v>
      </x:c>
      <x:c r="C17" s="47" t="str">
        <x:v>trailingEdgeChordPortionAtZeroPointEightRadius</x:v>
      </x:c>
      <x:c r="D17" s="48" t="str">
        <x:v>https://w3id.org/nltl-benchmark/vocab#trailingEdgeChordPortionAtZeroPointEightRadius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RUN-TRF-102-20260813T154739643115Z</x:v>
      </x:c>
      <x:c r="B18" s="47" t="str">
        <x:v>TRF-102</x:v>
      </x:c>
      <x:c r="C18" s="47" t="str">
        <x:v>approvalRecord</x:v>
      </x:c>
      <x:c r="D18" s="48" t="str">
        <x:v>https://w3id.org/nltl-benchmark/vocab#approvalRecord</x:v>
      </x:c>
      <x:c r="E18" s="47" t="str">
        <x:v>Class</x:v>
      </x:c>
      <x:c r="F18" s="47" t="str"/>
      <x:c r="G18" s="47" t="str">
        <x:v>https://w3id.org/nltl-benchmark/vocab#evidenceArtifact</x:v>
      </x:c>
      <x:c r="H18" s="47" t="str"/>
      <x:c r="I18" s="48" t="str">
        <x:v>range dependency of approvedSpindleTorqueStressAnalysis</x:v>
      </x:c>
      <x:c r="J18" s="47" t="n">
        <x:v>2</x:v>
      </x:c>
    </x:row>
    <x:row r="19">
      <x:c r="A19" s="47" t="str">
        <x:v>RUN-TRF-102-20260813T154739643115Z</x:v>
      </x:c>
      <x:c r="B19" s="47" t="str">
        <x:v>TRF-102</x:v>
      </x:c>
      <x:c r="C19" s="47" t="str">
        <x:v>approvedSpindleTorqueStressAnalysis</x:v>
      </x:c>
      <x:c r="D19" s="48" t="str">
        <x:v>https://w3id.org/nltl-benchmark/vocab#approvedSpindleTorqueStressAnalysis</x:v>
      </x:c>
      <x:c r="E19" s="47" t="str">
        <x:v>ObjectProperty</x:v>
      </x:c>
      <x:c r="F19" s="47" t="str"/>
      <x:c r="G19" s="47" t="str">
        <x:v>https://w3id.org/nltl-benchmark/vocab#approvalRecord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RUN-TRF-102-20260813T154739643115Z</x:v>
      </x:c>
      <x:c r="B20" s="47" t="str">
        <x:v>TRF-102</x:v>
      </x:c>
      <x:c r="C20" s="47" t="str">
        <x:v>benchmarkEntity</x:v>
      </x:c>
      <x:c r="D20" s="48" t="str">
        <x:v>https://w3id.org/nltl-benchmark/vocab#benchmarkEntity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bladeFailureSpindleTorque; domain dependency of extremeIceForce; domain dependency of maximumSpindleTorque</x:v>
      </x:c>
      <x:c r="J20" s="47" t="n">
        <x:v>2</x:v>
      </x:c>
    </x:row>
    <x:row r="21">
      <x:c r="A21" s="47" t="str">
        <x:v>RUN-TRF-102-20260813T154739643115Z</x:v>
      </x:c>
      <x:c r="B21" s="47" t="str">
        <x:v>TRF-102</x:v>
      </x:c>
      <x:c r="C21" s="47" t="str">
        <x:v>bladeExpandedAreaRatio</x:v>
      </x:c>
      <x:c r="D21" s="48" t="str">
        <x:v>https://w3id.org/nltl-benchmark/vocab#bladeExpandedAreaRatio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RUN-TRF-102-20260813T154739643115Z</x:v>
      </x:c>
      <x:c r="B22" s="47" t="str">
        <x:v>TRF-102</x:v>
      </x:c>
      <x:c r="C22" s="47" t="str">
        <x:v>bladeFailureSpindleTorque</x:v>
      </x:c>
      <x:c r="D22" s="48" t="str">
        <x:v>https://w3id.org/nltl-benchmark/vocab#bladeFailureSpindleTorque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http://qudt.org/vocab/unit/KiloN-M</x:v>
      </x:c>
      <x:c r="I22" s="48" t="str">
        <x:v>linked by the locked 313-requirement index</x:v>
      </x:c>
      <x:c r="J22" s="47" t="n">
        <x:v>2</x:v>
      </x:c>
    </x:row>
    <x:row r="23">
      <x:c r="A23" s="47" t="str">
        <x:v>RUN-TRF-102-20260813T154739643115Z</x:v>
      </x:c>
      <x:c r="B23" s="47" t="str">
        <x:v>TRF-102</x:v>
      </x:c>
      <x:c r="C23" s="47" t="str">
        <x:v>bladeFailureSpindleTorqueFactor</x:v>
      </x:c>
      <x:c r="D23" s="48" t="str">
        <x:v>https://w3id.org/nltl-benchmark/vocab#bladeFailureSpindleTorqueFactor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RUN-TRF-102-20260813T154739643115Z</x:v>
      </x:c>
      <x:c r="B24" s="47" t="str">
        <x:v>TRF-102</x:v>
      </x:c>
      <x:c r="C24" s="47" t="str">
        <x:v>extremeIceForce</x:v>
      </x:c>
      <x:c r="D24" s="48" t="str">
        <x:v>https://w3id.org/nltl-benchmark/vocab#extremeIceForce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RUN-TRF-102-20260813T154739643115Z</x:v>
      </x:c>
      <x:c r="B25" s="47" t="str">
        <x:v>TRF-102</x:v>
      </x:c>
      <x:c r="C25" s="47" t="str">
        <x:v>hasComponent</x:v>
      </x:c>
      <x:c r="D25" s="48" t="str">
        <x:v>https://w3id.org/nltl-benchmark/vocab#hasComponent</x:v>
      </x:c>
      <x:c r="E25" s="47" t="str">
        <x:v>ObjectProperty</x:v>
      </x:c>
      <x:c r="F25" s="47" t="str"/>
      <x:c r="G25" s="47" t="str">
        <x:v>https://w3id.org/nltl-benchmark/vocab#shipComponent</x:v>
      </x:c>
      <x:c r="H25" s="47" t="str"/>
      <x:c r="I25" s="48" t="str">
        <x:v>component-path dependency inferred from the linked term module</x:v>
      </x:c>
      <x:c r="J25" s="47" t="n">
        <x:v>2</x:v>
      </x:c>
    </x:row>
    <x:row r="26">
      <x:c r="A26" s="47" t="str">
        <x:v>RUN-TRF-102-20260813T154739643115Z</x:v>
      </x:c>
      <x:c r="B26" s="47" t="str">
        <x:v>TRF-102</x:v>
      </x:c>
      <x:c r="C26" s="47" t="str">
        <x:v>leadingEdgeChordPortionAtZeroPointEightRadius</x:v>
      </x:c>
      <x:c r="D26" s="48" t="str">
        <x:v>https://w3id.org/nltl-benchmark/vocab#leadingEdgeChordPortionAtZeroPointEightRadius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RUN-TRF-102-20260813T154739643115Z</x:v>
      </x:c>
      <x:c r="B27" s="47" t="str">
        <x:v>TRF-102</x:v>
      </x:c>
      <x:c r="C27" s="47" t="str">
        <x:v>maximumSpindleTorque</x:v>
      </x:c>
      <x:c r="D27" s="48" t="str">
        <x:v>https://w3id.org/nltl-benchmark/vocab#maximumSpindleTorque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http://qudt.org/vocab/unit/KiloN-M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RUN-TRF-102-20260813T154739643115Z</x:v>
      </x:c>
      <x:c r="B28" s="47" t="str">
        <x:v>TRF-102</x:v>
      </x:c>
      <x:c r="C28" s="47" t="str">
        <x:v>propellerBladeCount</x:v>
      </x:c>
      <x:c r="D28" s="48" t="str">
        <x:v>https://w3id.org/nltl-benchmark/vocab#propellerBladeCount</x:v>
      </x:c>
      <x:c r="E28" s="47" t="str">
        <x:v>DatatypeProperty</x:v>
      </x:c>
      <x:c r="F28" s="47" t="str">
        <x:v>xsd:integer</x:v>
      </x:c>
      <x:c r="G28" s="47" t="str">
        <x:v>http://www.w3.org/2001/XMLSchema#integer</x:v>
      </x:c>
      <x:c r="H28" s="47" t="str"/>
      <x:c r="I28" s="48" t="str">
        <x:v>verified vocabulary-matcher addition</x:v>
      </x:c>
      <x:c r="J28" s="47" t="n">
        <x:v>2</x:v>
      </x:c>
    </x:row>
    <x:row r="29">
      <x:c r="A29" s="47" t="str">
        <x:v>RUN-TRF-102-20260813T154739643115Z</x:v>
      </x:c>
      <x:c r="B29" s="47" t="str">
        <x:v>TRF-102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29" s="47" t="n">
        <x:v>2</x:v>
      </x:c>
    </x:row>
    <x:row r="30">
      <x:c r="A30" s="47" t="str">
        <x:v>RUN-TRF-102-20260813T154739643115Z</x:v>
      </x:c>
      <x:c r="B30" s="47" t="str">
        <x:v>TRF-102</x:v>
      </x:c>
      <x:c r="C30" s="47" t="str">
        <x:v>shipComponent</x:v>
      </x:c>
      <x:c r="D30" s="48" t="str">
        <x:v>https://w3id.org/nltl-benchmark/vocab#shipComponent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9" t="str">
        <x:v>RUN-TRF-102-20260813T154739643115Z</x:v>
      </x:c>
      <x:c r="B31" s="49" t="str">
        <x:v>TRF-102</x:v>
      </x:c>
      <x:c r="C31" s="49" t="str">
        <x:v>trailingEdgeChordPortionAtZeroPointEightRadius</x:v>
      </x:c>
      <x:c r="D31" s="50" t="str">
        <x:v>https://w3id.org/nltl-benchmark/vocab#trailingEdgeChordPortionAtZeroPointEightRadius</x:v>
      </x:c>
      <x:c r="E31" s="49" t="str">
        <x:v>QuantityProperty</x:v>
      </x:c>
      <x:c r="F31" s="49" t="str"/>
      <x:c r="G31" s="49" t="str">
        <x:v>http://qudt.org/schema/qudt/QuantityValue</x:v>
      </x:c>
      <x:c r="H31" s="49" t="str">
        <x:v>http://qudt.org/vocab/unit/M</x:v>
      </x:c>
      <x:c r="I31" s="50" t="str">
        <x:v>linked by the locked 313-requirement index</x:v>
      </x:c>
      <x:c r="J31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3f6b51a2e5249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RUN-TRF-102-20260813T154739643115Z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RUN-TRF-102-20260813T154739643115Z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0.051282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RUN-TRF-102-20260813T154739643115Z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0.025316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62cdcdb864b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RUN-TRF-102-20260813T154739643115Z</x:v>
      </x:c>
      <x:c r="B5" s="45" t="str">
        <x:v>TRF-102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https://w3id.org/nltl-benchmark/vocab#approvalRecord | https://w3id.org/nltl-benchmark/vocab#approvedSpindleTorqueStressAnalysis | https://w3id.org/nltl-benchmark/vocab#bladeExpandedAreaRatio | https://w3id.org/nltl-benchmark/vocab#bladeFailureSpindleTorque | https://w3id.org/nltl-benchmark/vocab#bladeFailureSpindleTorqueFactor | https://w3id.org/nltl-benchmark/vocab#extremeIceForce | https://w3id.org/nltl-benchmark/vocab#leadingEdgeChordPortionAtZeroPointEightRadius | https://w3id.org/nltl-benchmark/vocab#ship | https://w3id.org/nltl-benchmark/vocab#trailingEdgeChordPortionAtZeroPointEightRadius</x:v>
      </x:c>
      <x:c r="O5" s="46" t="str"/>
      <x:c r="P5" s="46" t="str"/>
      <x:c r="Q5" s="46" t="str"/>
    </x:row>
    <x:row r="6">
      <x:c r="A6" s="49" t="str">
        <x:v>RUN-TRF-102-20260813T154739643115Z</x:v>
      </x:c>
      <x:c r="B6" s="49" t="str">
        <x:v>TRF-102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https://w3id.org/nltl-benchmark/vocab#approvalRecord | https://w3id.org/nltl-benchmark/vocab#approvedSpindleTorqueStressAnalysis | https://w3id.org/nltl-benchmark/vocab#bladeExpandedAreaRatio | https://w3id.org/nltl-benchmark/vocab#bladeFailureSpindleTorque | https://w3id.org/nltl-benchmark/vocab#bladeFailureSpindleTorqueFactor | https://w3id.org/nltl-benchmark/vocab#extremeIceForce | https://w3id.org/nltl-benchmark/vocab#leadingEdgeChordPortionAtZeroPointEightRadius | https://w3id.org/nltl-benchmark/vocab#maximumSpindleTorque | https://w3id.org/nltl-benchmark/vocab#propellerBladeCount | https://w3id.org/nltl-benchmark/vocab#ship | https://w3id.org/nltl-benchmark/vocab#trailingEdgeChordPortionAtZeroPointEightRadius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bffed6617a34e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RUN-TRF-102-20260813T154739643115Z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RUN-TRF-102-20260813T154739643115Z</x:v>
      </x:c>
      <x:c r="B5" s="45" t="str">
        <x:v>TRF-102</x:v>
      </x:c>
      <x:c r="C5" s="58" t="n">
        <x:v>1</x:v>
      </x:c>
      <x:c r="D5" s="45" t="str">
        <x:v>matcher_search</x:v>
      </x:c>
      <x:c r="E5" s="46" t="str">
        <x:v>The formula branch only constrains C_spex to be at least 0.3 and never computes it from EAR and Z, so arbitrary factor values pass and bladeExpandedAreaRatio is presence-only. Locate the canonical term for propeller blade count Z, require it on the ship with its canonical datatype/unit, and validate C_spex = max(0.3, 0.7*(1-((4*EAR)/Z)^3)) using tolerance scaled from that expected result. Then validate Q_sex = max(C_LE0.8, 0.8*C_TE0.8)*C_spex*F_ex with a separately expected-result-scaled tolerance. The stress-analysis alternative must also represent the directly determined maximum spindle torque using the supplied canonical maximumSpindleTorque term, not merely the presence of an approval record.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RUN-TRF-102-20260813T154739643115Z</x:v>
      </x:c>
      <x:c r="B6" s="49" t="str">
        <x:v>TRF-102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propellerBladeCount</x:v>
      </x:c>
      <x:c r="I6" s="50" t="str">
        <x:v>https://w3id.org/nltl-benchmark/vocab#propellerBladeCount</x:v>
      </x:c>
      <x:c r="J6" s="50" t="str">
        <x:v>Use this exact term because it canonically represents propeller blade count Z as an xsd:integer datatype property with no unit, matching the divisor required to compute C_spex on the ship.</x:v>
      </x:c>
    </x:row>
  </x:sheetData>
  <x:pageMargins left="0.7" right="0.7" top="0.75" bottom="0.75" header="0.3" footer="0.3"/>
  <x:tableParts count="1">
    <x:tablePart xmlns:r="http://schemas.openxmlformats.org/officeDocument/2006/relationships" r:id="R10cb16b015d549c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RUN-TRF-102-20260813T154739643115Z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RUN-TRF-102-20260813T154739643115Z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cd28842551dc75df4bbf90f867188c4ab5170382808a2dd1689ea6c3db6ebfe3</x:v>
      </x:c>
      <x:c r="G5" s="58" t="n">
        <x:v>18614</x:v>
      </x:c>
    </x:row>
    <x:row r="6">
      <x:c r="A6" s="47" t="str">
        <x:v>RUN-TRF-102-20260813T154739643115Z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8397959c03c0528f9b460c3e62878d934f336fe11d93b6bf14e049726f1c8c95</x:v>
      </x:c>
      <x:c r="G6" s="59" t="n">
        <x:v>5365</x:v>
      </x:c>
    </x:row>
    <x:row r="7">
      <x:c r="A7" s="47" t="str">
        <x:v>RUN-TRF-102-20260813T154739643115Z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532e5cc79dcccb369cba93c42517d1ba2553345e4d8eb655689e498e8884aca0</x:v>
      </x:c>
      <x:c r="G7" s="59" t="n">
        <x:v>30591</x:v>
      </x:c>
    </x:row>
    <x:row r="8">
      <x:c r="A8" s="47" t="str">
        <x:v>RUN-TRF-102-20260813T154739643115Z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41c34e998d4504c18daffcd0f18eddbc9145d9853a2f01eb6a05676d48ffb11b</x:v>
      </x:c>
      <x:c r="G8" s="59" t="n">
        <x:v>7486</x:v>
      </x:c>
    </x:row>
    <x:row r="9">
      <x:c r="A9" s="47" t="str">
        <x:v>RUN-TRF-102-20260813T154739643115Z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62a0af77f0d45d31bf60b514511afcfc761c04f929e037dca09b4784122064f5</x:v>
      </x:c>
      <x:c r="G9" s="59" t="n">
        <x:v>7461</x:v>
      </x:c>
    </x:row>
    <x:row r="10">
      <x:c r="A10" s="47" t="str">
        <x:v>RUN-TRF-102-20260813T154739643115Z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ec9d99c590fbbabf74372f2c70820e979053d04b19748dbd2dad50c667697d52</x:v>
      </x:c>
      <x:c r="G10" s="59" t="n">
        <x:v>1040</x:v>
      </x:c>
    </x:row>
    <x:row r="11">
      <x:c r="A11" s="47" t="str">
        <x:v>RUN-TRF-102-20260813T154739643115Z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d4d62120969f5f65444ed5eb1c6d94d2aceb9b8becf4a7d88aa1df586eb11f85</x:v>
      </x:c>
      <x:c r="G11" s="59" t="n">
        <x:v>34119</x:v>
      </x:c>
    </x:row>
    <x:row r="12">
      <x:c r="A12" s="47" t="str">
        <x:v>RUN-TRF-102-20260813T154739643115Z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15f1332298df5a4a8c3aec0e7c312f6ae9e1850d0410d46a11152ab65275e154</x:v>
      </x:c>
      <x:c r="G12" s="59" t="n">
        <x:v>768</x:v>
      </x:c>
    </x:row>
    <x:row r="13">
      <x:c r="A13" s="47" t="str">
        <x:v>RUN-TRF-102-20260813T154739643115Z</x:v>
      </x:c>
      <x:c r="B13" s="47" t="str">
        <x:v>TRF-102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0f2087d27bccb87cdbab46b5d34ef26f227161be57bfbe610934ac3a8ad8fcaf</x:v>
      </x:c>
      <x:c r="G13" s="59" t="n">
        <x:v>6481</x:v>
      </x:c>
    </x:row>
    <x:row r="14">
      <x:c r="A14" s="47" t="str">
        <x:v>RUN-TRF-102-20260813T154739643115Z</x:v>
      </x:c>
      <x:c r="B14" s="47" t="str">
        <x:v>TRF-102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3eac820d907611510287f4bbe03577399c3f168e96f8e5b9a201a7f15a8b37b1</x:v>
      </x:c>
      <x:c r="G14" s="59" t="n">
        <x:v>11776</x:v>
      </x:c>
    </x:row>
    <x:row r="15">
      <x:c r="A15" s="47" t="str">
        <x:v>RUN-TRF-102-20260813T154739643115Z</x:v>
      </x:c>
      <x:c r="B15" s="47" t="str">
        <x:v>TRF-102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c150ee5f557b461d4a16094fe0c4a8d0e78a026f9974d19c95fa7780fa08b6cf</x:v>
      </x:c>
      <x:c r="G15" s="59" t="n">
        <x:v>352</x:v>
      </x:c>
    </x:row>
    <x:row r="16">
      <x:c r="A16" s="47" t="str">
        <x:v>RUN-TRF-102-20260813T154739643115Z</x:v>
      </x:c>
      <x:c r="B16" s="47" t="str">
        <x:v>TRF-102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a0d61ec422dec0edc8e03aee7c7780bcbe181df4b038c4b7ffd98edc22f62675</x:v>
      </x:c>
      <x:c r="G16" s="59" t="n">
        <x:v>19759</x:v>
      </x:c>
    </x:row>
    <x:row r="17">
      <x:c r="A17" s="47" t="str">
        <x:v>RUN-TRF-102-20260813T154739643115Z</x:v>
      </x:c>
      <x:c r="B17" s="47" t="str">
        <x:v>TRF-102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75e295dd1945d082115382f213dfff6f7e4dfbd483f3b7cfe597d50161687aa4</x:v>
      </x:c>
      <x:c r="G17" s="59" t="n">
        <x:v>32734</x:v>
      </x:c>
    </x:row>
    <x:row r="18">
      <x:c r="A18" s="47" t="str">
        <x:v>RUN-TRF-102-20260813T154739643115Z</x:v>
      </x:c>
      <x:c r="B18" s="47" t="str">
        <x:v>TRF-102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4c584af6ac84f2f4a4bb975b2334b57d198db716af18c1dce53af0183b59a554</x:v>
      </x:c>
      <x:c r="G18" s="59" t="n">
        <x:v>9601</x:v>
      </x:c>
    </x:row>
    <x:row r="19">
      <x:c r="A19" s="47" t="str">
        <x:v>RUN-TRF-102-20260813T154739643115Z</x:v>
      </x:c>
      <x:c r="B19" s="47" t="str">
        <x:v>TRF-102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786c3154b8c71ffd3a783682bd089129510b65fc825cae0732a1e81278e24720</x:v>
      </x:c>
      <x:c r="G19" s="59" t="n">
        <x:v>9576</x:v>
      </x:c>
    </x:row>
    <x:row r="20">
      <x:c r="A20" s="47" t="str">
        <x:v>RUN-TRF-102-20260813T154739643115Z</x:v>
      </x:c>
      <x:c r="B20" s="47" t="str">
        <x:v>TRF-102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ad71cdb2893e1507d542cfe999e194d6f91e199e7b6051faa864d9e2db2862f9</x:v>
      </x:c>
      <x:c r="G20" s="59" t="n">
        <x:v>1171</x:v>
      </x:c>
    </x:row>
    <x:row r="21">
      <x:c r="A21" s="47" t="str">
        <x:v>RUN-TRF-102-20260813T154739643115Z</x:v>
      </x:c>
      <x:c r="B21" s="47" t="str">
        <x:v>TRF-102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03657b71d2ad0d1fb8e0004d621ce3eea98ea4bd0d1d7de91b7b325d334bc725</x:v>
      </x:c>
      <x:c r="G21" s="59" t="n">
        <x:v>38231</x:v>
      </x:c>
    </x:row>
    <x:row r="22">
      <x:c r="A22" s="47" t="str">
        <x:v>RUN-TRF-102-20260813T154739643115Z</x:v>
      </x:c>
      <x:c r="B22" s="47" t="str">
        <x:v>TRF-102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1b7835adcdfd96ba79457d94ed1fdb1fb6ebbc3240a448eb1dd181c6ffb0d975</x:v>
      </x:c>
      <x:c r="G22" s="59" t="n">
        <x:v>273</x:v>
      </x:c>
    </x:row>
    <x:row r="23">
      <x:c r="A23" s="49" t="str">
        <x:v>RUN-TRF-102-20260813T154739643115Z</x:v>
      </x:c>
      <x:c r="B23" s="49" t="str">
        <x:v>TRF-102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786c3154b8c71ffd3a783682bd089129510b65fc825cae0732a1e81278e24720</x:v>
      </x:c>
      <x:c r="G23" s="60" t="n">
        <x:v>9576</x:v>
      </x:c>
    </x:row>
  </x:sheetData>
  <x:pageMargins left="0.7" right="0.7" top="0.75" bottom="0.75" header="0.3" footer="0.3"/>
  <x:tableParts count="1">
    <x:tablePart xmlns:r="http://schemas.openxmlformats.org/officeDocument/2006/relationships" r:id="Rf318785b366541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RUN-TRF-102-20260813T154739643115Z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RUN-TRF-102-20260813T154739643115Z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RUN-TRF-102-20260813T154739643115Z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9f1e2761c8461b"/>
  </x:tableParts>
</x:worksheet>
</file>