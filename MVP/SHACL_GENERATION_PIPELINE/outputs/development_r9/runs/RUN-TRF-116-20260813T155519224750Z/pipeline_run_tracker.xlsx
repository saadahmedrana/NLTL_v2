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211014da9e14398" /></Relationships>
</file>

<file path=xl/workbook.xml><?xml version="1.0" encoding="utf-8"?>
<x:workbook xmlns:x="http://schemas.openxmlformats.org/spreadsheetml/2006/main">
  <x:sheets>
    <x:sheet xmlns:r="http://schemas.openxmlformats.org/officeDocument/2006/relationships" name="SUMMARY" sheetId="1" r:id="R113ba3ff59624156"/>
    <x:sheet xmlns:r="http://schemas.openxmlformats.org/officeDocument/2006/relationships" name="README" sheetId="2" r:id="R736ef6eec7ec48e5"/>
    <x:sheet xmlns:r="http://schemas.openxmlformats.org/officeDocument/2006/relationships" name="REGULATION_QUEUE" sheetId="3" r:id="Rf8c11c5b687d47e2"/>
    <x:sheet xmlns:r="http://schemas.openxmlformats.org/officeDocument/2006/relationships" name="RUNS" sheetId="4" r:id="Rb810b174f41f460f"/>
    <x:sheet xmlns:r="http://schemas.openxmlformats.org/officeDocument/2006/relationships" name="ITERATIONS" sheetId="5" r:id="Re3bac65b6cb34112"/>
    <x:sheet xmlns:r="http://schemas.openxmlformats.org/officeDocument/2006/relationships" name="API_CALLS" sheetId="6" r:id="R8708babd5a344586"/>
    <x:sheet xmlns:r="http://schemas.openxmlformats.org/officeDocument/2006/relationships" name="TERM_RETRIEVAL" sheetId="7" r:id="R14a374b60802416c"/>
    <x:sheet xmlns:r="http://schemas.openxmlformats.org/officeDocument/2006/relationships" name="FEW_SHOT_SELECTION" sheetId="8" r:id="Rb98ecd4345214dab"/>
    <x:sheet xmlns:r="http://schemas.openxmlformats.org/officeDocument/2006/relationships" name="VALIDATION" sheetId="9" r:id="R0060b04dcac84f48"/>
    <x:sheet xmlns:r="http://schemas.openxmlformats.org/officeDocument/2006/relationships" name="VOCAB_MATCHES" sheetId="10" r:id="R4927b28fc8a2487d"/>
    <x:sheet xmlns:r="http://schemas.openxmlformats.org/officeDocument/2006/relationships" name="ARTIFACTS" sheetId="11" r:id="Re7a72a8098aa4388"/>
    <x:sheet xmlns:r="http://schemas.openxmlformats.org/officeDocument/2006/relationships" name="UNRESOLVED" sheetId="12" r:id="R313db6038db04a30"/>
    <x:sheet xmlns:r="http://schemas.openxmlformats.org/officeDocument/2006/relationships" name="RDF_TEST_QUEUE" sheetId="13" r:id="R1bde701926c6468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2eab1496cd74e96" /><Relationship Type="http://schemas.openxmlformats.org/officeDocument/2006/relationships/theme" Target="/xl/theme/theme1.xml" Id="R8d34c84eb83949a3" /><Relationship Type="http://schemas.microsoft.com/office/2022/11/relationships/FeaturePropertyBag" Target="/xl/featurePropertyBag/featurePropertyBag.xml" Id="R79d0242ff85742ac" /><Relationship Type="http://schemas.openxmlformats.org/officeDocument/2006/relationships/sharedStrings" Target="/xl/sharedStrings.xml" Id="Re67f85fe358c49e2" /><Relationship Type="http://schemas.openxmlformats.org/officeDocument/2006/relationships/worksheet" Target="/xl/worksheets/sheet1.xml" Id="R113ba3ff59624156" /><Relationship Type="http://schemas.openxmlformats.org/officeDocument/2006/relationships/worksheet" Target="/xl/worksheets/sheet2.xml" Id="R736ef6eec7ec48e5" /><Relationship Type="http://schemas.openxmlformats.org/officeDocument/2006/relationships/worksheet" Target="/xl/worksheets/sheet3.xml" Id="Rf8c11c5b687d47e2" /><Relationship Type="http://schemas.openxmlformats.org/officeDocument/2006/relationships/worksheet" Target="/xl/worksheets/sheet4.xml" Id="Rb810b174f41f460f" /><Relationship Type="http://schemas.openxmlformats.org/officeDocument/2006/relationships/worksheet" Target="/xl/worksheets/sheet5.xml" Id="Re3bac65b6cb34112" /><Relationship Type="http://schemas.openxmlformats.org/officeDocument/2006/relationships/worksheet" Target="/xl/worksheets/sheet6.xml" Id="R8708babd5a344586" /><Relationship Type="http://schemas.openxmlformats.org/officeDocument/2006/relationships/worksheet" Target="/xl/worksheets/sheet7.xml" Id="R14a374b60802416c" /><Relationship Type="http://schemas.openxmlformats.org/officeDocument/2006/relationships/worksheet" Target="/xl/worksheets/sheet8.xml" Id="Rb98ecd4345214dab" /><Relationship Type="http://schemas.openxmlformats.org/officeDocument/2006/relationships/worksheet" Target="/xl/worksheets/sheet9.xml" Id="R0060b04dcac84f48" /><Relationship Type="http://schemas.openxmlformats.org/officeDocument/2006/relationships/worksheet" Target="/xl/worksheets/sheet10.xml" Id="R4927b28fc8a2487d" /><Relationship Type="http://schemas.openxmlformats.org/officeDocument/2006/relationships/worksheet" Target="/xl/worksheets/sheet11.xml" Id="Re7a72a8098aa4388" /><Relationship Type="http://schemas.openxmlformats.org/officeDocument/2006/relationships/worksheet" Target="/xl/worksheets/sheet12.xml" Id="R313db6038db04a30" /><Relationship Type="http://schemas.openxmlformats.org/officeDocument/2006/relationships/worksheet" Target="/xl/worksheets/sheet13.xml" Id="R1bde701926c6468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4"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5507bc38a1a47a4" /></Relationships>
</file>

<file path=xl/worksheets/_rels/sheet3.xml.rels>&#65279;<?xml version="1.0" encoding="utf-8"?><Relationships xmlns="http://schemas.openxmlformats.org/package/2006/relationships"><Relationship Type="http://schemas.openxmlformats.org/officeDocument/2006/relationships/table" Target="/xl/tables/table2.xml" Id="Rf51c87519f3c4ce6" /></Relationships>
</file>

<file path=xl/worksheets/_rels/sheet4.xml.rels>&#65279;<?xml version="1.0" encoding="utf-8"?><Relationships xmlns="http://schemas.openxmlformats.org/package/2006/relationships"><Relationship Type="http://schemas.openxmlformats.org/officeDocument/2006/relationships/table" Target="/xl/tables/table3.xml" Id="R7e0d246af0214aba" /></Relationships>
</file>

<file path=xl/worksheets/_rels/sheet5.xml.rels>&#65279;<?xml version="1.0" encoding="utf-8"?><Relationships xmlns="http://schemas.openxmlformats.org/package/2006/relationships"><Relationship Type="http://schemas.openxmlformats.org/officeDocument/2006/relationships/table" Target="/xl/tables/table4.xml" Id="R9fe123c4ba4b4f17" /></Relationships>
</file>

<file path=xl/worksheets/_rels/sheet6.xml.rels>&#65279;<?xml version="1.0" encoding="utf-8"?><Relationships xmlns="http://schemas.openxmlformats.org/package/2006/relationships"><Relationship Type="http://schemas.openxmlformats.org/officeDocument/2006/relationships/table" Target="/xl/tables/table5.xml" Id="R34c42730ccaf4163" /></Relationships>
</file>

<file path=xl/worksheets/_rels/sheet7.xml.rels>&#65279;<?xml version="1.0" encoding="utf-8"?><Relationships xmlns="http://schemas.openxmlformats.org/package/2006/relationships"><Relationship Type="http://schemas.openxmlformats.org/officeDocument/2006/relationships/table" Target="/xl/tables/table6.xml" Id="Re12c5f3b28bb4ee4" /></Relationships>
</file>

<file path=xl/worksheets/_rels/sheet8.xml.rels>&#65279;<?xml version="1.0" encoding="utf-8"?><Relationships xmlns="http://schemas.openxmlformats.org/package/2006/relationships"><Relationship Type="http://schemas.openxmlformats.org/officeDocument/2006/relationships/table" Target="/xl/tables/table7.xml" Id="Ra3a9afb12d6d4eda" /></Relationships>
</file>

<file path=xl/worksheets/_rels/sheet9.xml.rels>&#65279;<?xml version="1.0" encoding="utf-8"?><Relationships xmlns="http://schemas.openxmlformats.org/package/2006/relationships"><Relationship Type="http://schemas.openxmlformats.org/officeDocument/2006/relationships/table" Target="/xl/tables/table8.xml" Id="R4612244276e541ef" /></Relationships>
</file>

<file path=xl/worksheets/_rels/sheet11.xml.rels>&#65279;<?xml version="1.0" encoding="utf-8"?><Relationships xmlns="http://schemas.openxmlformats.org/package/2006/relationships"><Relationship Type="http://schemas.openxmlformats.org/officeDocument/2006/relationships/table" Target="/xl/tables/table9.xml" Id="Ra2da3a3370c94f49" /></Relationships>
</file>

<file path=xl/worksheets/_rels/sheet12.xml.rels>&#65279;<?xml version="1.0" encoding="utf-8"?><Relationships xmlns="http://schemas.openxmlformats.org/package/2006/relationships"><Relationship Type="http://schemas.openxmlformats.org/officeDocument/2006/relationships/table" Target="/xl/tables/table10.xml" Id="R7cf1e0a739e7426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RUN-TRF-116-20260813T155519224750Z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239</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COUNTA('API_CALLS'!$A$5:$A$16)</x:f>
        <x:v>12</x:v>
      </x:c>
      <x:c r="C9" s="21"/>
      <x:c r="D9" s="21"/>
    </x:row>
    <x:row r="10">
      <x:c r="A10" s="27" t="str">
        <x:v>Mean API/LLM elapsed ms</x:v>
      </x:c>
      <x:c r="B10" s="28" t="n">
        <x:f>IFERROR(AVERAGE('API_CALLS'!$K$5:$K$16),0)</x:f>
        <x:v>23745.603333333333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RUN-TRF-116-20260813T155519224750Z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5507bc38a1a47a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RUN-TRF-116-20260813T155519224750Z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MAX_ATTEMPTS_REACHED</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51c87519f3c4ce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RUN-TRF-116-20260813T155519224750Z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SESSION-BATCH-20260813T151944473992Z</x:v>
      </x:c>
      <x:c r="B5" s="69" t="str">
        <x:v>RUN-TRF-116-20260813T155519224750Z</x:v>
      </x:c>
      <x:c r="C5" s="69" t="str">
        <x:v>TRF-116</x:v>
      </x:c>
      <x:c r="D5" s="70" t="n">
        <x:v>46247.66341695602</x:v>
      </x:c>
      <x:c r="E5" s="70" t="n">
        <x:v>46247.66506987269</x:v>
      </x:c>
      <x:c r="F5" s="69" t="str">
        <x:v>0.9.0-dev-r9-foundation</x:v>
      </x:c>
      <x:c r="G5" s="69" t="str">
        <x:v>VOCAB-DEV-2026-08-13-R9-FOUNDATION</x:v>
      </x:c>
      <x:c r="H5" s="71" t="n">
        <x:v>3</x:v>
      </x:c>
      <x:c r="I5" s="69" t="str">
        <x:v>MAX_ATTEMPTS_REACHED</x:v>
      </x:c>
      <x:c r="J5" s="72" t="b">
        <x:v>0</x:v>
      </x:c>
      <x:c r="K5" s="69" t="str"/>
      <x:c r="L5" s="73" t="str">
        <x:v>Replace the presence-only quantity checks with a bounded formula constraint. The COMPLETE dependency contract requires nonHemisphericalImpactContactArea as the operand and designIceThickness as the result, both on the ship; the candidate instead treats equivalentImpactSphereRadius as the result and never validates the required equation. Compare the reported derived result against the expected formula value using tolerance scaled from the expected value, while retaining the required M2 and M units and avoiding exact decimal equality.</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e0d246af0214ab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RUN-TRF-116-20260813T155519224750Z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RUN-TRF-116-20260813T155519224750Z</x:v>
      </x:c>
      <x:c r="B5" s="45" t="str">
        <x:v>TRF-116</x:v>
      </x:c>
      <x:c r="C5" s="58" t="n">
        <x:v>1</x:v>
      </x:c>
      <x:c r="D5" s="83" t="b">
        <x:v>1</x:v>
      </x:c>
      <x:c r="E5" s="83" t="b">
        <x:v>0</x:v>
      </x:c>
      <x:c r="F5" s="83" t="b">
        <x:v>0</x:v>
      </x:c>
      <x:c r="G5" s="45" t="str">
        <x:v>REVISE</x:v>
      </x:c>
      <x:c r="H5" s="46" t="str">
        <x:v>Replace the presence-only quantity checks with a bounded formula-derived constraint. Follow the COMPLETE dependency contract exactly: use nonHemisphericalImpactContactArea as the operand and designIceThickness as the result, and implement the supplied comparison model/equation with the correct operands and direction. Compare the reported result against the expected formula value using a tolerance scaled from the expected value, not exact decimal equality or a tolerance based on the reported value. Do not treat equivalentImpactSphereRadius as the result unless the dependency contract is corrected upstream. Retain the ship target and the declared metre/square-metre quantity validation, preferably constraining each quantity to one numeric value and one unit.</x:v>
      </x:c>
      <x:c r="I5" s="84" t="n">
        <x:v>29436.991</x:v>
      </x:c>
      <x:c r="J5" s="84" t="n">
        <x:v>9121.096</x:v>
      </x:c>
    </x:row>
    <x:row r="6">
      <x:c r="A6" s="47" t="str">
        <x:v>RUN-TRF-116-20260813T155519224750Z</x:v>
      </x:c>
      <x:c r="B6" s="47" t="str">
        <x:v>TRF-116</x:v>
      </x:c>
      <x:c r="C6" s="59" t="n">
        <x:v>2</x:v>
      </x:c>
      <x:c r="D6" s="85" t="b">
        <x:v>1</x:v>
      </x:c>
      <x:c r="E6" s="85" t="b">
        <x:v>0</x:v>
      </x:c>
      <x:c r="F6" s="85" t="b">
        <x:v>0</x:v>
      </x:c>
      <x:c r="G6" s="47" t="str">
        <x:v>REVISE</x:v>
      </x:c>
      <x:c r="H6" s="48" t="str">
        <x:v>Reject and regenerate the model/shape using the supplied nltl:equivalentImpactSphereRadius as the derived result; designIceThickness is not the equivalent impact sphere radius, so the COMPLETE dependency contract also requires correction. Encode applicability to evidenced non-hemispherical impacts rather than requiring the formula inputs on every ship, and use only the verified equation rather than an unsupported inferred formula. If sqrt(A/pi) is verified, compare the reported radius against tolerance bounds scaled from that expected result and detect both upper and lower deviations; the current near-zero branch misses lower-side errors and can accidentally pass. All needed candidate terms are already supplied, so no vocabulary matcher is required.</x:v>
      </x:c>
      <x:c r="I6" s="86" t="n">
        <x:v>31738.912</x:v>
      </x:c>
      <x:c r="J6" s="86" t="n">
        <x:v>24052.991</x:v>
      </x:c>
    </x:row>
    <x:row r="7">
      <x:c r="A7" s="49" t="str">
        <x:v>RUN-TRF-116-20260813T155519224750Z</x:v>
      </x:c>
      <x:c r="B7" s="49" t="str">
        <x:v>TRF-116</x:v>
      </x:c>
      <x:c r="C7" s="60" t="n">
        <x:v>3</x:v>
      </x:c>
      <x:c r="D7" s="87" t="b">
        <x:v>1</x:v>
      </x:c>
      <x:c r="E7" s="87" t="b">
        <x:v>0</x:v>
      </x:c>
      <x:c r="F7" s="87" t="b">
        <x:v>0</x:v>
      </x:c>
      <x:c r="G7" s="49" t="str">
        <x:v>REVISE</x:v>
      </x:c>
      <x:c r="H7" s="50" t="str">
        <x:v>Replace the presence-only quantity checks with a bounded formula constraint. The COMPLETE dependency contract requires nonHemisphericalImpactContactArea as the operand and designIceThickness as the result, both on the ship; the candidate instead treats equivalentImpactSphereRadius as the result and never validates the required equation. Compare the reported derived result against the expected formula value using tolerance scaled from the expected value, while retaining the required M2 and M units and avoiding exact decimal equality.</x:v>
      </x:c>
      <x:c r="I7" s="88" t="n">
        <x:v>38805.301</x:v>
      </x:c>
      <x:c r="J7" s="88" t="n">
        <x:v>9323.111</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fe123c4ba4b4f1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RUN-TRF-116-20260813T155519224750Z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EVT-000017</x:v>
      </x:c>
      <x:c r="B5" s="45" t="str">
        <x:v>RUN-TRF-116-20260813T155519224750Z</x:v>
      </x:c>
      <x:c r="C5" s="45" t="str">
        <x:v>TRF-116</x:v>
      </x:c>
      <x:c r="D5" s="92" t="n">
        <x:v>46247.663757662034</x:v>
      </x:c>
      <x:c r="E5" s="45" t="str">
        <x:v>generator</x:v>
      </x:c>
      <x:c r="F5" s="45" t="str">
        <x:v>gpt-5.6-sol-2026-07-09</x:v>
      </x:c>
      <x:c r="G5" s="45" t="n">
        <x:v>1</x:v>
      </x:c>
      <x:c r="H5" s="45" t="n">
        <x:v>200</x:v>
      </x:c>
      <x:c r="I5" s="45" t="str">
        <x:v>Ocp-Apim-Subscription-Key</x:v>
      </x:c>
      <x:c r="J5" s="84" t="n">
        <x:v>0</x:v>
      </x:c>
      <x:c r="K5" s="84" t="n">
        <x:v>29435.542</x:v>
      </x:c>
      <x:c r="L5" s="83" t="b">
        <x:v>0</x:v>
      </x:c>
      <x:c r="M5" s="45" t="str"/>
      <x:c r="N5" s="58" t="str"/>
      <x:c r="O5" s="58" t="str"/>
      <x:c r="P5" s="58" t="str"/>
    </x:row>
    <x:row r="6">
      <x:c r="A6" s="47" t="str">
        <x:v>EVT-000018</x:v>
      </x:c>
      <x:c r="B6" s="47" t="str">
        <x:v>RUN-TRF-116-20260813T155519224750Z</x:v>
      </x:c>
      <x:c r="C6" s="47" t="str">
        <x:v>TRF-116</x:v>
      </x:c>
      <x:c r="D6" s="93" t="n">
        <x:v>46247.663757685186</x:v>
      </x:c>
      <x:c r="E6" s="47" t="str">
        <x:v>generator</x:v>
      </x:c>
      <x:c r="F6" s="47" t="str">
        <x:v>gpt-5.6-sol-2026-07-09</x:v>
      </x:c>
      <x:c r="G6" s="47" t="n">
        <x:v>1</x:v>
      </x:c>
      <x:c r="H6" s="47" t="str">
        <x:v>COMPLETED</x:v>
      </x:c>
      <x:c r="I6" s="47" t="str"/>
      <x:c r="J6" s="86" t="n">
        <x:v>0</x:v>
      </x:c>
      <x:c r="K6" s="86" t="n">
        <x:v>29436.991</x:v>
      </x:c>
      <x:c r="L6" s="85" t="b">
        <x:v>0</x:v>
      </x:c>
      <x:c r="M6" s="47" t="str">
        <x:v>resp_0acbdcf04889f01e006a7de8e779e081938e5f0267daf62a33</x:v>
      </x:c>
      <x:c r="N6" s="59" t="n">
        <x:v>6023</x:v>
      </x:c>
      <x:c r="O6" s="59" t="n">
        <x:v>1985</x:v>
      </x:c>
      <x:c r="P6" s="59" t="n">
        <x:v>8008</x:v>
      </x:c>
    </x:row>
    <x:row r="7">
      <x:c r="A7" s="47" t="str">
        <x:v>EVT-000025</x:v>
      </x:c>
      <x:c r="B7" s="47" t="str">
        <x:v>RUN-TRF-116-20260813T155519224750Z</x:v>
      </x:c>
      <x:c r="C7" s="47" t="str">
        <x:v>TRF-116</x:v>
      </x:c>
      <x:c r="D7" s="93" t="n">
        <x:v>46247.6638643287</x:v>
      </x:c>
      <x:c r="E7" s="47" t="str">
        <x:v>validator</x:v>
      </x:c>
      <x:c r="F7" s="47" t="str">
        <x:v>gpt-5.6-sol-2026-07-09</x:v>
      </x:c>
      <x:c r="G7" s="47" t="n">
        <x:v>1</x:v>
      </x:c>
      <x:c r="H7" s="47" t="n">
        <x:v>200</x:v>
      </x:c>
      <x:c r="I7" s="47" t="str">
        <x:v>Ocp-Apim-Subscription-Key</x:v>
      </x:c>
      <x:c r="J7" s="86" t="n">
        <x:v>0</x:v>
      </x:c>
      <x:c r="K7" s="86" t="n">
        <x:v>9119.743</x:v>
      </x:c>
      <x:c r="L7" s="85" t="b">
        <x:v>0</x:v>
      </x:c>
      <x:c r="M7" s="47" t="str"/>
      <x:c r="N7" s="59" t="str"/>
      <x:c r="O7" s="59" t="str"/>
      <x:c r="P7" s="59" t="str"/>
    </x:row>
    <x:row r="8">
      <x:c r="A8" s="47" t="str">
        <x:v>EVT-000026</x:v>
      </x:c>
      <x:c r="B8" s="47" t="str">
        <x:v>RUN-TRF-116-20260813T155519224750Z</x:v>
      </x:c>
      <x:c r="C8" s="47" t="str">
        <x:v>TRF-116</x:v>
      </x:c>
      <x:c r="D8" s="93" t="n">
        <x:v>46247.66386434028</x:v>
      </x:c>
      <x:c r="E8" s="47" t="str">
        <x:v>validator</x:v>
      </x:c>
      <x:c r="F8" s="47" t="str">
        <x:v>gpt-5.6-sol-2026-07-09</x:v>
      </x:c>
      <x:c r="G8" s="47" t="n">
        <x:v>1</x:v>
      </x:c>
      <x:c r="H8" s="47" t="str">
        <x:v>COMPLETED</x:v>
      </x:c>
      <x:c r="I8" s="47" t="str"/>
      <x:c r="J8" s="86" t="n">
        <x:v>0</x:v>
      </x:c>
      <x:c r="K8" s="86" t="n">
        <x:v>9121.096</x:v>
      </x:c>
      <x:c r="L8" s="85" t="b">
        <x:v>0</x:v>
      </x:c>
      <x:c r="M8" s="47" t="str">
        <x:v>resp_068fbde79d6fd569006a7de904e8188196866862ba496e8be5</x:v>
      </x:c>
      <x:c r="N8" s="59" t="n">
        <x:v>5119</x:v>
      </x:c>
      <x:c r="O8" s="59" t="n">
        <x:v>538</x:v>
      </x:c>
      <x:c r="P8" s="59" t="n">
        <x:v>5657</x:v>
      </x:c>
    </x:row>
    <x:row r="9">
      <x:c r="A9" s="47" t="str">
        <x:v>EVT-000031</x:v>
      </x:c>
      <x:c r="B9" s="47" t="str">
        <x:v>RUN-TRF-116-20260813T155519224750Z</x:v>
      </x:c>
      <x:c r="C9" s="47" t="str">
        <x:v>TRF-116</x:v>
      </x:c>
      <x:c r="D9" s="93" t="n">
        <x:v>46247.664231724535</x:v>
      </x:c>
      <x:c r="E9" s="47" t="str">
        <x:v>generator</x:v>
      </x:c>
      <x:c r="F9" s="47" t="str">
        <x:v>gpt-5.6-sol-2026-07-09</x:v>
      </x:c>
      <x:c r="G9" s="47" t="n">
        <x:v>1</x:v>
      </x:c>
      <x:c r="H9" s="47" t="n">
        <x:v>200</x:v>
      </x:c>
      <x:c r="I9" s="47" t="str">
        <x:v>Ocp-Apim-Subscription-Key</x:v>
      </x:c>
      <x:c r="J9" s="86" t="n">
        <x:v>0</x:v>
      </x:c>
      <x:c r="K9" s="86" t="n">
        <x:v>31737.144</x:v>
      </x:c>
      <x:c r="L9" s="85" t="b">
        <x:v>0</x:v>
      </x:c>
      <x:c r="M9" s="47" t="str"/>
      <x:c r="N9" s="59" t="str"/>
      <x:c r="O9" s="59" t="str"/>
      <x:c r="P9" s="59" t="str"/>
    </x:row>
    <x:row r="10">
      <x:c r="A10" s="47" t="str">
        <x:v>EVT-000032</x:v>
      </x:c>
      <x:c r="B10" s="47" t="str">
        <x:v>RUN-TRF-116-20260813T155519224750Z</x:v>
      </x:c>
      <x:c r="C10" s="47" t="str">
        <x:v>TRF-116</x:v>
      </x:c>
      <x:c r="D10" s="93" t="n">
        <x:v>46247.66423174769</x:v>
      </x:c>
      <x:c r="E10" s="47" t="str">
        <x:v>generator</x:v>
      </x:c>
      <x:c r="F10" s="47" t="str">
        <x:v>gpt-5.6-sol-2026-07-09</x:v>
      </x:c>
      <x:c r="G10" s="47" t="n">
        <x:v>1</x:v>
      </x:c>
      <x:c r="H10" s="47" t="str">
        <x:v>COMPLETED</x:v>
      </x:c>
      <x:c r="I10" s="47" t="str"/>
      <x:c r="J10" s="86" t="n">
        <x:v>0</x:v>
      </x:c>
      <x:c r="K10" s="86" t="n">
        <x:v>31738.912</x:v>
      </x:c>
      <x:c r="L10" s="85" t="b">
        <x:v>0</x:v>
      </x:c>
      <x:c r="M10" s="47" t="str">
        <x:v>resp_0159d96314a3c0e3006a7de90e0e588195b3bcdc461a29843b</x:v>
      </x:c>
      <x:c r="N10" s="59" t="n">
        <x:v>6156</x:v>
      </x:c>
      <x:c r="O10" s="59" t="n">
        <x:v>2377</x:v>
      </x:c>
      <x:c r="P10" s="59" t="n">
        <x:v>8533</x:v>
      </x:c>
    </x:row>
    <x:row r="11">
      <x:c r="A11" s="47" t="str">
        <x:v>EVT-000039</x:v>
      </x:c>
      <x:c r="B11" s="47" t="str">
        <x:v>RUN-TRF-116-20260813T155519224750Z</x:v>
      </x:c>
      <x:c r="C11" s="47" t="str">
        <x:v>TRF-116</x:v>
      </x:c>
      <x:c r="D11" s="93" t="n">
        <x:v>46247.664511435185</x:v>
      </x:c>
      <x:c r="E11" s="47" t="str">
        <x:v>validator</x:v>
      </x:c>
      <x:c r="F11" s="47" t="str">
        <x:v>gpt-5.6-sol-2026-07-09</x:v>
      </x:c>
      <x:c r="G11" s="47" t="n">
        <x:v>1</x:v>
      </x:c>
      <x:c r="H11" s="47" t="n">
        <x:v>200</x:v>
      </x:c>
      <x:c r="I11" s="47" t="str">
        <x:v>Ocp-Apim-Subscription-Key</x:v>
      </x:c>
      <x:c r="J11" s="86" t="n">
        <x:v>0</x:v>
      </x:c>
      <x:c r="K11" s="86" t="n">
        <x:v>24051.253</x:v>
      </x:c>
      <x:c r="L11" s="85" t="b">
        <x:v>0</x:v>
      </x:c>
      <x:c r="M11" s="47" t="str"/>
      <x:c r="N11" s="59" t="str"/>
      <x:c r="O11" s="59" t="str"/>
      <x:c r="P11" s="59" t="str"/>
    </x:row>
    <x:row r="12">
      <x:c r="A12" s="47" t="str">
        <x:v>EVT-000040</x:v>
      </x:c>
      <x:c r="B12" s="47" t="str">
        <x:v>RUN-TRF-116-20260813T155519224750Z</x:v>
      </x:c>
      <x:c r="C12" s="47" t="str">
        <x:v>TRF-116</x:v>
      </x:c>
      <x:c r="D12" s="93" t="n">
        <x:v>46247.66451145833</x:v>
      </x:c>
      <x:c r="E12" s="47" t="str">
        <x:v>validator</x:v>
      </x:c>
      <x:c r="F12" s="47" t="str">
        <x:v>gpt-5.6-sol-2026-07-09</x:v>
      </x:c>
      <x:c r="G12" s="47" t="n">
        <x:v>1</x:v>
      </x:c>
      <x:c r="H12" s="47" t="str">
        <x:v>COMPLETED</x:v>
      </x:c>
      <x:c r="I12" s="47" t="str"/>
      <x:c r="J12" s="86" t="n">
        <x:v>0</x:v>
      </x:c>
      <x:c r="K12" s="86" t="n">
        <x:v>24052.991</x:v>
      </x:c>
      <x:c r="L12" s="85" t="b">
        <x:v>0</x:v>
      </x:c>
      <x:c r="M12" s="47" t="str">
        <x:v>resp_02107b0804ecb9a9006a7de92de2d88194ae7cdd11d73407dc</x:v>
      </x:c>
      <x:c r="N12" s="59" t="n">
        <x:v>5308</x:v>
      </x:c>
      <x:c r="O12" s="59" t="n">
        <x:v>1688</x:v>
      </x:c>
      <x:c r="P12" s="59" t="n">
        <x:v>6996</x:v>
      </x:c>
    </x:row>
    <x:row r="13">
      <x:c r="A13" s="47" t="str">
        <x:v>EVT-000045</x:v>
      </x:c>
      <x:c r="B13" s="47" t="str">
        <x:v>RUN-TRF-116-20260813T155519224750Z</x:v>
      </x:c>
      <x:c r="C13" s="47" t="str">
        <x:v>TRF-116</x:v>
      </x:c>
      <x:c r="D13" s="93" t="n">
        <x:v>46247.664960752314</x:v>
      </x:c>
      <x:c r="E13" s="47" t="str">
        <x:v>generator</x:v>
      </x:c>
      <x:c r="F13" s="47" t="str">
        <x:v>gpt-5.6-sol-2026-07-09</x:v>
      </x:c>
      <x:c r="G13" s="47" t="n">
        <x:v>1</x:v>
      </x:c>
      <x:c r="H13" s="47" t="n">
        <x:v>200</x:v>
      </x:c>
      <x:c r="I13" s="47" t="str">
        <x:v>Ocp-Apim-Subscription-Key</x:v>
      </x:c>
      <x:c r="J13" s="86" t="n">
        <x:v>0</x:v>
      </x:c>
      <x:c r="K13" s="86" t="n">
        <x:v>38803.56</x:v>
      </x:c>
      <x:c r="L13" s="85" t="b">
        <x:v>0</x:v>
      </x:c>
      <x:c r="M13" s="47" t="str"/>
      <x:c r="N13" s="59" t="str"/>
      <x:c r="O13" s="59" t="str"/>
      <x:c r="P13" s="59" t="str"/>
    </x:row>
    <x:row r="14">
      <x:c r="A14" s="47" t="str">
        <x:v>EVT-000046</x:v>
      </x:c>
      <x:c r="B14" s="47" t="str">
        <x:v>RUN-TRF-116-20260813T155519224750Z</x:v>
      </x:c>
      <x:c r="C14" s="47" t="str">
        <x:v>TRF-116</x:v>
      </x:c>
      <x:c r="D14" s="93" t="n">
        <x:v>46247.664960775466</x:v>
      </x:c>
      <x:c r="E14" s="47" t="str">
        <x:v>generator</x:v>
      </x:c>
      <x:c r="F14" s="47" t="str">
        <x:v>gpt-5.6-sol-2026-07-09</x:v>
      </x:c>
      <x:c r="G14" s="47" t="n">
        <x:v>1</x:v>
      </x:c>
      <x:c r="H14" s="47" t="str">
        <x:v>COMPLETED</x:v>
      </x:c>
      <x:c r="I14" s="47" t="str"/>
      <x:c r="J14" s="86" t="n">
        <x:v>0</x:v>
      </x:c>
      <x:c r="K14" s="86" t="n">
        <x:v>38805.301</x:v>
      </x:c>
      <x:c r="L14" s="85" t="b">
        <x:v>0</x:v>
      </x:c>
      <x:c r="M14" s="47" t="str">
        <x:v>resp_0a368e939bf3b26b006a7de945f22c8195ae17fae423463daa</x:v>
      </x:c>
      <x:c r="N14" s="59" t="n">
        <x:v>6294</x:v>
      </x:c>
      <x:c r="O14" s="59" t="n">
        <x:v>2872</x:v>
      </x:c>
      <x:c r="P14" s="59" t="n">
        <x:v>9166</x:v>
      </x:c>
    </x:row>
    <x:row r="15">
      <x:c r="A15" s="47" t="str">
        <x:v>EVT-000053</x:v>
      </x:c>
      <x:c r="B15" s="47" t="str">
        <x:v>RUN-TRF-116-20260813T155519224750Z</x:v>
      </x:c>
      <x:c r="C15" s="47" t="str">
        <x:v>TRF-116</x:v>
      </x:c>
      <x:c r="D15" s="93" t="n">
        <x:v>46247.66506980324</x:v>
      </x:c>
      <x:c r="E15" s="47" t="str">
        <x:v>validator</x:v>
      </x:c>
      <x:c r="F15" s="47" t="str">
        <x:v>gpt-5.6-sol-2026-07-09</x:v>
      </x:c>
      <x:c r="G15" s="47" t="n">
        <x:v>1</x:v>
      </x:c>
      <x:c r="H15" s="47" t="n">
        <x:v>200</x:v>
      </x:c>
      <x:c r="I15" s="47" t="str">
        <x:v>Ocp-Apim-Subscription-Key</x:v>
      </x:c>
      <x:c r="J15" s="86" t="n">
        <x:v>0</x:v>
      </x:c>
      <x:c r="K15" s="86" t="n">
        <x:v>9321.596</x:v>
      </x:c>
      <x:c r="L15" s="85" t="b">
        <x:v>0</x:v>
      </x:c>
      <x:c r="M15" s="47" t="str"/>
      <x:c r="N15" s="59" t="str"/>
      <x:c r="O15" s="59" t="str"/>
      <x:c r="P15" s="59" t="str"/>
    </x:row>
    <x:row r="16">
      <x:c r="A16" s="49" t="str">
        <x:v>EVT-000054</x:v>
      </x:c>
      <x:c r="B16" s="49" t="str">
        <x:v>RUN-TRF-116-20260813T155519224750Z</x:v>
      </x:c>
      <x:c r="C16" s="49" t="str">
        <x:v>TRF-116</x:v>
      </x:c>
      <x:c r="D16" s="94" t="n">
        <x:v>46247.66506982639</x:v>
      </x:c>
      <x:c r="E16" s="49" t="str">
        <x:v>validator</x:v>
      </x:c>
      <x:c r="F16" s="49" t="str">
        <x:v>gpt-5.6-sol-2026-07-09</x:v>
      </x:c>
      <x:c r="G16" s="49" t="n">
        <x:v>1</x:v>
      </x:c>
      <x:c r="H16" s="49" t="str">
        <x:v>COMPLETED</x:v>
      </x:c>
      <x:c r="I16" s="49" t="str"/>
      <x:c r="J16" s="88" t="n">
        <x:v>0</x:v>
      </x:c>
      <x:c r="K16" s="88" t="n">
        <x:v>9323.111</x:v>
      </x:c>
      <x:c r="L16" s="87" t="b">
        <x:v>0</x:v>
      </x:c>
      <x:c r="M16" s="49" t="str">
        <x:v>resp_0fac7ff4b2a31d1e006a7de96d203c8195bddd0cdfd19d3d10</x:v>
      </x:c>
      <x:c r="N16" s="60" t="n">
        <x:v>5171</x:v>
      </x:c>
      <x:c r="O16" s="60" t="n">
        <x:v>491</x:v>
      </x:c>
      <x:c r="P16" s="60" t="n">
        <x:v>5662</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4c42730ccaf416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RUN-TRF-116-20260813T155519224750Z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RUN-TRF-116-20260813T155519224750Z</x:v>
      </x:c>
      <x:c r="B5" s="45" t="str">
        <x:v>TRF-116</x:v>
      </x:c>
      <x:c r="C5" s="45" t="str">
        <x:v>benchmarkEntity</x:v>
      </x:c>
      <x:c r="D5" s="46" t="str">
        <x:v>https://w3id.org/nltl-benchmark/vocab#benchmarkEntity</x:v>
      </x:c>
      <x:c r="E5" s="45" t="str">
        <x:v>Class</x:v>
      </x:c>
      <x:c r="F5" s="45" t="str"/>
      <x:c r="G5" s="45" t="str"/>
      <x:c r="H5" s="45" t="str"/>
      <x:c r="I5" s="46" t="str">
        <x:v>baseline target infrastructure; domain dependency of equivalentImpactSphereRadius; domain dependency of nonHemisphericalImpactArea</x:v>
      </x:c>
      <x:c r="J5" s="45" t="n">
        <x:v>0</x:v>
      </x:c>
    </x:row>
    <x:row r="6">
      <x:c r="A6" s="47" t="str">
        <x:v>RUN-TRF-116-20260813T155519224750Z</x:v>
      </x:c>
      <x:c r="B6" s="47" t="str">
        <x:v>TRF-116</x:v>
      </x:c>
      <x:c r="C6" s="47" t="str">
        <x:v>designIceThickness</x:v>
      </x:c>
      <x:c r="D6" s="48" t="str">
        <x:v>https://w3id.org/nltl-benchmark/vocab#designIceThickness</x:v>
      </x:c>
      <x:c r="E6" s="47" t="str">
        <x:v>QuantityProperty</x:v>
      </x:c>
      <x:c r="F6" s="47" t="str"/>
      <x:c r="G6" s="47" t="str">
        <x:v>http://qudt.org/schema/qudt/QuantityValue</x:v>
      </x:c>
      <x:c r="H6" s="47" t="str">
        <x:v>http://qudt.org/vocab/unit/M</x:v>
      </x:c>
      <x:c r="I6" s="48" t="str">
        <x:v>linked by the locked 313-requirement index</x:v>
      </x:c>
      <x:c r="J6" s="47" t="n">
        <x:v>0</x:v>
      </x:c>
    </x:row>
    <x:row r="7">
      <x:c r="A7" s="47" t="str">
        <x:v>RUN-TRF-116-20260813T155519224750Z</x:v>
      </x:c>
      <x:c r="B7" s="47" t="str">
        <x:v>TRF-116</x:v>
      </x:c>
      <x:c r="C7" s="47" t="str">
        <x:v>equivalentImpactSphereRadius</x:v>
      </x:c>
      <x:c r="D7" s="48" t="str">
        <x:v>https://w3id.org/nltl-benchmark/vocab#equivalentImpactSphereRadius</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RUN-TRF-116-20260813T155519224750Z</x:v>
      </x:c>
      <x:c r="B8" s="47" t="str">
        <x:v>TRF-116</x:v>
      </x:c>
      <x:c r="C8" s="47" t="str">
        <x:v>hasComponent</x:v>
      </x:c>
      <x:c r="D8" s="48" t="str">
        <x:v>https://w3id.org/nltl-benchmark/vocab#hasComponent</x:v>
      </x:c>
      <x:c r="E8" s="47" t="str">
        <x:v>ObjectProperty</x:v>
      </x:c>
      <x:c r="F8" s="47" t="str"/>
      <x:c r="G8" s="47" t="str">
        <x:v>https://w3id.org/nltl-benchmark/vocab#shipComponent</x:v>
      </x:c>
      <x:c r="H8" s="47" t="str"/>
      <x:c r="I8" s="48" t="str">
        <x:v>component-path dependency inferred from the linked term module</x:v>
      </x:c>
      <x:c r="J8" s="47" t="n">
        <x:v>0</x:v>
      </x:c>
    </x:row>
    <x:row r="9">
      <x:c r="A9" s="47" t="str">
        <x:v>RUN-TRF-116-20260813T155519224750Z</x:v>
      </x:c>
      <x:c r="B9" s="47" t="str">
        <x:v>TRF-116</x:v>
      </x:c>
      <x:c r="C9" s="47" t="str">
        <x:v>nonHemisphericalImpactArea</x:v>
      </x:c>
      <x:c r="D9" s="48" t="str">
        <x:v>https://w3id.org/nltl-benchmark/vocab#nonHemisphericalImpactArea</x:v>
      </x:c>
      <x:c r="E9" s="47" t="str">
        <x:v>DatatypeProperty</x:v>
      </x:c>
      <x:c r="F9" s="47" t="str">
        <x:v>xsd:string</x:v>
      </x:c>
      <x:c r="G9" s="47" t="str">
        <x:v>http://www.w3.org/2001/XMLSchema#string</x:v>
      </x:c>
      <x:c r="H9" s="47" t="str"/>
      <x:c r="I9" s="48" t="str">
        <x:v>linked by the locked 313-requirement index</x:v>
      </x:c>
      <x:c r="J9" s="47" t="n">
        <x:v>0</x:v>
      </x:c>
    </x:row>
    <x:row r="10">
      <x:c r="A10" s="47" t="str">
        <x:v>RUN-TRF-116-20260813T155519224750Z</x:v>
      </x:c>
      <x:c r="B10" s="47" t="str">
        <x:v>TRF-116</x:v>
      </x:c>
      <x:c r="C10" s="47" t="str">
        <x:v>nonHemisphericalImpactContactArea</x:v>
      </x:c>
      <x:c r="D10" s="48" t="str">
        <x:v>https://w3id.org/nltl-benchmark/vocab#nonHemisphericalImpactContactArea</x:v>
      </x:c>
      <x:c r="E10" s="47" t="str">
        <x:v>QuantityProperty</x:v>
      </x:c>
      <x:c r="F10" s="47" t="str"/>
      <x:c r="G10" s="47" t="str">
        <x:v>http://qudt.org/schema/qudt/QuantityValue</x:v>
      </x:c>
      <x:c r="H10" s="47" t="str">
        <x:v>http://qudt.org/vocab/unit/M2</x:v>
      </x:c>
      <x:c r="I10" s="48" t="str">
        <x:v>linked by the locked 313-requirement index</x:v>
      </x:c>
      <x:c r="J10" s="47" t="n">
        <x:v>0</x:v>
      </x:c>
    </x:row>
    <x:row r="11">
      <x:c r="A11" s="47" t="str">
        <x:v>RUN-TRF-116-20260813T155519224750Z</x:v>
      </x:c>
      <x:c r="B11" s="47" t="str">
        <x:v>TRF-116</x:v>
      </x:c>
      <x:c r="C11" s="47" t="str">
        <x:v>propellerHubOrThrusterEndCapImpact</x:v>
      </x:c>
      <x:c r="D11" s="48" t="str">
        <x:v>https://w3id.org/nltl-benchmark/vocab#propellerHubOrThrusterEndCapImpact</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RUN-TRF-116-20260813T155519224750Z</x:v>
      </x:c>
      <x:c r="B12" s="47" t="str">
        <x:v>TRF-116</x:v>
      </x:c>
      <x:c r="C12" s="47" t="str">
        <x:v>ship</x:v>
      </x:c>
      <x:c r="D12" s="48" t="str">
        <x:v>https://w3id.org/nltl-benchmark/vocab#ship</x:v>
      </x:c>
      <x:c r="E12" s="47" t="str">
        <x:v>Class</x:v>
      </x:c>
      <x:c r="F12" s="47" t="str"/>
      <x:c r="G12" s="47" t="str"/>
      <x:c r="H12" s="47" t="str"/>
      <x:c r="I12" s="48" t="str">
        <x:v>authoritative required owner class; authoritative requirement target owner; baseline target infrastructure; domain dependency of designIceThickness; domain dependency of nonHemisphericalImpactContactArea; domain dependency of propellerHubOrThrusterEndCapImpact</x:v>
      </x:c>
      <x:c r="J12" s="47" t="n">
        <x:v>0</x:v>
      </x:c>
    </x:row>
    <x:row r="13">
      <x:c r="A13" s="49" t="str">
        <x:v>RUN-TRF-116-20260813T155519224750Z</x:v>
      </x:c>
      <x:c r="B13" s="49" t="str">
        <x:v>TRF-116</x:v>
      </x:c>
      <x:c r="C13" s="49" t="str">
        <x:v>shipComponent</x:v>
      </x:c>
      <x:c r="D13" s="50" t="str">
        <x:v>https://w3id.org/nltl-benchmark/vocab#shipComponent</x:v>
      </x:c>
      <x:c r="E13" s="49" t="str">
        <x:v>Class</x:v>
      </x:c>
      <x:c r="F13" s="49" t="str"/>
      <x:c r="G13" s="49" t="str"/>
      <x:c r="H13" s="49" t="str"/>
      <x:c r="I13" s="50" t="str">
        <x:v>component-path dependency inferred from the linked term module</x:v>
      </x:c>
      <x:c r="J13" s="49" t="n">
        <x:v>0</x:v>
      </x:c>
    </x:row>
  </x:sheetData>
  <x:pageMargins left="0.7" right="0.7" top="0.75" bottom="0.75" header="0.3" footer="0.3"/>
  <x:tableParts count="1">
    <x:tablePart xmlns:r="http://schemas.openxmlformats.org/officeDocument/2006/relationships" r:id="Re12c5f3b28bb4ee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RUN-TRF-116-20260813T155519224750Z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RUN-TRF-116-20260813T155519224750Z</x:v>
      </x:c>
      <x:c r="B5" s="45" t="str">
        <x:v>TRF-116</x:v>
      </x:c>
      <x:c r="C5" s="45" t="str">
        <x:v>FS-CALC-02</x:v>
      </x:c>
      <x:c r="D5" s="45" t="str">
        <x:v>comparison_calculation</x:v>
      </x:c>
      <x:c r="E5" s="97" t="n">
        <x:v>0.111111</x:v>
      </x:c>
      <x:c r="F5" s="45" t="str">
        <x:v>calculation | comparison | formula | sparql</x:v>
      </x:c>
      <x:c r="G5" s="45" t="str">
        <x:v>synthetic-few-shot-not-benchmark-ground-truth</x:v>
      </x:c>
    </x:row>
    <x:row r="6">
      <x:c r="A6" s="49" t="str">
        <x:v>RUN-TRF-116-20260813T155519224750Z</x:v>
      </x:c>
      <x:c r="B6" s="49" t="str">
        <x:v>TRF-116</x:v>
      </x:c>
      <x:c r="C6" s="49" t="str">
        <x:v>FS-BOOL-01</x:v>
      </x:c>
      <x:c r="D6" s="49" t="str">
        <x:v>boolean_state</x:v>
      </x:c>
      <x:c r="E6" s="98" t="n">
        <x:v>0.081081</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3a9afb12d6d4ed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RUN-TRF-116-20260813T155519224750Z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RUN-TRF-116-20260813T155519224750Z</x:v>
      </x:c>
      <x:c r="B5" s="45" t="str">
        <x:v>TRF-116</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https://w3id.org/nltl-benchmark/vocab#designIceThickness | https://w3id.org/nltl-benchmark/vocab#equivalentImpactSphereRadius | https://w3id.org/nltl-benchmark/vocab#nonHemisphericalImpactContactArea | https://w3id.org/nltl-benchmark/vocab#ship</x:v>
      </x:c>
      <x:c r="O5" s="46" t="str"/>
      <x:c r="P5" s="46" t="str"/>
      <x:c r="Q5" s="46" t="str"/>
    </x:row>
    <x:row r="6">
      <x:c r="A6" s="47" t="str">
        <x:v>RUN-TRF-116-20260813T155519224750Z</x:v>
      </x:c>
      <x:c r="B6" s="47" t="str">
        <x:v>TRF-116</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https://w3id.org/nltl-benchmark/vocab#designIceThickness | https://w3id.org/nltl-benchmark/vocab#nonHemisphericalImpactContactArea | https://w3id.org/nltl-benchmark/vocab#ship</x:v>
      </x:c>
      <x:c r="O6" s="48" t="str"/>
      <x:c r="P6" s="48" t="str"/>
      <x:c r="Q6" s="48" t="str"/>
    </x:row>
    <x:row r="7">
      <x:c r="A7" s="49" t="str">
        <x:v>RUN-TRF-116-20260813T155519224750Z</x:v>
      </x:c>
      <x:c r="B7" s="49" t="str">
        <x:v>TRF-116</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https://w3id.org/nltl-benchmark/vocab#equivalentImpactSphereRadius | https://w3id.org/nltl-benchmark/vocab#nonHemisphericalImpactArea | https://w3id.org/nltl-benchmark/vocab#nonHemisphericalImpactContactArea | https://w3id.org/nltl-benchmark/vocab#ship</x:v>
      </x:c>
      <x:c r="O7" s="50" t="str"/>
      <x:c r="P7" s="50" t="str"/>
      <x:c r="Q7" s="50" t="str"/>
    </x:row>
  </x:sheetData>
  <x:pageMargins left="0.7" right="0.7" top="0.75" bottom="0.75" header="0.3" footer="0.3"/>
  <x:tableParts count="1">
    <x:tablePart xmlns:r="http://schemas.openxmlformats.org/officeDocument/2006/relationships" r:id="R4612244276e541ef"/>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RUN-TRF-116-20260813T155519224750Z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RUN-TRF-116-20260813T155519224750Z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RUN-TRF-116-20260813T155519224750Z</x:v>
      </x:c>
      <x:c r="B5" s="45" t="str">
        <x:v>TRF-116</x:v>
      </x:c>
      <x:c r="C5" s="58"/>
      <x:c r="D5" s="45" t="str">
        <x:v>initial_context_pack</x:v>
      </x:c>
      <x:c r="E5" s="46" t="str">
        <x:v>artifacts/context_pack_initial.json</x:v>
      </x:c>
      <x:c r="F5" s="45" t="str">
        <x:v>eedd41f2d9950f7b21329e47a23de813c0a7353e74d66dbc5c2c52afc38978fb</x:v>
      </x:c>
      <x:c r="G5" s="58" t="n">
        <x:v>13429</x:v>
      </x:c>
    </x:row>
    <x:row r="6">
      <x:c r="A6" s="47" t="str">
        <x:v>RUN-TRF-116-20260813T155519224750Z</x:v>
      </x:c>
      <x:c r="B6" s="47" t="str">
        <x:v>TRF-116</x:v>
      </x:c>
      <x:c r="C6" s="59"/>
      <x:c r="D6" s="47" t="str">
        <x:v>few_shot_selection</x:v>
      </x:c>
      <x:c r="E6" s="48" t="str">
        <x:v>artifacts/few_shots_selected.json</x:v>
      </x:c>
      <x:c r="F6" s="47" t="str">
        <x:v>d378c5a99dbb8ee17a7c9b0ad9dde483f70a2379803c3c736d8c3555394da9db</x:v>
      </x:c>
      <x:c r="G6" s="59" t="n">
        <x:v>4859</x:v>
      </x:c>
    </x:row>
    <x:row r="7">
      <x:c r="A7" s="47" t="str">
        <x:v>RUN-TRF-116-20260813T155519224750Z</x:v>
      </x:c>
      <x:c r="B7" s="47" t="str">
        <x:v>TRF-116</x:v>
      </x:c>
      <x:c r="C7" s="59" t="n">
        <x:v>1</x:v>
      </x:c>
      <x:c r="D7" s="47" t="str">
        <x:v>generator_prompt</x:v>
      </x:c>
      <x:c r="E7" s="48" t="str">
        <x:v>artifacts/attempt_01/generator_prompt.txt</x:v>
      </x:c>
      <x:c r="F7" s="47" t="str">
        <x:v>fecd4d0b4442f7fa8b4a0137ce219a57baccbfb27424a4d9d85afdfcbbd4989d</x:v>
      </x:c>
      <x:c r="G7" s="59" t="n">
        <x:v>24900</x:v>
      </x:c>
    </x:row>
    <x:row r="8">
      <x:c r="A8" s="47" t="str">
        <x:v>RUN-TRF-116-20260813T155519224750Z</x:v>
      </x:c>
      <x:c r="B8" s="47" t="str">
        <x:v>TRF-116</x:v>
      </x:c>
      <x:c r="C8" s="59" t="n">
        <x:v>1</x:v>
      </x:c>
      <x:c r="D8" s="47" t="str">
        <x:v>generator_raw_response</x:v>
      </x:c>
      <x:c r="E8" s="48" t="str">
        <x:v>artifacts/attempt_01/generator_raw.txt</x:v>
      </x:c>
      <x:c r="F8" s="47" t="str">
        <x:v>cdbffac5263353759c0ed89e9fb31e66347b4c606be22713ff002ac2cdaa2039</x:v>
      </x:c>
      <x:c r="G8" s="59" t="n">
        <x:v>1945</x:v>
      </x:c>
    </x:row>
    <x:row r="9">
      <x:c r="A9" s="47" t="str">
        <x:v>RUN-TRF-116-20260813T155519224750Z</x:v>
      </x:c>
      <x:c r="B9" s="47" t="str">
        <x:v>TRF-116</x:v>
      </x:c>
      <x:c r="C9" s="59" t="n">
        <x:v>1</x:v>
      </x:c>
      <x:c r="D9" s="47" t="str">
        <x:v>candidate_shape</x:v>
      </x:c>
      <x:c r="E9" s="48" t="str">
        <x:v>artifacts/attempt_01/candidate_shape.ttl</x:v>
      </x:c>
      <x:c r="F9" s="47" t="str">
        <x:v>f5b2ca0366cf6711c0f5a68b06e91141456fc41ba73a323b176f362fe29a5d6c</x:v>
      </x:c>
      <x:c r="G9" s="59" t="n">
        <x:v>1920</x:v>
      </x:c>
    </x:row>
    <x:row r="10">
      <x:c r="A10" s="47" t="str">
        <x:v>RUN-TRF-116-20260813T155519224750Z</x:v>
      </x:c>
      <x:c r="B10" s="47" t="str">
        <x:v>TRF-116</x:v>
      </x:c>
      <x:c r="C10" s="59" t="n">
        <x:v>1</x:v>
      </x:c>
      <x:c r="D10" s="47" t="str">
        <x:v>deterministic_validation</x:v>
      </x:c>
      <x:c r="E10" s="48" t="str">
        <x:v>artifacts/attempt_01/deterministic_validation.json</x:v>
      </x:c>
      <x:c r="F10" s="47" t="str">
        <x:v>45383dc5319b499d96507ec7cc896694e1c87837742012b4c796ef6efac8114a</x:v>
      </x:c>
      <x:c r="G10" s="59" t="n">
        <x:v>656</x:v>
      </x:c>
    </x:row>
    <x:row r="11">
      <x:c r="A11" s="47" t="str">
        <x:v>RUN-TRF-116-20260813T155519224750Z</x:v>
      </x:c>
      <x:c r="B11" s="47" t="str">
        <x:v>TRF-116</x:v>
      </x:c>
      <x:c r="C11" s="59" t="n">
        <x:v>1</x:v>
      </x:c>
      <x:c r="D11" s="47" t="str">
        <x:v>validator_prompt</x:v>
      </x:c>
      <x:c r="E11" s="48" t="str">
        <x:v>artifacts/attempt_01/validator_prompt_01.txt</x:v>
      </x:c>
      <x:c r="F11" s="47" t="str">
        <x:v>5c78877f35064e674ed6a5657ceddaf2cde41534c368a3b9a1c5180479c1644b</x:v>
      </x:c>
      <x:c r="G11" s="59" t="n">
        <x:v>20729</x:v>
      </x:c>
    </x:row>
    <x:row r="12">
      <x:c r="A12" s="47" t="str">
        <x:v>RUN-TRF-116-20260813T155519224750Z</x:v>
      </x:c>
      <x:c r="B12" s="47" t="str">
        <x:v>TRF-116</x:v>
      </x:c>
      <x:c r="C12" s="59" t="n">
        <x:v>1</x:v>
      </x:c>
      <x:c r="D12" s="47" t="str">
        <x:v>validator_raw_response</x:v>
      </x:c>
      <x:c r="E12" s="48" t="str">
        <x:v>artifacts/attempt_01/validator_raw_01.txt</x:v>
      </x:c>
      <x:c r="F12" s="47" t="str">
        <x:v>e3f6547df65b89c577f7cd064c380c630f2ee9de7ff0c97136ae869161ee1d18</x:v>
      </x:c>
      <x:c r="G12" s="59" t="n">
        <x:v>829</x:v>
      </x:c>
    </x:row>
    <x:row r="13">
      <x:c r="A13" s="47" t="str">
        <x:v>RUN-TRF-116-20260813T155519224750Z</x:v>
      </x:c>
      <x:c r="B13" s="47" t="str">
        <x:v>TRF-116</x:v>
      </x:c>
      <x:c r="C13" s="59" t="n">
        <x:v>2</x:v>
      </x:c>
      <x:c r="D13" s="47" t="str">
        <x:v>generator_prompt</x:v>
      </x:c>
      <x:c r="E13" s="48" t="str">
        <x:v>artifacts/attempt_02/generator_prompt.txt</x:v>
      </x:c>
      <x:c r="F13" s="47" t="str">
        <x:v>16d424e208da06bfc3ca9e8725707b5dd0c0cdca01a4f5526f8964fc06093bac</x:v>
      </x:c>
      <x:c r="G13" s="59" t="n">
        <x:v>25664</x:v>
      </x:c>
    </x:row>
    <x:row r="14">
      <x:c r="A14" s="47" t="str">
        <x:v>RUN-TRF-116-20260813T155519224750Z</x:v>
      </x:c>
      <x:c r="B14" s="47" t="str">
        <x:v>TRF-116</x:v>
      </x:c>
      <x:c r="C14" s="59" t="n">
        <x:v>2</x:v>
      </x:c>
      <x:c r="D14" s="47" t="str">
        <x:v>generator_raw_response</x:v>
      </x:c>
      <x:c r="E14" s="48" t="str">
        <x:v>artifacts/attempt_02/generator_raw.txt</x:v>
      </x:c>
      <x:c r="F14" s="47" t="str">
        <x:v>4fedd624b39ab94d63a1fcb032df09e4603e0e8d8b446c499ec0defed64f9548</x:v>
      </x:c>
      <x:c r="G14" s="59" t="n">
        <x:v>3602</x:v>
      </x:c>
    </x:row>
    <x:row r="15">
      <x:c r="A15" s="47" t="str">
        <x:v>RUN-TRF-116-20260813T155519224750Z</x:v>
      </x:c>
      <x:c r="B15" s="47" t="str">
        <x:v>TRF-116</x:v>
      </x:c>
      <x:c r="C15" s="59" t="n">
        <x:v>2</x:v>
      </x:c>
      <x:c r="D15" s="47" t="str">
        <x:v>candidate_shape</x:v>
      </x:c>
      <x:c r="E15" s="48" t="str">
        <x:v>artifacts/attempt_02/candidate_shape.ttl</x:v>
      </x:c>
      <x:c r="F15" s="47" t="str">
        <x:v>a0b498810663b6b06423fa0931984441ea25119e9f2556fab61430965c8f6e78</x:v>
      </x:c>
      <x:c r="G15" s="59" t="n">
        <x:v>3577</x:v>
      </x:c>
    </x:row>
    <x:row r="16">
      <x:c r="A16" s="47" t="str">
        <x:v>RUN-TRF-116-20260813T155519224750Z</x:v>
      </x:c>
      <x:c r="B16" s="47" t="str">
        <x:v>TRF-116</x:v>
      </x:c>
      <x:c r="C16" s="59" t="n">
        <x:v>2</x:v>
      </x:c>
      <x:c r="D16" s="47" t="str">
        <x:v>deterministic_validation</x:v>
      </x:c>
      <x:c r="E16" s="48" t="str">
        <x:v>artifacts/attempt_02/deterministic_validation.json</x:v>
      </x:c>
      <x:c r="F16" s="47" t="str">
        <x:v>262e074fc1d3e861ed7e002f06cb49d32487597142ad43be326ecf49e61821fe</x:v>
      </x:c>
      <x:c r="G16" s="59" t="n">
        <x:v>582</x:v>
      </x:c>
    </x:row>
    <x:row r="17">
      <x:c r="A17" s="47" t="str">
        <x:v>RUN-TRF-116-20260813T155519224750Z</x:v>
      </x:c>
      <x:c r="B17" s="47" t="str">
        <x:v>TRF-116</x:v>
      </x:c>
      <x:c r="C17" s="59" t="n">
        <x:v>2</x:v>
      </x:c>
      <x:c r="D17" s="47" t="str">
        <x:v>validator_prompt</x:v>
      </x:c>
      <x:c r="E17" s="48" t="str">
        <x:v>artifacts/attempt_02/validator_prompt_01.txt</x:v>
      </x:c>
      <x:c r="F17" s="47" t="str">
        <x:v>27a884217e5bccfd0d09d97e223c98d4e0d95109a63a14a709534468ac7dedcd</x:v>
      </x:c>
      <x:c r="G17" s="59" t="n">
        <x:v>21920</x:v>
      </x:c>
    </x:row>
    <x:row r="18">
      <x:c r="A18" s="47" t="str">
        <x:v>RUN-TRF-116-20260813T155519224750Z</x:v>
      </x:c>
      <x:c r="B18" s="47" t="str">
        <x:v>TRF-116</x:v>
      </x:c>
      <x:c r="C18" s="59" t="n">
        <x:v>2</x:v>
      </x:c>
      <x:c r="D18" s="47" t="str">
        <x:v>validator_raw_response</x:v>
      </x:c>
      <x:c r="E18" s="48" t="str">
        <x:v>artifacts/attempt_02/validator_raw_01.txt</x:v>
      </x:c>
      <x:c r="F18" s="47" t="str">
        <x:v>ea42d8ae143abd8e5923f664f6777bc81d6befd9e41c2d220cbe633e03692275</x:v>
      </x:c>
      <x:c r="G18" s="59" t="n">
        <x:v>823</x:v>
      </x:c>
    </x:row>
    <x:row r="19">
      <x:c r="A19" s="47" t="str">
        <x:v>RUN-TRF-116-20260813T155519224750Z</x:v>
      </x:c>
      <x:c r="B19" s="47" t="str">
        <x:v>TRF-116</x:v>
      </x:c>
      <x:c r="C19" s="59" t="n">
        <x:v>3</x:v>
      </x:c>
      <x:c r="D19" s="47" t="str">
        <x:v>generator_prompt</x:v>
      </x:c>
      <x:c r="E19" s="48" t="str">
        <x:v>artifacts/attempt_03/generator_prompt.txt</x:v>
      </x:c>
      <x:c r="F19" s="47" t="str">
        <x:v>0c258ba09ed1407b7f51f3bc57b39aa305c1563c3f8db6f98a298566711c20c8</x:v>
      </x:c>
      <x:c r="G19" s="59" t="n">
        <x:v>26430</x:v>
      </x:c>
    </x:row>
    <x:row r="20">
      <x:c r="A20" s="47" t="str">
        <x:v>RUN-TRF-116-20260813T155519224750Z</x:v>
      </x:c>
      <x:c r="B20" s="47" t="str">
        <x:v>TRF-116</x:v>
      </x:c>
      <x:c r="C20" s="59" t="n">
        <x:v>3</x:v>
      </x:c>
      <x:c r="D20" s="47" t="str">
        <x:v>generator_raw_response</x:v>
      </x:c>
      <x:c r="E20" s="48" t="str">
        <x:v>artifacts/attempt_03/generator_raw.txt</x:v>
      </x:c>
      <x:c r="F20" s="47" t="str">
        <x:v>6878021cfebb88ae79af5b97275a6c4ab831aaaf99dd7842b7a4e18e06caad13</x:v>
      </x:c>
      <x:c r="G20" s="59" t="n">
        <x:v>2199</x:v>
      </x:c>
    </x:row>
    <x:row r="21">
      <x:c r="A21" s="47" t="str">
        <x:v>RUN-TRF-116-20260813T155519224750Z</x:v>
      </x:c>
      <x:c r="B21" s="47" t="str">
        <x:v>TRF-116</x:v>
      </x:c>
      <x:c r="C21" s="59" t="n">
        <x:v>3</x:v>
      </x:c>
      <x:c r="D21" s="47" t="str">
        <x:v>candidate_shape</x:v>
      </x:c>
      <x:c r="E21" s="48" t="str">
        <x:v>artifacts/attempt_03/candidate_shape.ttl</x:v>
      </x:c>
      <x:c r="F21" s="47" t="str">
        <x:v>31c6f7d38ce682ed7bd831946dff518b2b1ae1cc369623e79c107f6ea52650f4</x:v>
      </x:c>
      <x:c r="G21" s="59" t="n">
        <x:v>2174</x:v>
      </x:c>
    </x:row>
    <x:row r="22">
      <x:c r="A22" s="47" t="str">
        <x:v>RUN-TRF-116-20260813T155519224750Z</x:v>
      </x:c>
      <x:c r="B22" s="47" t="str">
        <x:v>TRF-116</x:v>
      </x:c>
      <x:c r="C22" s="59" t="n">
        <x:v>3</x:v>
      </x:c>
      <x:c r="D22" s="47" t="str">
        <x:v>deterministic_validation</x:v>
      </x:c>
      <x:c r="E22" s="48" t="str">
        <x:v>artifacts/attempt_03/deterministic_validation.json</x:v>
      </x:c>
      <x:c r="F22" s="47" t="str">
        <x:v>9189c018f40f0d3aa1d3c0d524d5e901cd562655bd20559c8bbdcfb145758c72</x:v>
      </x:c>
      <x:c r="G22" s="59" t="n">
        <x:v>664</x:v>
      </x:c>
    </x:row>
    <x:row r="23">
      <x:c r="A23" s="47" t="str">
        <x:v>RUN-TRF-116-20260813T155519224750Z</x:v>
      </x:c>
      <x:c r="B23" s="47" t="str">
        <x:v>TRF-116</x:v>
      </x:c>
      <x:c r="C23" s="59" t="n">
        <x:v>3</x:v>
      </x:c>
      <x:c r="D23" s="47" t="str">
        <x:v>validator_prompt</x:v>
      </x:c>
      <x:c r="E23" s="48" t="str">
        <x:v>artifacts/attempt_03/validator_prompt_01.txt</x:v>
      </x:c>
      <x:c r="F23" s="47" t="str">
        <x:v>7ab9d112ea6f64976dd44625eea64fae4894109dae78e59fa04f5224523d6c17</x:v>
      </x:c>
      <x:c r="G23" s="59" t="n">
        <x:v>21006</x:v>
      </x:c>
    </x:row>
    <x:row r="24">
      <x:c r="A24" s="49" t="str">
        <x:v>RUN-TRF-116-20260813T155519224750Z</x:v>
      </x:c>
      <x:c r="B24" s="49" t="str">
        <x:v>TRF-116</x:v>
      </x:c>
      <x:c r="C24" s="60" t="n">
        <x:v>3</x:v>
      </x:c>
      <x:c r="D24" s="49" t="str">
        <x:v>validator_raw_response</x:v>
      </x:c>
      <x:c r="E24" s="50" t="str">
        <x:v>artifacts/attempt_03/validator_raw_01.txt</x:v>
      </x:c>
      <x:c r="F24" s="49" t="str">
        <x:v>fe120b03d5334c5c6df55d1609dcd9719e1f2939b46d31b81bf3f3ad6dc638af</x:v>
      </x:c>
      <x:c r="G24" s="60" t="n">
        <x:v>602</x:v>
      </x:c>
    </x:row>
  </x:sheetData>
  <x:pageMargins left="0.7" right="0.7" top="0.75" bottom="0.75" header="0.3" footer="0.3"/>
  <x:tableParts count="1">
    <x:tablePart xmlns:r="http://schemas.openxmlformats.org/officeDocument/2006/relationships" r:id="Ra2da3a3370c94f49"/>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RUN-TRF-116-20260813T155519224750Z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RUN-TRF-116-20260813T155519224750Z</x:v>
      </x:c>
      <x:c r="B5" s="69" t="str">
        <x:v>TRF-116</x:v>
      </x:c>
      <x:c r="C5" s="71" t="n">
        <x:v>3</x:v>
      </x:c>
      <x:c r="D5" s="69" t="str">
        <x:v>MAX_ATTEMPTS_REACHED</x:v>
      </x:c>
      <x:c r="E5" s="73" t="str">
        <x:v>Replace the presence-only quantity checks with a bounded formula constraint. The COMPLETE dependency contract requires nonHemisphericalImpactContactArea as the operand and designIceThickness as the result, both on the ship; the candidate instead treats equivalentImpactSphereRadius as the result and never validates the required equation. Compare the reported derived result against the expected formula value using tolerance scaled from the expected value, while retaining the required M2 and M units and avoiding exact decimal equality.</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7cf1e0a739e74266"/>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RUN-TRF-116-20260813T155519224750Z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