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2434c1d4a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543a5cd6e8443d"/>
    <x:sheet xmlns:r="http://schemas.openxmlformats.org/officeDocument/2006/relationships" name="README" sheetId="2" r:id="Ra8ab79b179404f5b"/>
    <x:sheet xmlns:r="http://schemas.openxmlformats.org/officeDocument/2006/relationships" name="REGULATION_QUEUE" sheetId="3" r:id="R3f0e6beca53d4f12"/>
    <x:sheet xmlns:r="http://schemas.openxmlformats.org/officeDocument/2006/relationships" name="RUNS" sheetId="4" r:id="R3637ee912bf64242"/>
    <x:sheet xmlns:r="http://schemas.openxmlformats.org/officeDocument/2006/relationships" name="ITERATIONS" sheetId="5" r:id="R45fd253af83d42c9"/>
    <x:sheet xmlns:r="http://schemas.openxmlformats.org/officeDocument/2006/relationships" name="API_CALLS" sheetId="6" r:id="R29d320dee06b403f"/>
    <x:sheet xmlns:r="http://schemas.openxmlformats.org/officeDocument/2006/relationships" name="TERM_RETRIEVAL" sheetId="7" r:id="R11acce914e8b41f4"/>
    <x:sheet xmlns:r="http://schemas.openxmlformats.org/officeDocument/2006/relationships" name="FEW_SHOT_SELECTION" sheetId="8" r:id="R2eeef884d6e74f45"/>
    <x:sheet xmlns:r="http://schemas.openxmlformats.org/officeDocument/2006/relationships" name="VALIDATION" sheetId="9" r:id="R52ebd98d5d5344e0"/>
    <x:sheet xmlns:r="http://schemas.openxmlformats.org/officeDocument/2006/relationships" name="VOCAB_MATCHES" sheetId="10" r:id="R9cafc6db9cd84a76"/>
    <x:sheet xmlns:r="http://schemas.openxmlformats.org/officeDocument/2006/relationships" name="ARTIFACTS" sheetId="11" r:id="R3094ac2252f14af3"/>
    <x:sheet xmlns:r="http://schemas.openxmlformats.org/officeDocument/2006/relationships" name="UNRESOLVED" sheetId="12" r:id="R6a2d3f019f704de0"/>
    <x:sheet xmlns:r="http://schemas.openxmlformats.org/officeDocument/2006/relationships" name="RDF_TEST_QUEUE" sheetId="13" r:id="Rad25b43363cf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8d31bdbb043ba" /><Relationship Type="http://schemas.openxmlformats.org/officeDocument/2006/relationships/theme" Target="/xl/theme/theme1.xml" Id="Rc12ac60e9eaa4b95" /><Relationship Type="http://schemas.microsoft.com/office/2022/11/relationships/FeaturePropertyBag" Target="/xl/featurePropertyBag/featurePropertyBag.xml" Id="Rcdc9a0380e314b7e" /><Relationship Type="http://schemas.openxmlformats.org/officeDocument/2006/relationships/sharedStrings" Target="/xl/sharedStrings.xml" Id="R79180fbde3bb4363" /><Relationship Type="http://schemas.openxmlformats.org/officeDocument/2006/relationships/worksheet" Target="/xl/worksheets/sheet1.xml" Id="Rb5543a5cd6e8443d" /><Relationship Type="http://schemas.openxmlformats.org/officeDocument/2006/relationships/worksheet" Target="/xl/worksheets/sheet2.xml" Id="Ra8ab79b179404f5b" /><Relationship Type="http://schemas.openxmlformats.org/officeDocument/2006/relationships/worksheet" Target="/xl/worksheets/sheet3.xml" Id="R3f0e6beca53d4f12" /><Relationship Type="http://schemas.openxmlformats.org/officeDocument/2006/relationships/worksheet" Target="/xl/worksheets/sheet4.xml" Id="R3637ee912bf64242" /><Relationship Type="http://schemas.openxmlformats.org/officeDocument/2006/relationships/worksheet" Target="/xl/worksheets/sheet5.xml" Id="R45fd253af83d42c9" /><Relationship Type="http://schemas.openxmlformats.org/officeDocument/2006/relationships/worksheet" Target="/xl/worksheets/sheet6.xml" Id="R29d320dee06b403f" /><Relationship Type="http://schemas.openxmlformats.org/officeDocument/2006/relationships/worksheet" Target="/xl/worksheets/sheet7.xml" Id="R11acce914e8b41f4" /><Relationship Type="http://schemas.openxmlformats.org/officeDocument/2006/relationships/worksheet" Target="/xl/worksheets/sheet8.xml" Id="R2eeef884d6e74f45" /><Relationship Type="http://schemas.openxmlformats.org/officeDocument/2006/relationships/worksheet" Target="/xl/worksheets/sheet9.xml" Id="R52ebd98d5d5344e0" /><Relationship Type="http://schemas.openxmlformats.org/officeDocument/2006/relationships/worksheet" Target="/xl/worksheets/sheet10.xml" Id="R9cafc6db9cd84a76" /><Relationship Type="http://schemas.openxmlformats.org/officeDocument/2006/relationships/worksheet" Target="/xl/worksheets/sheet11.xml" Id="R3094ac2252f14af3" /><Relationship Type="http://schemas.openxmlformats.org/officeDocument/2006/relationships/worksheet" Target="/xl/worksheets/sheet12.xml" Id="R6a2d3f019f704de0" /><Relationship Type="http://schemas.openxmlformats.org/officeDocument/2006/relationships/worksheet" Target="/xl/worksheets/sheet13.xml" Id="Rad25b43363cf48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1f71ca12784a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987d693d8f4d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af51f7f3e647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9d7e38e67947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72bb276d0547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8869a933f842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ffe3d23eb54c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0b759653064e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14b89ab3d1c48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97886f0344447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481a37a7cc94c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RUN-TRF-118-20260813T155752624447Z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27077.473166666667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RUN-TRF-118-20260813T155752624447Z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1f71ca12784a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RUN-TRF-118-20260813T155752624447Z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TERM_RESOLUTION_UNRESOLVED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87d693d8f4d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RUN-TRF-118-20260813T155752624447Z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RUN-TRF-118-20260813T155752624447Z</x:v>
      </x:c>
      <x:c r="C5" s="69" t="str">
        <x:v>TRF-118</x:v>
      </x:c>
      <x:c r="D5" s="70" t="n">
        <x:v>46247.66519241898</x:v>
      </x:c>
      <x:c r="E5" s="70" t="n">
        <x:v>46247.666147094904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verified as a ship-owned yield-strength operand: materialYieldStrength has the reported shipComponent-domain mismatch, while yieldStrength does not cite TRF-118 or establish ship ownership.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f51f7f3e647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RUN-TRF-118-20260813T155752624447Z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RUN-TRF-118-20260813T155752624447Z</x:v>
      </x:c>
      <x:c r="B5" s="69" t="str">
        <x:v>TRF-118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material-yield-strength operand is checked through hasComponent even though requiredOwner and requiredTargetOwner require ship ownership; remove this indirection and do not duplicate the fact. Because the supplied materialYieldStrength term has a shipComponent domain, locate a canonical ship-owned yield-strength operand (or repair that vocabulary mismatch), then use its direct ship path in both Core constraints and SPARQL. Also explicitly bind the operability/no-repair evidence to the extreme load multiplied by 1.3; the current graph uses 1.3 only in the nominal-stress comparison and otherwise provides a presence-only approximation of the amplified-load requirement.</x:v>
      </x:c>
      <x:c r="I5" s="75" t="n">
        <x:v>46239.078</x:v>
      </x:c>
      <x:c r="J5" s="75" t="n">
        <x:v>31148.234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9d7e38e67947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RUN-TRF-118-20260813T155752624447Z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RUN-TRF-118-20260813T155752624447Z</x:v>
      </x:c>
      <x:c r="C5" s="45" t="str">
        <x:v>TRF-118</x:v>
      </x:c>
      <x:c r="D5" s="88" t="n">
        <x:v>46247.66572758102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46237.221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RUN-TRF-118-20260813T155752624447Z</x:v>
      </x:c>
      <x:c r="C6" s="47" t="str">
        <x:v>TRF-118</x:v>
      </x:c>
      <x:c r="D6" s="91" t="n">
        <x:v>46247.665727604166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46239.078</x:v>
      </x:c>
      <x:c r="L6" s="93" t="b">
        <x:v>0</x:v>
      </x:c>
      <x:c r="M6" s="47" t="str">
        <x:v>resp_035b1e22aaaa2d96006a7de980cba88190a7f6e0f935eb741b</x:v>
      </x:c>
      <x:c r="N6" s="59" t="n">
        <x:v>6861</x:v>
      </x:c>
      <x:c r="O6" s="59" t="n">
        <x:v>3757</x:v>
      </x:c>
      <x:c r="P6" s="59" t="n">
        <x:v>10618</x:v>
      </x:c>
    </x:row>
    <x:row r="7">
      <x:c r="A7" s="47" t="str">
        <x:v>EVT-000027</x:v>
      </x:c>
      <x:c r="B7" s="47" t="str">
        <x:v>RUN-TRF-118-20260813T155752624447Z</x:v>
      </x:c>
      <x:c r="C7" s="47" t="str">
        <x:v>TRF-118</x:v>
      </x:c>
      <x:c r="D7" s="91" t="n">
        <x:v>46247.66609024305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31146.527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RUN-TRF-118-20260813T155752624447Z</x:v>
      </x:c>
      <x:c r="C8" s="47" t="str">
        <x:v>TRF-118</x:v>
      </x:c>
      <x:c r="D8" s="91" t="n">
        <x:v>46247.666090266204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31148.234</x:v>
      </x:c>
      <x:c r="L8" s="93" t="b">
        <x:v>0</x:v>
      </x:c>
      <x:c r="M8" s="47" t="str">
        <x:v>resp_0444a3c8ac965d67006a7de9af32348194bff6954a9120938b</x:v>
      </x:c>
      <x:c r="N8" s="59" t="n">
        <x:v>7464</x:v>
      </x:c>
      <x:c r="O8" s="59" t="n">
        <x:v>2161</x:v>
      </x:c>
      <x:c r="P8" s="59" t="n">
        <x:v>9625</x:v>
      </x:c>
    </x:row>
    <x:row r="9">
      <x:c r="A9" s="47" t="str">
        <x:v>EVT-000034</x:v>
      </x:c>
      <x:c r="B9" s="47" t="str">
        <x:v>RUN-TRF-118-20260813T155752624447Z</x:v>
      </x:c>
      <x:c r="C9" s="47" t="str">
        <x:v>TRF-118</x:v>
      </x:c>
      <x:c r="D9" s="91" t="n">
        <x:v>46247.66614702546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3846.108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RUN-TRF-118-20260813T155752624447Z</x:v>
      </x:c>
      <x:c r="C10" s="49" t="str">
        <x:v>TRF-118</x:v>
      </x:c>
      <x:c r="D10" s="94" t="n">
        <x:v>46247.66614703704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3847.671</x:v>
      </x:c>
      <x:c r="L10" s="96" t="b">
        <x:v>0</x:v>
      </x:c>
      <x:c r="M10" s="49" t="str">
        <x:v>resp_081d844483a97142006a7de9cf6ee881948c6f2ea470d3acd7</x:v>
      </x:c>
      <x:c r="N10" s="60" t="n">
        <x:v>2708</x:v>
      </x:c>
      <x:c r="O10" s="60" t="n">
        <x:v>229</x:v>
      </x:c>
      <x:c r="P10" s="60" t="n">
        <x:v>2937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72bb276d0547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RUN-TRF-118-20260813T155752624447Z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RUN-TRF-118-20260813T155752624447Z</x:v>
      </x:c>
      <x:c r="B5" s="45" t="str">
        <x:v>TRF-118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</x:v>
      </x:c>
      <x:c r="J5" s="45" t="n">
        <x:v>0</x:v>
      </x:c>
    </x:row>
    <x:row r="6">
      <x:c r="A6" s="47" t="str">
        <x:v>RUN-TRF-118-20260813T155752624447Z</x:v>
      </x:c>
      <x:c r="B6" s="47" t="str">
        <x:v>TRF-118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RUN-TRF-118-20260813T155752624447Z</x:v>
      </x:c>
      <x:c r="B7" s="47" t="str">
        <x:v>TRF-118</x:v>
      </x:c>
      <x:c r="C7" s="47" t="str">
        <x:v>localStressConcentration</x:v>
      </x:c>
      <x:c r="D7" s="48" t="str">
        <x:v>https://w3id.org/nltl-benchmark/vocab#localStressConcentration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RUN-TRF-118-20260813T155752624447Z</x:v>
      </x:c>
      <x:c r="B8" s="47" t="str">
        <x:v>TRF-118</x:v>
      </x:c>
      <x:c r="C8" s="47" t="str">
        <x:v>materialYieldStrength</x:v>
      </x:c>
      <x:c r="D8" s="48" t="str">
        <x:v>https://w3id.org/nltl-benchmark/vocab#materialYieldStrength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RUN-TRF-118-20260813T155752624447Z</x:v>
      </x:c>
      <x:c r="B9" s="47" t="str">
        <x:v>TRF-118</x:v>
      </x:c>
      <x:c r="C9" s="47" t="str">
        <x:v>nominalVonMisesStress</x:v>
      </x:c>
      <x:c r="D9" s="48" t="str">
        <x:v>https://w3id.org/nltl-benchmark/vocab#nominalVonMisesStress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http://qudt.org/vocab/unit/MegaPA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RUN-TRF-118-20260813T155752624447Z</x:v>
      </x:c>
      <x:c r="B10" s="47" t="str">
        <x:v>TRF-118</x:v>
      </x:c>
      <x:c r="C10" s="47" t="str">
        <x:v>repairRequired</x:v>
      </x:c>
      <x:c r="D10" s="48" t="str">
        <x:v>https://w3id.org/nltl-benchmark/vocab#repairRequired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RUN-TRF-118-20260813T155752624447Z</x:v>
      </x:c>
      <x:c r="B11" s="47" t="str">
        <x:v>TRF-118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RUN-TRF-118-20260813T155752624447Z</x:v>
      </x:c>
      <x:c r="B12" s="47" t="str">
        <x:v>TRF-118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module; domain dependency of materialYieldStrength</x:v>
      </x:c>
      <x:c r="J12" s="47" t="n">
        <x:v>0</x:v>
      </x:c>
    </x:row>
    <x:row r="13">
      <x:c r="A13" s="47" t="str">
        <x:v>RUN-TRF-118-20260813T155752624447Z</x:v>
      </x:c>
      <x:c r="B13" s="47" t="str">
        <x:v>TRF-118</x:v>
      </x:c>
      <x:c r="C13" s="47" t="str">
        <x:v>thrusterExtremeLoad</x:v>
      </x:c>
      <x:c r="D13" s="48" t="str">
        <x:v>https://w3id.org/nltl-benchmark/vocab#thrusterExtremeLoad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RUN-TRF-118-20260813T155752624447Z</x:v>
      </x:c>
      <x:c r="B14" s="47" t="str">
        <x:v>TRF-118</x:v>
      </x:c>
      <x:c r="C14" s="47" t="str">
        <x:v>thrusterOperability</x:v>
      </x:c>
      <x:c r="D14" s="48" t="str">
        <x:v>https://w3id.org/nltl-benchmark/vocab#thrusterOperability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RUN-TRF-118-20260813T155752624447Z</x:v>
      </x:c>
      <x:c r="B15" s="49" t="str">
        <x:v>TRF-118</x:v>
      </x:c>
      <x:c r="C15" s="49" t="str">
        <x:v>yieldSafetyFactor</x:v>
      </x:c>
      <x:c r="D15" s="50" t="str">
        <x:v>https://w3id.org/nltl-benchmark/vocab#yieldSafetyFactor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http://qudt.org/vocab/unit/UNITLESS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8869a933f842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RUN-TRF-118-20260813T155752624447Z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RUN-TRF-118-20260813T155752624447Z</x:v>
      </x:c>
      <x:c r="B5" s="45" t="str">
        <x:v>TRF-118</x:v>
      </x:c>
      <x:c r="C5" s="45" t="str">
        <x:v>FS-CALC-02</x:v>
      </x:c>
      <x:c r="D5" s="45" t="str">
        <x:v>comparison_calculation</x:v>
      </x:c>
      <x:c r="E5" s="99" t="n">
        <x:v>0.050633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RUN-TRF-118-20260813T155752624447Z</x:v>
      </x:c>
      <x:c r="B6" s="49" t="str">
        <x:v>TRF-118</x:v>
      </x:c>
      <x:c r="C6" s="49" t="str">
        <x:v>FS-BOOL-01</x:v>
      </x:c>
      <x:c r="D6" s="49" t="str">
        <x:v>boolean_state</x:v>
      </x:c>
      <x:c r="E6" s="100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fe3d23eb54c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RUN-TRF-118-20260813T155752624447Z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RUN-TRF-118-20260813T155752624447Z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https://w3id.org/nltl-benchmark/vocab#hasComponent | https://w3id.org/nltl-benchmark/vocab#localStressConcentration | https://w3id.org/nltl-benchmark/vocab#materialYieldStrength | https://w3id.org/nltl-benchmark/vocab#nominalVonMisesStress | https://w3id.org/nltl-benchmark/vocab#repairRequired | https://w3id.org/nltl-benchmark/vocab#ship | https://w3id.org/nltl-benchmark/vocab#thrusterExtremeLoad | https://w3id.org/nltl-benchmark/vocab#thrusterOperability | https://w3id.org/nltl-benchmark/vocab#yieldSafetyFactor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0b759653064e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RUN-TRF-118-20260813T155752624447Z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RUN-TRF-118-20260813T155752624447Z</x:v>
      </x:c>
      <x:c r="B5" s="45" t="str">
        <x:v>TRF-118</x:v>
      </x:c>
      <x:c r="C5" s="58" t="n">
        <x:v>1</x:v>
      </x:c>
      <x:c r="D5" s="45" t="str">
        <x:v>matcher_search</x:v>
      </x:c>
      <x:c r="E5" s="46" t="str">
        <x:v>The material-yield-strength operand is checked through hasComponent even though requiredOwner and requiredTargetOwner require ship ownership; remove this indirection and do not duplicate the fact. Because the supplied materialYieldStrength term has a shipComponent domain, locate a canonical ship-owned yield-strength operand (or repair that vocabulary mismatch), then use its direct ship path in both Core constraints and SPARQL. Also explicitly bind the operability/no-repair evidence to the extreme load multiplied by 1.3; the current graph uses 1.3 only in the nominal-stress comparison and otherwise provides a presence-only approximation of the amplified-load requirement.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RUN-TRF-118-20260813T155752624447Z</x:v>
      </x:c>
      <x:c r="B6" s="49" t="str">
        <x:v>TRF-118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verified as a ship-owned yield-strength operand: materialYieldStrength has the reported shipComponent-domain mismatch, while yieldStrength does not cite TRF-118 or establish ship ownership.</x:v>
      </x:c>
    </x:row>
  </x:sheetData>
  <x:pageMargins left="0.7" right="0.7" top="0.75" bottom="0.75" header="0.3" footer="0.3"/>
  <x:tableParts count="1">
    <x:tablePart xmlns:r="http://schemas.openxmlformats.org/officeDocument/2006/relationships" r:id="Ra14b89ab3d1c484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RUN-TRF-118-20260813T155752624447Z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RUN-TRF-118-20260813T155752624447Z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44461dba6d945d106664e6ae5d47891643bcc3630ce1482f251e3ba553faafa5</x:v>
      </x:c>
      <x:c r="G5" s="58" t="n">
        <x:v>16640</x:v>
      </x:c>
    </x:row>
    <x:row r="6">
      <x:c r="A6" s="47" t="str">
        <x:v>RUN-TRF-118-20260813T155752624447Z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da29d3f7df3a09f15ddbb8fd17580e14c731c05e2d2bdcbae382116f86ebf067</x:v>
      </x:c>
      <x:c r="G6" s="59" t="n">
        <x:v>4857</x:v>
      </x:c>
    </x:row>
    <x:row r="7">
      <x:c r="A7" s="47" t="str">
        <x:v>RUN-TRF-118-20260813T155752624447Z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46f7989d1bccc122637655305752872f8f7d0762d1e0d6e4db5745a5bf14713c</x:v>
      </x:c>
      <x:c r="G7" s="59" t="n">
        <x:v>28109</x:v>
      </x:c>
    </x:row>
    <x:row r="8">
      <x:c r="A8" s="47" t="str">
        <x:v>RUN-TRF-118-20260813T155752624447Z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06f8deb437cc98f289f2d484106d2b7201fc28f2d0b38be9bc216540705a0289</x:v>
      </x:c>
      <x:c r="G8" s="59" t="n">
        <x:v>4919</x:v>
      </x:c>
    </x:row>
    <x:row r="9">
      <x:c r="A9" s="47" t="str">
        <x:v>RUN-TRF-118-20260813T155752624447Z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98e4e7b2af83b96ace61946b4290caca0275790770dc428a7b6665af42f2e6f2</x:v>
      </x:c>
      <x:c r="G9" s="59" t="n">
        <x:v>4894</x:v>
      </x:c>
    </x:row>
    <x:row r="10">
      <x:c r="A10" s="47" t="str">
        <x:v>RUN-TRF-118-20260813T155752624447Z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de265df7d2019b81bff404b9cb31990d8111eda31b39b2b4a52b2bad0f75e2d4</x:v>
      </x:c>
      <x:c r="G10" s="59" t="n">
        <x:v>954</x:v>
      </x:c>
    </x:row>
    <x:row r="11">
      <x:c r="A11" s="47" t="str">
        <x:v>RUN-TRF-118-20260813T155752624447Z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b3bda31b3fe39f203b6718b598a869b1f3591127d655fa85817de2ba919e8b08</x:v>
      </x:c>
      <x:c r="G11" s="59" t="n">
        <x:v>29216</x:v>
      </x:c>
    </x:row>
    <x:row r="12">
      <x:c r="A12" s="47" t="str">
        <x:v>RUN-TRF-118-20260813T155752624447Z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2c18499baae14d1da945b955691c679dd476e4743954b3d6611c0b150d78201c</x:v>
      </x:c>
      <x:c r="G12" s="59" t="n">
        <x:v>741</x:v>
      </x:c>
    </x:row>
    <x:row r="13">
      <x:c r="A13" s="47" t="str">
        <x:v>RUN-TRF-118-20260813T155752624447Z</x:v>
      </x:c>
      <x:c r="B13" s="47" t="str">
        <x:v>TRF-118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070beb49436eb9e0ba29a5f48600326124e98b798ebd2cab550b686b1bd0b4c8</x:v>
      </x:c>
      <x:c r="G13" s="59" t="n">
        <x:v>4131</x:v>
      </x:c>
    </x:row>
    <x:row r="14">
      <x:c r="A14" s="47" t="str">
        <x:v>RUN-TRF-118-20260813T155752624447Z</x:v>
      </x:c>
      <x:c r="B14" s="47" t="str">
        <x:v>TRF-118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3734ca104100763e6a0c97a912c67fe409b8b12a4173b3505a2ec3dffd9e280b</x:v>
      </x:c>
      <x:c r="G14" s="59" t="n">
        <x:v>10019</x:v>
      </x:c>
    </x:row>
    <x:row r="15">
      <x:c r="A15" s="49" t="str">
        <x:v>RUN-TRF-118-20260813T155752624447Z</x:v>
      </x:c>
      <x:c r="B15" s="49" t="str">
        <x:v>TRF-118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7c60b83d77ac3815f8fec48a5112c9e30d88c7373a4798b78851d5fbb847cb34</x:v>
      </x:c>
      <x:c r="G15" s="60" t="n">
        <x:v>303</x:v>
      </x:c>
    </x:row>
  </x:sheetData>
  <x:pageMargins left="0.7" right="0.7" top="0.75" bottom="0.75" header="0.3" footer="0.3"/>
  <x:tableParts count="1">
    <x:tablePart xmlns:r="http://schemas.openxmlformats.org/officeDocument/2006/relationships" r:id="Rd97886f0344447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RUN-TRF-118-20260813T155752624447Z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RUN-TRF-118-20260813T155752624447Z</x:v>
      </x:c>
      <x:c r="B5" s="69" t="str">
        <x:v>TRF-118</x:v>
      </x:c>
      <x:c r="C5" s="71" t="n">
        <x:v>1</x:v>
      </x:c>
      <x:c r="D5" s="69" t="str">
        <x:v>TERM_RESOLUTION_UNRESOLVED</x:v>
      </x:c>
      <x:c r="E5" s="73" t="str">
        <x:v>No supplied candidate is verified as a ship-owned yield-strength operand: materialYieldStrength has the reported shipComponent-domain mismatch, while yieldStrength does not cite TRF-118 or establish ship ownership.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81a37a7cc94c3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RUN-TRF-118-20260813T155752624447Z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