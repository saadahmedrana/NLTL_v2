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d8728c06b4f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2e2efbce05467f"/>
    <x:sheet xmlns:r="http://schemas.openxmlformats.org/officeDocument/2006/relationships" name="README" sheetId="2" r:id="R3f3ee614c75b4aa1"/>
    <x:sheet xmlns:r="http://schemas.openxmlformats.org/officeDocument/2006/relationships" name="REGULATION_QUEUE" sheetId="3" r:id="R8bb6b79f16844a33"/>
    <x:sheet xmlns:r="http://schemas.openxmlformats.org/officeDocument/2006/relationships" name="RUNS" sheetId="4" r:id="Ree4a13c005df4ffc"/>
    <x:sheet xmlns:r="http://schemas.openxmlformats.org/officeDocument/2006/relationships" name="ITERATIONS" sheetId="5" r:id="R19d46f5ad1964e58"/>
    <x:sheet xmlns:r="http://schemas.openxmlformats.org/officeDocument/2006/relationships" name="API_CALLS" sheetId="6" r:id="R90d674e410c44a86"/>
    <x:sheet xmlns:r="http://schemas.openxmlformats.org/officeDocument/2006/relationships" name="TERM_RETRIEVAL" sheetId="7" r:id="Rd96345836f6e4053"/>
    <x:sheet xmlns:r="http://schemas.openxmlformats.org/officeDocument/2006/relationships" name="FEW_SHOT_SELECTION" sheetId="8" r:id="Rb86d565540204c57"/>
    <x:sheet xmlns:r="http://schemas.openxmlformats.org/officeDocument/2006/relationships" name="VALIDATION" sheetId="9" r:id="Rc124bc327d8d4225"/>
    <x:sheet xmlns:r="http://schemas.openxmlformats.org/officeDocument/2006/relationships" name="VOCAB_MATCHES" sheetId="10" r:id="R8137b0ba63684136"/>
    <x:sheet xmlns:r="http://schemas.openxmlformats.org/officeDocument/2006/relationships" name="ARTIFACTS" sheetId="11" r:id="R5e8ecabef5004bc1"/>
    <x:sheet xmlns:r="http://schemas.openxmlformats.org/officeDocument/2006/relationships" name="UNRESOLVED" sheetId="12" r:id="R8e43dfd8adad4c8a"/>
    <x:sheet xmlns:r="http://schemas.openxmlformats.org/officeDocument/2006/relationships" name="RDF_TEST_QUEUE" sheetId="13" r:id="Rde0986361b47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3dbd3e936e4dae" /><Relationship Type="http://schemas.openxmlformats.org/officeDocument/2006/relationships/theme" Target="/xl/theme/theme1.xml" Id="Rd27cd19ae6824168" /><Relationship Type="http://schemas.microsoft.com/office/2022/11/relationships/FeaturePropertyBag" Target="/xl/featurePropertyBag/featurePropertyBag.xml" Id="R3a92388cdda04048" /><Relationship Type="http://schemas.openxmlformats.org/officeDocument/2006/relationships/sharedStrings" Target="/xl/sharedStrings.xml" Id="Rbf123982e37744c3" /><Relationship Type="http://schemas.openxmlformats.org/officeDocument/2006/relationships/worksheet" Target="/xl/worksheets/sheet1.xml" Id="Ra22e2efbce05467f" /><Relationship Type="http://schemas.openxmlformats.org/officeDocument/2006/relationships/worksheet" Target="/xl/worksheets/sheet2.xml" Id="R3f3ee614c75b4aa1" /><Relationship Type="http://schemas.openxmlformats.org/officeDocument/2006/relationships/worksheet" Target="/xl/worksheets/sheet3.xml" Id="R8bb6b79f16844a33" /><Relationship Type="http://schemas.openxmlformats.org/officeDocument/2006/relationships/worksheet" Target="/xl/worksheets/sheet4.xml" Id="Ree4a13c005df4ffc" /><Relationship Type="http://schemas.openxmlformats.org/officeDocument/2006/relationships/worksheet" Target="/xl/worksheets/sheet5.xml" Id="R19d46f5ad1964e58" /><Relationship Type="http://schemas.openxmlformats.org/officeDocument/2006/relationships/worksheet" Target="/xl/worksheets/sheet6.xml" Id="R90d674e410c44a86" /><Relationship Type="http://schemas.openxmlformats.org/officeDocument/2006/relationships/worksheet" Target="/xl/worksheets/sheet7.xml" Id="Rd96345836f6e4053" /><Relationship Type="http://schemas.openxmlformats.org/officeDocument/2006/relationships/worksheet" Target="/xl/worksheets/sheet8.xml" Id="Rb86d565540204c57" /><Relationship Type="http://schemas.openxmlformats.org/officeDocument/2006/relationships/worksheet" Target="/xl/worksheets/sheet9.xml" Id="Rc124bc327d8d4225" /><Relationship Type="http://schemas.openxmlformats.org/officeDocument/2006/relationships/worksheet" Target="/xl/worksheets/sheet10.xml" Id="R8137b0ba63684136" /><Relationship Type="http://schemas.openxmlformats.org/officeDocument/2006/relationships/worksheet" Target="/xl/worksheets/sheet11.xml" Id="R5e8ecabef5004bc1" /><Relationship Type="http://schemas.openxmlformats.org/officeDocument/2006/relationships/worksheet" Target="/xl/worksheets/sheet12.xml" Id="R8e43dfd8adad4c8a" /><Relationship Type="http://schemas.openxmlformats.org/officeDocument/2006/relationships/worksheet" Target="/xl/worksheets/sheet13.xml" Id="Rde0986361b4743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bda749457347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40b385eccf42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c4c2d6f68041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70cb411b4c42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ea2c685b7342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e8455b61144c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65b0e6403654c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d01f8387714df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30c33b1601141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cbb55b403db43b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3d01cd8d90e48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RUN-TRF-078-20260820T150649418367Z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23329.766166666668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RUN-TRF-078-20260820T150649418367Z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bda749457347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RUN-TRF-078-20260820T150649418367Z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TERM_RESOLUTION_UNRESOLVED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40b385eccf42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RUN-TRF-078-20260820T150649418367Z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RUN-TRF-078-20260820T150649418367Z</x:v>
      </x:c>
      <x:c r="C5" s="69" t="str">
        <x:v>TRF-078</x:v>
      </x:c>
      <x:c r="D5" s="70" t="n">
        <x:v>46254.62973865741</x:v>
      </x:c>
      <x:c r="E5" s="70" t="n">
        <x:v>46254.63056333333</x:v>
      </x:c>
      <x:c r="F5" s="69" t="str">
        <x:v>1.6.0-development-r9-terra-pilot-33</x:v>
      </x:c>
      <x:c r="G5" s="69" t="str">
        <x:v>VOCAB-LOCK-2026-08-20-R9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selection-key or pairing relationship that binds a Table 6-7 lookup case or selected factor to the ship's declared propeller location.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c4c2d6f68041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RUN-TRF-078-20260820T150649418367Z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RUN-TRF-078-20260820T150649418367Z</x:v>
      </x:c>
      <x:c r="B5" s="69" t="str">
        <x:v>TRF-078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Add a canonical relationship/path that binds the Table 6-7 lookup case (and its selectedPropellerLocationFactor) to the ship's declared propellerLocation; the current graph merely requires both disconnected facts, so an arbitrary Table 6-7 selection can satisfy it. Locate that absent canonical selection-key/pairing term via the matcher rather than inventing one. Also declare the lookup-case node as nltl:tableLookupCase and constrain nltl:tableReference to exactly one value per case (minCount/maxCount 1), so one case cannot cite both Table 6-6 and Table 6-7 and satisfy both qualified-case obligations.</x:v>
      </x:c>
      <x:c r="I5" s="75" t="n">
        <x:v>38903.262</x:v>
      </x:c>
      <x:c r="J5" s="75" t="n">
        <x:v>26817.061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70cb411b4c42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RUN-TRF-078-20260820T150649418367Z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RUN-TRF-078-20260820T150649418367Z</x:v>
      </x:c>
      <x:c r="C5" s="45" t="str">
        <x:v>TRF-078</x:v>
      </x:c>
      <x:c r="D5" s="88" t="n">
        <x:v>46254.630188958334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38902.258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RUN-TRF-078-20260820T150649418367Z</x:v>
      </x:c>
      <x:c r="C6" s="47" t="str">
        <x:v>TRF-078</x:v>
      </x:c>
      <x:c r="D6" s="91" t="n">
        <x:v>46254.63018896991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38903.262</x:v>
      </x:c>
      <x:c r="L6" s="93" t="b">
        <x:v>0</x:v>
      </x:c>
      <x:c r="M6" s="47" t="str">
        <x:v>resp_0f78e6ff00c25396006a871809be8c81958745b826c4f27447</x:v>
      </x:c>
      <x:c r="N6" s="59" t="n">
        <x:v>13254</x:v>
      </x:c>
      <x:c r="O6" s="59" t="n">
        <x:v>3884</x:v>
      </x:c>
      <x:c r="P6" s="59" t="n">
        <x:v>17138</x:v>
      </x:c>
    </x:row>
    <x:row r="7">
      <x:c r="A7" s="47" t="str">
        <x:v>EVT-000046</x:v>
      </x:c>
      <x:c r="B7" s="47" t="str">
        <x:v>RUN-TRF-078-20260820T150649418367Z</x:v>
      </x:c>
      <x:c r="C7" s="47" t="str">
        <x:v>TRF-078</x:v>
      </x:c>
      <x:c r="D7" s="91" t="n">
        <x:v>46254.630501875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26815.389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RUN-TRF-078-20260820T150649418367Z</x:v>
      </x:c>
      <x:c r="C8" s="47" t="str">
        <x:v>TRF-078</x:v>
      </x:c>
      <x:c r="D8" s="91" t="n">
        <x:v>46254.63050189815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26817.061</x:v>
      </x:c>
      <x:c r="L8" s="93" t="b">
        <x:v>0</x:v>
      </x:c>
      <x:c r="M8" s="47" t="str">
        <x:v>resp_0bcdab2913d36991006a871830a674819083c9d10ddb4bc880</x:v>
      </x:c>
      <x:c r="N8" s="59" t="n">
        <x:v>14997</x:v>
      </x:c>
      <x:c r="O8" s="59" t="n">
        <x:v>2225</x:v>
      </x:c>
      <x:c r="P8" s="59" t="n">
        <x:v>17222</x:v>
      </x:c>
    </x:row>
    <x:row r="9">
      <x:c r="A9" s="47" t="str">
        <x:v>EVT-000053</x:v>
      </x:c>
      <x:c r="B9" s="47" t="str">
        <x:v>RUN-TRF-078-20260820T150649418367Z</x:v>
      </x:c>
      <x:c r="C9" s="47" t="str">
        <x:v>TRF-078</x:v>
      </x:c>
      <x:c r="D9" s="91" t="n">
        <x:v>46254.63056326389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4269.526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EVT-000054</x:v>
      </x:c>
      <x:c r="B10" s="49" t="str">
        <x:v>RUN-TRF-078-20260820T150649418367Z</x:v>
      </x:c>
      <x:c r="C10" s="49" t="str">
        <x:v>TRF-078</x:v>
      </x:c>
      <x:c r="D10" s="94" t="n">
        <x:v>46254.63056327547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4271.101</x:v>
      </x:c>
      <x:c r="L10" s="96" t="b">
        <x:v>0</x:v>
      </x:c>
      <x:c r="M10" s="49" t="str">
        <x:v>resp_0ae2b9d32863cc1b006a87184d33888197b9562ba999f08be5</x:v>
      </x:c>
      <x:c r="N10" s="60" t="n">
        <x:v>2341</x:v>
      </x:c>
      <x:c r="O10" s="60" t="n">
        <x:v>176</x:v>
      </x:c>
      <x:c r="P10" s="60" t="n">
        <x:v>2517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ea2c685b7342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RUN-TRF-078-20260820T150649418367Z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RUN-TRF-078-20260820T150649418367Z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classLoadCycleCount; domain dependency of iceLoadCycleCoefficientK1; domain dependency of iceLoadCycleCoefficientK2; domain dependency of iceLoadCycleCoefficientK3; domain dependency of iceLoadCycleCount; range dependency of propellerLocationValue</x:v>
      </x:c>
      <x:c r="J5" s="45" t="n">
        <x:v>0</x:v>
      </x:c>
    </x:row>
    <x:row r="6">
      <x:c r="A6" s="47" t="str">
        <x:v>RUN-TRF-078-20260820T150649418367Z</x:v>
      </x:c>
      <x:c r="B6" s="47" t="str">
        <x:v>TRF-078</x:v>
      </x:c>
      <x:c r="C6" s="47" t="str">
        <x:v>classLoadCycleCount</x:v>
      </x:c>
      <x:c r="D6" s="48" t="str">
        <x:v>https://w3id.org/nltl/vocab#classLoadCycleCount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RUN-TRF-078-20260820T150649418367Z</x:v>
      </x:c>
      <x:c r="B7" s="47" t="str">
        <x:v>TRF-078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RUN-TRF-078-20260820T150649418367Z</x:v>
      </x:c>
      <x:c r="B8" s="47" t="str">
        <x:v>TRF-078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RUN-TRF-078-20260820T150649418367Z</x:v>
      </x:c>
      <x:c r="B9" s="47" t="str">
        <x:v>TRF-078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RUN-TRF-078-20260820T150649418367Z</x:v>
      </x:c>
      <x:c r="B10" s="47" t="str">
        <x:v>TRF-078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RUN-TRF-078-20260820T150649418367Z</x:v>
      </x:c>
      <x:c r="B11" s="47" t="str">
        <x:v>TRF-078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traficomTable6Dash6; controlled value permitted by the range of traficomTable6Dash7</x:v>
      </x:c>
      <x:c r="J11" s="47" t="n">
        <x:v>0</x:v>
      </x:c>
    </x:row>
    <x:row r="12">
      <x:c r="A12" s="47" t="str">
        <x:v>RUN-TRF-078-20260820T150649418367Z</x:v>
      </x:c>
      <x:c r="B12" s="47" t="str">
        <x:v>TRF-078</x:v>
      </x:c>
      <x:c r="C12" s="47" t="str">
        <x:v>iceLoadCycleCoefficientK1</x:v>
      </x:c>
      <x:c r="D12" s="48" t="str">
        <x:v>https://w3id.org/nltl/vocab#iceLoadCycleCoefficientK1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RUN-TRF-078-20260820T150649418367Z</x:v>
      </x:c>
      <x:c r="B13" s="47" t="str">
        <x:v>TRF-078</x:v>
      </x:c>
      <x:c r="C13" s="47" t="str">
        <x:v>iceLoadCycleCoefficientK2</x:v>
      </x:c>
      <x:c r="D13" s="48" t="str">
        <x:v>https://w3id.org/nltl/vocab#iceLoadCycleCoefficientK2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RUN-TRF-078-20260820T150649418367Z</x:v>
      </x:c>
      <x:c r="B14" s="47" t="str">
        <x:v>TRF-078</x:v>
      </x:c>
      <x:c r="C14" s="47" t="str">
        <x:v>iceLoadCycleCoefficientK3</x:v>
      </x:c>
      <x:c r="D14" s="48" t="str">
        <x:v>https://w3id.org/nltl/vocab#iceLoadCycleCoefficientK3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RUN-TRF-078-20260820T150649418367Z</x:v>
      </x:c>
      <x:c r="B15" s="47" t="str">
        <x:v>TRF-078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RUN-TRF-078-20260820T150649418367Z</x:v>
      </x:c>
      <x:c r="B16" s="47" t="str">
        <x:v>TRF-078</x:v>
      </x:c>
      <x:c r="C16" s="47" t="str">
        <x:v>lookupSelectionEvidence</x:v>
      </x:c>
      <x:c r="D16" s="48" t="str">
        <x:v>https://w3id.org/nltl/vocab#lookupSelectionEvidence</x:v>
      </x:c>
      <x:c r="E16" s="47" t="str">
        <x:v>ObjectProperty</x:v>
      </x:c>
      <x:c r="F16" s="47" t="str"/>
      <x:c r="G16" s="47" t="str">
        <x:v>https://w3id.org/nltl/vocab#evidenceArtifact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RUN-TRF-078-20260820T150649418367Z</x:v>
      </x:c>
      <x:c r="B17" s="47" t="str">
        <x:v>TRF-078</x:v>
      </x:c>
      <x:c r="C17" s="47" t="str">
        <x:v>propellerBladeLoadSpectrumCountFactor</x:v>
      </x:c>
      <x:c r="D17" s="48" t="str">
        <x:v>https://w3id.org/nltl/vocab#propellerBladeLoadSpectrumCountFactor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RUN-TRF-078-20260820T150649418367Z</x:v>
      </x:c>
      <x:c r="B18" s="47" t="str">
        <x:v>TRF-078</x:v>
      </x:c>
      <x:c r="C18" s="47" t="str">
        <x:v>propellerLocation</x:v>
      </x:c>
      <x:c r="D18" s="48" t="str">
        <x:v>https://w3id.org/nltl/vocab#propellerLocation</x:v>
      </x:c>
      <x:c r="E18" s="47" t="str">
        <x:v>ObjectProperty</x:v>
      </x:c>
      <x:c r="F18" s="47" t="str"/>
      <x:c r="G18" s="47" t="str">
        <x:v>https://w3id.org/nltl/vocab#propellerLocationValue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RUN-TRF-078-20260820T150649418367Z</x:v>
      </x:c>
      <x:c r="B19" s="47" t="str">
        <x:v>TRF-078</x:v>
      </x:c>
      <x:c r="C19" s="47" t="str">
        <x:v>propellerLocationValue</x:v>
      </x:c>
      <x:c r="D19" s="48" t="str">
        <x:v>https://w3id.org/nltl/vocab#propellerLocationValue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propellerLocation</x:v>
      </x:c>
      <x:c r="J19" s="47" t="n">
        <x:v>0</x:v>
      </x:c>
    </x:row>
    <x:row r="20">
      <x:c r="A20" s="47" t="str">
        <x:v>RUN-TRF-078-20260820T150649418367Z</x:v>
      </x:c>
      <x:c r="B20" s="47" t="str">
        <x:v>TRF-078</x:v>
      </x:c>
      <x:c r="C20" s="47" t="str">
        <x:v>selectedIceClassCycleCount</x:v>
      </x:c>
      <x:c r="D20" s="48" t="str">
        <x:v>https://w3id.org/nltl/vocab#selectedIceClassCycleCount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RUN-TRF-078-20260820T150649418367Z</x:v>
      </x:c>
      <x:c r="B21" s="47" t="str">
        <x:v>TRF-078</x:v>
      </x:c>
      <x:c r="C21" s="47" t="str">
        <x:v>selectedPropellerLocationFactor</x:v>
      </x:c>
      <x:c r="D21" s="48" t="str">
        <x:v>https://w3id.org/nltl/vocab#selectedPropellerLocationFactor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RUN-TRF-078-20260820T150649418367Z</x:v>
      </x:c>
      <x:c r="B22" s="47" t="str">
        <x:v>TRF-078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hasTableLookupCase; domain dependency of propellerBladeLoadSpectrumCountFactor; domain dependency of propellerLocation</x:v>
      </x:c>
      <x:c r="J22" s="47" t="n">
        <x:v>0</x:v>
      </x:c>
    </x:row>
    <x:row r="23">
      <x:c r="A23" s="47" t="str">
        <x:v>RUN-TRF-078-20260820T150649418367Z</x:v>
      </x:c>
      <x:c r="B23" s="47" t="str">
        <x:v>TRF-078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RUN-TRF-078-20260820T150649418367Z</x:v>
      </x:c>
      <x:c r="B24" s="47" t="str">
        <x:v>TRF-078</x:v>
      </x:c>
      <x:c r="C24" s="47" t="str">
        <x:v>tableLookupCase</x:v>
      </x:c>
      <x:c r="D24" s="48" t="str">
        <x:v>https://w3id.org/nltl/vocab#tableLookupCase</x:v>
      </x:c>
      <x:c r="E24" s="47" t="str">
        <x:v>Class</x:v>
      </x:c>
      <x:c r="F24" s="47" t="str"/>
      <x:c r="G24" s="47" t="str">
        <x:v>https://w3id.org/nltl/vocab#calculationCase</x:v>
      </x:c>
      <x:c r="H24" s="47" t="str"/>
      <x:c r="I24" s="48" t="str">
        <x:v>authoritative required owner class; domain dependency of lookupSelectionEvidence; domain dependency of selectedIceClassCycleCount; domain dependency of selectedPropellerLocationFactor; domain dependency of tableReference; range dependency of hasTableLookupCase</x:v>
      </x:c>
      <x:c r="J24" s="47" t="n">
        <x:v>0</x:v>
      </x:c>
    </x:row>
    <x:row r="25">
      <x:c r="A25" s="47" t="str">
        <x:v>RUN-TRF-078-20260820T150649418367Z</x:v>
      </x:c>
      <x:c r="B25" s="47" t="str">
        <x:v>TRF-078</x:v>
      </x:c>
      <x:c r="C25" s="47" t="str">
        <x:v>tableReference</x:v>
      </x:c>
      <x:c r="D25" s="48" t="str">
        <x:v>https://w3id.org/nltl/vocab#tableReference</x:v>
      </x:c>
      <x:c r="E25" s="47" t="str">
        <x:v>ObjectProperty</x:v>
      </x:c>
      <x:c r="F25" s="47" t="str"/>
      <x:c r="G25" s="47" t="str">
        <x:v>https://w3id.org/nltl/vocab#tableReferenceValue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RUN-TRF-078-20260820T150649418367Z</x:v>
      </x:c>
      <x:c r="B26" s="47" t="str">
        <x:v>TRF-078</x:v>
      </x:c>
      <x:c r="C26" s="47" t="str">
        <x:v>tableReferenceValue</x:v>
      </x:c>
      <x:c r="D26" s="48" t="str">
        <x:v>https://w3id.org/nltl/vocab#tableReferenceValue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range dependency of tableReference; range dependency of traficomTable6Dash6; range dependency of traficomTable6Dash7</x:v>
      </x:c>
      <x:c r="J26" s="47" t="n">
        <x:v>0</x:v>
      </x:c>
    </x:row>
    <x:row r="27">
      <x:c r="A27" s="47" t="str">
        <x:v>RUN-TRF-078-20260820T150649418367Z</x:v>
      </x:c>
      <x:c r="B27" s="47" t="str">
        <x:v>TRF-078</x:v>
      </x:c>
      <x:c r="C27" s="47" t="str">
        <x:v>traficomTable4Dash8</x:v>
      </x:c>
      <x:c r="D27" s="48" t="str">
        <x:v>https://w3id.org/nltl/vocab#traficomTable4Dash8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traficomTable6Dash6; controlled value permitted by the range of traficomTable6Dash7</x:v>
      </x:c>
      <x:c r="J27" s="47" t="n">
        <x:v>0</x:v>
      </x:c>
    </x:row>
    <x:row r="28">
      <x:c r="A28" s="47" t="str">
        <x:v>RUN-TRF-078-20260820T150649418367Z</x:v>
      </x:c>
      <x:c r="B28" s="47" t="str">
        <x:v>TRF-078</x:v>
      </x:c>
      <x:c r="C28" s="47" t="str">
        <x:v>traficomTable6Dash10</x:v>
      </x:c>
      <x:c r="D28" s="48" t="str">
        <x:v>https://w3id.org/nltl/vocab#traficomTable6Dash10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traficomTable6Dash6; controlled value permitted by the range of traficomTable6Dash7</x:v>
      </x:c>
      <x:c r="J28" s="47" t="n">
        <x:v>0</x:v>
      </x:c>
    </x:row>
    <x:row r="29">
      <x:c r="A29" s="47" t="str">
        <x:v>RUN-TRF-078-20260820T150649418367Z</x:v>
      </x:c>
      <x:c r="B29" s="47" t="str">
        <x:v>TRF-078</x:v>
      </x:c>
      <x:c r="C29" s="47" t="str">
        <x:v>traficomTable6Dash16Reference</x:v>
      </x:c>
      <x:c r="D29" s="48" t="str">
        <x:v>https://w3id.org/nltl/vocab#traficomTable6Dash16Reference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traficomTable6Dash6; controlled value permitted by the range of traficomTable6Dash7</x:v>
      </x:c>
      <x:c r="J29" s="47" t="n">
        <x:v>0</x:v>
      </x:c>
    </x:row>
    <x:row r="30">
      <x:c r="A30" s="47" t="str">
        <x:v>RUN-TRF-078-20260820T150649418367Z</x:v>
      </x:c>
      <x:c r="B30" s="47" t="str">
        <x:v>TRF-078</x:v>
      </x:c>
      <x:c r="C30" s="47" t="str">
        <x:v>traficomTable6Dash3Reference</x:v>
      </x:c>
      <x:c r="D30" s="48" t="str">
        <x:v>https://w3id.org/nltl/vocab#traficomTable6Dash3Reference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tableReference; controlled value permitted by the range of traficomTable6Dash6; controlled value permitted by the range of traficomTable6Dash7</x:v>
      </x:c>
      <x:c r="J30" s="47" t="n">
        <x:v>0</x:v>
      </x:c>
    </x:row>
    <x:row r="31">
      <x:c r="A31" s="47" t="str">
        <x:v>RUN-TRF-078-20260820T150649418367Z</x:v>
      </x:c>
      <x:c r="B31" s="47" t="str">
        <x:v>TRF-078</x:v>
      </x:c>
      <x:c r="C31" s="47" t="str">
        <x:v>traficomTable6Dash6</x:v>
      </x:c>
      <x:c r="D31" s="48" t="str">
        <x:v>https://w3id.org/nltl/vocab#traficomTable6Dash6</x:v>
      </x:c>
      <x:c r="E31" s="47" t="str">
        <x:v>NamedIndividual</x:v>
      </x:c>
      <x:c r="F31" s="47" t="str"/>
      <x:c r="G31" s="47" t="str">
        <x:v>https://w3id.org/nltl/vocab#tableReferenceValue</x:v>
      </x:c>
      <x:c r="H31" s="47" t="str"/>
      <x:c r="I31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1" s="47" t="n">
        <x:v>0</x:v>
      </x:c>
    </x:row>
    <x:row r="32">
      <x:c r="A32" s="47" t="str">
        <x:v>RUN-TRF-078-20260820T150649418367Z</x:v>
      </x:c>
      <x:c r="B32" s="47" t="str">
        <x:v>TRF-078</x:v>
      </x:c>
      <x:c r="C32" s="47" t="str">
        <x:v>traficomTable6Dash7</x:v>
      </x:c>
      <x:c r="D32" s="48" t="str">
        <x:v>https://w3id.org/nltl/vocab#traficomTable6Dash7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2" s="47" t="n">
        <x:v>0</x:v>
      </x:c>
    </x:row>
    <x:row r="33">
      <x:c r="A33" s="47" t="str">
        <x:v>RUN-TRF-078-20260820T150649418367Z</x:v>
      </x:c>
      <x:c r="B33" s="47" t="str">
        <x:v>TRF-078</x:v>
      </x:c>
      <x:c r="C33" s="47" t="str">
        <x:v>traficomTable6Dash8</x:v>
      </x:c>
      <x:c r="D33" s="48" t="str">
        <x:v>https://w3id.org/nltl/vocab#traficomTable6Dash8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9" t="str">
        <x:v>RUN-TRF-078-20260820T150649418367Z</x:v>
      </x:c>
      <x:c r="B34" s="49" t="str">
        <x:v>TRF-078</x:v>
      </x:c>
      <x:c r="C34" s="49" t="str">
        <x:v>traficomTable6Dash9</x:v>
      </x:c>
      <x:c r="D34" s="50" t="str">
        <x:v>https://w3id.org/nltl/vocab#traficomTable6Dash9</x:v>
      </x:c>
      <x:c r="E34" s="49" t="str">
        <x:v>NamedIndividual</x:v>
      </x:c>
      <x:c r="F34" s="49" t="str"/>
      <x:c r="G34" s="49" t="str">
        <x:v>https://w3id.org/nltl/vocab#tableReferenceValue</x:v>
      </x:c>
      <x:c r="H34" s="49" t="str"/>
      <x:c r="I34" s="50" t="str">
        <x:v>controlled value permitted by the range of tableReference; controlled value permitted by the range of traficomTable6Dash6; controlled value permitted by the range of traficomTable6Dash7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e8455b61144c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RUN-TRF-078-20260820T150649418367Z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RUN-TRF-078-20260820T150649418367Z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9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RUN-TRF-078-20260820T150649418367Z</x:v>
      </x:c>
      <x:c r="B6" s="49" t="str">
        <x:v>TRF-078</x:v>
      </x:c>
      <x:c r="C6" s="49" t="str">
        <x:v>FS-REL-01</x:v>
      </x:c>
      <x:c r="D6" s="49" t="str">
        <x:v>entity_relation</x:v>
      </x:c>
      <x:c r="E6" s="100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5b0e6403654c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RUN-TRF-078-20260820T150649418367Z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RUN-TRF-078-20260820T150649418367Z</x:v>
      </x:c>
      <x:c r="B5" s="69" t="str">
        <x:v>TRF-078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https://w3id.org/nltl/vocab#classLoadCycleCount | https://w3id.org/nltl/vocab#evidenceArtifact | https://w3id.org/nltl/vocab#hasTableLookupCase | https://w3id.org/nltl/vocab#iceLoadCycleCoefficientK1 | https://w3id.org/nltl/vocab#iceLoadCycleCoefficientK2 | https://w3id.org/nltl/vocab#iceLoadCycleCoefficientK3 | https://w3id.org/nltl/vocab#iceLoadCycleCount | https://w3id.org/nltl/vocab#lookupSelectionEvidence | https://w3id.org/nltl/vocab#propellerBladeLoadSpectrumCountFactor | https://w3id.org/nltl/vocab#propellerLocation | https://w3id.org/nltl/vocab#propellerLocationValue | https://w3id.org/nltl/vocab#selectedIceClassCycleCount | https://w3id.org/nltl/vocab#selectedPropellerLocationFactor | https://w3id.org/nltl/vocab#ship | https://w3id.org/nltl/vocab#tableReference | https://w3id.org/nltl/vocab#traficomTable6Dash6 | https://w3id.org/nltl/vocab#traficomTable6Dash7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d01f8387714d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RUN-TRF-078-20260820T150649418367Z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RUN-TRF-078-20260820T150649418367Z</x:v>
      </x:c>
      <x:c r="B5" s="45" t="str">
        <x:v>TRF-078</x:v>
      </x:c>
      <x:c r="C5" s="58" t="n">
        <x:v>1</x:v>
      </x:c>
      <x:c r="D5" s="45" t="str">
        <x:v>matcher_search</x:v>
      </x:c>
      <x:c r="E5" s="46" t="str">
        <x:v>Add a canonical relationship/path that binds the Table 6-7 lookup case (and its selectedPropellerLocationFactor) to the ship's declared propellerLocation; the current graph merely requires both disconnected facts, so an arbitrary Table 6-7 selection can satisfy it. Locate that absent canonical selection-key/pairing term via the matcher rather than inventing one. Also declare the lookup-case node as nltl:tableLookupCase and constrain nltl:tableReference to exactly one value per case (minCount/maxCount 1), so one case cannot cite both Table 6-6 and Table 6-7 and satisfy both qualified-case obligations.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RUN-TRF-078-20260820T150649418367Z</x:v>
      </x:c>
      <x:c r="B6" s="49" t="str">
        <x:v>TRF-078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canonical selection-key or pairing relationship that binds a Table 6-7 lookup case or selected factor to the ship's declared propeller location.</x:v>
      </x:c>
    </x:row>
  </x:sheetData>
  <x:pageMargins left="0.7" right="0.7" top="0.75" bottom="0.75" header="0.3" footer="0.3"/>
  <x:tableParts count="1">
    <x:tablePart xmlns:r="http://schemas.openxmlformats.org/officeDocument/2006/relationships" r:id="Rf30c33b16011412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RUN-TRF-078-20260820T150649418367Z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RUN-TRF-078-20260820T150649418367Z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3917a4e2d7201d5db0528987b2fd21ba2fd1838e7995fc9b2c5d9fac47b7384f</x:v>
      </x:c>
      <x:c r="G5" s="58" t="n">
        <x:v>38547</x:v>
      </x:c>
    </x:row>
    <x:row r="6">
      <x:c r="A6" s="47" t="str">
        <x:v>RUN-TRF-078-20260820T150649418367Z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RUN-TRF-078-20260820T150649418367Z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453961ab5de4c009c3245b16749bd927728f50345dfac59ddaa3e59e603c71cd</x:v>
      </x:c>
      <x:c r="G7" s="59" t="n">
        <x:v>54897</x:v>
      </x:c>
    </x:row>
    <x:row r="8">
      <x:c r="A8" s="47" t="str">
        <x:v>RUN-TRF-078-20260820T150649418367Z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6723df22a334fcd2c3f09aaefbf1bae1cbf671e44dc0294017ff5827ed4d7704</x:v>
      </x:c>
      <x:c r="G8" s="59" t="n">
        <x:v>6718</x:v>
      </x:c>
    </x:row>
    <x:row r="9">
      <x:c r="A9" s="47" t="str">
        <x:v>RUN-TRF-078-20260820T150649418367Z</x:v>
      </x:c>
      <x:c r="B9" s="47" t="str">
        <x:v>TRF-078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71757346ad3c21e05d6679d14030c0a250f826014090d089a6a43a79b775a9e1</x:v>
      </x:c>
      <x:c r="G9" s="59" t="n">
        <x:v>6693</x:v>
      </x:c>
    </x:row>
    <x:row r="10">
      <x:c r="A10" s="47" t="str">
        <x:v>RUN-TRF-078-20260820T150649418367Z</x:v>
      </x:c>
      <x:c r="B10" s="47" t="str">
        <x:v>TRF-078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5899623c7ca120583b6c14d2cf28348082f4d9b07368b35954902d428f91c8cb</x:v>
      </x:c>
      <x:c r="G10" s="59" t="n">
        <x:v>1358</x:v>
      </x:c>
    </x:row>
    <x:row r="11">
      <x:c r="A11" s="47" t="str">
        <x:v>RUN-TRF-078-20260820T150649418367Z</x:v>
      </x:c>
      <x:c r="B11" s="47" t="str">
        <x:v>TRF-078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f699a73850bb82ff42729cff719d70187e4267eb8a56786e20d17df6019c7c30</x:v>
      </x:c>
      <x:c r="G11" s="59" t="n">
        <x:v>59132</x:v>
      </x:c>
    </x:row>
    <x:row r="12">
      <x:c r="A12" s="47" t="str">
        <x:v>RUN-TRF-078-20260820T150649418367Z</x:v>
      </x:c>
      <x:c r="B12" s="47" t="str">
        <x:v>TRF-078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cb47ae2e80756aa782264e7213cf325d128de186eded05bdac341db34c8c49c8</x:v>
      </x:c>
      <x:c r="G12" s="59" t="n">
        <x:v>670</x:v>
      </x:c>
    </x:row>
    <x:row r="13">
      <x:c r="A13" s="47" t="str">
        <x:v>RUN-TRF-078-20260820T150649418367Z</x:v>
      </x:c>
      <x:c r="B13" s="47" t="str">
        <x:v>TRF-078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6332cadc982875a6ecd8bbb17ea9c61fa642c08d7677a660597f924f12ad1bc8</x:v>
      </x:c>
      <x:c r="G13" s="59" t="n">
        <x:v>3091</x:v>
      </x:c>
    </x:row>
    <x:row r="14">
      <x:c r="A14" s="47" t="str">
        <x:v>RUN-TRF-078-20260820T150649418367Z</x:v>
      </x:c>
      <x:c r="B14" s="47" t="str">
        <x:v>TRF-078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b0feb48228219798ab27cd1ee22b8ce4553a2cc10954cb6aeba692c9c3b8da36</x:v>
      </x:c>
      <x:c r="G14" s="59" t="n">
        <x:v>9121</x:v>
      </x:c>
    </x:row>
    <x:row r="15">
      <x:c r="A15" s="49" t="str">
        <x:v>RUN-TRF-078-20260820T150649418367Z</x:v>
      </x:c>
      <x:c r="B15" s="49" t="str">
        <x:v>TRF-078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7faadd9637079adb791d6be24e7f88653b085f720e962f594611563288143d14</x:v>
      </x:c>
      <x:c r="G15" s="60" t="n">
        <x:v>260</x:v>
      </x:c>
    </x:row>
  </x:sheetData>
  <x:pageMargins left="0.7" right="0.7" top="0.75" bottom="0.75" header="0.3" footer="0.3"/>
  <x:tableParts count="1">
    <x:tablePart xmlns:r="http://schemas.openxmlformats.org/officeDocument/2006/relationships" r:id="Recbb55b403db43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RUN-TRF-078-20260820T150649418367Z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RUN-TRF-078-20260820T150649418367Z</x:v>
      </x:c>
      <x:c r="B5" s="69" t="str">
        <x:v>TRF-078</x:v>
      </x:c>
      <x:c r="C5" s="71" t="n">
        <x:v>1</x:v>
      </x:c>
      <x:c r="D5" s="69" t="str">
        <x:v>TERM_RESOLUTION_UNRESOLVED</x:v>
      </x:c>
      <x:c r="E5" s="73" t="str">
        <x:v>No supplied candidate is a canonical selection-key or pairing relationship that binds a Table 6-7 lookup case or selected factor to the ship's declared propeller location.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d01cd8d90e482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RUN-TRF-078-20260820T150649418367Z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