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e6b8b600a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fd1c1def0944f0"/>
    <x:sheet xmlns:r="http://schemas.openxmlformats.org/officeDocument/2006/relationships" name="README" sheetId="2" r:id="Rf2739b50ee2d4295"/>
    <x:sheet xmlns:r="http://schemas.openxmlformats.org/officeDocument/2006/relationships" name="REGULATION_QUEUE" sheetId="3" r:id="Ref1d7a88be654f3a"/>
    <x:sheet xmlns:r="http://schemas.openxmlformats.org/officeDocument/2006/relationships" name="RUNS" sheetId="4" r:id="R042945445497426a"/>
    <x:sheet xmlns:r="http://schemas.openxmlformats.org/officeDocument/2006/relationships" name="ITERATIONS" sheetId="5" r:id="Rbbfb8f0305244bdf"/>
    <x:sheet xmlns:r="http://schemas.openxmlformats.org/officeDocument/2006/relationships" name="API_CALLS" sheetId="6" r:id="Ra84e122d45fb48eb"/>
    <x:sheet xmlns:r="http://schemas.openxmlformats.org/officeDocument/2006/relationships" name="TERM_RETRIEVAL" sheetId="7" r:id="R3a9f8702b48045ea"/>
    <x:sheet xmlns:r="http://schemas.openxmlformats.org/officeDocument/2006/relationships" name="FEW_SHOT_SELECTION" sheetId="8" r:id="Rfa0f11f0274147cc"/>
    <x:sheet xmlns:r="http://schemas.openxmlformats.org/officeDocument/2006/relationships" name="VALIDATION" sheetId="9" r:id="R2476d154443f44e0"/>
    <x:sheet xmlns:r="http://schemas.openxmlformats.org/officeDocument/2006/relationships" name="VOCAB_MATCHES" sheetId="10" r:id="R3af5b51954324b6a"/>
    <x:sheet xmlns:r="http://schemas.openxmlformats.org/officeDocument/2006/relationships" name="ARTIFACTS" sheetId="11" r:id="R18a2ad7ae0a749b4"/>
    <x:sheet xmlns:r="http://schemas.openxmlformats.org/officeDocument/2006/relationships" name="UNRESOLVED" sheetId="12" r:id="Rc3d2410f5d8241db"/>
    <x:sheet xmlns:r="http://schemas.openxmlformats.org/officeDocument/2006/relationships" name="RDF_TEST_QUEUE" sheetId="13" r:id="R15a87d2840f1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f1f89e0d447a3" /><Relationship Type="http://schemas.openxmlformats.org/officeDocument/2006/relationships/theme" Target="/xl/theme/theme1.xml" Id="Rc8ea032a1298454d" /><Relationship Type="http://schemas.microsoft.com/office/2022/11/relationships/FeaturePropertyBag" Target="/xl/featurePropertyBag/featurePropertyBag.xml" Id="Rb95673dd2bfd4014" /><Relationship Type="http://schemas.openxmlformats.org/officeDocument/2006/relationships/sharedStrings" Target="/xl/sharedStrings.xml" Id="R11a4ba3d392b4d76" /><Relationship Type="http://schemas.openxmlformats.org/officeDocument/2006/relationships/worksheet" Target="/xl/worksheets/sheet1.xml" Id="Ra6fd1c1def0944f0" /><Relationship Type="http://schemas.openxmlformats.org/officeDocument/2006/relationships/worksheet" Target="/xl/worksheets/sheet2.xml" Id="Rf2739b50ee2d4295" /><Relationship Type="http://schemas.openxmlformats.org/officeDocument/2006/relationships/worksheet" Target="/xl/worksheets/sheet3.xml" Id="Ref1d7a88be654f3a" /><Relationship Type="http://schemas.openxmlformats.org/officeDocument/2006/relationships/worksheet" Target="/xl/worksheets/sheet4.xml" Id="R042945445497426a" /><Relationship Type="http://schemas.openxmlformats.org/officeDocument/2006/relationships/worksheet" Target="/xl/worksheets/sheet5.xml" Id="Rbbfb8f0305244bdf" /><Relationship Type="http://schemas.openxmlformats.org/officeDocument/2006/relationships/worksheet" Target="/xl/worksheets/sheet6.xml" Id="Ra84e122d45fb48eb" /><Relationship Type="http://schemas.openxmlformats.org/officeDocument/2006/relationships/worksheet" Target="/xl/worksheets/sheet7.xml" Id="R3a9f8702b48045ea" /><Relationship Type="http://schemas.openxmlformats.org/officeDocument/2006/relationships/worksheet" Target="/xl/worksheets/sheet8.xml" Id="Rfa0f11f0274147cc" /><Relationship Type="http://schemas.openxmlformats.org/officeDocument/2006/relationships/worksheet" Target="/xl/worksheets/sheet9.xml" Id="R2476d154443f44e0" /><Relationship Type="http://schemas.openxmlformats.org/officeDocument/2006/relationships/worksheet" Target="/xl/worksheets/sheet10.xml" Id="R3af5b51954324b6a" /><Relationship Type="http://schemas.openxmlformats.org/officeDocument/2006/relationships/worksheet" Target="/xl/worksheets/sheet11.xml" Id="R18a2ad7ae0a749b4" /><Relationship Type="http://schemas.openxmlformats.org/officeDocument/2006/relationships/worksheet" Target="/xl/worksheets/sheet12.xml" Id="Rc3d2410f5d8241db" /><Relationship Type="http://schemas.openxmlformats.org/officeDocument/2006/relationships/worksheet" Target="/xl/worksheets/sheet13.xml" Id="R15a87d2840f1441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28fe40c0b0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933092f49241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d54e4b29ad47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484bdcb98b46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3a2b90fa6041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666b167d9740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99c612e4444c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7c048446e04b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607ddb855941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5c71784cb2b44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RUN-TRF-114-20260820T152319906700Z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23252.434374999997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RUN-TRF-114-20260820T152319906700Z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28fe40c0b0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RUN-TRF-114-20260820T152319906700Z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GENERATION_ACCEPTED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933092f49241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RUN-TRF-114-20260820T152319906700Z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SESSION-BATCH-20260820T143949334635Z</x:v>
      </x:c>
      <x:c r="B5" s="69" t="str">
        <x:v>RUN-TRF-114-20260820T152319906700Z</x:v>
      </x:c>
      <x:c r="C5" s="69" t="str">
        <x:v>TRF-114</x:v>
      </x:c>
      <x:c r="D5" s="70" t="n">
        <x:v>46254.64120265046</x:v>
      </x:c>
      <x:c r="E5" s="70" t="n">
        <x:v>46254.64228494213</x:v>
      </x:c>
      <x:c r="F5" s="69" t="str">
        <x:v>1.6.0-development-r9-terra-pilot-33</x:v>
      </x:c>
      <x:c r="G5" s="69" t="str">
        <x:v>VOCAB-LOCK-2026-08-20-R9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obligations, including the required ship-to-case and case-to-body paths, table references, inputs and result, units/datatypes, bounded non-hemispherical alternative, evidence requirements, ship-owned radius, and the explicit direct capacity-versus-demand check. The prior single-valued contact-geometry repair is retained.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d54e4b29ad47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RUN-TRF-114-20260820T152319906700Z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RUN-TRF-114-20260820T152319906700Z</x:v>
      </x:c>
      <x:c r="B5" s="45" t="str">
        <x:v>TRF-114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contactGeometryClassification single-valued (add sh:maxCount 1 alongside its existing sh:minCount 1) while retaining the hemispherical/non-hemispherical sh:or. As written, a case can assert both values and satisfy the hemispherical branch without the radius and correspondence-evidence obligations required by its non-hemispherical value.</x:v>
      </x:c>
      <x:c r="I5" s="81" t="n">
        <x:v>37286.018</x:v>
      </x:c>
      <x:c r="J5" s="81" t="n">
        <x:v>13175.814</x:v>
      </x:c>
    </x:row>
    <x:row r="6">
      <x:c r="A6" s="49" t="str">
        <x:v>RUN-TRF-114-20260820T152319906700Z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obligations, including the required ship-to-case and case-to-body paths, table references, inputs and result, units/datatypes, bounded non-hemispherical alternative, evidence requirements, ship-owned radius, and the explicit direct capacity-versus-demand check. The prior single-valued contact-geometry repair is retained.</x:v>
      </x:c>
      <x:c r="I6" s="83" t="n">
        <x:v>29345.898</x:v>
      </x:c>
      <x:c r="J6" s="83" t="n">
        <x:v>13205.063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84bdcb98b46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RUN-TRF-114-20260820T152319906700Z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RUN-TRF-114-20260820T152319906700Z</x:v>
      </x:c>
      <x:c r="C5" s="45" t="str">
        <x:v>TRF-114</x:v>
      </x:c>
      <x:c r="D5" s="90" t="n">
        <x:v>46254.64163423611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37284.398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EVT-000045</x:v>
      </x:c>
      <x:c r="B6" s="47" t="str">
        <x:v>RUN-TRF-114-20260820T152319906700Z</x:v>
      </x:c>
      <x:c r="C6" s="47" t="str">
        <x:v>TRF-114</x:v>
      </x:c>
      <x:c r="D6" s="91" t="n">
        <x:v>46254.64163425926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37286.018</x:v>
      </x:c>
      <x:c r="L6" s="93" t="b">
        <x:v>0</x:v>
      </x:c>
      <x:c r="M6" s="47" t="str">
        <x:v>resp_001f97be5618e9fa006a871be816f48197a3f9c2496355e39f</x:v>
      </x:c>
      <x:c r="N6" s="59" t="n">
        <x:v>16311</x:v>
      </x:c>
      <x:c r="O6" s="59" t="n">
        <x:v>3623</x:v>
      </x:c>
      <x:c r="P6" s="59" t="n">
        <x:v>19934</x:v>
      </x:c>
    </x:row>
    <x:row r="7">
      <x:c r="A7" s="47" t="str">
        <x:v>EVT-000052</x:v>
      </x:c>
      <x:c r="B7" s="47" t="str">
        <x:v>RUN-TRF-114-20260820T152319906700Z</x:v>
      </x:c>
      <x:c r="C7" s="47" t="str">
        <x:v>TRF-114</x:v>
      </x:c>
      <x:c r="D7" s="91" t="n">
        <x:v>46254.64178950231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13174.323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EVT-000053</x:v>
      </x:c>
      <x:c r="B8" s="47" t="str">
        <x:v>RUN-TRF-114-20260820T152319906700Z</x:v>
      </x:c>
      <x:c r="C8" s="47" t="str">
        <x:v>TRF-114</x:v>
      </x:c>
      <x:c r="D8" s="91" t="n">
        <x:v>46254.64178951389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13175.814</x:v>
      </x:c>
      <x:c r="L8" s="93" t="b">
        <x:v>0</x:v>
      </x:c>
      <x:c r="M8" s="47" t="str">
        <x:v>resp_010562086cfbb2c9006a871c0d96d48194bc03df0c6b3f08c8</x:v>
      </x:c>
      <x:c r="N8" s="59" t="n">
        <x:v>17942</x:v>
      </x:c>
      <x:c r="O8" s="59" t="n">
        <x:v>1029</x:v>
      </x:c>
      <x:c r="P8" s="59" t="n">
        <x:v>18971</x:v>
      </x:c>
    </x:row>
    <x:row r="9">
      <x:c r="A9" s="47" t="str">
        <x:v>EVT-000058</x:v>
      </x:c>
      <x:c r="B9" s="47" t="str">
        <x:v>RUN-TRF-114-20260820T152319906700Z</x:v>
      </x:c>
      <x:c r="C9" s="47" t="str">
        <x:v>TRF-114</x:v>
      </x:c>
      <x:c r="D9" s="91" t="n">
        <x:v>46254.642129224536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29344.388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RUN-TRF-114-20260820T152319906700Z</x:v>
      </x:c>
      <x:c r="C10" s="47" t="str">
        <x:v>TRF-114</x:v>
      </x:c>
      <x:c r="D10" s="91" t="n">
        <x:v>46254.64212923611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29345.898</x:v>
      </x:c>
      <x:c r="L10" s="93" t="b">
        <x:v>0</x:v>
      </x:c>
      <x:c r="M10" s="47" t="str">
        <x:v>resp_036d044f13bd08aa006a871c1ac6a8819088b9a50266159b1b</x:v>
      </x:c>
      <x:c r="N10" s="59" t="n">
        <x:v>16381</x:v>
      </x:c>
      <x:c r="O10" s="59" t="n">
        <x:v>2964</x:v>
      </x:c>
      <x:c r="P10" s="59" t="n">
        <x:v>19345</x:v>
      </x:c>
    </x:row>
    <x:row r="11">
      <x:c r="A11" s="47" t="str">
        <x:v>EVT-000066</x:v>
      </x:c>
      <x:c r="B11" s="47" t="str">
        <x:v>RUN-TRF-114-20260820T152319906700Z</x:v>
      </x:c>
      <x:c r="C11" s="47" t="str">
        <x:v>TRF-114</x:v>
      </x:c>
      <x:c r="D11" s="91" t="n">
        <x:v>46254.642284884256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13203.573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EVT-000067</x:v>
      </x:c>
      <x:c r="B12" s="49" t="str">
        <x:v>RUN-TRF-114-20260820T152319906700Z</x:v>
      </x:c>
      <x:c r="C12" s="49" t="str">
        <x:v>TRF-114</x:v>
      </x:c>
      <x:c r="D12" s="94" t="n">
        <x:v>46254.64228490741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13205.063</x:v>
      </x:c>
      <x:c r="L12" s="82" t="b">
        <x:v>0</x:v>
      </x:c>
      <x:c r="M12" s="49" t="str">
        <x:v>resp_055c3084258d1bda006a871c385e7c8197b32055fa7be1506c</x:v>
      </x:c>
      <x:c r="N12" s="60" t="n">
        <x:v>17840</x:v>
      </x:c>
      <x:c r="O12" s="60" t="n">
        <x:v>953</x:v>
      </x:c>
      <x:c r="P12" s="60" t="n">
        <x:v>18793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3a2b90fa6041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RUN-TRF-114-20260820T152319906700Z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RUN-TRF-114-20260820T152319906700Z</x:v>
      </x:c>
      <x:c r="B5" s="45" t="str">
        <x:v>TRF-114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iceOperatingSpeed; range dependency of contactGeometryValue</x:v>
      </x:c>
      <x:c r="J5" s="45" t="n">
        <x:v>0</x:v>
      </x:c>
    </x:row>
    <x:row r="6">
      <x:c r="A6" s="47" t="str">
        <x:v>RUN-TRF-114-20260820T152319906700Z</x:v>
      </x:c>
      <x:c r="B6" s="47" t="str">
        <x:v>TRF-114</x:v>
      </x:c>
      <x:c r="C6" s="47" t="str">
        <x:v>contactGeometryClassification</x:v>
      </x:c>
      <x:c r="D6" s="48" t="str">
        <x:v>https://w3id.org/nltl/vocab#contactGeometryClassification</x:v>
      </x:c>
      <x:c r="E6" s="47" t="str">
        <x:v>ObjectProperty</x:v>
      </x:c>
      <x:c r="F6" s="47" t="str"/>
      <x:c r="G6" s="47" t="str">
        <x:v>https://w3id.org/nltl/vocab#contactGeometryValue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RUN-TRF-114-20260820T152319906700Z</x:v>
      </x:c>
      <x:c r="B7" s="47" t="str">
        <x:v>TRF-114</x:v>
      </x:c>
      <x:c r="C7" s="47" t="str">
        <x:v>contactGeometryCorrespondenceEvidence</x:v>
      </x:c>
      <x:c r="D7" s="48" t="str">
        <x:v>https://w3id.org/nltl/vocab#contactGeometryCorrespondenceEvidence</x:v>
      </x:c>
      <x:c r="E7" s="47" t="str">
        <x:v>ObjectProperty</x:v>
      </x:c>
      <x:c r="F7" s="47" t="str"/>
      <x:c r="G7" s="47" t="str">
        <x:v>https://w3id.org/nltl/vocab#evidenceArtifact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RUN-TRF-114-20260820T152319906700Z</x:v>
      </x:c>
      <x:c r="B8" s="47" t="str">
        <x:v>TRF-114</x:v>
      </x:c>
      <x:c r="C8" s="47" t="str">
        <x:v>contactGeometryValue</x:v>
      </x:c>
      <x:c r="D8" s="48" t="str">
        <x:v>https://w3id.org/nltl/vocab#contactGeometryValue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linked by the locked 313-requirement index; range dependency of contactGeometryClassification; range dependency of hemisphericalContactGeometry; range dependency of nonHemisphericalContactGeometry</x:v>
      </x:c>
      <x:c r="J8" s="47" t="n">
        <x:v>0</x:v>
      </x:c>
    </x:row>
    <x:row r="9">
      <x:c r="A9" s="47" t="str">
        <x:v>RUN-TRF-114-20260820T152319906700Z</x:v>
      </x:c>
      <x:c r="B9" s="47" t="str">
        <x:v>TRF-114</x:v>
      </x:c>
      <x:c r="C9" s="47" t="str">
        <x:v>designIceBlockTableReference</x:v>
      </x:c>
      <x:c r="D9" s="48" t="str">
        <x:v>https://w3id.org/nltl/vocab#designIceBlockTableReference</x:v>
      </x:c>
      <x:c r="E9" s="47" t="str">
        <x:v>ObjectProperty</x:v>
      </x:c>
      <x:c r="F9" s="47" t="str"/>
      <x:c r="G9" s="47" t="str">
        <x:v>https://w3id.org/nltl/vocab#tableReferenceValue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RUN-TRF-114-20260820T152319906700Z</x:v>
      </x:c>
      <x:c r="B10" s="47" t="str">
        <x:v>TRF-114</x:v>
      </x:c>
      <x:c r="C10" s="47" t="str">
        <x:v>equivalentImpactSphereRadius</x:v>
      </x:c>
      <x:c r="D10" s="48" t="str">
        <x:v>https://w3id.org/nltl/vocab#equivalentImpactSphereRadius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RUN-TRF-114-20260820T152319906700Z</x:v>
      </x:c>
      <x:c r="B11" s="47" t="str">
        <x:v>TRF-114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contactGeometryCorrespondenceEvidence; range dependency of thrusterIceImpactLoadedAreaEvidence</x:v>
      </x:c>
      <x:c r="J11" s="47" t="n">
        <x:v>0</x:v>
      </x:c>
    </x:row>
    <x:row r="12">
      <x:c r="A12" s="47" t="str">
        <x:v>RUN-TRF-114-20260820T152319906700Z</x:v>
      </x:c>
      <x:c r="B12" s="47" t="str">
        <x:v>TRF-114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RUN-TRF-114-20260820T152319906700Z</x:v>
      </x:c>
      <x:c r="B13" s="47" t="str">
        <x:v>TRF-114</x:v>
      </x:c>
      <x:c r="C13" s="47" t="str">
        <x:v>hasThrusterIceImpactLoadCase</x:v>
      </x:c>
      <x:c r="D13" s="48" t="str">
        <x:v>https://w3id.org/nltl/vocab#hasThrusterIceImpactLoadCase</x:v>
      </x:c>
      <x:c r="E13" s="47" t="str">
        <x:v>ObjectProperty</x:v>
      </x:c>
      <x:c r="F13" s="47" t="str"/>
      <x:c r="G13" s="47" t="str">
        <x:v>https://w3id.org/nltl/vocab#thrusterIceImpactLoadCase</x:v>
      </x:c>
      <x:c r="H13" s="47" t="str"/>
      <x:c r="I13" s="48" t="str">
        <x:v>canonical path from target owner ship to required owner thrusterIceImpactLoadCase; linked by the locked 313-requirement index</x:v>
      </x:c>
      <x:c r="J13" s="47" t="n">
        <x:v>0</x:v>
      </x:c>
    </x:row>
    <x:row r="14">
      <x:c r="A14" s="47" t="str">
        <x:v>RUN-TRF-114-20260820T152319906700Z</x:v>
      </x:c>
      <x:c r="B14" s="47" t="str">
        <x:v>TRF-114</x:v>
      </x:c>
      <x:c r="C14" s="47" t="str">
        <x:v>hemisphericalContactGeometry</x:v>
      </x:c>
      <x:c r="D14" s="48" t="str">
        <x:v>https://w3id.org/nltl/vocab#hemisphericalContactGeometry</x:v>
      </x:c>
      <x:c r="E14" s="47" t="str">
        <x:v>NamedIndividual</x:v>
      </x:c>
      <x:c r="F14" s="47" t="str"/>
      <x:c r="G14" s="47" t="str">
        <x:v>https://w3id.org/nltl/vocab#contactGeometryValue</x:v>
      </x:c>
      <x:c r="H14" s="47" t="str"/>
      <x:c r="I14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14" s="47" t="n">
        <x:v>0</x:v>
      </x:c>
    </x:row>
    <x:row r="15">
      <x:c r="A15" s="47" t="str">
        <x:v>RUN-TRF-114-20260820T152319906700Z</x:v>
      </x:c>
      <x:c r="B15" s="47" t="str">
        <x:v>TRF-114</x:v>
      </x:c>
      <x:c r="C15" s="47" t="str">
        <x:v>iacsUrI2Table3</x:v>
      </x:c>
      <x:c r="D15" s="48" t="str">
        <x:v>https://w3id.org/nltl/vocab#iacsUrI2Table3</x:v>
      </x:c>
      <x:c r="E15" s="47" t="str">
        <x:v>NamedIndividual</x:v>
      </x:c>
      <x:c r="F15" s="47" t="str"/>
      <x:c r="G15" s="47" t="str">
        <x:v>https://w3id.org/nltl/vocab#tableReferenceValue</x:v>
      </x:c>
      <x:c r="H15" s="47" t="str"/>
      <x:c r="I1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5" s="47" t="n">
        <x:v>0</x:v>
      </x:c>
    </x:row>
    <x:row r="16">
      <x:c r="A16" s="47" t="str">
        <x:v>RUN-TRF-114-20260820T152319906700Z</x:v>
      </x:c>
      <x:c r="B16" s="47" t="str">
        <x:v>TRF-114</x:v>
      </x:c>
      <x:c r="C16" s="47" t="str">
        <x:v>iacsUrI2Table8</x:v>
      </x:c>
      <x:c r="D16" s="48" t="str">
        <x:v>https://w3id.org/nltl/vocab#iacsUrI2Table8</x:v>
      </x:c>
      <x:c r="E16" s="47" t="str">
        <x:v>NamedIndividual</x:v>
      </x:c>
      <x:c r="F16" s="47" t="str"/>
      <x:c r="G16" s="47" t="str">
        <x:v>https://w3id.org/nltl/vocab#tableReferenceValue</x:v>
      </x:c>
      <x:c r="H16" s="47" t="str"/>
      <x:c r="I1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16" s="47" t="n">
        <x:v>0</x:v>
      </x:c>
    </x:row>
    <x:row r="17">
      <x:c r="A17" s="47" t="str">
        <x:v>RUN-TRF-114-20260820T152319906700Z</x:v>
      </x:c>
      <x:c r="B17" s="47" t="str">
        <x:v>TRF-114</x:v>
      </x:c>
      <x:c r="C17" s="47" t="str">
        <x:v>iceOperatingSpeed</x:v>
      </x:c>
      <x:c r="D17" s="48" t="str">
        <x:v>https://w3id.org/nltl/vocab#iceOperatingSpeed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RUN-TRF-114-20260820T152319906700Z</x:v>
      </x:c>
      <x:c r="B18" s="47" t="str">
        <x:v>TRF-114</x:v>
      </x:c>
      <x:c r="C18" s="47" t="str">
        <x:v>impactLoadCaseTableReference</x:v>
      </x:c>
      <x:c r="D18" s="48" t="str">
        <x:v>https://w3id.org/nltl/vocab#impactLoadCaseTableReference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RUN-TRF-114-20260820T152319906700Z</x:v>
      </x:c>
      <x:c r="B19" s="47" t="str">
        <x:v>TRF-114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range dependency of thrusterIceImpactLoadCase</x:v>
      </x:c>
      <x:c r="J19" s="47" t="n">
        <x:v>0</x:v>
      </x:c>
    </x:row>
    <x:row r="20">
      <x:c r="A20" s="47" t="str">
        <x:v>RUN-TRF-114-20260820T152319906700Z</x:v>
      </x:c>
      <x:c r="B20" s="47" t="str">
        <x:v>TRF-114</x:v>
      </x:c>
      <x:c r="C20" s="47" t="str">
        <x:v>machineryComponent</x:v>
      </x:c>
      <x:c r="D20" s="48" t="str">
        <x:v>https://w3id.org/nltl/vocab#machineryComponent</x:v>
      </x:c>
      <x:c r="E20" s="47" t="str">
        <x:v>Class</x:v>
      </x:c>
      <x:c r="F20" s="47" t="str"/>
      <x:c r="G20" s="47" t="str"/>
      <x:c r="H20" s="47" t="str"/>
      <x:c r="I20" s="48" t="str">
        <x:v>range dependency of thrusterBody</x:v>
      </x:c>
      <x:c r="J20" s="47" t="n">
        <x:v>0</x:v>
      </x:c>
    </x:row>
    <x:row r="21">
      <x:c r="A21" s="47" t="str">
        <x:v>RUN-TRF-114-20260820T152319906700Z</x:v>
      </x:c>
      <x:c r="B21" s="47" t="str">
        <x:v>TRF-114</x:v>
      </x:c>
      <x:c r="C21" s="47" t="str">
        <x:v>nonHemisphericalContactGeometry</x:v>
      </x:c>
      <x:c r="D21" s="48" t="str">
        <x:v>https://w3id.org/nltl/vocab#nonHemisphericalContactGeometry</x:v>
      </x:c>
      <x:c r="E21" s="47" t="str">
        <x:v>NamedIndividual</x:v>
      </x:c>
      <x:c r="F21" s="47" t="str"/>
      <x:c r="G21" s="47" t="str">
        <x:v>https://w3id.org/nltl/vocab#contactGeometryValue</x:v>
      </x:c>
      <x:c r="H21" s="47" t="str"/>
      <x:c r="I21" s="48" t="str">
        <x:v>controlled value permitted by the range of contactGeometryClassification; controlled value permitted by the range of hemisphericalContactGeometry; controlled value permitted by the range of nonHemisphericalContactGeometry; linked by the locked 313-requirement index</x:v>
      </x:c>
      <x:c r="J21" s="47" t="n">
        <x:v>0</x:v>
      </x:c>
    </x:row>
    <x:row r="22">
      <x:c r="A22" s="47" t="str">
        <x:v>RUN-TRF-114-20260820T152319906700Z</x:v>
      </x:c>
      <x:c r="B22" s="47" t="str">
        <x:v>TRF-114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hasThrusterIceImpactLoadCase</x:v>
      </x:c>
      <x:c r="J22" s="47" t="n">
        <x:v>0</x:v>
      </x:c>
    </x:row>
    <x:row r="23">
      <x:c r="A23" s="47" t="str">
        <x:v>RUN-TRF-114-20260820T152319906700Z</x:v>
      </x:c>
      <x:c r="B23" s="47" t="str">
        <x:v>TRF-114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RUN-TRF-114-20260820T152319906700Z</x:v>
      </x:c>
      <x:c r="B24" s="47" t="str">
        <x:v>TRF-114</x:v>
      </x:c>
      <x:c r="C24" s="47" t="str">
        <x:v>tableReferenceValue</x:v>
      </x:c>
      <x:c r="D24" s="48" t="str">
        <x:v>https://w3id.org/nltl/vocab#tableReferenceValue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designIceBlockTableReference; range dependency of impactLoadCaseTableReference; range dependency of traficomTable6Dash16Reference; range dependency of traficomTable6Dash3Reference</x:v>
      </x:c>
      <x:c r="J24" s="47" t="n">
        <x:v>0</x:v>
      </x:c>
    </x:row>
    <x:row r="25">
      <x:c r="A25" s="47" t="str">
        <x:v>RUN-TRF-114-20260820T152319906700Z</x:v>
      </x:c>
      <x:c r="B25" s="47" t="str">
        <x:v>TRF-114</x:v>
      </x:c>
      <x:c r="C25" s="47" t="str">
        <x:v>thrusterBody</x:v>
      </x:c>
      <x:c r="D25" s="48" t="str">
        <x:v>https://w3id.org/nltl/vocab#thrusterBody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authoritative required owner class; domain dependency of thrusterResistanceCapacity; linked by the locked 313-requirement index; range dependency of thrusterImpactCaseAppliesToBody</x:v>
      </x:c>
      <x:c r="J25" s="47" t="n">
        <x:v>0</x:v>
      </x:c>
    </x:row>
    <x:row r="26">
      <x:c r="A26" s="47" t="str">
        <x:v>RUN-TRF-114-20260820T152319906700Z</x:v>
      </x:c>
      <x:c r="B26" s="47" t="str">
        <x:v>TRF-114</x:v>
      </x:c>
      <x:c r="C26" s="47" t="str">
        <x:v>thrusterIceImpactDemand</x:v>
      </x:c>
      <x:c r="D26" s="48" t="str">
        <x:v>https://w3id.org/nltl/vocab#thrusterIceImpactDemand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RUN-TRF-114-20260820T152319906700Z</x:v>
      </x:c>
      <x:c r="B27" s="47" t="str">
        <x:v>TRF-114</x:v>
      </x:c>
      <x:c r="C27" s="47" t="str">
        <x:v>thrusterIceImpactLoad</x:v>
      </x:c>
      <x:c r="D27" s="48" t="str">
        <x:v>https://w3id.org/nltl/vocab#thrusterIceImpactLoad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http://qudt.org/vocab/unit/KiloN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RUN-TRF-114-20260820T152319906700Z</x:v>
      </x:c>
      <x:c r="B28" s="47" t="str">
        <x:v>TRF-114</x:v>
      </x:c>
      <x:c r="C28" s="47" t="str">
        <x:v>thrusterIceImpactLoadCase</x:v>
      </x:c>
      <x:c r="D28" s="48" t="str">
        <x:v>https://w3id.org/nltl/vocab#thrusterIceImpactLoadCase</x:v>
      </x:c>
      <x:c r="E28" s="47" t="str">
        <x:v>Class</x:v>
      </x:c>
      <x:c r="F28" s="47" t="str"/>
      <x:c r="G28" s="47" t="str">
        <x:v>https://w3id.org/nltl/vocab#loadCase</x:v>
      </x:c>
      <x:c r="H28" s="47" t="str"/>
      <x:c r="I28" s="48" t="str">
        <x:v>authoritative required owner class; domain dependency of contactGeometryClassification; domain dependency of contactGeometryCorrespondenceEvidence; domain dependency of designIceBlockTableReference; domain dependency of impactLoadCaseTableReference; domain dependency of thrusterIceImpactDemand; domain dependency of thrusterIceImpactLoad; domain dependency of thrusterIceImpactLoadCaseIdentifier; domain dependency of thrusterIceImpactLoadedAreaEvidence; domain dependency of thrusterImpactCaseAppliesToBody; linked by the locked 313-requirement index; range dependency of hasThrusterIceImpactLoadCase</x:v>
      </x:c>
      <x:c r="J28" s="47" t="n">
        <x:v>0</x:v>
      </x:c>
    </x:row>
    <x:row r="29">
      <x:c r="A29" s="47" t="str">
        <x:v>RUN-TRF-114-20260820T152319906700Z</x:v>
      </x:c>
      <x:c r="B29" s="47" t="str">
        <x:v>TRF-114</x:v>
      </x:c>
      <x:c r="C29" s="47" t="str">
        <x:v>thrusterIceImpactLoadCaseIdentifier</x:v>
      </x:c>
      <x:c r="D29" s="48" t="str">
        <x:v>https://w3id.org/nltl/vocab#thrusterIceImpactLoadCaseIdentifier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RUN-TRF-114-20260820T152319906700Z</x:v>
      </x:c>
      <x:c r="B30" s="47" t="str">
        <x:v>TRF-114</x:v>
      </x:c>
      <x:c r="C30" s="47" t="str">
        <x:v>thrusterIceImpactLoadedAreaEvidence</x:v>
      </x:c>
      <x:c r="D30" s="48" t="str">
        <x:v>https://w3id.org/nltl/vocab#thrusterIceImpactLoadedAreaEvidence</x:v>
      </x:c>
      <x:c r="E30" s="47" t="str">
        <x:v>ObjectProperty</x:v>
      </x:c>
      <x:c r="F30" s="47" t="str"/>
      <x:c r="G30" s="47" t="str">
        <x:v>https://w3id.org/nltl/vocab#evidenceArtifact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RUN-TRF-114-20260820T152319906700Z</x:v>
      </x:c>
      <x:c r="B31" s="47" t="str">
        <x:v>TRF-114</x:v>
      </x:c>
      <x:c r="C31" s="47" t="str">
        <x:v>thrusterImpactCaseAppliesToBody</x:v>
      </x:c>
      <x:c r="D31" s="48" t="str">
        <x:v>https://w3id.org/nltl/vocab#thrusterImpactCaseAppliesToBody</x:v>
      </x:c>
      <x:c r="E31" s="47" t="str">
        <x:v>ObjectProperty</x:v>
      </x:c>
      <x:c r="F31" s="47" t="str"/>
      <x:c r="G31" s="47" t="str">
        <x:v>https://w3id.org/nltl/vocab#thrusterBody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RUN-TRF-114-20260820T152319906700Z</x:v>
      </x:c>
      <x:c r="B32" s="47" t="str">
        <x:v>TRF-114</x:v>
      </x:c>
      <x:c r="C32" s="47" t="str">
        <x:v>thrusterResistanceCapacity</x:v>
      </x:c>
      <x:c r="D32" s="48" t="str">
        <x:v>https://w3id.org/nltl/vocab#thrusterResistanceCapacity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http://qudt.org/vocab/unit/KiloN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RUN-TRF-114-20260820T152319906700Z</x:v>
      </x:c>
      <x:c r="B33" s="47" t="str">
        <x:v>TRF-114</x:v>
      </x:c>
      <x:c r="C33" s="47" t="str">
        <x:v>traficomTable4Dash8</x:v>
      </x:c>
      <x:c r="D33" s="48" t="str">
        <x:v>https://w3id.org/nltl/vocab#traficomTable4Dash8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3" s="47" t="n">
        <x:v>0</x:v>
      </x:c>
    </x:row>
    <x:row r="34">
      <x:c r="A34" s="47" t="str">
        <x:v>RUN-TRF-114-20260820T152319906700Z</x:v>
      </x:c>
      <x:c r="B34" s="47" t="str">
        <x:v>TRF-114</x:v>
      </x:c>
      <x:c r="C34" s="47" t="str">
        <x:v>traficomTable6Dash10</x:v>
      </x:c>
      <x:c r="D34" s="48" t="str">
        <x:v>https://w3id.org/nltl/vocab#traficomTable6Dash10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4" s="47" t="n">
        <x:v>0</x:v>
      </x:c>
    </x:row>
    <x:row r="35">
      <x:c r="A35" s="47" t="str">
        <x:v>RUN-TRF-114-20260820T152319906700Z</x:v>
      </x:c>
      <x:c r="B35" s="47" t="str">
        <x:v>TRF-114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5" s="47" t="n">
        <x:v>0</x:v>
      </x:c>
    </x:row>
    <x:row r="36">
      <x:c r="A36" s="47" t="str">
        <x:v>RUN-TRF-114-20260820T152319906700Z</x:v>
      </x:c>
      <x:c r="B36" s="47" t="str">
        <x:v>TRF-114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traficomTable6Dash3Reference; linked by the locked 313-requirement index</x:v>
      </x:c>
      <x:c r="J36" s="47" t="n">
        <x:v>0</x:v>
      </x:c>
    </x:row>
    <x:row r="37">
      <x:c r="A37" s="47" t="str">
        <x:v>RUN-TRF-114-20260820T152319906700Z</x:v>
      </x:c>
      <x:c r="B37" s="47" t="str">
        <x:v>TRF-114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7" s="47" t="n">
        <x:v>0</x:v>
      </x:c>
    </x:row>
    <x:row r="38">
      <x:c r="A38" s="47" t="str">
        <x:v>RUN-TRF-114-20260820T152319906700Z</x:v>
      </x:c>
      <x:c r="B38" s="47" t="str">
        <x:v>TRF-114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8" s="47" t="n">
        <x:v>0</x:v>
      </x:c>
    </x:row>
    <x:row r="39">
      <x:c r="A39" s="47" t="str">
        <x:v>RUN-TRF-114-20260820T152319906700Z</x:v>
      </x:c>
      <x:c r="B39" s="47" t="str">
        <x:v>TRF-114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39" s="47" t="n">
        <x:v>0</x:v>
      </x:c>
    </x:row>
    <x:row r="40">
      <x:c r="A40" s="49" t="str">
        <x:v>RUN-TRF-114-20260820T152319906700Z</x:v>
      </x:c>
      <x:c r="B40" s="49" t="str">
        <x:v>TRF-114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designIceBlockTableReference; controlled value permitted by the range of impactLoadCaseTableReference; controlled value permitted by the range of traficomTable6Dash16Reference; controlled value permitted by the range of traficomTable6Dash3Reference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666b167d9740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RUN-TRF-114-20260820T152319906700Z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RUN-TRF-114-20260820T152319906700Z</x:v>
      </x:c>
      <x:c r="B5" s="45" t="str">
        <x:v>TRF-114</x:v>
      </x:c>
      <x:c r="C5" s="45" t="str">
        <x:v>FS-COMPLEX-READINESS-01</x:v>
      </x:c>
      <x:c r="D5" s="45" t="str">
        <x:v>complex_readiness_external_calculation</x:v>
      </x:c>
      <x:c r="E5" s="97" t="n">
        <x:v>2.106667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RUN-TRF-114-20260820T152319906700Z</x:v>
      </x:c>
      <x:c r="B6" s="49" t="str">
        <x:v>TRF-114</x:v>
      </x:c>
      <x:c r="C6" s="49" t="str">
        <x:v>FS-COMPLEX-READINESS-02</x:v>
      </x:c>
      <x:c r="D6" s="49" t="str">
        <x:v>complex_readiness_with_direct_residual_check</x:v>
      </x:c>
      <x:c r="E6" s="98" t="n">
        <x:v>2.049383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9c612e4444c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RUN-TRF-114-20260820T152319906700Z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RUN-TRF-114-20260820T152319906700Z</x:v>
      </x:c>
      <x:c r="B5" s="45" t="str">
        <x:v>TRF-114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https://w3id.org/nltl/vocab#contactGeometryClassification | https://w3id.org/nltl/vocab#contactGeometryCorrespondenceEvidence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5" s="46" t="str"/>
      <x:c r="P5" s="46" t="str"/>
      <x:c r="Q5" s="46" t="str"/>
    </x:row>
    <x:row r="6">
      <x:c r="A6" s="49" t="str">
        <x:v>RUN-TRF-114-20260820T152319906700Z</x:v>
      </x:c>
      <x:c r="B6" s="49" t="str">
        <x:v>TRF-114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https://w3id.org/nltl/vocab#contactGeometryClassification | https://w3id.org/nltl/vocab#contactGeometryCorrespondenceEvidence | https://w3id.org/nltl/vocab#contactGeometryValue | https://w3id.org/nltl/vocab#designIceBlockTableReference | https://w3id.org/nltl/vocab#equivalentImpactSphereRadius | https://w3id.org/nltl/vocab#evidenceArtifact | https://w3id.org/nltl/vocab#hasThrusterIceImpactLoadCase | https://w3id.org/nltl/vocab#hemisphericalContactGeometry | https://w3id.org/nltl/vocab#iceOperatingSpeed | https://w3id.org/nltl/vocab#impactLoadCaseTableReference | https://w3id.org/nltl/vocab#nonHemisphericalContactGeometry | https://w3id.org/nltl/vocab#ship | https://w3id.org/nltl/vocab#thrusterBody | https://w3id.org/nltl/vocab#thrusterIceImpactDemand | https://w3id.org/nltl/vocab#thrusterIceImpactLoad | https://w3id.org/nltl/vocab#thrusterIceImpactLoadCase | https://w3id.org/nltl/vocab#thrusterIceImpactLoadedAreaEvidence | https://w3id.org/nltl/vocab#thrusterImpactCaseAppliesToBody | https://w3id.org/nltl/vocab#thrusterResistanceCapacity | https://w3id.org/nltl/vocab#traficomTable6Dash16Reference | https://w3id.org/nltl/vocab#traficomTable6Dash3Reference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97c048446e04b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RUN-TRF-114-20260820T152319906700Z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RUN-TRF-114-20260820T152319906700Z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RUN-TRF-114-20260820T152319906700Z</x:v>
      </x:c>
      <x:c r="B5" s="45" t="str">
        <x:v>TRF-114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b60600bc5923b0ed9dac1aa8786c086829f05a53be6db7710c0464f655f7714e</x:v>
      </x:c>
      <x:c r="G5" s="58" t="n">
        <x:v>51313</x:v>
      </x:c>
    </x:row>
    <x:row r="6">
      <x:c r="A6" s="47" t="str">
        <x:v>RUN-TRF-114-20260820T152319906700Z</x:v>
      </x:c>
      <x:c r="B6" s="47" t="str">
        <x:v>TRF-114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d92bb540685390268f52d83041ae57813bedb285d9a5387dd873ea2270c58a6e</x:v>
      </x:c>
      <x:c r="G6" s="59" t="n">
        <x:v>6555</x:v>
      </x:c>
    </x:row>
    <x:row r="7">
      <x:c r="A7" s="47" t="str">
        <x:v>RUN-TRF-114-20260820T152319906700Z</x:v>
      </x:c>
      <x:c r="B7" s="47" t="str">
        <x:v>TRF-114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c67a5e5a95611c63d5c87dd89b7ff9cf2207b978368421f69763c78add4a4ed5</x:v>
      </x:c>
      <x:c r="G7" s="59" t="n">
        <x:v>69221</x:v>
      </x:c>
    </x:row>
    <x:row r="8">
      <x:c r="A8" s="47" t="str">
        <x:v>RUN-TRF-114-20260820T152319906700Z</x:v>
      </x:c>
      <x:c r="B8" s="47" t="str">
        <x:v>TRF-114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7ee65360ae6b2cb7a3f8ef731537a8680263f90ae4e694977be575ca4e3ec490</x:v>
      </x:c>
      <x:c r="G8" s="59" t="n">
        <x:v>6375</x:v>
      </x:c>
    </x:row>
    <x:row r="9">
      <x:c r="A9" s="47" t="str">
        <x:v>RUN-TRF-114-20260820T152319906700Z</x:v>
      </x:c>
      <x:c r="B9" s="47" t="str">
        <x:v>TRF-114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37f58cee61e79f5d6de8b2e5a3e3719bcfdf805501d942ec541326326f72e6c0</x:v>
      </x:c>
      <x:c r="G9" s="59" t="n">
        <x:v>6350</x:v>
      </x:c>
    </x:row>
    <x:row r="10">
      <x:c r="A10" s="47" t="str">
        <x:v>RUN-TRF-114-20260820T152319906700Z</x:v>
      </x:c>
      <x:c r="B10" s="47" t="str">
        <x:v>TRF-114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9e5b24d7e43798786a4fcf73445889872b8604c1f3c60e939639f05a2a57880f</x:v>
      </x:c>
      <x:c r="G10" s="59" t="n">
        <x:v>1613</x:v>
      </x:c>
    </x:row>
    <x:row r="11">
      <x:c r="A11" s="47" t="str">
        <x:v>RUN-TRF-114-20260820T152319906700Z</x:v>
      </x:c>
      <x:c r="B11" s="47" t="str">
        <x:v>TRF-114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37a2346ec0c1cc4ecf7fc9d561e958c06bbc44fc953240a37c471474a290dc43</x:v>
      </x:c>
      <x:c r="G11" s="59" t="n">
        <x:v>73082</x:v>
      </x:c>
    </x:row>
    <x:row r="12">
      <x:c r="A12" s="47" t="str">
        <x:v>RUN-TRF-114-20260820T152319906700Z</x:v>
      </x:c>
      <x:c r="B12" s="47" t="str">
        <x:v>TRF-114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d2ed3affa8e67e4e14c03573750fdc286ee2f058cb0df37258edf54047c678a4</x:v>
      </x:c>
      <x:c r="G12" s="59" t="n">
        <x:v>407</x:v>
      </x:c>
    </x:row>
    <x:row r="13">
      <x:c r="A13" s="47" t="str">
        <x:v>RUN-TRF-114-20260820T152319906700Z</x:v>
      </x:c>
      <x:c r="B13" s="47" t="str">
        <x:v>TRF-114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1a9de3ce7636ca18fb12996856a55af159f01c6a507120c3f54834e096886e8b</x:v>
      </x:c>
      <x:c r="G13" s="59" t="n">
        <x:v>69563</x:v>
      </x:c>
    </x:row>
    <x:row r="14">
      <x:c r="A14" s="47" t="str">
        <x:v>RUN-TRF-114-20260820T152319906700Z</x:v>
      </x:c>
      <x:c r="B14" s="47" t="str">
        <x:v>TRF-114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ed20b78a684e6328f8b6b3c2b3a6f07f35dde503d4a424aafa2ecb7bb77ff843</x:v>
      </x:c>
      <x:c r="G14" s="59" t="n">
        <x:v>6610</x:v>
      </x:c>
    </x:row>
    <x:row r="15">
      <x:c r="A15" s="47" t="str">
        <x:v>RUN-TRF-114-20260820T152319906700Z</x:v>
      </x:c>
      <x:c r="B15" s="47" t="str">
        <x:v>TRF-114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a39b47702983e9ec61fd627bdf8d87a6b6255f3f73f0db07f7cc2679ab0b5040</x:v>
      </x:c>
      <x:c r="G15" s="59" t="n">
        <x:v>6585</x:v>
      </x:c>
    </x:row>
    <x:row r="16">
      <x:c r="A16" s="47" t="str">
        <x:v>RUN-TRF-114-20260820T152319906700Z</x:v>
      </x:c>
      <x:c r="B16" s="47" t="str">
        <x:v>TRF-114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58f61080ac3a5de2430e2ff0ddbe2b93d43851537d24a9ff302783afdda7f7fb</x:v>
      </x:c>
      <x:c r="G16" s="59" t="n">
        <x:v>1669</x:v>
      </x:c>
    </x:row>
    <x:row r="17">
      <x:c r="A17" s="47" t="str">
        <x:v>RUN-TRF-114-20260820T152319906700Z</x:v>
      </x:c>
      <x:c r="B17" s="47" t="str">
        <x:v>TRF-114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f2b123095f7c856afe82a373e9e611c40c41a162f8ab75d3d07c7fce41adaff6</x:v>
      </x:c>
      <x:c r="G17" s="59" t="n">
        <x:v>74023</x:v>
      </x:c>
    </x:row>
    <x:row r="18">
      <x:c r="A18" s="47" t="str">
        <x:v>RUN-TRF-114-20260820T152319906700Z</x:v>
      </x:c>
      <x:c r="B18" s="47" t="str">
        <x:v>TRF-114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d1a1fb131cbef9f647b6bf0e65ba03d3ba2eb0e04ca87e1fa2746bf305bdbe24</x:v>
      </x:c>
      <x:c r="G18" s="59" t="n">
        <x:v>436</x:v>
      </x:c>
    </x:row>
    <x:row r="19">
      <x:c r="A19" s="49" t="str">
        <x:v>RUN-TRF-114-20260820T152319906700Z</x:v>
      </x:c>
      <x:c r="B19" s="49" t="str">
        <x:v>TRF-114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a39b47702983e9ec61fd627bdf8d87a6b6255f3f73f0db07f7cc2679ab0b5040</x:v>
      </x:c>
      <x:c r="G19" s="60" t="n">
        <x:v>6585</x:v>
      </x:c>
    </x:row>
  </x:sheetData>
  <x:pageMargins left="0.7" right="0.7" top="0.75" bottom="0.75" header="0.3" footer="0.3"/>
  <x:tableParts count="1">
    <x:tablePart xmlns:r="http://schemas.openxmlformats.org/officeDocument/2006/relationships" r:id="Ra3607ddb855941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RUN-TRF-114-20260820T152319906700Z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RUN-TRF-114-20260820T152319906700Z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RUN-TRF-114-20260820T152319906700Z</x:v>
      </x:c>
      <x:c r="B5" s="69" t="str">
        <x:v>TRF-114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c71784cb2b442c"/>
  </x:tableParts>
</x:worksheet>
</file>