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12824c037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ca6f162b154542"/>
    <x:sheet xmlns:r="http://schemas.openxmlformats.org/officeDocument/2006/relationships" name="README" sheetId="2" r:id="Rb44d4c7e60974809"/>
    <x:sheet xmlns:r="http://schemas.openxmlformats.org/officeDocument/2006/relationships" name="EVALUATION_RESULTS" sheetId="3" r:id="Rc2bda2624136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ebebdbecb43e4" /><Relationship Type="http://schemas.openxmlformats.org/officeDocument/2006/relationships/theme" Target="/xl/theme/theme1.xml" Id="Ra6656c05692546c0" /><Relationship Type="http://schemas.openxmlformats.org/officeDocument/2006/relationships/sharedStrings" Target="/xl/sharedStrings.xml" Id="R89e5713108f7473c" /><Relationship Type="http://schemas.openxmlformats.org/officeDocument/2006/relationships/worksheet" Target="/xl/worksheets/sheet1.xml" Id="Rf8ca6f162b154542" /><Relationship Type="http://schemas.openxmlformats.org/officeDocument/2006/relationships/worksheet" Target="/xl/worksheets/sheet2.xml" Id="Rb44d4c7e60974809" /><Relationship Type="http://schemas.openxmlformats.org/officeDocument/2006/relationships/worksheet" Target="/xl/worksheets/sheet3.xml" Id="Rc2bda2624136404b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14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8f2cd2624f47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62547999fb47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GENERATED-SHAPES-R2-IMO-057-IMO-088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COUNTA('EVALUATION_RESULTS'!$A$5:$A$14)</x:f>
        <x:v>10</x:v>
      </x:c>
      <x:c r="C5" s="21"/>
      <x:c r="D5" s="21"/>
    </x:row>
    <x:row r="6">
      <x:c r="A6" s="25" t="str">
        <x:v>Executed successfully</x:v>
      </x:c>
      <x:c r="B6" s="26" t="n">
        <x:f>COUNTIF('EVALUATION_RESULTS'!$L$5:$L$14,"TRUE")</x:f>
        <x:v>10</x:v>
      </x:c>
      <x:c r="C6" s="21"/>
      <x:c r="D6" s="21"/>
    </x:row>
    <x:row r="7">
      <x:c r="A7" s="25" t="str">
        <x:v>Expected outcomes matched</x:v>
      </x:c>
      <x:c r="B7" s="26" t="n">
        <x:f>COUNTIF('EVALUATION_RESULTS'!$N$5:$N$14,"TRUE")</x:f>
        <x:v>10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COUNTIF('EVALUATION_RESULTS'!$N$5:$N$14,"FALSE")</x:f>
        <x:v>0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IFERROR(AVERAGE('EVALUATION_RESULTS'!$P$5:$P$14),0)</x:f>
        <x:v>247.6963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GENERATED-SHAPES-R2-IMO-057-IMO-088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VOCAB-LOCK-2026-08-12-R2</x:v>
      </x:c>
    </x:row>
    <x:row r="8">
      <x:c r="A8" s="48" t="str">
        <x:v>ONTOLOGY_SHA256</x:v>
      </x:c>
      <x:c r="B8" s="49" t="str">
        <x:v>55385417964bd0a4e7829a8cd90c8f9dfc27ae57481d3a20390a1ed30e323239</x:v>
      </x:c>
    </x:row>
    <x:row r="9">
      <x:c r="A9" s="48" t="str">
        <x:v>MANIFEST</x:v>
      </x:c>
      <x:c r="B9" s="49" t="str">
        <x:v>/Users/sadisfaction570/Desktop/Journal 1/NLTL_v2/MVP/INPUTS/RDF_GENERATED_SHAPE_EVALUATION_R2/evaluation_manifest.json</x:v>
      </x:c>
    </x:row>
    <x:row r="10">
      <x:c r="A10" s="50" t="str">
        <x:v>MANIFEST_SHA256</x:v>
      </x:c>
      <x:c r="B10" s="51" t="str">
        <x:v>de055f5bb53f5ffc794deed8ef87802a5f277dff18a9930df091620fa27b94be</x:v>
      </x:c>
    </x:row>
  </x:sheetData>
  <x:pageMargins left="0.7" right="0.7" top="0.75" bottom="0.75" header="0.3" footer="0.3"/>
  <x:tableParts count="1">
    <x:tablePart xmlns:r="http://schemas.openxmlformats.org/officeDocument/2006/relationships" r:id="R548f2cd2624f47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3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GENERATED-SHAPES-R2-IMO-057-IMO-088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GENERATED-SHAPES-R2-IMO-057-IMO-088</x:v>
      </x:c>
      <x:c r="B5" s="46" t="str">
        <x:v>RQ-IMO-057</x:v>
      </x:c>
      <x:c r="C5" s="46" t="str">
        <x:v>IMO-057-PASS-ALL-PUMP-TYPES</x:v>
      </x:c>
      <x:c r="D5" s="46" t="str">
        <x:v>requirement</x:v>
      </x:c>
      <x:c r="E5" s="46" t="str">
        <x:v>IMO-057</x:v>
      </x:c>
      <x:c r="F5" s="46" t="str">
        <x:v>/Users/sadisfaction570/Desktop/Journal 1/NLTL_v2/MVP/SHACL_GENERATION_PIPELINE/outputs/runs/RUN-IMO-057-20260812T104102182125Z/final/final_shape.ttl</x:v>
      </x:c>
      <x:c r="G5" s="46" t="str">
        <x:v>/Users/sadisfaction570/Desktop/Journal 1/NLTL_v2/MVP/INPUTS/RDF_GENERATED_SHAPE_EVALUATION_R2/IMO-057/IMO-057_pass_all_pump_types.ttl</x:v>
      </x:c>
      <x:c r="H5" s="46" t="str">
        <x:v>38fb9caf55bfb512431ee567b847eacf237c5171dfa60a7d3db331c4a3de364e</x:v>
      </x:c>
      <x:c r="I5" s="46" t="str">
        <x:v>8a334d5fb0fbcb63170244f3b704f685c774669db86cc5ca82e96e50868aa794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239.007</x:v>
      </x:c>
      <x:c r="Q5" s="47" t="str"/>
      <x:c r="R5" s="46" t="str">
        <x:v>Conforms: true</x:v>
      </x:c>
    </x:row>
    <x:row r="6">
      <x:c r="A6" s="48" t="str">
        <x:v>GENERATED-SHAPES-R2-IMO-057-IMO-088</x:v>
      </x:c>
      <x:c r="B6" s="48" t="str">
        <x:v>RQ-IMO-057</x:v>
      </x:c>
      <x:c r="C6" s="48" t="str">
        <x:v>IMO-057-FAIL-ZERO-DEGC</x:v>
      </x:c>
      <x:c r="D6" s="48" t="str">
        <x:v>requirement</x:v>
      </x:c>
      <x:c r="E6" s="48" t="str">
        <x:v>IMO-057</x:v>
      </x:c>
      <x:c r="F6" s="48" t="str">
        <x:v>/Users/sadisfaction570/Desktop/Journal 1/NLTL_v2/MVP/SHACL_GENERATION_PIPELINE/outputs/runs/RUN-IMO-057-20260812T104102182125Z/final/final_shape.ttl</x:v>
      </x:c>
      <x:c r="G6" s="48" t="str">
        <x:v>/Users/sadisfaction570/Desktop/Journal 1/NLTL_v2/MVP/INPUTS/RDF_GENERATED_SHAPE_EVALUATION_R2/IMO-057/IMO-057_fail_zero_degc.ttl</x:v>
      </x:c>
      <x:c r="H6" s="48" t="str">
        <x:v>38fb9caf55bfb512431ee567b847eacf237c5171dfa60a7d3db331c4a3de364e</x:v>
      </x:c>
      <x:c r="I6" s="48" t="str">
        <x:v>f1d0de9ebe1b104b195e5db509c0db1532781e0165f47f4f2ccbc2cc18b48159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82</x:v>
      </x:c>
      <x:c r="P6" s="64" t="n">
        <x:v>228.602</x:v>
      </x:c>
      <x:c r="Q6" s="49" t="str"/>
      <x:c r="R6" s="48" t="str">
        <x:v>Conforms: false | The maintained temperature must be greater than 0 degrees Celsius.</x:v>
      </x:c>
    </x:row>
    <x:row r="7">
      <x:c r="A7" s="48" t="str">
        <x:v>GENERATED-SHAPES-R2-IMO-057-IMO-088</x:v>
      </x:c>
      <x:c r="B7" s="48" t="str">
        <x:v>RQ-IMO-057</x:v>
      </x:c>
      <x:c r="C7" s="48" t="str">
        <x:v>IMO-057-FAIL-WRONG-UNIT</x:v>
      </x:c>
      <x:c r="D7" s="48" t="str">
        <x:v>requirement</x:v>
      </x:c>
      <x:c r="E7" s="48" t="str">
        <x:v>IMO-057</x:v>
      </x:c>
      <x:c r="F7" s="48" t="str">
        <x:v>/Users/sadisfaction570/Desktop/Journal 1/NLTL_v2/MVP/SHACL_GENERATION_PIPELINE/outputs/runs/RUN-IMO-057-20260812T104102182125Z/final/final_shape.ttl</x:v>
      </x:c>
      <x:c r="G7" s="48" t="str">
        <x:v>/Users/sadisfaction570/Desktop/Journal 1/NLTL_v2/MVP/INPUTS/RDF_GENERATED_SHAPE_EVALUATION_R2/IMO-057/IMO-057_fail_wrong_unit.ttl</x:v>
      </x:c>
      <x:c r="H7" s="48" t="str">
        <x:v>38fb9caf55bfb512431ee567b847eacf237c5171dfa60a7d3db331c4a3de364e</x:v>
      </x:c>
      <x:c r="I7" s="48" t="str">
        <x:v>4bb89959635b0e9a0701c8764d14beb9e171634aa8be196bb28370c9fb0db1ab</x:v>
      </x:c>
      <x:c r="J7" s="48" t="str">
        <x:v>TRUE</x:v>
      </x:c>
      <x:c r="K7" s="64" t="str">
        <x:v>FALSE</x:v>
      </x:c>
      <x:c r="L7" s="48" t="str">
        <x:v>TRUE</x:v>
      </x:c>
      <x:c r="M7" s="64" t="str">
        <x:v>FALSE</x:v>
      </x:c>
      <x:c r="N7" s="48" t="str">
        <x:v>TRUE</x:v>
      </x:c>
      <x:c r="O7" s="65" t="n">
        <x:v>80</x:v>
      </x:c>
      <x:c r="P7" s="64" t="n">
        <x:v>229.831</x:v>
      </x:c>
      <x:c r="Q7" s="49" t="str"/>
      <x:c r="R7" s="48" t="str">
        <x:v>Conforms: false | The maintained temperature unit must be degrees Celsius.</x:v>
      </x:c>
    </x:row>
    <x:row r="8">
      <x:c r="A8" s="48" t="str">
        <x:v>GENERATED-SHAPES-R2-IMO-057-IMO-088</x:v>
      </x:c>
      <x:c r="B8" s="48" t="str">
        <x:v>RQ-IMO-057</x:v>
      </x:c>
      <x:c r="C8" s="48" t="str">
        <x:v>IMO-057-FAIL-MISSING-COMPARTMENT</x:v>
      </x:c>
      <x:c r="D8" s="48" t="str">
        <x:v>requirement</x:v>
      </x:c>
      <x:c r="E8" s="48" t="str">
        <x:v>IMO-057</x:v>
      </x:c>
      <x:c r="F8" s="48" t="str">
        <x:v>/Users/sadisfaction570/Desktop/Journal 1/NLTL_v2/MVP/SHACL_GENERATION_PIPELINE/outputs/runs/RUN-IMO-057-20260812T104102182125Z/final/final_shape.ttl</x:v>
      </x:c>
      <x:c r="G8" s="48" t="str">
        <x:v>/Users/sadisfaction570/Desktop/Journal 1/NLTL_v2/MVP/INPUTS/RDF_GENERATED_SHAPE_EVALUATION_R2/IMO-057/IMO-057_fail_missing_compartment.ttl</x:v>
      </x:c>
      <x:c r="H8" s="48" t="str">
        <x:v>38fb9caf55bfb512431ee567b847eacf237c5171dfa60a7d3db331c4a3de364e</x:v>
      </x:c>
      <x:c r="I8" s="48" t="str">
        <x:v>c4694949a1d822014ed1c7bddc5791e3e38817dc0644d93ad8a07f61db9a1c95</x:v>
      </x:c>
      <x:c r="J8" s="48" t="str">
        <x:v>TRUE</x:v>
      </x:c>
      <x:c r="K8" s="64" t="str">
        <x:v>FALSE</x:v>
      </x:c>
      <x:c r="L8" s="48" t="str">
        <x:v>TRUE</x:v>
      </x:c>
      <x:c r="M8" s="64" t="str">
        <x:v>FALSE</x:v>
      </x:c>
      <x:c r="N8" s="48" t="str">
        <x:v>TRUE</x:v>
      </x:c>
      <x:c r="O8" s="65" t="n">
        <x:v>35</x:v>
      </x:c>
      <x:c r="P8" s="64" t="n">
        <x:v>228.1</x:v>
      </x:c>
      <x:c r="Q8" s="49" t="str"/>
      <x:c r="R8" s="48" t="str">
        <x:v>Conforms: false | The pump must be assigned to a compartment.</x:v>
      </x:c>
    </x:row>
    <x:row r="9">
      <x:c r="A9" s="48" t="str">
        <x:v>GENERATED-SHAPES-R2-IMO-057-IMO-088</x:v>
      </x:c>
      <x:c r="B9" s="48" t="str">
        <x:v>RQ-IMO-088</x:v>
      </x:c>
      <x:c r="C9" s="48" t="str">
        <x:v>IMO-088-PASS-DAYLIGHT-EXCEPTION</x:v>
      </x:c>
      <x:c r="D9" s="48" t="str">
        <x:v>requirement</x:v>
      </x:c>
      <x:c r="E9" s="48" t="str">
        <x:v>IMO-088</x:v>
      </x:c>
      <x:c r="F9" s="48" t="str">
        <x:v>/Users/sadisfaction570/Desktop/Journal 1/NLTL_v2/MVP/SHACL_GENERATION_PIPELINE/outputs/runs/RUN-IMO-088-20260812T104258962502Z/final/final_shape.ttl</x:v>
      </x:c>
      <x:c r="G9" s="48" t="str">
        <x:v>/Users/sadisfaction570/Desktop/Journal 1/NLTL_v2/MVP/INPUTS/RDF_GENERATED_SHAPE_EVALUATION_R2/IMO-088/IMO-088_pass_daylight_exception.ttl</x:v>
      </x:c>
      <x:c r="H9" s="48" t="str">
        <x:v>498280655b85e18c4c0fa565c40928acab062cfc0e04651c12d167c351ac7dcf</x:v>
      </x:c>
      <x:c r="I9" s="48" t="str">
        <x:v>5aca9950352859565b2ad81757a84f52e5ff9d9a3d31842fa946bce82e9e8d30</x:v>
      </x:c>
      <x:c r="J9" s="48" t="str">
        <x:v>TRUE</x:v>
      </x:c>
      <x:c r="K9" s="64" t="str">
        <x:v>TRUE</x:v>
      </x:c>
      <x:c r="L9" s="48" t="str">
        <x:v>TRUE</x:v>
      </x:c>
      <x:c r="M9" s="64" t="str">
        <x:v>TRUE</x:v>
      </x:c>
      <x:c r="N9" s="48" t="str">
        <x:v>TRUE</x:v>
      </x:c>
      <x:c r="O9" s="65" t="n">
        <x:v>2</x:v>
      </x:c>
      <x:c r="P9" s="64" t="n">
        <x:v>253.616</x:v>
      </x:c>
      <x:c r="Q9" s="49" t="str"/>
      <x:c r="R9" s="48" t="str">
        <x:v>Conforms: true</x:v>
      </x:c>
    </x:row>
    <x:row r="10">
      <x:c r="A10" s="48" t="str">
        <x:v>GENERATED-SHAPES-R2-IMO-057-IMO-088</x:v>
      </x:c>
      <x:c r="B10" s="48" t="str">
        <x:v>RQ-IMO-088</x:v>
      </x:c>
      <x:c r="C10" s="48" t="str">
        <x:v>IMO-088-PASS-EQUIPMENT-BOUNDARY</x:v>
      </x:c>
      <x:c r="D10" s="48" t="str">
        <x:v>requirement</x:v>
      </x:c>
      <x:c r="E10" s="48" t="str">
        <x:v>IMO-088</x:v>
      </x:c>
      <x:c r="F10" s="48" t="str">
        <x:v>/Users/sadisfaction570/Desktop/Journal 1/NLTL_v2/MVP/SHACL_GENERATION_PIPELINE/outputs/runs/RUN-IMO-088-20260812T104258962502Z/final/final_shape.ttl</x:v>
      </x:c>
      <x:c r="G10" s="48" t="str">
        <x:v>/Users/sadisfaction570/Desktop/Journal 1/NLTL_v2/MVP/INPUTS/RDF_GENERATED_SHAPE_EVALUATION_R2/IMO-088/IMO-088_pass_equipment_boundary.ttl</x:v>
      </x:c>
      <x:c r="H10" s="48" t="str">
        <x:v>498280655b85e18c4c0fa565c40928acab062cfc0e04651c12d167c351ac7dcf</x:v>
      </x:c>
      <x:c r="I10" s="48" t="str">
        <x:v>f26eb9c56ee7cbb843daa5008eaccfcf228fe3aa37cd02f081f17a04bd8c307b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TRUE</x:v>
      </x:c>
      <x:c r="N10" s="48" t="str">
        <x:v>TRUE</x:v>
      </x:c>
      <x:c r="O10" s="65" t="n">
        <x:v>2</x:v>
      </x:c>
      <x:c r="P10" s="64" t="n">
        <x:v>272.024</x:v>
      </x:c>
      <x:c r="Q10" s="49" t="str"/>
      <x:c r="R10" s="48" t="str">
        <x:v>Conforms: true</x:v>
      </x:c>
    </x:row>
    <x:row r="11">
      <x:c r="A11" s="48" t="str">
        <x:v>GENERATED-SHAPES-R2-IMO-057-IMO-088</x:v>
      </x:c>
      <x:c r="B11" s="48" t="str">
        <x:v>RQ-IMO-088</x:v>
      </x:c>
      <x:c r="C11" s="48" t="str">
        <x:v>IMO-088-PASS-APPROVED-ALTERNATIVE</x:v>
      </x:c>
      <x:c r="D11" s="48" t="str">
        <x:v>requirement</x:v>
      </x:c>
      <x:c r="E11" s="48" t="str">
        <x:v>IMO-088</x:v>
      </x:c>
      <x:c r="F11" s="48" t="str">
        <x:v>/Users/sadisfaction570/Desktop/Journal 1/NLTL_v2/MVP/SHACL_GENERATION_PIPELINE/outputs/runs/RUN-IMO-088-20260812T104258962502Z/final/final_shape.ttl</x:v>
      </x:c>
      <x:c r="G11" s="48" t="str">
        <x:v>/Users/sadisfaction570/Desktop/Journal 1/NLTL_v2/MVP/INPUTS/RDF_GENERATED_SHAPE_EVALUATION_R2/IMO-088/IMO-088_pass_approved_alternative.ttl</x:v>
      </x:c>
      <x:c r="H11" s="48" t="str">
        <x:v>498280655b85e18c4c0fa565c40928acab062cfc0e04651c12d167c351ac7dcf</x:v>
      </x:c>
      <x:c r="I11" s="48" t="str">
        <x:v>fcb785ba53ce804622629c4a218fd09f4cad500a4668d5569b208d9d03c33b51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TRUE</x:v>
      </x:c>
      <x:c r="N11" s="48" t="str">
        <x:v>TRUE</x:v>
      </x:c>
      <x:c r="O11" s="65" t="n">
        <x:v>2</x:v>
      </x:c>
      <x:c r="P11" s="64" t="n">
        <x:v>253.978</x:v>
      </x:c>
      <x:c r="Q11" s="49" t="str"/>
      <x:c r="R11" s="48" t="str">
        <x:v>Conforms: true</x:v>
      </x:c>
    </x:row>
    <x:row r="12">
      <x:c r="A12" s="48" t="str">
        <x:v>GENERATED-SHAPES-R2-IMO-057-IMO-088</x:v>
      </x:c>
      <x:c r="B12" s="48" t="str">
        <x:v>RQ-IMO-088</x:v>
      </x:c>
      <x:c r="C12" s="48" t="str">
        <x:v>IMO-088-FAIL-ONE-SEARCHLIGHT</x:v>
      </x:c>
      <x:c r="D12" s="48" t="str">
        <x:v>requirement</x:v>
      </x:c>
      <x:c r="E12" s="48" t="str">
        <x:v>IMO-088</x:v>
      </x:c>
      <x:c r="F12" s="48" t="str">
        <x:v>/Users/sadisfaction570/Desktop/Journal 1/NLTL_v2/MVP/SHACL_GENERATION_PIPELINE/outputs/runs/RUN-IMO-088-20260812T104258962502Z/final/final_shape.ttl</x:v>
      </x:c>
      <x:c r="G12" s="48" t="str">
        <x:v>/Users/sadisfaction570/Desktop/Journal 1/NLTL_v2/MVP/INPUTS/RDF_GENERATED_SHAPE_EVALUATION_R2/IMO-088/IMO-088_fail_one_searchlight.ttl</x:v>
      </x:c>
      <x:c r="H12" s="48" t="str">
        <x:v>498280655b85e18c4c0fa565c40928acab062cfc0e04651c12d167c351ac7dcf</x:v>
      </x:c>
      <x:c r="I12" s="48" t="str">
        <x:v>3cab3c4b162db6d0d329ff5f797984a86645b72c4e7f831995f1659433c8043d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FALSE</x:v>
      </x:c>
      <x:c r="N12" s="48" t="str">
        <x:v>TRUE</x:v>
      </x:c>
      <x:c r="O12" s="65" t="n">
        <x:v>10</x:v>
      </x:c>
      <x:c r="P12" s="64" t="n">
        <x:v>255.754</x:v>
      </x:c>
      <x:c r="Q12" s="49" t="str"/>
      <x:c r="R12" s="48" t="str">
        <x:v>Conforms: false | Node test:ship must conform to one or more shapes in [ sh:property [ sh:datatype xsd:boolean ; sh:hasValue Literal("true" = True, datatype=xsd:boolean) ; sh:maxCount Literal("1", datatype=xsd:integer) ; sh:minCount Literal("1", datatype=xsd:integer) ; sh:path nltl:operatesOnlyInContinuousDaylight ] ] , [ sh:or ( [ sh:property [ sh:datatype xsd:integer ; sh:maxCount Literal("1", datatype=xsd:integer) ; sh:minCount Literal("1", datatype=xsd:integer) ; sh:minInclusive Literal("2", datatype=xsd:integer) ; sh:path nltl:bridgeControlledRotatableNarrowBeamSearchlightCount ], [ sh:maxCount Literal("1", datatype=xsd:integer) ; sh:minCount Literal("1", datatype=xsd:integer) ; sh:node [ sh:class qudt:QuantityValue ; sh:property [ sh:datatype xsd:decimal ; sh:maxCount Literal("1", datatype=xsd:integer) ; sh:minCount Literal("1", datatype=xsd:integer) ; sh:minInclusive Literal("360", datatype=xsd:decimal) ; sh:path qudt:numericValue ], [ sh:hasValue unit:DEG ; sh:maxCount Literal("1", datatype=xsd:integer) ; sh:minCount Literal("1", datatype=xsd:integer) ; sh:path qudt:unit ] ] ; sh:path nltl:searchlightCoverageArc ] ] [ sh:property [ sh:hasValue nltl:evidenceStateApproved ; sh:maxCount Literal("1", datatype=xsd:integer) ; sh:minCount Literal("1", datatype=xsd:integer) ; sh:nodeKind sh:IRI ; sh:path nltl:alternateVisualIceDetectionMeansApprovalStatus ] ] ) ; sh:property [ sh:datatype xsd:boolean ; sh:hasValue Literal("false" = False, datatype=xsd:boolean) ; sh:maxCount Literal("1", datatype=xsd:integer) ; sh:minCount Literal("1", datatype=xsd:integer) ; sh:path nltl:operatesOnlyInContinuousDaylight ] ]</x:v>
      </x:c>
    </x:row>
    <x:row r="13">
      <x:c r="A13" s="48" t="str">
        <x:v>GENERATED-SHAPES-R2-IMO-057-IMO-088</x:v>
      </x:c>
      <x:c r="B13" s="48" t="str">
        <x:v>RQ-IMO-088</x:v>
      </x:c>
      <x:c r="C13" s="48" t="str">
        <x:v>IMO-088-FAIL-359-DEGREES</x:v>
      </x:c>
      <x:c r="D13" s="48" t="str">
        <x:v>requirement</x:v>
      </x:c>
      <x:c r="E13" s="48" t="str">
        <x:v>IMO-088</x:v>
      </x:c>
      <x:c r="F13" s="48" t="str">
        <x:v>/Users/sadisfaction570/Desktop/Journal 1/NLTL_v2/MVP/SHACL_GENERATION_PIPELINE/outputs/runs/RUN-IMO-088-20260812T104258962502Z/final/final_shape.ttl</x:v>
      </x:c>
      <x:c r="G13" s="48" t="str">
        <x:v>/Users/sadisfaction570/Desktop/Journal 1/NLTL_v2/MVP/INPUTS/RDF_GENERATED_SHAPE_EVALUATION_R2/IMO-088/IMO-088_fail_359_degrees.ttl</x:v>
      </x:c>
      <x:c r="H13" s="48" t="str">
        <x:v>498280655b85e18c4c0fa565c40928acab062cfc0e04651c12d167c351ac7dcf</x:v>
      </x:c>
      <x:c r="I13" s="48" t="str">
        <x:v>f31865f1ea8195881e10ce205a1a9409449fd49c36c0aac10045ee090ee775a9</x:v>
      </x:c>
      <x:c r="J13" s="48" t="str">
        <x:v>TRUE</x:v>
      </x:c>
      <x:c r="K13" s="64" t="str">
        <x:v>FALSE</x:v>
      </x:c>
      <x:c r="L13" s="48" t="str">
        <x:v>TRUE</x:v>
      </x:c>
      <x:c r="M13" s="64" t="str">
        <x:v>FALSE</x:v>
      </x:c>
      <x:c r="N13" s="48" t="str">
        <x:v>TRUE</x:v>
      </x:c>
      <x:c r="O13" s="65" t="n">
        <x:v>10</x:v>
      </x:c>
      <x:c r="P13" s="64" t="n">
        <x:v>258.113</x:v>
      </x:c>
      <x:c r="Q13" s="49" t="str"/>
      <x:c r="R13" s="48" t="str">
        <x:v>Conforms: false | Node test:ship must conform to one or more shapes in [ sh:property [ sh:datatype xsd:boolean ; sh:hasValue Literal("true" = True, datatype=xsd:boolean) ; sh:maxCount Literal("1", datatype=xsd:integer) ; sh:minCount Literal("1", datatype=xsd:integer) ; sh:path nltl:operatesOnlyInContinuousDaylight ] ] , [ sh:or ( [ sh:property [ sh:datatype xsd:integer ; sh:maxCount Literal("1", datatype=xsd:integer) ; sh:minCount Literal("1", datatype=xsd:integer) ; sh:minInclusive Literal("2", datatype=xsd:integer) ; sh:path nltl:bridgeControlledRotatableNarrowBeamSearchlightCount ], [ sh:maxCount Literal("1", datatype=xsd:integer) ; sh:minCount Literal("1", datatype=xsd:integer) ; sh:node [ sh:class qudt:QuantityValue ; sh:property [ sh:datatype xsd:decimal ; sh:maxCount Literal("1", datatype=xsd:integer) ; sh:minCount Literal("1", datatype=xsd:integer) ; sh:minInclusive Literal("360", datatype=xsd:decimal) ; sh:path qudt:numericValue ], [ sh:hasValue unit:DEG ; sh:maxCount Literal("1", datatype=xsd:integer) ; sh:minCount Literal("1", datatype=xsd:integer) ; sh:path qudt:unit ] ] ; sh:path nltl:searchlightCoverageArc ] ] [ sh:property [ sh:hasValue nltl:evidenceStateApproved ; sh:maxCount Literal("1", datatype=xsd:integer) ; sh:minCount Literal("1", datatype=xsd:integer) ; sh:nodeKind sh:IRI ; sh:path nltl:alternateVisualIceDetectionMeansApprovalStatus ] ] ) ; sh:property [ sh:datatype xsd:boolean ; sh:hasValue Literal("false" = False, datatype=xsd:boolean) ; sh:maxCount Literal("1", datatype=xsd:integer) ; sh:minCount Literal("1", datatype=xsd:integer) ; sh:path nltl:operatesOnlyInContinuousDaylight ] ]</x:v>
      </x:c>
    </x:row>
    <x:row r="14">
      <x:c r="A14" s="50" t="str">
        <x:v>GENERATED-SHAPES-R2-IMO-057-IMO-088</x:v>
      </x:c>
      <x:c r="B14" s="50" t="str">
        <x:v>RQ-IMO-088</x:v>
      </x:c>
      <x:c r="C14" s="50" t="str">
        <x:v>IMO-088-FAIL-UNAPPROVED-ALTERNATIVE</x:v>
      </x:c>
      <x:c r="D14" s="50" t="str">
        <x:v>requirement</x:v>
      </x:c>
      <x:c r="E14" s="50" t="str">
        <x:v>IMO-088</x:v>
      </x:c>
      <x:c r="F14" s="50" t="str">
        <x:v>/Users/sadisfaction570/Desktop/Journal 1/NLTL_v2/MVP/SHACL_GENERATION_PIPELINE/outputs/runs/RUN-IMO-088-20260812T104258962502Z/final/final_shape.ttl</x:v>
      </x:c>
      <x:c r="G14" s="50" t="str">
        <x:v>/Users/sadisfaction570/Desktop/Journal 1/NLTL_v2/MVP/INPUTS/RDF_GENERATED_SHAPE_EVALUATION_R2/IMO-088/IMO-088_fail_unapproved_alternative.ttl</x:v>
      </x:c>
      <x:c r="H14" s="50" t="str">
        <x:v>498280655b85e18c4c0fa565c40928acab062cfc0e04651c12d167c351ac7dcf</x:v>
      </x:c>
      <x:c r="I14" s="50" t="str">
        <x:v>a6c727ef14e3b9676435fa375c6b4868f7a7f4e242f0def9fec58fb4eed80d60</x:v>
      </x:c>
      <x:c r="J14" s="50" t="str">
        <x:v>TRUE</x:v>
      </x:c>
      <x:c r="K14" s="66" t="str">
        <x:v>FALSE</x:v>
      </x:c>
      <x:c r="L14" s="50" t="str">
        <x:v>TRUE</x:v>
      </x:c>
      <x:c r="M14" s="66" t="str">
        <x:v>FALSE</x:v>
      </x:c>
      <x:c r="N14" s="50" t="str">
        <x:v>TRUE</x:v>
      </x:c>
      <x:c r="O14" s="67" t="n">
        <x:v>10</x:v>
      </x:c>
      <x:c r="P14" s="66" t="n">
        <x:v>257.938</x:v>
      </x:c>
      <x:c r="Q14" s="51" t="str"/>
      <x:c r="R14" s="50" t="str">
        <x:v>Conforms: false | Node test:ship must conform to one or more shapes in [ sh:property [ sh:datatype xsd:boolean ; sh:hasValue Literal("true" = True, datatype=xsd:boolean) ; sh:maxCount Literal("1", datatype=xsd:integer) ; sh:minCount Literal("1", datatype=xsd:integer) ; sh:path nltl:operatesOnlyInContinuousDaylight ] ] , [ sh:or ( [ sh:property [ sh:datatype xsd:integer ; sh:maxCount Literal("1", datatype=xsd:integer) ; sh:minCount Literal("1", datatype=xsd:integer) ; sh:minInclusive Literal("2", datatype=xsd:integer) ; sh:path nltl:bridgeControlledRotatableNarrowBeamSearchlightCount ], [ sh:maxCount Literal("1", datatype=xsd:integer) ; sh:minCount Literal("1", datatype=xsd:integer) ; sh:node [ sh:class qudt:QuantityValue ; sh:property [ sh:datatype xsd:decimal ; sh:maxCount Literal("1", datatype=xsd:integer) ; sh:minCount Literal("1", datatype=xsd:integer) ; sh:minInclusive Literal("360", datatype=xsd:decimal) ; sh:path qudt:numericValue ], [ sh:hasValue unit:DEG ; sh:maxCount Literal("1", datatype=xsd:integer) ; sh:minCount Literal("1", datatype=xsd:integer) ; sh:path qudt:unit ] ] ; sh:path nltl:searchlightCoverageArc ] ] [ sh:property [ sh:hasValue nltl:evidenceStateApproved ; sh:maxCount Literal("1", datatype=xsd:integer) ; sh:minCount Literal("1", datatype=xsd:integer) ; sh:nodeKind sh:IRI ; sh:path nltl:alternateVisualIceDetectionMeansApprovalStatus ] ] ) ; sh:property [ sh:datatype xsd:boolean ; sh:hasValue Literal("false" = False, datatype=xsd:boolean) ; sh:maxCount Literal("1", datatype=xsd:integer) ; sh:minCount Literal("1", datatype=xsd:integer) ; sh:path nltl:operatesOnlyInContinuousDaylight ] ]</x:v>
      </x:c>
    </x:row>
  </x:sheetData>
  <x:pageMargins left="0.7" right="0.7" top="0.75" bottom="0.75" header="0.3" footer="0.3"/>
  <x:tableParts count="1">
    <x:tablePart xmlns:r="http://schemas.openxmlformats.org/officeDocument/2006/relationships" r:id="R3262547999fb47ef"/>
  </x:tableParts>
</x:worksheet>
</file>