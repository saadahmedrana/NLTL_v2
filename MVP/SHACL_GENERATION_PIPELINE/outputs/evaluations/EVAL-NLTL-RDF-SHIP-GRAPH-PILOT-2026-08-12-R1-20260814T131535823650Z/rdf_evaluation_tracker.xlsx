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edfa44b2c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738a7e7b744991"/>
    <x:sheet xmlns:r="http://schemas.openxmlformats.org/officeDocument/2006/relationships" name="README" sheetId="2" r:id="R2c9fe51d92ac4889"/>
    <x:sheet xmlns:r="http://schemas.openxmlformats.org/officeDocument/2006/relationships" name="EVALUATION_RESULTS" sheetId="3" r:id="R03a7dc584820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b01d7d9074351" /><Relationship Type="http://schemas.openxmlformats.org/officeDocument/2006/relationships/theme" Target="/xl/theme/theme1.xml" Id="R2af540e0bf4b4267" /><Relationship Type="http://schemas.openxmlformats.org/officeDocument/2006/relationships/sharedStrings" Target="/xl/sharedStrings.xml" Id="R2da772d5bb2a429a" /><Relationship Type="http://schemas.openxmlformats.org/officeDocument/2006/relationships/worksheet" Target="/xl/worksheets/sheet1.xml" Id="R6c738a7e7b744991" /><Relationship Type="http://schemas.openxmlformats.org/officeDocument/2006/relationships/worksheet" Target="/xl/worksheets/sheet2.xml" Id="R2c9fe51d92ac4889" /><Relationship Type="http://schemas.openxmlformats.org/officeDocument/2006/relationships/worksheet" Target="/xl/worksheets/sheet3.xml" Id="R03a7dc58482048a7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2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0c03a5373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d9008640a047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NLTL-RDF-SHIP-GRAPH-PILOT-2026-08-12-R1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COUNTA('EVALUATION_RESULTS'!$A$5:$A$12)</x:f>
        <x:v>8</x:v>
      </x:c>
      <x:c r="C5" s="21"/>
      <x:c r="D5" s="21"/>
    </x:row>
    <x:row r="6">
      <x:c r="A6" s="25" t="str">
        <x:v>Executed successfully</x:v>
      </x:c>
      <x:c r="B6" s="26" t="n">
        <x:f>COUNTIF('EVALUATION_RESULTS'!$L$5:$L$12,"TRUE")</x:f>
        <x:v>8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COUNTIF('EVALUATION_RESULTS'!$N$5:$N$12,"TRUE")</x:f>
        <x:v>8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COUNTIF('EVALUATION_RESULTS'!$N$5:$N$12,"FALSE")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IFERROR(AVERAGE('EVALUATION_RESULTS'!$P$5:$P$12),0)</x:f>
        <x:v>258.62674999999996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NLTL-RDF-SHIP-GRAPH-PILOT-2026-08-12-R1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VOCAB-LOCK-2026-08-12-R2</x:v>
      </x:c>
    </x:row>
    <x:row r="8">
      <x:c r="A8" s="48" t="str">
        <x:v>ONTOLOGY_SHA256</x:v>
      </x:c>
      <x:c r="B8" s="49" t="str">
        <x:v>55385417964bd0a4e7829a8cd90c8f9dfc27ae57481d3a20390a1ed30e323239</x:v>
      </x:c>
    </x:row>
    <x:row r="9">
      <x:c r="A9" s="48" t="str">
        <x:v>MANIFEST</x:v>
      </x:c>
      <x:c r="B9" s="49" t="str">
        <x:v>/Users/sadisfaction570/Desktop/Journal 1/NLTL_v2/MVP/INPUTS/RDF_SHIP_GRAPH_PILOT/pilot_manifest.json</x:v>
      </x:c>
    </x:row>
    <x:row r="10">
      <x:c r="A10" s="50" t="str">
        <x:v>MANIFEST_SHA256</x:v>
      </x:c>
      <x:c r="B10" s="51" t="str">
        <x:v>bcb4c7d4a145cb556975c667c7f1d9b531c743837de103d8516a23fca833a490</x:v>
      </x:c>
    </x:row>
  </x:sheetData>
  <x:pageMargins left="0.7" right="0.7" top="0.75" bottom="0.75" header="0.3" footer="0.3"/>
  <x:tableParts count="1">
    <x:tablePart xmlns:r="http://schemas.openxmlformats.org/officeDocument/2006/relationships" r:id="R3680c03a5373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9" hidden="0" customWidth="1"/>
    <x:col min="4" max="4" width="13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NLTL-RDF-SHIP-GRAPH-PILOT-2026-08-12-R1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NLTL-RDF-SHIP-GRAPH-PILOT-2026-08-12-R1</x:v>
      </x:c>
      <x:c r="B5" s="46" t="str">
        <x:v>RQ-IMO-075</x:v>
      </x:c>
      <x:c r="C5" s="46" t="str">
        <x:v>RQ-IMO-075-PASS</x:v>
      </x:c>
      <x:c r="D5" s="46" t="str">
        <x:v>requirement</x:v>
      </x:c>
      <x:c r="E5" s="46" t="str">
        <x:v>IMO-075</x:v>
      </x:c>
      <x:c r="F5" s="46" t="str">
        <x:v>/Users/sadisfaction570/Desktop/Journal 1/NLTL_v2/MVP/INPUTS/RDF_SHIP_GRAPH_PILOT/requirement_level/RQ-IMO-075_survival_equipment/RQ-IMO-075_shapes.ttl</x:v>
      </x:c>
      <x:c r="G5" s="46" t="str">
        <x:v>/Users/sadisfaction570/Desktop/Journal 1/NLTL_v2/MVP/INPUTS/RDF_SHIP_GRAPH_PILOT/requirement_level/RQ-IMO-075_survival_equipment/RQ-IMO-075_pass.ttl</x:v>
      </x:c>
      <x:c r="H5" s="46" t="str">
        <x:v>cf7b9c05df86ce2e3a58e12fe54617a8d111fae73f354714a7f2bcfa3a992524</x:v>
      </x:c>
      <x:c r="I5" s="46" t="str">
        <x:v>e01153ee093cf13b5de5f150396c38ba7a060aed883912437342d95500dcf4e3</x:v>
      </x:c>
      <x:c r="J5" s="46" t="str">
        <x:v>NONE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243.925</x:v>
      </x:c>
      <x:c r="Q5" s="47" t="str"/>
      <x:c r="R5" s="46" t="str">
        <x:v>Conforms: true</x:v>
      </x:c>
    </x:row>
    <x:row r="6">
      <x:c r="A6" s="48" t="str">
        <x:v>NLTL-RDF-SHIP-GRAPH-PILOT-2026-08-12-R1</x:v>
      </x:c>
      <x:c r="B6" s="48" t="str">
        <x:v>RQ-IMO-075</x:v>
      </x:c>
      <x:c r="C6" s="48" t="str">
        <x:v>RQ-IMO-075-FAIL</x:v>
      </x:c>
      <x:c r="D6" s="48" t="str">
        <x:v>requirement</x:v>
      </x:c>
      <x:c r="E6" s="48" t="str">
        <x:v>IMO-075</x:v>
      </x:c>
      <x:c r="F6" s="48" t="str">
        <x:v>/Users/sadisfaction570/Desktop/Journal 1/NLTL_v2/MVP/INPUTS/RDF_SHIP_GRAPH_PILOT/requirement_level/RQ-IMO-075_survival_equipment/RQ-IMO-075_shapes.ttl</x:v>
      </x:c>
      <x:c r="G6" s="48" t="str">
        <x:v>/Users/sadisfaction570/Desktop/Journal 1/NLTL_v2/MVP/INPUTS/RDF_SHIP_GRAPH_PILOT/requirement_level/RQ-IMO-075_survival_equipment/RQ-IMO-075_fail.ttl</x:v>
      </x:c>
      <x:c r="H6" s="48" t="str">
        <x:v>cf7b9c05df86ce2e3a58e12fe54617a8d111fae73f354714a7f2bcfa3a992524</x:v>
      </x:c>
      <x:c r="I6" s="48" t="str">
        <x:v>e769f6a3f43614ecef9ae71a7f9ce4b8890eb14b9f61d5578459b3b2aff1d202</x:v>
      </x:c>
      <x:c r="J6" s="48" t="str">
        <x:v>NONE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13</x:v>
      </x:c>
      <x:c r="P6" s="64" t="n">
        <x:v>232.325</x:v>
      </x:c>
      <x:c r="Q6" s="49" t="str"/>
      <x:c r="R6" s="48" t="str">
        <x:v>Conforms: false | IMO-075: when survival equipment is required, integer capacity shall be at least 110 percent of persons on board and storage shall be accessible</x:v>
      </x:c>
    </x:row>
    <x:row r="7">
      <x:c r="A7" s="48" t="str">
        <x:v>NLTL-RDF-SHIP-GRAPH-PILOT-2026-08-12-R1</x:v>
      </x:c>
      <x:c r="B7" s="48" t="str">
        <x:v>RQ-IMO26-014</x:v>
      </x:c>
      <x:c r="C7" s="48" t="str">
        <x:v>RQ-IMO26-014-PASS</x:v>
      </x:c>
      <x:c r="D7" s="48" t="str">
        <x:v>requirement</x:v>
      </x:c>
      <x:c r="E7" s="48" t="str">
        <x:v>IMO26-014</x:v>
      </x:c>
      <x:c r="F7" s="48" t="str">
        <x:v>/Users/sadisfaction570/Desktop/Journal 1/NLTL_v2/MVP/INPUTS/RDF_SHIP_GRAPH_PILOT/requirement_level/RQ-IMO26-014_illumination_means/RQ-IMO26-014_shapes.ttl</x:v>
      </x:c>
      <x:c r="G7" s="48" t="str">
        <x:v>/Users/sadisfaction570/Desktop/Journal 1/NLTL_v2/MVP/INPUTS/RDF_SHIP_GRAPH_PILOT/requirement_level/RQ-IMO26-014_illumination_means/RQ-IMO26-014_pass.ttl</x:v>
      </x:c>
      <x:c r="H7" s="48" t="str">
        <x:v>e286410c70af3ddad6c33ef4c5a41c13afc5dda1b6a24a2f8e579df318672677</x:v>
      </x:c>
      <x:c r="I7" s="48" t="str">
        <x:v>90739900bf0e3d543385f33b61bd18cd8fa4f6b5b40b6093dbfad7578a81154d</x:v>
      </x:c>
      <x:c r="J7" s="48" t="str">
        <x:v>NONE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221.176</x:v>
      </x:c>
      <x:c r="Q7" s="49" t="str"/>
      <x:c r="R7" s="48" t="str">
        <x:v>Conforms: true</x:v>
      </x:c>
    </x:row>
    <x:row r="8">
      <x:c r="A8" s="48" t="str">
        <x:v>NLTL-RDF-SHIP-GRAPH-PILOT-2026-08-12-R1</x:v>
      </x:c>
      <x:c r="B8" s="48" t="str">
        <x:v>RQ-IMO26-014</x:v>
      </x:c>
      <x:c r="C8" s="48" t="str">
        <x:v>RQ-IMO26-014-FAIL</x:v>
      </x:c>
      <x:c r="D8" s="48" t="str">
        <x:v>requirement</x:v>
      </x:c>
      <x:c r="E8" s="48" t="str">
        <x:v>IMO26-014</x:v>
      </x:c>
      <x:c r="F8" s="48" t="str">
        <x:v>/Users/sadisfaction570/Desktop/Journal 1/NLTL_v2/MVP/INPUTS/RDF_SHIP_GRAPH_PILOT/requirement_level/RQ-IMO26-014_illumination_means/RQ-IMO26-014_shapes.ttl</x:v>
      </x:c>
      <x:c r="G8" s="48" t="str">
        <x:v>/Users/sadisfaction570/Desktop/Journal 1/NLTL_v2/MVP/INPUTS/RDF_SHIP_GRAPH_PILOT/requirement_level/RQ-IMO26-014_illumination_means/RQ-IMO26-014_fail.ttl</x:v>
      </x:c>
      <x:c r="H8" s="48" t="str">
        <x:v>e286410c70af3ddad6c33ef4c5a41c13afc5dda1b6a24a2f8e579df318672677</x:v>
      </x:c>
      <x:c r="I8" s="48" t="str">
        <x:v>b7e8c3270515fe2f01788da8c983ffb67161be4f96072381b1dfd1163d891079</x:v>
      </x:c>
      <x:c r="J8" s="48" t="str">
        <x:v>NONE</x:v>
      </x:c>
      <x:c r="K8" s="64" t="str">
        <x:v>FALSE</x:v>
      </x:c>
      <x:c r="L8" s="48" t="str">
        <x:v>TRUE</x:v>
      </x:c>
      <x:c r="M8" s="64" t="str">
        <x:v>FALSE</x:v>
      </x:c>
      <x:c r="N8" s="48" t="str">
        <x:v>TRUE</x:v>
      </x:c>
      <x:c r="O8" s="65" t="n">
        <x:v>13</x:v>
      </x:c>
      <x:c r="P8" s="64" t="n">
        <x:v>242.617</x:v>
      </x:c>
      <x:c r="Q8" s="49" t="str"/>
      <x:c r="R8" s="48" t="str">
        <x:v>Conforms: false | IMO26-014: unless the ship operates only in continuous daylight, at least two visual-ice-detection illumination means are required</x:v>
      </x:c>
    </x:row>
    <x:row r="9">
      <x:c r="A9" s="48" t="str">
        <x:v>NLTL-RDF-SHIP-GRAPH-PILOT-2026-08-12-R1</x:v>
      </x:c>
      <x:c r="B9" s="48" t="str">
        <x:v>INT-001</x:v>
      </x:c>
      <x:c r="C9" s="48" t="str">
        <x:v>INT-001-PASS</x:v>
      </x:c>
      <x:c r="D9" s="48" t="str">
        <x:v>integrated</x:v>
      </x:c>
      <x:c r="E9" s="48" t="str">
        <x:v>IMO-075 | IMO-085</x:v>
      </x:c>
      <x:c r="F9" s="48" t="str">
        <x:v>/Users/sadisfaction570/Desktop/Journal 1/NLTL_v2/MVP/INPUTS/RDF_SHIP_GRAPH_PILOT/integrated/INT-001_polar_survival_bridge/INT-001_shapes.ttl</x:v>
      </x:c>
      <x:c r="G9" s="48" t="str">
        <x:v>/Users/sadisfaction570/Desktop/Journal 1/NLTL_v2/MVP/INPUTS/RDF_SHIP_GRAPH_PILOT/integrated/INT-001_polar_survival_bridge/INT-001_pass.ttl</x:v>
      </x:c>
      <x:c r="H9" s="48" t="str">
        <x:v>b31d5367f87f3249bc6e0acb21f62ea7eb165eceb5148f6d8dd6aa3a8bf6f936</x:v>
      </x:c>
      <x:c r="I9" s="48" t="str">
        <x:v>2835d23f12a2a283ee5cc9a1fa75ce26c1da4560d5cb8f122b9a3ef80a816610</x:v>
      </x:c>
      <x:c r="J9" s="48" t="str">
        <x:v>NONE</x:v>
      </x:c>
      <x:c r="K9" s="64" t="str">
        <x:v>TRUE</x:v>
      </x:c>
      <x:c r="L9" s="48" t="str">
        <x:v>TRUE</x:v>
      </x:c>
      <x:c r="M9" s="64" t="str">
        <x:v>TRUE</x:v>
      </x:c>
      <x:c r="N9" s="48" t="str">
        <x:v>TRUE</x:v>
      </x:c>
      <x:c r="O9" s="65" t="n">
        <x:v>2</x:v>
      </x:c>
      <x:c r="P9" s="64" t="n">
        <x:v>268.163</x:v>
      </x:c>
      <x:c r="Q9" s="49" t="str"/>
      <x:c r="R9" s="48" t="str">
        <x:v>Conforms: true</x:v>
      </x:c>
    </x:row>
    <x:row r="10">
      <x:c r="A10" s="48" t="str">
        <x:v>NLTL-RDF-SHIP-GRAPH-PILOT-2026-08-12-R1</x:v>
      </x:c>
      <x:c r="B10" s="48" t="str">
        <x:v>INT-001</x:v>
      </x:c>
      <x:c r="C10" s="48" t="str">
        <x:v>INT-001-FAIL</x:v>
      </x:c>
      <x:c r="D10" s="48" t="str">
        <x:v>integrated</x:v>
      </x:c>
      <x:c r="E10" s="48" t="str">
        <x:v>IMO-075 | IMO-085</x:v>
      </x:c>
      <x:c r="F10" s="48" t="str">
        <x:v>/Users/sadisfaction570/Desktop/Journal 1/NLTL_v2/MVP/INPUTS/RDF_SHIP_GRAPH_PILOT/integrated/INT-001_polar_survival_bridge/INT-001_shapes.ttl</x:v>
      </x:c>
      <x:c r="G10" s="48" t="str">
        <x:v>/Users/sadisfaction570/Desktop/Journal 1/NLTL_v2/MVP/INPUTS/RDF_SHIP_GRAPH_PILOT/integrated/INT-001_polar_survival_bridge/INT-001_fail.ttl</x:v>
      </x:c>
      <x:c r="H10" s="48" t="str">
        <x:v>b31d5367f87f3249bc6e0acb21f62ea7eb165eceb5148f6d8dd6aa3a8bf6f936</x:v>
      </x:c>
      <x:c r="I10" s="48" t="str">
        <x:v>389ac9f0560c73d911226447d34f73c0557f189955f92b4c6981f01140343bc7</x:v>
      </x:c>
      <x:c r="J10" s="48" t="str">
        <x:v>NONE</x:v>
      </x:c>
      <x:c r="K10" s="64" t="str">
        <x:v>FALSE</x:v>
      </x:c>
      <x:c r="L10" s="48" t="str">
        <x:v>TRUE</x:v>
      </x:c>
      <x:c r="M10" s="64" t="str">
        <x:v>FALSE</x:v>
      </x:c>
      <x:c r="N10" s="48" t="str">
        <x:v>TRUE</x:v>
      </x:c>
      <x:c r="O10" s="65" t="n">
        <x:v>13</x:v>
      </x:c>
      <x:c r="P10" s="64" t="n">
        <x:v>270.883</x:v>
      </x:c>
      <x:c r="Q10" s="49" t="str"/>
      <x:c r="R10" s="48" t="str">
        <x:v>Conforms: false | IMO-085: applicable Category A or B ship lacks both enclosed bridge wings and protective bridge-wing design</x:v>
      </x:c>
    </x:row>
    <x:row r="11">
      <x:c r="A11" s="48" t="str">
        <x:v>NLTL-RDF-SHIP-GRAPH-PILOT-2026-08-12-R1</x:v>
      </x:c>
      <x:c r="B11" s="48" t="str">
        <x:v>INT-002</x:v>
      </x:c>
      <x:c r="C11" s="48" t="str">
        <x:v>INT-002-PASS</x:v>
      </x:c>
      <x:c r="D11" s="48" t="str">
        <x:v>integrated</x:v>
      </x:c>
      <x:c r="E11" s="48" t="str">
        <x:v>IMO26-007 | IMO26-011 | IMO26-014</x:v>
      </x:c>
      <x:c r="F11" s="48" t="str">
        <x:v>/Users/sadisfaction570/Desktop/Journal 1/NLTL_v2/MVP/INPUTS/RDF_SHIP_GRAPH_PILOT/integrated/INT-002_2026_navigation/INT-002_shapes.ttl</x:v>
      </x:c>
      <x:c r="G11" s="48" t="str">
        <x:v>/Users/sadisfaction570/Desktop/Journal 1/NLTL_v2/MVP/INPUTS/RDF_SHIP_GRAPH_PILOT/integrated/INT-002_2026_navigation/INT-002_pass.ttl</x:v>
      </x:c>
      <x:c r="H11" s="48" t="str">
        <x:v>fddfde3cd64df19b52c9b6cbbb7e35eabe0f389d5449880607e0d35a7dc8ee93</x:v>
      </x:c>
      <x:c r="I11" s="48" t="str">
        <x:v>ace14248ac7779adbf3abf0aa2b3b8faa6db796af30a0de83b8f4fa636df9612</x:v>
      </x:c>
      <x:c r="J11" s="48" t="str">
        <x:v>NONE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307.352</x:v>
      </x:c>
      <x:c r="Q11" s="49" t="str"/>
      <x:c r="R11" s="48" t="str">
        <x:v>Conforms: true</x:v>
      </x:c>
    </x:row>
    <x:row r="12">
      <x:c r="A12" s="50" t="str">
        <x:v>NLTL-RDF-SHIP-GRAPH-PILOT-2026-08-12-R1</x:v>
      </x:c>
      <x:c r="B12" s="50" t="str">
        <x:v>INT-002</x:v>
      </x:c>
      <x:c r="C12" s="50" t="str">
        <x:v>INT-002-FAIL</x:v>
      </x:c>
      <x:c r="D12" s="50" t="str">
        <x:v>integrated</x:v>
      </x:c>
      <x:c r="E12" s="50" t="str">
        <x:v>IMO26-007 | IMO26-011 | IMO26-014</x:v>
      </x:c>
      <x:c r="F12" s="50" t="str">
        <x:v>/Users/sadisfaction570/Desktop/Journal 1/NLTL_v2/MVP/INPUTS/RDF_SHIP_GRAPH_PILOT/integrated/INT-002_2026_navigation/INT-002_shapes.ttl</x:v>
      </x:c>
      <x:c r="G12" s="50" t="str">
        <x:v>/Users/sadisfaction570/Desktop/Journal 1/NLTL_v2/MVP/INPUTS/RDF_SHIP_GRAPH_PILOT/integrated/INT-002_2026_navigation/INT-002_fail.ttl</x:v>
      </x:c>
      <x:c r="H12" s="50" t="str">
        <x:v>fddfde3cd64df19b52c9b6cbbb7e35eabe0f389d5449880607e0d35a7dc8ee93</x:v>
      </x:c>
      <x:c r="I12" s="50" t="str">
        <x:v>8e593d06876116ff9b6d5b5c7ccbc9f302a334784002681c12838b677c625e4f</x:v>
      </x:c>
      <x:c r="J12" s="50" t="str">
        <x:v>NONE</x:v>
      </x:c>
      <x:c r="K12" s="66" t="str">
        <x:v>FALSE</x:v>
      </x:c>
      <x:c r="L12" s="50" t="str">
        <x:v>TRUE</x:v>
      </x:c>
      <x:c r="M12" s="66" t="str">
        <x:v>FALSE</x:v>
      </x:c>
      <x:c r="N12" s="50" t="str">
        <x:v>TRUE</x:v>
      </x:c>
      <x:c r="O12" s="67" t="n">
        <x:v>13</x:v>
      </x:c>
      <x:c r="P12" s="66" t="n">
        <x:v>282.573</x:v>
      </x:c>
      <x:c r="Q12" s="51" t="str"/>
      <x:c r="R12" s="50" t="str">
        <x:v>Conforms: false | IMO26-007: applicable ice-strengthened ship lacks a permitted echo-sounding arrangement or approved equivalent</x:v>
      </x:c>
    </x:row>
  </x:sheetData>
  <x:pageMargins left="0.7" right="0.7" top="0.75" bottom="0.75" header="0.3" footer="0.3"/>
  <x:tableParts count="1">
    <x:tablePart xmlns:r="http://schemas.openxmlformats.org/officeDocument/2006/relationships" r:id="R07d9008640a04754"/>
  </x:tableParts>
</x:worksheet>
</file>