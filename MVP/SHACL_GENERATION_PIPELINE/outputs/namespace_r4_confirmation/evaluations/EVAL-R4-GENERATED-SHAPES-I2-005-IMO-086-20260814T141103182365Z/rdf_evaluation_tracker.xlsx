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16f56241f04a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1351a6392f4613"/>
    <x:sheet xmlns:r="http://schemas.openxmlformats.org/officeDocument/2006/relationships" name="README" sheetId="2" r:id="R28bfd0be78de4fc9"/>
    <x:sheet xmlns:r="http://schemas.openxmlformats.org/officeDocument/2006/relationships" name="EVALUATION_RESULTS" sheetId="3" r:id="Rfdedb4f3a36444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5bf5cbf7034ad7" /><Relationship Type="http://schemas.openxmlformats.org/officeDocument/2006/relationships/theme" Target="/xl/theme/theme1.xml" Id="Rd4589626310f46de" /><Relationship Type="http://schemas.openxmlformats.org/officeDocument/2006/relationships/sharedStrings" Target="/xl/sharedStrings.xml" Id="Rbecc0b07d2df4922" /><Relationship Type="http://schemas.openxmlformats.org/officeDocument/2006/relationships/worksheet" Target="/xl/worksheets/sheet1.xml" Id="R9e1351a6392f4613" /><Relationship Type="http://schemas.openxmlformats.org/officeDocument/2006/relationships/worksheet" Target="/xl/worksheets/sheet2.xml" Id="R28bfd0be78de4fc9" /><Relationship Type="http://schemas.openxmlformats.org/officeDocument/2006/relationships/worksheet" Target="/xl/worksheets/sheet3.xml" Id="Rfdedb4f3a3644416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11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4e4673871014e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93da5b2bdb4f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R4-GENERATED-SHAPES-I2-005-IMO-086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COUNTA('EVALUATION_RESULTS'!$A$5:$A$11)</x:f>
        <x:v>7</x:v>
      </x:c>
      <x:c r="C5" s="21"/>
      <x:c r="D5" s="21"/>
    </x:row>
    <x:row r="6">
      <x:c r="A6" s="25" t="str">
        <x:v>Executed successfully</x:v>
      </x:c>
      <x:c r="B6" s="26" t="n">
        <x:f>COUNTIF('EVALUATION_RESULTS'!$L$5:$L$11,"TRUE")</x:f>
        <x:v>7</x:v>
      </x:c>
      <x:c r="C6" s="21"/>
      <x:c r="D6" s="21"/>
    </x:row>
    <x:row r="7">
      <x:c r="A7" s="25" t="str">
        <x:v>Expected outcomes matched</x:v>
      </x:c>
      <x:c r="B7" s="26" t="n">
        <x:f>COUNTIF('EVALUATION_RESULTS'!$N$5:$N$11,"TRUE")</x:f>
        <x:v>7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COUNTIF('EVALUATION_RESULTS'!$N$5:$N$11,"FALSE")</x:f>
        <x:v>0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IFERROR(AVERAGE('EVALUATION_RESULTS'!$P$5:$P$11),0)</x:f>
        <x:v>498.6681428571428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R4-GENERATED-SHAPES-I2-005-IMO-086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VOCAB-R4-NAMESPACE-MIGRATION-CONFIRMATION</x:v>
      </x:c>
    </x:row>
    <x:row r="8">
      <x:c r="A8" s="48" t="str">
        <x:v>ONTOLOGY_SHA256</x:v>
      </x:c>
      <x:c r="B8" s="49" t="str">
        <x:v>64dc36d07db83ef1b6a9240c26018596acfcbc3584bae4f1890d98f78af28ab4</x:v>
      </x:c>
    </x:row>
    <x:row r="9">
      <x:c r="A9" s="48" t="str">
        <x:v>MANIFEST</x:v>
      </x:c>
      <x:c r="B9" s="49" t="str">
        <x:v>/Users/sadisfaction570/Desktop/Journal 1/NLTL_v2/MVP/INPUTS/RDF_R4_GENERATED_SHAPE_CONFIRMATION/evaluation_manifest.json</x:v>
      </x:c>
    </x:row>
    <x:row r="10">
      <x:c r="A10" s="50" t="str">
        <x:v>MANIFEST_SHA256</x:v>
      </x:c>
      <x:c r="B10" s="51" t="str">
        <x:v>32ceee85ec5ee83cbd80fe11a89114a811a056946a0afe9b12335eff572b29bf</x:v>
      </x:c>
    </x:row>
  </x:sheetData>
  <x:pageMargins left="0.7" right="0.7" top="0.75" bottom="0.75" header="0.3" footer="0.3"/>
  <x:tableParts count="1">
    <x:tablePart xmlns:r="http://schemas.openxmlformats.org/officeDocument/2006/relationships" r:id="R64e4673871014e0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13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R4-GENERATED-SHAPES-I2-005-IMO-086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R4-GENERATED-SHAPES-I2-005-IMO-086</x:v>
      </x:c>
      <x:c r="B5" s="46" t="str">
        <x:v>RQ-I2-005</x:v>
      </x:c>
      <x:c r="C5" s="46" t="str">
        <x:v>I2-005-PASS-EXACT-BOUNDARY</x:v>
      </x:c>
      <x:c r="D5" s="46" t="str">
        <x:v>requirement</x:v>
      </x:c>
      <x:c r="E5" s="46" t="str">
        <x:v>I2-005</x:v>
      </x:c>
      <x:c r="F5" s="46" t="str">
        <x:v>/Users/sadisfaction570/Desktop/Journal 1/NLTL_v2/MVP/SHACL_GENERATION_PIPELINE/outputs/development_r14/runs/RUN-I2-005-20260814T124851373903Z/final/final_shape.ttl</x:v>
      </x:c>
      <x:c r="G5" s="46" t="str">
        <x:v>/Users/sadisfaction570/Desktop/Journal 1/NLTL_v2/MVP/INPUTS/RDF_R4_GENERATED_SHAPE_CONFIRMATION/I2-005/I2-005_pass_exact_boundary.ttl</x:v>
      </x:c>
      <x:c r="H5" s="46" t="str">
        <x:v>e8cc389d79f361cd5510cadd8f5a307ec9c5447cb9db999309dd20226447dd9e</x:v>
      </x:c>
      <x:c r="I5" s="46" t="str">
        <x:v>cd8444e928151fc3430844068a1eafa0e83a7378f2697b30808cfbc78e44d890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506.687</x:v>
      </x:c>
      <x:c r="Q5" s="47" t="str"/>
      <x:c r="R5" s="46" t="str">
        <x:v>Conforms: true</x:v>
      </x:c>
    </x:row>
    <x:row r="6">
      <x:c r="A6" s="48" t="str">
        <x:v>R4-GENERATED-SHAPES-I2-005-IMO-086</x:v>
      </x:c>
      <x:c r="B6" s="48" t="str">
        <x:v>RQ-I2-005</x:v>
      </x:c>
      <x:c r="C6" s="48" t="str">
        <x:v>I2-005-FAIL-BELOW-SEVEN-DEGREES</x:v>
      </x:c>
      <x:c r="D6" s="48" t="str">
        <x:v>requirement</x:v>
      </x:c>
      <x:c r="E6" s="48" t="str">
        <x:v>I2-005</x:v>
      </x:c>
      <x:c r="F6" s="48" t="str">
        <x:v>/Users/sadisfaction570/Desktop/Journal 1/NLTL_v2/MVP/SHACL_GENERATION_PIPELINE/outputs/development_r14/runs/RUN-I2-005-20260814T124851373903Z/final/final_shape.ttl</x:v>
      </x:c>
      <x:c r="G6" s="48" t="str">
        <x:v>/Users/sadisfaction570/Desktop/Journal 1/NLTL_v2/MVP/INPUTS/RDF_R4_GENERATED_SHAPE_CONFIRMATION/I2-005/I2-005_fail_below_seven_degrees.ttl</x:v>
      </x:c>
      <x:c r="H6" s="48" t="str">
        <x:v>e8cc389d79f361cd5510cadd8f5a307ec9c5447cb9db999309dd20226447dd9e</x:v>
      </x:c>
      <x:c r="I6" s="48" t="str">
        <x:v>906c987db268af2a902fff86ef996f022964711b7a82889412a717ecc3562624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73</x:v>
      </x:c>
      <x:c r="P6" s="64" t="n">
        <x:v>480.41</x:v>
      </x:c>
      <x:c r="Q6" s="49" t="str"/>
      <x:c r="R6" s="48" t="str">
        <x:v>Conforms: false | Value is not &gt;= Literal("7", datatype=xsd:decimal)</x:v>
      </x:c>
    </x:row>
    <x:row r="7">
      <x:c r="A7" s="48" t="str">
        <x:v>R4-GENERATED-SHAPES-I2-005-IMO-086</x:v>
      </x:c>
      <x:c r="B7" s="48" t="str">
        <x:v>RQ-I2-005</x:v>
      </x:c>
      <x:c r="C7" s="48" t="str">
        <x:v>I2-005-FAIL-WRONG-UNIT</x:v>
      </x:c>
      <x:c r="D7" s="48" t="str">
        <x:v>requirement</x:v>
      </x:c>
      <x:c r="E7" s="48" t="str">
        <x:v>I2-005</x:v>
      </x:c>
      <x:c r="F7" s="48" t="str">
        <x:v>/Users/sadisfaction570/Desktop/Journal 1/NLTL_v2/MVP/SHACL_GENERATION_PIPELINE/outputs/development_r14/runs/RUN-I2-005-20260814T124851373903Z/final/final_shape.ttl</x:v>
      </x:c>
      <x:c r="G7" s="48" t="str">
        <x:v>/Users/sadisfaction570/Desktop/Journal 1/NLTL_v2/MVP/INPUTS/RDF_R4_GENERATED_SHAPE_CONFIRMATION/I2-005/I2-005_fail_wrong_unit.ttl</x:v>
      </x:c>
      <x:c r="H7" s="48" t="str">
        <x:v>e8cc389d79f361cd5510cadd8f5a307ec9c5447cb9db999309dd20226447dd9e</x:v>
      </x:c>
      <x:c r="I7" s="48" t="str">
        <x:v>a6a5ab6425dd9b56bf1ad4825fd73400a1376debaeb2c1402141a0406e130d08</x:v>
      </x:c>
      <x:c r="J7" s="48" t="str">
        <x:v>TRUE</x:v>
      </x:c>
      <x:c r="K7" s="64" t="str">
        <x:v>FALSE</x:v>
      </x:c>
      <x:c r="L7" s="48" t="str">
        <x:v>TRUE</x:v>
      </x:c>
      <x:c r="M7" s="64" t="str">
        <x:v>FALSE</x:v>
      </x:c>
      <x:c r="N7" s="48" t="str">
        <x:v>TRUE</x:v>
      </x:c>
      <x:c r="O7" s="65" t="n">
        <x:v>71</x:v>
      </x:c>
      <x:c r="P7" s="64" t="n">
        <x:v>518.319</x:v>
      </x:c>
      <x:c r="Q7" s="49" t="str"/>
      <x:c r="R7" s="48" t="str">
        <x:v>Conforms: false | Node [ qudt:numericValue Literal("7.0", datatype=xsd:decimal) ; qudt:unit unit:RAD ; rdf:type qudt:QuantityValue, rdfs:Resource ]-&gt;qudt:unit does not contain a value in the set: ['unit:DEG']</x:v>
      </x:c>
    </x:row>
    <x:row r="8">
      <x:c r="A8" s="48" t="str">
        <x:v>R4-GENERATED-SHAPES-I2-005-IMO-086</x:v>
      </x:c>
      <x:c r="B8" s="48" t="str">
        <x:v>RQ-IMO-086</x:v>
      </x:c>
      <x:c r="C8" s="48" t="str">
        <x:v>IMO-086-PASS-TWO-INDEPENDENT-MEANS</x:v>
      </x:c>
      <x:c r="D8" s="48" t="str">
        <x:v>requirement</x:v>
      </x:c>
      <x:c r="E8" s="48" t="str">
        <x:v>IMO-086</x:v>
      </x:c>
      <x:c r="F8" s="48" t="str">
        <x:v>/Users/sadisfaction570/Desktop/Journal 1/NLTL_v2/MVP/SHACL_GENERATION_PIPELINE/outputs/development_r14/runs/RUN-IMO-086-20260814T125430750237Z/final/final_shape.ttl</x:v>
      </x:c>
      <x:c r="G8" s="48" t="str">
        <x:v>/Users/sadisfaction570/Desktop/Journal 1/NLTL_v2/MVP/INPUTS/RDF_R4_GENERATED_SHAPE_CONFIRMATION/IMO-086/IMO-086_pass_two_independent_means.ttl</x:v>
      </x:c>
      <x:c r="H8" s="48" t="str">
        <x:v>7cf81ba77a7375bf967606285827d9b1e8e00752f87283df379c6a89f9dddb05</x:v>
      </x:c>
      <x:c r="I8" s="48" t="str">
        <x:v>23b14f46f0e6ded54532c7d26f9bd218f513360c612836610f8f62165d9308f7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483.429</x:v>
      </x:c>
      <x:c r="Q8" s="49" t="str"/>
      <x:c r="R8" s="48" t="str">
        <x:v>Conforms: true</x:v>
      </x:c>
    </x:row>
    <x:row r="9">
      <x:c r="A9" s="48" t="str">
        <x:v>R4-GENERATED-SHAPES-I2-005-IMO-086</x:v>
      </x:c>
      <x:c r="B9" s="48" t="str">
        <x:v>RQ-IMO-086</x:v>
      </x:c>
      <x:c r="C9" s="48" t="str">
        <x:v>IMO-086-FAIL-ONE-MEANS</x:v>
      </x:c>
      <x:c r="D9" s="48" t="str">
        <x:v>requirement</x:v>
      </x:c>
      <x:c r="E9" s="48" t="str">
        <x:v>IMO-086</x:v>
      </x:c>
      <x:c r="F9" s="48" t="str">
        <x:v>/Users/sadisfaction570/Desktop/Journal 1/NLTL_v2/MVP/SHACL_GENERATION_PIPELINE/outputs/development_r14/runs/RUN-IMO-086-20260814T125430750237Z/final/final_shape.ttl</x:v>
      </x:c>
      <x:c r="G9" s="48" t="str">
        <x:v>/Users/sadisfaction570/Desktop/Journal 1/NLTL_v2/MVP/INPUTS/RDF_R4_GENERATED_SHAPE_CONFIRMATION/IMO-086/IMO-086_fail_one_means.ttl</x:v>
      </x:c>
      <x:c r="H9" s="48" t="str">
        <x:v>7cf81ba77a7375bf967606285827d9b1e8e00752f87283df379c6a89f9dddb05</x:v>
      </x:c>
      <x:c r="I9" s="48" t="str">
        <x:v>a84612efdfeca1992bea413a46b1d4246b9cab121f53c1332028ca23a0f4bf98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39</x:v>
      </x:c>
      <x:c r="P9" s="64" t="n">
        <x:v>476.563</x:v>
      </x:c>
      <x:c r="Q9" s="49" t="str"/>
      <x:c r="R9" s="48" t="str">
        <x:v>Conforms: false | Each non-magnetic heading means must be independent from another distinct non-magnetic heading means on the same ship.</x:v>
      </x:c>
    </x:row>
    <x:row r="10">
      <x:c r="A10" s="48" t="str">
        <x:v>R4-GENERATED-SHAPES-I2-005-IMO-086</x:v>
      </x:c>
      <x:c r="B10" s="48" t="str">
        <x:v>RQ-IMO-086</x:v>
      </x:c>
      <x:c r="C10" s="48" t="str">
        <x:v>IMO-086-FAIL-MISSING-EMERGENCY-POWER</x:v>
      </x:c>
      <x:c r="D10" s="48" t="str">
        <x:v>requirement</x:v>
      </x:c>
      <x:c r="E10" s="48" t="str">
        <x:v>IMO-086</x:v>
      </x:c>
      <x:c r="F10" s="48" t="str">
        <x:v>/Users/sadisfaction570/Desktop/Journal 1/NLTL_v2/MVP/SHACL_GENERATION_PIPELINE/outputs/development_r14/runs/RUN-IMO-086-20260814T125430750237Z/final/final_shape.ttl</x:v>
      </x:c>
      <x:c r="G10" s="48" t="str">
        <x:v>/Users/sadisfaction570/Desktop/Journal 1/NLTL_v2/MVP/INPUTS/RDF_R4_GENERATED_SHAPE_CONFIRMATION/IMO-086/IMO-086_fail_missing_emergency_power.ttl</x:v>
      </x:c>
      <x:c r="H10" s="48" t="str">
        <x:v>7cf81ba77a7375bf967606285827d9b1e8e00752f87283df379c6a89f9dddb05</x:v>
      </x:c>
      <x:c r="I10" s="48" t="str">
        <x:v>4c300bdf483e9e7e3403e3d33b1f23f1059dd1e4cbfee349492a2a9ee5bd4f79</x:v>
      </x:c>
      <x:c r="J10" s="48" t="str">
        <x:v>TRUE</x:v>
      </x:c>
      <x:c r="K10" s="64" t="str">
        <x:v>FALSE</x:v>
      </x:c>
      <x:c r="L10" s="48" t="str">
        <x:v>TRUE</x:v>
      </x:c>
      <x:c r="M10" s="64" t="str">
        <x:v>FALSE</x:v>
      </x:c>
      <x:c r="N10" s="48" t="str">
        <x:v>TRUE</x:v>
      </x:c>
      <x:c r="O10" s="65" t="n">
        <x:v>42</x:v>
      </x:c>
      <x:c r="P10" s="64" t="n">
        <x:v>504.522</x:v>
      </x:c>
      <x:c r="Q10" s="49" t="str"/>
      <x:c r="R10" s="48" t="str">
        <x:v>Conforms: false | Each non-magnetic heading means must be connected to emergency power.</x:v>
      </x:c>
    </x:row>
    <x:row r="11">
      <x:c r="A11" s="50" t="str">
        <x:v>R4-GENERATED-SHAPES-I2-005-IMO-086</x:v>
      </x:c>
      <x:c r="B11" s="50" t="str">
        <x:v>RQ-IMO-086</x:v>
      </x:c>
      <x:c r="C11" s="50" t="str">
        <x:v>IMO-086-FAIL-NOT-INDEPENDENT</x:v>
      </x:c>
      <x:c r="D11" s="50" t="str">
        <x:v>requirement</x:v>
      </x:c>
      <x:c r="E11" s="50" t="str">
        <x:v>IMO-086</x:v>
      </x:c>
      <x:c r="F11" s="50" t="str">
        <x:v>/Users/sadisfaction570/Desktop/Journal 1/NLTL_v2/MVP/SHACL_GENERATION_PIPELINE/outputs/development_r14/runs/RUN-IMO-086-20260814T125430750237Z/final/final_shape.ttl</x:v>
      </x:c>
      <x:c r="G11" s="50" t="str">
        <x:v>/Users/sadisfaction570/Desktop/Journal 1/NLTL_v2/MVP/INPUTS/RDF_R4_GENERATED_SHAPE_CONFIRMATION/IMO-086/IMO-086_fail_not_independent.ttl</x:v>
      </x:c>
      <x:c r="H11" s="50" t="str">
        <x:v>7cf81ba77a7375bf967606285827d9b1e8e00752f87283df379c6a89f9dddb05</x:v>
      </x:c>
      <x:c r="I11" s="50" t="str">
        <x:v>e91e2d823e7a19e61cbd6783416d93d703aff314ce33a6f0b0f3f97130326d81</x:v>
      </x:c>
      <x:c r="J11" s="50" t="str">
        <x:v>TRUE</x:v>
      </x:c>
      <x:c r="K11" s="66" t="str">
        <x:v>FALSE</x:v>
      </x:c>
      <x:c r="L11" s="50" t="str">
        <x:v>TRUE</x:v>
      </x:c>
      <x:c r="M11" s="66" t="str">
        <x:v>FALSE</x:v>
      </x:c>
      <x:c r="N11" s="50" t="str">
        <x:v>TRUE</x:v>
      </x:c>
      <x:c r="O11" s="67" t="n">
        <x:v>22</x:v>
      </x:c>
      <x:c r="P11" s="66" t="n">
        <x:v>520.747</x:v>
      </x:c>
      <x:c r="Q11" s="51" t="str"/>
      <x:c r="R11" s="50" t="str">
        <x:v>Conforms: false | Each non-magnetic heading means must be independent from another distinct non-magnetic heading means on the same ship.</x:v>
      </x:c>
    </x:row>
  </x:sheetData>
  <x:pageMargins left="0.7" right="0.7" top="0.75" bottom="0.75" header="0.3" footer="0.3"/>
  <x:tableParts count="1">
    <x:tablePart xmlns:r="http://schemas.openxmlformats.org/officeDocument/2006/relationships" r:id="R0d93da5b2bdb4fae"/>
  </x:tableParts>
</x:worksheet>
</file>