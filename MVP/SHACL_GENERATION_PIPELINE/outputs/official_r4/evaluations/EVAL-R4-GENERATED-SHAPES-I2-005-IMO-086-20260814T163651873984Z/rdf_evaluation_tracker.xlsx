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f0f2cb4d724f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a6155a3cec54422"/>
    <x:sheet xmlns:r="http://schemas.openxmlformats.org/officeDocument/2006/relationships" name="README" sheetId="2" r:id="R9e8a090c7408492a"/>
    <x:sheet xmlns:r="http://schemas.openxmlformats.org/officeDocument/2006/relationships" name="EVALUATION_RESULTS" sheetId="3" r:id="R0ea65fd8366f46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#,##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6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2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201" fontId="6" fillId="0" borderId="2" xfId="0" applyNumberFormat="1" applyFont="1" applyFill="1" applyBorder="1"/>
    <x:xf numFmtId="0" fontId="9" fillId="0" borderId="3" xfId="0" applyNumberFormat="1" applyFont="1" applyFill="1" applyBorder="1"/>
    <x:xf numFmtId="0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1" fontId="6" fillId="0" borderId="1" xfId="0" applyNumberFormat="1" applyFont="1" applyFill="1" applyBorder="1" applyAlignment="1">
      <x:alignment vertical="top"/>
    </x:xf>
    <x:xf numFmtId="200" fontId="6" fillId="0" borderId="1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fb0abb8f5b4b26" /><Relationship Type="http://schemas.openxmlformats.org/officeDocument/2006/relationships/theme" Target="/xl/theme/theme1.xml" Id="R0dbf0d3e5daa4add" /><Relationship Type="http://schemas.openxmlformats.org/officeDocument/2006/relationships/sharedStrings" Target="/xl/sharedStrings.xml" Id="R40b0dbb4ca614a34" /><Relationship Type="http://schemas.openxmlformats.org/officeDocument/2006/relationships/worksheet" Target="/xl/worksheets/sheet1.xml" Id="R5a6155a3cec54422" /><Relationship Type="http://schemas.openxmlformats.org/officeDocument/2006/relationships/worksheet" Target="/xl/worksheets/sheet2.xml" Id="R9e8a090c7408492a" /><Relationship Type="http://schemas.openxmlformats.org/officeDocument/2006/relationships/worksheet" Target="/xl/worksheets/sheet3.xml" Id="R0ea65fd8366f46b6" /></Relationship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EVALUATIONRESULTS" displayName="T2_EVALUATIONRESULTS" ref="A4:R11" headerRowCount="1" totalsRowCount="0" totalsRowShown="0">
  <x:tableColumns count="18">
    <x:tableColumn id="1" name="EVALUATION_ID"/>
    <x:tableColumn id="2" name="CASE_ID"/>
    <x:tableColumn id="3" name="VARIANT_ID"/>
    <x:tableColumn id="4" name="CASE_LEVEL"/>
    <x:tableColumn id="5" name="REQUIREMENT_IDS"/>
    <x:tableColumn id="6" name="SHAPE_FILE"/>
    <x:tableColumn id="7" name="DATA_FILE"/>
    <x:tableColumn id="8" name="SHAPE_SHA256"/>
    <x:tableColumn id="9" name="DATA_SHA256"/>
    <x:tableColumn id="10" name="FILE_INTEGRITY_OK"/>
    <x:tableColumn id="11" name="EXPECTED_CONFORMS"/>
    <x:tableColumn id="12" name="EXECUTION_OK"/>
    <x:tableColumn id="13" name="ACTUAL_CONFORMS"/>
    <x:tableColumn id="14" name="EXPECTED_MATCH"/>
    <x:tableColumn id="15" name="REPORT_TRIPLES"/>
    <x:tableColumn id="16" name="ELAPSED_MS"/>
    <x:tableColumn id="17" name="ERROR"/>
    <x:tableColumn id="18" name="REPORT_SUMMAR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4854f49e03c4b4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c4a63dfb09a476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Bulk RDF Evaluation Tracker</x:v>
      </x:c>
      <x:c r="B1" s="19"/>
      <x:c r="C1" s="19"/>
      <x:c r="D1" s="19"/>
    </x:row>
    <x:row r="2">
      <x:c r="A2" s="20" t="str">
        <x:v>Evaluation: R4-GENERATED-SHAPES-I2-005-IMO-086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Evaluation records</x:v>
      </x:c>
      <x:c r="B5" s="24" t="n">
        <x:f>COUNTA('EVALUATION_RESULTS'!$A$5:$A$11)</x:f>
        <x:v>7</x:v>
      </x:c>
      <x:c r="C5" s="21"/>
      <x:c r="D5" s="21"/>
    </x:row>
    <x:row r="6">
      <x:c r="A6" s="25" t="str">
        <x:v>Executed successfully</x:v>
      </x:c>
      <x:c r="B6" s="26" t="n">
        <x:f>COUNTIF('EVALUATION_RESULTS'!$L$5:$L$11,"TRUE")</x:f>
        <x:v>7</x:v>
      </x:c>
      <x:c r="C6" s="21"/>
      <x:c r="D6" s="21"/>
    </x:row>
    <x:row r="7">
      <x:c r="A7" s="25" t="str">
        <x:v>Expected outcomes matched</x:v>
      </x:c>
      <x:c r="B7" s="26" t="n">
        <x:f>COUNTIF('EVALUATION_RESULTS'!$N$5:$N$11,"TRUE")</x:f>
        <x:v>7</x:v>
      </x:c>
      <x:c r="C7" s="21"/>
      <x:c r="D7" s="21"/>
    </x:row>
    <x:row r="8">
      <x:c r="A8" s="25" t="str">
        <x:v>Expected outcomes mismatched</x:v>
      </x:c>
      <x:c r="B8" s="26" t="n">
        <x:f>COUNTIF('EVALUATION_RESULTS'!$N$5:$N$11,"FALSE")</x:f>
        <x:v>0</x:v>
      </x:c>
      <x:c r="C8" s="21"/>
      <x:c r="D8" s="21"/>
    </x:row>
    <x:row r="9">
      <x:c r="A9" s="25" t="str">
        <x:v>Mean evaluation elapsed ms</x:v>
      </x:c>
      <x:c r="B9" s="27" t="n">
        <x:f>IFERROR(AVERAGE('EVALUATION_RESULTS'!$P$5:$P$11),0)</x:f>
        <x:v>505.71714285714285</x:v>
      </x:c>
      <x:c r="C9" s="21"/>
      <x:c r="D9" s="21"/>
    </x:row>
    <x:row r="10">
      <x:c r="A10" s="28"/>
      <x:c r="B10" s="29"/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30" t="str">
        <x:v>INTERPRETATION</x:v>
      </x:c>
      <x:c r="B12" s="31" t="str">
        <x:v>EXPECTED_MATCH = TRUE means the SHACL result matched the independently declared pass/fail expectation.</x:v>
      </x:c>
      <x:c r="C12" s="31" t="str"/>
      <x:c r="D12" s="31" t="str"/>
    </x:row>
    <x:row r="13" ht="38" customHeight="1">
      <x:c r="A13" s="30" t="str">
        <x:v>RESULT DETAIL</x:v>
      </x:c>
      <x:c r="B13" s="31" t="str">
        <x:v>The workbook contains concise messages; evaluation_results.csv and evaluation_results.jsonl retain complete SHACL reports.</x:v>
      </x:c>
      <x:c r="C13" s="31" t="str"/>
      <x:c r="D13" s="31" t="str"/>
    </x:row>
    <x:row r="14" ht="38" customHeight="1">
      <x:c r="A14" s="30" t="str">
        <x:v>BOUNDARY</x:v>
      </x:c>
      <x:c r="B14" s="31" t="str">
        <x:v>This evaluator makes no LLM or API calls and never repairs a generated shape.</x:v>
      </x:c>
      <x:c r="C14" s="31" t="str"/>
      <x:c r="D14" s="31" t="str"/>
    </x:row>
    <x:row r="15" ht="38" customHeight="1">
      <x:c r="A15" s="30" t="str">
        <x:v>REPRODUCIBILITY</x:v>
      </x:c>
      <x:c r="B15" s="31" t="str">
        <x:v>The manifest links every RDF variant to the exact frozen generated SHACL file.</x:v>
      </x:c>
      <x:c r="C15" s="31" t="str"/>
      <x:c r="D15" s="31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Bulk RDF Evaluation Tracker</x:v>
      </x:c>
      <x:c r="B1" s="19"/>
    </x:row>
    <x:row r="2">
      <x:c r="A2" s="20" t="str">
        <x:v>README | Evaluation: R4-GENERATED-SHAPES-I2-005-IMO-086</x:v>
      </x:c>
      <x:c r="B2" s="20"/>
    </x:row>
    <x:row r="3">
      <x:c r="A3" s="21"/>
      <x:c r="B3" s="21"/>
    </x:row>
    <x:row r="4" ht="30" customHeight="1">
      <x:c r="A4" s="44" t="str">
        <x:v>SECTION</x:v>
      </x:c>
      <x:c r="B4" s="45" t="str">
        <x:v>DETAIL</x:v>
      </x:c>
    </x:row>
    <x:row r="5">
      <x:c r="A5" s="46" t="str">
        <x:v>PURPOSE</x:v>
      </x:c>
      <x:c r="B5" s="47" t="str">
        <x:v>Separate bulk RDF/ship-graph execution of frozen SHACL shapes.</x:v>
      </x:c>
    </x:row>
    <x:row r="6">
      <x:c r="A6" s="48" t="str">
        <x:v>BOUNDARY</x:v>
      </x:c>
      <x:c r="B6" s="49" t="str">
        <x:v>This evaluator never calls an LLM and is not part of the generation repair loop.</x:v>
      </x:c>
    </x:row>
    <x:row r="7">
      <x:c r="A7" s="48" t="str">
        <x:v>VOCABULARY_LOCK</x:v>
      </x:c>
      <x:c r="B7" s="49" t="str">
        <x:v>VOCAB-LOCK-2026-08-14-R4</x:v>
      </x:c>
    </x:row>
    <x:row r="8">
      <x:c r="A8" s="48" t="str">
        <x:v>ONTOLOGY_SHA256</x:v>
      </x:c>
      <x:c r="B8" s="49" t="str">
        <x:v>64dc36d07db83ef1b6a9240c26018596acfcbc3584bae4f1890d98f78af28ab4</x:v>
      </x:c>
    </x:row>
    <x:row r="9">
      <x:c r="A9" s="48" t="str">
        <x:v>MANIFEST</x:v>
      </x:c>
      <x:c r="B9" s="49" t="str">
        <x:v>/Users/sadisfaction570/Desktop/Journal 1/NLTL_v2/MVP/INPUTS/RDF_R4_GENERATED_SHAPE_CONFIRMATION/evaluation_manifest.json</x:v>
      </x:c>
    </x:row>
    <x:row r="10">
      <x:c r="A10" s="50" t="str">
        <x:v>MANIFEST_SHA256</x:v>
      </x:c>
      <x:c r="B10" s="51" t="str">
        <x:v>32ceee85ec5ee83cbd80fe11a89114a811a056946a0afe9b12335eff572b29bf</x:v>
      </x:c>
    </x:row>
  </x:sheetData>
  <x:pageMargins left="0.7" right="0.7" top="0.75" bottom="0.75" header="0.3" footer="0.3"/>
  <x:tableParts count="1">
    <x:tablePart xmlns:r="http://schemas.openxmlformats.org/officeDocument/2006/relationships" r:id="R84854f49e03c4b4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2" hidden="0" customWidth="1"/>
    <x:col min="3" max="3" width="24" hidden="0" customWidth="1"/>
    <x:col min="4" max="4" width="13" hidden="0" customWidth="1"/>
    <x:col min="5" max="5" width="17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19" hidden="0" customWidth="1"/>
    <x:col min="11" max="11" width="19" hidden="0" customWidth="1"/>
    <x:col min="12" max="12" width="14" hidden="0" customWidth="1"/>
    <x:col min="13" max="13" width="17" hidden="0" customWidth="1"/>
    <x:col min="14" max="14" width="16" hidden="0" customWidth="1"/>
    <x:col min="15" max="15" width="16" hidden="0" customWidth="1"/>
    <x:col min="16" max="16" width="12" hidden="0" customWidth="1"/>
    <x:col min="17" max="17" width="20" hidden="0" customWidth="1"/>
    <x:col min="18" max="18" width="24" hidden="0" customWidth="1"/>
  </x:cols>
  <x:sheetData>
    <x:row r="1">
      <x:c r="A1" s="18" t="str">
        <x:v>NLTL Bulk RDF Evaluation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</x:row>
    <x:row r="2">
      <x:c r="A2" s="20" t="str">
        <x:v>EVALUATION_RESULTS | Evaluation: R4-GENERATED-SHAPES-I2-005-IMO-086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</x:row>
    <x:row r="4" ht="30" customHeight="1">
      <x:c r="A4" s="44" t="str">
        <x:v>EVALUATION_ID</x:v>
      </x:c>
      <x:c r="B4" s="61" t="str">
        <x:v>CASE_ID</x:v>
      </x:c>
      <x:c r="C4" s="61" t="str">
        <x:v>VARIANT_ID</x:v>
      </x:c>
      <x:c r="D4" s="61" t="str">
        <x:v>CASE_LEVEL</x:v>
      </x:c>
      <x:c r="E4" s="61" t="str">
        <x:v>REQUIREMENT_IDS</x:v>
      </x:c>
      <x:c r="F4" s="61" t="str">
        <x:v>SHAPE_FILE</x:v>
      </x:c>
      <x:c r="G4" s="61" t="str">
        <x:v>DATA_FILE</x:v>
      </x:c>
      <x:c r="H4" s="61" t="str">
        <x:v>SHAPE_SHA256</x:v>
      </x:c>
      <x:c r="I4" s="61" t="str">
        <x:v>DATA_SHA256</x:v>
      </x:c>
      <x:c r="J4" s="61" t="str">
        <x:v>FILE_INTEGRITY_OK</x:v>
      </x:c>
      <x:c r="K4" s="61" t="str">
        <x:v>EXPECTED_CONFORMS</x:v>
      </x:c>
      <x:c r="L4" s="61" t="str">
        <x:v>EXECUTION_OK</x:v>
      </x:c>
      <x:c r="M4" s="61" t="str">
        <x:v>ACTUAL_CONFORMS</x:v>
      </x:c>
      <x:c r="N4" s="61" t="str">
        <x:v>EXPECTED_MATCH</x:v>
      </x:c>
      <x:c r="O4" s="61" t="str">
        <x:v>REPORT_TRIPLES</x:v>
      </x:c>
      <x:c r="P4" s="61" t="str">
        <x:v>ELAPSED_MS</x:v>
      </x:c>
      <x:c r="Q4" s="61" t="str">
        <x:v>ERROR</x:v>
      </x:c>
      <x:c r="R4" s="45" t="str">
        <x:v>REPORT_SUMMARY</x:v>
      </x:c>
    </x:row>
    <x:row r="5">
      <x:c r="A5" s="46" t="str">
        <x:v>R4-GENERATED-SHAPES-I2-005-IMO-086</x:v>
      </x:c>
      <x:c r="B5" s="46" t="str">
        <x:v>RQ-I2-005</x:v>
      </x:c>
      <x:c r="C5" s="46" t="str">
        <x:v>I2-005-PASS-EXACT-BOUNDARY</x:v>
      </x:c>
      <x:c r="D5" s="46" t="str">
        <x:v>requirement</x:v>
      </x:c>
      <x:c r="E5" s="46" t="str">
        <x:v>I2-005</x:v>
      </x:c>
      <x:c r="F5" s="46" t="str">
        <x:v>/Users/sadisfaction570/Desktop/Journal 1/NLTL_v2/MVP/SHACL_GENERATION_PIPELINE/outputs/development_r14/runs/RUN-I2-005-20260814T124851373903Z/final/final_shape.ttl</x:v>
      </x:c>
      <x:c r="G5" s="46" t="str">
        <x:v>/Users/sadisfaction570/Desktop/Journal 1/NLTL_v2/MVP/INPUTS/RDF_R4_GENERATED_SHAPE_CONFIRMATION/I2-005/I2-005_pass_exact_boundary.ttl</x:v>
      </x:c>
      <x:c r="H5" s="46" t="str">
        <x:v>e8cc389d79f361cd5510cadd8f5a307ec9c5447cb9db999309dd20226447dd9e</x:v>
      </x:c>
      <x:c r="I5" s="46" t="str">
        <x:v>cd8444e928151fc3430844068a1eafa0e83a7378f2697b30808cfbc78e44d890</x:v>
      </x:c>
      <x:c r="J5" s="46" t="str">
        <x:v>TRUE</x:v>
      </x:c>
      <x:c r="K5" s="62" t="str">
        <x:v>TRUE</x:v>
      </x:c>
      <x:c r="L5" s="46" t="str">
        <x:v>TRUE</x:v>
      </x:c>
      <x:c r="M5" s="62" t="str">
        <x:v>TRUE</x:v>
      </x:c>
      <x:c r="N5" s="46" t="str">
        <x:v>TRUE</x:v>
      </x:c>
      <x:c r="O5" s="63" t="n">
        <x:v>2</x:v>
      </x:c>
      <x:c r="P5" s="62" t="n">
        <x:v>504.352</x:v>
      </x:c>
      <x:c r="Q5" s="47" t="str"/>
      <x:c r="R5" s="46" t="str">
        <x:v>Conforms: true</x:v>
      </x:c>
    </x:row>
    <x:row r="6">
      <x:c r="A6" s="48" t="str">
        <x:v>R4-GENERATED-SHAPES-I2-005-IMO-086</x:v>
      </x:c>
      <x:c r="B6" s="48" t="str">
        <x:v>RQ-I2-005</x:v>
      </x:c>
      <x:c r="C6" s="48" t="str">
        <x:v>I2-005-FAIL-BELOW-SEVEN-DEGREES</x:v>
      </x:c>
      <x:c r="D6" s="48" t="str">
        <x:v>requirement</x:v>
      </x:c>
      <x:c r="E6" s="48" t="str">
        <x:v>I2-005</x:v>
      </x:c>
      <x:c r="F6" s="48" t="str">
        <x:v>/Users/sadisfaction570/Desktop/Journal 1/NLTL_v2/MVP/SHACL_GENERATION_PIPELINE/outputs/development_r14/runs/RUN-I2-005-20260814T124851373903Z/final/final_shape.ttl</x:v>
      </x:c>
      <x:c r="G6" s="48" t="str">
        <x:v>/Users/sadisfaction570/Desktop/Journal 1/NLTL_v2/MVP/INPUTS/RDF_R4_GENERATED_SHAPE_CONFIRMATION/I2-005/I2-005_fail_below_seven_degrees.ttl</x:v>
      </x:c>
      <x:c r="H6" s="48" t="str">
        <x:v>e8cc389d79f361cd5510cadd8f5a307ec9c5447cb9db999309dd20226447dd9e</x:v>
      </x:c>
      <x:c r="I6" s="48" t="str">
        <x:v>906c987db268af2a902fff86ef996f022964711b7a82889412a717ecc3562624</x:v>
      </x:c>
      <x:c r="J6" s="48" t="str">
        <x:v>TRUE</x:v>
      </x:c>
      <x:c r="K6" s="64" t="str">
        <x:v>FALSE</x:v>
      </x:c>
      <x:c r="L6" s="48" t="str">
        <x:v>TRUE</x:v>
      </x:c>
      <x:c r="M6" s="64" t="str">
        <x:v>FALSE</x:v>
      </x:c>
      <x:c r="N6" s="48" t="str">
        <x:v>TRUE</x:v>
      </x:c>
      <x:c r="O6" s="65" t="n">
        <x:v>73</x:v>
      </x:c>
      <x:c r="P6" s="64" t="n">
        <x:v>484.351</x:v>
      </x:c>
      <x:c r="Q6" s="49" t="str"/>
      <x:c r="R6" s="48" t="str">
        <x:v>Conforms: false | Value is not &gt;= Literal("7", datatype=xsd:decimal)</x:v>
      </x:c>
    </x:row>
    <x:row r="7">
      <x:c r="A7" s="48" t="str">
        <x:v>R4-GENERATED-SHAPES-I2-005-IMO-086</x:v>
      </x:c>
      <x:c r="B7" s="48" t="str">
        <x:v>RQ-I2-005</x:v>
      </x:c>
      <x:c r="C7" s="48" t="str">
        <x:v>I2-005-FAIL-WRONG-UNIT</x:v>
      </x:c>
      <x:c r="D7" s="48" t="str">
        <x:v>requirement</x:v>
      </x:c>
      <x:c r="E7" s="48" t="str">
        <x:v>I2-005</x:v>
      </x:c>
      <x:c r="F7" s="48" t="str">
        <x:v>/Users/sadisfaction570/Desktop/Journal 1/NLTL_v2/MVP/SHACL_GENERATION_PIPELINE/outputs/development_r14/runs/RUN-I2-005-20260814T124851373903Z/final/final_shape.ttl</x:v>
      </x:c>
      <x:c r="G7" s="48" t="str">
        <x:v>/Users/sadisfaction570/Desktop/Journal 1/NLTL_v2/MVP/INPUTS/RDF_R4_GENERATED_SHAPE_CONFIRMATION/I2-005/I2-005_fail_wrong_unit.ttl</x:v>
      </x:c>
      <x:c r="H7" s="48" t="str">
        <x:v>e8cc389d79f361cd5510cadd8f5a307ec9c5447cb9db999309dd20226447dd9e</x:v>
      </x:c>
      <x:c r="I7" s="48" t="str">
        <x:v>a6a5ab6425dd9b56bf1ad4825fd73400a1376debaeb2c1402141a0406e130d08</x:v>
      </x:c>
      <x:c r="J7" s="48" t="str">
        <x:v>TRUE</x:v>
      </x:c>
      <x:c r="K7" s="64" t="str">
        <x:v>FALSE</x:v>
      </x:c>
      <x:c r="L7" s="48" t="str">
        <x:v>TRUE</x:v>
      </x:c>
      <x:c r="M7" s="64" t="str">
        <x:v>FALSE</x:v>
      </x:c>
      <x:c r="N7" s="48" t="str">
        <x:v>TRUE</x:v>
      </x:c>
      <x:c r="O7" s="65" t="n">
        <x:v>71</x:v>
      </x:c>
      <x:c r="P7" s="64" t="n">
        <x:v>538.676</x:v>
      </x:c>
      <x:c r="Q7" s="49" t="str"/>
      <x:c r="R7" s="48" t="str">
        <x:v>Conforms: false | Node [ qudt:numericValue Literal("7.0", datatype=xsd:decimal) ; qudt:unit unit:RAD ; rdf:type qudt:QuantityValue, rdfs:Resource ]-&gt;qudt:unit does not contain a value in the set: ['unit:DEG']</x:v>
      </x:c>
    </x:row>
    <x:row r="8">
      <x:c r="A8" s="48" t="str">
        <x:v>R4-GENERATED-SHAPES-I2-005-IMO-086</x:v>
      </x:c>
      <x:c r="B8" s="48" t="str">
        <x:v>RQ-IMO-086</x:v>
      </x:c>
      <x:c r="C8" s="48" t="str">
        <x:v>IMO-086-PASS-TWO-INDEPENDENT-MEANS</x:v>
      </x:c>
      <x:c r="D8" s="48" t="str">
        <x:v>requirement</x:v>
      </x:c>
      <x:c r="E8" s="48" t="str">
        <x:v>IMO-086</x:v>
      </x:c>
      <x:c r="F8" s="48" t="str">
        <x:v>/Users/sadisfaction570/Desktop/Journal 1/NLTL_v2/MVP/SHACL_GENERATION_PIPELINE/outputs/development_r14/runs/RUN-IMO-086-20260814T125430750237Z/final/final_shape.ttl</x:v>
      </x:c>
      <x:c r="G8" s="48" t="str">
        <x:v>/Users/sadisfaction570/Desktop/Journal 1/NLTL_v2/MVP/INPUTS/RDF_R4_GENERATED_SHAPE_CONFIRMATION/IMO-086/IMO-086_pass_two_independent_means.ttl</x:v>
      </x:c>
      <x:c r="H8" s="48" t="str">
        <x:v>7cf81ba77a7375bf967606285827d9b1e8e00752f87283df379c6a89f9dddb05</x:v>
      </x:c>
      <x:c r="I8" s="48" t="str">
        <x:v>23b14f46f0e6ded54532c7d26f9bd218f513360c612836610f8f62165d9308f7</x:v>
      </x:c>
      <x:c r="J8" s="48" t="str">
        <x:v>TRUE</x:v>
      </x:c>
      <x:c r="K8" s="64" t="str">
        <x:v>TRUE</x:v>
      </x:c>
      <x:c r="L8" s="48" t="str">
        <x:v>TRUE</x:v>
      </x:c>
      <x:c r="M8" s="64" t="str">
        <x:v>TRUE</x:v>
      </x:c>
      <x:c r="N8" s="48" t="str">
        <x:v>TRUE</x:v>
      </x:c>
      <x:c r="O8" s="65" t="n">
        <x:v>2</x:v>
      </x:c>
      <x:c r="P8" s="64" t="n">
        <x:v>488.985</x:v>
      </x:c>
      <x:c r="Q8" s="49" t="str"/>
      <x:c r="R8" s="48" t="str">
        <x:v>Conforms: true</x:v>
      </x:c>
    </x:row>
    <x:row r="9">
      <x:c r="A9" s="48" t="str">
        <x:v>R4-GENERATED-SHAPES-I2-005-IMO-086</x:v>
      </x:c>
      <x:c r="B9" s="48" t="str">
        <x:v>RQ-IMO-086</x:v>
      </x:c>
      <x:c r="C9" s="48" t="str">
        <x:v>IMO-086-FAIL-ONE-MEANS</x:v>
      </x:c>
      <x:c r="D9" s="48" t="str">
        <x:v>requirement</x:v>
      </x:c>
      <x:c r="E9" s="48" t="str">
        <x:v>IMO-086</x:v>
      </x:c>
      <x:c r="F9" s="48" t="str">
        <x:v>/Users/sadisfaction570/Desktop/Journal 1/NLTL_v2/MVP/SHACL_GENERATION_PIPELINE/outputs/development_r14/runs/RUN-IMO-086-20260814T125430750237Z/final/final_shape.ttl</x:v>
      </x:c>
      <x:c r="G9" s="48" t="str">
        <x:v>/Users/sadisfaction570/Desktop/Journal 1/NLTL_v2/MVP/INPUTS/RDF_R4_GENERATED_SHAPE_CONFIRMATION/IMO-086/IMO-086_fail_one_means.ttl</x:v>
      </x:c>
      <x:c r="H9" s="48" t="str">
        <x:v>7cf81ba77a7375bf967606285827d9b1e8e00752f87283df379c6a89f9dddb05</x:v>
      </x:c>
      <x:c r="I9" s="48" t="str">
        <x:v>a84612efdfeca1992bea413a46b1d4246b9cab121f53c1332028ca23a0f4bf98</x:v>
      </x:c>
      <x:c r="J9" s="48" t="str">
        <x:v>TRUE</x:v>
      </x:c>
      <x:c r="K9" s="64" t="str">
        <x:v>FALSE</x:v>
      </x:c>
      <x:c r="L9" s="48" t="str">
        <x:v>TRUE</x:v>
      </x:c>
      <x:c r="M9" s="64" t="str">
        <x:v>FALSE</x:v>
      </x:c>
      <x:c r="N9" s="48" t="str">
        <x:v>TRUE</x:v>
      </x:c>
      <x:c r="O9" s="65" t="n">
        <x:v>39</x:v>
      </x:c>
      <x:c r="P9" s="64" t="n">
        <x:v>483.429</x:v>
      </x:c>
      <x:c r="Q9" s="49" t="str"/>
      <x:c r="R9" s="48" t="str">
        <x:v>Conforms: false | Each non-magnetic heading means must be independent from another distinct non-magnetic heading means on the same ship.</x:v>
      </x:c>
    </x:row>
    <x:row r="10">
      <x:c r="A10" s="48" t="str">
        <x:v>R4-GENERATED-SHAPES-I2-005-IMO-086</x:v>
      </x:c>
      <x:c r="B10" s="48" t="str">
        <x:v>RQ-IMO-086</x:v>
      </x:c>
      <x:c r="C10" s="48" t="str">
        <x:v>IMO-086-FAIL-MISSING-EMERGENCY-POWER</x:v>
      </x:c>
      <x:c r="D10" s="48" t="str">
        <x:v>requirement</x:v>
      </x:c>
      <x:c r="E10" s="48" t="str">
        <x:v>IMO-086</x:v>
      </x:c>
      <x:c r="F10" s="48" t="str">
        <x:v>/Users/sadisfaction570/Desktop/Journal 1/NLTL_v2/MVP/SHACL_GENERATION_PIPELINE/outputs/development_r14/runs/RUN-IMO-086-20260814T125430750237Z/final/final_shape.ttl</x:v>
      </x:c>
      <x:c r="G10" s="48" t="str">
        <x:v>/Users/sadisfaction570/Desktop/Journal 1/NLTL_v2/MVP/INPUTS/RDF_R4_GENERATED_SHAPE_CONFIRMATION/IMO-086/IMO-086_fail_missing_emergency_power.ttl</x:v>
      </x:c>
      <x:c r="H10" s="48" t="str">
        <x:v>7cf81ba77a7375bf967606285827d9b1e8e00752f87283df379c6a89f9dddb05</x:v>
      </x:c>
      <x:c r="I10" s="48" t="str">
        <x:v>4c300bdf483e9e7e3403e3d33b1f23f1059dd1e4cbfee349492a2a9ee5bd4f79</x:v>
      </x:c>
      <x:c r="J10" s="48" t="str">
        <x:v>TRUE</x:v>
      </x:c>
      <x:c r="K10" s="64" t="str">
        <x:v>FALSE</x:v>
      </x:c>
      <x:c r="L10" s="48" t="str">
        <x:v>TRUE</x:v>
      </x:c>
      <x:c r="M10" s="64" t="str">
        <x:v>FALSE</x:v>
      </x:c>
      <x:c r="N10" s="48" t="str">
        <x:v>TRUE</x:v>
      </x:c>
      <x:c r="O10" s="65" t="n">
        <x:v>42</x:v>
      </x:c>
      <x:c r="P10" s="64" t="n">
        <x:v>516.803</x:v>
      </x:c>
      <x:c r="Q10" s="49" t="str"/>
      <x:c r="R10" s="48" t="str">
        <x:v>Conforms: false | Each non-magnetic heading means must be connected to emergency power.</x:v>
      </x:c>
    </x:row>
    <x:row r="11">
      <x:c r="A11" s="50" t="str">
        <x:v>R4-GENERATED-SHAPES-I2-005-IMO-086</x:v>
      </x:c>
      <x:c r="B11" s="50" t="str">
        <x:v>RQ-IMO-086</x:v>
      </x:c>
      <x:c r="C11" s="50" t="str">
        <x:v>IMO-086-FAIL-NOT-INDEPENDENT</x:v>
      </x:c>
      <x:c r="D11" s="50" t="str">
        <x:v>requirement</x:v>
      </x:c>
      <x:c r="E11" s="50" t="str">
        <x:v>IMO-086</x:v>
      </x:c>
      <x:c r="F11" s="50" t="str">
        <x:v>/Users/sadisfaction570/Desktop/Journal 1/NLTL_v2/MVP/SHACL_GENERATION_PIPELINE/outputs/development_r14/runs/RUN-IMO-086-20260814T125430750237Z/final/final_shape.ttl</x:v>
      </x:c>
      <x:c r="G11" s="50" t="str">
        <x:v>/Users/sadisfaction570/Desktop/Journal 1/NLTL_v2/MVP/INPUTS/RDF_R4_GENERATED_SHAPE_CONFIRMATION/IMO-086/IMO-086_fail_not_independent.ttl</x:v>
      </x:c>
      <x:c r="H11" s="50" t="str">
        <x:v>7cf81ba77a7375bf967606285827d9b1e8e00752f87283df379c6a89f9dddb05</x:v>
      </x:c>
      <x:c r="I11" s="50" t="str">
        <x:v>e91e2d823e7a19e61cbd6783416d93d703aff314ce33a6f0b0f3f97130326d81</x:v>
      </x:c>
      <x:c r="J11" s="50" t="str">
        <x:v>TRUE</x:v>
      </x:c>
      <x:c r="K11" s="66" t="str">
        <x:v>FALSE</x:v>
      </x:c>
      <x:c r="L11" s="50" t="str">
        <x:v>TRUE</x:v>
      </x:c>
      <x:c r="M11" s="66" t="str">
        <x:v>FALSE</x:v>
      </x:c>
      <x:c r="N11" s="50" t="str">
        <x:v>TRUE</x:v>
      </x:c>
      <x:c r="O11" s="67" t="n">
        <x:v>22</x:v>
      </x:c>
      <x:c r="P11" s="66" t="n">
        <x:v>523.424</x:v>
      </x:c>
      <x:c r="Q11" s="51" t="str"/>
      <x:c r="R11" s="50" t="str">
        <x:v>Conforms: false | Each non-magnetic heading means must be independent from another distinct non-magnetic heading means on the same ship.</x:v>
      </x:c>
    </x:row>
  </x:sheetData>
  <x:pageMargins left="0.7" right="0.7" top="0.75" bottom="0.75" header="0.3" footer="0.3"/>
  <x:tableParts count="1">
    <x:tablePart xmlns:r="http://schemas.openxmlformats.org/officeDocument/2006/relationships" r:id="Rdc4a63dfb09a4769"/>
  </x:tableParts>
</x:worksheet>
</file>