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7c53ae319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275cdb72a34289"/>
    <x:sheet xmlns:r="http://schemas.openxmlformats.org/officeDocument/2006/relationships" name="README" sheetId="2" r:id="R82005596b06145e1"/>
    <x:sheet xmlns:r="http://schemas.openxmlformats.org/officeDocument/2006/relationships" name="EVALUATION_RESULTS" sheetId="3" r:id="Raa50574f7214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60342076740cb" /><Relationship Type="http://schemas.openxmlformats.org/officeDocument/2006/relationships/theme" Target="/xl/theme/theme1.xml" Id="R995bd62c355a4717" /><Relationship Type="http://schemas.openxmlformats.org/officeDocument/2006/relationships/sharedStrings" Target="/xl/sharedStrings.xml" Id="Rcd1ff8a749fe4ea5" /><Relationship Type="http://schemas.openxmlformats.org/officeDocument/2006/relationships/worksheet" Target="/xl/worksheets/sheet1.xml" Id="R1f275cdb72a34289" /><Relationship Type="http://schemas.openxmlformats.org/officeDocument/2006/relationships/worksheet" Target="/xl/worksheets/sheet2.xml" Id="R82005596b06145e1" /><Relationship Type="http://schemas.openxmlformats.org/officeDocument/2006/relationships/worksheet" Target="/xl/worksheets/sheet3.xml" Id="Raa50574f7214425f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8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9719718a9446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2b516b8b564b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R5-IMO057-DETERMINISTIC-CONFIRMATION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COUNTA('EVALUATION_RESULTS'!$A$5:$A$8)</x:f>
        <x:v>4</x:v>
      </x:c>
      <x:c r="C5" s="21"/>
      <x:c r="D5" s="21"/>
    </x:row>
    <x:row r="6">
      <x:c r="A6" s="25" t="str">
        <x:v>Executed successfully</x:v>
      </x:c>
      <x:c r="B6" s="26" t="n">
        <x:f>COUNTIF('EVALUATION_RESULTS'!$L$5:$L$8,"TRUE")</x:f>
        <x:v>4</x:v>
      </x:c>
      <x:c r="C6" s="21"/>
      <x:c r="D6" s="21"/>
    </x:row>
    <x:row r="7">
      <x:c r="A7" s="25" t="str">
        <x:v>Expected outcomes matched</x:v>
      </x:c>
      <x:c r="B7" s="26" t="n">
        <x:f>COUNTIF('EVALUATION_RESULTS'!$N$5:$N$8,"TRUE")</x:f>
        <x:v>4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COUNTIF('EVALUATION_RESULTS'!$N$5:$N$8,"FALSE")</x:f>
        <x:v>0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IFERROR(AVERAGE('EVALUATION_RESULTS'!$P$5:$P$8),0)</x:f>
        <x:v>545.11125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R5-IMO057-DETERMINISTIC-CONFIRMATION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VOCAB-LOCK-2026-08-19-R5</x:v>
      </x:c>
    </x:row>
    <x:row r="8">
      <x:c r="A8" s="48" t="str">
        <x:v>ONTOLOGY_SHA256</x:v>
      </x:c>
      <x:c r="B8" s="49" t="str">
        <x:v>547ee04450ff29af2c027c4295ae87772e4fadabe9d07a6f7bac224ea3c8c66b</x:v>
      </x:c>
    </x:row>
    <x:row r="9">
      <x:c r="A9" s="48" t="str">
        <x:v>MANIFEST</x:v>
      </x:c>
      <x:c r="B9" s="49" t="str">
        <x:v>/Users/sadisfaction570/Desktop/Journal 1/NLTL_v2/MVP/INPUTS/RDF_R5_IMO057_CONFIRMATION/evaluation_manifest.json</x:v>
      </x:c>
    </x:row>
    <x:row r="10">
      <x:c r="A10" s="50" t="str">
        <x:v>MANIFEST_SHA256</x:v>
      </x:c>
      <x:c r="B10" s="51" t="str">
        <x:v>b8bf27ff1e0cd67b522381d569671494cc4ee8ce62ecd94e96735f027ad0f961</x:v>
      </x:c>
    </x:row>
  </x:sheetData>
  <x:pageMargins left="0.7" right="0.7" top="0.75" bottom="0.75" header="0.3" footer="0.3"/>
  <x:tableParts count="1">
    <x:tablePart xmlns:r="http://schemas.openxmlformats.org/officeDocument/2006/relationships" r:id="R1c9719718a9446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3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R5-IMO057-DETERMINISTIC-CONFIRMATION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R5-IMO057-DETERMINISTIC-CONFIRMATION</x:v>
      </x:c>
      <x:c r="B5" s="46" t="str">
        <x:v>RQ-IMO-057</x:v>
      </x:c>
      <x:c r="C5" s="46" t="str">
        <x:v>IMO-057-PASS-ALL-PUMP-TYPES</x:v>
      </x:c>
      <x:c r="D5" s="46" t="str">
        <x:v>requirement</x:v>
      </x:c>
      <x:c r="E5" s="46" t="str">
        <x:v>IMO-057</x:v>
      </x:c>
      <x:c r="F5" s="46" t="str">
        <x:v>/Users/sadisfaction570/Desktop/Journal 1/NLTL_v2/MVP/SHACL_GENERATION_PIPELINE/outputs/r5_imo057_confirmation/runs/RUN-IMO-057-20260819T112845735277Z/final/final_shape.ttl</x:v>
      </x:c>
      <x:c r="G5" s="46" t="str">
        <x:v>/Users/sadisfaction570/Desktop/Journal 1/NLTL_v2/MVP/INPUTS/RDF_R5_IMO057_CONFIRMATION/IMO-057/IMO-057_pass_all_pump_types.ttl</x:v>
      </x:c>
      <x:c r="H5" s="46" t="str">
        <x:v>7fc831a7ba323028d66fc411f6d364e92a6bca1d95c3d09bdecac2fb78771f88</x:v>
      </x:c>
      <x:c r="I5" s="46" t="str">
        <x:v>32f1e2a133377337d994dad30469f6136ce72b74cc658c426831c2770505fac8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630.789</x:v>
      </x:c>
      <x:c r="Q5" s="47" t="str"/>
      <x:c r="R5" s="46" t="str">
        <x:v>Conforms: true</x:v>
      </x:c>
    </x:row>
    <x:row r="6">
      <x:c r="A6" s="48" t="str">
        <x:v>R5-IMO057-DETERMINISTIC-CONFIRMATION</x:v>
      </x:c>
      <x:c r="B6" s="48" t="str">
        <x:v>RQ-IMO-057</x:v>
      </x:c>
      <x:c r="C6" s="48" t="str">
        <x:v>IMO-057-FAIL-ZERO-DEGC</x:v>
      </x:c>
      <x:c r="D6" s="48" t="str">
        <x:v>requirement</x:v>
      </x:c>
      <x:c r="E6" s="48" t="str">
        <x:v>IMO-057</x:v>
      </x:c>
      <x:c r="F6" s="48" t="str">
        <x:v>/Users/sadisfaction570/Desktop/Journal 1/NLTL_v2/MVP/SHACL_GENERATION_PIPELINE/outputs/r5_imo057_confirmation/runs/RUN-IMO-057-20260819T112845735277Z/final/final_shape.ttl</x:v>
      </x:c>
      <x:c r="G6" s="48" t="str">
        <x:v>/Users/sadisfaction570/Desktop/Journal 1/NLTL_v2/MVP/INPUTS/RDF_R5_IMO057_CONFIRMATION/IMO-057/IMO-057_fail_zero_degc.ttl</x:v>
      </x:c>
      <x:c r="H6" s="48" t="str">
        <x:v>7fc831a7ba323028d66fc411f6d364e92a6bca1d95c3d09bdecac2fb78771f88</x:v>
      </x:c>
      <x:c r="I6" s="48" t="str">
        <x:v>a3d9fe5d6626eb53336b62b1b665467312fdf89127656e073fbe788a9928e804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25</x:v>
      </x:c>
      <x:c r="P6" s="64" t="n">
        <x:v>507.952</x:v>
      </x:c>
      <x:c r="Q6" s="49" t="str"/>
      <x:c r="R6" s="48" t="str">
        <x:v>Conforms: false | Each maintained temperature must be a QUDT quantity in degrees Celsius with at least one decimal value, and every value must be greater than 0.</x:v>
      </x:c>
    </x:row>
    <x:row r="7">
      <x:c r="A7" s="48" t="str">
        <x:v>R5-IMO057-DETERMINISTIC-CONFIRMATION</x:v>
      </x:c>
      <x:c r="B7" s="48" t="str">
        <x:v>RQ-IMO-057</x:v>
      </x:c>
      <x:c r="C7" s="48" t="str">
        <x:v>IMO-057-FAIL-WRONG-UNIT</x:v>
      </x:c>
      <x:c r="D7" s="48" t="str">
        <x:v>requirement</x:v>
      </x:c>
      <x:c r="E7" s="48" t="str">
        <x:v>IMO-057</x:v>
      </x:c>
      <x:c r="F7" s="48" t="str">
        <x:v>/Users/sadisfaction570/Desktop/Journal 1/NLTL_v2/MVP/SHACL_GENERATION_PIPELINE/outputs/r5_imo057_confirmation/runs/RUN-IMO-057-20260819T112845735277Z/final/final_shape.ttl</x:v>
      </x:c>
      <x:c r="G7" s="48" t="str">
        <x:v>/Users/sadisfaction570/Desktop/Journal 1/NLTL_v2/MVP/INPUTS/RDF_R5_IMO057_CONFIRMATION/IMO-057/IMO-057_fail_wrong_unit.ttl</x:v>
      </x:c>
      <x:c r="H7" s="48" t="str">
        <x:v>7fc831a7ba323028d66fc411f6d364e92a6bca1d95c3d09bdecac2fb78771f88</x:v>
      </x:c>
      <x:c r="I7" s="48" t="str">
        <x:v>deaa809e99be1384e963d1ef774b0e636468c8d983f6fe7b40f1587594001586</x:v>
      </x:c>
      <x:c r="J7" s="48" t="str">
        <x:v>TRUE</x:v>
      </x:c>
      <x:c r="K7" s="64" t="str">
        <x:v>FALSE</x:v>
      </x:c>
      <x:c r="L7" s="48" t="str">
        <x:v>TRUE</x:v>
      </x:c>
      <x:c r="M7" s="64" t="str">
        <x:v>FALSE</x:v>
      </x:c>
      <x:c r="N7" s="48" t="str">
        <x:v>TRUE</x:v>
      </x:c>
      <x:c r="O7" s="65" t="n">
        <x:v>25</x:v>
      </x:c>
      <x:c r="P7" s="64" t="n">
        <x:v>516.311</x:v>
      </x:c>
      <x:c r="Q7" s="49" t="str"/>
      <x:c r="R7" s="48" t="str">
        <x:v>Conforms: false | Each maintained temperature must be a QUDT quantity in degrees Celsius with at least one decimal value, and every value must be greater than 0.</x:v>
      </x:c>
    </x:row>
    <x:row r="8">
      <x:c r="A8" s="50" t="str">
        <x:v>R5-IMO057-DETERMINISTIC-CONFIRMATION</x:v>
      </x:c>
      <x:c r="B8" s="50" t="str">
        <x:v>RQ-IMO-057</x:v>
      </x:c>
      <x:c r="C8" s="50" t="str">
        <x:v>IMO-057-FAIL-MISSING-COMPARTMENT</x:v>
      </x:c>
      <x:c r="D8" s="50" t="str">
        <x:v>requirement</x:v>
      </x:c>
      <x:c r="E8" s="50" t="str">
        <x:v>IMO-057</x:v>
      </x:c>
      <x:c r="F8" s="50" t="str">
        <x:v>/Users/sadisfaction570/Desktop/Journal 1/NLTL_v2/MVP/SHACL_GENERATION_PIPELINE/outputs/r5_imo057_confirmation/runs/RUN-IMO-057-20260819T112845735277Z/final/final_shape.ttl</x:v>
      </x:c>
      <x:c r="G8" s="50" t="str">
        <x:v>/Users/sadisfaction570/Desktop/Journal 1/NLTL_v2/MVP/INPUTS/RDF_R5_IMO057_CONFIRMATION/IMO-057/IMO-057_fail_missing_compartment.ttl</x:v>
      </x:c>
      <x:c r="H8" s="50" t="str">
        <x:v>7fc831a7ba323028d66fc411f6d364e92a6bca1d95c3d09bdecac2fb78771f88</x:v>
      </x:c>
      <x:c r="I8" s="50" t="str">
        <x:v>f17c58cf171f1172076f7faa5a62650fc4d944fd04c3ce303cf16e9376d5c999</x:v>
      </x:c>
      <x:c r="J8" s="50" t="str">
        <x:v>TRUE</x:v>
      </x:c>
      <x:c r="K8" s="66" t="str">
        <x:v>FALSE</x:v>
      </x:c>
      <x:c r="L8" s="50" t="str">
        <x:v>TRUE</x:v>
      </x:c>
      <x:c r="M8" s="66" t="str">
        <x:v>FALSE</x:v>
      </x:c>
      <x:c r="N8" s="50" t="str">
        <x:v>TRUE</x:v>
      </x:c>
      <x:c r="O8" s="67" t="n">
        <x:v>25</x:v>
      </x:c>
      <x:c r="P8" s="66" t="n">
        <x:v>525.393</x:v>
      </x:c>
      <x:c r="Q8" s="51" t="str"/>
      <x:c r="R8" s="50" t="str">
        <x:v>Conforms: false | Each fire pump must be linked to a containing compartment.</x:v>
      </x:c>
    </x:row>
  </x:sheetData>
  <x:pageMargins left="0.7" right="0.7" top="0.75" bottom="0.75" header="0.3" footer="0.3"/>
  <x:tableParts count="1">
    <x:tablePart xmlns:r="http://schemas.openxmlformats.org/officeDocument/2006/relationships" r:id="Rcf2b516b8b564b7a"/>
  </x:tableParts>
</x:worksheet>
</file>