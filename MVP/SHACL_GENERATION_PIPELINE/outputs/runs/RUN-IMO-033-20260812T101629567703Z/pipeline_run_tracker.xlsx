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8cb4e7d5cf4a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ba33d735d164781"/>
    <x:sheet xmlns:r="http://schemas.openxmlformats.org/officeDocument/2006/relationships" name="README" sheetId="2" r:id="Rd08dea38149742cc"/>
    <x:sheet xmlns:r="http://schemas.openxmlformats.org/officeDocument/2006/relationships" name="REGULATION_QUEUE" sheetId="3" r:id="R00e9e3b6f21140f3"/>
    <x:sheet xmlns:r="http://schemas.openxmlformats.org/officeDocument/2006/relationships" name="RUNS" sheetId="4" r:id="Rd21d3c2a04674b06"/>
    <x:sheet xmlns:r="http://schemas.openxmlformats.org/officeDocument/2006/relationships" name="ITERATIONS" sheetId="5" r:id="R14d6839e265c4bc4"/>
    <x:sheet xmlns:r="http://schemas.openxmlformats.org/officeDocument/2006/relationships" name="API_CALLS" sheetId="6" r:id="Rfdbcee2949f943b4"/>
    <x:sheet xmlns:r="http://schemas.openxmlformats.org/officeDocument/2006/relationships" name="TERM_RETRIEVAL" sheetId="7" r:id="R6e0b0ab832ea4cb9"/>
    <x:sheet xmlns:r="http://schemas.openxmlformats.org/officeDocument/2006/relationships" name="FEW_SHOT_SELECTION" sheetId="8" r:id="R786dcea439674ec7"/>
    <x:sheet xmlns:r="http://schemas.openxmlformats.org/officeDocument/2006/relationships" name="VALIDATION" sheetId="9" r:id="R146ca6fbbc1d46cd"/>
    <x:sheet xmlns:r="http://schemas.openxmlformats.org/officeDocument/2006/relationships" name="VOCAB_MATCHES" sheetId="10" r:id="R5041268ea5294d4b"/>
    <x:sheet xmlns:r="http://schemas.openxmlformats.org/officeDocument/2006/relationships" name="ARTIFACTS" sheetId="11" r:id="R47bb96a50b1945bc"/>
    <x:sheet xmlns:r="http://schemas.openxmlformats.org/officeDocument/2006/relationships" name="UNRESOLVED" sheetId="12" r:id="R67b41ce786424b1a"/>
    <x:sheet xmlns:r="http://schemas.openxmlformats.org/officeDocument/2006/relationships" name="RDF_TEST_QUEUE" sheetId="13" r:id="Rd8052a8f114c46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27a3a182294cb4" /><Relationship Type="http://schemas.openxmlformats.org/officeDocument/2006/relationships/theme" Target="/xl/theme/theme1.xml" Id="Rf050b061703644de" /><Relationship Type="http://schemas.microsoft.com/office/2022/11/relationships/FeaturePropertyBag" Target="/xl/featurePropertyBag/featurePropertyBag.xml" Id="R047b000d7ae04cdc" /><Relationship Type="http://schemas.openxmlformats.org/officeDocument/2006/relationships/sharedStrings" Target="/xl/sharedStrings.xml" Id="R61e18658195a4ab5" /><Relationship Type="http://schemas.openxmlformats.org/officeDocument/2006/relationships/worksheet" Target="/xl/worksheets/sheet1.xml" Id="R4ba33d735d164781" /><Relationship Type="http://schemas.openxmlformats.org/officeDocument/2006/relationships/worksheet" Target="/xl/worksheets/sheet2.xml" Id="Rd08dea38149742cc" /><Relationship Type="http://schemas.openxmlformats.org/officeDocument/2006/relationships/worksheet" Target="/xl/worksheets/sheet3.xml" Id="R00e9e3b6f21140f3" /><Relationship Type="http://schemas.openxmlformats.org/officeDocument/2006/relationships/worksheet" Target="/xl/worksheets/sheet4.xml" Id="Rd21d3c2a04674b06" /><Relationship Type="http://schemas.openxmlformats.org/officeDocument/2006/relationships/worksheet" Target="/xl/worksheets/sheet5.xml" Id="R14d6839e265c4bc4" /><Relationship Type="http://schemas.openxmlformats.org/officeDocument/2006/relationships/worksheet" Target="/xl/worksheets/sheet6.xml" Id="Rfdbcee2949f943b4" /><Relationship Type="http://schemas.openxmlformats.org/officeDocument/2006/relationships/worksheet" Target="/xl/worksheets/sheet7.xml" Id="R6e0b0ab832ea4cb9" /><Relationship Type="http://schemas.openxmlformats.org/officeDocument/2006/relationships/worksheet" Target="/xl/worksheets/sheet8.xml" Id="R786dcea439674ec7" /><Relationship Type="http://schemas.openxmlformats.org/officeDocument/2006/relationships/worksheet" Target="/xl/worksheets/sheet9.xml" Id="R146ca6fbbc1d46cd" /><Relationship Type="http://schemas.openxmlformats.org/officeDocument/2006/relationships/worksheet" Target="/xl/worksheets/sheet10.xml" Id="R5041268ea5294d4b" /><Relationship Type="http://schemas.openxmlformats.org/officeDocument/2006/relationships/worksheet" Target="/xl/worksheets/sheet11.xml" Id="R47bb96a50b1945bc" /><Relationship Type="http://schemas.openxmlformats.org/officeDocument/2006/relationships/worksheet" Target="/xl/worksheets/sheet12.xml" Id="R67b41ce786424b1a" /><Relationship Type="http://schemas.openxmlformats.org/officeDocument/2006/relationships/worksheet" Target="/xl/worksheets/sheet13.xml" Id="Rd8052a8f114c466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2d61faa527f48e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494532c30704c8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8987901f2354b1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710ed2a4b5d42a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3d718c985164f0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f85bdbe6c89400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9d0333de2694fd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c6bf2c9d3184d2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5cb2df37e26466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2c3c1bdf18c4be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RUN-IMO-033-20260812T101629567703Z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14193.52175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RUN-IMO-033-20260812T101629567703Z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2d61faa527f48e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RUN-IMO-033-20260812T101629567703Z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GENERATION_ACCEPTED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94532c30704c8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8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RUN-IMO-033-20260812T101629567703Z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SESSION-BATCH-20260812T101059937685Z</x:v>
      </x:c>
      <x:c r="B5" s="69" t="str">
        <x:v>RUN-IMO-033-20260812T101629567703Z</x:v>
      </x:c>
      <x:c r="C5" s="69" t="str">
        <x:v>IMO-033</x:v>
      </x:c>
      <x:c r="D5" s="70" t="n">
        <x:v>46246.42812</x:v>
      </x:c>
      <x:c r="E5" s="70" t="n">
        <x:v>46246.42845013889</x:v>
      </x:c>
      <x:c r="F5" s="69" t="str">
        <x:v>0.1.1</x:v>
      </x:c>
      <x:c r="G5" s="69" t="str">
        <x:v>VOCAB-LOCK-2026-08-12-R1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icing allowances and formula-derived constraints with correct ship target, applicability logic, paths, operands, multipliers, datatypes, quantity ranges, and units; freeze as submitted.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987901f2354b1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RUN-IMO-033-20260812T101629567703Z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RUN-IMO-033-20260812T101629567703Z</x:v>
      </x:c>
      <x:c r="B5" s="69" t="str">
        <x:v>IMO-033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conditional icing allowances and formula-derived constraints with correct ship target, applicability logic, paths, operands, multipliers, datatypes, quantity ranges, and units; freeze as submitted.</x:v>
      </x:c>
      <x:c r="I5" s="75" t="n">
        <x:v>23602.596</x:v>
      </x:c>
      <x:c r="J5" s="75" t="n">
        <x:v>4785.91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10ed2a4b5d42a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RUN-IMO-033-20260812T101629567703Z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RUN-IMO-033-20260812T101629567703Z</x:v>
      </x:c>
      <x:c r="C5" s="45" t="str">
        <x:v>IMO-033</x:v>
      </x:c>
      <x:c r="D5" s="88" t="n">
        <x:v>46246.428393194445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23601.42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RUN-IMO-033-20260812T101629567703Z</x:v>
      </x:c>
      <x:c r="C6" s="47" t="str">
        <x:v>IMO-033</x:v>
      </x:c>
      <x:c r="D6" s="91" t="n">
        <x:v>46246.42839320602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23602.596</x:v>
      </x:c>
      <x:c r="L6" s="93" t="b">
        <x:v>0</x:v>
      </x:c>
      <x:c r="M6" s="47" t="str">
        <x:v>resp_01b07d345f59bbc5006a7c47fdbc1c8193b4a9a90b4e1d41c5</x:v>
      </x:c>
      <x:c r="N6" s="59" t="n">
        <x:v>5665</x:v>
      </x:c>
      <x:c r="O6" s="59" t="n">
        <x:v>2145</x:v>
      </x:c>
      <x:c r="P6" s="59" t="n">
        <x:v>7810</x:v>
      </x:c>
    </x:row>
    <x:row r="7">
      <x:c r="A7" s="47" t="str">
        <x:v>EVT-000025</x:v>
      </x:c>
      <x:c r="B7" s="47" t="str">
        <x:v>RUN-IMO-033-20260812T101629567703Z</x:v>
      </x:c>
      <x:c r="C7" s="47" t="str">
        <x:v>IMO-033</x:v>
      </x:c>
      <x:c r="D7" s="91" t="n">
        <x:v>46246.42845005787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4784.161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EVT-000026</x:v>
      </x:c>
      <x:c r="B8" s="49" t="str">
        <x:v>RUN-IMO-033-20260812T101629567703Z</x:v>
      </x:c>
      <x:c r="C8" s="49" t="str">
        <x:v>IMO-033</x:v>
      </x:c>
      <x:c r="D8" s="94" t="n">
        <x:v>46246.42845008102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4785.91</x:v>
      </x:c>
      <x:c r="L8" s="96" t="b">
        <x:v>0</x:v>
      </x:c>
      <x:c r="M8" s="49" t="str">
        <x:v>resp_00e97cbdefb28d5d006a7c4815b3448197974c7a6341955f2e</x:v>
      </x:c>
      <x:c r="N8" s="60" t="n">
        <x:v>6130</x:v>
      </x:c>
      <x:c r="O8" s="60" t="n">
        <x:v>251</x:v>
      </x:c>
      <x:c r="P8" s="60" t="n">
        <x:v>6381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d718c985164f0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44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RUN-IMO-033-20260812T101629567703Z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RUN-IMO-033-20260812T101629567703Z</x:v>
      </x:c>
      <x:c r="B5" s="45" t="str">
        <x:v>IMO-033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</x:v>
      </x:c>
      <x:c r="J5" s="45" t="n">
        <x:v>0</x:v>
      </x:c>
    </x:row>
    <x:row r="6">
      <x:c r="A6" s="47" t="str">
        <x:v>RUN-IMO-033-20260812T101629567703Z</x:v>
      </x:c>
      <x:c r="B6" s="47" t="str">
        <x:v>IMO-033</x:v>
      </x:c>
      <x:c r="C6" s="47" t="str">
        <x:v>continuousSurfaceProjectedArea</x:v>
      </x:c>
      <x:c r="D6" s="48" t="str">
        <x:v>https://w3id.org/nltl-benchmark/vocab#continuousSurfaceProjectedArea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http://qudt.org/vocab/unit/M2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RUN-IMO-033-20260812T101629567703Z</x:v>
      </x:c>
      <x:c r="B7" s="47" t="str">
        <x:v>IMO-033</x:v>
      </x:c>
      <x:c r="C7" s="47" t="str">
        <x:v>continuousSurfaceStaticMoment</x:v>
      </x:c>
      <x:c r="D7" s="48" t="str">
        <x:v>https://w3id.org/nltl-benchmark/vocab#continuousSurfaceStaticMoment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http://qudt.org/vocab/unit/KiloN-M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RUN-IMO-033-20260812T101629567703Z</x:v>
      </x:c>
      <x:c r="B8" s="47" t="str">
        <x:v>IMO-033</x:v>
      </x:c>
      <x:c r="C8" s="47" t="str">
        <x:v>deckIcingAllowance</x:v>
      </x:c>
      <x:c r="D8" s="48" t="str">
        <x:v>https://w3id.org/nltl-benchmark/vocab#deckIcingAllowance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http://qudt.org/vocab/unit/KiloGM-PER-M2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RUN-IMO-033-20260812T101629567703Z</x:v>
      </x:c>
      <x:c r="B9" s="47" t="str">
        <x:v>IMO-033</x:v>
      </x:c>
      <x:c r="C9" s="47" t="str">
        <x:v>discontinuousSurfaceProjectedArea</x:v>
      </x:c>
      <x:c r="D9" s="48" t="str">
        <x:v>https://w3id.org/nltl-benchmark/vocab#discontinuousSurfaceProjectedArea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http://qudt.org/vocab/unit/M2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RUN-IMO-033-20260812T101629567703Z</x:v>
      </x:c>
      <x:c r="B10" s="47" t="str">
        <x:v>IMO-033</x:v>
      </x:c>
      <x:c r="C10" s="47" t="str">
        <x:v>discontinuousSurfaceStaticMoment</x:v>
      </x:c>
      <x:c r="D10" s="48" t="str">
        <x:v>https://w3id.org/nltl-benchmark/vocab#discontinuousSurfaceStaticMoment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http://qudt.org/vocab/unit/KiloN-M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RUN-IMO-033-20260812T101629567703Z</x:v>
      </x:c>
      <x:c r="B11" s="47" t="str">
        <x:v>IMO-033</x:v>
      </x:c>
      <x:c r="C11" s="47" t="str">
        <x:v>iceAccretionLikely</x:v>
      </x:c>
      <x:c r="D11" s="48" t="str">
        <x:v>https://w3id.org/nltl-benchmark/vocab#iceAccretionLikely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RUN-IMO-033-20260812T101629567703Z</x:v>
      </x:c>
      <x:c r="B12" s="47" t="str">
        <x:v>IMO-033</x:v>
      </x:c>
      <x:c r="C12" s="47" t="str">
        <x:v>ship</x:v>
      </x:c>
      <x:c r="D12" s="48" t="str">
        <x:v>https://w3id.org/nltl-benchmark/vocab#ship</x:v>
      </x:c>
      <x:c r="E12" s="47" t="str">
        <x:v>Class</x:v>
      </x:c>
      <x:c r="F12" s="47" t="str"/>
      <x:c r="G12" s="47" t="str"/>
      <x:c r="H12" s="47" t="str"/>
      <x:c r="I12" s="48" t="str">
        <x:v>baseline target infrastructure</x:v>
      </x:c>
      <x:c r="J12" s="47" t="n">
        <x:v>0</x:v>
      </x:c>
    </x:row>
    <x:row r="13">
      <x:c r="A13" s="49" t="str">
        <x:v>RUN-IMO-033-20260812T101629567703Z</x:v>
      </x:c>
      <x:c r="B13" s="49" t="str">
        <x:v>IMO-033</x:v>
      </x:c>
      <x:c r="C13" s="49" t="str">
        <x:v>sideIcingAllowance</x:v>
      </x:c>
      <x:c r="D13" s="50" t="str">
        <x:v>https://w3id.org/nltl-benchmark/vocab#sideIcingAllowance</x:v>
      </x:c>
      <x:c r="E13" s="49" t="str">
        <x:v>QuantityProperty</x:v>
      </x:c>
      <x:c r="F13" s="49" t="str"/>
      <x:c r="G13" s="49" t="str">
        <x:v>http://qudt.org/schema/qudt/QuantityValue</x:v>
      </x:c>
      <x:c r="H13" s="49" t="str">
        <x:v>http://qudt.org/vocab/unit/KiloGM-PER-M2</x:v>
      </x:c>
      <x:c r="I13" s="50" t="str">
        <x:v>linked by the locked 313-requirement index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f85bdbe6c89400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RUN-IMO-033-20260812T101629567703Z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RUN-IMO-033-20260812T101629567703Z</x:v>
      </x:c>
      <x:c r="B5" s="45" t="str">
        <x:v>IMO-033</x:v>
      </x:c>
      <x:c r="C5" s="45" t="str">
        <x:v>FS-CALC-02</x:v>
      </x:c>
      <x:c r="D5" s="45" t="str">
        <x:v>comparison_calculation</x:v>
      </x:c>
      <x:c r="E5" s="99" t="n">
        <x:v>0.043478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RUN-IMO-033-20260812T101629567703Z</x:v>
      </x:c>
      <x:c r="B6" s="49" t="str">
        <x:v>IMO-033</x:v>
      </x:c>
      <x:c r="C6" s="49" t="str">
        <x:v>FS-INT-02</x:v>
      </x:c>
      <x:c r="D6" s="49" t="str">
        <x:v>conditional_integrated</x:v>
      </x:c>
      <x:c r="E6" s="100" t="n">
        <x:v>0.042553</x:v>
      </x:c>
      <x:c r="F6" s="49" t="str">
        <x:v>boolean | conditional | quantity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d0333de2694fd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RUN-IMO-033-20260812T101629567703Z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RUN-IMO-033-20260812T101629567703Z</x:v>
      </x:c>
      <x:c r="B5" s="69" t="str">
        <x:v>IMO-033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https://w3id.org/nltl-benchmark/vocab#continuousSurfaceProjectedArea | https://w3id.org/nltl-benchmark/vocab#continuousSurfaceStaticMoment | https://w3id.org/nltl-benchmark/vocab#deckIcingAllowance | https://w3id.org/nltl-benchmark/vocab#discontinuousSurfaceProjectedArea | https://w3id.org/nltl-benchmark/vocab#discontinuousSurfaceStaticMoment | https://w3id.org/nltl-benchmark/vocab#iceAccretionLikely | https://w3id.org/nltl-benchmark/vocab#ship | https://w3id.org/nltl-benchmark/vocab#sideIcingAllowance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c6bf2c9d3184d2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RUN-IMO-033-20260812T101629567703Z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RUN-IMO-033-20260812T101629567703Z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RUN-IMO-033-20260812T101629567703Z</x:v>
      </x:c>
      <x:c r="B5" s="45" t="str">
        <x:v>IMO-033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dc557ca45e2a92b43a46f603df8fd3eb4d588441277aacb9d586eae9fb392275</x:v>
      </x:c>
      <x:c r="G5" s="58" t="n">
        <x:v>11836</x:v>
      </x:c>
    </x:row>
    <x:row r="6">
      <x:c r="A6" s="47" t="str">
        <x:v>RUN-IMO-033-20260812T101629567703Z</x:v>
      </x:c>
      <x:c r="B6" s="47" t="str">
        <x:v>IMO-033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ddf36965f50504a1efa6cb3692782b82d02ce1d869e5276d33a863f32e032308</x:v>
      </x:c>
      <x:c r="G6" s="59" t="n">
        <x:v>7919</x:v>
      </x:c>
    </x:row>
    <x:row r="7">
      <x:c r="A7" s="47" t="str">
        <x:v>RUN-IMO-033-20260812T101629567703Z</x:v>
      </x:c>
      <x:c r="B7" s="47" t="str">
        <x:v>IMO-033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ed11dd5a7746f100163627f2fc601d1ff216b966c0c849db5125ca0c7e10c688</x:v>
      </x:c>
      <x:c r="G7" s="59" t="n">
        <x:v>21784</x:v>
      </x:c>
    </x:row>
    <x:row r="8">
      <x:c r="A8" s="47" t="str">
        <x:v>RUN-IMO-033-20260812T101629567703Z</x:v>
      </x:c>
      <x:c r="B8" s="47" t="str">
        <x:v>IMO-033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fe1cb370f61dd682e23cb2c1707f79f94dca56b60f31650b7fe651810558264f</x:v>
      </x:c>
      <x:c r="G8" s="59" t="n">
        <x:v>7023</x:v>
      </x:c>
    </x:row>
    <x:row r="9">
      <x:c r="A9" s="47" t="str">
        <x:v>RUN-IMO-033-20260812T101629567703Z</x:v>
      </x:c>
      <x:c r="B9" s="47" t="str">
        <x:v>IMO-033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aa7eb7425ab42b4d3bc62d63c170d58c4ecc52c1363e065dc8321b152e9d32f0</x:v>
      </x:c>
      <x:c r="G9" s="59" t="n">
        <x:v>6998</x:v>
      </x:c>
    </x:row>
    <x:row r="10">
      <x:c r="A10" s="47" t="str">
        <x:v>RUN-IMO-033-20260812T101629567703Z</x:v>
      </x:c>
      <x:c r="B10" s="47" t="str">
        <x:v>IMO-033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de143ad76e4b72915ad8c0bf191d60f8044328d3013cb98aa3f6985ac6da92cc</x:v>
      </x:c>
      <x:c r="G10" s="59" t="n">
        <x:v>939</x:v>
      </x:c>
    </x:row>
    <x:row r="11">
      <x:c r="A11" s="47" t="str">
        <x:v>RUN-IMO-033-20260812T101629567703Z</x:v>
      </x:c>
      <x:c r="B11" s="47" t="str">
        <x:v>IMO-033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aea826fbb7e3b64388350d90a48619944e7e6ba47f8bb6d25ddf09ef0297abe8</x:v>
      </x:c>
      <x:c r="G11" s="59" t="n">
        <x:v>24602</x:v>
      </x:c>
    </x:row>
    <x:row r="12">
      <x:c r="A12" s="47" t="str">
        <x:v>RUN-IMO-033-20260812T101629567703Z</x:v>
      </x:c>
      <x:c r="B12" s="47" t="str">
        <x:v>IMO-033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332a6ced6eaaf1f093354d08dd303d71e23b4288ce104b02d0455904552a9a10</x:v>
      </x:c>
      <x:c r="G12" s="59" t="n">
        <x:v>293</x:v>
      </x:c>
    </x:row>
    <x:row r="13">
      <x:c r="A13" s="49" t="str">
        <x:v>RUN-IMO-033-20260812T101629567703Z</x:v>
      </x:c>
      <x:c r="B13" s="49" t="str">
        <x:v>IMO-033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aa7eb7425ab42b4d3bc62d63c170d58c4ecc52c1363e065dc8321b152e9d32f0</x:v>
      </x:c>
      <x:c r="G13" s="60" t="n">
        <x:v>6998</x:v>
      </x:c>
    </x:row>
  </x:sheetData>
  <x:pageMargins left="0.7" right="0.7" top="0.75" bottom="0.75" header="0.3" footer="0.3"/>
  <x:tableParts count="1">
    <x:tablePart xmlns:r="http://schemas.openxmlformats.org/officeDocument/2006/relationships" r:id="R05cb2df37e26466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RUN-IMO-033-20260812T101629567703Z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RUN-IMO-033-20260812T101629567703Z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RUN-IMO-033-20260812T101629567703Z</x:v>
      </x:c>
      <x:c r="B5" s="69" t="str">
        <x:v>IMO-033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c3c1bdf18c4bec"/>
  </x:tableParts>
</x:worksheet>
</file>