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c9b3cb9e74d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e5c81c35794dab"/>
    <x:sheet xmlns:r="http://schemas.openxmlformats.org/officeDocument/2006/relationships" name="README" sheetId="2" r:id="R7aae6f0949f34471"/>
    <x:sheet xmlns:r="http://schemas.openxmlformats.org/officeDocument/2006/relationships" name="REGULATION_QUEUE" sheetId="3" r:id="R567d02aeeedd4bbc"/>
    <x:sheet xmlns:r="http://schemas.openxmlformats.org/officeDocument/2006/relationships" name="RUNS" sheetId="4" r:id="R9eaa83daa9fa4bfb"/>
    <x:sheet xmlns:r="http://schemas.openxmlformats.org/officeDocument/2006/relationships" name="ITERATIONS" sheetId="5" r:id="R60f901552efa437b"/>
    <x:sheet xmlns:r="http://schemas.openxmlformats.org/officeDocument/2006/relationships" name="API_CALLS" sheetId="6" r:id="R4248ea18fc1a465d"/>
    <x:sheet xmlns:r="http://schemas.openxmlformats.org/officeDocument/2006/relationships" name="TERM_RETRIEVAL" sheetId="7" r:id="Rd679249db0b240c4"/>
    <x:sheet xmlns:r="http://schemas.openxmlformats.org/officeDocument/2006/relationships" name="FEW_SHOT_SELECTION" sheetId="8" r:id="Re533ba0417f547a2"/>
    <x:sheet xmlns:r="http://schemas.openxmlformats.org/officeDocument/2006/relationships" name="VALIDATION" sheetId="9" r:id="Rcbd9a63c7d214969"/>
    <x:sheet xmlns:r="http://schemas.openxmlformats.org/officeDocument/2006/relationships" name="VOCAB_MATCHES" sheetId="10" r:id="Rf8c4deac02d04147"/>
    <x:sheet xmlns:r="http://schemas.openxmlformats.org/officeDocument/2006/relationships" name="ARTIFACTS" sheetId="11" r:id="Rab17edc6189b432f"/>
    <x:sheet xmlns:r="http://schemas.openxmlformats.org/officeDocument/2006/relationships" name="UNRESOLVED" sheetId="12" r:id="R5f3129d155e84730"/>
    <x:sheet xmlns:r="http://schemas.openxmlformats.org/officeDocument/2006/relationships" name="RDF_TEST_QUEUE" sheetId="13" r:id="R39fc3a318996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d726a1e2a34d26" /><Relationship Type="http://schemas.openxmlformats.org/officeDocument/2006/relationships/theme" Target="/xl/theme/theme1.xml" Id="R615f9e9c66f14a73" /><Relationship Type="http://schemas.microsoft.com/office/2022/11/relationships/FeaturePropertyBag" Target="/xl/featurePropertyBag/featurePropertyBag.xml" Id="R264af4c900d049be" /><Relationship Type="http://schemas.openxmlformats.org/officeDocument/2006/relationships/sharedStrings" Target="/xl/sharedStrings.xml" Id="Ra5c5b4ca7350436b" /><Relationship Type="http://schemas.openxmlformats.org/officeDocument/2006/relationships/worksheet" Target="/xl/worksheets/sheet1.xml" Id="R67e5c81c35794dab" /><Relationship Type="http://schemas.openxmlformats.org/officeDocument/2006/relationships/worksheet" Target="/xl/worksheets/sheet2.xml" Id="R7aae6f0949f34471" /><Relationship Type="http://schemas.openxmlformats.org/officeDocument/2006/relationships/worksheet" Target="/xl/worksheets/sheet3.xml" Id="R567d02aeeedd4bbc" /><Relationship Type="http://schemas.openxmlformats.org/officeDocument/2006/relationships/worksheet" Target="/xl/worksheets/sheet4.xml" Id="R9eaa83daa9fa4bfb" /><Relationship Type="http://schemas.openxmlformats.org/officeDocument/2006/relationships/worksheet" Target="/xl/worksheets/sheet5.xml" Id="R60f901552efa437b" /><Relationship Type="http://schemas.openxmlformats.org/officeDocument/2006/relationships/worksheet" Target="/xl/worksheets/sheet6.xml" Id="R4248ea18fc1a465d" /><Relationship Type="http://schemas.openxmlformats.org/officeDocument/2006/relationships/worksheet" Target="/xl/worksheets/sheet7.xml" Id="Rd679249db0b240c4" /><Relationship Type="http://schemas.openxmlformats.org/officeDocument/2006/relationships/worksheet" Target="/xl/worksheets/sheet8.xml" Id="Re533ba0417f547a2" /><Relationship Type="http://schemas.openxmlformats.org/officeDocument/2006/relationships/worksheet" Target="/xl/worksheets/sheet9.xml" Id="Rcbd9a63c7d214969" /><Relationship Type="http://schemas.openxmlformats.org/officeDocument/2006/relationships/worksheet" Target="/xl/worksheets/sheet10.xml" Id="Rf8c4deac02d04147" /><Relationship Type="http://schemas.openxmlformats.org/officeDocument/2006/relationships/worksheet" Target="/xl/worksheets/sheet11.xml" Id="Rab17edc6189b432f" /><Relationship Type="http://schemas.openxmlformats.org/officeDocument/2006/relationships/worksheet" Target="/xl/worksheets/sheet12.xml" Id="R5f3129d155e84730" /><Relationship Type="http://schemas.openxmlformats.org/officeDocument/2006/relationships/worksheet" Target="/xl/worksheets/sheet13.xml" Id="R39fc3a3189964f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73be76e9d64b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239d3e86cf44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ff28e92a2145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806b7a21f643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1483a2f9f741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6b17b70a3446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08d1bb73604d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0169317d1b422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308e5fff52b4e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bfa18ff6bac430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800ea9d04354d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RUN-I2-015-20260814T093616968664Z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16689.056833333332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RUN-I2-015-20260814T093616968664Z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73be76e9d64b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RUN-I2-015-20260814T093616968664Z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MAX_ATTEMPTS_REACHED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239d3e86cf44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RUN-I2-015-20260814T093616968664Z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RUN-I2-015-20260814T093616968664Z</x:v>
      </x:c>
      <x:c r="C5" s="69" t="str">
        <x:v>I2-015</x:v>
      </x:c>
      <x:c r="D5" s="70" t="n">
        <x:v>46248.40019642361</x:v>
      </x:c>
      <x:c r="E5" s="70" t="n">
        <x:v>46248.40079197917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 named-shape IRIs with permitted SHACL shape identifiers, and add a bounded formula validation for each applicable bowSubregionCalculationCase: validate f_ai against min(f_ai1,f_ai2,0.60), using x, L_UI, alpha_i, beta_i_prime, C_FF and C_FC with math:sin, and a tolerance scaled from the computed expected result rather than only f_ai&lt;=0.60. Make applicability conditional on bowFormApplicabilityClassification=i231vBowFormApplicability without forcing that value on every case or allowing missing selection evidence to pass. Locate and use the canonical D_UI quantity term and its required owner/path; it is required by the formula but absent from the supplied scoped vocabulary.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ff28e92a2145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RUN-I2-015-20260814T093616968664Z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RUN-I2-015-20260814T093616968664Z</x:v>
      </x:c>
      <x:c r="B5" s="69" t="str">
        <x:v>I2-015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REVISE_WITH_MATCH</x:v>
      </x:c>
      <x:c r="H5" s="73" t="str">
        <x:v>Deterministic validation prevents acceptance. Fix: Unapproved external/generated IRI(s): urn:nltl:stress-shape:AngleQuantityShape, urn:nltl:stress-shape:BowShapeCoefficientQuantityShape, urn:nltl:stress-shape:BowSubregionCalculationCaseShape, urn:nltl:stress-shape:DimensionlessQuantityShape, urn:nltl:stress-shape:FailureClassFactorLookupShape, urn:nltl:stress-shape:LengthQuantityShape, urn:nltl:stress-shape:ShipShape
Semantic validator feedback: Replace the unapproved urn:nltl:stress-shape named-shape IRIs with permitted SHACL shape identifiers, and add a bounded formula validation for each applicable bowSubregionCalculationCase: validate f_ai against min(f_ai1,f_ai2,0.60), using x, L_UI, alpha_i, beta_i_prime, C_FF and C_FC with math:sin, and a tolerance scaled from the computed expected result rather than only f_ai&lt;=0.60. Make applicability conditional on bowFormApplicabilityClassification=i231vBowFormApplicability without forcing that value on every case or allowing missing selection evidence to pass. Locate and use the canonical D_UI quantity term and its required owner/path; it is required by the formula but absent from the supplied scoped vocabulary.</x:v>
      </x:c>
      <x:c r="I5" s="75" t="n">
        <x:v>37218.267</x:v>
      </x:c>
      <x:c r="J5" s="75" t="n">
        <x:v>10261.254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806b7a21f643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RUN-I2-015-20260814T093616968664Z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RUN-I2-015-20260814T093616968664Z</x:v>
      </x:c>
      <x:c r="C5" s="45" t="str">
        <x:v>I2-015</x:v>
      </x:c>
      <x:c r="D5" s="88" t="n">
        <x:v>46248.40062719907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37216.207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RUN-I2-015-20260814T093616968664Z</x:v>
      </x:c>
      <x:c r="C6" s="47" t="str">
        <x:v>I2-015</x:v>
      </x:c>
      <x:c r="D6" s="91" t="n">
        <x:v>46248.400627222225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37218.267</x:v>
      </x:c>
      <x:c r="L6" s="93" t="b">
        <x:v>0</x:v>
      </x:c>
      <x:c r="M6" s="47" t="str">
        <x:v>resp_0023bd4109378aa9006a7ee1911a408193801dab2df976b9ad</x:v>
      </x:c>
      <x:c r="N6" s="59" t="n">
        <x:v>10579</x:v>
      </x:c>
      <x:c r="O6" s="59" t="n">
        <x:v>3450</x:v>
      </x:c>
      <x:c r="P6" s="59" t="n">
        <x:v>14029</x:v>
      </x:c>
    </x:row>
    <x:row r="7">
      <x:c r="A7" s="47" t="str">
        <x:v>EVT-000036</x:v>
      </x:c>
      <x:c r="B7" s="47" t="str">
        <x:v>RUN-I2-015-20260814T093616968664Z</x:v>
      </x:c>
      <x:c r="C7" s="47" t="str">
        <x:v>I2-015</x:v>
      </x:c>
      <x:c r="D7" s="91" t="n">
        <x:v>46248.40074806713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10259.737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RUN-I2-015-20260814T093616968664Z</x:v>
      </x:c>
      <x:c r="C8" s="47" t="str">
        <x:v>I2-015</x:v>
      </x:c>
      <x:c r="D8" s="91" t="n">
        <x:v>46248.40074809028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10261.254</x:v>
      </x:c>
      <x:c r="L8" s="93" t="b">
        <x:v>0</x:v>
      </x:c>
      <x:c r="M8" s="47" t="str">
        <x:v>resp_0df41e491622db82006a7ee1b67fec819388663beeba974151</x:v>
      </x:c>
      <x:c r="N8" s="59" t="n">
        <x:v>11737</x:v>
      </x:c>
      <x:c r="O8" s="59" t="n">
        <x:v>625</x:v>
      </x:c>
      <x:c r="P8" s="59" t="n">
        <x:v>12362</x:v>
      </x:c>
    </x:row>
    <x:row r="9">
      <x:c r="A9" s="47" t="str">
        <x:v>EVT-000043</x:v>
      </x:c>
      <x:c r="B9" s="47" t="str">
        <x:v>RUN-I2-015-20260814T093616968664Z</x:v>
      </x:c>
      <x:c r="C9" s="47" t="str">
        <x:v>I2-015</x:v>
      </x:c>
      <x:c r="D9" s="91" t="n">
        <x:v>46248.40079190972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2588.601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EVT-000044</x:v>
      </x:c>
      <x:c r="B10" s="49" t="str">
        <x:v>RUN-I2-015-20260814T093616968664Z</x:v>
      </x:c>
      <x:c r="C10" s="49" t="str">
        <x:v>I2-015</x:v>
      </x:c>
      <x:c r="D10" s="94" t="n">
        <x:v>46248.40079193287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2590.275</x:v>
      </x:c>
      <x:c r="L10" s="96" t="b">
        <x:v>0</x:v>
      </x:c>
      <x:c r="M10" s="49" t="str">
        <x:v>resp_082ca46ed28a8ff2006a7ee1c1f69c8195b92b4738794a4fe3</x:v>
      </x:c>
      <x:c r="N10" s="60" t="n">
        <x:v>3966</x:v>
      </x:c>
      <x:c r="O10" s="60" t="n">
        <x:v>163</x:v>
      </x:c>
      <x:c r="P10" s="60" t="n">
        <x:v>4129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1483a2f9f741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RUN-I2-015-20260814T093616968664Z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RUN-I2-015-20260814T093616968664Z</x:v>
      </x:c>
      <x:c r="B5" s="45" t="str">
        <x:v>I2-015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RUN-I2-015-20260814T093616968664Z</x:v>
      </x:c>
      <x:c r="B6" s="47" t="str">
        <x:v>I2-015</x:v>
      </x:c>
      <x:c r="C6" s="47" t="str">
        <x:v>betaIPrime</x:v>
      </x:c>
      <x:c r="D6" s="48" t="str">
        <x:v>https://w3id.org/nltl-benchmark/vocab#betaIPrime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RUN-I2-015-20260814T093616968664Z</x:v>
      </x:c>
      <x:c r="B7" s="47" t="str">
        <x:v>I2-015</x:v>
      </x:c>
      <x:c r="C7" s="47" t="str">
        <x:v>bowFormApplicabilityClassification</x:v>
      </x:c>
      <x:c r="D7" s="48" t="str">
        <x:v>https://w3id.org/nltl-benchmark/vocab#bowFormApplicabilityClassification</x:v>
      </x:c>
      <x:c r="E7" s="47" t="str">
        <x:v>ObjectProperty</x:v>
      </x:c>
      <x:c r="F7" s="47" t="str"/>
      <x:c r="G7" s="47" t="str">
        <x:v>https://w3id.org/nltl-benchmark/vocab#bowFormApplicabilityValue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RUN-I2-015-20260814T093616968664Z</x:v>
      </x:c>
      <x:c r="B8" s="47" t="str">
        <x:v>I2-015</x:v>
      </x:c>
      <x:c r="C8" s="47" t="str">
        <x:v>bowFormApplicabilityValue</x:v>
      </x:c>
      <x:c r="D8" s="48" t="str">
        <x:v>https://w3id.org/nltl-benchmark/vocab#bowFormApplicabilityValue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RUN-I2-015-20260814T093616968664Z</x:v>
      </x:c>
      <x:c r="B9" s="47" t="str">
        <x:v>I2-015</x:v>
      </x:c>
      <x:c r="C9" s="47" t="str">
        <x:v>bowShapeCoefficient</x:v>
      </x:c>
      <x:c r="D9" s="48" t="str">
        <x:v>https://w3id.org/nltl-benchmark/vocab#bowShapeCoefficient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RUN-I2-015-20260814T093616968664Z</x:v>
      </x:c>
      <x:c r="B10" s="47" t="str">
        <x:v>I2-015</x:v>
      </x:c>
      <x:c r="C10" s="47" t="str">
        <x:v>bowSubregionCalculationCase</x:v>
      </x:c>
      <x:c r="D10" s="48" t="str">
        <x:v>https://w3id.org/nltl-benchmark/vocab#bowSubregionCalculationCase</x:v>
      </x:c>
      <x:c r="E10" s="47" t="str">
        <x:v>Class</x:v>
      </x:c>
      <x:c r="F10" s="47" t="str"/>
      <x:c r="G10" s="47" t="str">
        <x:v>https://w3id.org/nltl-benchmark/vocab#calculationCase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RUN-I2-015-20260814T093616968664Z</x:v>
      </x:c>
      <x:c r="B11" s="47" t="str">
        <x:v>I2-015</x:v>
      </x:c>
      <x:c r="C11" s="47" t="str">
        <x:v>bowSubregionMidLengthPosition</x:v>
      </x:c>
      <x:c r="D11" s="48" t="str">
        <x:v>https://w3id.org/nltl-benchmark/vocab#bowSubregionMidLengthPosition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RUN-I2-015-20260814T093616968664Z</x:v>
      </x:c>
      <x:c r="B12" s="47" t="str">
        <x:v>I2-015</x:v>
      </x:c>
      <x:c r="C12" s="47" t="str">
        <x:v>bowSubregionWaterlineAngle</x:v>
      </x:c>
      <x:c r="D12" s="48" t="str">
        <x:v>https://w3id.org/nltl-benchmark/vocab#bowSubregionWaterlineAngle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RUN-I2-015-20260814T093616968664Z</x:v>
      </x:c>
      <x:c r="B13" s="47" t="str">
        <x:v>I2-015</x:v>
      </x:c>
      <x:c r="C13" s="47" t="str">
        <x:v>calculationCase</x:v>
      </x:c>
      <x:c r="D13" s="48" t="str">
        <x:v>https://w3id.org/nltl-benchmark/vocab#calculationCase</x:v>
      </x:c>
      <x:c r="E13" s="47" t="str">
        <x:v>Class</x:v>
      </x:c>
      <x:c r="F13" s="47" t="str"/>
      <x:c r="G13" s="47" t="str">
        <x:v>https://w3id.org/nltl-benchmark/vocab#benchmarkEntity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RUN-I2-015-20260814T093616968664Z</x:v>
      </x:c>
      <x:c r="B14" s="47" t="str">
        <x:v>I2-015</x:v>
      </x:c>
      <x:c r="C14" s="47" t="str">
        <x:v>crushingFailureClassFactor</x:v>
      </x:c>
      <x:c r="D14" s="48" t="str">
        <x:v>https://w3id.org/nltl-benchmark/vocab#crushingFailureClassFactor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RUN-I2-015-20260814T093616968664Z</x:v>
      </x:c>
      <x:c r="B15" s="47" t="str">
        <x:v>I2-015</x:v>
      </x:c>
      <x:c r="C15" s="47" t="str">
        <x:v>flexuralFailureClassFactor</x:v>
      </x:c>
      <x:c r="D15" s="48" t="str">
        <x:v>https://w3id.org/nltl-benchmark/vocab#flexuralFailureClassFactor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RUN-I2-015-20260814T093616968664Z</x:v>
      </x:c>
      <x:c r="B16" s="47" t="str">
        <x:v>I2-015</x:v>
      </x:c>
      <x:c r="C16" s="47" t="str">
        <x:v>hasBowSubregionCalculationCase</x:v>
      </x:c>
      <x:c r="D16" s="48" t="str">
        <x:v>https://w3id.org/nltl-benchmark/vocab#hasBowSubregionCalculationCase</x:v>
      </x:c>
      <x:c r="E16" s="47" t="str">
        <x:v>ObjectProperty</x:v>
      </x:c>
      <x:c r="F16" s="47" t="str"/>
      <x:c r="G16" s="47" t="str">
        <x:v>https://w3id.org/nltl-benchmark/vocab#bowSubregionCalculationCase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RUN-I2-015-20260814T093616968664Z</x:v>
      </x:c>
      <x:c r="B17" s="47" t="str">
        <x:v>I2-015</x:v>
      </x:c>
      <x:c r="C17" s="47" t="str">
        <x:v>hasComponent</x:v>
      </x:c>
      <x:c r="D17" s="48" t="str">
        <x:v>https://w3id.org/nltl-benchmark/vocab#hasComponent</x:v>
      </x:c>
      <x:c r="E17" s="47" t="str">
        <x:v>ObjectProperty</x:v>
      </x:c>
      <x:c r="F17" s="47" t="str"/>
      <x:c r="G17" s="47" t="str">
        <x:v>https://w3id.org/nltl-benchmark/vocab#shipComponent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RUN-I2-015-20260814T093616968664Z</x:v>
      </x:c>
      <x:c r="B18" s="47" t="str">
        <x:v>I2-015</x:v>
      </x:c>
      <x:c r="C18" s="47" t="str">
        <x:v>hasFailureClassFactorLookupCase</x:v>
      </x:c>
      <x:c r="D18" s="48" t="str">
        <x:v>https://w3id.org/nltl-benchmark/vocab#hasFailureClassFactorLookupCase</x:v>
      </x:c>
      <x:c r="E18" s="47" t="str">
        <x:v>ObjectProperty</x:v>
      </x:c>
      <x:c r="F18" s="47" t="str"/>
      <x:c r="G18" s="47" t="str">
        <x:v>https://w3id.org/nltl-benchmark/vocab#tableLookupCase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RUN-I2-015-20260814T093616968664Z</x:v>
      </x:c>
      <x:c r="B19" s="47" t="str">
        <x:v>I2-015</x:v>
      </x:c>
      <x:c r="C19" s="47" t="str">
        <x:v>hasTableLookupCase</x:v>
      </x:c>
      <x:c r="D19" s="48" t="str">
        <x:v>https://w3id.org/nltl-benchmark/vocab#hasTableLookupCase</x:v>
      </x:c>
      <x:c r="E19" s="47" t="str">
        <x:v>ObjectProperty</x:v>
      </x:c>
      <x:c r="F19" s="47" t="str"/>
      <x:c r="G19" s="47" t="str">
        <x:v>https://w3id.org/nltl-benchmark/vocab#tableLookupCase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RUN-I2-015-20260814T093616968664Z</x:v>
      </x:c>
      <x:c r="B20" s="47" t="str">
        <x:v>I2-015</x:v>
      </x:c>
      <x:c r="C20" s="47" t="str">
        <x:v>i231vBowFormApplicability</x:v>
      </x:c>
      <x:c r="D20" s="48" t="str">
        <x:v>https://w3id.org/nltl-benchmark/vocab#i231vBowFormApplicability</x:v>
      </x:c>
      <x:c r="E20" s="47" t="str">
        <x:v>NamedIndividual</x:v>
      </x:c>
      <x:c r="F20" s="47" t="str"/>
      <x:c r="G20" s="47" t="str">
        <x:v>https://w3id.org/nltl-benchmark/vocab#bowFormApplicabilityValue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RUN-I2-015-20260814T093616968664Z</x:v>
      </x:c>
      <x:c r="B21" s="47" t="str">
        <x:v>I2-015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RUN-I2-015-20260814T093616968664Z</x:v>
      </x:c>
      <x:c r="B22" s="47" t="str">
        <x:v>I2-015</x:v>
      </x:c>
      <x:c r="C22" s="47" t="str">
        <x:v>shipComponent</x:v>
      </x:c>
      <x:c r="D22" s="48" t="str">
        <x:v>https://w3id.org/nltl-benchmark/vocab#shipComponent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RUN-I2-015-20260814T093616968664Z</x:v>
      </x:c>
      <x:c r="B23" s="47" t="str">
        <x:v>I2-015</x:v>
      </x:c>
      <x:c r="C23" s="47" t="str">
        <x:v>tableLookupCase</x:v>
      </x:c>
      <x:c r="D23" s="48" t="str">
        <x:v>https://w3id.org/nltl-benchmark/vocab#tableLookupCase</x:v>
      </x:c>
      <x:c r="E23" s="47" t="str">
        <x:v>Class</x:v>
      </x:c>
      <x:c r="F23" s="47" t="str"/>
      <x:c r="G23" s="47" t="str">
        <x:v>https://w3id.org/nltl-benchmark/vocab#calculationCase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9" t="str">
        <x:v>RUN-I2-015-20260814T093616968664Z</x:v>
      </x:c>
      <x:c r="B24" s="49" t="str">
        <x:v>I2-015</x:v>
      </x:c>
      <x:c r="C24" s="49" t="str">
        <x:v>upperIceWaterlineLengthLUI</x:v>
      </x:c>
      <x:c r="D24" s="50" t="str">
        <x:v>https://w3id.org/nltl-benchmark/vocab#upperIceWaterlineLengthLUI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6b17b70a3446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RUN-I2-015-20260814T093616968664Z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RUN-I2-015-20260814T093616968664Z</x:v>
      </x:c>
      <x:c r="B5" s="45" t="str">
        <x:v>I2-015</x:v>
      </x:c>
      <x:c r="C5" s="45" t="str">
        <x:v>FS-CALC-02</x:v>
      </x:c>
      <x:c r="D5" s="45" t="str">
        <x:v>comparison_calculation</x:v>
      </x:c>
      <x:c r="E5" s="99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RUN-I2-015-20260814T093616968664Z</x:v>
      </x:c>
      <x:c r="B6" s="49" t="str">
        <x:v>I2-015</x:v>
      </x:c>
      <x:c r="C6" s="49" t="str">
        <x:v>FS-QTY-01</x:v>
      </x:c>
      <x:c r="D6" s="49" t="str">
        <x:v>qudt_quantity</x:v>
      </x:c>
      <x:c r="E6" s="100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08d1bb73604d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RUN-I2-015-20260814T093616968664Z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RUN-I2-015-20260814T093616968664Z</x:v>
      </x:c>
      <x:c r="B5" s="69" t="str">
        <x:v>I2-015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urn:nltl:stress-shape:AngleQuantityShape, urn:nltl:stress-shape:BowShapeCoefficientQuantityShape, urn:nltl:stress-shape:BowSubregionCalculationCaseShape, urn:nltl:stress-shape:DimensionlessQuantityShape, urn:nltl:stress-shape:FailureClassFactorLookupShape, urn:nltl:stress-shape:LengthQuantityShape, urn:nltl:stress-shape:ShipShape</x:v>
      </x:c>
      <x:c r="M5" s="73" t="str"/>
      <x:c r="N5" s="73" t="str">
        <x:v>https://w3id.org/nltl-benchmark/vocab#betaIPrime | https://w3id.org/nltl-benchmark/vocab#bowFormApplicabilityClassification | https://w3id.org/nltl-benchmark/vocab#bowShapeCoefficient | https://w3id.org/nltl-benchmark/vocab#bowSubregionCalculationCase | https://w3id.org/nltl-benchmark/vocab#bowSubregionMidLengthPosition | https://w3id.org/nltl-benchmark/vocab#bowSubregionWaterlineAngle | https://w3id.org/nltl-benchmark/vocab#crushingFailureClassFactor | https://w3id.org/nltl-benchmark/vocab#flexuralFailureClassFactor | https://w3id.org/nltl-benchmark/vocab#hasBowSubregionCalculationCase | https://w3id.org/nltl-benchmark/vocab#hasFailureClassFactorLookupCase | https://w3id.org/nltl-benchmark/vocab#i231vBowFormApplicability | https://w3id.org/nltl-benchmark/vocab#ship | https://w3id.org/nltl-benchmark/vocab#tableLookupCase | https://w3id.org/nltl-benchmark/vocab#upperIceWaterlineLengthLUI</x:v>
      </x:c>
      <x:c r="O5" s="73" t="str"/>
      <x:c r="P5" s="73" t="str"/>
      <x:c r="Q5" s="73" t="str">
        <x:v>urn:nltl:stress-shape:AngleQuantityShape | urn:nltl:stress-shape:BowShapeCoefficientQuantityShape | urn:nltl:stress-shape:BowSubregionCalculationCaseShape | urn:nltl:stress-shape:DimensionlessQuantityShape | urn:nltl:stress-shape:FailureClassFactorLookupShape | urn:nltl:stress-shape:LengthQuantityShape | urn:nltl:stress-shape:ShipShape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060169317d1b42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RUN-I2-015-20260814T093616968664Z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RUN-I2-015-20260814T093616968664Z</x:v>
      </x:c>
      <x:c r="B5" s="45" t="str">
        <x:v>I2-015</x:v>
      </x:c>
      <x:c r="C5" s="58" t="n">
        <x:v>1</x:v>
      </x:c>
      <x:c r="D5" s="45" t="str">
        <x:v>matcher_search</x:v>
      </x:c>
      <x:c r="E5" s="46" t="str">
        <x:v>Deterministic validation prevents acceptance. Fix: Unapproved external/generated IRI(s): urn:nltl:stress-shape:AngleQuantityShape, urn:nltl:stress-shape:BowShapeCoefficientQuantityShape, urn:nltl:stress-shape:BowSubregionCalculationCaseShape, urn:nltl:stress-shape:DimensionlessQuantityShape, urn:nltl:stress-shape:FailureClassFactorLookupShape, urn:nltl:stress-shape:LengthQuantityShape, urn:nltl:stress-shape:ShipShape
Semantic validator feedback: Replace the unapproved urn:nltl:stress-shape named-shape IRIs with permitted SHACL shape identifiers, and add a bounded formula validation for each applicable bowSubregionCalculationCase: validate f_ai against min(f_ai1,f_ai2,0.60), using x, L_UI, alpha_i, beta_i_prime, C_FF and C_FC with math:sin, and a tolerance scaled from the computed expected result rather than only f_ai&lt;=0.60. Make applicability conditional on bowFormApplicabilityClassification=i231vBowFormApplicability without forcing that value on every case or allowing missing selection evidence to pass. Locate and use the canonical D_UI quantity term and its required owner/path; it is required by the formula but absent from the supplied scoped vocabulary.</x:v>
      </x:c>
      <x:c r="F5" s="58" t="n">
        <x:v>11</x:v>
      </x:c>
      <x:c r="G5" s="45" t="str"/>
      <x:c r="H5" s="45" t="str"/>
      <x:c r="I5" s="46" t="str"/>
      <x:c r="J5" s="46" t="str"/>
    </x:row>
    <x:row r="6">
      <x:c r="A6" s="49" t="str">
        <x:v>RUN-I2-015-20260814T093616968664Z</x:v>
      </x:c>
      <x:c r="B6" s="49" t="str">
        <x:v>I2-015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1</x:v>
      </x:c>
      <x:c r="H6" s="49" t="str">
        <x:v>upperIceWaterlineDraughtDUI</x:v>
      </x:c>
      <x:c r="I6" s="50" t="str">
        <x:v>https://w3id.org/nltl-benchmark/vocab#upperIceWaterlineDraughtDUI</x:v>
      </x:c>
      <x:c r="J6" s="50" t="str">
        <x:v>Use this exact term because D_UI is the upper ice waterline draught required by the formula, and this canonical quantity property has the matching D_UI alias, QuantityValue range, and metre unit.</x:v>
      </x:c>
    </x:row>
  </x:sheetData>
  <x:pageMargins left="0.7" right="0.7" top="0.75" bottom="0.75" header="0.3" footer="0.3"/>
  <x:tableParts count="1">
    <x:tablePart xmlns:r="http://schemas.openxmlformats.org/officeDocument/2006/relationships" r:id="R7308e5fff52b4ec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RUN-I2-015-20260814T093616968664Z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RUN-I2-015-20260814T093616968664Z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d3592f4240737cda2e5b5f7ff2cee19e5aa4a93b27e0312661bee517619f203e</x:v>
      </x:c>
      <x:c r="G5" s="58" t="n">
        <x:v>28576</x:v>
      </x:c>
    </x:row>
    <x:row r="6">
      <x:c r="A6" s="47" t="str">
        <x:v>RUN-I2-015-20260814T093616968664Z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35d044ee949f3f6a83e4be34e359e618ff515d962a649ff3593b7346c1abe77b</x:v>
      </x:c>
      <x:c r="G6" s="59" t="n">
        <x:v>5365</x:v>
      </x:c>
    </x:row>
    <x:row r="7">
      <x:c r="A7" s="47" t="str">
        <x:v>RUN-I2-015-20260814T093616968664Z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fdc2880ac96f92ae46cfe361bbd54ac6c13dd906e3cbca5561c63870ebc2e230</x:v>
      </x:c>
      <x:c r="G7" s="59" t="n">
        <x:v>42575</x:v>
      </x:c>
    </x:row>
    <x:row r="8">
      <x:c r="A8" s="47" t="str">
        <x:v>RUN-I2-015-20260814T093616968664Z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7abab6b31cf71c0b7ec715da771acaa6e53a1b8d9f6f53f8cf9f34e65eb55a8f</x:v>
      </x:c>
      <x:c r="G8" s="59" t="n">
        <x:v>4602</x:v>
      </x:c>
    </x:row>
    <x:row r="9">
      <x:c r="A9" s="47" t="str">
        <x:v>RUN-I2-015-20260814T093616968664Z</x:v>
      </x:c>
      <x:c r="B9" s="47" t="str">
        <x:v>I2-015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cf8ed43b565e8ee8d20a64154b874599803d09dde227d40d2c6aafbe8124ab40</x:v>
      </x:c>
      <x:c r="G9" s="59" t="n">
        <x:v>4577</x:v>
      </x:c>
    </x:row>
    <x:row r="10">
      <x:c r="A10" s="47" t="str">
        <x:v>RUN-I2-015-20260814T093616968664Z</x:v>
      </x:c>
      <x:c r="B10" s="47" t="str">
        <x:v>I2-015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efb5b1031f348226b39510f6840c088b125ba2c8daad86fe885654051689b12e</x:v>
      </x:c>
      <x:c r="G10" s="59" t="n">
        <x:v>2119</x:v>
      </x:c>
    </x:row>
    <x:row r="11">
      <x:c r="A11" s="47" t="str">
        <x:v>RUN-I2-015-20260814T093616968664Z</x:v>
      </x:c>
      <x:c r="B11" s="47" t="str">
        <x:v>I2-015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54f3a9ea069de5b9290a7eeb53df36b9b99165f88b2e0ff2c77cecc4760c64ff</x:v>
      </x:c>
      <x:c r="G11" s="59" t="n">
        <x:v>45224</x:v>
      </x:c>
    </x:row>
    <x:row r="12">
      <x:c r="A12" s="47" t="str">
        <x:v>RUN-I2-015-20260814T093616968664Z</x:v>
      </x:c>
      <x:c r="B12" s="47" t="str">
        <x:v>I2-015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95cf2ff636dcebd55465d3f0cb0c75ff2671b4a08e09aa96e5601645ec709583</x:v>
      </x:c>
      <x:c r="G12" s="59" t="n">
        <x:v>787</x:v>
      </x:c>
    </x:row>
    <x:row r="13">
      <x:c r="A13" s="47" t="str">
        <x:v>RUN-I2-015-20260814T093616968664Z</x:v>
      </x:c>
      <x:c r="B13" s="47" t="str">
        <x:v>I2-015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3251bdd3c2372cc09a6538835306c92ac8bdb699e6e98294cb2cfd26cb5516f4</x:v>
      </x:c>
      <x:c r="G13" s="59" t="n">
        <x:v>7968</x:v>
      </x:c>
    </x:row>
    <x:row r="14">
      <x:c r="A14" s="47" t="str">
        <x:v>RUN-I2-015-20260814T093616968664Z</x:v>
      </x:c>
      <x:c r="B14" s="47" t="str">
        <x:v>I2-015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0254cc232a62f293055d6e04c8fa9cae6d866f7a4f192ffb71d75c02949b776b</x:v>
      </x:c>
      <x:c r="G14" s="59" t="n">
        <x:v>14361</x:v>
      </x:c>
    </x:row>
    <x:row r="15">
      <x:c r="A15" s="49" t="str">
        <x:v>RUN-I2-015-20260814T093616968664Z</x:v>
      </x:c>
      <x:c r="B15" s="49" t="str">
        <x:v>I2-015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e19d70f60b3ac885365857a7b47e68fef651f25fb2dec79215c046f15e0406ab</x:v>
      </x:c>
      <x:c r="G15" s="60" t="n">
        <x:v>375</x:v>
      </x:c>
    </x:row>
  </x:sheetData>
  <x:pageMargins left="0.7" right="0.7" top="0.75" bottom="0.75" header="0.3" footer="0.3"/>
  <x:tableParts count="1">
    <x:tablePart xmlns:r="http://schemas.openxmlformats.org/officeDocument/2006/relationships" r:id="Rcbfa18ff6bac43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RUN-I2-015-20260814T093616968664Z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RUN-I2-015-20260814T093616968664Z</x:v>
      </x:c>
      <x:c r="B5" s="69" t="str">
        <x:v>I2-015</x:v>
      </x:c>
      <x:c r="C5" s="71" t="n">
        <x:v>1</x:v>
      </x:c>
      <x:c r="D5" s="69" t="str">
        <x:v>MAX_ATTEMPTS_REACHED</x:v>
      </x:c>
      <x:c r="E5" s="73" t="str">
        <x:v>Replace the unapproved urn:nltl:stress-shape named-shape IRIs with permitted SHACL shape identifiers, and add a bounded formula validation for each applicable bowSubregionCalculationCase: validate f_ai against min(f_ai1,f_ai2,0.60), using x, L_UI, alpha_i, beta_i_prime, C_FF and C_FC with math:sin, and a tolerance scaled from the computed expected result rather than only f_ai&lt;=0.60. Make applicability conditional on bowFormApplicabilityClassification=i231vBowFormApplicability without forcing that value on every case or allowing missing selection evidence to pass. Locate and use the canonical D_UI quantity term and its required owner/path; it is required by the formula but absent from the supplied scoped vocabulary.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00ea9d04354d6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RUN-I2-015-20260814T093616968664Z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