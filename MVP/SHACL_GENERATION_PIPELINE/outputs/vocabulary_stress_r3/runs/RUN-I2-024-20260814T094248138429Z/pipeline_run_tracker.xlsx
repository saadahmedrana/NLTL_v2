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0f41374f4444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cfbc2a72d9e4130"/>
    <x:sheet xmlns:r="http://schemas.openxmlformats.org/officeDocument/2006/relationships" name="README" sheetId="2" r:id="R9b6229a3a1b54ff9"/>
    <x:sheet xmlns:r="http://schemas.openxmlformats.org/officeDocument/2006/relationships" name="REGULATION_QUEUE" sheetId="3" r:id="R3a501f2a27244b34"/>
    <x:sheet xmlns:r="http://schemas.openxmlformats.org/officeDocument/2006/relationships" name="RUNS" sheetId="4" r:id="R7556aa9466414c59"/>
    <x:sheet xmlns:r="http://schemas.openxmlformats.org/officeDocument/2006/relationships" name="ITERATIONS" sheetId="5" r:id="R252817513dc444fc"/>
    <x:sheet xmlns:r="http://schemas.openxmlformats.org/officeDocument/2006/relationships" name="API_CALLS" sheetId="6" r:id="Rc7e3d74f8a214726"/>
    <x:sheet xmlns:r="http://schemas.openxmlformats.org/officeDocument/2006/relationships" name="TERM_RETRIEVAL" sheetId="7" r:id="Rb2c23b3df2fd4395"/>
    <x:sheet xmlns:r="http://schemas.openxmlformats.org/officeDocument/2006/relationships" name="FEW_SHOT_SELECTION" sheetId="8" r:id="Rf9cf5ae5ae884425"/>
    <x:sheet xmlns:r="http://schemas.openxmlformats.org/officeDocument/2006/relationships" name="VALIDATION" sheetId="9" r:id="R6a112dba5723433e"/>
    <x:sheet xmlns:r="http://schemas.openxmlformats.org/officeDocument/2006/relationships" name="VOCAB_MATCHES" sheetId="10" r:id="R56de496f39124ea8"/>
    <x:sheet xmlns:r="http://schemas.openxmlformats.org/officeDocument/2006/relationships" name="ARTIFACTS" sheetId="11" r:id="R49ed8ff877244aba"/>
    <x:sheet xmlns:r="http://schemas.openxmlformats.org/officeDocument/2006/relationships" name="UNRESOLVED" sheetId="12" r:id="Rb67236c6c1a74586"/>
    <x:sheet xmlns:r="http://schemas.openxmlformats.org/officeDocument/2006/relationships" name="RDF_TEST_QUEUE" sheetId="13" r:id="R80b776465bf24d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5bf36629d141d7" /><Relationship Type="http://schemas.openxmlformats.org/officeDocument/2006/relationships/theme" Target="/xl/theme/theme1.xml" Id="Rb6ce85fc2659406f" /><Relationship Type="http://schemas.microsoft.com/office/2022/11/relationships/FeaturePropertyBag" Target="/xl/featurePropertyBag/featurePropertyBag.xml" Id="R5994158a8a084a44" /><Relationship Type="http://schemas.openxmlformats.org/officeDocument/2006/relationships/sharedStrings" Target="/xl/sharedStrings.xml" Id="R7a55ac749fa241f6" /><Relationship Type="http://schemas.openxmlformats.org/officeDocument/2006/relationships/worksheet" Target="/xl/worksheets/sheet1.xml" Id="Rccfbc2a72d9e4130" /><Relationship Type="http://schemas.openxmlformats.org/officeDocument/2006/relationships/worksheet" Target="/xl/worksheets/sheet2.xml" Id="R9b6229a3a1b54ff9" /><Relationship Type="http://schemas.openxmlformats.org/officeDocument/2006/relationships/worksheet" Target="/xl/worksheets/sheet3.xml" Id="R3a501f2a27244b34" /><Relationship Type="http://schemas.openxmlformats.org/officeDocument/2006/relationships/worksheet" Target="/xl/worksheets/sheet4.xml" Id="R7556aa9466414c59" /><Relationship Type="http://schemas.openxmlformats.org/officeDocument/2006/relationships/worksheet" Target="/xl/worksheets/sheet5.xml" Id="R252817513dc444fc" /><Relationship Type="http://schemas.openxmlformats.org/officeDocument/2006/relationships/worksheet" Target="/xl/worksheets/sheet6.xml" Id="Rc7e3d74f8a214726" /><Relationship Type="http://schemas.openxmlformats.org/officeDocument/2006/relationships/worksheet" Target="/xl/worksheets/sheet7.xml" Id="Rb2c23b3df2fd4395" /><Relationship Type="http://schemas.openxmlformats.org/officeDocument/2006/relationships/worksheet" Target="/xl/worksheets/sheet8.xml" Id="Rf9cf5ae5ae884425" /><Relationship Type="http://schemas.openxmlformats.org/officeDocument/2006/relationships/worksheet" Target="/xl/worksheets/sheet9.xml" Id="R6a112dba5723433e" /><Relationship Type="http://schemas.openxmlformats.org/officeDocument/2006/relationships/worksheet" Target="/xl/worksheets/sheet10.xml" Id="R56de496f39124ea8" /><Relationship Type="http://schemas.openxmlformats.org/officeDocument/2006/relationships/worksheet" Target="/xl/worksheets/sheet11.xml" Id="R49ed8ff877244aba" /><Relationship Type="http://schemas.openxmlformats.org/officeDocument/2006/relationships/worksheet" Target="/xl/worksheets/sheet12.xml" Id="Rb67236c6c1a74586" /><Relationship Type="http://schemas.openxmlformats.org/officeDocument/2006/relationships/worksheet" Target="/xl/worksheets/sheet13.xml" Id="R80b776465bf24d3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a07bcc644e14d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91d67deacfb4f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e4afe1c4fa343f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f97e998559f449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7ed8ba744194b9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7b04128c5a7403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4e65c8e85f240d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3022319164b42e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9f5b8c0b9fe4b9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c18c3978f60a43b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RUN-I2-024-20260814T094248138429Z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17304.76825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RUN-I2-024-20260814T094248138429Z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a07bcc644e14dd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RUN-I2-024-20260814T094248138429Z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MAX_ATTEMPTS_REACHED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1d67deacfb4f0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RUN-I2-024-20260814T094248138429Z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RUN-I2-024-20260814T094248138429Z</x:v>
      </x:c>
      <x:c r="C5" s="69" t="str">
        <x:v>I2-024</x:v>
      </x:c>
      <x:c r="D5" s="70" t="n">
        <x:v>46248.40472384259</x:v>
      </x:c>
      <x:c r="E5" s="70" t="n">
        <x:v>46248.40512621528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Remove sh:datatype qudt:QuantityValue from the framingAngle property (it is a quantity-node path, not a literal) and use only approved/blank shape identifiers instead of the reported unapproved urn: IRIs. More importantly, replace the presence-only oblique-case check with a bounded formula constraint that verifies the interpolatedNetPlateThickness is the linear interpolation derived from framingAngle and the required longitudinal/transverse thickness operands, with the lower and upper interpolation endpoints properly incorporated; merely requiring an interpolation case, endpoints, and quantities does not establish linear interpolation.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4afe1c4fa343f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RUN-I2-024-20260814T094248138429Z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RUN-I2-024-20260814T094248138429Z</x:v>
      </x:c>
      <x:c r="B5" s="69" t="str">
        <x:v>I2-024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urn:nltl:stress-shape:I2-024-CalculationCaseShape, urn:nltl:stress-shape:I2-024-FramingAngleShape, urn:nltl:stress-shape:I2-024-ObliqueCaseShape, urn:nltl:stress-shape:I2-024-ShipShape, urn:nltl:stress-shape:I2-024-ThicknessShape | Quantity property framingAngle must point to a QUDT QuantityValue node, not a direct literal datatype
Semantic validator feedback: Remove sh:datatype qudt:QuantityValue from the framingAngle property (it is a quantity-node path, not a literal) and use only approved/blank shape identifiers instead of the reported unapproved urn: IRIs. More importantly, replace the presence-only oblique-case check with a bounded formula constraint that verifies the interpolatedNetPlateThickness is the linear interpolation derived from framingAngle and the required longitudinal/transverse thickness operands, with the lower and upper interpolation endpoints properly incorporated; merely requiring an interpolation case, endpoints, and quantities does not establish linear interpolation.</x:v>
      </x:c>
      <x:c r="I5" s="75" t="n">
        <x:v>27701.723</x:v>
      </x:c>
      <x:c r="J5" s="75" t="n">
        <x:v>6909.362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97e998559f449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RUN-I2-024-20260814T094248138429Z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RUN-I2-024-20260814T094248138429Z</x:v>
      </x:c>
      <x:c r="C5" s="45" t="str">
        <x:v>I2-024</x:v>
      </x:c>
      <x:c r="D5" s="88" t="n">
        <x:v>46248.405044479165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27700.156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RUN-I2-024-20260814T094248138429Z</x:v>
      </x:c>
      <x:c r="C6" s="47" t="str">
        <x:v>I2-024</x:v>
      </x:c>
      <x:c r="D6" s="91" t="n">
        <x:v>46248.40504450232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27701.723</x:v>
      </x:c>
      <x:c r="L6" s="93" t="b">
        <x:v>0</x:v>
      </x:c>
      <x:c r="M6" s="47" t="str">
        <x:v>resp_0197ab7a5c6da1f9006a7ee318bf148190a96f8258bb56c0ff</x:v>
      </x:c>
      <x:c r="N6" s="59" t="n">
        <x:v>8582</x:v>
      </x:c>
      <x:c r="O6" s="59" t="n">
        <x:v>2683</x:v>
      </x:c>
      <x:c r="P6" s="59" t="n">
        <x:v>11265</x:v>
      </x:c>
    </x:row>
    <x:row r="7">
      <x:c r="A7" s="47" t="str">
        <x:v>EVT-000032</x:v>
      </x:c>
      <x:c r="B7" s="47" t="str">
        <x:v>RUN-I2-024-20260814T094248138429Z</x:v>
      </x:c>
      <x:c r="C7" s="47" t="str">
        <x:v>I2-024</x:v>
      </x:c>
      <x:c r="D7" s="91" t="n">
        <x:v>46248.40512614583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6907.832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EVT-000033</x:v>
      </x:c>
      <x:c r="B8" s="49" t="str">
        <x:v>RUN-I2-024-20260814T094248138429Z</x:v>
      </x:c>
      <x:c r="C8" s="49" t="str">
        <x:v>I2-024</x:v>
      </x:c>
      <x:c r="D8" s="94" t="n">
        <x:v>46248.405126157406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6909.362</x:v>
      </x:c>
      <x:c r="L8" s="96" t="b">
        <x:v>0</x:v>
      </x:c>
      <x:c r="M8" s="49" t="str">
        <x:v>resp_0e36453dd1166dcf006a7ee3341d508193a0048bf941bff42b</x:v>
      </x:c>
      <x:c r="N8" s="60" t="n">
        <x:v>9340</x:v>
      </x:c>
      <x:c r="O8" s="60" t="n">
        <x:v>561</x:v>
      </x:c>
      <x:c r="P8" s="60" t="n">
        <x:v>9901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ed8ba744194b9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RUN-I2-024-20260814T094248138429Z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RUN-I2-024-20260814T094248138429Z</x:v>
      </x:c>
      <x:c r="B5" s="45" t="str">
        <x:v>I2-024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framingAngle; domain dependency of interpolatedShellPlateRequirement</x:v>
      </x:c>
      <x:c r="J5" s="45" t="n">
        <x:v>0</x:v>
      </x:c>
    </x:row>
    <x:row r="6">
      <x:c r="A6" s="47" t="str">
        <x:v>RUN-I2-024-20260814T094248138429Z</x:v>
      </x:c>
      <x:c r="B6" s="47" t="str">
        <x:v>I2-024</x:v>
      </x:c>
      <x:c r="C6" s="47" t="str">
        <x:v>calculationCase</x:v>
      </x:c>
      <x:c r="D6" s="48" t="str">
        <x:v>https://w3id.org/nltl-benchmark/vocab#calculationCase</x:v>
      </x:c>
      <x:c r="E6" s="47" t="str">
        <x:v>Class</x:v>
      </x:c>
      <x:c r="F6" s="47" t="str"/>
      <x:c r="G6" s="47" t="str">
        <x:v>https://w3id.org/nltl-benchmark/vocab#benchmarkEntity</x:v>
      </x:c>
      <x:c r="H6" s="47" t="str"/>
      <x:c r="I6" s="48" t="str">
        <x:v>authoritative required owner class; domain dependency of interpolationLowerEndpoint; domain dependency of interpolationUpperEndpoint; domain dependency of longitudinalFramingNetPlateThickness; domain dependency of transverseFramingNetPlateThickness; range dependency of hasCalculationCase; range dependency of obliquePlatingInterpolationCase</x:v>
      </x:c>
      <x:c r="J6" s="47" t="n">
        <x:v>0</x:v>
      </x:c>
    </x:row>
    <x:row r="7">
      <x:c r="A7" s="47" t="str">
        <x:v>RUN-I2-024-20260814T094248138429Z</x:v>
      </x:c>
      <x:c r="B7" s="47" t="str">
        <x:v>I2-024</x:v>
      </x:c>
      <x:c r="C7" s="47" t="str">
        <x:v>framingAngle</x:v>
      </x:c>
      <x:c r="D7" s="48" t="str">
        <x:v>https://w3id.org/nltl-benchmark/vocab#framingAngle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RUN-I2-024-20260814T094248138429Z</x:v>
      </x:c>
      <x:c r="B8" s="47" t="str">
        <x:v>I2-024</x:v>
      </x:c>
      <x:c r="C8" s="47" t="str">
        <x:v>hasCalculationCase</x:v>
      </x:c>
      <x:c r="D8" s="48" t="str">
        <x:v>https://w3id.org/nltl-benchmark/vocab#hasCalculationCase</x:v>
      </x:c>
      <x:c r="E8" s="47" t="str">
        <x:v>ObjectProperty</x:v>
      </x:c>
      <x:c r="F8" s="47" t="str"/>
      <x:c r="G8" s="47" t="str">
        <x:v>https://w3id.org/nltl-benchmark/vocab#calculationCase</x:v>
      </x:c>
      <x:c r="H8" s="47" t="str"/>
      <x:c r="I8" s="48" t="str">
        <x:v>canonical path from target owner ship to required owner calculationCase; linked by the locked 313-requirement index</x:v>
      </x:c>
      <x:c r="J8" s="47" t="n">
        <x:v>0</x:v>
      </x:c>
    </x:row>
    <x:row r="9">
      <x:c r="A9" s="47" t="str">
        <x:v>RUN-I2-024-20260814T094248138429Z</x:v>
      </x:c>
      <x:c r="B9" s="47" t="str">
        <x:v>I2-024</x:v>
      </x:c>
      <x:c r="C9" s="47" t="str">
        <x:v>hasComponent</x:v>
      </x:c>
      <x:c r="D9" s="48" t="str">
        <x:v>https://w3id.org/nltl-benchmark/vocab#hasComponent</x:v>
      </x:c>
      <x:c r="E9" s="47" t="str">
        <x:v>ObjectProperty</x:v>
      </x:c>
      <x:c r="F9" s="47" t="str"/>
      <x:c r="G9" s="47" t="str">
        <x:v>https://w3id.org/nltl-benchmark/vocab#shipComponent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RUN-I2-024-20260814T094248138429Z</x:v>
      </x:c>
      <x:c r="B10" s="47" t="str">
        <x:v>I2-024</x:v>
      </x:c>
      <x:c r="C10" s="47" t="str">
        <x:v>hasObliquePlatingInterpolationCase</x:v>
      </x:c>
      <x:c r="D10" s="48" t="str">
        <x:v>https://w3id.org/nltl-benchmark/vocab#hasObliquePlatingInterpolationCase</x:v>
      </x:c>
      <x:c r="E10" s="47" t="str">
        <x:v>ObjectProperty</x:v>
      </x:c>
      <x:c r="F10" s="47" t="str"/>
      <x:c r="G10" s="47" t="str">
        <x:v>https://w3id.org/nltl-benchmark/vocab#obliquePlatingInterpolationCase</x:v>
      </x:c>
      <x:c r="H10" s="47" t="str"/>
      <x:c r="I10" s="48" t="str">
        <x:v>canonical path from target owner ship to required owner obliquePlatingInterpolationCase; linked by the locked 313-requirement index</x:v>
      </x:c>
      <x:c r="J10" s="47" t="n">
        <x:v>0</x:v>
      </x:c>
    </x:row>
    <x:row r="11">
      <x:c r="A11" s="47" t="str">
        <x:v>RUN-I2-024-20260814T094248138429Z</x:v>
      </x:c>
      <x:c r="B11" s="47" t="str">
        <x:v>I2-024</x:v>
      </x:c>
      <x:c r="C11" s="47" t="str">
        <x:v>interpolatedNetPlateThickness</x:v>
      </x:c>
      <x:c r="D11" s="48" t="str">
        <x:v>https://w3id.org/nltl-benchmark/vocab#interpolatedNetPlateThickness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http://qudt.org/vocab/unit/MilliM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RUN-I2-024-20260814T094248138429Z</x:v>
      </x:c>
      <x:c r="B12" s="47" t="str">
        <x:v>I2-024</x:v>
      </x:c>
      <x:c r="C12" s="47" t="str">
        <x:v>interpolatedShellPlateRequirement</x:v>
      </x:c>
      <x:c r="D12" s="48" t="str">
        <x:v>https://w3id.org/nltl-benchmark/vocab#interpolatedShellPlateRequirement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RUN-I2-024-20260814T094248138429Z</x:v>
      </x:c>
      <x:c r="B13" s="47" t="str">
        <x:v>I2-024</x:v>
      </x:c>
      <x:c r="C13" s="47" t="str">
        <x:v>interpolationLowerEndpoint</x:v>
      </x:c>
      <x:c r="D13" s="48" t="str">
        <x:v>https://w3id.org/nltl-benchmark/vocab#interpolationLowerEndpoint</x:v>
      </x:c>
      <x:c r="E13" s="47" t="str">
        <x:v>ObjectProperty</x:v>
      </x:c>
      <x:c r="F13" s="47" t="str"/>
      <x:c r="G13" s="47" t="str">
        <x:v>https://w3id.org/nltl-benchmark/vocab#interpolationPoint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RUN-I2-024-20260814T094248138429Z</x:v>
      </x:c>
      <x:c r="B14" s="47" t="str">
        <x:v>I2-024</x:v>
      </x:c>
      <x:c r="C14" s="47" t="str">
        <x:v>interpolationPoint</x:v>
      </x:c>
      <x:c r="D14" s="48" t="str">
        <x:v>https://w3id.org/nltl-benchmark/vocab#interpolationPoint</x:v>
      </x:c>
      <x:c r="E14" s="47" t="str">
        <x:v>Class</x:v>
      </x:c>
      <x:c r="F14" s="47" t="str"/>
      <x:c r="G14" s="47" t="str">
        <x:v>https://w3id.org/nltl-benchmark/vocab#calculationCase</x:v>
      </x:c>
      <x:c r="H14" s="47" t="str"/>
      <x:c r="I14" s="48" t="str">
        <x:v>range dependency of interpolationLowerEndpoint; range dependency of interpolationUpperEndpoint</x:v>
      </x:c>
      <x:c r="J14" s="47" t="n">
        <x:v>0</x:v>
      </x:c>
    </x:row>
    <x:row r="15">
      <x:c r="A15" s="47" t="str">
        <x:v>RUN-I2-024-20260814T094248138429Z</x:v>
      </x:c>
      <x:c r="B15" s="47" t="str">
        <x:v>I2-024</x:v>
      </x:c>
      <x:c r="C15" s="47" t="str">
        <x:v>interpolationUpperEndpoint</x:v>
      </x:c>
      <x:c r="D15" s="48" t="str">
        <x:v>https://w3id.org/nltl-benchmark/vocab#interpolationUpperEndpoint</x:v>
      </x:c>
      <x:c r="E15" s="47" t="str">
        <x:v>ObjectProperty</x:v>
      </x:c>
      <x:c r="F15" s="47" t="str"/>
      <x:c r="G15" s="47" t="str">
        <x:v>https://w3id.org/nltl-benchmark/vocab#interpolationPoint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RUN-I2-024-20260814T094248138429Z</x:v>
      </x:c>
      <x:c r="B16" s="47" t="str">
        <x:v>I2-024</x:v>
      </x:c>
      <x:c r="C16" s="47" t="str">
        <x:v>longitudinalFramingNetPlateThickness</x:v>
      </x:c>
      <x:c r="D16" s="48" t="str">
        <x:v>https://w3id.org/nltl-benchmark/vocab#longitudinalFramingNetPlateThickness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http://qudt.org/vocab/unit/MilliM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RUN-I2-024-20260814T094248138429Z</x:v>
      </x:c>
      <x:c r="B17" s="47" t="str">
        <x:v>I2-024</x:v>
      </x:c>
      <x:c r="C17" s="47" t="str">
        <x:v>obliquePlatingInterpolationCase</x:v>
      </x:c>
      <x:c r="D17" s="48" t="str">
        <x:v>https://w3id.org/nltl-benchmark/vocab#obliquePlatingInterpolationCase</x:v>
      </x:c>
      <x:c r="E17" s="47" t="str">
        <x:v>Class</x:v>
      </x:c>
      <x:c r="F17" s="47" t="str"/>
      <x:c r="G17" s="47" t="str">
        <x:v>https://w3id.org/nltl-benchmark/vocab#calculationCase</x:v>
      </x:c>
      <x:c r="H17" s="47" t="str"/>
      <x:c r="I17" s="48" t="str">
        <x:v>authoritative required owner class; domain dependency of interpolatedNetPlateThickness; linked by the locked 313-requirement index; range dependency of hasObliquePlatingInterpolationCase</x:v>
      </x:c>
      <x:c r="J17" s="47" t="n">
        <x:v>0</x:v>
      </x:c>
    </x:row>
    <x:row r="18">
      <x:c r="A18" s="47" t="str">
        <x:v>RUN-I2-024-20260814T094248138429Z</x:v>
      </x:c>
      <x:c r="B18" s="47" t="str">
        <x:v>I2-024</x:v>
      </x:c>
      <x:c r="C18" s="47" t="str">
        <x:v>ship</x:v>
      </x:c>
      <x:c r="D18" s="48" t="str">
        <x:v>https://w3id.org/nltl-benchmark/vocab#ship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hasCalculationCase; domain dependency of hasObliquePlatingInterpolationCase</x:v>
      </x:c>
      <x:c r="J18" s="47" t="n">
        <x:v>0</x:v>
      </x:c>
    </x:row>
    <x:row r="19">
      <x:c r="A19" s="47" t="str">
        <x:v>RUN-I2-024-20260814T094248138429Z</x:v>
      </x:c>
      <x:c r="B19" s="47" t="str">
        <x:v>I2-024</x:v>
      </x:c>
      <x:c r="C19" s="47" t="str">
        <x:v>shipComponent</x:v>
      </x:c>
      <x:c r="D19" s="48" t="str">
        <x:v>https://w3id.org/nltl-benchmark/vocab#shipComponent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9" t="str">
        <x:v>RUN-I2-024-20260814T094248138429Z</x:v>
      </x:c>
      <x:c r="B20" s="49" t="str">
        <x:v>I2-024</x:v>
      </x:c>
      <x:c r="C20" s="49" t="str">
        <x:v>transverseFramingNetPlateThickness</x:v>
      </x:c>
      <x:c r="D20" s="50" t="str">
        <x:v>https://w3id.org/nltl-benchmark/vocab#transverseFramingNetPlateThickness</x:v>
      </x:c>
      <x:c r="E20" s="49" t="str">
        <x:v>QuantityProperty</x:v>
      </x:c>
      <x:c r="F20" s="49" t="str"/>
      <x:c r="G20" s="49" t="str">
        <x:v>http://qudt.org/schema/qudt/QuantityValue</x:v>
      </x:c>
      <x:c r="H20" s="49" t="str">
        <x:v>http://qudt.org/vocab/unit/MilliM</x:v>
      </x:c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7b04128c5a7403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RUN-I2-024-20260814T094248138429Z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RUN-I2-024-20260814T094248138429Z</x:v>
      </x:c>
      <x:c r="B5" s="45" t="str">
        <x:v>I2-024</x:v>
      </x:c>
      <x:c r="C5" s="45" t="str">
        <x:v>FS-CALC-02</x:v>
      </x:c>
      <x:c r="D5" s="45" t="str">
        <x:v>comparison_calculation</x:v>
      </x:c>
      <x:c r="E5" s="99" t="n">
        <x:v>0.121212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RUN-I2-024-20260814T094248138429Z</x:v>
      </x:c>
      <x:c r="B6" s="49" t="str">
        <x:v>I2-024</x:v>
      </x:c>
      <x:c r="C6" s="49" t="str">
        <x:v>FS-BOOL-01</x:v>
      </x:c>
      <x:c r="D6" s="49" t="str">
        <x:v>boolean_state</x:v>
      </x:c>
      <x:c r="E6" s="100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e65c8e85f240d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RUN-I2-024-20260814T094248138429Z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RUN-I2-024-20260814T094248138429Z</x:v>
      </x:c>
      <x:c r="B5" s="69" t="str">
        <x:v>I2-024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0</x:v>
      </x:c>
      <x:c r="K5" s="102" t="b">
        <x:v>1</x:v>
      </x:c>
      <x:c r="L5" s="73" t="str">
        <x:v>Unapproved external/generated IRI(s): urn:nltl:stress-shape:I2-024-CalculationCaseShape, urn:nltl:stress-shape:I2-024-FramingAngleShape, urn:nltl:stress-shape:I2-024-ObliqueCaseShape, urn:nltl:stress-shape:I2-024-ShipShape, urn:nltl:stress-shape:I2-024-ThicknessShape | Quantity property framingAngle must point to a QUDT QuantityValue node, not a direct literal datatype</x:v>
      </x:c>
      <x:c r="M5" s="73" t="str"/>
      <x:c r="N5" s="73" t="str">
        <x:v>https://w3id.org/nltl-benchmark/vocab#calculationCase | https://w3id.org/nltl-benchmark/vocab#framingAngle | https://w3id.org/nltl-benchmark/vocab#hasCalculationCase | https://w3id.org/nltl-benchmark/vocab#hasObliquePlatingInterpolationCase | https://w3id.org/nltl-benchmark/vocab#interpolatedNetPlateThickness | https://w3id.org/nltl-benchmark/vocab#interpolationLowerEndpoint | https://w3id.org/nltl-benchmark/vocab#interpolationPoint | https://w3id.org/nltl-benchmark/vocab#interpolationUpperEndpoint | https://w3id.org/nltl-benchmark/vocab#longitudinalFramingNetPlateThickness | https://w3id.org/nltl-benchmark/vocab#obliquePlatingInterpolationCase | https://w3id.org/nltl-benchmark/vocab#ship | https://w3id.org/nltl-benchmark/vocab#transverseFramingNetPlateThickness</x:v>
      </x:c>
      <x:c r="O5" s="73" t="str"/>
      <x:c r="P5" s="73" t="str"/>
      <x:c r="Q5" s="73" t="str">
        <x:v>urn:nltl:stress-shape:I2-024-CalculationCaseShape | urn:nltl:stress-shape:I2-024-FramingAngleShape | urn:nltl:stress-shape:I2-024-ObliqueCaseShape | urn:nltl:stress-shape:I2-024-ShipShape | urn:nltl:stress-shape:I2-024-ThicknessShape</x:v>
      </x:c>
    </x:row>
  </x:sheetData>
  <x:pageMargins left="0.7" right="0.7" top="0.75" bottom="0.75" header="0.3" footer="0.3"/>
  <x:tableParts count="1">
    <x:tablePart xmlns:r="http://schemas.openxmlformats.org/officeDocument/2006/relationships" r:id="Rd3022319164b42e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RUN-I2-024-20260814T094248138429Z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RUN-I2-024-20260814T094248138429Z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RUN-I2-024-20260814T094248138429Z</x:v>
      </x:c>
      <x:c r="B5" s="45" t="str">
        <x:v>I2-024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b089ed23fe0f2b4e9f39640cc92b0d04474f54c66a22836c7f042acd64f6aaea</x:v>
      </x:c>
      <x:c r="G5" s="58" t="n">
        <x:v>22397</x:v>
      </x:c>
    </x:row>
    <x:row r="6">
      <x:c r="A6" s="47" t="str">
        <x:v>RUN-I2-024-20260814T094248138429Z</x:v>
      </x:c>
      <x:c r="B6" s="47" t="str">
        <x:v>I2-024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72356414bf2293e6d00b063b10e58e5e2d92177e7fc43c4f45838565a2d54d4e</x:v>
      </x:c>
      <x:c r="G6" s="59" t="n">
        <x:v>4859</x:v>
      </x:c>
    </x:row>
    <x:row r="7">
      <x:c r="A7" s="47" t="str">
        <x:v>RUN-I2-024-20260814T094248138429Z</x:v>
      </x:c>
      <x:c r="B7" s="47" t="str">
        <x:v>I2-024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bf78d293ac3863599263c5c199d52e99aadc04d6469c9d3d68444fc459798cc4</x:v>
      </x:c>
      <x:c r="G7" s="59" t="n">
        <x:v>35890</x:v>
      </x:c>
    </x:row>
    <x:row r="8">
      <x:c r="A8" s="47" t="str">
        <x:v>RUN-I2-024-20260814T094248138429Z</x:v>
      </x:c>
      <x:c r="B8" s="47" t="str">
        <x:v>I2-024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de70ad901a822f50853794ab39c56132373ea42bbd4e96d54fbb15a66c31b101</x:v>
      </x:c>
      <x:c r="G8" s="59" t="n">
        <x:v>4025</x:v>
      </x:c>
    </x:row>
    <x:row r="9">
      <x:c r="A9" s="47" t="str">
        <x:v>RUN-I2-024-20260814T094248138429Z</x:v>
      </x:c>
      <x:c r="B9" s="47" t="str">
        <x:v>I2-024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9686978484f298795d4e1d0ade721226c9869a4e847ab1d402db8622cc2d4f16</x:v>
      </x:c>
      <x:c r="G9" s="59" t="n">
        <x:v>4000</x:v>
      </x:c>
    </x:row>
    <x:row r="10">
      <x:c r="A10" s="47" t="str">
        <x:v>RUN-I2-024-20260814T094248138429Z</x:v>
      </x:c>
      <x:c r="B10" s="47" t="str">
        <x:v>I2-024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ec74558d14e577dfe6f35398cce2b48bc19f94c2977b6598b81bcc127befd005</x:v>
      </x:c>
      <x:c r="G10" s="59" t="n">
        <x:v>1876</x:v>
      </x:c>
    </x:row>
    <x:row r="11">
      <x:c r="A11" s="47" t="str">
        <x:v>RUN-I2-024-20260814T094248138429Z</x:v>
      </x:c>
      <x:c r="B11" s="47" t="str">
        <x:v>I2-024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f9497a459425e916a53714db09b27f48a1a674f86d71374c0713787c88a9dae9</x:v>
      </x:c>
      <x:c r="G11" s="59" t="n">
        <x:v>37102</x:v>
      </x:c>
    </x:row>
    <x:row r="12">
      <x:c r="A12" s="49" t="str">
        <x:v>RUN-I2-024-20260814T094248138429Z</x:v>
      </x:c>
      <x:c r="B12" s="49" t="str">
        <x:v>I2-024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f5bfddbe933d7234a51ab97abf8cfcc5d4c90084c0b8de637eefaf4ebec93b06</x:v>
      </x:c>
      <x:c r="G12" s="60" t="n">
        <x:v>707</x:v>
      </x:c>
    </x:row>
  </x:sheetData>
  <x:pageMargins left="0.7" right="0.7" top="0.75" bottom="0.75" header="0.3" footer="0.3"/>
  <x:tableParts count="1">
    <x:tablePart xmlns:r="http://schemas.openxmlformats.org/officeDocument/2006/relationships" r:id="R59f5b8c0b9fe4b9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RUN-I2-024-20260814T094248138429Z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RUN-I2-024-20260814T094248138429Z</x:v>
      </x:c>
      <x:c r="B5" s="69" t="str">
        <x:v>I2-024</x:v>
      </x:c>
      <x:c r="C5" s="71" t="n">
        <x:v>1</x:v>
      </x:c>
      <x:c r="D5" s="69" t="str">
        <x:v>MAX_ATTEMPTS_REACHED</x:v>
      </x:c>
      <x:c r="E5" s="73" t="str">
        <x:v>Remove sh:datatype qudt:QuantityValue from the framingAngle property (it is a quantity-node path, not a literal) and use only approved/blank shape identifiers instead of the reported unapproved urn: IRIs. More importantly, replace the presence-only oblique-case check with a bounded formula constraint that verifies the interpolatedNetPlateThickness is the linear interpolation derived from framingAngle and the required longitudinal/transverse thickness operands, with the lower and upper interpolation endpoints properly incorporated; merely requiring an interpolation case, endpoints, and quantities does not establish linear interpolation.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8c3978f60a43b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RUN-I2-024-20260814T094248138429Z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