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a1a2a8cba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8373a142994c8a"/>
    <x:sheet xmlns:r="http://schemas.openxmlformats.org/officeDocument/2006/relationships" name="README" sheetId="2" r:id="R1e2618a2445c472f"/>
    <x:sheet xmlns:r="http://schemas.openxmlformats.org/officeDocument/2006/relationships" name="REGULATION_QUEUE" sheetId="3" r:id="Rb49142b368aa45a2"/>
    <x:sheet xmlns:r="http://schemas.openxmlformats.org/officeDocument/2006/relationships" name="RUNS" sheetId="4" r:id="R4125672c116d4e8c"/>
    <x:sheet xmlns:r="http://schemas.openxmlformats.org/officeDocument/2006/relationships" name="ITERATIONS" sheetId="5" r:id="R83f586541972470f"/>
    <x:sheet xmlns:r="http://schemas.openxmlformats.org/officeDocument/2006/relationships" name="API_CALLS" sheetId="6" r:id="R0fc7487a76904c29"/>
    <x:sheet xmlns:r="http://schemas.openxmlformats.org/officeDocument/2006/relationships" name="TERM_RETRIEVAL" sheetId="7" r:id="R65f1fa50e2f846f3"/>
    <x:sheet xmlns:r="http://schemas.openxmlformats.org/officeDocument/2006/relationships" name="FEW_SHOT_SELECTION" sheetId="8" r:id="R9e5a746e8e184bd0"/>
    <x:sheet xmlns:r="http://schemas.openxmlformats.org/officeDocument/2006/relationships" name="VALIDATION" sheetId="9" r:id="R01d51a83f2494a01"/>
    <x:sheet xmlns:r="http://schemas.openxmlformats.org/officeDocument/2006/relationships" name="VOCAB_MATCHES" sheetId="10" r:id="R31b8a84c25c946b0"/>
    <x:sheet xmlns:r="http://schemas.openxmlformats.org/officeDocument/2006/relationships" name="ARTIFACTS" sheetId="11" r:id="Rff9b6d93e76d42d4"/>
    <x:sheet xmlns:r="http://schemas.openxmlformats.org/officeDocument/2006/relationships" name="UNRESOLVED" sheetId="12" r:id="R217cba636fd74421"/>
    <x:sheet xmlns:r="http://schemas.openxmlformats.org/officeDocument/2006/relationships" name="RDF_TEST_QUEUE" sheetId="13" r:id="Rebb472664c17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9fe8779ea43c1" /><Relationship Type="http://schemas.openxmlformats.org/officeDocument/2006/relationships/theme" Target="/xl/theme/theme1.xml" Id="Rc507c471094c447a" /><Relationship Type="http://schemas.microsoft.com/office/2022/11/relationships/FeaturePropertyBag" Target="/xl/featurePropertyBag/featurePropertyBag.xml" Id="R58d7235de0824786" /><Relationship Type="http://schemas.openxmlformats.org/officeDocument/2006/relationships/sharedStrings" Target="/xl/sharedStrings.xml" Id="R6f71f05ba1344068" /><Relationship Type="http://schemas.openxmlformats.org/officeDocument/2006/relationships/worksheet" Target="/xl/worksheets/sheet1.xml" Id="Rcc8373a142994c8a" /><Relationship Type="http://schemas.openxmlformats.org/officeDocument/2006/relationships/worksheet" Target="/xl/worksheets/sheet2.xml" Id="R1e2618a2445c472f" /><Relationship Type="http://schemas.openxmlformats.org/officeDocument/2006/relationships/worksheet" Target="/xl/worksheets/sheet3.xml" Id="Rb49142b368aa45a2" /><Relationship Type="http://schemas.openxmlformats.org/officeDocument/2006/relationships/worksheet" Target="/xl/worksheets/sheet4.xml" Id="R4125672c116d4e8c" /><Relationship Type="http://schemas.openxmlformats.org/officeDocument/2006/relationships/worksheet" Target="/xl/worksheets/sheet5.xml" Id="R83f586541972470f" /><Relationship Type="http://schemas.openxmlformats.org/officeDocument/2006/relationships/worksheet" Target="/xl/worksheets/sheet6.xml" Id="R0fc7487a76904c29" /><Relationship Type="http://schemas.openxmlformats.org/officeDocument/2006/relationships/worksheet" Target="/xl/worksheets/sheet7.xml" Id="R65f1fa50e2f846f3" /><Relationship Type="http://schemas.openxmlformats.org/officeDocument/2006/relationships/worksheet" Target="/xl/worksheets/sheet8.xml" Id="R9e5a746e8e184bd0" /><Relationship Type="http://schemas.openxmlformats.org/officeDocument/2006/relationships/worksheet" Target="/xl/worksheets/sheet9.xml" Id="R01d51a83f2494a01" /><Relationship Type="http://schemas.openxmlformats.org/officeDocument/2006/relationships/worksheet" Target="/xl/worksheets/sheet10.xml" Id="R31b8a84c25c946b0" /><Relationship Type="http://schemas.openxmlformats.org/officeDocument/2006/relationships/worksheet" Target="/xl/worksheets/sheet11.xml" Id="Rff9b6d93e76d42d4" /><Relationship Type="http://schemas.openxmlformats.org/officeDocument/2006/relationships/worksheet" Target="/xl/worksheets/sheet12.xml" Id="R217cba636fd74421" /><Relationship Type="http://schemas.openxmlformats.org/officeDocument/2006/relationships/worksheet" Target="/xl/worksheets/sheet13.xml" Id="Rebb472664c1743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90f5601dd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6038e4cc54d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6f9871ff143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5933ad568b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e6c0845fde4e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9381a037074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dadcb8f6ee4f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472973ff0d4c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84de6dd2494f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ed2abeb74043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RUN-I2-050-20260814T095641366860Z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18596.009000000002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RUN-I2-050-20260814T095641366860Z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090f5601dd4e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MAX_ATTEMPTS_REACHED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6038e4cc54d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RUN-I2-050-20260814T095641366860Z</x:v>
      </x:c>
      <x:c r="C5" s="69" t="str">
        <x:v>I2-050</x:v>
      </x:c>
      <x:c r="D5" s="70" t="n">
        <x:v>46248.41436768518</x:v>
      </x:c>
      <x:c r="E5" s="70" t="n">
        <x:v>46248.41480204861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an approved or blank-node shape identifier instead of the unapproved urn:nltl:stress-shape IRI. Correct F_IB2 to 1.20 times flexuralFailureClassFactor (C_FF), not crushingFailureClassFactor (C_FC), and remove the mandatory crushingFailureClassFactor constraint because it is not an operand of this requirement. Do not use unregistered math:pow: rewrite the bounded formula check using only evaluator-supported expression/function facilities while retaining all required exponents and the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6f9871ff143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RUN-I2-050-20260814T095641366860Z</x:v>
      </x:c>
      <x:c r="B5" s="69" t="str">
        <x:v>I2-050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urn:nltl:stress-shape:I2_050_DesignVerticalIceForceAtBowShape
Semantic validator feedback: Use an approved or blank-node shape identifier instead of the unapproved urn:nltl:stress-shape IRI. Correct F_IB2 to 1.20 times flexuralFailureClassFactor (C_FF), not crushingFailureClassFactor (C_FC), and remove the mandatory crushingFailureClassFactor constraint because it is not an operand of this requirement. Do not use unregistered math:pow: rewrite the bounded formula check using only evaluator-supported expression/function facilities while retaining all required exponents and the expected-result-scaled tolerance.</x:v>
      </x:c>
      <x:c r="I5" s="75" t="n">
        <x:v>29131.407</x:v>
      </x:c>
      <x:c r="J5" s="75" t="n">
        <x:v>8062.527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933ad568b48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RUN-I2-050-20260814T095641366860Z</x:v>
      </x:c>
      <x:c r="C5" s="45" t="str">
        <x:v>I2-050</x:v>
      </x:c>
      <x:c r="D5" s="88" t="n">
        <x:v>46248.41470487269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29129.578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RUN-I2-050-20260814T095641366860Z</x:v>
      </x:c>
      <x:c r="C6" s="47" t="str">
        <x:v>I2-050</x:v>
      </x:c>
      <x:c r="D6" s="91" t="n">
        <x:v>46248.41470489583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29131.407</x:v>
      </x:c>
      <x:c r="L6" s="93" t="b">
        <x:v>0</x:v>
      </x:c>
      <x:c r="M6" s="47" t="str">
        <x:v>resp_07706018428a4ab6006a7ee6598054819490662d1c20e42f9e</x:v>
      </x:c>
      <x:c r="N6" s="59" t="n">
        <x:v>9187</x:v>
      </x:c>
      <x:c r="O6" s="59" t="n">
        <x:v>3604</x:v>
      </x:c>
      <x:c r="P6" s="59" t="n">
        <x:v>12791</x:v>
      </x:c>
    </x:row>
    <x:row r="7">
      <x:c r="A7" s="47" t="str">
        <x:v>EVT-000032</x:v>
      </x:c>
      <x:c r="B7" s="47" t="str">
        <x:v>RUN-I2-050-20260814T095641366860Z</x:v>
      </x:c>
      <x:c r="C7" s="47" t="str">
        <x:v>I2-050</x:v>
      </x:c>
      <x:c r="D7" s="91" t="n">
        <x:v>46248.41480196759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8060.524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RUN-I2-050-20260814T095641366860Z</x:v>
      </x:c>
      <x:c r="C8" s="49" t="str">
        <x:v>I2-050</x:v>
      </x:c>
      <x:c r="D8" s="94" t="n">
        <x:v>46248.414801990744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8062.527</x:v>
      </x:c>
      <x:c r="L8" s="96" t="b">
        <x:v>0</x:v>
      </x:c>
      <x:c r="M8" s="49" t="str">
        <x:v>resp_0024cafdb1c09dbe006a7ee676f75081939ee218f8eebeda30</x:v>
      </x:c>
      <x:c r="N8" s="60" t="n">
        <x:v>11278</x:v>
      </x:c>
      <x:c r="O8" s="60" t="n">
        <x:v>645</x:v>
      </x:c>
      <x:c r="P8" s="60" t="n">
        <x:v>11923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6c0845fde4e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RUN-I2-050-20260814T095641366860Z</x:v>
      </x:c>
      <x:c r="B5" s="45" t="str">
        <x:v>I2-050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RUN-I2-050-20260814T095641366860Z</x:v>
      </x:c>
      <x:c r="B6" s="47" t="str">
        <x:v>I2-050</x:v>
      </x:c>
      <x:c r="C6" s="47" t="str">
        <x:v>crushingFailureClassFactor</x:v>
      </x:c>
      <x:c r="D6" s="48" t="str">
        <x:v>https://w3id.org/nltl-benchmark/vocab#crushingFailureClassFactor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RUN-I2-050-20260814T095641366860Z</x:v>
      </x:c>
      <x:c r="B7" s="47" t="str">
        <x:v>I2-050</x:v>
      </x:c>
      <x:c r="C7" s="47" t="str">
        <x:v>designVerticalIceForceAtBow</x:v>
      </x:c>
      <x:c r="D7" s="48" t="str">
        <x:v>https://w3id.org/nltl-benchmark/vocab#designVerticalIceForceAtBow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RUN-I2-050-20260814T095641366860Z</x:v>
      </x:c>
      <x:c r="B8" s="47" t="str">
        <x:v>I2-050</x:v>
      </x:c>
      <x:c r="C8" s="47" t="str">
        <x:v>designVerticalIceForceAtBowCandidateOne</x:v>
      </x:c>
      <x:c r="D8" s="48" t="str">
        <x:v>https://w3id.org/nltl-benchmark/vocab#designVerticalIceForceAtBowCandidateOne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RUN-I2-050-20260814T095641366860Z</x:v>
      </x:c>
      <x:c r="B9" s="47" t="str">
        <x:v>I2-050</x:v>
      </x:c>
      <x:c r="C9" s="47" t="str">
        <x:v>designVerticalIceForceAtBowCandidateTwo</x:v>
      </x:c>
      <x:c r="D9" s="48" t="str">
        <x:v>https://w3id.org/nltl-benchmark/vocab#designVerticalIceForceAtBowCandidateTwo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RUN-I2-050-20260814T095641366860Z</x:v>
      </x:c>
      <x:c r="B10" s="47" t="str">
        <x:v>I2-050</x:v>
      </x:c>
      <x:c r="C10" s="47" t="str">
        <x:v>flexuralFailureClassFactor</x:v>
      </x:c>
      <x:c r="D10" s="48" t="str">
        <x:v>https://w3id.org/nltl-benchmark/vocab#flexuralFailureClassFactor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RUN-I2-050-20260814T095641366860Z</x:v>
      </x:c>
      <x:c r="B11" s="47" t="str">
        <x:v>I2-050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RUN-I2-050-20260814T095641366860Z</x:v>
      </x:c>
      <x:c r="B12" s="47" t="str">
        <x:v>I2-050</x:v>
      </x:c>
      <x:c r="C12" s="47" t="str">
        <x:v>hasTableLookupCase</x:v>
      </x:c>
      <x:c r="D12" s="48" t="str">
        <x:v>https://w3id.org/nltl-benchmark/vocab#hasTableLookupCase</x:v>
      </x:c>
      <x:c r="E12" s="47" t="str">
        <x:v>ObjectProperty</x:v>
      </x:c>
      <x:c r="F12" s="47" t="str"/>
      <x:c r="G12" s="47" t="str">
        <x:v>https://w3id.org/nltl-benchmark/vocab#tableLookupCase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RUN-I2-050-20260814T095641366860Z</x:v>
      </x:c>
      <x:c r="B13" s="47" t="str">
        <x:v>I2-050</x:v>
      </x:c>
      <x:c r="C13" s="47" t="str">
        <x:v>hullFormCoefficientKh</x:v>
      </x:c>
      <x:c r="D13" s="48" t="str">
        <x:v>https://w3id.org/nltl-benchmark/vocab#hullFormCoefficientKh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RUN-I2-050-20260814T095641366860Z</x:v>
      </x:c>
      <x:c r="B14" s="47" t="str">
        <x:v>I2-050</x:v>
      </x:c>
      <x:c r="C14" s="47" t="str">
        <x:v>iceStrengthCoefficientKI</x:v>
      </x:c>
      <x:c r="D14" s="48" t="str">
        <x:v>https://w3id.org/nltl-benchmark/vocab#iceStrengthCoefficientKI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RUN-I2-050-20260814T095641366860Z</x:v>
      </x:c>
      <x:c r="B15" s="47" t="str">
        <x:v>I2-050</x:v>
      </x:c>
      <x:c r="C15" s="47" t="str">
        <x:v>longitudinalStrengthClassFactor</x:v>
      </x:c>
      <x:c r="D15" s="48" t="str">
        <x:v>https://w3id.org/nltl-benchmark/vocab#longitudinalStrengthClassFactor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RUN-I2-050-20260814T095641366860Z</x:v>
      </x:c>
      <x:c r="B16" s="47" t="str">
        <x:v>I2-050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RUN-I2-050-20260814T095641366860Z</x:v>
      </x:c>
      <x:c r="B17" s="47" t="str">
        <x:v>I2-050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RUN-I2-050-20260814T095641366860Z</x:v>
      </x:c>
      <x:c r="B18" s="47" t="str">
        <x:v>I2-050</x:v>
      </x:c>
      <x:c r="C18" s="47" t="str">
        <x:v>stemAngle</x:v>
      </x:c>
      <x:c r="D18" s="48" t="str">
        <x:v>https://w3id.org/nltl-benchmark/vocab#stemAngle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RUN-I2-050-20260814T095641366860Z</x:v>
      </x:c>
      <x:c r="B19" s="47" t="str">
        <x:v>I2-050</x:v>
      </x:c>
      <x:c r="C19" s="47" t="str">
        <x:v>tableLookupCase</x:v>
      </x:c>
      <x:c r="D19" s="48" t="str">
        <x:v>https://w3id.org/nltl-benchmark/vocab#tableLookupCase</x:v>
      </x:c>
      <x:c r="E19" s="47" t="str">
        <x:v>Class</x:v>
      </x:c>
      <x:c r="F19" s="47" t="str"/>
      <x:c r="G19" s="47" t="str">
        <x:v>https://w3id.org/nltl-benchmark/vocab#calculationCase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RUN-I2-050-20260814T095641366860Z</x:v>
      </x:c>
      <x:c r="B20" s="49" t="str">
        <x:v>I2-050</x:v>
      </x:c>
      <x:c r="C20" s="49" t="str">
        <x:v>upperIceWaterlineDraughtDUI</x:v>
      </x:c>
      <x:c r="D20" s="50" t="str">
        <x:v>https://w3id.org/nltl-benchmark/vocab#upperIceWaterlineDraughtDUI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9381a037074d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RUN-I2-050-20260814T095641366860Z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RUN-I2-050-20260814T095641366860Z</x:v>
      </x:c>
      <x:c r="B5" s="45" t="str">
        <x:v>I2-050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RUN-I2-050-20260814T095641366860Z</x:v>
      </x:c>
      <x:c r="B6" s="49" t="str">
        <x:v>I2-050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adcb8f6ee4f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RUN-I2-050-20260814T095641366860Z</x:v>
      </x:c>
      <x:c r="B5" s="69" t="str">
        <x:v>I2-050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urn:nltl:stress-shape:I2_050_DesignVerticalIceForceAtBowShape</x:v>
      </x:c>
      <x:c r="M5" s="73" t="str"/>
      <x:c r="N5" s="73" t="str">
        <x:v>https://w3id.org/nltl-benchmark/vocab#crushingFailureClassFactor | https://w3id.org/nltl-benchmark/vocab#designVerticalIceForceAtBow | https://w3id.org/nltl-benchmark/vocab#designVerticalIceForceAtBowCandidateOne | https://w3id.org/nltl-benchmark/vocab#designVerticalIceForceAtBowCandidateTwo | https://w3id.org/nltl-benchmark/vocab#flexuralFailureClassFactor | https://w3id.org/nltl-benchmark/vocab#hasTableLookupCase | https://w3id.org/nltl-benchmark/vocab#hullFormCoefficientKh | https://w3id.org/nltl-benchmark/vocab#iceStrengthCoefficientKI | https://w3id.org/nltl-benchmark/vocab#longitudinalStrengthClassFactor | https://w3id.org/nltl-benchmark/vocab#ship | https://w3id.org/nltl-benchmark/vocab#stemAngle | https://w3id.org/nltl-benchmark/vocab#tableLookupCase | https://w3id.org/nltl-benchmark/vocab#upperIceWaterlineDraughtDUI</x:v>
      </x:c>
      <x:c r="O5" s="73" t="str"/>
      <x:c r="P5" s="73" t="str"/>
      <x:c r="Q5" s="73" t="str">
        <x:v>urn:nltl:stress-shape:I2_050_DesignVerticalIceForceAtBowShape</x:v>
      </x:c>
    </x:row>
  </x:sheetData>
  <x:pageMargins left="0.7" right="0.7" top="0.75" bottom="0.75" header="0.3" footer="0.3"/>
  <x:tableParts count="1">
    <x:tablePart xmlns:r="http://schemas.openxmlformats.org/officeDocument/2006/relationships" r:id="R3f472973ff0d4c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RUN-I2-050-20260814T095641366860Z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RUN-I2-050-20260814T095641366860Z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RUN-I2-050-20260814T095641366860Z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aa2302fbdaa68373a34f413e590bfa249e965e23492e9b1b2e1fd4c0ad05b7c5</x:v>
      </x:c>
      <x:c r="G5" s="58" t="n">
        <x:v>23050</x:v>
      </x:c>
    </x:row>
    <x:row r="6">
      <x:c r="A6" s="47" t="str">
        <x:v>RUN-I2-050-20260814T095641366860Z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8547007b16adf765dfb07e1f83cb202e96726c92016630877f77557887906649</x:v>
      </x:c>
      <x:c r="G6" s="59" t="n">
        <x:v>5365</x:v>
      </x:c>
    </x:row>
    <x:row r="7">
      <x:c r="A7" s="47" t="str">
        <x:v>RUN-I2-050-20260814T095641366860Z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4bac76f956646adae562410bffa5b373e8eaf60789e6e1ce0c03c4747637a142</x:v>
      </x:c>
      <x:c r="G7" s="59" t="n">
        <x:v>37049</x:v>
      </x:c>
    </x:row>
    <x:row r="8">
      <x:c r="A8" s="47" t="str">
        <x:v>RUN-I2-050-20260814T095641366860Z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0a312f8b6a7c8d1e76fa255d550eb3b1ed638b89a5549d2fa610a389fefd02de</x:v>
      </x:c>
      <x:c r="G8" s="59" t="n">
        <x:v>9418</x:v>
      </x:c>
    </x:row>
    <x:row r="9">
      <x:c r="A9" s="47" t="str">
        <x:v>RUN-I2-050-20260814T095641366860Z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5808a2366aaeb01029163c1ad138a312a8f815a78b916dc66254a56fc67578f4</x:v>
      </x:c>
      <x:c r="G9" s="59" t="n">
        <x:v>9393</x:v>
      </x:c>
    </x:row>
    <x:row r="10">
      <x:c r="A10" s="47" t="str">
        <x:v>RUN-I2-050-20260814T095641366860Z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fea98eb7ecb6b4808a54778aaf66e9834cc6f12f3a6c7cc544fa8fa48744b9de</x:v>
      </x:c>
      <x:c r="G10" s="59" t="n">
        <x:v>1475</x:v>
      </x:c>
    </x:row>
    <x:row r="11">
      <x:c r="A11" s="47" t="str">
        <x:v>RUN-I2-050-20260814T095641366860Z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1f26bfceae1eca7e57288d65f3d228ebe3a22250c18a4555b31e6e8c47b49eb9</x:v>
      </x:c>
      <x:c r="G11" s="59" t="n">
        <x:v>43712</x:v>
      </x:c>
    </x:row>
    <x:row r="12">
      <x:c r="A12" s="49" t="str">
        <x:v>RUN-I2-050-20260814T095641366860Z</x:v>
      </x:c>
      <x:c r="B12" s="49" t="str">
        <x:v>I2-050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992dd3b729b09adce5703089903b88779f2b7a6430c379c1484f8364601e4c35</x:v>
      </x:c>
      <x:c r="G12" s="60" t="n">
        <x:v>589</x:v>
      </x:c>
    </x:row>
  </x:sheetData>
  <x:pageMargins left="0.7" right="0.7" top="0.75" bottom="0.75" header="0.3" footer="0.3"/>
  <x:tableParts count="1">
    <x:tablePart xmlns:r="http://schemas.openxmlformats.org/officeDocument/2006/relationships" r:id="Rdf84de6dd2494f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RUN-I2-050-20260814T095641366860Z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RUN-I2-050-20260814T095641366860Z</x:v>
      </x:c>
      <x:c r="B5" s="69" t="str">
        <x:v>I2-050</x:v>
      </x:c>
      <x:c r="C5" s="71" t="n">
        <x:v>1</x:v>
      </x:c>
      <x:c r="D5" s="69" t="str">
        <x:v>MAX_ATTEMPTS_REACHED</x:v>
      </x:c>
      <x:c r="E5" s="73" t="str">
        <x:v>Use an approved or blank-node shape identifier instead of the unapproved urn:nltl:stress-shape IRI. Correct F_IB2 to 1.20 times flexuralFailureClassFactor (C_FF), not crushingFailureClassFactor (C_FC), and remove the mandatory crushingFailureClassFactor constraint because it is not an operand of this requirement. Do not use unregistered math:pow: rewrite the bounded formula check using only evaluator-supported expression/function facilities while retaining all required exponents and the expected-result-scaled tolerance.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d2abeb74043c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RUN-I2-050-20260814T095641366860Z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