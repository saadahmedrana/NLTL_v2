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0c8aa9506a4b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9ed6412e4fd481b"/>
    <x:sheet xmlns:r="http://schemas.openxmlformats.org/officeDocument/2006/relationships" name="README" sheetId="2" r:id="Re66f3b648bf14377"/>
    <x:sheet xmlns:r="http://schemas.openxmlformats.org/officeDocument/2006/relationships" name="REGULATION_QUEUE" sheetId="3" r:id="R1cf8ccf6a6444ef2"/>
    <x:sheet xmlns:r="http://schemas.openxmlformats.org/officeDocument/2006/relationships" name="RUNS" sheetId="4" r:id="Rbc7f58312b304467"/>
    <x:sheet xmlns:r="http://schemas.openxmlformats.org/officeDocument/2006/relationships" name="ITERATIONS" sheetId="5" r:id="Rf8c50a2c05ba4945"/>
    <x:sheet xmlns:r="http://schemas.openxmlformats.org/officeDocument/2006/relationships" name="API_CALLS" sheetId="6" r:id="Rcd0261ef858e4336"/>
    <x:sheet xmlns:r="http://schemas.openxmlformats.org/officeDocument/2006/relationships" name="TERM_RETRIEVAL" sheetId="7" r:id="Re469e4298c9d4003"/>
    <x:sheet xmlns:r="http://schemas.openxmlformats.org/officeDocument/2006/relationships" name="FEW_SHOT_SELECTION" sheetId="8" r:id="R99d6e47ecfc5447c"/>
    <x:sheet xmlns:r="http://schemas.openxmlformats.org/officeDocument/2006/relationships" name="VALIDATION" sheetId="9" r:id="Re4d4ff184f684951"/>
    <x:sheet xmlns:r="http://schemas.openxmlformats.org/officeDocument/2006/relationships" name="VOCAB_MATCHES" sheetId="10" r:id="Rb33b636238cc435a"/>
    <x:sheet xmlns:r="http://schemas.openxmlformats.org/officeDocument/2006/relationships" name="ARTIFACTS" sheetId="11" r:id="R070e440e69af4b33"/>
    <x:sheet xmlns:r="http://schemas.openxmlformats.org/officeDocument/2006/relationships" name="UNRESOLVED" sheetId="12" r:id="R805e690f5623488f"/>
    <x:sheet xmlns:r="http://schemas.openxmlformats.org/officeDocument/2006/relationships" name="RDF_TEST_QUEUE" sheetId="13" r:id="Refdafb65f4ba4f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5798889ca44f56" /><Relationship Type="http://schemas.openxmlformats.org/officeDocument/2006/relationships/theme" Target="/xl/theme/theme1.xml" Id="R557e348bb35d4078" /><Relationship Type="http://schemas.microsoft.com/office/2022/11/relationships/FeaturePropertyBag" Target="/xl/featurePropertyBag/featurePropertyBag.xml" Id="Rf8e64dec62db482e" /><Relationship Type="http://schemas.openxmlformats.org/officeDocument/2006/relationships/sharedStrings" Target="/xl/sharedStrings.xml" Id="Rf00ea30308d342ff" /><Relationship Type="http://schemas.openxmlformats.org/officeDocument/2006/relationships/worksheet" Target="/xl/worksheets/sheet1.xml" Id="R89ed6412e4fd481b" /><Relationship Type="http://schemas.openxmlformats.org/officeDocument/2006/relationships/worksheet" Target="/xl/worksheets/sheet2.xml" Id="Re66f3b648bf14377" /><Relationship Type="http://schemas.openxmlformats.org/officeDocument/2006/relationships/worksheet" Target="/xl/worksheets/sheet3.xml" Id="R1cf8ccf6a6444ef2" /><Relationship Type="http://schemas.openxmlformats.org/officeDocument/2006/relationships/worksheet" Target="/xl/worksheets/sheet4.xml" Id="Rbc7f58312b304467" /><Relationship Type="http://schemas.openxmlformats.org/officeDocument/2006/relationships/worksheet" Target="/xl/worksheets/sheet5.xml" Id="Rf8c50a2c05ba4945" /><Relationship Type="http://schemas.openxmlformats.org/officeDocument/2006/relationships/worksheet" Target="/xl/worksheets/sheet6.xml" Id="Rcd0261ef858e4336" /><Relationship Type="http://schemas.openxmlformats.org/officeDocument/2006/relationships/worksheet" Target="/xl/worksheets/sheet7.xml" Id="Re469e4298c9d4003" /><Relationship Type="http://schemas.openxmlformats.org/officeDocument/2006/relationships/worksheet" Target="/xl/worksheets/sheet8.xml" Id="R99d6e47ecfc5447c" /><Relationship Type="http://schemas.openxmlformats.org/officeDocument/2006/relationships/worksheet" Target="/xl/worksheets/sheet9.xml" Id="Re4d4ff184f684951" /><Relationship Type="http://schemas.openxmlformats.org/officeDocument/2006/relationships/worksheet" Target="/xl/worksheets/sheet10.xml" Id="Rb33b636238cc435a" /><Relationship Type="http://schemas.openxmlformats.org/officeDocument/2006/relationships/worksheet" Target="/xl/worksheets/sheet11.xml" Id="R070e440e69af4b33" /><Relationship Type="http://schemas.openxmlformats.org/officeDocument/2006/relationships/worksheet" Target="/xl/worksheets/sheet12.xml" Id="R805e690f5623488f" /><Relationship Type="http://schemas.openxmlformats.org/officeDocument/2006/relationships/worksheet" Target="/xl/worksheets/sheet13.xml" Id="Refdafb65f4ba4f3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51829b1c65a43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e70188a4b1e4df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c973fedf81649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e4fa756c3aa414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88d81948b5b410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d998cda0b09437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483f1a3cbc640e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b45bd96418f47f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8ecf08bfe9542a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0d97f8654db6437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RUN-I2-051-20260814T095729494729Z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19836.5945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RUN-I2-051-20260814T095729494729Z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51829b1c65a433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RUN-I2-051-20260814T095729494729Z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MAX_ATTEMPTS_REACHED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70188a4b1e4df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RUN-I2-051-20260814T095729494729Z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RUN-I2-051-20260814T095729494729Z</x:v>
      </x:c>
      <x:c r="C5" s="69" t="str">
        <x:v>I2-051</x:v>
      </x:c>
      <x:c r="D5" s="70" t="n">
        <x:v>46248.41492472222</x:v>
      </x:c>
      <x:c r="E5" s="70" t="n">
        <x:v>46248.415386423614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urn:nltl:stress-shape:* shape IRIs with permitted anonymous/approved SHACL shape nodes. Do not require every calculation case to have shearForceDirection positive: remove sh:hasValue nltl:positiveShearForce from the general calculation-case shape and apply the formula and Cf endpoint checks only to cases whose supplied direction is nltl:positiveShearForce. Remove sh:minCount 1 on hasCalculationCase, since this universal per-case rule does not independently require a calculation case to exist. Retain required-owner placement and evaluate each positive case through the ship-to-case relationship without turning non-positive or missing direction-selection evidence into a pass.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973fedf816491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RUN-I2-051-20260814T095729494729Z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RUN-I2-051-20260814T095729494729Z</x:v>
      </x:c>
      <x:c r="B5" s="69" t="str">
        <x:v>I2-051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urn:nltl:stress-shape:CalculationCaseShape, urn:nltl:stress-shape:DesignVerticalIceShearForceShape, urn:nltl:stress-shape:DimensionlessRatioShape, urn:nltl:stress-shape:ForceKiloNShape, urn:nltl:stress-shape:ForceMegaNShape, urn:nltl:stress-shape:LengthMetreShape
Semantic validator feedback: Replace the unapproved urn:nltl:stress-shape:* shape IRIs with permitted anonymous/approved SHACL shape nodes. Do not require every calculation case to have shearForceDirection positive: remove sh:hasValue nltl:positiveShearForce from the general calculation-case shape and apply the formula and Cf endpoint checks only to cases whose supplied direction is nltl:positiveShearForce. Remove sh:minCount 1 on hasCalculationCase, since this universal per-case rule does not independently require a calculation case to exist. Retain required-owner placement and evaluate each positive case through the ship-to-case relationship without turning non-positive or missing direction-selection evidence into a pass.</x:v>
      </x:c>
      <x:c r="I5" s="75" t="n">
        <x:v>29768.571</x:v>
      </x:c>
      <x:c r="J5" s="75" t="n">
        <x:v>9906.239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4fa756c3aa414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RUN-I2-051-20260814T095729494729Z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RUN-I2-051-20260814T095729494729Z</x:v>
      </x:c>
      <x:c r="C5" s="45" t="str">
        <x:v>I2-051</x:v>
      </x:c>
      <x:c r="D5" s="88" t="n">
        <x:v>46248.41526929398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29767.149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RUN-I2-051-20260814T095729494729Z</x:v>
      </x:c>
      <x:c r="C6" s="47" t="str">
        <x:v>I2-051</x:v>
      </x:c>
      <x:c r="D6" s="91" t="n">
        <x:v>46248.41526930556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29768.571</x:v>
      </x:c>
      <x:c r="L6" s="93" t="b">
        <x:v>0</x:v>
      </x:c>
      <x:c r="M6" s="47" t="str">
        <x:v>resp_0749d65896663260006a7ee6899f78819697ce0071cc73192d</x:v>
      </x:c>
      <x:c r="N6" s="59" t="n">
        <x:v>8862</x:v>
      </x:c>
      <x:c r="O6" s="59" t="n">
        <x:v>3127</x:v>
      </x:c>
      <x:c r="P6" s="59" t="n">
        <x:v>11989</x:v>
      </x:c>
    </x:row>
    <x:row r="7">
      <x:c r="A7" s="47" t="str">
        <x:v>EVT-000031</x:v>
      </x:c>
      <x:c r="B7" s="47" t="str">
        <x:v>RUN-I2-051-20260814T095729494729Z</x:v>
      </x:c>
      <x:c r="C7" s="47" t="str">
        <x:v>I2-051</x:v>
      </x:c>
      <x:c r="D7" s="91" t="n">
        <x:v>46248.415386354165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9904.419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EVT-000032</x:v>
      </x:c>
      <x:c r="B8" s="49" t="str">
        <x:v>RUN-I2-051-20260814T095729494729Z</x:v>
      </x:c>
      <x:c r="C8" s="49" t="str">
        <x:v>I2-051</x:v>
      </x:c>
      <x:c r="D8" s="94" t="n">
        <x:v>46248.41538637732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9906.239</x:v>
      </x:c>
      <x:c r="L8" s="96" t="b">
        <x:v>0</x:v>
      </x:c>
      <x:c r="M8" s="49" t="str">
        <x:v>resp_06eeef40884e65db006a7ee6a7a038819481a3bcac497f84c4</x:v>
      </x:c>
      <x:c r="N8" s="60" t="n">
        <x:v>9795</x:v>
      </x:c>
      <x:c r="O8" s="60" t="n">
        <x:v>675</x:v>
      </x:c>
      <x:c r="P8" s="60" t="n">
        <x:v>10470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8d81948b5b410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RUN-I2-051-20260814T095729494729Z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RUN-I2-051-20260814T095729494729Z</x:v>
      </x:c>
      <x:c r="B5" s="45" t="str">
        <x:v>I2-051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designVerticalIceShearForce; domain dependency of hullGirderPosition; domain dependency of longitudinalDistributionFactor; range dependency of shearForceDirectionValue</x:v>
      </x:c>
      <x:c r="J5" s="45" t="n">
        <x:v>0</x:v>
      </x:c>
    </x:row>
    <x:row r="6">
      <x:c r="A6" s="47" t="str">
        <x:v>RUN-I2-051-20260814T095729494729Z</x:v>
      </x:c>
      <x:c r="B6" s="47" t="str">
        <x:v>I2-051</x:v>
      </x:c>
      <x:c r="C6" s="47" t="str">
        <x:v>calculationCase</x:v>
      </x:c>
      <x:c r="D6" s="48" t="str">
        <x:v>https://w3id.org/nltl-benchmark/vocab#calculationCase</x:v>
      </x:c>
      <x:c r="E6" s="47" t="str">
        <x:v>Class</x:v>
      </x:c>
      <x:c r="F6" s="47" t="str"/>
      <x:c r="G6" s="47" t="str">
        <x:v>https://w3id.org/nltl-benchmark/vocab#benchmarkEntity</x:v>
      </x:c>
      <x:c r="H6" s="47" t="str"/>
      <x:c r="I6" s="48" t="str">
        <x:v>authoritative required owner class; domain dependency of hullGirderLongitudinalPositionFromAft; domain dependency of shearForceDirection; range dependency of hasCalculationCase</x:v>
      </x:c>
      <x:c r="J6" s="47" t="n">
        <x:v>0</x:v>
      </x:c>
    </x:row>
    <x:row r="7">
      <x:c r="A7" s="47" t="str">
        <x:v>RUN-I2-051-20260814T095729494729Z</x:v>
      </x:c>
      <x:c r="B7" s="47" t="str">
        <x:v>I2-051</x:v>
      </x:c>
      <x:c r="C7" s="47" t="str">
        <x:v>designVerticalIceForceAtBow</x:v>
      </x:c>
      <x:c r="D7" s="48" t="str">
        <x:v>https://w3id.org/nltl-benchmark/vocab#designVerticalIceForceAtBow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http://qudt.org/vocab/unit/MegaN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RUN-I2-051-20260814T095729494729Z</x:v>
      </x:c>
      <x:c r="B8" s="47" t="str">
        <x:v>I2-051</x:v>
      </x:c>
      <x:c r="C8" s="47" t="str">
        <x:v>designVerticalIceShearForce</x:v>
      </x:c>
      <x:c r="D8" s="48" t="str">
        <x:v>https://w3id.org/nltl-benchmark/vocab#designVerticalIceShearForce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RUN-I2-051-20260814T095729494729Z</x:v>
      </x:c>
      <x:c r="B9" s="47" t="str">
        <x:v>I2-051</x:v>
      </x:c>
      <x:c r="C9" s="47" t="str">
        <x:v>hasCalculationCase</x:v>
      </x:c>
      <x:c r="D9" s="48" t="str">
        <x:v>https://w3id.org/nltl-benchmark/vocab#hasCalculationCase</x:v>
      </x:c>
      <x:c r="E9" s="47" t="str">
        <x:v>ObjectProperty</x:v>
      </x:c>
      <x:c r="F9" s="47" t="str"/>
      <x:c r="G9" s="47" t="str">
        <x:v>https://w3id.org/nltl-benchmark/vocab#calculationCase</x:v>
      </x:c>
      <x:c r="H9" s="47" t="str"/>
      <x:c r="I9" s="48" t="str">
        <x:v>canonical path from target owner ship to required owner calculationCase; linked by the locked 313-requirement index</x:v>
      </x:c>
      <x:c r="J9" s="47" t="n">
        <x:v>0</x:v>
      </x:c>
    </x:row>
    <x:row r="10">
      <x:c r="A10" s="47" t="str">
        <x:v>RUN-I2-051-20260814T095729494729Z</x:v>
      </x:c>
      <x:c r="B10" s="47" t="str">
        <x:v>I2-051</x:v>
      </x:c>
      <x:c r="C10" s="47" t="str">
        <x:v>hasComponent</x:v>
      </x:c>
      <x:c r="D10" s="48" t="str">
        <x:v>https://w3id.org/nltl-benchmark/vocab#hasComponent</x:v>
      </x:c>
      <x:c r="E10" s="47" t="str">
        <x:v>ObjectProperty</x:v>
      </x:c>
      <x:c r="F10" s="47" t="str"/>
      <x:c r="G10" s="47" t="str">
        <x:v>https://w3id.org/nltl-benchmark/vocab#shipComponent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RUN-I2-051-20260814T095729494729Z</x:v>
      </x:c>
      <x:c r="B11" s="47" t="str">
        <x:v>I2-051</x:v>
      </x:c>
      <x:c r="C11" s="47" t="str">
        <x:v>hullGirderLongitudinalPositionFromAft</x:v>
      </x:c>
      <x:c r="D11" s="48" t="str">
        <x:v>https://w3id.org/nltl-benchmark/vocab#hullGirderLongitudinalPositionFromAft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RUN-I2-051-20260814T095729494729Z</x:v>
      </x:c>
      <x:c r="B12" s="47" t="str">
        <x:v>I2-051</x:v>
      </x:c>
      <x:c r="C12" s="47" t="str">
        <x:v>hullGirderPosition</x:v>
      </x:c>
      <x:c r="D12" s="48" t="str">
        <x:v>https://w3id.org/nltl-benchmark/vocab#hullGirderPosition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RUN-I2-051-20260814T095729494729Z</x:v>
      </x:c>
      <x:c r="B13" s="47" t="str">
        <x:v>I2-051</x:v>
      </x:c>
      <x:c r="C13" s="47" t="str">
        <x:v>longitudinalDistributionFactor</x:v>
      </x:c>
      <x:c r="D13" s="48" t="str">
        <x:v>https://w3id.org/nltl-benchmark/vocab#longitudinalDistributionFactor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RUN-I2-051-20260814T095729494729Z</x:v>
      </x:c>
      <x:c r="B14" s="47" t="str">
        <x:v>I2-051</x:v>
      </x:c>
      <x:c r="C14" s="47" t="str">
        <x:v>positiveShearForce</x:v>
      </x:c>
      <x:c r="D14" s="48" t="str">
        <x:v>https://w3id.org/nltl-benchmark/vocab#positiveShearForce</x:v>
      </x:c>
      <x:c r="E14" s="47" t="str">
        <x:v>NamedIndividual</x:v>
      </x:c>
      <x:c r="F14" s="47" t="str"/>
      <x:c r="G14" s="47" t="str">
        <x:v>https://w3id.org/nltl-benchmark/vocab#shearForceDirectionValue</x:v>
      </x:c>
      <x:c r="H14" s="47" t="str"/>
      <x:c r="I14" s="48" t="str">
        <x:v>controlled value permitted by the range of positiveShearForce; controlled value permitted by the range of shearForceDirection; linked by the locked 313-requirement index</x:v>
      </x:c>
      <x:c r="J14" s="47" t="n">
        <x:v>0</x:v>
      </x:c>
    </x:row>
    <x:row r="15">
      <x:c r="A15" s="47" t="str">
        <x:v>RUN-I2-051-20260814T095729494729Z</x:v>
      </x:c>
      <x:c r="B15" s="47" t="str">
        <x:v>I2-051</x:v>
      </x:c>
      <x:c r="C15" s="47" t="str">
        <x:v>shearForceDirection</x:v>
      </x:c>
      <x:c r="D15" s="48" t="str">
        <x:v>https://w3id.org/nltl-benchmark/vocab#shearForceDirection</x:v>
      </x:c>
      <x:c r="E15" s="47" t="str">
        <x:v>ObjectProperty</x:v>
      </x:c>
      <x:c r="F15" s="47" t="str"/>
      <x:c r="G15" s="47" t="str">
        <x:v>https://w3id.org/nltl-benchmark/vocab#shearForceDirectionValue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RUN-I2-051-20260814T095729494729Z</x:v>
      </x:c>
      <x:c r="B16" s="47" t="str">
        <x:v>I2-051</x:v>
      </x:c>
      <x:c r="C16" s="47" t="str">
        <x:v>shearForceDirectionValue</x:v>
      </x:c>
      <x:c r="D16" s="48" t="str">
        <x:v>https://w3id.org/nltl-benchmark/vocab#shearForceDirectionValue</x:v>
      </x:c>
      <x:c r="E16" s="47" t="str">
        <x:v>Class</x:v>
      </x:c>
      <x:c r="F16" s="47" t="str"/>
      <x:c r="G16" s="47" t="str">
        <x:v>https://w3id.org/nltl-benchmark/vocab#benchmarkEntity</x:v>
      </x:c>
      <x:c r="H16" s="47" t="str"/>
      <x:c r="I16" s="48" t="str">
        <x:v>linked by the locked 313-requirement index; range dependency of positiveShearForce; range dependency of shearForceDirection</x:v>
      </x:c>
      <x:c r="J16" s="47" t="n">
        <x:v>0</x:v>
      </x:c>
    </x:row>
    <x:row r="17">
      <x:c r="A17" s="47" t="str">
        <x:v>RUN-I2-051-20260814T095729494729Z</x:v>
      </x:c>
      <x:c r="B17" s="47" t="str">
        <x:v>I2-051</x:v>
      </x:c>
      <x:c r="C17" s="47" t="str">
        <x:v>ship</x:v>
      </x:c>
      <x:c r="D17" s="48" t="str">
        <x:v>https://w3id.org/nltl-benchmark/vocab#ship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designVerticalIceForceAtBow; domain dependency of hasCalculationCase; domain dependency of upperIceWaterlineLengthLUI</x:v>
      </x:c>
      <x:c r="J17" s="47" t="n">
        <x:v>0</x:v>
      </x:c>
    </x:row>
    <x:row r="18">
      <x:c r="A18" s="47" t="str">
        <x:v>RUN-I2-051-20260814T095729494729Z</x:v>
      </x:c>
      <x:c r="B18" s="47" t="str">
        <x:v>I2-051</x:v>
      </x:c>
      <x:c r="C18" s="47" t="str">
        <x:v>shipComponent</x:v>
      </x:c>
      <x:c r="D18" s="48" t="str">
        <x:v>https://w3id.org/nltl-benchmark/vocab#shipComponent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9" t="str">
        <x:v>RUN-I2-051-20260814T095729494729Z</x:v>
      </x:c>
      <x:c r="B19" s="49" t="str">
        <x:v>I2-051</x:v>
      </x:c>
      <x:c r="C19" s="49" t="str">
        <x:v>upperIceWaterlineLengthLUI</x:v>
      </x:c>
      <x:c r="D19" s="50" t="str">
        <x:v>https://w3id.org/nltl-benchmark/vocab#upperIceWaterlineLengthLUI</x:v>
      </x:c>
      <x:c r="E19" s="49" t="str">
        <x:v>QuantityProperty</x:v>
      </x:c>
      <x:c r="F19" s="49" t="str"/>
      <x:c r="G19" s="49" t="str">
        <x:v>http://qudt.org/schema/qudt/QuantityValue</x:v>
      </x:c>
      <x:c r="H19" s="49" t="str">
        <x:v>http://qudt.org/vocab/unit/M</x:v>
      </x:c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d998cda0b09437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RUN-I2-051-20260814T095729494729Z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RUN-I2-051-20260814T095729494729Z</x:v>
      </x:c>
      <x:c r="B5" s="45" t="str">
        <x:v>I2-051</x:v>
      </x:c>
      <x:c r="C5" s="45" t="str">
        <x:v>FS-CALC-02</x:v>
      </x:c>
      <x:c r="D5" s="45" t="str">
        <x:v>comparison_calculation</x:v>
      </x:c>
      <x:c r="E5" s="99" t="n">
        <x:v>0.08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RUN-I2-051-20260814T095729494729Z</x:v>
      </x:c>
      <x:c r="B6" s="49" t="str">
        <x:v>I2-051</x:v>
      </x:c>
      <x:c r="C6" s="49" t="str">
        <x:v>FS-QTY-01</x:v>
      </x:c>
      <x:c r="D6" s="49" t="str">
        <x:v>qudt_quantity</x:v>
      </x:c>
      <x:c r="E6" s="100" t="n">
        <x:v>0.039216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83f1a3cbc640e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RUN-I2-051-20260814T095729494729Z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RUN-I2-051-20260814T095729494729Z</x:v>
      </x:c>
      <x:c r="B5" s="69" t="str">
        <x:v>I2-051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urn:nltl:stress-shape:CalculationCaseShape, urn:nltl:stress-shape:DesignVerticalIceShearForceShape, urn:nltl:stress-shape:DimensionlessRatioShape, urn:nltl:stress-shape:ForceKiloNShape, urn:nltl:stress-shape:ForceMegaNShape, urn:nltl:stress-shape:LengthMetreShape</x:v>
      </x:c>
      <x:c r="M5" s="73" t="str"/>
      <x:c r="N5" s="73" t="str">
        <x:v>https://w3id.org/nltl-benchmark/vocab#calculationCase | https://w3id.org/nltl-benchmark/vocab#designVerticalIceForceAtBow | https://w3id.org/nltl-benchmark/vocab#designVerticalIceShearForce | https://w3id.org/nltl-benchmark/vocab#hasCalculationCase | https://w3id.org/nltl-benchmark/vocab#hullGirderLongitudinalPositionFromAft | https://w3id.org/nltl-benchmark/vocab#longitudinalDistributionFactor | https://w3id.org/nltl-benchmark/vocab#positiveShearForce | https://w3id.org/nltl-benchmark/vocab#shearForceDirection | https://w3id.org/nltl-benchmark/vocab#ship | https://w3id.org/nltl-benchmark/vocab#upperIceWaterlineLengthLUI</x:v>
      </x:c>
      <x:c r="O5" s="73" t="str"/>
      <x:c r="P5" s="73" t="str"/>
      <x:c r="Q5" s="73" t="str">
        <x:v>urn:nltl:stress-shape:CalculationCaseShape | urn:nltl:stress-shape:DesignVerticalIceShearForceShape | urn:nltl:stress-shape:DimensionlessRatioShape | urn:nltl:stress-shape:ForceKiloNShape | urn:nltl:stress-shape:ForceMegaNShape | urn:nltl:stress-shape:LengthMetreShape</x:v>
      </x:c>
    </x:row>
  </x:sheetData>
  <x:pageMargins left="0.7" right="0.7" top="0.75" bottom="0.75" header="0.3" footer="0.3"/>
  <x:tableParts count="1">
    <x:tablePart xmlns:r="http://schemas.openxmlformats.org/officeDocument/2006/relationships" r:id="R3b45bd96418f47f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RUN-I2-051-20260814T095729494729Z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RUN-I2-051-20260814T095729494729Z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RUN-I2-051-20260814T095729494729Z</x:v>
      </x:c>
      <x:c r="B5" s="45" t="str">
        <x:v>I2-051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c5cb5ea0360f04898e42410df125c4eec0f79d6441f0fb68db1f1ad1a4e2f5bb</x:v>
      </x:c>
      <x:c r="G5" s="58" t="n">
        <x:v>21975</x:v>
      </x:c>
    </x:row>
    <x:row r="6">
      <x:c r="A6" s="47" t="str">
        <x:v>RUN-I2-051-20260814T095729494729Z</x:v>
      </x:c>
      <x:c r="B6" s="47" t="str">
        <x:v>I2-051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c2596224f5162cd26e07cd64e5a31149c2df150008292fcc928a0fc62ad4e6ed</x:v>
      </x:c>
      <x:c r="G6" s="59" t="n">
        <x:v>5361</x:v>
      </x:c>
    </x:row>
    <x:row r="7">
      <x:c r="A7" s="47" t="str">
        <x:v>RUN-I2-051-20260814T095729494729Z</x:v>
      </x:c>
      <x:c r="B7" s="47" t="str">
        <x:v>I2-051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d3176390ae4801ce8601f6f67dea46a43fc0a52dd5ffe21732d8e91924216bd5</x:v>
      </x:c>
      <x:c r="G7" s="59" t="n">
        <x:v>35970</x:v>
      </x:c>
    </x:row>
    <x:row r="8">
      <x:c r="A8" s="47" t="str">
        <x:v>RUN-I2-051-20260814T095729494729Z</x:v>
      </x:c>
      <x:c r="B8" s="47" t="str">
        <x:v>I2-051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db46e397aaea457470c7661812f8ec662c275625aa876938b6cb80c1c9e9c6ce</x:v>
      </x:c>
      <x:c r="G8" s="59" t="n">
        <x:v>5849</x:v>
      </x:c>
    </x:row>
    <x:row r="9">
      <x:c r="A9" s="47" t="str">
        <x:v>RUN-I2-051-20260814T095729494729Z</x:v>
      </x:c>
      <x:c r="B9" s="47" t="str">
        <x:v>I2-051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7f861dde045d213ade0c25dd24c7c89c7210420319793c6895ee67f11c207328</x:v>
      </x:c>
      <x:c r="G9" s="59" t="n">
        <x:v>5824</x:v>
      </x:c>
    </x:row>
    <x:row r="10">
      <x:c r="A10" s="47" t="str">
        <x:v>RUN-I2-051-20260814T095729494729Z</x:v>
      </x:c>
      <x:c r="B10" s="47" t="str">
        <x:v>I2-051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43951d5bdda5a188e5767f983762a6926233e0a7658cf8a589dc815614fd88dd</x:v>
      </x:c>
      <x:c r="G10" s="59" t="n">
        <x:v>1686</x:v>
      </x:c>
    </x:row>
    <x:row r="11">
      <x:c r="A11" s="47" t="str">
        <x:v>RUN-I2-051-20260814T095729494729Z</x:v>
      </x:c>
      <x:c r="B11" s="47" t="str">
        <x:v>I2-051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5358f4eb20028027593483adec3bcafb329184f20cda16b6d3f694ca5cd99008</x:v>
      </x:c>
      <x:c r="G11" s="59" t="n">
        <x:v>37782</x:v>
      </x:c>
    </x:row>
    <x:row r="12">
      <x:c r="A12" s="49" t="str">
        <x:v>RUN-I2-051-20260814T095729494729Z</x:v>
      </x:c>
      <x:c r="B12" s="49" t="str">
        <x:v>I2-051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2d3b3b15d9497783d2482d6a45e0db123760fcd6108b624840b69ac72e28d71d</x:v>
      </x:c>
      <x:c r="G12" s="60" t="n">
        <x:v>768</x:v>
      </x:c>
    </x:row>
  </x:sheetData>
  <x:pageMargins left="0.7" right="0.7" top="0.75" bottom="0.75" header="0.3" footer="0.3"/>
  <x:tableParts count="1">
    <x:tablePart xmlns:r="http://schemas.openxmlformats.org/officeDocument/2006/relationships" r:id="R48ecf08bfe9542a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RUN-I2-051-20260814T095729494729Z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RUN-I2-051-20260814T095729494729Z</x:v>
      </x:c>
      <x:c r="B5" s="69" t="str">
        <x:v>I2-051</x:v>
      </x:c>
      <x:c r="C5" s="71" t="n">
        <x:v>1</x:v>
      </x:c>
      <x:c r="D5" s="69" t="str">
        <x:v>MAX_ATTEMPTS_REACHED</x:v>
      </x:c>
      <x:c r="E5" s="73" t="str">
        <x:v>Replace the unapproved urn:nltl:stress-shape:* shape IRIs with permitted anonymous/approved SHACL shape nodes. Do not require every calculation case to have shearForceDirection positive: remove sh:hasValue nltl:positiveShearForce from the general calculation-case shape and apply the formula and Cf endpoint checks only to cases whose supplied direction is nltl:positiveShearForce. Remove sh:minCount 1 on hasCalculationCase, since this universal per-case rule does not independently require a calculation case to exist. Retain required-owner placement and evaluate each positive case through the ship-to-case relationship without turning non-positive or missing direction-selection evidence into a pass.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97f8654db6437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RUN-I2-051-20260814T095729494729Z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