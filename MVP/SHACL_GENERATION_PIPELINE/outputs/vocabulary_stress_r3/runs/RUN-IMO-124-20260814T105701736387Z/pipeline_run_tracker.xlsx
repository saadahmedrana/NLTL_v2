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d19eb061814c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dedb1988b64ec0"/>
    <x:sheet xmlns:r="http://schemas.openxmlformats.org/officeDocument/2006/relationships" name="README" sheetId="2" r:id="Re357c415ccff4d68"/>
    <x:sheet xmlns:r="http://schemas.openxmlformats.org/officeDocument/2006/relationships" name="REGULATION_QUEUE" sheetId="3" r:id="R720357ee7dac4822"/>
    <x:sheet xmlns:r="http://schemas.openxmlformats.org/officeDocument/2006/relationships" name="RUNS" sheetId="4" r:id="R0070ce8b57d34b34"/>
    <x:sheet xmlns:r="http://schemas.openxmlformats.org/officeDocument/2006/relationships" name="ITERATIONS" sheetId="5" r:id="Rfcbe0b84050c4aa8"/>
    <x:sheet xmlns:r="http://schemas.openxmlformats.org/officeDocument/2006/relationships" name="API_CALLS" sheetId="6" r:id="R5c943cfe379443f6"/>
    <x:sheet xmlns:r="http://schemas.openxmlformats.org/officeDocument/2006/relationships" name="TERM_RETRIEVAL" sheetId="7" r:id="Rc6a9bd5add43486d"/>
    <x:sheet xmlns:r="http://schemas.openxmlformats.org/officeDocument/2006/relationships" name="FEW_SHOT_SELECTION" sheetId="8" r:id="Rd56f87e52b9e4da2"/>
    <x:sheet xmlns:r="http://schemas.openxmlformats.org/officeDocument/2006/relationships" name="VALIDATION" sheetId="9" r:id="R7a5e7328ee194a1a"/>
    <x:sheet xmlns:r="http://schemas.openxmlformats.org/officeDocument/2006/relationships" name="VOCAB_MATCHES" sheetId="10" r:id="Rbdc04658b8b647c3"/>
    <x:sheet xmlns:r="http://schemas.openxmlformats.org/officeDocument/2006/relationships" name="ARTIFACTS" sheetId="11" r:id="Rb1d0ee17f36e46c3"/>
    <x:sheet xmlns:r="http://schemas.openxmlformats.org/officeDocument/2006/relationships" name="UNRESOLVED" sheetId="12" r:id="R0e433fe26b35443c"/>
    <x:sheet xmlns:r="http://schemas.openxmlformats.org/officeDocument/2006/relationships" name="RDF_TEST_QUEUE" sheetId="13" r:id="R4de4438a9062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4434f6909459b" /><Relationship Type="http://schemas.openxmlformats.org/officeDocument/2006/relationships/theme" Target="/xl/theme/theme1.xml" Id="R0cb2371cdda54b3e" /><Relationship Type="http://schemas.microsoft.com/office/2022/11/relationships/FeaturePropertyBag" Target="/xl/featurePropertyBag/featurePropertyBag.xml" Id="Racdea1ef9ad84149" /><Relationship Type="http://schemas.openxmlformats.org/officeDocument/2006/relationships/sharedStrings" Target="/xl/sharedStrings.xml" Id="R4d8a7bab2f6545b4" /><Relationship Type="http://schemas.openxmlformats.org/officeDocument/2006/relationships/worksheet" Target="/xl/worksheets/sheet1.xml" Id="R28dedb1988b64ec0" /><Relationship Type="http://schemas.openxmlformats.org/officeDocument/2006/relationships/worksheet" Target="/xl/worksheets/sheet2.xml" Id="Re357c415ccff4d68" /><Relationship Type="http://schemas.openxmlformats.org/officeDocument/2006/relationships/worksheet" Target="/xl/worksheets/sheet3.xml" Id="R720357ee7dac4822" /><Relationship Type="http://schemas.openxmlformats.org/officeDocument/2006/relationships/worksheet" Target="/xl/worksheets/sheet4.xml" Id="R0070ce8b57d34b34" /><Relationship Type="http://schemas.openxmlformats.org/officeDocument/2006/relationships/worksheet" Target="/xl/worksheets/sheet5.xml" Id="Rfcbe0b84050c4aa8" /><Relationship Type="http://schemas.openxmlformats.org/officeDocument/2006/relationships/worksheet" Target="/xl/worksheets/sheet6.xml" Id="R5c943cfe379443f6" /><Relationship Type="http://schemas.openxmlformats.org/officeDocument/2006/relationships/worksheet" Target="/xl/worksheets/sheet7.xml" Id="Rc6a9bd5add43486d" /><Relationship Type="http://schemas.openxmlformats.org/officeDocument/2006/relationships/worksheet" Target="/xl/worksheets/sheet8.xml" Id="Rd56f87e52b9e4da2" /><Relationship Type="http://schemas.openxmlformats.org/officeDocument/2006/relationships/worksheet" Target="/xl/worksheets/sheet9.xml" Id="R7a5e7328ee194a1a" /><Relationship Type="http://schemas.openxmlformats.org/officeDocument/2006/relationships/worksheet" Target="/xl/worksheets/sheet10.xml" Id="Rbdc04658b8b647c3" /><Relationship Type="http://schemas.openxmlformats.org/officeDocument/2006/relationships/worksheet" Target="/xl/worksheets/sheet11.xml" Id="Rb1d0ee17f36e46c3" /><Relationship Type="http://schemas.openxmlformats.org/officeDocument/2006/relationships/worksheet" Target="/xl/worksheets/sheet12.xml" Id="R0e433fe26b35443c" /><Relationship Type="http://schemas.openxmlformats.org/officeDocument/2006/relationships/worksheet" Target="/xl/worksheets/sheet13.xml" Id="R4de4438a906247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a1f9920ad74c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1d73e927ef44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a12afb995648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6b1d046a4e48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eb6c909cde45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a082e8cdee49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7c19520e1243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d7c676df1c4e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25c7b9019b4c9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c4456584f7d44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RUN-IMO-124-20260814T105701736387Z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20129.516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RUN-IMO-124-20260814T105701736387Z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a1f9920ad74c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RUN-IMO-124-20260814T105701736387Z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MAX_ATTEMPTS_REACHED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d73e927ef44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RUN-IMO-124-20260814T105701736387Z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RUN-IMO-124-20260814T105701736387Z</x:v>
      </x:c>
      <x:c r="C5" s="69" t="str">
        <x:v>IMO-124</x:v>
      </x:c>
      <x:c r="D5" s="70" t="n">
        <x:v>46248.45627012732</x:v>
      </x:c>
      <x:c r="E5" s="70" t="n">
        <x:v>46248.45673929398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inverted sh:or logic: the second branch currently reports violations for non-applicable cases while allowing applicable cases with failed consequences to pass. Require the declared applicability selectors as evidence, and add a violation only when operatingArea/antarcticArea select Antarctic_area and the MARPOL discharge is true but any required consequence fails. In that applicable branch enforce distanceToNearestFastIce &gt;= 12 nmi, recorded distanceFromAreaWithIceConcentrationAboveOneTenth, the &gt;0.1 unitless nearbyIceConcentration operand, and foodWasteDischargeOntoIce=false; do not make these consequences an alternative that non-applicable ships must satisfy. Also replace the unapproved generated node-shape IRI with an approved shape identifier.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a12afb995648e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RUN-IMO-124-20260814T105701736387Z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RUN-IMO-124-20260814T105701736387Z</x:v>
      </x:c>
      <x:c r="B5" s="69" t="str">
        <x:v>IMO-124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urn:nltl:stress-shape:IMO124Shape
Semantic validator feedback: Replace the inverted sh:or logic: the second branch currently reports violations for non-applicable cases while allowing applicable cases with failed consequences to pass. Require the declared applicability selectors as evidence, and add a violation only when operatingArea/antarcticArea select Antarctic_area and the MARPOL discharge is true but any required consequence fails. In that applicable branch enforce distanceToNearestFastIce &gt;= 12 nmi, recorded distanceFromAreaWithIceConcentrationAboveOneTenth, the &gt;0.1 unitless nearbyIceConcentration operand, and foodWasteDischargeOntoIce=false; do not make these consequences an alternative that non-applicable ships must satisfy. Also replace the unapproved generated node-shape IRI with an approved shape identifier.</x:v>
      </x:c>
      <x:c r="I5" s="75" t="n">
        <x:v>30692.073</x:v>
      </x:c>
      <x:c r="J5" s="75" t="n">
        <x:v>9568.744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6b1d046a4e48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RUN-IMO-124-20260814T105701736387Z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RUN-IMO-124-20260814T105701736387Z</x:v>
      </x:c>
      <x:c r="C5" s="45" t="str">
        <x:v>IMO-124</x:v>
      </x:c>
      <x:c r="D5" s="88" t="n">
        <x:v>46248.45662537037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30690.224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RUN-IMO-124-20260814T105701736387Z</x:v>
      </x:c>
      <x:c r="C6" s="47" t="str">
        <x:v>IMO-124</x:v>
      </x:c>
      <x:c r="D6" s="91" t="n">
        <x:v>46248.45662539352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30692.073</x:v>
      </x:c>
      <x:c r="L6" s="93" t="b">
        <x:v>0</x:v>
      </x:c>
      <x:c r="M6" s="47" t="str">
        <x:v>resp_021d0fa69b3a6fb1006a7ef47ddc088193bc2fcd2be52ea6e6</x:v>
      </x:c>
      <x:c r="N6" s="59" t="n">
        <x:v>7932</x:v>
      </x:c>
      <x:c r="O6" s="59" t="n">
        <x:v>3263</x:v>
      </x:c>
      <x:c r="P6" s="59" t="n">
        <x:v>11195</x:v>
      </x:c>
    </x:row>
    <x:row r="7">
      <x:c r="A7" s="47" t="str">
        <x:v>EVT-000026</x:v>
      </x:c>
      <x:c r="B7" s="47" t="str">
        <x:v>RUN-IMO-124-20260814T105701736387Z</x:v>
      </x:c>
      <x:c r="C7" s="47" t="str">
        <x:v>IMO-124</x:v>
      </x:c>
      <x:c r="D7" s="91" t="n">
        <x:v>46248.45673922454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9567.023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RUN-IMO-124-20260814T105701736387Z</x:v>
      </x:c>
      <x:c r="C8" s="49" t="str">
        <x:v>IMO-124</x:v>
      </x:c>
      <x:c r="D8" s="94" t="n">
        <x:v>46248.45673924768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9568.744</x:v>
      </x:c>
      <x:c r="L8" s="96" t="b">
        <x:v>0</x:v>
      </x:c>
      <x:c r="M8" s="49" t="str">
        <x:v>resp_0905a3484ca70b3d006a7ef49db4488193972976911cde28fb</x:v>
      </x:c>
      <x:c r="N8" s="60" t="n">
        <x:v>7811</x:v>
      </x:c>
      <x:c r="O8" s="60" t="n">
        <x:v>686</x:v>
      </x:c>
      <x:c r="P8" s="60" t="n">
        <x:v>8497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b6c909cde45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RUN-IMO-124-20260814T105701736387Z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RUN-IMO-124-20260814T105701736387Z</x:v>
      </x:c>
      <x:c r="B5" s="45" t="str">
        <x:v>IMO-124</x:v>
      </x:c>
      <x:c r="C5" s="45" t="str">
        <x:v>antarcticArea</x:v>
      </x:c>
      <x:c r="D5" s="46" t="str">
        <x:v>https://w3id.org/nltl-benchmark/vocab#antarcticArea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RUN-IMO-124-20260814T105701736387Z</x:v>
      </x:c>
      <x:c r="B6" s="47" t="str">
        <x:v>IMO-124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RUN-IMO-124-20260814T105701736387Z</x:v>
      </x:c>
      <x:c r="B7" s="47" t="str">
        <x:v>IMO-124</x:v>
      </x:c>
      <x:c r="C7" s="47" t="str">
        <x:v>distanceFromAreaWithIceConcentrationAboveOneTenth</x:v>
      </x:c>
      <x:c r="D7" s="48" t="str">
        <x:v>https://w3id.org/nltl-benchmark/vocab#distanceFromAreaWithIceConcentrationAboveOneTenth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RUN-IMO-124-20260814T105701736387Z</x:v>
      </x:c>
      <x:c r="B8" s="47" t="str">
        <x:v>IMO-124</x:v>
      </x:c>
      <x:c r="C8" s="47" t="str">
        <x:v>distanceToNearestFastIce</x:v>
      </x:c>
      <x:c r="D8" s="48" t="str">
        <x:v>https://w3id.org/nltl-benchmark/vocab#distanceToNearestFastIce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RUN-IMO-124-20260814T105701736387Z</x:v>
      </x:c>
      <x:c r="B9" s="47" t="str">
        <x:v>IMO-124</x:v>
      </x:c>
      <x:c r="C9" s="47" t="str">
        <x:v>foodWasteDischargeOntoIce</x:v>
      </x:c>
      <x:c r="D9" s="48" t="str">
        <x:v>https://w3id.org/nltl-benchmark/vocab#foodWasteDischargeOntoIce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RUN-IMO-124-20260814T105701736387Z</x:v>
      </x:c>
      <x:c r="B10" s="47" t="str">
        <x:v>IMO-124</x:v>
      </x:c>
      <x:c r="C10" s="47" t="str">
        <x:v>iceConcentration</x:v>
      </x:c>
      <x:c r="D10" s="48" t="str">
        <x:v>https://w3id.org/nltl-benchmark/vocab#iceConcentration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RUN-IMO-124-20260814T105701736387Z</x:v>
      </x:c>
      <x:c r="B11" s="47" t="str">
        <x:v>IMO-124</x:v>
      </x:c>
      <x:c r="C11" s="47" t="str">
        <x:v>marpolAnnexVRegulation6Point1DischargeOccurs</x:v>
      </x:c>
      <x:c r="D11" s="48" t="str">
        <x:v>https://w3id.org/nltl-benchmark/vocab#marpolAnnexVRegulation6Point1DischargeOccurs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RUN-IMO-124-20260814T105701736387Z</x:v>
      </x:c>
      <x:c r="B12" s="47" t="str">
        <x:v>IMO-124</x:v>
      </x:c>
      <x:c r="C12" s="47" t="str">
        <x:v>nearbyIceConcentration</x:v>
      </x:c>
      <x:c r="D12" s="48" t="str">
        <x:v>https://w3id.org/nltl-benchmark/vocab#nearbyIceConcentration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RUN-IMO-124-20260814T105701736387Z</x:v>
      </x:c>
      <x:c r="B13" s="47" t="str">
        <x:v>IMO-124</x:v>
      </x:c>
      <x:c r="C13" s="47" t="str">
        <x:v>operatingArea</x:v>
      </x:c>
      <x:c r="D13" s="48" t="str">
        <x:v>https://w3id.org/nltl-benchmark/vocab#operatingArea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RUN-IMO-124-20260814T105701736387Z</x:v>
      </x:c>
      <x:c r="B14" s="49" t="str">
        <x:v>IMO-124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a082e8cdee49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RUN-IMO-124-20260814T105701736387Z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RUN-IMO-124-20260814T105701736387Z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RUN-IMO-124-20260814T105701736387Z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7c19520e1243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RUN-IMO-124-20260814T105701736387Z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RUN-IMO-124-20260814T105701736387Z</x:v>
      </x:c>
      <x:c r="B5" s="69" t="str">
        <x:v>IMO-124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urn:nltl:stress-shape:IMO124Shape</x:v>
      </x:c>
      <x:c r="M5" s="73" t="str"/>
      <x:c r="N5" s="73" t="str">
        <x:v>https://w3id.org/nltl-benchmark/vocab#antarcticArea | https://w3id.org/nltl-benchmark/vocab#distanceFromAreaWithIceConcentrationAboveOneTenth | https://w3id.org/nltl-benchmark/vocab#distanceToNearestFastIce | https://w3id.org/nltl-benchmark/vocab#foodWasteDischargeOntoIce | https://w3id.org/nltl-benchmark/vocab#marpolAnnexVRegulation6Point1DischargeOccurs | https://w3id.org/nltl-benchmark/vocab#nearbyIceConcentration | https://w3id.org/nltl-benchmark/vocab#operatingArea | https://w3id.org/nltl-benchmark/vocab#ship</x:v>
      </x:c>
      <x:c r="O5" s="73" t="str"/>
      <x:c r="P5" s="73" t="str"/>
      <x:c r="Q5" s="73" t="str">
        <x:v>urn:nltl:stress-shape:IMO124Shape</x:v>
      </x:c>
    </x:row>
  </x:sheetData>
  <x:pageMargins left="0.7" right="0.7" top="0.75" bottom="0.75" header="0.3" footer="0.3"/>
  <x:tableParts count="1">
    <x:tablePart xmlns:r="http://schemas.openxmlformats.org/officeDocument/2006/relationships" r:id="Rced7c676df1c4e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RUN-IMO-124-20260814T105701736387Z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RUN-IMO-124-20260814T105701736387Z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RUN-IMO-124-20260814T105701736387Z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0601cafa2e694b3983757967fdc434338262ec20651fa94fde1672abcf0ff7cd</x:v>
      </x:c>
      <x:c r="G5" s="58" t="n">
        <x:v>16554</x:v>
      </x:c>
    </x:row>
    <x:row r="6">
      <x:c r="A6" s="47" t="str">
        <x:v>RUN-IMO-124-20260814T105701736387Z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aeaba083056136ff933cb048c207460bbae92848dad5d3d86d85f131f9873060</x:v>
      </x:c>
      <x:c r="G6" s="59" t="n">
        <x:v>6289</x:v>
      </x:c>
    </x:row>
    <x:row r="7">
      <x:c r="A7" s="47" t="str">
        <x:v>RUN-IMO-124-20260814T105701736387Z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fc1505093ed632318e5b88d0650a2e7742ab7aa3765c206e6430bf43c9461878</x:v>
      </x:c>
      <x:c r="G7" s="59" t="n">
        <x:v>31537</x:v>
      </x:c>
    </x:row>
    <x:row r="8">
      <x:c r="A8" s="47" t="str">
        <x:v>RUN-IMO-124-20260814T105701736387Z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1c3e43ce66d2eab990cebb72a452d204f794bc7ab98d51f68ae8a5b13d2ff6a6</x:v>
      </x:c>
      <x:c r="G8" s="59" t="n">
        <x:v>6631</x:v>
      </x:c>
    </x:row>
    <x:row r="9">
      <x:c r="A9" s="47" t="str">
        <x:v>RUN-IMO-124-20260814T105701736387Z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1a770d3f74a08d1174b6bb043787303288f3fce7856f6c65ab2db4634918760e</x:v>
      </x:c>
      <x:c r="G9" s="59" t="n">
        <x:v>6606</x:v>
      </x:c>
    </x:row>
    <x:row r="10">
      <x:c r="A10" s="47" t="str">
        <x:v>RUN-IMO-124-20260814T105701736387Z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d41dd11375213dad4cd154da23f055ee8315b1abd88ce2d2e78dde9b99a28ab6</x:v>
      </x:c>
      <x:c r="G10" s="59" t="n">
        <x:v>1077</x:v>
      </x:c>
    </x:row>
    <x:row r="11">
      <x:c r="A11" s="47" t="str">
        <x:v>RUN-IMO-124-20260814T105701736387Z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93675dc3e2282d000848211cef6873b5e62299a7451412fc75a95e8589cbdee0</x:v>
      </x:c>
      <x:c r="G11" s="59" t="n">
        <x:v>31957</x:v>
      </x:c>
    </x:row>
    <x:row r="12">
      <x:c r="A12" s="49" t="str">
        <x:v>RUN-IMO-124-20260814T105701736387Z</x:v>
      </x:c>
      <x:c r="B12" s="49" t="str">
        <x:v>IMO-124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19005264b599f32944339b937e0996da7f3140b59ebfd937f6b88c4016cbada4</x:v>
      </x:c>
      <x:c r="G12" s="60" t="n">
        <x:v>833</x:v>
      </x:c>
    </x:row>
  </x:sheetData>
  <x:pageMargins left="0.7" right="0.7" top="0.75" bottom="0.75" header="0.3" footer="0.3"/>
  <x:tableParts count="1">
    <x:tablePart xmlns:r="http://schemas.openxmlformats.org/officeDocument/2006/relationships" r:id="R1125c7b9019b4c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RUN-IMO-124-20260814T105701736387Z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RUN-IMO-124-20260814T105701736387Z</x:v>
      </x:c>
      <x:c r="B5" s="69" t="str">
        <x:v>IMO-124</x:v>
      </x:c>
      <x:c r="C5" s="71" t="n">
        <x:v>1</x:v>
      </x:c>
      <x:c r="D5" s="69" t="str">
        <x:v>MAX_ATTEMPTS_REACHED</x:v>
      </x:c>
      <x:c r="E5" s="73" t="str">
        <x:v>Replace the inverted sh:or logic: the second branch currently reports violations for non-applicable cases while allowing applicable cases with failed consequences to pass. Require the declared applicability selectors as evidence, and add a violation only when operatingArea/antarcticArea select Antarctic_area and the MARPOL discharge is true but any required consequence fails. In that applicable branch enforce distanceToNearestFastIce &gt;= 12 nmi, recorded distanceFromAreaWithIceConcentrationAboveOneTenth, the &gt;0.1 unitless nearbyIceConcentration operand, and foodWasteDischargeOntoIce=false; do not make these consequences an alternative that non-applicable ships must satisfy. Also replace the unapproved generated node-shape IRI with an approved shape identifier.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4456584f7d443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RUN-IMO-124-20260814T105701736387Z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