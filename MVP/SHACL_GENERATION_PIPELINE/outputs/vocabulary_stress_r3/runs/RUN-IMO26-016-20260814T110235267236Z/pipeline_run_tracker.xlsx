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8c31f941e4b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5d45b46f574d5c"/>
    <x:sheet xmlns:r="http://schemas.openxmlformats.org/officeDocument/2006/relationships" name="README" sheetId="2" r:id="Rec425c13b2cb4e9d"/>
    <x:sheet xmlns:r="http://schemas.openxmlformats.org/officeDocument/2006/relationships" name="REGULATION_QUEUE" sheetId="3" r:id="R931cfb2b9fc9434f"/>
    <x:sheet xmlns:r="http://schemas.openxmlformats.org/officeDocument/2006/relationships" name="RUNS" sheetId="4" r:id="R917cc3e449334d29"/>
    <x:sheet xmlns:r="http://schemas.openxmlformats.org/officeDocument/2006/relationships" name="ITERATIONS" sheetId="5" r:id="R1aa1c8ffa78c4992"/>
    <x:sheet xmlns:r="http://schemas.openxmlformats.org/officeDocument/2006/relationships" name="API_CALLS" sheetId="6" r:id="R31232b1c93c24287"/>
    <x:sheet xmlns:r="http://schemas.openxmlformats.org/officeDocument/2006/relationships" name="TERM_RETRIEVAL" sheetId="7" r:id="Rdee3c3e13a0a4a48"/>
    <x:sheet xmlns:r="http://schemas.openxmlformats.org/officeDocument/2006/relationships" name="FEW_SHOT_SELECTION" sheetId="8" r:id="R898764fdd5a14bfe"/>
    <x:sheet xmlns:r="http://schemas.openxmlformats.org/officeDocument/2006/relationships" name="VALIDATION" sheetId="9" r:id="Rf9f2e17bf83a40e9"/>
    <x:sheet xmlns:r="http://schemas.openxmlformats.org/officeDocument/2006/relationships" name="VOCAB_MATCHES" sheetId="10" r:id="R54b7346a99a944a1"/>
    <x:sheet xmlns:r="http://schemas.openxmlformats.org/officeDocument/2006/relationships" name="ARTIFACTS" sheetId="11" r:id="R1af0076a447445b4"/>
    <x:sheet xmlns:r="http://schemas.openxmlformats.org/officeDocument/2006/relationships" name="UNRESOLVED" sheetId="12" r:id="R836405ec0f3747ad"/>
    <x:sheet xmlns:r="http://schemas.openxmlformats.org/officeDocument/2006/relationships" name="RDF_TEST_QUEUE" sheetId="13" r:id="R170ba67ed0804f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5452b620c14819" /><Relationship Type="http://schemas.openxmlformats.org/officeDocument/2006/relationships/theme" Target="/xl/theme/theme1.xml" Id="Raa7b5082f4154ab8" /><Relationship Type="http://schemas.microsoft.com/office/2022/11/relationships/FeaturePropertyBag" Target="/xl/featurePropertyBag/featurePropertyBag.xml" Id="R63d6ca0a58114b17" /><Relationship Type="http://schemas.openxmlformats.org/officeDocument/2006/relationships/sharedStrings" Target="/xl/sharedStrings.xml" Id="Rd2203f98a8024073" /><Relationship Type="http://schemas.openxmlformats.org/officeDocument/2006/relationships/worksheet" Target="/xl/worksheets/sheet1.xml" Id="Rf55d45b46f574d5c" /><Relationship Type="http://schemas.openxmlformats.org/officeDocument/2006/relationships/worksheet" Target="/xl/worksheets/sheet2.xml" Id="Rec425c13b2cb4e9d" /><Relationship Type="http://schemas.openxmlformats.org/officeDocument/2006/relationships/worksheet" Target="/xl/worksheets/sheet3.xml" Id="R931cfb2b9fc9434f" /><Relationship Type="http://schemas.openxmlformats.org/officeDocument/2006/relationships/worksheet" Target="/xl/worksheets/sheet4.xml" Id="R917cc3e449334d29" /><Relationship Type="http://schemas.openxmlformats.org/officeDocument/2006/relationships/worksheet" Target="/xl/worksheets/sheet5.xml" Id="R1aa1c8ffa78c4992" /><Relationship Type="http://schemas.openxmlformats.org/officeDocument/2006/relationships/worksheet" Target="/xl/worksheets/sheet6.xml" Id="R31232b1c93c24287" /><Relationship Type="http://schemas.openxmlformats.org/officeDocument/2006/relationships/worksheet" Target="/xl/worksheets/sheet7.xml" Id="Rdee3c3e13a0a4a48" /><Relationship Type="http://schemas.openxmlformats.org/officeDocument/2006/relationships/worksheet" Target="/xl/worksheets/sheet8.xml" Id="R898764fdd5a14bfe" /><Relationship Type="http://schemas.openxmlformats.org/officeDocument/2006/relationships/worksheet" Target="/xl/worksheets/sheet9.xml" Id="Rf9f2e17bf83a40e9" /><Relationship Type="http://schemas.openxmlformats.org/officeDocument/2006/relationships/worksheet" Target="/xl/worksheets/sheet10.xml" Id="R54b7346a99a944a1" /><Relationship Type="http://schemas.openxmlformats.org/officeDocument/2006/relationships/worksheet" Target="/xl/worksheets/sheet11.xml" Id="R1af0076a447445b4" /><Relationship Type="http://schemas.openxmlformats.org/officeDocument/2006/relationships/worksheet" Target="/xl/worksheets/sheet12.xml" Id="R836405ec0f3747ad" /><Relationship Type="http://schemas.openxmlformats.org/officeDocument/2006/relationships/worksheet" Target="/xl/worksheets/sheet13.xml" Id="R170ba67ed0804f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e0a63d31774c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1298308ffe41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b48e4d74b34a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2bb244576348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5b4c82ebd149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c36b92badd049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ce401b0436144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39aa72ab7d940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7dd4533fa3c41d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d3bff1f3c764c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RUN-IMO26-016-20260814T110235267236Z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12620.58925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RUN-IMO26-016-20260814T110235267236Z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de0a63d31774c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RUN-IMO26-016-20260814T110235267236Z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MAX_ATTEMPTS_REACHED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1298308ffe41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RUN-IMO26-016-20260814T110235267236Z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RUN-IMO26-016-20260814T110235267236Z</x:v>
      </x:c>
      <x:c r="C5" s="69" t="str">
        <x:v>IMO26-016</x:v>
      </x:c>
      <x:c r="D5" s="70" t="n">
        <x:v>46248.460130416664</x:v>
      </x:c>
      <x:c r="E5" s="70" t="n">
        <x:v>46248.46042278935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Fix the Turtle syntax by closing the sh:or RDF list with ')' before the final '.', then recast the logic as an implication: pass when NOT (operatesInPolarWaters=true AND any of the three qualifying type/threshold predicates holds) OR require polarCodeChapter11Dash1Applicable=true. The current sh:or wrongly rejects polar-water ships outside all three listed categories, although the requirement imposes no chapter-11-1 applicability conclusion for them.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b48e4d74b34a1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RUN-IMO26-016-20260814T110235267236Z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RUN-IMO26-016-20260814T110235267236Z</x:v>
      </x:c>
      <x:c r="B5" s="69" t="str">
        <x:v>IMO26-016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Turtle parse error: at line 154 of &lt;&gt;:
Bad syntax (expected item in list or ')') at ^ in:
"...b'age operating in polar waters."\n            ]\n        ]\n    '^b'] .\n'"
Semantic validator feedback: Fix the Turtle syntax by closing the sh:or RDF list with ')' before the final '.', then recast the logic as an implication: pass when NOT (operatesInPolarWaters=true AND any of the three qualifying type/threshold predicates holds) OR require polarCodeChapter11Dash1Applicable=true. The current sh:or wrongly rejects polar-water ships outside all three listed categories, although the requirement imposes no chapter-11-1 applicability conclusion for them.</x:v>
      </x:c>
      <x:c r="I5" s="75" t="n">
        <x:v>20339.241</x:v>
      </x:c>
      <x:c r="J5" s="75" t="n">
        <x:v>4903.607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2bb2445763485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RUN-IMO26-016-20260814T110235267236Z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RUN-IMO26-016-20260814T110235267236Z</x:v>
      </x:c>
      <x:c r="C5" s="45" t="str">
        <x:v>IMO26-016</x:v>
      </x:c>
      <x:c r="D5" s="88" t="n">
        <x:v>46248.460365833336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20337.492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RUN-IMO26-016-20260814T110235267236Z</x:v>
      </x:c>
      <x:c r="C6" s="47" t="str">
        <x:v>IMO26-016</x:v>
      </x:c>
      <x:c r="D6" s="91" t="n">
        <x:v>46248.46036585648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20339.241</x:v>
      </x:c>
      <x:c r="L6" s="93" t="b">
        <x:v>0</x:v>
      </x:c>
      <x:c r="M6" s="47" t="str">
        <x:v>resp_045a1607aec3e16b006a7ef5cb7798819099c7f2fa1b665a1f</x:v>
      </x:c>
      <x:c r="N6" s="59" t="n">
        <x:v>7467</x:v>
      </x:c>
      <x:c r="O6" s="59" t="n">
        <x:v>2223</x:v>
      </x:c>
      <x:c r="P6" s="59" t="n">
        <x:v>9690</x:v>
      </x:c>
    </x:row>
    <x:row r="7">
      <x:c r="A7" s="47" t="str">
        <x:v>EVT-000029</x:v>
      </x:c>
      <x:c r="B7" s="47" t="str">
        <x:v>RUN-IMO26-016-20260814T110235267236Z</x:v>
      </x:c>
      <x:c r="C7" s="47" t="str">
        <x:v>IMO26-016</x:v>
      </x:c>
      <x:c r="D7" s="91" t="n">
        <x:v>46248.460422731485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4902.017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RUN-IMO26-016-20260814T110235267236Z</x:v>
      </x:c>
      <x:c r="C8" s="49" t="str">
        <x:v>IMO26-016</x:v>
      </x:c>
      <x:c r="D8" s="94" t="n">
        <x:v>46248.460422743054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4903.607</x:v>
      </x:c>
      <x:c r="L8" s="96" t="b">
        <x:v>0</x:v>
      </x:c>
      <x:c r="M8" s="49" t="str">
        <x:v>resp_0ee99804f1b67a6f006a7ef5dfb8388196bc82c7e988536b9e</x:v>
      </x:c>
      <x:c r="N8" s="60" t="n">
        <x:v>7181</x:v>
      </x:c>
      <x:c r="O8" s="60" t="n">
        <x:v>374</x:v>
      </x:c>
      <x:c r="P8" s="60" t="n">
        <x:v>7555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5b4c82ebd149f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RUN-IMO26-016-20260814T110235267236Z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RUN-IMO26-016-20260814T110235267236Z</x:v>
      </x:c>
      <x:c r="B5" s="45" t="str">
        <x:v>IMO26-016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polarCodeChapter11Dash1Applicable; domain dependency of shipOperatesInPolarWaters; domain dependency of shipType</x:v>
      </x:c>
      <x:c r="J5" s="45" t="n">
        <x:v>0</x:v>
      </x:c>
    </x:row>
    <x:row r="6">
      <x:c r="A6" s="47" t="str">
        <x:v>RUN-IMO26-016-20260814T110235267236Z</x:v>
      </x:c>
      <x:c r="B6" s="47" t="str">
        <x:v>IMO26-016</x:v>
      </x:c>
      <x:c r="C6" s="47" t="str">
        <x:v>cargoShip</x:v>
      </x:c>
      <x:c r="D6" s="48" t="str">
        <x:v>https://w3id.org/nltl-benchmark/vocab#cargoShip</x:v>
      </x:c>
      <x:c r="E6" s="47" t="str">
        <x:v>Class</x:v>
      </x:c>
      <x:c r="F6" s="47" t="str"/>
      <x:c r="G6" s="47" t="str">
        <x:v>https://w3id.org/nltl-benchmark/vocab#ship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RUN-IMO26-016-20260814T110235267236Z</x:v>
      </x:c>
      <x:c r="B7" s="47" t="str">
        <x:v>IMO26-016</x:v>
      </x:c>
      <x:c r="C7" s="47" t="str">
        <x:v>engagedInTrade</x:v>
      </x:c>
      <x:c r="D7" s="48" t="str">
        <x:v>https://w3id.org/nltl-benchmark/vocab#engagedInTrade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RUN-IMO26-016-20260814T110235267236Z</x:v>
      </x:c>
      <x:c r="B8" s="47" t="str">
        <x:v>IMO26-016</x:v>
      </x:c>
      <x:c r="C8" s="47" t="str">
        <x:v>fishingVessel</x:v>
      </x:c>
      <x:c r="D8" s="48" t="str">
        <x:v>https://w3id.org/nltl-benchmark/vocab#fishingVessel</x:v>
      </x:c>
      <x:c r="E8" s="47" t="str">
        <x:v>Class</x:v>
      </x:c>
      <x:c r="F8" s="47" t="str"/>
      <x:c r="G8" s="47" t="str">
        <x:v>https://w3id.org/nltl-benchmark/vocab#ship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RUN-IMO26-016-20260814T110235267236Z</x:v>
      </x:c>
      <x:c r="B9" s="47" t="str">
        <x:v>IMO26-016</x:v>
      </x:c>
      <x:c r="C9" s="47" t="str">
        <x:v>grossTonnage</x:v>
      </x:c>
      <x:c r="D9" s="48" t="str">
        <x:v>https://w3id.org/nltl-benchmark/vocab#grossTonnage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RUN-IMO26-016-20260814T110235267236Z</x:v>
      </x:c>
      <x:c r="B10" s="47" t="str">
        <x:v>IMO26-016</x:v>
      </x:c>
      <x:c r="C10" s="47" t="str">
        <x:v>hasComponent</x:v>
      </x:c>
      <x:c r="D10" s="48" t="str">
        <x:v>https://w3id.org/nltl-benchmark/vocab#hasComponent</x:v>
      </x:c>
      <x:c r="E10" s="47" t="str">
        <x:v>ObjectProperty</x:v>
      </x:c>
      <x:c r="F10" s="47" t="str"/>
      <x:c r="G10" s="47" t="str">
        <x:v>https://w3id.org/nltl-benchmark/vocab#shipComponent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RUN-IMO26-016-20260814T110235267236Z</x:v>
      </x:c>
      <x:c r="B11" s="47" t="str">
        <x:v>IMO26-016</x:v>
      </x:c>
      <x:c r="C11" s="47" t="str">
        <x:v>lengthOverall</x:v>
      </x:c>
      <x:c r="D11" s="48" t="str">
        <x:v>https://w3id.org/nltl-benchmark/vocab#lengthOverall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RUN-IMO26-016-20260814T110235267236Z</x:v>
      </x:c>
      <x:c r="B12" s="47" t="str">
        <x:v>IMO26-016</x:v>
      </x:c>
      <x:c r="C12" s="47" t="str">
        <x:v>pleasureYacht</x:v>
      </x:c>
      <x:c r="D12" s="48" t="str">
        <x:v>https://w3id.org/nltl-benchmark/vocab#pleasureYacht</x:v>
      </x:c>
      <x:c r="E12" s="47" t="str">
        <x:v>Class</x:v>
      </x:c>
      <x:c r="F12" s="47" t="str"/>
      <x:c r="G12" s="47" t="str">
        <x:v>https://w3id.org/nltl-benchmark/vocab#ship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RUN-IMO26-016-20260814T110235267236Z</x:v>
      </x:c>
      <x:c r="B13" s="47" t="str">
        <x:v>IMO26-016</x:v>
      </x:c>
      <x:c r="C13" s="47" t="str">
        <x:v>polarCodeChapter11Dash1Applicable</x:v>
      </x:c>
      <x:c r="D13" s="48" t="str">
        <x:v>https://w3id.org/nltl-benchmark/vocab#polarCodeChapter11Dash1Applicable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RUN-IMO26-016-20260814T110235267236Z</x:v>
      </x:c>
      <x:c r="B14" s="47" t="str">
        <x:v>IMO26-016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RUN-IMO26-016-20260814T110235267236Z</x:v>
      </x:c>
      <x:c r="B15" s="47" t="str">
        <x:v>IMO26-016</x:v>
      </x:c>
      <x:c r="C15" s="47" t="str">
        <x:v>shipComponent</x:v>
      </x:c>
      <x:c r="D15" s="48" t="str">
        <x:v>https://w3id.org/nltl-benchmark/vocab#shipComponent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RUN-IMO26-016-20260814T110235267236Z</x:v>
      </x:c>
      <x:c r="B16" s="47" t="str">
        <x:v>IMO26-016</x:v>
      </x:c>
      <x:c r="C16" s="47" t="str">
        <x:v>shipOperatesInPolarWaters</x:v>
      </x:c>
      <x:c r="D16" s="48" t="str">
        <x:v>https://w3id.org/nltl-benchmark/vocab#shipOperatesInPolarWaters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RUN-IMO26-016-20260814T110235267236Z</x:v>
      </x:c>
      <x:c r="B17" s="49" t="str">
        <x:v>IMO26-016</x:v>
      </x:c>
      <x:c r="C17" s="49" t="str">
        <x:v>shipType</x:v>
      </x:c>
      <x:c r="D17" s="50" t="str">
        <x:v>https://w3id.org/nltl-benchmark/vocab#shipType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c36b92badd0492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RUN-IMO26-016-20260814T110235267236Z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RUN-IMO26-016-20260814T110235267236Z</x:v>
      </x:c>
      <x:c r="B5" s="45" t="str">
        <x:v>IMO26-016</x:v>
      </x:c>
      <x:c r="C5" s="45" t="str">
        <x:v>FS-BOOL-01</x:v>
      </x:c>
      <x:c r="D5" s="45" t="str">
        <x:v>boolean_state</x:v>
      </x:c>
      <x:c r="E5" s="99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RUN-IMO26-016-20260814T110235267236Z</x:v>
      </x:c>
      <x:c r="B6" s="49" t="str">
        <x:v>IMO26-016</x:v>
      </x:c>
      <x:c r="C6" s="49" t="str">
        <x:v>FS-BOOL-02</x:v>
      </x:c>
      <x:c r="D6" s="49" t="str">
        <x:v>boolean_state</x:v>
      </x:c>
      <x:c r="E6" s="100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e401b04361442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RUN-IMO26-016-20260814T110235267236Z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RUN-IMO26-016-20260814T110235267236Z</x:v>
      </x:c>
      <x:c r="B5" s="69" t="str">
        <x:v>IMO26-016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154 of &lt;&gt;:
Bad syntax (expected item in list or ')') at ^ in:
"...b'age operating in polar waters."\n            ]\n        ]\n    '^b'] .\n'"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39aa72ab7d940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RUN-IMO26-016-20260814T110235267236Z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RUN-IMO26-016-20260814T110235267236Z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RUN-IMO26-016-20260814T110235267236Z</x:v>
      </x:c>
      <x:c r="B5" s="45" t="str">
        <x:v>IMO26-016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8271d6592ea0837d893844231571a8ac67f0674e3a7113621f53e46dc6575780</x:v>
      </x:c>
      <x:c r="G5" s="58" t="n">
        <x:v>18342</x:v>
      </x:c>
    </x:row>
    <x:row r="6">
      <x:c r="A6" s="47" t="str">
        <x:v>RUN-IMO26-016-20260814T110235267236Z</x:v>
      </x:c>
      <x:c r="B6" s="47" t="str">
        <x:v>IMO26-016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76ed7f11835acc2cb9392117e1fd895fbbe598252a847178561c247db3b9bf71</x:v>
      </x:c>
      <x:c r="G6" s="59" t="n">
        <x:v>3170</x:v>
      </x:c>
    </x:row>
    <x:row r="7">
      <x:c r="A7" s="47" t="str">
        <x:v>RUN-IMO26-016-20260814T110235267236Z</x:v>
      </x:c>
      <x:c r="B7" s="47" t="str">
        <x:v>IMO26-016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d7db93732ca1042d515584a85b0279f64ab2dd1149601cde99463313bc030f4e</x:v>
      </x:c>
      <x:c r="G7" s="59" t="n">
        <x:v>30106</x:v>
      </x:c>
    </x:row>
    <x:row r="8">
      <x:c r="A8" s="47" t="str">
        <x:v>RUN-IMO26-016-20260814T110235267236Z</x:v>
      </x:c>
      <x:c r="B8" s="47" t="str">
        <x:v>IMO26-016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e431bc26ae8ab61755efd4d0199dd3ec7cc0ea640c261fa96485470b05e02528</x:v>
      </x:c>
      <x:c r="G8" s="59" t="n">
        <x:v>5463</x:v>
      </x:c>
    </x:row>
    <x:row r="9">
      <x:c r="A9" s="47" t="str">
        <x:v>RUN-IMO26-016-20260814T110235267236Z</x:v>
      </x:c>
      <x:c r="B9" s="47" t="str">
        <x:v>IMO26-016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25681e6eb700b161027b7b36ffdc9cf7e0bd410c990d70e80a433afc606809da</x:v>
      </x:c>
      <x:c r="G9" s="59" t="n">
        <x:v>5438</x:v>
      </x:c>
    </x:row>
    <x:row r="10">
      <x:c r="A10" s="47" t="str">
        <x:v>RUN-IMO26-016-20260814T110235267236Z</x:v>
      </x:c>
      <x:c r="B10" s="47" t="str">
        <x:v>IMO26-016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16aac42e77f0aa9947d95d8a36c41f4a702aaacee2d7fa4581239dd00c2d810d</x:v>
      </x:c>
      <x:c r="G10" s="59" t="n">
        <x:v>583</x:v>
      </x:c>
    </x:row>
    <x:row r="11">
      <x:c r="A11" s="47" t="str">
        <x:v>RUN-IMO26-016-20260814T110235267236Z</x:v>
      </x:c>
      <x:c r="B11" s="47" t="str">
        <x:v>IMO26-016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2421470f026a70dffed4c74a75259191aeccd40946bc512275d3de6983d04d30</x:v>
      </x:c>
      <x:c r="G11" s="59" t="n">
        <x:v>28801</x:v>
      </x:c>
    </x:row>
    <x:row r="12">
      <x:c r="A12" s="49" t="str">
        <x:v>RUN-IMO26-016-20260814T110235267236Z</x:v>
      </x:c>
      <x:c r="B12" s="49" t="str">
        <x:v>IMO26-016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444c38fe64797019e6800915dc7cb28c6d4316477ed425d1588aa5b969fae920</x:v>
      </x:c>
      <x:c r="G12" s="60" t="n">
        <x:v>518</x:v>
      </x:c>
    </x:row>
  </x:sheetData>
  <x:pageMargins left="0.7" right="0.7" top="0.75" bottom="0.75" header="0.3" footer="0.3"/>
  <x:tableParts count="1">
    <x:tablePart xmlns:r="http://schemas.openxmlformats.org/officeDocument/2006/relationships" r:id="R87dd4533fa3c41d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RUN-IMO26-016-20260814T110235267236Z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RUN-IMO26-016-20260814T110235267236Z</x:v>
      </x:c>
      <x:c r="B5" s="69" t="str">
        <x:v>IMO26-016</x:v>
      </x:c>
      <x:c r="C5" s="71" t="n">
        <x:v>1</x:v>
      </x:c>
      <x:c r="D5" s="69" t="str">
        <x:v>MAX_ATTEMPTS_REACHED</x:v>
      </x:c>
      <x:c r="E5" s="73" t="str">
        <x:v>Fix the Turtle syntax by closing the sh:or RDF list with ')' before the final '.', then recast the logic as an implication: pass when NOT (operatesInPolarWaters=true AND any of the three qualifying type/threshold predicates holds) OR require polarCodeChapter11Dash1Applicable=true. The current sh:or wrongly rejects polar-water ships outside all three listed categories, although the requirement imposes no chapter-11-1 applicability conclusion for them.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3bff1f3c764c2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RUN-IMO26-016-20260814T110235267236Z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