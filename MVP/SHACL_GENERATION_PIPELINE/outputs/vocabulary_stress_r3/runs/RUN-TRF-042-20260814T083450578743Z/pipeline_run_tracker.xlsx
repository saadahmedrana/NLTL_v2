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3338b6a13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67722466484688"/>
    <x:sheet xmlns:r="http://schemas.openxmlformats.org/officeDocument/2006/relationships" name="README" sheetId="2" r:id="Rc25e72d90d7c4f71"/>
    <x:sheet xmlns:r="http://schemas.openxmlformats.org/officeDocument/2006/relationships" name="REGULATION_QUEUE" sheetId="3" r:id="R819ee34dca4c42fa"/>
    <x:sheet xmlns:r="http://schemas.openxmlformats.org/officeDocument/2006/relationships" name="RUNS" sheetId="4" r:id="R97ca1908b4974033"/>
    <x:sheet xmlns:r="http://schemas.openxmlformats.org/officeDocument/2006/relationships" name="ITERATIONS" sheetId="5" r:id="Rac74fbae414d4c88"/>
    <x:sheet xmlns:r="http://schemas.openxmlformats.org/officeDocument/2006/relationships" name="API_CALLS" sheetId="6" r:id="Rf9026d3ec1cb43f8"/>
    <x:sheet xmlns:r="http://schemas.openxmlformats.org/officeDocument/2006/relationships" name="TERM_RETRIEVAL" sheetId="7" r:id="Rc307d64212544676"/>
    <x:sheet xmlns:r="http://schemas.openxmlformats.org/officeDocument/2006/relationships" name="FEW_SHOT_SELECTION" sheetId="8" r:id="R62362eff3c494495"/>
    <x:sheet xmlns:r="http://schemas.openxmlformats.org/officeDocument/2006/relationships" name="VALIDATION" sheetId="9" r:id="R6379f4539a6443cd"/>
    <x:sheet xmlns:r="http://schemas.openxmlformats.org/officeDocument/2006/relationships" name="VOCAB_MATCHES" sheetId="10" r:id="R4beb1d8372c5457d"/>
    <x:sheet xmlns:r="http://schemas.openxmlformats.org/officeDocument/2006/relationships" name="ARTIFACTS" sheetId="11" r:id="Rc9be4eee3b8b4ae0"/>
    <x:sheet xmlns:r="http://schemas.openxmlformats.org/officeDocument/2006/relationships" name="UNRESOLVED" sheetId="12" r:id="Ra13b4c7ea5884532"/>
    <x:sheet xmlns:r="http://schemas.openxmlformats.org/officeDocument/2006/relationships" name="RDF_TEST_QUEUE" sheetId="13" r:id="R390cdd2e40ae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4d0fb16e74c33" /><Relationship Type="http://schemas.openxmlformats.org/officeDocument/2006/relationships/theme" Target="/xl/theme/theme1.xml" Id="R2f86178200664fa8" /><Relationship Type="http://schemas.microsoft.com/office/2022/11/relationships/FeaturePropertyBag" Target="/xl/featurePropertyBag/featurePropertyBag.xml" Id="R877cf17dc8b7419d" /><Relationship Type="http://schemas.openxmlformats.org/officeDocument/2006/relationships/sharedStrings" Target="/xl/sharedStrings.xml" Id="R8b656f0353d84cd0" /><Relationship Type="http://schemas.openxmlformats.org/officeDocument/2006/relationships/worksheet" Target="/xl/worksheets/sheet1.xml" Id="Ra967722466484688" /><Relationship Type="http://schemas.openxmlformats.org/officeDocument/2006/relationships/worksheet" Target="/xl/worksheets/sheet2.xml" Id="Rc25e72d90d7c4f71" /><Relationship Type="http://schemas.openxmlformats.org/officeDocument/2006/relationships/worksheet" Target="/xl/worksheets/sheet3.xml" Id="R819ee34dca4c42fa" /><Relationship Type="http://schemas.openxmlformats.org/officeDocument/2006/relationships/worksheet" Target="/xl/worksheets/sheet4.xml" Id="R97ca1908b4974033" /><Relationship Type="http://schemas.openxmlformats.org/officeDocument/2006/relationships/worksheet" Target="/xl/worksheets/sheet5.xml" Id="Rac74fbae414d4c88" /><Relationship Type="http://schemas.openxmlformats.org/officeDocument/2006/relationships/worksheet" Target="/xl/worksheets/sheet6.xml" Id="Rf9026d3ec1cb43f8" /><Relationship Type="http://schemas.openxmlformats.org/officeDocument/2006/relationships/worksheet" Target="/xl/worksheets/sheet7.xml" Id="Rc307d64212544676" /><Relationship Type="http://schemas.openxmlformats.org/officeDocument/2006/relationships/worksheet" Target="/xl/worksheets/sheet8.xml" Id="R62362eff3c494495" /><Relationship Type="http://schemas.openxmlformats.org/officeDocument/2006/relationships/worksheet" Target="/xl/worksheets/sheet9.xml" Id="R6379f4539a6443cd" /><Relationship Type="http://schemas.openxmlformats.org/officeDocument/2006/relationships/worksheet" Target="/xl/worksheets/sheet10.xml" Id="R4beb1d8372c5457d" /><Relationship Type="http://schemas.openxmlformats.org/officeDocument/2006/relationships/worksheet" Target="/xl/worksheets/sheet11.xml" Id="Rc9be4eee3b8b4ae0" /><Relationship Type="http://schemas.openxmlformats.org/officeDocument/2006/relationships/worksheet" Target="/xl/worksheets/sheet12.xml" Id="Ra13b4c7ea5884532" /><Relationship Type="http://schemas.openxmlformats.org/officeDocument/2006/relationships/worksheet" Target="/xl/worksheets/sheet13.xml" Id="R390cdd2e40ae42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c49ee658b43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7a0b1aa77a42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b49b19273644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7a718062d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6044174c254a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b643ec3375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da4c5dc28141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1daa4fd4d644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65147fc49047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0ce7c0d150c4b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RUN-TRF-042-20260814T083450578743Z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32012.406499999997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RUN-TRF-042-20260814T083450578743Z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bc49ee658b43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a0b1aa77a42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RUN-TRF-042-20260814T083450578743Z</x:v>
      </x:c>
      <x:c r="C5" s="69" t="str">
        <x:v>TRF-042</x:v>
      </x:c>
      <x:c r="D5" s="70" t="n">
        <x:v>46248.35752987269</x:v>
      </x:c>
      <x:c r="E5" s="70" t="n">
        <x:v>46248.35827363426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urn:nltl:stress-shape:TRF_042_PlatingShape identifier with an allowed shape identifier or a blank node. Repair the f2 bounded formula constraint so h/s values outside its defined range (including an invalid zero divisor) cannot pass merely because FILTER(?ratio &lt;= 1.8) removes them; report ratios not covered by the two stated branches. Do not impose unconditional sh:minCount 1 requirements solely from this universal calculation rule unless existence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49b19273644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RUN-TRF-042-20260814T083450578743Z</x:v>
      </x:c>
      <x:c r="B5" s="69" t="str">
        <x:v>TRF-042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urn:nltl:stress-shape:TRF_042_PlatingShape
Semantic validator feedback: Replace the unapproved urn:nltl:stress-shape:TRF_042_PlatingShape identifier with an allowed shape identifier or a blank node. Repair the f2 bounded formula constraint so h/s values outside its defined range (including an invalid zero divisor) cannot pass merely because FILTER(?ratio &lt;= 1.8) removes them; report ratios not covered by the two stated branches. Do not impose unconditional sh:minCount 1 requirements solely from this universal calculation rule unless existence is independently required.</x:v>
      </x:c>
      <x:c r="I5" s="75" t="n">
        <x:v>46018.616</x:v>
      </x:c>
      <x:c r="J5" s="75" t="n">
        <x:v>18007.271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7a718062d4d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RUN-TRF-042-20260814T083450578743Z</x:v>
      </x:c>
      <x:c r="C5" s="45" t="str">
        <x:v>TRF-042</x:v>
      </x:c>
      <x:c r="D5" s="88" t="n">
        <x:v>46248.35806252315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46017.512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RUN-TRF-042-20260814T083450578743Z</x:v>
      </x:c>
      <x:c r="C6" s="47" t="str">
        <x:v>TRF-042</x:v>
      </x:c>
      <x:c r="D6" s="91" t="n">
        <x:v>46248.358062534724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46018.616</x:v>
      </x:c>
      <x:c r="L6" s="93" t="b">
        <x:v>0</x:v>
      </x:c>
      <x:c r="M6" s="47" t="str">
        <x:v>resp_0b15797696bbf220006a7ed32aae4c81938e15b6e75b157335</x:v>
      </x:c>
      <x:c r="N6" s="59" t="n">
        <x:v>11297</x:v>
      </x:c>
      <x:c r="O6" s="59" t="n">
        <x:v>3921</x:v>
      </x:c>
      <x:c r="P6" s="59" t="n">
        <x:v>15218</x:v>
      </x:c>
    </x:row>
    <x:row r="7">
      <x:c r="A7" s="47" t="str">
        <x:v>EVT-000042</x:v>
      </x:c>
      <x:c r="B7" s="47" t="str">
        <x:v>RUN-TRF-042-20260814T083450578743Z</x:v>
      </x:c>
      <x:c r="C7" s="47" t="str">
        <x:v>TRF-042</x:v>
      </x:c>
      <x:c r="D7" s="91" t="n">
        <x:v>46248.35827357639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18006.227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RUN-TRF-042-20260814T083450578743Z</x:v>
      </x:c>
      <x:c r="C8" s="49" t="str">
        <x:v>TRF-042</x:v>
      </x:c>
      <x:c r="D8" s="94" t="n">
        <x:v>46248.35827358796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18007.271</x:v>
      </x:c>
      <x:c r="L8" s="96" t="b">
        <x:v>0</x:v>
      </x:c>
      <x:c r="M8" s="49" t="str">
        <x:v>resp_0b816b50c9096578006a7ed358eb3c81979a1d555330e702b0</x:v>
      </x:c>
      <x:c r="N8" s="60" t="n">
        <x:v>12929</x:v>
      </x:c>
      <x:c r="O8" s="60" t="n">
        <x:v>1590</x:v>
      </x:c>
      <x:c r="P8" s="60" t="n">
        <x:v>14519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044174c254a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RUN-TRF-042-20260814T083450578743Z</x:v>
      </x:c>
      <x:c r="B5" s="45" t="str">
        <x:v>TRF-042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RUN-TRF-042-20260814T083450578743Z</x:v>
      </x:c>
      <x:c r="B6" s="47" t="str">
        <x:v>TRF-042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RUN-TRF-042-20260814T083450578743Z</x:v>
      </x:c>
      <x:c r="B7" s="47" t="str">
        <x:v>TRF-042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RUN-TRF-042-20260814T083450578743Z</x:v>
      </x:c>
      <x:c r="B8" s="47" t="str">
        <x:v>TRF-042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RUN-TRF-042-20260814T083450578743Z</x:v>
      </x:c>
      <x:c r="B9" s="47" t="str">
        <x:v>TRF-042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RUN-TRF-042-20260814T083450578743Z</x:v>
      </x:c>
      <x:c r="B10" s="47" t="str">
        <x:v>TRF-042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RUN-TRF-042-20260814T083450578743Z</x:v>
      </x:c>
      <x:c r="B11" s="47" t="str">
        <x:v>TRF-042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RUN-TRF-042-20260814T083450578743Z</x:v>
      </x:c>
      <x:c r="B12" s="47" t="str">
        <x:v>TRF-042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RUN-TRF-042-20260814T083450578743Z</x:v>
      </x:c>
      <x:c r="B13" s="47" t="str">
        <x:v>TRF-042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RUN-TRF-042-20260814T083450578743Z</x:v>
      </x:c>
      <x:c r="B14" s="47" t="str">
        <x:v>TRF-042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RUN-TRF-042-20260814T083450578743Z</x:v>
      </x:c>
      <x:c r="B15" s="47" t="str">
        <x:v>TRF-042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RUN-TRF-042-20260814T083450578743Z</x:v>
      </x:c>
      <x:c r="B16" s="47" t="str">
        <x:v>TRF-042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RUN-TRF-042-20260814T083450578743Z</x:v>
      </x:c>
      <x:c r="B17" s="47" t="str">
        <x:v>TRF-042</x:v>
      </x:c>
      <x:c r="C17" s="47" t="str">
        <x:v>highStrengthHullStructuralSteel</x:v>
      </x:c>
      <x:c r="D17" s="48" t="str">
        <x:v>https://w3id.org/nltl-benchmark/vocab#highStrengthHullStructuralSteel</x:v>
      </x:c>
      <x:c r="E17" s="47" t="str">
        <x:v>NamedIndividual</x:v>
      </x:c>
      <x:c r="F17" s="47" t="str"/>
      <x:c r="G17" s="47" t="str">
        <x:v>https://w3id.org/nltl-benchmark/vocab#steelGradeValue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RUN-TRF-042-20260814T083450578743Z</x:v>
      </x:c>
      <x:c r="B18" s="47" t="str">
        <x:v>TRF-042</x:v>
      </x:c>
      <x:c r="C18" s="47" t="str">
        <x:v>hullStructuralSteelGrade</x:v>
      </x:c>
      <x:c r="D18" s="48" t="str">
        <x:v>https://w3id.org/nltl-benchmark/vocab#hullStructuralSteelGrade</x:v>
      </x:c>
      <x:c r="E18" s="47" t="str">
        <x:v>ObjectProperty</x:v>
      </x:c>
      <x:c r="F18" s="47" t="str"/>
      <x:c r="G18" s="47" t="str">
        <x:v>https://w3id.org/nltl-benchmark/vocab#steelGradeValue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RUN-TRF-042-20260814T083450578743Z</x:v>
      </x:c>
      <x:c r="B19" s="47" t="str">
        <x:v>TRF-042</x:v>
      </x:c>
      <x:c r="C19" s="47" t="str">
        <x:v>hullStructure</x:v>
      </x:c>
      <x:c r="D19" s="48" t="str">
        <x:v>https://w3id.org/nltl-benchmark/vocab#hullStructure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RUN-TRF-042-20260814T083450578743Z</x:v>
      </x:c>
      <x:c r="B20" s="47" t="str">
        <x:v>TRF-042</x:v>
      </x:c>
      <x:c r="C20" s="47" t="str">
        <x:v>longitudinalPlatingFactorF2</x:v>
      </x:c>
      <x:c r="D20" s="48" t="str">
        <x:v>https://w3id.org/nltl-benchmark/vocab#longitudinalPlatingFactorF2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RUN-TRF-042-20260814T083450578743Z</x:v>
      </x:c>
      <x:c r="B21" s="47" t="str">
        <x:v>TRF-042</x:v>
      </x:c>
      <x:c r="C21" s="47" t="str">
        <x:v>materialApprovalStatus</x:v>
      </x:c>
      <x:c r="D21" s="48" t="str">
        <x:v>https://w3id.org/nltl-benchmark/vocab#materialApprovalStatus</x:v>
      </x:c>
      <x:c r="E21" s="47" t="str">
        <x:v>ObjectProperty</x:v>
      </x:c>
      <x:c r="F21" s="47" t="str"/>
      <x:c r="G21" s="47" t="str">
        <x:v>https://w3id.org/nltl-benchmark/vocab#evidenceState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RUN-TRF-042-20260814T083450578743Z</x:v>
      </x:c>
      <x:c r="B22" s="47" t="str">
        <x:v>TRF-042</x:v>
      </x:c>
      <x:c r="C22" s="47" t="str">
        <x:v>normalStrengthHullStructuralSteel</x:v>
      </x:c>
      <x:c r="D22" s="48" t="str">
        <x:v>https://w3id.org/nltl-benchmark/vocab#normalStrengthHullStructuralSteel</x:v>
      </x:c>
      <x:c r="E22" s="47" t="str">
        <x:v>NamedIndividual</x:v>
      </x:c>
      <x:c r="F22" s="47" t="str"/>
      <x:c r="G22" s="47" t="str">
        <x:v>https://w3id.org/nltl-benchmark/vocab#steelGradeValue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RUN-TRF-042-20260814T083450578743Z</x:v>
      </x:c>
      <x:c r="B23" s="47" t="str">
        <x:v>TRF-042</x:v>
      </x:c>
      <x:c r="C23" s="47" t="str">
        <x:v>plating</x:v>
      </x:c>
      <x:c r="D23" s="48" t="str">
        <x:v>https://w3id.org/nltl-benchmark/vocab#plating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RUN-TRF-042-20260814T083450578743Z</x:v>
      </x:c>
      <x:c r="B24" s="47" t="str">
        <x:v>TRF-042</x:v>
      </x:c>
      <x:c r="C24" s="47" t="str">
        <x:v>requiredShellPlatingThickness</x:v>
      </x:c>
      <x:c r="D24" s="48" t="str">
        <x:v>https://w3id.org/nltl-benchmark/vocab#requiredShellPlatingThickness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RUN-TRF-042-20260814T083450578743Z</x:v>
      </x:c>
      <x:c r="B25" s="47" t="str">
        <x:v>TRF-042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RUN-TRF-042-20260814T083450578743Z</x:v>
      </x:c>
      <x:c r="B26" s="47" t="str">
        <x:v>TRF-042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RUN-TRF-042-20260814T083450578743Z</x:v>
      </x:c>
      <x:c r="B27" s="47" t="str">
        <x:v>TRF-042</x:v>
      </x:c>
      <x:c r="C27" s="47" t="str">
        <x:v>spacing</x:v>
      </x:c>
      <x:c r="D27" s="48" t="str">
        <x:v>https://w3id.org/nltl-benchmark/vocab#spacing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RUN-TRF-042-20260814T083450578743Z</x:v>
      </x:c>
      <x:c r="B28" s="47" t="str">
        <x:v>TRF-042</x:v>
      </x:c>
      <x:c r="C28" s="47" t="str">
        <x:v>specialSurfaceCoatingMaintained</x:v>
      </x:c>
      <x:c r="D28" s="48" t="str">
        <x:v>https://w3id.org/nltl-benchmark/vocab#specialSurfaceCoatingMaintained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RUN-TRF-042-20260814T083450578743Z</x:v>
      </x:c>
      <x:c r="B29" s="47" t="str">
        <x:v>TRF-042</x:v>
      </x:c>
      <x:c r="C29" s="47" t="str">
        <x:v>steelGradeValue</x:v>
      </x:c>
      <x:c r="D29" s="48" t="str">
        <x:v>https://w3id.org/nltl-benchmark/vocab#steelGradeValue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9" t="str">
        <x:v>RUN-TRF-042-20260814T083450578743Z</x:v>
      </x:c>
      <x:c r="B30" s="49" t="str">
        <x:v>TRF-042</x:v>
      </x:c>
      <x:c r="C30" s="49" t="str">
        <x:v>yieldStrength</x:v>
      </x:c>
      <x:c r="D30" s="50" t="str">
        <x:v>https://w3id.org/nltl-benchmark/vocab#yieldStrength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b643ec337540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RUN-TRF-042-20260814T083450578743Z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RUN-TRF-042-20260814T083450578743Z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RUN-TRF-042-20260814T083450578743Z</x:v>
      </x:c>
      <x:c r="B6" s="49" t="str">
        <x:v>TRF-042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a4c5dc28141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RUN-TRF-042-20260814T083450578743Z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urn:nltl:stress-shape:TRF_042_PlatingShape</x:v>
      </x:c>
      <x:c r="M5" s="73" t="str"/>
      <x:c r="N5" s="73" t="str">
        <x:v>https://w3id.org/nltl-benchmark/vocab#corrosionAbrasionAddition | https://w3id.org/nltl-benchmark/vocab#designIceLoadHeight | https://w3id.org/nltl-benchmark/vocab#evidenceState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https://w3id.org/nltl-benchmark/vocab#plating | https://w3id.org/nltl-benchmark/vocab#spacing | https://w3id.org/nltl-benchmark/vocab#specialSurfaceCoatingMaintained | https://w3id.org/nltl-benchmark/vocab#steelGradeValue | https://w3id.org/nltl-benchmark/vocab#yieldStrength</x:v>
      </x:c>
      <x:c r="O5" s="73" t="str"/>
      <x:c r="P5" s="73" t="str"/>
      <x:c r="Q5" s="73" t="str">
        <x:v>urn:nltl:stress-shape:TRF_042_PlatingShape</x:v>
      </x:c>
    </x:row>
  </x:sheetData>
  <x:pageMargins left="0.7" right="0.7" top="0.75" bottom="0.75" header="0.3" footer="0.3"/>
  <x:tableParts count="1">
    <x:tablePart xmlns:r="http://schemas.openxmlformats.org/officeDocument/2006/relationships" r:id="R091daa4fd4d644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RUN-TRF-042-20260814T083450578743Z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RUN-TRF-042-20260814T083450578743Z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RUN-TRF-042-20260814T083450578743Z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d59731de8015e0156d6699133d426414c8ae01b053d09e54978eab7cb82c2b45</x:v>
      </x:c>
      <x:c r="G5" s="58" t="n">
        <x:v>31848</x:v>
      </x:c>
    </x:row>
    <x:row r="6">
      <x:c r="A6" s="47" t="str">
        <x:v>RUN-TRF-042-20260814T083450578743Z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RUN-TRF-042-20260814T083450578743Z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62bc7aacec9ad59fa4707ffd2698a8315b94382fd52ef8417b59acbb22c320f2</x:v>
      </x:c>
      <x:c r="G7" s="59" t="n">
        <x:v>45341</x:v>
      </x:c>
    </x:row>
    <x:row r="8">
      <x:c r="A8" s="47" t="str">
        <x:v>RUN-TRF-042-20260814T083450578743Z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8457856b25c8ddeb9571a3ed9bf31a0abc6e3c2c3e7e16a94cac7c7cc91b7e20</x:v>
      </x:c>
      <x:c r="G8" s="59" t="n">
        <x:v>7387</x:v>
      </x:c>
    </x:row>
    <x:row r="9">
      <x:c r="A9" s="47" t="str">
        <x:v>RUN-TRF-042-20260814T083450578743Z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14e56fe528ca665a5911c328bb85d038c45cce8da2f77c0330966b0c28332b95</x:v>
      </x:c>
      <x:c r="G9" s="59" t="n">
        <x:v>7362</x:v>
      </x:c>
    </x:row>
    <x:row r="10">
      <x:c r="A10" s="47" t="str">
        <x:v>RUN-TRF-042-20260814T083450578743Z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02057bd22fc9aa4e9628683f997d5db1710fdba7b16d5c250037a2e5fab73f45</x:v>
      </x:c>
      <x:c r="G10" s="59" t="n">
        <x:v>1465</x:v>
      </x:c>
    </x:row>
    <x:row r="11">
      <x:c r="A11" s="47" t="str">
        <x:v>RUN-TRF-042-20260814T083450578743Z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2b94d604eb0b43114bfd542d34a307c7f4d7036739534f626c0213147f1bfe95</x:v>
      </x:c>
      <x:c r="G11" s="59" t="n">
        <x:v>50395</x:v>
      </x:c>
    </x:row>
    <x:row r="12">
      <x:c r="A12" s="49" t="str">
        <x:v>RUN-TRF-042-20260814T083450578743Z</x:v>
      </x:c>
      <x:c r="B12" s="49" t="str">
        <x:v>TRF-042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0c3aa219ef4084bab6b67adcc41209a44d89f7d740d49be4dd5695c9894b4075</x:v>
      </x:c>
      <x:c r="G12" s="60" t="n">
        <x:v>567</x:v>
      </x:c>
    </x:row>
  </x:sheetData>
  <x:pageMargins left="0.7" right="0.7" top="0.75" bottom="0.75" header="0.3" footer="0.3"/>
  <x:tableParts count="1">
    <x:tablePart xmlns:r="http://schemas.openxmlformats.org/officeDocument/2006/relationships" r:id="R3b65147fc49047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RUN-TRF-042-20260814T083450578743Z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RUN-TRF-042-20260814T083450578743Z</x:v>
      </x:c>
      <x:c r="B5" s="69" t="str">
        <x:v>TRF-042</x:v>
      </x:c>
      <x:c r="C5" s="71" t="n">
        <x:v>1</x:v>
      </x:c>
      <x:c r="D5" s="69" t="str">
        <x:v>MAX_ATTEMPTS_REACHED</x:v>
      </x:c>
      <x:c r="E5" s="73" t="str">
        <x:v>Replace the unapproved urn:nltl:stress-shape:TRF_042_PlatingShape identifier with an allowed shape identifier or a blank node. Repair the f2 bounded formula constraint so h/s values outside its defined range (including an invalid zero divisor) cannot pass merely because FILTER(?ratio &lt;= 1.8) removes them; report ratios not covered by the two stated branches. Do not impose unconditional sh:minCount 1 requirements solely from this universal calculation rule unless existence is independently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e7c0d150c4bf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RUN-TRF-042-20260814T083450578743Z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