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7c3e01a30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dbd1d6f4ed4634"/>
    <x:sheet xmlns:r="http://schemas.openxmlformats.org/officeDocument/2006/relationships" name="README" sheetId="2" r:id="R372c4c35582b4371"/>
    <x:sheet xmlns:r="http://schemas.openxmlformats.org/officeDocument/2006/relationships" name="REGULATION_QUEUE" sheetId="3" r:id="R8140424cf4f347a2"/>
    <x:sheet xmlns:r="http://schemas.openxmlformats.org/officeDocument/2006/relationships" name="RUNS" sheetId="4" r:id="R2eeda8c9051948f7"/>
    <x:sheet xmlns:r="http://schemas.openxmlformats.org/officeDocument/2006/relationships" name="ITERATIONS" sheetId="5" r:id="R43becf83f1a746fb"/>
    <x:sheet xmlns:r="http://schemas.openxmlformats.org/officeDocument/2006/relationships" name="API_CALLS" sheetId="6" r:id="R35a9f09c9f574d9a"/>
    <x:sheet xmlns:r="http://schemas.openxmlformats.org/officeDocument/2006/relationships" name="TERM_RETRIEVAL" sheetId="7" r:id="R763d19cbd8fb48c4"/>
    <x:sheet xmlns:r="http://schemas.openxmlformats.org/officeDocument/2006/relationships" name="FEW_SHOT_SELECTION" sheetId="8" r:id="Rebe8941fa6d44e90"/>
    <x:sheet xmlns:r="http://schemas.openxmlformats.org/officeDocument/2006/relationships" name="VALIDATION" sheetId="9" r:id="R2b3976941c314550"/>
    <x:sheet xmlns:r="http://schemas.openxmlformats.org/officeDocument/2006/relationships" name="VOCAB_MATCHES" sheetId="10" r:id="Rd978965b6212433d"/>
    <x:sheet xmlns:r="http://schemas.openxmlformats.org/officeDocument/2006/relationships" name="ARTIFACTS" sheetId="11" r:id="R1deb37dd69904c94"/>
    <x:sheet xmlns:r="http://schemas.openxmlformats.org/officeDocument/2006/relationships" name="UNRESOLVED" sheetId="12" r:id="Rd05bd0e7442b4273"/>
    <x:sheet xmlns:r="http://schemas.openxmlformats.org/officeDocument/2006/relationships" name="RDF_TEST_QUEUE" sheetId="13" r:id="Rb5872ced4047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0cae440dd405a" /><Relationship Type="http://schemas.openxmlformats.org/officeDocument/2006/relationships/theme" Target="/xl/theme/theme1.xml" Id="R5b58eab062534cdf" /><Relationship Type="http://schemas.microsoft.com/office/2022/11/relationships/FeaturePropertyBag" Target="/xl/featurePropertyBag/featurePropertyBag.xml" Id="Re4ac444d09e74704" /><Relationship Type="http://schemas.openxmlformats.org/officeDocument/2006/relationships/sharedStrings" Target="/xl/sharedStrings.xml" Id="Ra6e0820f5a2a4421" /><Relationship Type="http://schemas.openxmlformats.org/officeDocument/2006/relationships/worksheet" Target="/xl/worksheets/sheet1.xml" Id="R4ddbd1d6f4ed4634" /><Relationship Type="http://schemas.openxmlformats.org/officeDocument/2006/relationships/worksheet" Target="/xl/worksheets/sheet2.xml" Id="R372c4c35582b4371" /><Relationship Type="http://schemas.openxmlformats.org/officeDocument/2006/relationships/worksheet" Target="/xl/worksheets/sheet3.xml" Id="R8140424cf4f347a2" /><Relationship Type="http://schemas.openxmlformats.org/officeDocument/2006/relationships/worksheet" Target="/xl/worksheets/sheet4.xml" Id="R2eeda8c9051948f7" /><Relationship Type="http://schemas.openxmlformats.org/officeDocument/2006/relationships/worksheet" Target="/xl/worksheets/sheet5.xml" Id="R43becf83f1a746fb" /><Relationship Type="http://schemas.openxmlformats.org/officeDocument/2006/relationships/worksheet" Target="/xl/worksheets/sheet6.xml" Id="R35a9f09c9f574d9a" /><Relationship Type="http://schemas.openxmlformats.org/officeDocument/2006/relationships/worksheet" Target="/xl/worksheets/sheet7.xml" Id="R763d19cbd8fb48c4" /><Relationship Type="http://schemas.openxmlformats.org/officeDocument/2006/relationships/worksheet" Target="/xl/worksheets/sheet8.xml" Id="Rebe8941fa6d44e90" /><Relationship Type="http://schemas.openxmlformats.org/officeDocument/2006/relationships/worksheet" Target="/xl/worksheets/sheet9.xml" Id="R2b3976941c314550" /><Relationship Type="http://schemas.openxmlformats.org/officeDocument/2006/relationships/worksheet" Target="/xl/worksheets/sheet10.xml" Id="Rd978965b6212433d" /><Relationship Type="http://schemas.openxmlformats.org/officeDocument/2006/relationships/worksheet" Target="/xl/worksheets/sheet11.xml" Id="R1deb37dd69904c94" /><Relationship Type="http://schemas.openxmlformats.org/officeDocument/2006/relationships/worksheet" Target="/xl/worksheets/sheet12.xml" Id="Rd05bd0e7442b4273" /><Relationship Type="http://schemas.openxmlformats.org/officeDocument/2006/relationships/worksheet" Target="/xl/worksheets/sheet13.xml" Id="Rb5872ced40474a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e5937f720b46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f25724c3fa4f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91a3df29f4b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58a918fe4849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7ad2a637384d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825195f2b4c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246911c2d242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907510bbcf40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6fadc64ee748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68675ff6a554a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RUN-TRF-054-20260814T084655459744Z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22308.513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RUN-TRF-054-20260814T084655459744Z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e5937f720b46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MAX_ATTEMPTS_REACHED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25724c3fa4f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RUN-TRF-054-20260814T084655459744Z</x:v>
      </x:c>
      <x:c r="C5" s="69" t="str">
        <x:v>TRF-054</x:v>
      </x:c>
      <x:c r="D5" s="70" t="n">
        <x:v>46248.3659196875</x:v>
      </x:c>
      <x:c r="E5" s="70" t="n">
        <x:v>46248.36644046296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urn:nltl:stress-shape:TRF054IceStringerShape IRI with an approved shape identifier or a blank node. Encode applicability for an iceStringer located outside the ice belt and supporting ice-strengthened frames using the supplied nltl:locatedOutsideIceBelt and nltl:supportsIceStrengthenedFrames boolean evidence; do not require the calculation inputs/results for every iceStringer irrespective of those selectors. Correct the designLineLoad unit conversion: its mandated unit is kN/m, whereas p(MPa)*h(m) and the 0.15 minimum are MN/m; compare the reported load to 1000*max(p*h,0.15), and convert reported kN/m back to MN/m (or use the derived MN/m intermediate) in the Z and A formulae.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91a3df29f4b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RUN-TRF-054-20260814T084655459744Z</x:v>
      </x:c>
      <x:c r="B5" s="69" t="str">
        <x:v>TRF-054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urn:nltl:stress-shape:TRF054IceStringerShape
Semantic validator feedback: Replace the unapproved urn:nltl:stress-shape:TRF054IceStringerShape IRI with an approved shape identifier or a blank node. Encode applicability for an iceStringer located outside the ice belt and supporting ice-strengthened frames using the supplied nltl:locatedOutsideIceBelt and nltl:supportsIceStrengthenedFrames boolean evidence; do not require the calculation inputs/results for every iceStringer irrespective of those selectors. Correct the designLineLoad unit conversion: its mandated unit is kN/m, whereas p(MPa)*h(m) and the 0.15 minimum are MN/m; compare the reported load to 1000*max(p*h,0.15), and convert reported kN/m back to MN/m (or use the derived MN/m intermediate) in the Z and A formulae.</x:v>
      </x:c>
      <x:c r="I5" s="75" t="n">
        <x:v>34223.51</x:v>
      </x:c>
      <x:c r="J5" s="75" t="n">
        <x:v>10395.135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58a918fe4849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RUN-TRF-054-20260814T084655459744Z</x:v>
      </x:c>
      <x:c r="C5" s="45" t="str">
        <x:v>TRF-054</x:v>
      </x:c>
      <x:c r="D5" s="88" t="n">
        <x:v>46248.366315810184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34221.707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RUN-TRF-054-20260814T084655459744Z</x:v>
      </x:c>
      <x:c r="C6" s="47" t="str">
        <x:v>TRF-054</x:v>
      </x:c>
      <x:c r="D6" s="91" t="n">
        <x:v>46248.36631583334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34223.51</x:v>
      </x:c>
      <x:c r="L6" s="93" t="b">
        <x:v>0</x:v>
      </x:c>
      <x:c r="M6" s="47" t="str">
        <x:v>resp_050a5c7e1843e979006a7ed5ff9b4481909da0325b1f4ef4b4</x:v>
      </x:c>
      <x:c r="N6" s="59" t="n">
        <x:v>11577</x:v>
      </x:c>
      <x:c r="O6" s="59" t="n">
        <x:v>3570</x:v>
      </x:c>
      <x:c r="P6" s="59" t="n">
        <x:v>15147</x:v>
      </x:c>
    </x:row>
    <x:row r="7">
      <x:c r="A7" s="47" t="str">
        <x:v>EVT-000039</x:v>
      </x:c>
      <x:c r="B7" s="47" t="str">
        <x:v>RUN-TRF-054-20260814T084655459744Z</x:v>
      </x:c>
      <x:c r="C7" s="47" t="str">
        <x:v>TRF-054</x:v>
      </x:c>
      <x:c r="D7" s="91" t="n">
        <x:v>46248.36644039352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10393.7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RUN-TRF-054-20260814T084655459744Z</x:v>
      </x:c>
      <x:c r="C8" s="49" t="str">
        <x:v>TRF-054</x:v>
      </x:c>
      <x:c r="D8" s="94" t="n">
        <x:v>46248.366440405094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10395.135</x:v>
      </x:c>
      <x:c r="L8" s="96" t="b">
        <x:v>0</x:v>
      </x:c>
      <x:c r="M8" s="49" t="str">
        <x:v>resp_01fec902452ecbc7006a7ed6222f10819493871c42fb08b270</x:v>
      </x:c>
      <x:c r="N8" s="60" t="n">
        <x:v>13723</x:v>
      </x:c>
      <x:c r="O8" s="60" t="n">
        <x:v>709</x:v>
      </x:c>
      <x:c r="P8" s="60" t="n">
        <x:v>14432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ad2a637384d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RUN-TRF-054-20260814T084655459744Z</x:v>
      </x:c>
      <x:c r="B5" s="45" t="str">
        <x:v>TRF-054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RUN-TRF-054-20260814T084655459744Z</x:v>
      </x:c>
      <x:c r="B6" s="47" t="str">
        <x:v>TRF-054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RUN-TRF-054-20260814T084655459744Z</x:v>
      </x:c>
      <x:c r="B7" s="47" t="str">
        <x:v>TRF-054</x:v>
      </x:c>
      <x:c r="C7" s="47" t="str">
        <x:v>designLineLoad</x:v>
      </x:c>
      <x:c r="D7" s="48" t="str">
        <x:v>https://w3id.org/nltl-benchmark/vocab#designLineLoad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RUN-TRF-054-20260814T084655459744Z</x:v>
      </x:c>
      <x:c r="B8" s="47" t="str">
        <x:v>TRF-054</x:v>
      </x:c>
      <x:c r="C8" s="47" t="str">
        <x:v>distanceToAdjacentIceStringer</x:v>
      </x:c>
      <x:c r="D8" s="48" t="str">
        <x:v>https://w3id.org/nltl-benchmark/vocab#distanceToAdjacentIceStringer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RUN-TRF-054-20260814T084655459744Z</x:v>
      </x:c>
      <x:c r="B9" s="47" t="str">
        <x:v>TRF-054</x:v>
      </x:c>
      <x:c r="C9" s="47" t="str">
        <x:v>distanceToIceBelt</x:v>
      </x:c>
      <x:c r="D9" s="48" t="str">
        <x:v>https://w3id.org/nltl-benchmark/vocab#distanceToIceBelt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RUN-TRF-054-20260814T084655459744Z</x:v>
      </x:c>
      <x:c r="B10" s="47" t="str">
        <x:v>TRF-054</x:v>
      </x:c>
      <x:c r="C10" s="47" t="str">
        <x:v>frameMomentFactorM</x:v>
      </x:c>
      <x:c r="D10" s="48" t="str">
        <x:v>https://w3id.org/nltl-benchmark/vocab#frameMomentFactorM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RUN-TRF-054-20260814T084655459744Z</x:v>
      </x:c>
      <x:c r="B11" s="47" t="str">
        <x:v>TRF-054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RUN-TRF-054-20260814T084655459744Z</x:v>
      </x:c>
      <x:c r="B12" s="47" t="str">
        <x:v>TRF-054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RUN-TRF-054-20260814T084655459744Z</x:v>
      </x:c>
      <x:c r="B13" s="47" t="str">
        <x:v>TRF-054</x:v>
      </x:c>
      <x:c r="C13" s="47" t="str">
        <x:v>icePressure</x:v>
      </x:c>
      <x:c r="D13" s="48" t="str">
        <x:v>https://w3id.org/nltl-benchmark/vocab#icePressure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RUN-TRF-054-20260814T084655459744Z</x:v>
      </x:c>
      <x:c r="B14" s="47" t="str">
        <x:v>TRF-054</x:v>
      </x:c>
      <x:c r="C14" s="47" t="str">
        <x:v>iceStringer</x:v>
      </x:c>
      <x:c r="D14" s="48" t="str">
        <x:v>https://w3id.org/nltl-benchmark/vocab#iceStringer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RUN-TRF-054-20260814T084655459744Z</x:v>
      </x:c>
      <x:c r="B15" s="47" t="str">
        <x:v>TRF-054</x:v>
      </x:c>
      <x:c r="C15" s="47" t="str">
        <x:v>locatedOutsideIceBelt</x:v>
      </x:c>
      <x:c r="D15" s="48" t="str">
        <x:v>https://w3id.org/nltl-benchmark/vocab#locatedOutsideIceBelt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RUN-TRF-054-20260814T084655459744Z</x:v>
      </x:c>
      <x:c r="B16" s="47" t="str">
        <x:v>TRF-054</x:v>
      </x:c>
      <x:c r="C16" s="47" t="str">
        <x:v>outsideIceBeltDistributionFactorF9</x:v>
      </x:c>
      <x:c r="D16" s="48" t="str">
        <x:v>https://w3id.org/nltl-benchmark/vocab#outsideIceBeltDistributionFactorF9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RUN-TRF-054-20260814T084655459744Z</x:v>
      </x:c>
      <x:c r="B17" s="47" t="str">
        <x:v>TRF-054</x:v>
      </x:c>
      <x:c r="C17" s="47" t="str">
        <x:v>outsideIceBeltFactor</x:v>
      </x:c>
      <x:c r="D17" s="48" t="str">
        <x:v>https://w3id.org/nltl-benchmark/vocab#outsideIceBeltFactor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RUN-TRF-054-20260814T084655459744Z</x:v>
      </x:c>
      <x:c r="B18" s="47" t="str">
        <x:v>TRF-054</x:v>
      </x:c>
      <x:c r="C18" s="47" t="str">
        <x:v>outsideIceBeltSafetyFactorF10</x:v>
      </x:c>
      <x:c r="D18" s="48" t="str">
        <x:v>https://w3id.org/nltl-benchmark/vocab#outsideIceBeltSafetyFactorF10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RUN-TRF-054-20260814T084655459744Z</x:v>
      </x:c>
      <x:c r="B19" s="47" t="str">
        <x:v>TRF-054</x:v>
      </x:c>
      <x:c r="C19" s="47" t="str">
        <x:v>outsideIceBeltShearFactorF11</x:v>
      </x:c>
      <x:c r="D19" s="48" t="str">
        <x:v>https://w3id.org/nltl-benchmark/vocab#outsideIceBeltShearFactorF11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RUN-TRF-054-20260814T084655459744Z</x:v>
      </x:c>
      <x:c r="B20" s="47" t="str">
        <x:v>TRF-054</x:v>
      </x:c>
      <x:c r="C20" s="47" t="str">
        <x:v>requiredShearArea</x:v>
      </x:c>
      <x:c r="D20" s="48" t="str">
        <x:v>https://w3id.org/nltl-benchmark/vocab#requiredShearArea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RUN-TRF-054-20260814T084655459744Z</x:v>
      </x:c>
      <x:c r="B21" s="47" t="str">
        <x:v>TRF-054</x:v>
      </x:c>
      <x:c r="C21" s="47" t="str">
        <x:v>sectionModulus</x:v>
      </x:c>
      <x:c r="D21" s="48" t="str">
        <x:v>https://w3id.org/nltl-benchmark/vocab#sectionModulus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RUN-TRF-054-20260814T084655459744Z</x:v>
      </x:c>
      <x:c r="B22" s="47" t="str">
        <x:v>TRF-054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RUN-TRF-054-20260814T084655459744Z</x:v>
      </x:c>
      <x:c r="B23" s="47" t="str">
        <x:v>TRF-054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RUN-TRF-054-20260814T084655459744Z</x:v>
      </x:c>
      <x:c r="B24" s="47" t="str">
        <x:v>TRF-054</x:v>
      </x:c>
      <x:c r="C24" s="47" t="str">
        <x:v>span</x:v>
      </x:c>
      <x:c r="D24" s="48" t="str">
        <x:v>https://w3id.org/nltl-benchmark/vocab#span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RUN-TRF-054-20260814T084655459744Z</x:v>
      </x:c>
      <x:c r="B25" s="47" t="str">
        <x:v>TRF-054</x:v>
      </x:c>
      <x:c r="C25" s="47" t="str">
        <x:v>stringerSpan</x:v>
      </x:c>
      <x:c r="D25" s="48" t="str">
        <x:v>https://w3id.org/nltl-benchmark/vocab#stringerSpan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RUN-TRF-054-20260814T084655459744Z</x:v>
      </x:c>
      <x:c r="B26" s="47" t="str">
        <x:v>TRF-054</x:v>
      </x:c>
      <x:c r="C26" s="47" t="str">
        <x:v>supportsIceStrengthenedFrames</x:v>
      </x:c>
      <x:c r="D26" s="48" t="str">
        <x:v>https://w3id.org/nltl-benchmark/vocab#supportsIceStrengthenedFrames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RUN-TRF-054-20260814T084655459744Z</x:v>
      </x:c>
      <x:c r="B27" s="49" t="str">
        <x:v>TRF-054</x:v>
      </x:c>
      <x:c r="C27" s="49" t="str">
        <x:v>yieldStrength</x:v>
      </x:c>
      <x:c r="D27" s="50" t="str">
        <x:v>https://w3id.org/nltl-benchmark/vocab#yieldStrength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825195f2b4c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RUN-TRF-054-20260814T084655459744Z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RUN-TRF-054-20260814T084655459744Z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9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RUN-TRF-054-20260814T084655459744Z</x:v>
      </x:c>
      <x:c r="B6" s="49" t="str">
        <x:v>TRF-054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46911c2d242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RUN-TRF-054-20260814T084655459744Z</x:v>
      </x:c>
      <x:c r="B5" s="69" t="str">
        <x:v>TRF-054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urn:nltl:stress-shape:TRF054IceStringerShape</x:v>
      </x:c>
      <x:c r="M5" s="73" t="str"/>
      <x:c r="N5" s="73" t="str">
        <x:v>https://w3id.org/nltl-benchmark/vocab#designIceLoadHeight | https://w3id.org/nltl-benchmark/vocab#designLineLoad | https://w3id.org/nltl-benchmark/vocab#distanceToAdjacentIceStringer | https://w3id.org/nltl-benchmark/vocab#distanceToIceBelt | https://w3id.org/nltl-benchmark/vocab#frameMomentFactorM | https://w3id.org/nltl-benchmark/vocab#icePressure | https://w3id.org/nltl-benchmark/vocab#iceStringer | https://w3id.org/nltl-benchmark/vocab#outsideIceBeltFactor | https://w3id.org/nltl-benchmark/vocab#requiredShearArea | https://w3id.org/nltl-benchmark/vocab#sectionModulus | https://w3id.org/nltl-benchmark/vocab#stringerSpan | https://w3id.org/nltl-benchmark/vocab#yieldStrength</x:v>
      </x:c>
      <x:c r="O5" s="73" t="str"/>
      <x:c r="P5" s="73" t="str"/>
      <x:c r="Q5" s="73" t="str">
        <x:v>urn:nltl:stress-shape:TRF054IceStringerShape</x:v>
      </x:c>
    </x:row>
  </x:sheetData>
  <x:pageMargins left="0.7" right="0.7" top="0.75" bottom="0.75" header="0.3" footer="0.3"/>
  <x:tableParts count="1">
    <x:tablePart xmlns:r="http://schemas.openxmlformats.org/officeDocument/2006/relationships" r:id="Re7907510bbcf40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RUN-TRF-054-20260814T084655459744Z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RUN-TRF-054-20260814T084655459744Z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RUN-TRF-054-20260814T084655459744Z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6a7a733ff35915068d8bf1b9741334f6c5c4ddc8ee0996aec51fed5c5a009381</x:v>
      </x:c>
      <x:c r="G5" s="58" t="n">
        <x:v>31400</x:v>
      </x:c>
    </x:row>
    <x:row r="6">
      <x:c r="A6" s="47" t="str">
        <x:v>RUN-TRF-054-20260814T084655459744Z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55bd35a78a9aae513fbcd753a235b57beca1e49ad4d0763658c0f281c714be1b</x:v>
      </x:c>
      <x:c r="G6" s="59" t="n">
        <x:v>4859</x:v>
      </x:c>
    </x:row>
    <x:row r="7">
      <x:c r="A7" s="47" t="str">
        <x:v>RUN-TRF-054-20260814T084655459744Z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54586eb1c7e2ce7adeb5c60e95ffcba45ccb163b2fb27579c7efce1ca500de9c</x:v>
      </x:c>
      <x:c r="G7" s="59" t="n">
        <x:v>44893</x:v>
      </x:c>
    </x:row>
    <x:row r="8">
      <x:c r="A8" s="47" t="str">
        <x:v>RUN-TRF-054-20260814T084655459744Z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338d962e9d3ecfed4452bff7a04e55a60df4b951c2683075de7a837a13c56497</x:v>
      </x:c>
      <x:c r="G8" s="59" t="n">
        <x:v>9041</x:v>
      </x:c>
    </x:row>
    <x:row r="9">
      <x:c r="A9" s="47" t="str">
        <x:v>RUN-TRF-054-20260814T084655459744Z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01ef20a79304ccfc951a3e79944615c6fc0666820f42fc379298dfc119adbc21</x:v>
      </x:c>
      <x:c r="G9" s="59" t="n">
        <x:v>9016</x:v>
      </x:c>
    </x:row>
    <x:row r="10">
      <x:c r="A10" s="47" t="str">
        <x:v>RUN-TRF-054-20260814T084655459744Z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7b63272fc7365cdfeda7eb1e3e3991ff60b9c1eeed6633d44871671e5cd8bae4</x:v>
      </x:c>
      <x:c r="G10" s="59" t="n">
        <x:v>1284</x:v>
      </x:c>
    </x:row>
    <x:row r="11">
      <x:c r="A11" s="47" t="str">
        <x:v>RUN-TRF-054-20260814T084655459744Z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709e34975f9817284264c8d6f524de3d021435d3bf4d9f3eae8c448979b89828</x:v>
      </x:c>
      <x:c r="G11" s="59" t="n">
        <x:v>50858</x:v>
      </x:c>
    </x:row>
    <x:row r="12">
      <x:c r="A12" s="49" t="str">
        <x:v>RUN-TRF-054-20260814T084655459744Z</x:v>
      </x:c>
      <x:c r="B12" s="49" t="str">
        <x:v>TRF-054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144d332abde588df2417eae472b0f6b7e2c96b20f3163ff163fd862da2ff6c94</x:v>
      </x:c>
      <x:c r="G12" s="60" t="n">
        <x:v>772</x:v>
      </x:c>
    </x:row>
  </x:sheetData>
  <x:pageMargins left="0.7" right="0.7" top="0.75" bottom="0.75" header="0.3" footer="0.3"/>
  <x:tableParts count="1">
    <x:tablePart xmlns:r="http://schemas.openxmlformats.org/officeDocument/2006/relationships" r:id="Rfb6fadc64ee748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RUN-TRF-054-20260814T084655459744Z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RUN-TRF-054-20260814T084655459744Z</x:v>
      </x:c>
      <x:c r="B5" s="69" t="str">
        <x:v>TRF-054</x:v>
      </x:c>
      <x:c r="C5" s="71" t="n">
        <x:v>1</x:v>
      </x:c>
      <x:c r="D5" s="69" t="str">
        <x:v>MAX_ATTEMPTS_REACHED</x:v>
      </x:c>
      <x:c r="E5" s="73" t="str">
        <x:v>Replace the unapproved urn:nltl:stress-shape:TRF054IceStringerShape IRI with an approved shape identifier or a blank node. Encode applicability for an iceStringer located outside the ice belt and supporting ice-strengthened frames using the supplied nltl:locatedOutsideIceBelt and nltl:supportsIceStrengthenedFrames boolean evidence; do not require the calculation inputs/results for every iceStringer irrespective of those selectors. Correct the designLineLoad unit conversion: its mandated unit is kN/m, whereas p(MPa)*h(m) and the 0.15 minimum are MN/m; compare the reported load to 1000*max(p*h,0.15), and convert reported kN/m back to MN/m (or use the derived MN/m intermediate) in the Z and A formulae.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675ff6a554a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RUN-TRF-054-20260814T084655459744Z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