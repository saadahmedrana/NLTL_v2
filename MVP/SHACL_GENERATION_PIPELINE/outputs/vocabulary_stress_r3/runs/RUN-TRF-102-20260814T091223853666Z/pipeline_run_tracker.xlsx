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f6480cc41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80dc10b68e4960"/>
    <x:sheet xmlns:r="http://schemas.openxmlformats.org/officeDocument/2006/relationships" name="README" sheetId="2" r:id="Ref9e17fd9a944fc0"/>
    <x:sheet xmlns:r="http://schemas.openxmlformats.org/officeDocument/2006/relationships" name="REGULATION_QUEUE" sheetId="3" r:id="R5596a66f5fc64b85"/>
    <x:sheet xmlns:r="http://schemas.openxmlformats.org/officeDocument/2006/relationships" name="RUNS" sheetId="4" r:id="Rba41aa6fbd484a3f"/>
    <x:sheet xmlns:r="http://schemas.openxmlformats.org/officeDocument/2006/relationships" name="ITERATIONS" sheetId="5" r:id="Rd43fa50bec324cdb"/>
    <x:sheet xmlns:r="http://schemas.openxmlformats.org/officeDocument/2006/relationships" name="API_CALLS" sheetId="6" r:id="R348418cb597642b7"/>
    <x:sheet xmlns:r="http://schemas.openxmlformats.org/officeDocument/2006/relationships" name="TERM_RETRIEVAL" sheetId="7" r:id="R8f5552bf14cf410b"/>
    <x:sheet xmlns:r="http://schemas.openxmlformats.org/officeDocument/2006/relationships" name="FEW_SHOT_SELECTION" sheetId="8" r:id="R2df1319dccbb4500"/>
    <x:sheet xmlns:r="http://schemas.openxmlformats.org/officeDocument/2006/relationships" name="VALIDATION" sheetId="9" r:id="R3e94677bc8f84025"/>
    <x:sheet xmlns:r="http://schemas.openxmlformats.org/officeDocument/2006/relationships" name="VOCAB_MATCHES" sheetId="10" r:id="R62d0bebea5274c6e"/>
    <x:sheet xmlns:r="http://schemas.openxmlformats.org/officeDocument/2006/relationships" name="ARTIFACTS" sheetId="11" r:id="R1f9a0ed211274219"/>
    <x:sheet xmlns:r="http://schemas.openxmlformats.org/officeDocument/2006/relationships" name="UNRESOLVED" sheetId="12" r:id="Rd16b3b7cce9b47d9"/>
    <x:sheet xmlns:r="http://schemas.openxmlformats.org/officeDocument/2006/relationships" name="RDF_TEST_QUEUE" sheetId="13" r:id="R626e26454459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64ffd95464120" /><Relationship Type="http://schemas.openxmlformats.org/officeDocument/2006/relationships/theme" Target="/xl/theme/theme1.xml" Id="R5f827fe947244a3e" /><Relationship Type="http://schemas.microsoft.com/office/2022/11/relationships/FeaturePropertyBag" Target="/xl/featurePropertyBag/featurePropertyBag.xml" Id="R51f939ffd4dd4f63" /><Relationship Type="http://schemas.openxmlformats.org/officeDocument/2006/relationships/sharedStrings" Target="/xl/sharedStrings.xml" Id="R7010d45b5f2d49e1" /><Relationship Type="http://schemas.openxmlformats.org/officeDocument/2006/relationships/worksheet" Target="/xl/worksheets/sheet1.xml" Id="R4e80dc10b68e4960" /><Relationship Type="http://schemas.openxmlformats.org/officeDocument/2006/relationships/worksheet" Target="/xl/worksheets/sheet2.xml" Id="Ref9e17fd9a944fc0" /><Relationship Type="http://schemas.openxmlformats.org/officeDocument/2006/relationships/worksheet" Target="/xl/worksheets/sheet3.xml" Id="R5596a66f5fc64b85" /><Relationship Type="http://schemas.openxmlformats.org/officeDocument/2006/relationships/worksheet" Target="/xl/worksheets/sheet4.xml" Id="Rba41aa6fbd484a3f" /><Relationship Type="http://schemas.openxmlformats.org/officeDocument/2006/relationships/worksheet" Target="/xl/worksheets/sheet5.xml" Id="Rd43fa50bec324cdb" /><Relationship Type="http://schemas.openxmlformats.org/officeDocument/2006/relationships/worksheet" Target="/xl/worksheets/sheet6.xml" Id="R348418cb597642b7" /><Relationship Type="http://schemas.openxmlformats.org/officeDocument/2006/relationships/worksheet" Target="/xl/worksheets/sheet7.xml" Id="R8f5552bf14cf410b" /><Relationship Type="http://schemas.openxmlformats.org/officeDocument/2006/relationships/worksheet" Target="/xl/worksheets/sheet8.xml" Id="R2df1319dccbb4500" /><Relationship Type="http://schemas.openxmlformats.org/officeDocument/2006/relationships/worksheet" Target="/xl/worksheets/sheet9.xml" Id="R3e94677bc8f84025" /><Relationship Type="http://schemas.openxmlformats.org/officeDocument/2006/relationships/worksheet" Target="/xl/worksheets/sheet10.xml" Id="R62d0bebea5274c6e" /><Relationship Type="http://schemas.openxmlformats.org/officeDocument/2006/relationships/worksheet" Target="/xl/worksheets/sheet11.xml" Id="R1f9a0ed211274219" /><Relationship Type="http://schemas.openxmlformats.org/officeDocument/2006/relationships/worksheet" Target="/xl/worksheets/sheet12.xml" Id="Rd16b3b7cce9b47d9" /><Relationship Type="http://schemas.openxmlformats.org/officeDocument/2006/relationships/worksheet" Target="/xl/worksheets/sheet13.xml" Id="R626e2645445946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20815bc0e7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e74e6b27ca48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8c8e662d24b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3e6bcbef6943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d4b6abf29645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76c0f4d2e54d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58dd30bcc241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f21cd1977742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587225ade3446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704b457cd0c4e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c34994f392e40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RUN-TRF-102-20260814T091223853666Z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14600.644666666667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RUN-TRF-102-20260814T091223853666Z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20815bc0e747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MAX_ATTEMPTS_REACHED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74e6b27ca48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RUN-TRF-102-20260814T091223853666Z</x:v>
      </x:c>
      <x:c r="C5" s="69" t="str">
        <x:v>TRF-102</x:v>
      </x:c>
      <x:c r="D5" s="70" t="n">
        <x:v>46248.38360943287</x:v>
      </x:c>
      <x:c r="E5" s="70" t="n">
        <x:v>46248.38412599537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list syntax (close sh:or with ')' rather than the extra ']') and add the missing canonical blade-count/Z operand path via vocabulary matching. The calculation branch must compute and validate C_spex = max(0.3, 0.7*(1-((4*EAR)/Z)^3)) from EAR and Z using an expected-result-scaled tolerance, not merely require a supplied factor &gt;=0.3; then use that validated factor in the Q_sex formula. Do not leave bladeExpandedAreaRatio as presence-only.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8c8e662d24b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RUN-TRF-102-20260814T091223853666Z</x:v>
      </x:c>
      <x:c r="B5" s="69" t="str">
        <x:v>TRF-102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Turtle parse error: at line 167 of &lt;&gt;:
Bad syntax (expected item in list or ')') at ^ in:
"...b'          }\n                """\n            ]\n        ]\n    '^b'] .\n'"
Semantic validator feedback: Repair the Turtle list syntax (close sh:or with ')' rather than the extra ']') and add the missing canonical blade-count/Z operand path via vocabulary matching. The calculation branch must compute and validate C_spex = max(0.3, 0.7*(1-((4*EAR)/Z)^3)) from EAR and Z using an expected-result-scaled tolerance, not merely require a supplied factor &gt;=0.3; then use that validated factor in the Q_sex formula. Do not leave bladeExpandedAreaRatio as presence-only.</x:v>
      </x:c>
      <x:c r="I5" s="75" t="n">
        <x:v>30586.796</x:v>
      </x:c>
      <x:c r="J5" s="75" t="n">
        <x:v>8428.092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e6bcbef6943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RUN-TRF-102-20260814T091223853666Z</x:v>
      </x:c>
      <x:c r="C5" s="45" t="str">
        <x:v>TRF-102</x:v>
      </x:c>
      <x:c r="D5" s="88" t="n">
        <x:v>46248.38396346065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30584.973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RUN-TRF-102-20260814T091223853666Z</x:v>
      </x:c>
      <x:c r="C6" s="47" t="str">
        <x:v>TRF-102</x:v>
      </x:c>
      <x:c r="D6" s="91" t="n">
        <x:v>46248.38396348379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30586.796</x:v>
      </x:c>
      <x:c r="L6" s="93" t="b">
        <x:v>0</x:v>
      </x:c>
      <x:c r="M6" s="47" t="str">
        <x:v>resp_06832e7ffada2b9e006a7edbf7f84c81938865ec57732f8059</x:v>
      </x:c>
      <x:c r="N6" s="59" t="n">
        <x:v>7988</x:v>
      </x:c>
      <x:c r="O6" s="59" t="n">
        <x:v>2949</x:v>
      </x:c>
      <x:c r="P6" s="59" t="n">
        <x:v>10937</x:v>
      </x:c>
    </x:row>
    <x:row r="7">
      <x:c r="A7" s="47" t="str">
        <x:v>EVT-000029</x:v>
      </x:c>
      <x:c r="B7" s="47" t="str">
        <x:v>RUN-TRF-102-20260814T091223853666Z</x:v>
      </x:c>
      <x:c r="C7" s="47" t="str">
        <x:v>TRF-102</x:v>
      </x:c>
      <x:c r="D7" s="91" t="n">
        <x:v>46248.384061157405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8426.368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RUN-TRF-102-20260814T091223853666Z</x:v>
      </x:c>
      <x:c r="C8" s="47" t="str">
        <x:v>TRF-102</x:v>
      </x:c>
      <x:c r="D8" s="91" t="n">
        <x:v>46248.38406118056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8428.092</x:v>
      </x:c>
      <x:c r="L8" s="93" t="b">
        <x:v>0</x:v>
      </x:c>
      <x:c r="M8" s="47" t="str">
        <x:v>resp_0f3f9b44c65ebaee006a7edc1691c481979cf97353eb2e0cba</x:v>
      </x:c>
      <x:c r="N8" s="59" t="n">
        <x:v>7360</x:v>
      </x:c>
      <x:c r="O8" s="59" t="n">
        <x:v>648</x:v>
      </x:c>
      <x:c r="P8" s="59" t="n">
        <x:v>8008</x:v>
      </x:c>
    </x:row>
    <x:row r="9">
      <x:c r="A9" s="47" t="str">
        <x:v>EVT-000036</x:v>
      </x:c>
      <x:c r="B9" s="47" t="str">
        <x:v>RUN-TRF-102-20260814T091223853666Z</x:v>
      </x:c>
      <x:c r="C9" s="47" t="str">
        <x:v>TRF-102</x:v>
      </x:c>
      <x:c r="D9" s="91" t="n">
        <x:v>46248.38412591435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4787.965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RUN-TRF-102-20260814T091223853666Z</x:v>
      </x:c>
      <x:c r="C10" s="49" t="str">
        <x:v>TRF-102</x:v>
      </x:c>
      <x:c r="D10" s="94" t="n">
        <x:v>46248.3841259375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4789.674</x:v>
      </x:c>
      <x:c r="L10" s="96" t="b">
        <x:v>0</x:v>
      </x:c>
      <x:c r="M10" s="49" t="str">
        <x:v>resp_02a0c0a7c5c5c35b006a7edc2005388190a33c0e2f3f9bf847</x:v>
      </x:c>
      <x:c r="N10" s="60" t="n">
        <x:v>1717</x:v>
      </x:c>
      <x:c r="O10" s="60" t="n">
        <x:v>286</x:v>
      </x:c>
      <x:c r="P10" s="60" t="n">
        <x:v>2003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4b6abf29645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RUN-TRF-102-20260814T091223853666Z</x:v>
      </x:c>
      <x:c r="B5" s="45" t="str">
        <x:v>TRF-102</x:v>
      </x:c>
      <x:c r="C5" s="45" t="str">
        <x:v>approvalRecord</x:v>
      </x:c>
      <x:c r="D5" s="46" t="str">
        <x:v>https://w3id.org/nltl-benchmark/vocab#approvalRecord</x:v>
      </x:c>
      <x:c r="E5" s="45" t="str">
        <x:v>Class</x:v>
      </x:c>
      <x:c r="F5" s="45" t="str"/>
      <x:c r="G5" s="45" t="str">
        <x:v>https://w3id.org/nltl-benchmark/vocab#evidenceArtifact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RUN-TRF-102-20260814T091223853666Z</x:v>
      </x:c>
      <x:c r="B6" s="47" t="str">
        <x:v>TRF-102</x:v>
      </x:c>
      <x:c r="C6" s="47" t="str">
        <x:v>approvedSpindleTorqueStressAnalysis</x:v>
      </x:c>
      <x:c r="D6" s="48" t="str">
        <x:v>https://w3id.org/nltl-benchmark/vocab#approvedSpindleTorqueStressAnalysis</x:v>
      </x:c>
      <x:c r="E6" s="47" t="str">
        <x:v>ObjectProperty</x:v>
      </x:c>
      <x:c r="F6" s="47" t="str"/>
      <x:c r="G6" s="47" t="str">
        <x:v>https://w3id.org/nltl-benchmark/vocab#approvalRecord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RUN-TRF-102-20260814T091223853666Z</x:v>
      </x:c>
      <x:c r="B7" s="47" t="str">
        <x:v>TRF-102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</x:v>
      </x:c>
      <x:c r="J7" s="47" t="n">
        <x:v>0</x:v>
      </x:c>
    </x:row>
    <x:row r="8">
      <x:c r="A8" s="47" t="str">
        <x:v>RUN-TRF-102-20260814T091223853666Z</x:v>
      </x:c>
      <x:c r="B8" s="47" t="str">
        <x:v>TRF-102</x:v>
      </x:c>
      <x:c r="C8" s="47" t="str">
        <x:v>bladeExpandedAreaRatio</x:v>
      </x:c>
      <x:c r="D8" s="48" t="str">
        <x:v>https://w3id.org/nltl-benchmark/vocab#bladeExpandedAreaRatio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RUN-TRF-102-20260814T091223853666Z</x:v>
      </x:c>
      <x:c r="B9" s="47" t="str">
        <x:v>TRF-102</x:v>
      </x:c>
      <x:c r="C9" s="47" t="str">
        <x:v>bladeFailureSpindleTorque</x:v>
      </x:c>
      <x:c r="D9" s="48" t="str">
        <x:v>https://w3id.org/nltl-benchmark/vocab#bladeFailureSpindleTorque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RUN-TRF-102-20260814T091223853666Z</x:v>
      </x:c>
      <x:c r="B10" s="47" t="str">
        <x:v>TRF-102</x:v>
      </x:c>
      <x:c r="C10" s="47" t="str">
        <x:v>bladeFailureSpindleTorqueFactor</x:v>
      </x:c>
      <x:c r="D10" s="48" t="str">
        <x:v>https://w3id.org/nltl-benchmark/vocab#bladeFailureSpindleTorqueFactor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RUN-TRF-102-20260814T091223853666Z</x:v>
      </x:c>
      <x:c r="B11" s="47" t="str">
        <x:v>TRF-102</x:v>
      </x:c>
      <x:c r="C11" s="47" t="str">
        <x:v>extremeIceForce</x:v>
      </x:c>
      <x:c r="D11" s="48" t="str">
        <x:v>https://w3id.org/nltl-benchmark/vocab#extremeIceForce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RUN-TRF-102-20260814T091223853666Z</x:v>
      </x:c>
      <x:c r="B12" s="47" t="str">
        <x:v>TRF-102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RUN-TRF-102-20260814T091223853666Z</x:v>
      </x:c>
      <x:c r="B13" s="47" t="str">
        <x:v>TRF-102</x:v>
      </x:c>
      <x:c r="C13" s="47" t="str">
        <x:v>leadingEdgeChordPortionAtZeroPointEightRadius</x:v>
      </x:c>
      <x:c r="D13" s="48" t="str">
        <x:v>https://w3id.org/nltl-benchmark/vocab#leadingEdgeChordPortionAtZeroPointEightRadius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RUN-TRF-102-20260814T091223853666Z</x:v>
      </x:c>
      <x:c r="B14" s="47" t="str">
        <x:v>TRF-102</x:v>
      </x:c>
      <x:c r="C14" s="47" t="str">
        <x:v>maximumSpindleTorque</x:v>
      </x:c>
      <x:c r="D14" s="48" t="str">
        <x:v>https://w3id.org/nltl-benchmark/vocab#maximumSpindleTorque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RUN-TRF-102-20260814T091223853666Z</x:v>
      </x:c>
      <x:c r="B15" s="47" t="str">
        <x:v>TRF-102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5" s="47" t="n">
        <x:v>0</x:v>
      </x:c>
    </x:row>
    <x:row r="16">
      <x:c r="A16" s="47" t="str">
        <x:v>RUN-TRF-102-20260814T091223853666Z</x:v>
      </x:c>
      <x:c r="B16" s="47" t="str">
        <x:v>TRF-102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RUN-TRF-102-20260814T091223853666Z</x:v>
      </x:c>
      <x:c r="B17" s="49" t="str">
        <x:v>TRF-102</x:v>
      </x:c>
      <x:c r="C17" s="49" t="str">
        <x:v>trailingEdgeChordPortionAtZeroPointEightRadius</x:v>
      </x:c>
      <x:c r="D17" s="50" t="str">
        <x:v>https://w3id.org/nltl-benchmark/vocab#trailingEdgeChordPortionAtZeroPointEightRadius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76c0f4d2e54d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RUN-TRF-102-20260814T091223853666Z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RUN-TRF-102-20260814T091223853666Z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0.051282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RUN-TRF-102-20260814T091223853666Z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0.025316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8dd30bcc241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RUN-TRF-102-20260814T091223853666Z</x:v>
      </x:c>
      <x:c r="B5" s="69" t="str">
        <x:v>TRF-102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167 of &lt;&gt;:
Bad syntax (expected item in list or ')') at ^ in:
"...b'          }\n                """\n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f21cd1977742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RUN-TRF-102-20260814T091223853666Z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RUN-TRF-102-20260814T091223853666Z</x:v>
      </x:c>
      <x:c r="B5" s="45" t="str">
        <x:v>TRF-102</x:v>
      </x:c>
      <x:c r="C5" s="58" t="n">
        <x:v>1</x:v>
      </x:c>
      <x:c r="D5" s="45" t="str">
        <x:v>matcher_search</x:v>
      </x:c>
      <x:c r="E5" s="46" t="str">
        <x:v>Deterministic validation prevents acceptance. Fix: Turtle parse error: at line 167 of &lt;&gt;:
Bad syntax (expected item in list or ')') at ^ in:
"...b'          }\n                """\n            ]\n        ]\n    '^b'] .\n'"
Semantic validator feedback: Repair the Turtle list syntax (close sh:or with ')' rather than the extra ']') and add the missing canonical blade-count/Z operand path via vocabulary matching. The calculation branch must compute and validate C_spex = max(0.3, 0.7*(1-((4*EAR)/Z)^3)) from EAR and Z using an expected-result-scaled tolerance, not merely require a supplied factor &gt;=0.3; then use that validated factor in the Q_sex formula. Do not leave bladeExpandedAreaRatio as presence-only.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RUN-TRF-102-20260814T091223853666Z</x:v>
      </x:c>
      <x:c r="B6" s="49" t="str">
        <x:v>TRF-102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bladeExpandedAreaRatio</x:v>
      </x:c>
      <x:c r="I6" s="50" t="str">
        <x:v>https://w3id.org/nltl-benchmark/vocab#bladeExpandedAreaRatio</x:v>
      </x:c>
      <x:c r="J6" s="50" t="str">
        <x:v>Use this exact term because it is the canonical unitless quantity property for EAR, which is a required value-bearing operand in the C_spex calculation rather than a presence-only field.</x:v>
      </x:c>
    </x:row>
  </x:sheetData>
  <x:pageMargins left="0.7" right="0.7" top="0.75" bottom="0.75" header="0.3" footer="0.3"/>
  <x:tableParts count="1">
    <x:tablePart xmlns:r="http://schemas.openxmlformats.org/officeDocument/2006/relationships" r:id="Rd587225ade3446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RUN-TRF-102-20260814T091223853666Z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RUN-TRF-102-20260814T091223853666Z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7b53334afb971b663eb6fd148dfe338ac86b5949a93582f67b6b78feba06a824</x:v>
      </x:c>
      <x:c r="G5" s="58" t="n">
        <x:v>18621</x:v>
      </x:c>
    </x:row>
    <x:row r="6">
      <x:c r="A6" s="47" t="str">
        <x:v>RUN-TRF-102-20260814T091223853666Z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8397959c03c0528f9b460c3e62878d934f336fe11d93b6bf14e049726f1c8c95</x:v>
      </x:c>
      <x:c r="G6" s="59" t="n">
        <x:v>5365</x:v>
      </x:c>
    </x:row>
    <x:row r="7">
      <x:c r="A7" s="47" t="str">
        <x:v>RUN-TRF-102-20260814T091223853666Z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f541b29b8b700f2b2edea4f081a74b20ccb890a3abb20f4c596b4a62f17a2528</x:v>
      </x:c>
      <x:c r="G7" s="59" t="n">
        <x:v>32620</x:v>
      </x:c>
    </x:row>
    <x:row r="8">
      <x:c r="A8" s="47" t="str">
        <x:v>RUN-TRF-102-20260814T091223853666Z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f5921afdc05756e82773c4eef25a90fca6866371bdbf2aab1e02a1f480c0e6bc</x:v>
      </x:c>
      <x:c r="G8" s="59" t="n">
        <x:v>6720</x:v>
      </x:c>
    </x:row>
    <x:row r="9">
      <x:c r="A9" s="47" t="str">
        <x:v>RUN-TRF-102-20260814T091223853666Z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66d48bcdc4631995432a6ef2239d7ce96b125d8f289c8ac252e865e044c3f0b6</x:v>
      </x:c>
      <x:c r="G9" s="59" t="n">
        <x:v>6695</x:v>
      </x:c>
    </x:row>
    <x:row r="10">
      <x:c r="A10" s="47" t="str">
        <x:v>RUN-TRF-102-20260814T091223853666Z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6f4dd4003b2ecaf127e8639f4a0b60fe668c6e625185a2ab247a080be516d05d</x:v>
      </x:c>
      <x:c r="G10" s="59" t="n">
        <x:v>587</x:v>
      </x:c>
    </x:row>
    <x:row r="11">
      <x:c r="A11" s="47" t="str">
        <x:v>RUN-TRF-102-20260814T091223853666Z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eba36af563a0d136f531c0677510247a2aecb31b628836c0e1990b41ee4217e9</x:v>
      </x:c>
      <x:c r="G11" s="59" t="n">
        <x:v>30445</x:v>
      </x:c>
    </x:row>
    <x:row r="12">
      <x:c r="A12" s="47" t="str">
        <x:v>RUN-TRF-102-20260814T091223853666Z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869536ce4d2c3057bdabad8014335eb68d10042c3fefb3ead366d5741c03d55e</x:v>
      </x:c>
      <x:c r="G12" s="59" t="n">
        <x:v>522</x:v>
      </x:c>
    </x:row>
    <x:row r="13">
      <x:c r="A13" s="47" t="str">
        <x:v>RUN-TRF-102-20260814T091223853666Z</x:v>
      </x:c>
      <x:c r="B13" s="47" t="str">
        <x:v>TRF-102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7da8dd481c4debe449ac45d6a6eb6581c0e91af433810d57ad6968247e30ded6</x:v>
      </x:c>
      <x:c r="G13" s="59" t="n">
        <x:v>1572</x:v>
      </x:c>
    </x:row>
    <x:row r="14">
      <x:c r="A14" s="47" t="str">
        <x:v>RUN-TRF-102-20260814T091223853666Z</x:v>
      </x:c>
      <x:c r="B14" s="47" t="str">
        <x:v>TRF-102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2ec9de1a02e27cc606009529760c82edc7184ca532401073551d5625458f265d</x:v>
      </x:c>
      <x:c r="G14" s="59" t="n">
        <x:v>6347</x:v>
      </x:c>
    </x:row>
    <x:row r="15">
      <x:c r="A15" s="49" t="str">
        <x:v>RUN-TRF-102-20260814T091223853666Z</x:v>
      </x:c>
      <x:c r="B15" s="49" t="str">
        <x:v>TRF-102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53cf005d1321af9bfee6485e0f5c0b6e1e4ab8148ec7b684c88e3011939e8751</x:v>
      </x:c>
      <x:c r="G15" s="60" t="n">
        <x:v>356</x:v>
      </x:c>
    </x:row>
  </x:sheetData>
  <x:pageMargins left="0.7" right="0.7" top="0.75" bottom="0.75" header="0.3" footer="0.3"/>
  <x:tableParts count="1">
    <x:tablePart xmlns:r="http://schemas.openxmlformats.org/officeDocument/2006/relationships" r:id="Ra704b457cd0c4e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RUN-TRF-102-20260814T091223853666Z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RUN-TRF-102-20260814T091223853666Z</x:v>
      </x:c>
      <x:c r="B5" s="69" t="str">
        <x:v>TRF-102</x:v>
      </x:c>
      <x:c r="C5" s="71" t="n">
        <x:v>1</x:v>
      </x:c>
      <x:c r="D5" s="69" t="str">
        <x:v>MAX_ATTEMPTS_REACHED</x:v>
      </x:c>
      <x:c r="E5" s="73" t="str">
        <x:v>Repair the Turtle list syntax (close sh:or with ')' rather than the extra ']') and add the missing canonical blade-count/Z operand path via vocabulary matching. The calculation branch must compute and validate C_spex = max(0.3, 0.7*(1-((4*EAR)/Z)^3)) from EAR and Z using an expected-result-scaled tolerance, not merely require a supplied factor &gt;=0.3; then use that validated factor in the Q_sex formula. Do not leave bladeExpandedAreaRatio as presence-only.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4994f392e40c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RUN-TRF-102-20260814T091223853666Z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