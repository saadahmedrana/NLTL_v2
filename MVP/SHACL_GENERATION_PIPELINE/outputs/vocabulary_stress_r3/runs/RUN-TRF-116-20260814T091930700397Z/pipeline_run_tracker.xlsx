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25a1882a9d4b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4136da17394855"/>
    <x:sheet xmlns:r="http://schemas.openxmlformats.org/officeDocument/2006/relationships" name="README" sheetId="2" r:id="R5af4da49194a4220"/>
    <x:sheet xmlns:r="http://schemas.openxmlformats.org/officeDocument/2006/relationships" name="REGULATION_QUEUE" sheetId="3" r:id="Rf3efcc366ccd4599"/>
    <x:sheet xmlns:r="http://schemas.openxmlformats.org/officeDocument/2006/relationships" name="RUNS" sheetId="4" r:id="Ra9104dd8a0794038"/>
    <x:sheet xmlns:r="http://schemas.openxmlformats.org/officeDocument/2006/relationships" name="ITERATIONS" sheetId="5" r:id="Rf17557bc2eb84078"/>
    <x:sheet xmlns:r="http://schemas.openxmlformats.org/officeDocument/2006/relationships" name="API_CALLS" sheetId="6" r:id="Ra29216c0c61a4f17"/>
    <x:sheet xmlns:r="http://schemas.openxmlformats.org/officeDocument/2006/relationships" name="TERM_RETRIEVAL" sheetId="7" r:id="R41a98836b1064c92"/>
    <x:sheet xmlns:r="http://schemas.openxmlformats.org/officeDocument/2006/relationships" name="FEW_SHOT_SELECTION" sheetId="8" r:id="R08b0301d6ab54cf2"/>
    <x:sheet xmlns:r="http://schemas.openxmlformats.org/officeDocument/2006/relationships" name="VALIDATION" sheetId="9" r:id="R13928932921d4b67"/>
    <x:sheet xmlns:r="http://schemas.openxmlformats.org/officeDocument/2006/relationships" name="VOCAB_MATCHES" sheetId="10" r:id="Ra27f4bd9d063452f"/>
    <x:sheet xmlns:r="http://schemas.openxmlformats.org/officeDocument/2006/relationships" name="ARTIFACTS" sheetId="11" r:id="Rd4bdc5aa8d30480b"/>
    <x:sheet xmlns:r="http://schemas.openxmlformats.org/officeDocument/2006/relationships" name="UNRESOLVED" sheetId="12" r:id="R005cd5360f0b4c51"/>
    <x:sheet xmlns:r="http://schemas.openxmlformats.org/officeDocument/2006/relationships" name="RDF_TEST_QUEUE" sheetId="13" r:id="R6850e3db7e0f41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9369d85594426b" /><Relationship Type="http://schemas.openxmlformats.org/officeDocument/2006/relationships/theme" Target="/xl/theme/theme1.xml" Id="R466a3c8b9a56498b" /><Relationship Type="http://schemas.microsoft.com/office/2022/11/relationships/FeaturePropertyBag" Target="/xl/featurePropertyBag/featurePropertyBag.xml" Id="Rf2602a2d653a4cd4" /><Relationship Type="http://schemas.openxmlformats.org/officeDocument/2006/relationships/sharedStrings" Target="/xl/sharedStrings.xml" Id="R97990128eec04d3d" /><Relationship Type="http://schemas.openxmlformats.org/officeDocument/2006/relationships/worksheet" Target="/xl/worksheets/sheet1.xml" Id="R4c4136da17394855" /><Relationship Type="http://schemas.openxmlformats.org/officeDocument/2006/relationships/worksheet" Target="/xl/worksheets/sheet2.xml" Id="R5af4da49194a4220" /><Relationship Type="http://schemas.openxmlformats.org/officeDocument/2006/relationships/worksheet" Target="/xl/worksheets/sheet3.xml" Id="Rf3efcc366ccd4599" /><Relationship Type="http://schemas.openxmlformats.org/officeDocument/2006/relationships/worksheet" Target="/xl/worksheets/sheet4.xml" Id="Ra9104dd8a0794038" /><Relationship Type="http://schemas.openxmlformats.org/officeDocument/2006/relationships/worksheet" Target="/xl/worksheets/sheet5.xml" Id="Rf17557bc2eb84078" /><Relationship Type="http://schemas.openxmlformats.org/officeDocument/2006/relationships/worksheet" Target="/xl/worksheets/sheet6.xml" Id="Ra29216c0c61a4f17" /><Relationship Type="http://schemas.openxmlformats.org/officeDocument/2006/relationships/worksheet" Target="/xl/worksheets/sheet7.xml" Id="R41a98836b1064c92" /><Relationship Type="http://schemas.openxmlformats.org/officeDocument/2006/relationships/worksheet" Target="/xl/worksheets/sheet8.xml" Id="R08b0301d6ab54cf2" /><Relationship Type="http://schemas.openxmlformats.org/officeDocument/2006/relationships/worksheet" Target="/xl/worksheets/sheet9.xml" Id="R13928932921d4b67" /><Relationship Type="http://schemas.openxmlformats.org/officeDocument/2006/relationships/worksheet" Target="/xl/worksheets/sheet10.xml" Id="Ra27f4bd9d063452f" /><Relationship Type="http://schemas.openxmlformats.org/officeDocument/2006/relationships/worksheet" Target="/xl/worksheets/sheet11.xml" Id="Rd4bdc5aa8d30480b" /><Relationship Type="http://schemas.openxmlformats.org/officeDocument/2006/relationships/worksheet" Target="/xl/worksheets/sheet12.xml" Id="R005cd5360f0b4c51" /><Relationship Type="http://schemas.openxmlformats.org/officeDocument/2006/relationships/worksheet" Target="/xl/worksheets/sheet13.xml" Id="R6850e3db7e0f41c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bbbf4aff0546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08277da5eb47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9a82b9bdf746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16c6e254d948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429884980e44b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872ee9757d84c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babcb9704d246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909c08a1c39463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2993c8d8e214f1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a82c1464b8c4b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RUN-TRF-116-20260814T091930700397Z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19206.658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RUN-TRF-116-20260814T091930700397Z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4bbbf4aff0546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RUN-TRF-116-20260814T091930700397Z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MAX_ATTEMPTS_REACHED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08277da5eb47d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RUN-TRF-116-20260814T091930700397Z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RUN-TRF-116-20260814T091930700397Z</x:v>
      </x:c>
      <x:c r="C5" s="69" t="str">
        <x:v>TRF-116</x:v>
      </x:c>
      <x:c r="D5" s="70" t="n">
        <x:v>46248.388549780095</x:v>
      </x:c>
      <x:c r="E5" s="70" t="n">
        <x:v>46248.38900546297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each sh:datatype qudt:QuantityValue with sh:class qudt:QuantityValue (retain nested numeric-value and unit constraints), and do not use the unregistered nltl:TRF_116_ShipShape IRI; use a non-canonical shape IRI or blank-node shape. Remove unsupported sh:minCount 1 requirements, since this conditional/formula rule does not independently require every ship to report the operands, exception flag, or result. Revise the bounded formula query to calculate the expected radius R_ceq directly and compare reported radius against it using a tolerance scaled from expected R_ceq (with the absolute fallback), rather than comparing squared values with a tolerance scaled from expectedSquared; preserve the cap condition and propeller-hub/thruster-end-cap exception.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9a82b9bdf7460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RUN-TRF-116-20260814T091930700397Z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RUN-TRF-116-20260814T091930700397Z</x:v>
      </x:c>
      <x:c r="B5" s="69" t="str">
        <x:v>TRF-116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Unknown canonical benchmark IRI(s): https://w3id.org/nltl-benchmark/vocab#TRF_116_ShipShape | Quantity property designIceThickness must point to a QUDT QuantityValue node, not a direct literal datatype | Quantity property nonHemisphericalImpactContactArea must point to a QUDT QuantityValue node, not a direct literal datatype | Quantity property equivalentImpactSphereRadius must point to a QUDT QuantityValue node, not a direct literal datatype
Semantic validator feedback: Replace each sh:datatype qudt:QuantityValue with sh:class qudt:QuantityValue (retain nested numeric-value and unit constraints), and do not use the unregistered nltl:TRF_116_ShipShape IRI; use a non-canonical shape IRI or blank-node shape. Remove unsupported sh:minCount 1 requirements, since this conditional/formula rule does not independently require every ship to report the operands, exception flag, or result. Revise the bounded formula query to calculate the expected radius R_ceq directly and compare reported radius against it using a tolerance scaled from expected R_ceq (with the absolute fallback), rather than comparing squared values with a tolerance scaled from expectedSquared; preserve the cap condition and propeller-hub/thruster-end-cap exception.</x:v>
      </x:c>
      <x:c r="I5" s="75" t="n">
        <x:v>27748.643</x:v>
      </x:c>
      <x:c r="J5" s="75" t="n">
        <x:v>10666.423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16c6e254d948d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RUN-TRF-116-20260814T091930700397Z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RUN-TRF-116-20260814T091930700397Z</x:v>
      </x:c>
      <x:c r="C5" s="45" t="str">
        <x:v>TRF-116</x:v>
      </x:c>
      <x:c r="D5" s="88" t="n">
        <x:v>46248.38887096065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27746.866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RUN-TRF-116-20260814T091930700397Z</x:v>
      </x:c>
      <x:c r="C6" s="47" t="str">
        <x:v>TRF-116</x:v>
      </x:c>
      <x:c r="D6" s="91" t="n">
        <x:v>46248.3888709838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27748.643</x:v>
      </x:c>
      <x:c r="L6" s="93" t="b">
        <x:v>0</x:v>
      </x:c>
      <x:c r="M6" s="47" t="str">
        <x:v>resp_092c15dace851725006a7edda2e0c4819484ea17efdaaaa4ab</x:v>
      </x:c>
      <x:c r="N6" s="59" t="n">
        <x:v>6506</x:v>
      </x:c>
      <x:c r="O6" s="59" t="n">
        <x:v>2576</x:v>
      </x:c>
      <x:c r="P6" s="59" t="n">
        <x:v>9082</x:v>
      </x:c>
    </x:row>
    <x:row r="7">
      <x:c r="A7" s="47" t="str">
        <x:v>EVT-000025</x:v>
      </x:c>
      <x:c r="B7" s="47" t="str">
        <x:v>RUN-TRF-116-20260814T091930700397Z</x:v>
      </x:c>
      <x:c r="C7" s="47" t="str">
        <x:v>TRF-116</x:v>
      </x:c>
      <x:c r="D7" s="91" t="n">
        <x:v>46248.38900538194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10664.7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RUN-TRF-116-20260814T091930700397Z</x:v>
      </x:c>
      <x:c r="C8" s="49" t="str">
        <x:v>TRF-116</x:v>
      </x:c>
      <x:c r="D8" s="94" t="n">
        <x:v>46248.38900540509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10666.423</x:v>
      </x:c>
      <x:c r="L8" s="96" t="b">
        <x:v>0</x:v>
      </x:c>
      <x:c r="M8" s="49" t="str">
        <x:v>resp_097df857cc8fa797006a7eddbf85fc819588bab6f27234cafc</x:v>
      </x:c>
      <x:c r="N8" s="60" t="n">
        <x:v>8189</x:v>
      </x:c>
      <x:c r="O8" s="60" t="n">
        <x:v>837</x:v>
      </x:c>
      <x:c r="P8" s="60" t="n">
        <x:v>9026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29884980e44b6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RUN-TRF-116-20260814T091930700397Z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RUN-TRF-116-20260814T091930700397Z</x:v>
      </x:c>
      <x:c r="B5" s="45" t="str">
        <x:v>TRF-116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nonHemisphericalImpactArea</x:v>
      </x:c>
      <x:c r="J5" s="45" t="n">
        <x:v>0</x:v>
      </x:c>
    </x:row>
    <x:row r="6">
      <x:c r="A6" s="47" t="str">
        <x:v>RUN-TRF-116-20260814T091930700397Z</x:v>
      </x:c>
      <x:c r="B6" s="47" t="str">
        <x:v>TRF-116</x:v>
      </x:c>
      <x:c r="C6" s="47" t="str">
        <x:v>designIceThickness</x:v>
      </x:c>
      <x:c r="D6" s="48" t="str">
        <x:v>https://w3id.org/nltl-benchmark/vocab#designIceThickness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RUN-TRF-116-20260814T091930700397Z</x:v>
      </x:c>
      <x:c r="B7" s="47" t="str">
        <x:v>TRF-116</x:v>
      </x:c>
      <x:c r="C7" s="47" t="str">
        <x:v>equivalentImpactSphereRadius</x:v>
      </x:c>
      <x:c r="D7" s="48" t="str">
        <x:v>https://w3id.org/nltl-benchmark/vocab#equivalentImpactSphereRadius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RUN-TRF-116-20260814T091930700397Z</x:v>
      </x:c>
      <x:c r="B8" s="47" t="str">
        <x:v>TRF-116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RUN-TRF-116-20260814T091930700397Z</x:v>
      </x:c>
      <x:c r="B9" s="47" t="str">
        <x:v>TRF-116</x:v>
      </x:c>
      <x:c r="C9" s="47" t="str">
        <x:v>nonHemisphericalImpactArea</x:v>
      </x:c>
      <x:c r="D9" s="48" t="str">
        <x:v>https://w3id.org/nltl-benchmark/vocab#nonHemisphericalImpactArea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RUN-TRF-116-20260814T091930700397Z</x:v>
      </x:c>
      <x:c r="B10" s="47" t="str">
        <x:v>TRF-116</x:v>
      </x:c>
      <x:c r="C10" s="47" t="str">
        <x:v>nonHemisphericalImpactContactArea</x:v>
      </x:c>
      <x:c r="D10" s="48" t="str">
        <x:v>https://w3id.org/nltl-benchmark/vocab#nonHemisphericalImpactContactArea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RUN-TRF-116-20260814T091930700397Z</x:v>
      </x:c>
      <x:c r="B11" s="47" t="str">
        <x:v>TRF-116</x:v>
      </x:c>
      <x:c r="C11" s="47" t="str">
        <x:v>propellerHubOrThrusterEndCapImpact</x:v>
      </x:c>
      <x:c r="D11" s="48" t="str">
        <x:v>https://w3id.org/nltl-benchmark/vocab#propellerHubOrThrusterEndCapImpact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RUN-TRF-116-20260814T091930700397Z</x:v>
      </x:c>
      <x:c r="B12" s="47" t="str">
        <x:v>TRF-116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nonHemisphericalImpactContactArea; domain dependency of propellerHubOrThrusterEndCapImpact</x:v>
      </x:c>
      <x:c r="J12" s="47" t="n">
        <x:v>0</x:v>
      </x:c>
    </x:row>
    <x:row r="13">
      <x:c r="A13" s="49" t="str">
        <x:v>RUN-TRF-116-20260814T091930700397Z</x:v>
      </x:c>
      <x:c r="B13" s="49" t="str">
        <x:v>TRF-116</x:v>
      </x:c>
      <x:c r="C13" s="49" t="str">
        <x:v>shipComponent</x:v>
      </x:c>
      <x:c r="D13" s="50" t="str">
        <x:v>https://w3id.org/nltl-benchmark/vocab#shipComponent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872ee9757d84cc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RUN-TRF-116-20260814T091930700397Z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RUN-TRF-116-20260814T091930700397Z</x:v>
      </x:c>
      <x:c r="B5" s="45" t="str">
        <x:v>TRF-116</x:v>
      </x:c>
      <x:c r="C5" s="45" t="str">
        <x:v>FS-CALC-02</x:v>
      </x:c>
      <x:c r="D5" s="45" t="str">
        <x:v>comparison_calculation</x:v>
      </x:c>
      <x:c r="E5" s="99" t="n">
        <x:v>0.111111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RUN-TRF-116-20260814T091930700397Z</x:v>
      </x:c>
      <x:c r="B6" s="49" t="str">
        <x:v>TRF-116</x:v>
      </x:c>
      <x:c r="C6" s="49" t="str">
        <x:v>FS-BOOL-01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abcb9704d2465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RUN-TRF-116-20260814T091930700397Z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RUN-TRF-116-20260814T091930700397Z</x:v>
      </x:c>
      <x:c r="B5" s="69" t="str">
        <x:v>TRF-116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0</x:v>
      </x:c>
      <x:c r="K5" s="102" t="b">
        <x:v>1</x:v>
      </x:c>
      <x:c r="L5" s="73" t="str">
        <x:v>Unknown canonical benchmark IRI(s): https://w3id.org/nltl-benchmark/vocab#TRF_116_ShipShape | Quantity property designIceThickness must point to a QUDT QuantityValue node, not a direct literal datatype | Quantity property nonHemisphericalImpactContactArea must point to a QUDT QuantityValue node, not a direct literal datatype | Quantity property equivalentImpactSphereRadius must point to a QUDT QuantityValue node, not a direct literal datatype</x:v>
      </x:c>
      <x:c r="M5" s="73" t="str"/>
      <x:c r="N5" s="73" t="str">
        <x:v>https://w3id.org/nltl-benchmark/vocab#TRF_116_ShipShape | https://w3id.org/nltl-benchmark/vocab#designIceThickness | https://w3id.org/nltl-benchmark/vocab#equivalentImpactSphereRadius | https://w3id.org/nltl-benchmark/vocab#nonHemisphericalImpactContactArea | https://w3id.org/nltl-benchmark/vocab#propellerHubOrThrusterEndCapImpact | https://w3id.org/nltl-benchmark/vocab#ship</x:v>
      </x:c>
      <x:c r="O5" s="73" t="str">
        <x:v>https://w3id.org/nltl-benchmark/vocab#TRF_116_ShipShape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909c08a1c39463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RUN-TRF-116-20260814T091930700397Z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RUN-TRF-116-20260814T091930700397Z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RUN-TRF-116-20260814T091930700397Z</x:v>
      </x:c>
      <x:c r="B5" s="45" t="str">
        <x:v>TRF-116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6edd18a8ec9c0434658ada8df7e0155b012830012ba27dcf35dc45e0a779822a</x:v>
      </x:c>
      <x:c r="G5" s="58" t="n">
        <x:v>13751</x:v>
      </x:c>
    </x:row>
    <x:row r="6">
      <x:c r="A6" s="47" t="str">
        <x:v>RUN-TRF-116-20260814T091930700397Z</x:v>
      </x:c>
      <x:c r="B6" s="47" t="str">
        <x:v>TRF-116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d378c5a99dbb8ee17a7c9b0ad9dde483f70a2379803c3c736d8c3555394da9db</x:v>
      </x:c>
      <x:c r="G6" s="59" t="n">
        <x:v>4859</x:v>
      </x:c>
    </x:row>
    <x:row r="7">
      <x:c r="A7" s="47" t="str">
        <x:v>RUN-TRF-116-20260814T091930700397Z</x:v>
      </x:c>
      <x:c r="B7" s="47" t="str">
        <x:v>TRF-116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9713d25d7fba4865ffb384b9656c98afae0890c79790f12c23219add31e07b68</x:v>
      </x:c>
      <x:c r="G7" s="59" t="n">
        <x:v>27244</x:v>
      </x:c>
    </x:row>
    <x:row r="8">
      <x:c r="A8" s="47" t="str">
        <x:v>RUN-TRF-116-20260814T091930700397Z</x:v>
      </x:c>
      <x:c r="B8" s="47" t="str">
        <x:v>TRF-116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b36ee1cbc55627e50b3eceba50d1ca6bd81bec8134109bf09d4eae0213d42948</x:v>
      </x:c>
      <x:c r="G8" s="59" t="n">
        <x:v>4249</x:v>
      </x:c>
    </x:row>
    <x:row r="9">
      <x:c r="A9" s="47" t="str">
        <x:v>RUN-TRF-116-20260814T091930700397Z</x:v>
      </x:c>
      <x:c r="B9" s="47" t="str">
        <x:v>TRF-116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0213f5acbd1df92fdfaa5192171f18bdf4975b0747946a636863dd6c598de997</x:v>
      </x:c>
      <x:c r="G9" s="59" t="n">
        <x:v>4224</x:v>
      </x:c>
    </x:row>
    <x:row r="10">
      <x:c r="A10" s="47" t="str">
        <x:v>RUN-TRF-116-20260814T091930700397Z</x:v>
      </x:c>
      <x:c r="B10" s="47" t="str">
        <x:v>TRF-116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1235349554c785fc0810a188c4cb0ed78c47639e20517cc1fe18635ae2eab0f3</x:v>
      </x:c>
      <x:c r="G10" s="59" t="n">
        <x:v>1338</x:v>
      </x:c>
    </x:row>
    <x:row r="11">
      <x:c r="A11" s="47" t="str">
        <x:v>RUN-TRF-116-20260814T091930700397Z</x:v>
      </x:c>
      <x:c r="B11" s="47" t="str">
        <x:v>TRF-116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1b5a19ed0790fc1ddb3c0d3176045f5c7313e10bba1a9581a8c8b38d78cec43f</x:v>
      </x:c>
      <x:c r="G11" s="59" t="n">
        <x:v>32267</x:v>
      </x:c>
    </x:row>
    <x:row r="12">
      <x:c r="A12" s="49" t="str">
        <x:v>RUN-TRF-116-20260814T091930700397Z</x:v>
      </x:c>
      <x:c r="B12" s="49" t="str">
        <x:v>TRF-116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9ff0df980f6af41b3a01375e213e0317f6ffa45e95b97097a4d655d49c7a67ef</x:v>
      </x:c>
      <x:c r="G12" s="60" t="n">
        <x:v>830</x:v>
      </x:c>
    </x:row>
  </x:sheetData>
  <x:pageMargins left="0.7" right="0.7" top="0.75" bottom="0.75" header="0.3" footer="0.3"/>
  <x:tableParts count="1">
    <x:tablePart xmlns:r="http://schemas.openxmlformats.org/officeDocument/2006/relationships" r:id="R32993c8d8e214f1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RUN-TRF-116-20260814T091930700397Z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RUN-TRF-116-20260814T091930700397Z</x:v>
      </x:c>
      <x:c r="B5" s="69" t="str">
        <x:v>TRF-116</x:v>
      </x:c>
      <x:c r="C5" s="71" t="n">
        <x:v>1</x:v>
      </x:c>
      <x:c r="D5" s="69" t="str">
        <x:v>MAX_ATTEMPTS_REACHED</x:v>
      </x:c>
      <x:c r="E5" s="73" t="str">
        <x:v>Replace each sh:datatype qudt:QuantityValue with sh:class qudt:QuantityValue (retain nested numeric-value and unit constraints), and do not use the unregistered nltl:TRF_116_ShipShape IRI; use a non-canonical shape IRI or blank-node shape. Remove unsupported sh:minCount 1 requirements, since this conditional/formula rule does not independently require every ship to report the operands, exception flag, or result. Revise the bounded formula query to calculate the expected radius R_ceq directly and compare reported radius against it using a tolerance scaled from expected R_ceq (with the absolute fallback), rather than comparing squared values with a tolerance scaled from expectedSquared; preserve the cap condition and propeller-hub/thruster-end-cap exception.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82c1464b8c4be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RUN-TRF-116-20260814T091930700397Z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