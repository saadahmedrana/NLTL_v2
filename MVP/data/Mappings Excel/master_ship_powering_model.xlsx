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feb10f263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ed978c51c34440a"/>
    <x:sheet xmlns:r="http://schemas.openxmlformats.org/officeDocument/2006/relationships" name="Range_Validity" sheetId="2" r:id="Rb26fcc747c764ff3"/>
    <x:sheet xmlns:r="http://schemas.openxmlformats.org/officeDocument/2006/relationships" name="Constants" sheetId="3" r:id="R3f0f45c70c0b4706"/>
    <x:sheet xmlns:r="http://schemas.openxmlformats.org/officeDocument/2006/relationships" name="Sample_Ships" sheetId="4" r:id="R5afa75549fff431d"/>
    <x:sheet xmlns:r="http://schemas.openxmlformats.org/officeDocument/2006/relationships" name="Calc_NewShips" sheetId="5" r:id="R95a3284127294b49"/>
    <x:sheet xmlns:r="http://schemas.openxmlformats.org/officeDocument/2006/relationships" name="Calc_Existing" sheetId="6" r:id="Rfac712ee6fa24761"/>
    <x:sheet xmlns:r="http://schemas.openxmlformats.org/officeDocument/2006/relationships" name="Master_Ship_Template" sheetId="7" r:id="R10be8108d9fe4d03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Source formulas: TRAFICOM 2021 Ice Class Regulations, section 3.2.2 / 3.2.4 and Annex I. Sample inputs mirror Table I-1. Range-of-validity limits mirror Annex I table.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Source formulas: TRAFICOM 2021 Ice Class Regulations, section 3.2.2 / 3.2.4 and Annex I. Sample inputs mirror Table I-1. Range-of-validity limits mirror Annex I table.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Source formulas: TRAFICOM 2021 Ice Class Regulations, section 3.2.2 / 3.2.4 and Annex I. Sample inputs mirror Table I-1. Range-of-validity limits mirror Annex I table.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Source formulas: TRAFICOM 2021 Ice Class Regulations, section 3.2.2 / 3.2.4 and Annex I. Sample inputs mirror Table I-1. Range-of-validity limits mirror Annex I table.</x:t>
        </x:r>
      </x:text>
    </x:comment>
  </x:commentList>
</x:comments>
</file>

<file path=xl/comments5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Source formulas: TRAFICOM 2021 Ice Class Regulations, section 3.2.2 / 3.2.4 and Annex I. Sample inputs mirror Table I-1. Range-of-validity limits mirror Annex I table.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"/>
    <x:numFmt numFmtId="165" formatCode="0.0"/>
  </x:numFmts>
  <x:fonts count="7">
    <x:font>
      <x:sz val="11"/>
      <x:color theme="1"/>
      <x:name val="Calibri"/>
      <x:family val="2"/>
      <x:scheme val="minor"/>
    </x:font>
    <x:font>
      <x:b/>
      <x:sz val="16"/>
    </x:font>
    <x:font>
      <x:b/>
    </x:font>
    <x:font>
      <x:b/>
      <x:color rgb="00FFFFFF"/>
    </x:font>
    <x:font>
      <x:color rgb="00008000"/>
    </x:font>
    <x:font>
      <x:color rgb="000000FF"/>
    </x:font>
    <x:font>
      <x:color rgb="00000000"/>
    </x:font>
  </x:fonts>
  <x:fills count="8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  <x:fill>
      <x:patternFill patternType="solid">
        <x:fgColor rgb="00E7E6E6"/>
      </x:patternFill>
    </x:fill>
    <x:fill>
      <x:patternFill patternType="solid">
        <x:fgColor rgb="00FCE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center" wrapText="1"/>
    </x:xf>
    <x:xf numFmtId="0" fontId="3" fillId="2" borderId="0" xfId="0" applyAlignment="1">
      <x:alignment vertical="center"/>
    </x:xf>
    <x:xf numFmtId="0" fontId="3" fillId="2" borderId="0" xfId="0" applyAlignment="1">
      <x:alignment horizontal="center" vertical="center" wrapText="1"/>
    </x:xf>
    <x:xf numFmtId="0" fontId="0" fillId="3" borderId="0" xfId="0" applyAlignment="1">
      <x:alignment horizontal="center" vertical="center" wrapText="1"/>
    </x:xf>
    <x:xf numFmtId="0" fontId="0" fillId="3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4" fillId="4" borderId="0" xfId="0" applyAlignment="1">
      <x:alignment horizontal="center" vertical="center" wrapText="1"/>
    </x:xf>
    <x:xf numFmtId="0" fontId="5" fillId="5" borderId="0" xfId="0" applyAlignment="1">
      <x:alignment horizontal="center" vertical="center" wrapText="1"/>
    </x:xf>
    <x:xf numFmtId="165" fontId="4" fillId="4" borderId="0" xfId="0" applyAlignment="1">
      <x:alignment horizontal="center" vertical="center" wrapText="1"/>
    </x:xf>
    <x:xf numFmtId="164" fontId="6" fillId="6" borderId="0" xfId="0" applyAlignment="1">
      <x:alignment horizontal="center" vertical="center" wrapText="1"/>
    </x:xf>
    <x:xf numFmtId="0" fontId="6" fillId="7" borderId="0" xfId="0" applyAlignment="1">
      <x:alignment horizontal="center" vertical="center" wrapText="1"/>
    </x:xf>
    <x:xf numFmtId="165" fontId="6" fillId="6" borderId="0" xfId="0" applyAlignment="1">
      <x:alignment horizontal="center" vertical="center" wrapText="1"/>
    </x:xf>
    <x:xf numFmtId="165" fontId="6" fillId="7" borderId="0" xfId="0" applyAlignment="1">
      <x:alignment horizontal="center" vertical="center" wrapText="1"/>
    </x:xf>
    <x:xf numFmtId="0" fontId="6" fillId="6" borderId="0" xfId="0" applyAlignment="1">
      <x:alignment horizontal="center" vertical="center" wrapText="1"/>
    </x:xf>
    <x:xf numFmtId="0" fontId="2" fillId="0" borderId="0" xfId="0" applyAlignment="1">
      <x:alignment vertical="center" wrapText="1"/>
    </x:xf>
    <x:xf numFmtId="0" fontId="5" fillId="5" borderId="0" xfId="0" applyAlignment="1">
      <x:alignment vertical="center" wrapText="1"/>
    </x:xf>
    <x:xf numFmtId="0" fontId="0" fillId="4" borderId="0" xfId="0" applyAlignment="1">
      <x:alignment vertical="center" wrapText="1"/>
    </x:xf>
    <x:xf numFmtId="0" fontId="6" fillId="5" borderId="0" xfId="0"/>
    <x:xf numFmtId="0" fontId="6" fillId="6" borderId="0" xfId="0"/>
    <x:xf numFmtId="165" fontId="0" fillId="4" borderId="0" xfId="0" applyAlignment="1">
      <x:alignment horizontal="center" vertical="center" wrapText="1"/>
    </x:xf>
    <x:xf numFmtId="165" fontId="0" fillId="6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53014a35d44f9" /><Relationship Type="http://schemas.openxmlformats.org/officeDocument/2006/relationships/theme" Target="/xl/theme/theme1.xml" Id="Re58ae119d50e445c" /><Relationship Type="http://schemas.openxmlformats.org/officeDocument/2006/relationships/sharedStrings" Target="/xl/sharedStrings.xml" Id="R89767dbb83804e75" /><Relationship Type="http://schemas.openxmlformats.org/officeDocument/2006/relationships/worksheet" Target="/xl/worksheets/sheet1.xml" Id="Rced978c51c34440a" /><Relationship Type="http://schemas.openxmlformats.org/officeDocument/2006/relationships/worksheet" Target="/xl/worksheets/sheet2.xml" Id="Rb26fcc747c764ff3" /><Relationship Type="http://schemas.openxmlformats.org/officeDocument/2006/relationships/worksheet" Target="/xl/worksheets/sheet3.xml" Id="R3f0f45c70c0b4706" /><Relationship Type="http://schemas.openxmlformats.org/officeDocument/2006/relationships/worksheet" Target="/xl/worksheets/sheet4.xml" Id="R5afa75549fff431d" /><Relationship Type="http://schemas.openxmlformats.org/officeDocument/2006/relationships/worksheet" Target="/xl/worksheets/sheet5.xml" Id="R95a3284127294b49" /><Relationship Type="http://schemas.openxmlformats.org/officeDocument/2006/relationships/worksheet" Target="/xl/worksheets/sheet6.xml" Id="Rfac712ee6fa24761" /><Relationship Type="http://schemas.openxmlformats.org/officeDocument/2006/relationships/worksheet" Target="/xl/worksheets/sheet7.xml" Id="R10be8108d9fe4d03" /><Relationship Type="http://schemas.microsoft.com/office/2017/10/relationships/person" Target="/xl/persons/person.xml" Id="R6719615eaa514843" /></Relationships>
</file>

<file path=xl/persons/person.xml><?xml version="1.0" encoding="utf-8"?>
<xltc:personList xmlns:xltc="http://schemas.microsoft.com/office/spreadsheetml/2018/threadedcomments">
  <xltc:person displayName="OpenAI" id="{4F1F2AFD-0FAC-3BD2-B1BA-6C7DC68BC5E0}"/>
  <xltc:person displayName="OpenAI" id="{732558A9-1213-D9D8-16B8-6139029486CC}"/>
  <xltc:person displayName="OpenAI" id="{12E04FF6-8421-DADE-96BE-872B17311DCA}"/>
  <xltc:person displayName="OpenAI" id="{0A6F5361-4EF4-06A6-D574-B826F9D87A1A}"/>
  <xltc:person displayName="OpenAI" id="{348B2719-682A-8846-DC4F-3DCC0C4E50CB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435ae2505e14698" /><Relationship Type="http://schemas.openxmlformats.org/officeDocument/2006/relationships/vmlDrawing" Target="/xl/drawings/vmldrawing.vml" Id="R272bdde366ad48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e3b4686ae9d14f09" /><Relationship Type="http://schemas.openxmlformats.org/officeDocument/2006/relationships/vmlDrawing" Target="/xl/drawings/vmldrawing2.vml" Id="Rffa3a23683e148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c8696d87865f43fa" /><Relationship Type="http://schemas.openxmlformats.org/officeDocument/2006/relationships/vmlDrawing" Target="/xl/drawings/vmldrawing3.vml" Id="R365b8f7a676947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a4cc20383e9e4002" /><Relationship Type="http://schemas.openxmlformats.org/officeDocument/2006/relationships/vmlDrawing" Target="/xl/drawings/vmldrawing4.vml" Id="R94395fedee0448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5.xml" Id="R2a73326cc0f74f14" /><Relationship Type="http://schemas.openxmlformats.org/officeDocument/2006/relationships/vmlDrawing" Target="/xl/drawings/vmldrawing5.vml" Id="Ra920d81794c449b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92" customWidth="1"/>
    <x:col min="3" max="3" width="18" customWidth="1"/>
    <x:col min="4" max="4" width="18" customWidth="1"/>
    <x:col min="5" max="5" width="18" customWidth="1"/>
    <x:col min="6" max="6" width="18" customWidth="1"/>
  </x:cols>
  <x:sheetData>
    <x:row r="1">
      <x:c r="A1" s="1" t="inlineStr">
        <x:is>
          <x:t xml:space="preserve">Master Ship Powering Workbook</x:t>
        </x:is>
      </x:c>
    </x:row>
    <x:row r="3">
      <x:c r="A3" s="2" t="inlineStr">
        <x:is>
          <x:t xml:space="preserve">Purpose</x:t>
        </x:is>
      </x:c>
      <x:c r="B3" s="3" t="inlineStr">
        <x:is>
          <x:t xml:space="preserve">Collect Annex I / sample-ship powering inputs and calculate minimum engine power from TRAFICOM formulas for realistic master-ship modelling.</x:t>
        </x:is>
      </x:c>
    </x:row>
    <x:row r="4">
      <x:c r="A4" s="2" t="inlineStr">
        <x:is>
          <x:t xml:space="preserve">Primary sources</x:t>
        </x:is>
      </x:c>
      <x:c r="B4" s="3" t="inlineStr">
        <x:is>
          <x:t xml:space="preserve">TRAFICOM.pdf (sections 3.2.2, 3.2.4, Annex I) and finnish-swedish_iceclass_rules (2).pdf Annex I screenshots.</x:t>
        </x:is>
      </x:c>
    </x:row>
    <x:row r="5">
      <x:c r="A5" s="2" t="inlineStr">
        <x:is>
          <x:t xml:space="preserve">What Annex I gives you</x:t>
        </x:is>
      </x:c>
      <x:c r="B5" s="3" t="inlineStr">
        <x:is>
          <x:t xml:space="preserve">1) Range-of-validity limits for powering formula inputs. 2) Nine sample ships with geometry / propulsion inputs and expected minimum engine power outputs.</x:t>
        </x:is>
      </x:c>
    </x:row>
    <x:row r="6">
      <x:c r="A6" s="2" t="inlineStr">
        <x:is>
          <x:t xml:space="preserve">What is still missing for a master ship code model</x:t>
        </x:is>
      </x:c>
      <x:c r="B6" s="3" t="inlineStr">
        <x:is>
          <x:t xml:space="preserve">The regulation requires calculation at both UIWL and LIWL; therefore the master RDF/TTL ship must also carry draught-specific values and additional SHACL variables beyond Annex I.</x:t>
        </x:is>
      </x:c>
    </x:row>
    <x:row r="8">
      <x:c r="A8" s="4" t="inlineStr">
        <x:is>
          <x:t xml:space="preserve">Suggested modelling strategy</x:t>
        </x:is>
      </x:c>
    </x:row>
    <x:row r="9">
      <x:c r="A9" t="inlineStr">
        <x:is>
          <x:t xml:space="preserve">1.</x:t>
        </x:is>
      </x:c>
      <x:c r="B9" s="3" t="inlineStr">
        <x:is>
          <x:t xml:space="preserve">Use one representative sample ship as the base master ship (default template here uses Sample Ship #1, IA Super, 1/CP).</x:t>
        </x:is>
      </x:c>
    </x:row>
    <x:row r="10">
      <x:c r="A10" t="inlineStr">
        <x:is>
          <x:t xml:space="preserve">2.</x:t>
        </x:is>
      </x:c>
      <x:c r="B10" s="3" t="inlineStr">
        <x:is>
          <x:t xml:space="preserve">Keep Annex-I variables as the core powering geometry block: ice class, alpha, phi1, phi2, L, B, T, LBOW, LPAR, Awf, Dp, propeller count/type.</x:t>
        </x:is>
      </x:c>
    </x:row>
    <x:row r="11">
      <x:c r="A11" t="inlineStr">
        <x:is>
          <x:t xml:space="preserve">3.</x:t>
        </x:is>
      </x:c>
      <x:c r="B11" s="3" t="inlineStr">
        <x:is>
          <x:t xml:space="preserve">Add draught-specific master-ship data required by the actual rule text: UIWL, LIWL, forward/midships/aft draughts, and any variables that change with draught.</x:t>
        </x:is>
      </x:c>
    </x:row>
    <x:row r="12">
      <x:c r="A12" t="inlineStr">
        <x:is>
          <x:t xml:space="preserve">4.</x:t>
        </x:is>
      </x:c>
      <x:c r="B12" s="3" t="inlineStr">
        <x:is>
          <x:t xml:space="preserve">Add SHACL-support variables used in your rules.txt, e.g. engine power, waterlines, contraction date, regulatory version, hull region, propeller torque/thrust placeholders, etc.</x:t>
        </x:is>
      </x:c>
    </x:row>
  </x:sheetData>
  <x:mergeCells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0" customWidth="1"/>
    <x:col min="3" max="3" width="12" customWidth="1"/>
    <x:col min="4" max="4" width="12" customWidth="1"/>
    <x:col min="5" max="5" width="34" customWidth="1"/>
  </x:cols>
  <x:sheetData>
    <x:row r="1">
      <x:c r="A1" s="1" t="inlineStr">
        <x:is>
          <x:t xml:space="preserve">Annex I - Range of Validity</x:t>
        </x:is>
      </x:c>
    </x:row>
    <x:row r="3">
      <x:c r="A3" s="5" t="inlineStr">
        <x:is>
          <x:t xml:space="preserve">Parameter</x:t>
        </x:is>
      </x:c>
      <x:c r="B3" s="5" t="inlineStr">
        <x:is>
          <x:t xml:space="preserve">Units</x:t>
        </x:is>
      </x:c>
      <x:c r="C3" s="5" t="inlineStr">
        <x:is>
          <x:t xml:space="preserve">Minimum</x:t>
        </x:is>
      </x:c>
      <x:c r="D3" s="5" t="inlineStr">
        <x:is>
          <x:t xml:space="preserve">Maximum</x:t>
        </x:is>
      </x:c>
      <x:c r="E3" s="5" t="inlineStr">
        <x:is>
          <x:t xml:space="preserve">Notes</x:t>
        </x:is>
      </x:c>
    </x:row>
    <x:row r="4">
      <x:c r="A4" s="6" t="inlineStr">
        <x:is>
          <x:t xml:space="preserve">alpha</x:t>
        </x:is>
      </x:c>
      <x:c r="B4" s="6" t="inlineStr">
        <x:is>
          <x:t xml:space="preserve">degree</x:t>
        </x:is>
      </x:c>
      <x:c r="C4" s="6" t="n">
        <x:v>15</x:v>
      </x:c>
      <x:c r="D4" s="6" t="n">
        <x:v>55</x:v>
      </x:c>
      <x:c r="E4" s="7" t="inlineStr">
        <x:is>
          <x:t xml:space="preserve">Waterline angle at B/4</x:t>
        </x:is>
      </x:c>
    </x:row>
    <x:row r="5">
      <x:c r="A5" s="8" t="inlineStr">
        <x:is>
          <x:t xml:space="preserve">phi1</x:t>
        </x:is>
      </x:c>
      <x:c r="B5" s="8" t="inlineStr">
        <x:is>
          <x:t xml:space="preserve">degree</x:t>
        </x:is>
      </x:c>
      <x:c r="C5" s="8" t="n">
        <x:v>25</x:v>
      </x:c>
      <x:c r="D5" s="8" t="n">
        <x:v>90</x:v>
      </x:c>
      <x:c r="E5" s="3" t="inlineStr">
        <x:is>
          <x:t xml:space="preserve">Stem rake at centerline</x:t>
        </x:is>
      </x:c>
    </x:row>
    <x:row r="6">
      <x:c r="A6" s="6" t="inlineStr">
        <x:is>
          <x:t xml:space="preserve">phi2</x:t>
        </x:is>
      </x:c>
      <x:c r="B6" s="6" t="inlineStr">
        <x:is>
          <x:t xml:space="preserve">degree</x:t>
        </x:is>
      </x:c>
      <x:c r="C6" s="6" t="n">
        <x:v>10</x:v>
      </x:c>
      <x:c r="D6" s="6" t="n">
        <x:v>90</x:v>
      </x:c>
      <x:c r="E6" s="7" t="inlineStr">
        <x:is>
          <x:t xml:space="preserve">Bow rake at B/4</x:t>
        </x:is>
      </x:c>
    </x:row>
    <x:row r="7">
      <x:c r="A7" s="8" t="inlineStr">
        <x:is>
          <x:t xml:space="preserve">L</x:t>
        </x:is>
      </x:c>
      <x:c r="B7" s="8" t="inlineStr">
        <x:is>
          <x:t xml:space="preserve">m</x:t>
        </x:is>
      </x:c>
      <x:c r="C7" s="8" t="n">
        <x:v>65</x:v>
      </x:c>
      <x:c r="D7" s="8" t="n">
        <x:v>250</x:v>
      </x:c>
      <x:c r="E7" s="3" t="inlineStr">
        <x:is>
          <x:t xml:space="preserve">Length between perpendiculars</x:t>
        </x:is>
      </x:c>
    </x:row>
    <x:row r="8">
      <x:c r="A8" s="6" t="inlineStr">
        <x:is>
          <x:t xml:space="preserve">B</x:t>
        </x:is>
      </x:c>
      <x:c r="B8" s="6" t="inlineStr">
        <x:is>
          <x:t xml:space="preserve">m</x:t>
        </x:is>
      </x:c>
      <x:c r="C8" s="6" t="n">
        <x:v>11</x:v>
      </x:c>
      <x:c r="D8" s="6" t="n">
        <x:v>40</x:v>
      </x:c>
      <x:c r="E8" s="7" t="inlineStr">
        <x:is>
          <x:t xml:space="preserve">Maximum breadth</x:t>
        </x:is>
      </x:c>
    </x:row>
    <x:row r="9">
      <x:c r="A9" s="8" t="inlineStr">
        <x:is>
          <x:t xml:space="preserve">T</x:t>
        </x:is>
      </x:c>
      <x:c r="B9" s="8" t="inlineStr">
        <x:is>
          <x:t xml:space="preserve">m</x:t>
        </x:is>
      </x:c>
      <x:c r="C9" s="8" t="n">
        <x:v>4</x:v>
      </x:c>
      <x:c r="D9" s="8" t="n">
        <x:v>15</x:v>
      </x:c>
      <x:c r="E9" s="3" t="inlineStr">
        <x:is>
          <x:t xml:space="preserve">Draught</x:t>
        </x:is>
      </x:c>
    </x:row>
    <x:row r="10">
      <x:c r="A10" s="6" t="inlineStr">
        <x:is>
          <x:t xml:space="preserve">LBOW/L</x:t>
        </x:is>
      </x:c>
      <x:c r="B10" s="6" t="inlineStr">
        <x:is>
          <x:t xml:space="preserve">-</x:t>
        </x:is>
      </x:c>
      <x:c r="C10" s="6" t="n">
        <x:v>0.15</x:v>
      </x:c>
      <x:c r="D10" s="6" t="n">
        <x:v>0.4</x:v>
      </x:c>
      <x:c r="E10" s="7" t="inlineStr">
        <x:is>
          <x:t xml:space="preserve">Bow length ratio</x:t>
        </x:is>
      </x:c>
    </x:row>
    <x:row r="11">
      <x:c r="A11" s="8" t="inlineStr">
        <x:is>
          <x:t xml:space="preserve">LPAR/L</x:t>
        </x:is>
      </x:c>
      <x:c r="B11" s="8" t="inlineStr">
        <x:is>
          <x:t xml:space="preserve">-</x:t>
        </x:is>
      </x:c>
      <x:c r="C11" s="8" t="n">
        <x:v>0.25</x:v>
      </x:c>
      <x:c r="D11" s="8" t="n">
        <x:v>0.75</x:v>
      </x:c>
      <x:c r="E11" s="3" t="inlineStr">
        <x:is>
          <x:t xml:space="preserve">Parallel midbody ratio</x:t>
        </x:is>
      </x:c>
    </x:row>
    <x:row r="12">
      <x:c r="A12" s="6" t="inlineStr">
        <x:is>
          <x:t xml:space="preserve">Dp/T</x:t>
        </x:is>
      </x:c>
      <x:c r="B12" s="6" t="inlineStr">
        <x:is>
          <x:t xml:space="preserve">-</x:t>
        </x:is>
      </x:c>
      <x:c r="C12" s="6" t="n">
        <x:v>0.45</x:v>
      </x:c>
      <x:c r="D12" s="6" t="n">
        <x:v>0.75</x:v>
      </x:c>
      <x:c r="E12" s="7" t="inlineStr">
        <x:is>
          <x:t xml:space="preserve">Propeller diameter ratio</x:t>
        </x:is>
      </x:c>
    </x:row>
    <x:row r="13">
      <x:c r="A13" s="8" t="inlineStr">
        <x:is>
          <x:t xml:space="preserve">Awf/(L*B)</x:t>
        </x:is>
      </x:c>
      <x:c r="B13" s="8" t="inlineStr">
        <x:is>
          <x:t xml:space="preserve">-</x:t>
        </x:is>
      </x:c>
      <x:c r="C13" s="8" t="n">
        <x:v>0.09</x:v>
      </x:c>
      <x:c r="D13" s="8" t="n">
        <x:v>0.27</x:v>
      </x:c>
      <x:c r="E13" s="3" t="inlineStr">
        <x:is>
          <x:t xml:space="preserve">Bow waterline area ratio</x:t>
        </x:is>
      </x:c>
    </x:row>
  </x:sheetData>
  <x:pageMargins left="0.7" right="0.7" top="0.75" bottom="0.75" header="0.3" footer="0.3"/>
  <x:legacyDrawing xmlns:r="http://schemas.openxmlformats.org/officeDocument/2006/relationships" r:id="R272bdde366ad486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8" customWidth="1"/>
    <x:col min="3" max="3" width="24" customWidth="1"/>
    <x:col min="4" max="4" width="10" customWidth="1"/>
  </x:cols>
  <x:sheetData>
    <x:row r="1">
      <x:c r="A1" s="1" t="inlineStr">
        <x:is>
          <x:t xml:space="preserve">Formula Constants</x:t>
        </x:is>
      </x:c>
    </x:row>
    <x:row r="3">
      <x:c r="A3" s="4" t="inlineStr">
        <x:is>
          <x:t xml:space="preserve">Ke lookup (Table 3-1)</x:t>
        </x:is>
      </x:c>
    </x:row>
    <x:row r="4">
      <x:c r="A4" s="5" t="inlineStr">
        <x:is>
          <x:t xml:space="preserve">Propellers</x:t>
        </x:is>
      </x:c>
      <x:c r="B4" s="5" t="inlineStr">
        <x:is>
          <x:t xml:space="preserve">CP / electric / hydraulic</x:t>
        </x:is>
      </x:c>
      <x:c r="C4" s="5" t="inlineStr">
        <x:is>
          <x:t xml:space="preserve">FP</x:t>
        </x:is>
      </x:c>
      <x:c r="D4" s="5" t="inlineStr">
        <x:is>
          <x:t xml:space="preserve">Key</x:t>
        </x:is>
      </x:c>
    </x:row>
    <x:row r="5">
      <x:c r="A5" s="8" t="n">
        <x:v>1</x:v>
      </x:c>
      <x:c r="B5" s="8" t="n">
        <x:v>2.03</x:v>
      </x:c>
      <x:c r="C5" s="8" t="n">
        <x:v>2.26</x:v>
      </x:c>
      <x:c r="D5" s="8" t="inlineStr">
        <x:is>
          <x:t xml:space="preserve">1</x:t>
        </x:is>
      </x:c>
    </x:row>
    <x:row r="6">
      <x:c r="A6" s="8" t="n">
        <x:v>2</x:v>
      </x:c>
      <x:c r="B6" s="8" t="n">
        <x:v>1.44</x:v>
      </x:c>
      <x:c r="C6" s="8" t="n">
        <x:v>1.6</x:v>
      </x:c>
      <x:c r="D6" s="8" t="inlineStr">
        <x:is>
          <x:t xml:space="preserve">2</x:t>
        </x:is>
      </x:c>
    </x:row>
    <x:row r="7">
      <x:c r="A7" s="8" t="n">
        <x:v>3</x:v>
      </x:c>
      <x:c r="B7" s="8" t="n">
        <x:v>1.18</x:v>
      </x:c>
      <x:c r="C7" s="8" t="n">
        <x:v>1.31</x:v>
      </x:c>
      <x:c r="D7" s="8" t="inlineStr">
        <x:is>
          <x:t xml:space="preserve">3</x:t>
        </x:is>
      </x:c>
    </x:row>
    <x:row r="9">
      <x:c r="A9" s="4" t="inlineStr">
        <x:is>
          <x:t xml:space="preserve">New ship coefficients (Table 3-2)</x:t>
        </x:is>
      </x:c>
    </x:row>
    <x:row r="10">
      <x:c r="A10" s="5" t="inlineStr">
        <x:is>
          <x:t xml:space="preserve">Coefficient</x:t>
        </x:is>
      </x:c>
      <x:c r="B10" s="5" t="inlineStr">
        <x:is>
          <x:t xml:space="preserve">Value</x:t>
        </x:is>
      </x:c>
      <x:c r="C10" s="5" t="inlineStr">
        <x:is>
          <x:t xml:space="preserve">Units / note</x:t>
        </x:is>
      </x:c>
    </x:row>
    <x:row r="11">
      <x:c r="A11" t="inlineStr">
        <x:is>
          <x:t xml:space="preserve">f1</x:t>
        </x:is>
      </x:c>
      <x:c r="B11" t="n">
        <x:v>23</x:v>
      </x:c>
      <x:c r="C11" t="inlineStr">
        <x:is>
          <x:t xml:space="preserve">N/m^2</x:t>
        </x:is>
      </x:c>
    </x:row>
    <x:row r="12">
      <x:c r="A12" t="inlineStr">
        <x:is>
          <x:t xml:space="preserve">f2</x:t>
        </x:is>
      </x:c>
      <x:c r="B12" t="n">
        <x:v>45.8</x:v>
      </x:c>
      <x:c r="C12" t="inlineStr">
        <x:is>
          <x:t xml:space="preserve">N/m</x:t>
        </x:is>
      </x:c>
    </x:row>
    <x:row r="13">
      <x:c r="A13" t="inlineStr">
        <x:is>
          <x:t xml:space="preserve">f3</x:t>
        </x:is>
      </x:c>
      <x:c r="B13" t="n">
        <x:v>14.7</x:v>
      </x:c>
      <x:c r="C13" t="inlineStr">
        <x:is>
          <x:t xml:space="preserve">N/m</x:t>
        </x:is>
      </x:c>
    </x:row>
    <x:row r="14">
      <x:c r="A14" t="inlineStr">
        <x:is>
          <x:t xml:space="preserve">f4</x:t>
        </x:is>
      </x:c>
      <x:c r="B14" t="n">
        <x:v>29</x:v>
      </x:c>
      <x:c r="C14" t="inlineStr">
        <x:is>
          <x:t xml:space="preserve">N/m^2</x:t>
        </x:is>
      </x:c>
    </x:row>
    <x:row r="15">
      <x:c r="A15" t="inlineStr">
        <x:is>
          <x:t xml:space="preserve">g1</x:t>
        </x:is>
      </x:c>
      <x:c r="B15" t="n">
        <x:v>1530</x:v>
      </x:c>
      <x:c r="C15" t="inlineStr">
        <x:is>
          <x:t xml:space="preserve">N</x:t>
        </x:is>
      </x:c>
    </x:row>
    <x:row r="16">
      <x:c r="A16" t="inlineStr">
        <x:is>
          <x:t xml:space="preserve">g2</x:t>
        </x:is>
      </x:c>
      <x:c r="B16" t="n">
        <x:v>170</x:v>
      </x:c>
      <x:c r="C16" t="inlineStr">
        <x:is>
          <x:t xml:space="preserve">N/m</x:t>
        </x:is>
      </x:c>
    </x:row>
    <x:row r="17">
      <x:c r="A17" t="inlineStr">
        <x:is>
          <x:t xml:space="preserve">g3</x:t>
        </x:is>
      </x:c>
      <x:c r="B17" t="n">
        <x:v>400</x:v>
      </x:c>
      <x:c r="C17" t="inlineStr">
        <x:is>
          <x:t xml:space="preserve">N/m^1.5</x:t>
        </x:is>
      </x:c>
    </x:row>
    <x:row r="18">
      <x:c r="A18" t="inlineStr">
        <x:is>
          <x:t xml:space="preserve">C3</x:t>
        </x:is>
      </x:c>
      <x:c r="B18" t="n">
        <x:v>845</x:v>
      </x:c>
      <x:c r="C18" t="inlineStr">
        <x:is>
          <x:t xml:space="preserve">kg/(m^2 s^2)</x:t>
        </x:is>
      </x:c>
    </x:row>
    <x:row r="19">
      <x:c r="A19" t="inlineStr">
        <x:is>
          <x:t xml:space="preserve">C4</x:t>
        </x:is>
      </x:c>
      <x:c r="B19" t="n">
        <x:v>42</x:v>
      </x:c>
      <x:c r="C19" t="inlineStr">
        <x:is>
          <x:t xml:space="preserve">kg/(m^2 s^2)</x:t>
        </x:is>
      </x:c>
    </x:row>
    <x:row r="20">
      <x:c r="A20" t="inlineStr">
        <x:is>
          <x:t xml:space="preserve">C5</x:t>
        </x:is>
      </x:c>
      <x:c r="B20" t="n">
        <x:v>825</x:v>
      </x:c>
      <x:c r="C20" t="inlineStr">
        <x:is>
          <x:t xml:space="preserve">kg/s^2</x:t>
        </x:is>
      </x:c>
    </x:row>
    <x:row r="23">
      <x:c r="A23" s="4" t="inlineStr">
        <x:is>
          <x:t xml:space="preserve">Existing IA / IA Super coefficients (Table 3-3)</x:t>
        </x:is>
      </x:c>
    </x:row>
    <x:row r="24">
      <x:c r="A24" s="5" t="inlineStr">
        <x:is>
          <x:t xml:space="preserve">Coefficient</x:t>
        </x:is>
      </x:c>
      <x:c r="B24" s="5" t="inlineStr">
        <x:is>
          <x:t xml:space="preserve">Value</x:t>
        </x:is>
      </x:c>
      <x:c r="C24" s="5" t="inlineStr">
        <x:is>
          <x:t xml:space="preserve">Units / note</x:t>
        </x:is>
      </x:c>
    </x:row>
    <x:row r="25">
      <x:c r="A25" t="inlineStr">
        <x:is>
          <x:t xml:space="preserve">f1</x:t>
        </x:is>
      </x:c>
      <x:c r="B25" t="n">
        <x:v>10.3</x:v>
      </x:c>
      <x:c r="C25" t="inlineStr">
        <x:is>
          <x:t xml:space="preserve">N/m^2</x:t>
        </x:is>
      </x:c>
    </x:row>
    <x:row r="26">
      <x:c r="A26" t="inlineStr">
        <x:is>
          <x:t xml:space="preserve">f2</x:t>
        </x:is>
      </x:c>
      <x:c r="B26" t="n">
        <x:v>45.8</x:v>
      </x:c>
      <x:c r="C26" t="inlineStr">
        <x:is>
          <x:t xml:space="preserve">N/m</x:t>
        </x:is>
      </x:c>
    </x:row>
    <x:row r="27">
      <x:c r="A27" t="inlineStr">
        <x:is>
          <x:t xml:space="preserve">f3</x:t>
        </x:is>
      </x:c>
      <x:c r="B27" t="n">
        <x:v>2.94</x:v>
      </x:c>
      <x:c r="C27" t="inlineStr">
        <x:is>
          <x:t xml:space="preserve">N/m</x:t>
        </x:is>
      </x:c>
    </x:row>
    <x:row r="28">
      <x:c r="A28" t="inlineStr">
        <x:is>
          <x:t xml:space="preserve">f4</x:t>
        </x:is>
      </x:c>
      <x:c r="B28" t="n">
        <x:v>5.8</x:v>
      </x:c>
      <x:c r="C28" t="inlineStr">
        <x:is>
          <x:t xml:space="preserve">N/m^2</x:t>
        </x:is>
      </x:c>
    </x:row>
    <x:row r="29">
      <x:c r="A29" t="inlineStr">
        <x:is>
          <x:t xml:space="preserve">g1</x:t>
        </x:is>
      </x:c>
      <x:c r="B29" t="n">
        <x:v>1530</x:v>
      </x:c>
      <x:c r="C29" t="inlineStr">
        <x:is>
          <x:t xml:space="preserve">N</x:t>
        </x:is>
      </x:c>
    </x:row>
    <x:row r="30">
      <x:c r="A30" t="inlineStr">
        <x:is>
          <x:t xml:space="preserve">g2</x:t>
        </x:is>
      </x:c>
      <x:c r="B30" t="n">
        <x:v>170</x:v>
      </x:c>
      <x:c r="C30" t="inlineStr">
        <x:is>
          <x:t xml:space="preserve">N/m</x:t>
        </x:is>
      </x:c>
    </x:row>
    <x:row r="31">
      <x:c r="A31" t="inlineStr">
        <x:is>
          <x:t xml:space="preserve">g3</x:t>
        </x:is>
      </x:c>
      <x:c r="B31" t="n">
        <x:v>400</x:v>
      </x:c>
      <x:c r="C31" t="inlineStr">
        <x:is>
          <x:t xml:space="preserve">N/m^1.5</x:t>
        </x:is>
      </x:c>
    </x:row>
    <x:row r="32">
      <x:c r="A32" t="inlineStr">
        <x:is>
          <x:t xml:space="preserve">C3</x:t>
        </x:is>
      </x:c>
      <x:c r="B32" t="n">
        <x:v>460</x:v>
      </x:c>
      <x:c r="C32" t="inlineStr">
        <x:is>
          <x:t xml:space="preserve">kg/(m^2 s^2)</x:t>
        </x:is>
      </x:c>
    </x:row>
    <x:row r="33">
      <x:c r="A33" t="inlineStr">
        <x:is>
          <x:t xml:space="preserve">C4</x:t>
        </x:is>
      </x:c>
      <x:c r="B33" t="n">
        <x:v>18.7</x:v>
      </x:c>
      <x:c r="C33" t="inlineStr">
        <x:is>
          <x:t xml:space="preserve">kg/(m^2 s^2)</x:t>
        </x:is>
      </x:c>
    </x:row>
    <x:row r="34">
      <x:c r="A34" t="inlineStr">
        <x:is>
          <x:t xml:space="preserve">C5</x:t>
        </x:is>
      </x:c>
      <x:c r="B34" t="n">
        <x:v>825</x:v>
      </x:c>
      <x:c r="C34" t="inlineStr">
        <x:is>
          <x:t xml:space="preserve">kg/s^2</x:t>
        </x:is>
      </x:c>
    </x:row>
    <x:row r="37">
      <x:c r="A37" s="4" t="inlineStr">
        <x:is>
          <x:t xml:space="preserve">Ice-class defaults</x:t>
        </x:is>
      </x:c>
    </x:row>
    <x:row r="38">
      <x:c r="A38" s="5" t="inlineStr">
        <x:is>
          <x:t xml:space="preserve">Ice class</x:t>
        </x:is>
      </x:c>
      <x:c r="B38" s="5" t="inlineStr">
        <x:is>
          <x:t xml:space="preserve">HM (m)</x:t>
        </x:is>
      </x:c>
      <x:c r="C38" s="5" t="inlineStr">
        <x:is>
          <x:t xml:space="preserve">Notes</x:t>
        </x:is>
      </x:c>
    </x:row>
    <x:row r="39">
      <x:c r="A39" s="8" t="inlineStr">
        <x:is>
          <x:t xml:space="preserve">IAS</x:t>
        </x:is>
      </x:c>
      <x:c r="B39" s="8" t="n">
        <x:v>1</x:v>
      </x:c>
      <x:c r="C39" s="8" t="inlineStr">
        <x:is>
          <x:t xml:space="preserve">IA Super</x:t>
        </x:is>
      </x:c>
    </x:row>
    <x:row r="40">
      <x:c r="A40" s="8" t="inlineStr">
        <x:is>
          <x:t xml:space="preserve">IA</x:t>
        </x:is>
      </x:c>
      <x:c r="B40" s="8" t="n">
        <x:v>1</x:v>
      </x:c>
      <x:c r="C40" s="8" t="inlineStr">
        <x:is>
          <x:t xml:space="preserve">IA</x:t>
        </x:is>
      </x:c>
    </x:row>
    <x:row r="41">
      <x:c r="A41" s="8" t="inlineStr">
        <x:is>
          <x:t xml:space="preserve">IB</x:t>
        </x:is>
      </x:c>
      <x:c r="B41" s="8" t="n">
        <x:v>0.8</x:v>
      </x:c>
      <x:c r="C41" s="8" t="inlineStr">
        <x:is>
          <x:t xml:space="preserve">IB</x:t>
        </x:is>
      </x:c>
    </x:row>
    <x:row r="42">
      <x:c r="A42" s="8" t="inlineStr">
        <x:is>
          <x:t xml:space="preserve">IC</x:t>
        </x:is>
      </x:c>
      <x:c r="B42" s="8" t="n">
        <x:v>0.6</x:v>
      </x:c>
      <x:c r="C42" s="8" t="inlineStr">
        <x:is>
          <x:t xml:space="preserve">IC</x:t>
        </x:is>
      </x:c>
    </x:row>
  </x:sheetData>
  <x:mergeCells>
    <x:mergeCell ref="A23:D23"/>
    <x:mergeCell ref="A9:D9"/>
    <x:mergeCell ref="A3:D3"/>
    <x:mergeCell ref="A37:D3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2" customWidth="1"/>
    <x:col min="12" max="12" width="10" customWidth="1"/>
    <x:col min="13" max="13" width="14" customWidth="1"/>
    <x:col min="14" max="14" width="14" customWidth="1"/>
    <x:col min="15" max="15" width="14" customWidth="1"/>
    <x:col min="16" max="16" width="16" customWidth="1"/>
  </x:cols>
  <x:sheetData>
    <x:row r="1">
      <x:c r="A1" s="1" t="inlineStr">
        <x:is>
          <x:t xml:space="preserve">Annex I / Table I-1 Sample Ships</x:t>
        </x:is>
      </x:c>
    </x:row>
    <x:row r="3">
      <x:c r="A3" s="5" t="inlineStr">
        <x:is>
          <x:t xml:space="preserve">Ship No</x:t>
        </x:is>
      </x:c>
      <x:c r="B3" s="5" t="inlineStr">
        <x:is>
          <x:t xml:space="preserve">Ice class</x:t>
        </x:is>
      </x:c>
      <x:c r="C3" s="5" t="inlineStr">
        <x:is>
          <x:t xml:space="preserve">alpha_deg</x:t>
        </x:is>
      </x:c>
      <x:c r="D3" s="5" t="inlineStr">
        <x:is>
          <x:t xml:space="preserve">phi1_deg</x:t>
        </x:is>
      </x:c>
      <x:c r="E3" s="5" t="inlineStr">
        <x:is>
          <x:t xml:space="preserve">phi2_deg</x:t>
        </x:is>
      </x:c>
      <x:c r="F3" s="5" t="inlineStr">
        <x:is>
          <x:t xml:space="preserve">L_m</x:t>
        </x:is>
      </x:c>
      <x:c r="G3" s="5" t="inlineStr">
        <x:is>
          <x:t xml:space="preserve">B_m</x:t>
        </x:is>
      </x:c>
      <x:c r="H3" s="5" t="inlineStr">
        <x:is>
          <x:t xml:space="preserve">T_m</x:t>
        </x:is>
      </x:c>
      <x:c r="I3" s="5" t="inlineStr">
        <x:is>
          <x:t xml:space="preserve">LBOW_m</x:t>
        </x:is>
      </x:c>
      <x:c r="J3" s="5" t="inlineStr">
        <x:is>
          <x:t xml:space="preserve">LPAR_m</x:t>
        </x:is>
      </x:c>
      <x:c r="K3" s="5" t="inlineStr">
        <x:is>
          <x:t xml:space="preserve">Awf_m2</x:t>
        </x:is>
      </x:c>
      <x:c r="L3" s="5" t="inlineStr">
        <x:is>
          <x:t xml:space="preserve">Dp_m</x:t>
        </x:is>
      </x:c>
      <x:c r="M3" s="5" t="inlineStr">
        <x:is>
          <x:t xml:space="preserve">Propeller Count</x:t>
        </x:is>
      </x:c>
      <x:c r="N3" s="5" t="inlineStr">
        <x:is>
          <x:t xml:space="preserve">Propeller Type</x:t>
        </x:is>
      </x:c>
      <x:c r="O3" s="5" t="inlineStr">
        <x:is>
          <x:t xml:space="preserve">Expected New kW</x:t>
        </x:is>
      </x:c>
      <x:c r="P3" s="5" t="inlineStr">
        <x:is>
          <x:t xml:space="preserve">Expected Existing kW</x:t>
        </x:is>
      </x:c>
    </x:row>
    <x:row r="4">
      <x:c r="A4" s="6" t="n">
        <x:v>1</x:v>
      </x:c>
      <x:c r="B4" s="6" t="inlineStr">
        <x:is>
          <x:t xml:space="preserve">IAS</x:t>
        </x:is>
      </x:c>
      <x:c r="C4" s="6" t="n">
        <x:v>24</x:v>
      </x:c>
      <x:c r="D4" s="6" t="n">
        <x:v>90</x:v>
      </x:c>
      <x:c r="E4" s="6" t="n">
        <x:v>30</x:v>
      </x:c>
      <x:c r="F4" s="6" t="n">
        <x:v>150</x:v>
      </x:c>
      <x:c r="G4" s="6" t="n">
        <x:v>25</x:v>
      </x:c>
      <x:c r="H4" s="6" t="n">
        <x:v>9</x:v>
      </x:c>
      <x:c r="I4" s="6" t="n">
        <x:v>45</x:v>
      </x:c>
      <x:c r="J4" s="6" t="n">
        <x:v>70</x:v>
      </x:c>
      <x:c r="K4" s="6" t="n">
        <x:v>500</x:v>
      </x:c>
      <x:c r="L4" s="6" t="n">
        <x:v>5</x:v>
      </x:c>
      <x:c r="M4" s="6" t="n">
        <x:v>1</x:v>
      </x:c>
      <x:c r="N4" s="6" t="inlineStr">
        <x:is>
          <x:t xml:space="preserve">CP</x:t>
        </x:is>
      </x:c>
      <x:c r="O4" s="9" t="n">
        <x:v>7840</x:v>
      </x:c>
      <x:c r="P4" s="9" t="n">
        <x:v>9192</x:v>
      </x:c>
    </x:row>
    <x:row r="5">
      <x:c r="A5" s="8" t="n">
        <x:v>2</x:v>
      </x:c>
      <x:c r="B5" s="8" t="inlineStr">
        <x:is>
          <x:t xml:space="preserve">IA</x:t>
        </x:is>
      </x:c>
      <x:c r="C5" s="8" t="n">
        <x:v>24</x:v>
      </x:c>
      <x:c r="D5" s="8" t="n">
        <x:v>90</x:v>
      </x:c>
      <x:c r="E5" s="8" t="n">
        <x:v>30</x:v>
      </x:c>
      <x:c r="F5" s="8" t="n">
        <x:v>150</x:v>
      </x:c>
      <x:c r="G5" s="8" t="n">
        <x:v>25</x:v>
      </x:c>
      <x:c r="H5" s="8" t="n">
        <x:v>9</x:v>
      </x:c>
      <x:c r="I5" s="8" t="n">
        <x:v>45</x:v>
      </x:c>
      <x:c r="J5" s="8" t="n">
        <x:v>70</x:v>
      </x:c>
      <x:c r="K5" s="8" t="n">
        <x:v>500</x:v>
      </x:c>
      <x:c r="L5" s="8" t="n">
        <x:v>5</x:v>
      </x:c>
      <x:c r="M5" s="8" t="n">
        <x:v>1</x:v>
      </x:c>
      <x:c r="N5" s="8" t="inlineStr">
        <x:is>
          <x:t xml:space="preserve">CP</x:t>
        </x:is>
      </x:c>
      <x:c r="O5" s="9" t="n">
        <x:v>4941</x:v>
      </x:c>
      <x:c r="P5" s="9" t="n">
        <x:v>6614</x:v>
      </x:c>
    </x:row>
    <x:row r="6">
      <x:c r="A6" s="6" t="n">
        <x:v>3</x:v>
      </x:c>
      <x:c r="B6" s="6" t="inlineStr">
        <x:is>
          <x:t xml:space="preserve">IB</x:t>
        </x:is>
      </x:c>
      <x:c r="C6" s="6" t="n">
        <x:v>24</x:v>
      </x:c>
      <x:c r="D6" s="6" t="n">
        <x:v>90</x:v>
      </x:c>
      <x:c r="E6" s="6" t="n">
        <x:v>30</x:v>
      </x:c>
      <x:c r="F6" s="6" t="n">
        <x:v>150</x:v>
      </x:c>
      <x:c r="G6" s="6" t="n">
        <x:v>25</x:v>
      </x:c>
      <x:c r="H6" s="6" t="n">
        <x:v>9</x:v>
      </x:c>
      <x:c r="I6" s="6" t="n">
        <x:v>45</x:v>
      </x:c>
      <x:c r="J6" s="6" t="n">
        <x:v>70</x:v>
      </x:c>
      <x:c r="K6" s="6" t="n">
        <x:v>500</x:v>
      </x:c>
      <x:c r="L6" s="6" t="n">
        <x:v>5</x:v>
      </x:c>
      <x:c r="M6" s="6" t="n">
        <x:v>1</x:v>
      </x:c>
      <x:c r="N6" s="6" t="inlineStr">
        <x:is>
          <x:t xml:space="preserve">CP</x:t>
        </x:is>
      </x:c>
      <x:c r="O6" s="9" t="n">
        <x:v>3478</x:v>
      </x:c>
      <x:c r="P6" s="9" t="n"/>
    </x:row>
    <x:row r="7">
      <x:c r="A7" s="8" t="n">
        <x:v>4</x:v>
      </x:c>
      <x:c r="B7" s="8" t="inlineStr">
        <x:is>
          <x:t xml:space="preserve">IC</x:t>
        </x:is>
      </x:c>
      <x:c r="C7" s="8" t="n">
        <x:v>24</x:v>
      </x:c>
      <x:c r="D7" s="8" t="n">
        <x:v>90</x:v>
      </x:c>
      <x:c r="E7" s="8" t="n">
        <x:v>30</x:v>
      </x:c>
      <x:c r="F7" s="8" t="n">
        <x:v>150</x:v>
      </x:c>
      <x:c r="G7" s="8" t="n">
        <x:v>25</x:v>
      </x:c>
      <x:c r="H7" s="8" t="n">
        <x:v>9</x:v>
      </x:c>
      <x:c r="I7" s="8" t="n">
        <x:v>45</x:v>
      </x:c>
      <x:c r="J7" s="8" t="n">
        <x:v>70</x:v>
      </x:c>
      <x:c r="K7" s="8" t="n">
        <x:v>500</x:v>
      </x:c>
      <x:c r="L7" s="8" t="n">
        <x:v>5</x:v>
      </x:c>
      <x:c r="M7" s="8" t="n">
        <x:v>1</x:v>
      </x:c>
      <x:c r="N7" s="8" t="inlineStr">
        <x:is>
          <x:t xml:space="preserve">CP</x:t>
        </x:is>
      </x:c>
      <x:c r="O7" s="9" t="n">
        <x:v>2253</x:v>
      </x:c>
      <x:c r="P7" s="9" t="n"/>
    </x:row>
    <x:row r="8">
      <x:c r="A8" s="6" t="n">
        <x:v>5</x:v>
      </x:c>
      <x:c r="B8" s="6" t="inlineStr">
        <x:is>
          <x:t xml:space="preserve">IAS</x:t>
        </x:is>
      </x:c>
      <x:c r="C8" s="6" t="n">
        <x:v>24</x:v>
      </x:c>
      <x:c r="D8" s="6" t="n">
        <x:v>30</x:v>
      </x:c>
      <x:c r="E8" s="6" t="n">
        <x:v>30</x:v>
      </x:c>
      <x:c r="F8" s="6" t="n">
        <x:v>150</x:v>
      </x:c>
      <x:c r="G8" s="6" t="n">
        <x:v>25</x:v>
      </x:c>
      <x:c r="H8" s="6" t="n">
        <x:v>9</x:v>
      </x:c>
      <x:c r="I8" s="6" t="n">
        <x:v>45</x:v>
      </x:c>
      <x:c r="J8" s="6" t="n">
        <x:v>70</x:v>
      </x:c>
      <x:c r="K8" s="6" t="n">
        <x:v>500</x:v>
      </x:c>
      <x:c r="L8" s="6" t="n">
        <x:v>5</x:v>
      </x:c>
      <x:c r="M8" s="6" t="n">
        <x:v>1</x:v>
      </x:c>
      <x:c r="N8" s="6" t="inlineStr">
        <x:is>
          <x:t xml:space="preserve">CP</x:t>
        </x:is>
      </x:c>
      <x:c r="O8" s="9" t="n">
        <x:v>6799</x:v>
      </x:c>
      <x:c r="P8" s="9" t="n">
        <x:v>8466</x:v>
      </x:c>
    </x:row>
    <x:row r="9">
      <x:c r="A9" s="8" t="n">
        <x:v>6</x:v>
      </x:c>
      <x:c r="B9" s="8" t="inlineStr">
        <x:is>
          <x:t xml:space="preserve">IAS</x:t>
        </x:is>
      </x:c>
      <x:c r="C9" s="8" t="n">
        <x:v>24</x:v>
      </x:c>
      <x:c r="D9" s="8" t="n">
        <x:v>90</x:v>
      </x:c>
      <x:c r="E9" s="8" t="n">
        <x:v>30</x:v>
      </x:c>
      <x:c r="F9" s="8" t="n">
        <x:v>150</x:v>
      </x:c>
      <x:c r="G9" s="8" t="n">
        <x:v>22</x:v>
      </x:c>
      <x:c r="H9" s="8" t="n">
        <x:v>9</x:v>
      </x:c>
      <x:c r="I9" s="8" t="n">
        <x:v>45</x:v>
      </x:c>
      <x:c r="J9" s="8" t="n">
        <x:v>70</x:v>
      </x:c>
      <x:c r="K9" s="8" t="n">
        <x:v>500</x:v>
      </x:c>
      <x:c r="L9" s="8" t="n">
        <x:v>5</x:v>
      </x:c>
      <x:c r="M9" s="8" t="n">
        <x:v>1</x:v>
      </x:c>
      <x:c r="N9" s="8" t="inlineStr">
        <x:is>
          <x:t xml:space="preserve">CP</x:t>
        </x:is>
      </x:c>
      <x:c r="O9" s="9" t="n">
        <x:v>6406</x:v>
      </x:c>
      <x:c r="P9" s="9" t="n">
        <x:v>7645</x:v>
      </x:c>
    </x:row>
    <x:row r="10">
      <x:c r="A10" s="6" t="n">
        <x:v>7</x:v>
      </x:c>
      <x:c r="B10" s="6" t="inlineStr">
        <x:is>
          <x:t xml:space="preserve">IA</x:t>
        </x:is>
      </x:c>
      <x:c r="C10" s="6" t="n">
        <x:v>36</x:v>
      </x:c>
      <x:c r="D10" s="6" t="n">
        <x:v>30</x:v>
      </x:c>
      <x:c r="E10" s="6" t="n">
        <x:v>30</x:v>
      </x:c>
      <x:c r="F10" s="6" t="n">
        <x:v>150</x:v>
      </x:c>
      <x:c r="G10" s="6" t="n">
        <x:v>25</x:v>
      </x:c>
      <x:c r="H10" s="6" t="n">
        <x:v>9</x:v>
      </x:c>
      <x:c r="I10" s="6" t="n">
        <x:v>45</x:v>
      </x:c>
      <x:c r="J10" s="6" t="n">
        <x:v>70</x:v>
      </x:c>
      <x:c r="K10" s="6" t="n">
        <x:v>500</x:v>
      </x:c>
      <x:c r="L10" s="6" t="n">
        <x:v>5</x:v>
      </x:c>
      <x:c r="M10" s="6" t="n">
        <x:v>1</x:v>
      </x:c>
      <x:c r="N10" s="6" t="inlineStr">
        <x:is>
          <x:t xml:space="preserve">CP</x:t>
        </x:is>
      </x:c>
      <x:c r="O10" s="9" t="n">
        <x:v>5343</x:v>
      </x:c>
      <x:c r="P10" s="9" t="n">
        <x:v>6614</x:v>
      </x:c>
    </x:row>
    <x:row r="11">
      <x:c r="A11" s="8" t="n">
        <x:v>8</x:v>
      </x:c>
      <x:c r="B11" s="8" t="inlineStr">
        <x:is>
          <x:t xml:space="preserve">IA</x:t>
        </x:is>
      </x:c>
      <x:c r="C11" s="8" t="n">
        <x:v>20</x:v>
      </x:c>
      <x:c r="D11" s="8" t="n">
        <x:v>30</x:v>
      </x:c>
      <x:c r="E11" s="8" t="n">
        <x:v>30</x:v>
      </x:c>
      <x:c r="F11" s="8" t="n">
        <x:v>150</x:v>
      </x:c>
      <x:c r="G11" s="8" t="n">
        <x:v>25</x:v>
      </x:c>
      <x:c r="H11" s="8" t="n">
        <x:v>9</x:v>
      </x:c>
      <x:c r="I11" s="8" t="n">
        <x:v>45</x:v>
      </x:c>
      <x:c r="J11" s="8" t="n">
        <x:v>70</x:v>
      </x:c>
      <x:c r="K11" s="8" t="n">
        <x:v>500</x:v>
      </x:c>
      <x:c r="L11" s="8" t="n">
        <x:v>5</x:v>
      </x:c>
      <x:c r="M11" s="8" t="n">
        <x:v>1</x:v>
      </x:c>
      <x:c r="N11" s="8" t="inlineStr">
        <x:is>
          <x:t xml:space="preserve">CP</x:t>
        </x:is>
      </x:c>
      <x:c r="O11" s="9" t="n">
        <x:v>5017</x:v>
      </x:c>
      <x:c r="P11" s="9" t="n">
        <x:v>6614</x:v>
      </x:c>
    </x:row>
    <x:row r="12">
      <x:c r="A12" s="6" t="n">
        <x:v>9</x:v>
      </x:c>
      <x:c r="B12" s="6" t="inlineStr">
        <x:is>
          <x:t xml:space="preserve">IB</x:t>
        </x:is>
      </x:c>
      <x:c r="C12" s="6" t="n">
        <x:v>24</x:v>
      </x:c>
      <x:c r="D12" s="6" t="n">
        <x:v>90</x:v>
      </x:c>
      <x:c r="E12" s="6" t="n">
        <x:v>30</x:v>
      </x:c>
      <x:c r="F12" s="6" t="n">
        <x:v>150</x:v>
      </x:c>
      <x:c r="G12" s="6" t="n">
        <x:v>25</x:v>
      </x:c>
      <x:c r="H12" s="6" t="n">
        <x:v>9</x:v>
      </x:c>
      <x:c r="I12" s="6" t="n">
        <x:v>45</x:v>
      </x:c>
      <x:c r="J12" s="6" t="n">
        <x:v>70</x:v>
      </x:c>
      <x:c r="K12" s="6" t="n">
        <x:v>500</x:v>
      </x:c>
      <x:c r="L12" s="6" t="n">
        <x:v>5</x:v>
      </x:c>
      <x:c r="M12" s="6" t="n">
        <x:v>1</x:v>
      </x:c>
      <x:c r="N12" s="6" t="inlineStr">
        <x:is>
          <x:t xml:space="preserve">FP</x:t>
        </x:is>
      </x:c>
      <x:c r="O12" s="9" t="n">
        <x:v>3872</x:v>
      </x:c>
      <x:c r="P12" s="9" t="n"/>
    </x:row>
  </x:sheetData>
  <x:pageMargins left="0.7" right="0.7" top="0.75" bottom="0.75" header="0.3" footer="0.3"/>
  <x:legacyDrawing xmlns:r="http://schemas.openxmlformats.org/officeDocument/2006/relationships" r:id="Rffa3a23683e148f1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Calculated Power - New Ships (Formula 3.1 + 3.2)</x:t>
        </x:is>
      </x:c>
    </x:row>
    <x:row r="3">
      <x:c r="A3" s="5" t="inlineStr">
        <x:is>
          <x:t xml:space="preserve">Ship No</x:t>
        </x:is>
      </x:c>
      <x:c r="B3" s="5" t="inlineStr">
        <x:is>
          <x:t xml:space="preserve">Ice class</x:t>
        </x:is>
      </x:c>
      <x:c r="C3" s="5" t="inlineStr">
        <x:is>
          <x:t xml:space="preserve">alpha_deg</x:t>
        </x:is>
      </x:c>
      <x:c r="D3" s="5" t="inlineStr">
        <x:is>
          <x:t xml:space="preserve">phi1_deg</x:t>
        </x:is>
      </x:c>
      <x:c r="E3" s="5" t="inlineStr">
        <x:is>
          <x:t xml:space="preserve">phi2_deg</x:t>
        </x:is>
      </x:c>
      <x:c r="F3" s="5" t="inlineStr">
        <x:is>
          <x:t xml:space="preserve">L_m</x:t>
        </x:is>
      </x:c>
      <x:c r="G3" s="5" t="inlineStr">
        <x:is>
          <x:t xml:space="preserve">B_m</x:t>
        </x:is>
      </x:c>
      <x:c r="H3" s="5" t="inlineStr">
        <x:is>
          <x:t xml:space="preserve">T_m</x:t>
        </x:is>
      </x:c>
      <x:c r="I3" s="5" t="inlineStr">
        <x:is>
          <x:t xml:space="preserve">LBOW_m</x:t>
        </x:is>
      </x:c>
      <x:c r="J3" s="5" t="inlineStr">
        <x:is>
          <x:t xml:space="preserve">LPAR_m</x:t>
        </x:is>
      </x:c>
      <x:c r="K3" s="5" t="inlineStr">
        <x:is>
          <x:t xml:space="preserve">Awf_m2</x:t>
        </x:is>
      </x:c>
      <x:c r="L3" s="5" t="inlineStr">
        <x:is>
          <x:t xml:space="preserve">Dp_m</x:t>
        </x:is>
      </x:c>
      <x:c r="M3" s="5" t="inlineStr">
        <x:is>
          <x:t xml:space="preserve">Propeller Count</x:t>
        </x:is>
      </x:c>
      <x:c r="N3" s="5" t="inlineStr">
        <x:is>
          <x:t xml:space="preserve">Propeller Type</x:t>
        </x:is>
      </x:c>
      <x:c r="O3" s="5" t="inlineStr">
        <x:is>
          <x:t xml:space="preserve">Expected New kW</x:t>
        </x:is>
      </x:c>
      <x:c r="P3" s="5" t="inlineStr">
        <x:is>
          <x:t xml:space="preserve">Expected Existing kW</x:t>
        </x:is>
      </x:c>
      <x:c r="Q3" s="5" t="inlineStr">
        <x:is>
          <x:t xml:space="preserve">LBOW/L</x:t>
        </x:is>
      </x:c>
      <x:c r="R3" s="5" t="inlineStr">
        <x:is>
          <x:t xml:space="preserve">LPAR/L</x:t>
        </x:is>
      </x:c>
      <x:c r="S3" s="5" t="inlineStr">
        <x:is>
          <x:t xml:space="preserve">Dp/T</x:t>
        </x:is>
      </x:c>
      <x:c r="T3" s="5" t="inlineStr">
        <x:is>
          <x:t xml:space="preserve">Awf/(L*B)</x:t>
        </x:is>
      </x:c>
      <x:c r="U3" s="5" t="inlineStr">
        <x:is>
          <x:t xml:space="preserve">In range?</x:t>
        </x:is>
      </x:c>
      <x:c r="V3" s="5" t="inlineStr">
        <x:is>
          <x:t xml:space="preserve">Ke</x:t>
        </x:is>
      </x:c>
      <x:c r="W3" s="5" t="inlineStr">
        <x:is>
          <x:t xml:space="preserve">HM_m</x:t>
        </x:is>
      </x:c>
      <x:c r="X3" s="5" t="inlineStr">
        <x:is>
          <x:t xml:space="preserve">HF_m</x:t>
        </x:is>
      </x:c>
      <x:c r="Y3" s="5" t="inlineStr">
        <x:is>
          <x:t xml:space="preserve">psi_deg</x:t>
        </x:is>
      </x:c>
      <x:c r="Z3" s="5" t="inlineStr">
        <x:is>
          <x:t xml:space="preserve">Cmu_raw</x:t>
        </x:is>
      </x:c>
      <x:c r="AA3" s="5" t="inlineStr">
        <x:is>
          <x:t xml:space="preserve">Cmu_used</x:t>
        </x:is>
      </x:c>
      <x:c r="AB3" s="5" t="inlineStr">
        <x:is>
          <x:t xml:space="preserve">Cpsi</x:t>
        </x:is>
      </x:c>
      <x:c r="AC3" s="5" t="inlineStr">
        <x:is>
          <x:t xml:space="preserve">LTB2_raw</x:t>
        </x:is>
      </x:c>
      <x:c r="AD3" s="5" t="inlineStr">
        <x:is>
          <x:t xml:space="preserve">LTB2_clamped</x:t>
        </x:is>
      </x:c>
      <x:c r="AE3" s="5" t="inlineStr">
        <x:is>
          <x:t xml:space="preserve">C1</x:t>
        </x:is>
      </x:c>
      <x:c r="AF3" s="5" t="inlineStr">
        <x:is>
          <x:t xml:space="preserve">C2</x:t>
        </x:is>
      </x:c>
      <x:c r="AG3" s="5" t="inlineStr">
        <x:is>
          <x:t xml:space="preserve">RCH_N</x:t>
        </x:is>
      </x:c>
      <x:c r="AH3" s="5" t="inlineStr">
        <x:is>
          <x:t xml:space="preserve">Calc New kW</x:t>
        </x:is>
      </x:c>
      <x:c r="AI3" s="5" t="inlineStr">
        <x:is>
          <x:t xml:space="preserve">Delta vs expected</x:t>
        </x:is>
      </x:c>
    </x:row>
    <x:row r="4">
      <x:c r="A4" s="10">
        <x:f>Sample_Ships!A4</x:f>
        <x:v>1</x:v>
      </x:c>
      <x:c r="B4" s="10" t="str">
        <x:f>Sample_Ships!B4</x:f>
        <x:v>IAS</x:v>
      </x:c>
      <x:c r="C4" s="10">
        <x:f>Sample_Ships!C4</x:f>
        <x:v>24</x:v>
      </x:c>
      <x:c r="D4" s="10">
        <x:f>Sample_Ships!D4</x:f>
        <x:v>90</x:v>
      </x:c>
      <x:c r="E4" s="10">
        <x:f>Sample_Ships!E4</x:f>
        <x:v>30</x:v>
      </x:c>
      <x:c r="F4" s="10">
        <x:f>Sample_Ships!F4</x:f>
        <x:v>150</x:v>
      </x:c>
      <x:c r="G4" s="10">
        <x:f>Sample_Ships!G4</x:f>
        <x:v>25</x:v>
      </x:c>
      <x:c r="H4" s="10">
        <x:f>Sample_Ships!H4</x:f>
        <x:v>9</x:v>
      </x:c>
      <x:c r="I4" s="10">
        <x:f>Sample_Ships!I4</x:f>
        <x:v>45</x:v>
      </x:c>
      <x:c r="J4" s="10">
        <x:f>Sample_Ships!J4</x:f>
        <x:v>70</x:v>
      </x:c>
      <x:c r="K4" s="10">
        <x:f>Sample_Ships!K4</x:f>
        <x:v>500</x:v>
      </x:c>
      <x:c r="L4" s="10">
        <x:f>Sample_Ships!L4</x:f>
        <x:v>5</x:v>
      </x:c>
      <x:c r="M4" s="10">
        <x:f>Sample_Ships!M4</x:f>
        <x:v>1</x:v>
      </x:c>
      <x:c r="N4" s="10" t="str">
        <x:f>Sample_Ships!N4</x:f>
        <x:v>CP</x:v>
      </x:c>
      <x:c r="O4" s="11">
        <x:f>Sample_Ships!O4</x:f>
        <x:v>7840</x:v>
      </x:c>
      <x:c r="P4" s="11">
        <x:f>Sample_Ships!P4</x:f>
        <x:v>9192</x:v>
      </x:c>
      <x:c r="Q4" s="12">
        <x:f>I4/F4</x:f>
        <x:v>0.3</x:v>
      </x:c>
      <x:c r="R4" s="12">
        <x:f>J4/F4</x:f>
        <x:v>0.4666666666666667</x:v>
      </x:c>
      <x:c r="S4" s="12">
        <x:f>L4/H4</x:f>
        <x:v>0.5555555555555556</x:v>
      </x:c>
      <x:c r="T4" s="12">
        <x:f>K4/(F4*G4)</x:f>
        <x:v>0.13333333333333333</x:v>
      </x:c>
      <x:c r="U4" s="13" t="str">
        <x:f>IF(AND(C4&gt;=Range_Validity!C4,C4&lt;=Range_Validity!D4,D4&gt;=Range_Validity!C5,D4&lt;=Range_Validity!D5,E4&gt;=Range_Validity!C6,E4&lt;=Range_Validity!D6,F4&gt;=Range_Validity!C7,F4&lt;=Range_Validity!D7,G4&gt;=Range_Validity!C8,G4&lt;=Range_Validity!D8,H4&gt;=Range_Validity!C9,H4&lt;=Range_Validity!D9,Q4&gt;=Range_Validity!C10,Q4&lt;=Range_Validity!D10,R4&gt;=Range_Validity!C11,R4&lt;=Range_Validity!D11,S4&gt;=Range_Validity!C12,S4&lt;=Range_Validity!D12,T4&gt;=Range_Validity!C13,T4&lt;=Range_Validity!D13),"Yes","Check")</x:f>
        <x:v>Yes</x:v>
      </x:c>
      <x:c r="V4" s="12">
        <x:f>IF(M4=1,IF(N4="CP",2.03,2.26),IF(M4=2,IF(N4="CP",1.44,1.60),IF(M4=3,IF(N4="CP",1.18,1.31),NA())))</x:f>
        <x:v>2.03</x:v>
      </x:c>
      <x:c r="W4" s="12">
        <x:f>IF(B4="IAS",1.0,IF(B4="IA",1.0,IF(B4="IB",0.8,IF(B4="IC",0.6,""))))</x:f>
        <x:v>1</x:v>
      </x:c>
      <x:c r="X4" s="12">
        <x:f>0.26+SQRT(W4*G4)</x:f>
        <x:v>5.26</x:v>
      </x:c>
      <x:c r="Y4" s="12">
        <x:f>DEGREES(ATAN(TAN(RADIANS(E4))/SIN(RADIANS(C4))))</x:f>
        <x:v>54.835743591579636</x:v>
      </x:c>
      <x:c r="Z4" s="12">
        <x:f>0.15*COS(RADIANS(E4)) + SIN(RADIANS(Y4))*SIN(RADIANS(C4))</x:f>
        <x:v>0.46241278264827956</x:v>
      </x:c>
      <x:c r="AA4" s="12">
        <x:f>MAX(0.45,Z4)</x:f>
        <x:v>0.46241278264827956</x:v>
      </x:c>
      <x:c r="AB4" s="12">
        <x:f>IF(Y4&lt;=45,0,0.047*Y4-2.115)</x:f>
        <x:v>0.46227994880424284</x:v>
      </x:c>
      <x:c r="AC4" s="12">
        <x:f>(F4*H4/(G4^2))^3</x:f>
        <x:v>10.077696000000001</x:v>
      </x:c>
      <x:c r="AD4" s="12">
        <x:f>MEDIAN(5,AC4,20)</x:f>
        <x:v>10.077696000000001</x:v>
      </x:c>
      <x:c r="AE4" s="14">
        <x:f>IF(B4="IAS",23*(G4*J4)/(2*H4/G4+1) + (1+0.021*D4)*(45.8*G4+14.7*I4+29*G4*I4),0)</x:f>
        <x:v>122908.19779069768</x:v>
      </x:c>
      <x:c r="AF4" s="14">
        <x:f>IF(B4="IAS",(1+0.063*D4)*(1530+170*G4) + 400*(1+1.2*H4/G4)*(G4^2/SQRT(F4)),0)</x:f>
        <x:v>67783.17759721259</x:v>
      </x:c>
      <x:c r="AG4" s="14">
        <x:f>AE4+AF4+845*AA4*(X4+W4)^2*(G4+AB4*X4)+42*J4*(X4^2)+825*AD4*(K4/F4)</x:f>
        <x:v>719783.5062039403</x:v>
      </x:c>
      <x:c r="AH4" s="14">
        <x:f>V4*((AG4/1000)^(3/2))/L4</x:f>
        <x:v>7840.231195020108</x:v>
      </x:c>
      <x:c r="AI4" s="15">
        <x:f>AH4-O4</x:f>
        <x:v>0.23119502010831638</x:v>
      </x:c>
    </x:row>
    <x:row r="5">
      <x:c r="A5" s="10">
        <x:f>Sample_Ships!A5</x:f>
        <x:v>2</x:v>
      </x:c>
      <x:c r="B5" s="10" t="str">
        <x:f>Sample_Ships!B5</x:f>
        <x:v>IA</x:v>
      </x:c>
      <x:c r="C5" s="10">
        <x:f>Sample_Ships!C5</x:f>
        <x:v>24</x:v>
      </x:c>
      <x:c r="D5" s="10">
        <x:f>Sample_Ships!D5</x:f>
        <x:v>90</x:v>
      </x:c>
      <x:c r="E5" s="10">
        <x:f>Sample_Ships!E5</x:f>
        <x:v>30</x:v>
      </x:c>
      <x:c r="F5" s="10">
        <x:f>Sample_Ships!F5</x:f>
        <x:v>150</x:v>
      </x:c>
      <x:c r="G5" s="10">
        <x:f>Sample_Ships!G5</x:f>
        <x:v>25</x:v>
      </x:c>
      <x:c r="H5" s="10">
        <x:f>Sample_Ships!H5</x:f>
        <x:v>9</x:v>
      </x:c>
      <x:c r="I5" s="10">
        <x:f>Sample_Ships!I5</x:f>
        <x:v>45</x:v>
      </x:c>
      <x:c r="J5" s="10">
        <x:f>Sample_Ships!J5</x:f>
        <x:v>70</x:v>
      </x:c>
      <x:c r="K5" s="10">
        <x:f>Sample_Ships!K5</x:f>
        <x:v>500</x:v>
      </x:c>
      <x:c r="L5" s="10">
        <x:f>Sample_Ships!L5</x:f>
        <x:v>5</x:v>
      </x:c>
      <x:c r="M5" s="10">
        <x:f>Sample_Ships!M5</x:f>
        <x:v>1</x:v>
      </x:c>
      <x:c r="N5" s="10" t="str">
        <x:f>Sample_Ships!N5</x:f>
        <x:v>CP</x:v>
      </x:c>
      <x:c r="O5" s="11">
        <x:f>Sample_Ships!O5</x:f>
        <x:v>4941</x:v>
      </x:c>
      <x:c r="P5" s="11">
        <x:f>Sample_Ships!P5</x:f>
        <x:v>6614</x:v>
      </x:c>
      <x:c r="Q5" s="12">
        <x:f>I5/F5</x:f>
        <x:v>0.3</x:v>
      </x:c>
      <x:c r="R5" s="12">
        <x:f>J5/F5</x:f>
        <x:v>0.4666666666666667</x:v>
      </x:c>
      <x:c r="S5" s="12">
        <x:f>L5/H5</x:f>
        <x:v>0.5555555555555556</x:v>
      </x:c>
      <x:c r="T5" s="12">
        <x:f>K5/(F5*G5)</x:f>
        <x:v>0.13333333333333333</x:v>
      </x:c>
      <x:c r="U5" s="13" t="str">
        <x:f>IF(AND(C5&gt;=Range_Validity!C4,C5&lt;=Range_Validity!D4,D5&gt;=Range_Validity!C5,D5&lt;=Range_Validity!D5,E5&gt;=Range_Validity!C6,E5&lt;=Range_Validity!D6,F5&gt;=Range_Validity!C7,F5&lt;=Range_Validity!D7,G5&gt;=Range_Validity!C8,G5&lt;=Range_Validity!D8,H5&gt;=Range_Validity!C9,H5&lt;=Range_Validity!D9,Q5&gt;=Range_Validity!C10,Q5&lt;=Range_Validity!D10,R5&gt;=Range_Validity!C11,R5&lt;=Range_Validity!D11,S5&gt;=Range_Validity!C12,S5&lt;=Range_Validity!D12,T5&gt;=Range_Validity!C13,T5&lt;=Range_Validity!D13),"Yes","Check")</x:f>
        <x:v>Yes</x:v>
      </x:c>
      <x:c r="V5" s="12">
        <x:f>IF(M5=1,IF(N5="CP",2.03,2.26),IF(M5=2,IF(N5="CP",1.44,1.60),IF(M5=3,IF(N5="CP",1.18,1.31),NA())))</x:f>
        <x:v>2.03</x:v>
      </x:c>
      <x:c r="W5" s="12">
        <x:f>IF(B5="IAS",1.0,IF(B5="IA",1.0,IF(B5="IB",0.8,IF(B5="IC",0.6,""))))</x:f>
        <x:v>1</x:v>
      </x:c>
      <x:c r="X5" s="12">
        <x:f>0.26+SQRT(W5*G5)</x:f>
        <x:v>5.26</x:v>
      </x:c>
      <x:c r="Y5" s="12">
        <x:f>DEGREES(ATAN(TAN(RADIANS(E5))/SIN(RADIANS(C5))))</x:f>
        <x:v>54.835743591579636</x:v>
      </x:c>
      <x:c r="Z5" s="12">
        <x:f>0.15*COS(RADIANS(E5)) + SIN(RADIANS(Y5))*SIN(RADIANS(C5))</x:f>
        <x:v>0.46241278264827956</x:v>
      </x:c>
      <x:c r="AA5" s="12">
        <x:f>MAX(0.45,Z5)</x:f>
        <x:v>0.46241278264827956</x:v>
      </x:c>
      <x:c r="AB5" s="12">
        <x:f>IF(Y5&lt;=45,0,0.047*Y5-2.115)</x:f>
        <x:v>0.46227994880424284</x:v>
      </x:c>
      <x:c r="AC5" s="12">
        <x:f>(F5*H5/(G5^2))^3</x:f>
        <x:v>10.077696000000001</x:v>
      </x:c>
      <x:c r="AD5" s="12">
        <x:f>MEDIAN(5,AC5,20)</x:f>
        <x:v>10.077696000000001</x:v>
      </x:c>
      <x:c r="AE5" s="14">
        <x:f>IF(B5="IAS",23*(G5*J5)/(2*H5/G5+1) + (1+0.021*D5)*(45.8*G5+14.7*I5+29*G5*I5),0)</x:f>
        <x:v>0</x:v>
      </x:c>
      <x:c r="AF5" s="14">
        <x:f>IF(B5="IAS",(1+0.063*D5)*(1530+170*G5) + 400*(1+1.2*H5/G5)*(G5^2/SQRT(F5)),0)</x:f>
        <x:v>0</x:v>
      </x:c>
      <x:c r="AG5" s="14">
        <x:f>AE5+AF5+845*AA5*(X5+W5)^2*(G5+AB5*X5)+42*J5*(X5^2)+825*AD5*(K5/F5)</x:f>
        <x:v>529092.13081603</x:v>
      </x:c>
      <x:c r="AH5" s="14">
        <x:f>V5*((AG5/1000)^(3/2))/L5</x:f>
        <x:v>4941.092532525949</x:v>
      </x:c>
      <x:c r="AI5" s="15">
        <x:f>AH5-O5</x:f>
        <x:v>0.09253252594862715</x:v>
      </x:c>
    </x:row>
    <x:row r="6">
      <x:c r="A6" s="10">
        <x:f>Sample_Ships!A6</x:f>
        <x:v>3</x:v>
      </x:c>
      <x:c r="B6" s="10" t="str">
        <x:f>Sample_Ships!B6</x:f>
        <x:v>IB</x:v>
      </x:c>
      <x:c r="C6" s="10">
        <x:f>Sample_Ships!C6</x:f>
        <x:v>24</x:v>
      </x:c>
      <x:c r="D6" s="10">
        <x:f>Sample_Ships!D6</x:f>
        <x:v>90</x:v>
      </x:c>
      <x:c r="E6" s="10">
        <x:f>Sample_Ships!E6</x:f>
        <x:v>30</x:v>
      </x:c>
      <x:c r="F6" s="10">
        <x:f>Sample_Ships!F6</x:f>
        <x:v>150</x:v>
      </x:c>
      <x:c r="G6" s="10">
        <x:f>Sample_Ships!G6</x:f>
        <x:v>25</x:v>
      </x:c>
      <x:c r="H6" s="10">
        <x:f>Sample_Ships!H6</x:f>
        <x:v>9</x:v>
      </x:c>
      <x:c r="I6" s="10">
        <x:f>Sample_Ships!I6</x:f>
        <x:v>45</x:v>
      </x:c>
      <x:c r="J6" s="10">
        <x:f>Sample_Ships!J6</x:f>
        <x:v>70</x:v>
      </x:c>
      <x:c r="K6" s="10">
        <x:f>Sample_Ships!K6</x:f>
        <x:v>500</x:v>
      </x:c>
      <x:c r="L6" s="10">
        <x:f>Sample_Ships!L6</x:f>
        <x:v>5</x:v>
      </x:c>
      <x:c r="M6" s="10">
        <x:f>Sample_Ships!M6</x:f>
        <x:v>1</x:v>
      </x:c>
      <x:c r="N6" s="10" t="str">
        <x:f>Sample_Ships!N6</x:f>
        <x:v>CP</x:v>
      </x:c>
      <x:c r="O6" s="11">
        <x:f>Sample_Ships!O6</x:f>
        <x:v>3478</x:v>
      </x:c>
      <x:c r="P6" s="11">
        <x:f>Sample_Ships!P6</x:f>
        <x:v>0</x:v>
      </x:c>
      <x:c r="Q6" s="12">
        <x:f>I6/F6</x:f>
        <x:v>0.3</x:v>
      </x:c>
      <x:c r="R6" s="12">
        <x:f>J6/F6</x:f>
        <x:v>0.4666666666666667</x:v>
      </x:c>
      <x:c r="S6" s="12">
        <x:f>L6/H6</x:f>
        <x:v>0.5555555555555556</x:v>
      </x:c>
      <x:c r="T6" s="12">
        <x:f>K6/(F6*G6)</x:f>
        <x:v>0.13333333333333333</x:v>
      </x:c>
      <x:c r="U6" s="13" t="str">
        <x:f>IF(AND(C6&gt;=Range_Validity!C4,C6&lt;=Range_Validity!D4,D6&gt;=Range_Validity!C5,D6&lt;=Range_Validity!D5,E6&gt;=Range_Validity!C6,E6&lt;=Range_Validity!D6,F6&gt;=Range_Validity!C7,F6&lt;=Range_Validity!D7,G6&gt;=Range_Validity!C8,G6&lt;=Range_Validity!D8,H6&gt;=Range_Validity!C9,H6&lt;=Range_Validity!D9,Q6&gt;=Range_Validity!C10,Q6&lt;=Range_Validity!D10,R6&gt;=Range_Validity!C11,R6&lt;=Range_Validity!D11,S6&gt;=Range_Validity!C12,S6&lt;=Range_Validity!D12,T6&gt;=Range_Validity!C13,T6&lt;=Range_Validity!D13),"Yes","Check")</x:f>
        <x:v>Yes</x:v>
      </x:c>
      <x:c r="V6" s="12">
        <x:f>IF(M6=1,IF(N6="CP",2.03,2.26),IF(M6=2,IF(N6="CP",1.44,1.60),IF(M6=3,IF(N6="CP",1.18,1.31),NA())))</x:f>
        <x:v>2.03</x:v>
      </x:c>
      <x:c r="W6" s="12">
        <x:f>IF(B6="IAS",1.0,IF(B6="IA",1.0,IF(B6="IB",0.8,IF(B6="IC",0.6,""))))</x:f>
        <x:v>0.8</x:v>
      </x:c>
      <x:c r="X6" s="12">
        <x:f>0.26+SQRT(W6*G6)</x:f>
        <x:v>4.732135954999579</x:v>
      </x:c>
      <x:c r="Y6" s="12">
        <x:f>DEGREES(ATAN(TAN(RADIANS(E6))/SIN(RADIANS(C6))))</x:f>
        <x:v>54.835743591579636</x:v>
      </x:c>
      <x:c r="Z6" s="12">
        <x:f>0.15*COS(RADIANS(E6)) + SIN(RADIANS(Y6))*SIN(RADIANS(C6))</x:f>
        <x:v>0.46241278264827956</x:v>
      </x:c>
      <x:c r="AA6" s="12">
        <x:f>MAX(0.45,Z6)</x:f>
        <x:v>0.46241278264827956</x:v>
      </x:c>
      <x:c r="AB6" s="12">
        <x:f>IF(Y6&lt;=45,0,0.047*Y6-2.115)</x:f>
        <x:v>0.46227994880424284</x:v>
      </x:c>
      <x:c r="AC6" s="12">
        <x:f>(F6*H6/(G6^2))^3</x:f>
        <x:v>10.077696000000001</x:v>
      </x:c>
      <x:c r="AD6" s="12">
        <x:f>MEDIAN(5,AC6,20)</x:f>
        <x:v>10.077696000000001</x:v>
      </x:c>
      <x:c r="AE6" s="14">
        <x:f>IF(B6="IAS",23*(G6*J6)/(2*H6/G6+1) + (1+0.021*D6)*(45.8*G6+14.7*I6+29*G6*I6),0)</x:f>
        <x:v>0</x:v>
      </x:c>
      <x:c r="AF6" s="14">
        <x:f>IF(B6="IAS",(1+0.063*D6)*(1530+170*G6) + 400*(1+1.2*H6/G6)*(G6^2/SQRT(F6)),0)</x:f>
        <x:v>0</x:v>
      </x:c>
      <x:c r="AG6" s="14">
        <x:f>AE6+AF6+845*AA6*(X6+W6)^2*(G6+AB6*X6)+42*J6*(X6^2)+825*AD6*(K6/F6)</x:f>
        <x:v>418668.63109735464</x:v>
      </x:c>
      <x:c r="AH6" s="14">
        <x:f>V6*((AG6/1000)^(3/2))/L6</x:f>
        <x:v>3478.0167340761727</x:v>
      </x:c>
      <x:c r="AI6" s="15">
        <x:f>AH6-O6</x:f>
        <x:v>0.0167340761727246</x:v>
      </x:c>
    </x:row>
    <x:row r="7">
      <x:c r="A7" s="10">
        <x:f>Sample_Ships!A7</x:f>
        <x:v>4</x:v>
      </x:c>
      <x:c r="B7" s="10" t="str">
        <x:f>Sample_Ships!B7</x:f>
        <x:v>IC</x:v>
      </x:c>
      <x:c r="C7" s="10">
        <x:f>Sample_Ships!C7</x:f>
        <x:v>24</x:v>
      </x:c>
      <x:c r="D7" s="10">
        <x:f>Sample_Ships!D7</x:f>
        <x:v>90</x:v>
      </x:c>
      <x:c r="E7" s="10">
        <x:f>Sample_Ships!E7</x:f>
        <x:v>30</x:v>
      </x:c>
      <x:c r="F7" s="10">
        <x:f>Sample_Ships!F7</x:f>
        <x:v>150</x:v>
      </x:c>
      <x:c r="G7" s="10">
        <x:f>Sample_Ships!G7</x:f>
        <x:v>25</x:v>
      </x:c>
      <x:c r="H7" s="10">
        <x:f>Sample_Ships!H7</x:f>
        <x:v>9</x:v>
      </x:c>
      <x:c r="I7" s="10">
        <x:f>Sample_Ships!I7</x:f>
        <x:v>45</x:v>
      </x:c>
      <x:c r="J7" s="10">
        <x:f>Sample_Ships!J7</x:f>
        <x:v>70</x:v>
      </x:c>
      <x:c r="K7" s="10">
        <x:f>Sample_Ships!K7</x:f>
        <x:v>500</x:v>
      </x:c>
      <x:c r="L7" s="10">
        <x:f>Sample_Ships!L7</x:f>
        <x:v>5</x:v>
      </x:c>
      <x:c r="M7" s="10">
        <x:f>Sample_Ships!M7</x:f>
        <x:v>1</x:v>
      </x:c>
      <x:c r="N7" s="10" t="str">
        <x:f>Sample_Ships!N7</x:f>
        <x:v>CP</x:v>
      </x:c>
      <x:c r="O7" s="11">
        <x:f>Sample_Ships!O7</x:f>
        <x:v>2253</x:v>
      </x:c>
      <x:c r="P7" s="11">
        <x:f>Sample_Ships!P7</x:f>
        <x:v>0</x:v>
      </x:c>
      <x:c r="Q7" s="12">
        <x:f>I7/F7</x:f>
        <x:v>0.3</x:v>
      </x:c>
      <x:c r="R7" s="12">
        <x:f>J7/F7</x:f>
        <x:v>0.4666666666666667</x:v>
      </x:c>
      <x:c r="S7" s="12">
        <x:f>L7/H7</x:f>
        <x:v>0.5555555555555556</x:v>
      </x:c>
      <x:c r="T7" s="12">
        <x:f>K7/(F7*G7)</x:f>
        <x:v>0.13333333333333333</x:v>
      </x:c>
      <x:c r="U7" s="13" t="str">
        <x:f>IF(AND(C7&gt;=Range_Validity!C4,C7&lt;=Range_Validity!D4,D7&gt;=Range_Validity!C5,D7&lt;=Range_Validity!D5,E7&gt;=Range_Validity!C6,E7&lt;=Range_Validity!D6,F7&gt;=Range_Validity!C7,F7&lt;=Range_Validity!D7,G7&gt;=Range_Validity!C8,G7&lt;=Range_Validity!D8,H7&gt;=Range_Validity!C9,H7&lt;=Range_Validity!D9,Q7&gt;=Range_Validity!C10,Q7&lt;=Range_Validity!D10,R7&gt;=Range_Validity!C11,R7&lt;=Range_Validity!D11,S7&gt;=Range_Validity!C12,S7&lt;=Range_Validity!D12,T7&gt;=Range_Validity!C13,T7&lt;=Range_Validity!D13),"Yes","Check")</x:f>
        <x:v>Yes</x:v>
      </x:c>
      <x:c r="V7" s="12">
        <x:f>IF(M7=1,IF(N7="CP",2.03,2.26),IF(M7=2,IF(N7="CP",1.44,1.60),IF(M7=3,IF(N7="CP",1.18,1.31),NA())))</x:f>
        <x:v>2.03</x:v>
      </x:c>
      <x:c r="W7" s="12">
        <x:f>IF(B7="IAS",1.0,IF(B7="IA",1.0,IF(B7="IB",0.8,IF(B7="IC",0.6,""))))</x:f>
        <x:v>0.6</x:v>
      </x:c>
      <x:c r="X7" s="12">
        <x:f>0.26+SQRT(W7*G7)</x:f>
        <x:v>4.132983346207417</x:v>
      </x:c>
      <x:c r="Y7" s="12">
        <x:f>DEGREES(ATAN(TAN(RADIANS(E7))/SIN(RADIANS(C7))))</x:f>
        <x:v>54.835743591579636</x:v>
      </x:c>
      <x:c r="Z7" s="12">
        <x:f>0.15*COS(RADIANS(E7)) + SIN(RADIANS(Y7))*SIN(RADIANS(C7))</x:f>
        <x:v>0.46241278264827956</x:v>
      </x:c>
      <x:c r="AA7" s="12">
        <x:f>MAX(0.45,Z7)</x:f>
        <x:v>0.46241278264827956</x:v>
      </x:c>
      <x:c r="AB7" s="12">
        <x:f>IF(Y7&lt;=45,0,0.047*Y7-2.115)</x:f>
        <x:v>0.46227994880424284</x:v>
      </x:c>
      <x:c r="AC7" s="12">
        <x:f>(F7*H7/(G7^2))^3</x:f>
        <x:v>10.077696000000001</x:v>
      </x:c>
      <x:c r="AD7" s="12">
        <x:f>MEDIAN(5,AC7,20)</x:f>
        <x:v>10.077696000000001</x:v>
      </x:c>
      <x:c r="AE7" s="14">
        <x:f>IF(B7="IAS",23*(G7*J7)/(2*H7/G7+1) + (1+0.021*D7)*(45.8*G7+14.7*I7+29*G7*I7),0)</x:f>
        <x:v>0</x:v>
      </x:c>
      <x:c r="AF7" s="14">
        <x:f>IF(B7="IAS",(1+0.063*D7)*(1530+170*G7) + 400*(1+1.2*H7/G7)*(G7^2/SQRT(F7)),0)</x:f>
        <x:v>0</x:v>
      </x:c>
      <x:c r="AG7" s="14">
        <x:f>AE7+AF7+845*AA7*(X7+W7)^2*(G7+AB7*X7)+42*J7*(X7^2)+825*AD7*(K7/F7)</x:f>
        <x:v>313481.6294360956</x:v>
      </x:c>
      <x:c r="AH7" s="14">
        <x:f>V7*((AG7/1000)^(3/2))/L7</x:f>
        <x:v>2253.4305450183824</x:v>
      </x:c>
      <x:c r="AI7" s="15">
        <x:f>AH7-O7</x:f>
        <x:v>0.43054501838241777</x:v>
      </x:c>
    </x:row>
    <x:row r="8">
      <x:c r="A8" s="10">
        <x:f>Sample_Ships!A8</x:f>
        <x:v>5</x:v>
      </x:c>
      <x:c r="B8" s="10" t="str">
        <x:f>Sample_Ships!B8</x:f>
        <x:v>IAS</x:v>
      </x:c>
      <x:c r="C8" s="10">
        <x:f>Sample_Ships!C8</x:f>
        <x:v>24</x:v>
      </x:c>
      <x:c r="D8" s="10">
        <x:f>Sample_Ships!D8</x:f>
        <x:v>30</x:v>
      </x:c>
      <x:c r="E8" s="10">
        <x:f>Sample_Ships!E8</x:f>
        <x:v>30</x:v>
      </x:c>
      <x:c r="F8" s="10">
        <x:f>Sample_Ships!F8</x:f>
        <x:v>150</x:v>
      </x:c>
      <x:c r="G8" s="10">
        <x:f>Sample_Ships!G8</x:f>
        <x:v>25</x:v>
      </x:c>
      <x:c r="H8" s="10">
        <x:f>Sample_Ships!H8</x:f>
        <x:v>9</x:v>
      </x:c>
      <x:c r="I8" s="10">
        <x:f>Sample_Ships!I8</x:f>
        <x:v>45</x:v>
      </x:c>
      <x:c r="J8" s="10">
        <x:f>Sample_Ships!J8</x:f>
        <x:v>70</x:v>
      </x:c>
      <x:c r="K8" s="10">
        <x:f>Sample_Ships!K8</x:f>
        <x:v>500</x:v>
      </x:c>
      <x:c r="L8" s="10">
        <x:f>Sample_Ships!L8</x:f>
        <x:v>5</x:v>
      </x:c>
      <x:c r="M8" s="10">
        <x:f>Sample_Ships!M8</x:f>
        <x:v>1</x:v>
      </x:c>
      <x:c r="N8" s="10" t="str">
        <x:f>Sample_Ships!N8</x:f>
        <x:v>CP</x:v>
      </x:c>
      <x:c r="O8" s="11">
        <x:f>Sample_Ships!O8</x:f>
        <x:v>6799</x:v>
      </x:c>
      <x:c r="P8" s="11">
        <x:f>Sample_Ships!P8</x:f>
        <x:v>8466</x:v>
      </x:c>
      <x:c r="Q8" s="12">
        <x:f>I8/F8</x:f>
        <x:v>0.3</x:v>
      </x:c>
      <x:c r="R8" s="12">
        <x:f>J8/F8</x:f>
        <x:v>0.4666666666666667</x:v>
      </x:c>
      <x:c r="S8" s="12">
        <x:f>L8/H8</x:f>
        <x:v>0.5555555555555556</x:v>
      </x:c>
      <x:c r="T8" s="12">
        <x:f>K8/(F8*G8)</x:f>
        <x:v>0.13333333333333333</x:v>
      </x:c>
      <x:c r="U8" s="13" t="str">
        <x:f>IF(AND(C8&gt;=Range_Validity!C4,C8&lt;=Range_Validity!D4,D8&gt;=Range_Validity!C5,D8&lt;=Range_Validity!D5,E8&gt;=Range_Validity!C6,E8&lt;=Range_Validity!D6,F8&gt;=Range_Validity!C7,F8&lt;=Range_Validity!D7,G8&gt;=Range_Validity!C8,G8&lt;=Range_Validity!D8,H8&gt;=Range_Validity!C9,H8&lt;=Range_Validity!D9,Q8&gt;=Range_Validity!C10,Q8&lt;=Range_Validity!D10,R8&gt;=Range_Validity!C11,R8&lt;=Range_Validity!D11,S8&gt;=Range_Validity!C12,S8&lt;=Range_Validity!D12,T8&gt;=Range_Validity!C13,T8&lt;=Range_Validity!D13),"Yes","Check")</x:f>
        <x:v>Yes</x:v>
      </x:c>
      <x:c r="V8" s="12">
        <x:f>IF(M8=1,IF(N8="CP",2.03,2.26),IF(M8=2,IF(N8="CP",1.44,1.60),IF(M8=3,IF(N8="CP",1.18,1.31),NA())))</x:f>
        <x:v>2.03</x:v>
      </x:c>
      <x:c r="W8" s="12">
        <x:f>IF(B8="IAS",1.0,IF(B8="IA",1.0,IF(B8="IB",0.8,IF(B8="IC",0.6,""))))</x:f>
        <x:v>1</x:v>
      </x:c>
      <x:c r="X8" s="12">
        <x:f>0.26+SQRT(W8*G8)</x:f>
        <x:v>5.26</x:v>
      </x:c>
      <x:c r="Y8" s="12">
        <x:f>DEGREES(ATAN(TAN(RADIANS(E8))/SIN(RADIANS(C8))))</x:f>
        <x:v>54.835743591579636</x:v>
      </x:c>
      <x:c r="Z8" s="12">
        <x:f>0.15*COS(RADIANS(E8)) + SIN(RADIANS(Y8))*SIN(RADIANS(C8))</x:f>
        <x:v>0.46241278264827956</x:v>
      </x:c>
      <x:c r="AA8" s="12">
        <x:f>MAX(0.45,Z8)</x:f>
        <x:v>0.46241278264827956</x:v>
      </x:c>
      <x:c r="AB8" s="12">
        <x:f>IF(Y8&lt;=45,0,0.047*Y8-2.115)</x:f>
        <x:v>0.46227994880424284</x:v>
      </x:c>
      <x:c r="AC8" s="12">
        <x:f>(F8*H8/(G8^2))^3</x:f>
        <x:v>10.077696000000001</x:v>
      </x:c>
      <x:c r="AD8" s="12">
        <x:f>MEDIAN(5,AC8,20)</x:f>
        <x:v>10.077696000000001</x:v>
      </x:c>
      <x:c r="AE8" s="14">
        <x:f>IF(B8="IAS",23*(G8*J8)/(2*H8/G8+1) + (1+0.021*D8)*(45.8*G8+14.7*I8+29*G8*I8),0)</x:f>
        <x:v>79524.50779069767</x:v>
      </x:c>
      <x:c r="AF8" s="14">
        <x:f>IF(B8="IAS",(1+0.063*D8)*(1530+170*G8) + 400*(1+1.2*H8/G8)*(G8^2/SQRT(F8)),0)</x:f>
        <x:v>45934.7775972126</x:v>
      </x:c>
      <x:c r="AG8" s="14">
        <x:f>AE8+AF8+845*AA8*(X8+W8)^2*(G8+AB8*X8)+42*J8*(X8^2)+825*AD8*(K8/F8)</x:f>
        <x:v>654551.4162039402</x:v>
      </x:c>
      <x:c r="AH8" s="14">
        <x:f>V8*((AG8/1000)^(3/2))/L8</x:f>
        <x:v>6798.947440354245</x:v>
      </x:c>
      <x:c r="AI8" s="15">
        <x:f>AH8-O8</x:f>
        <x:v>-0.05255964575462713</x:v>
      </x:c>
    </x:row>
    <x:row r="9">
      <x:c r="A9" s="10">
        <x:f>Sample_Ships!A9</x:f>
        <x:v>6</x:v>
      </x:c>
      <x:c r="B9" s="10" t="str">
        <x:f>Sample_Ships!B9</x:f>
        <x:v>IAS</x:v>
      </x:c>
      <x:c r="C9" s="10">
        <x:f>Sample_Ships!C9</x:f>
        <x:v>24</x:v>
      </x:c>
      <x:c r="D9" s="10">
        <x:f>Sample_Ships!D9</x:f>
        <x:v>90</x:v>
      </x:c>
      <x:c r="E9" s="10">
        <x:f>Sample_Ships!E9</x:f>
        <x:v>30</x:v>
      </x:c>
      <x:c r="F9" s="10">
        <x:f>Sample_Ships!F9</x:f>
        <x:v>150</x:v>
      </x:c>
      <x:c r="G9" s="10">
        <x:f>Sample_Ships!G9</x:f>
        <x:v>22</x:v>
      </x:c>
      <x:c r="H9" s="10">
        <x:f>Sample_Ships!H9</x:f>
        <x:v>9</x:v>
      </x:c>
      <x:c r="I9" s="10">
        <x:f>Sample_Ships!I9</x:f>
        <x:v>45</x:v>
      </x:c>
      <x:c r="J9" s="10">
        <x:f>Sample_Ships!J9</x:f>
        <x:v>70</x:v>
      </x:c>
      <x:c r="K9" s="10">
        <x:f>Sample_Ships!K9</x:f>
        <x:v>500</x:v>
      </x:c>
      <x:c r="L9" s="10">
        <x:f>Sample_Ships!L9</x:f>
        <x:v>5</x:v>
      </x:c>
      <x:c r="M9" s="10">
        <x:f>Sample_Ships!M9</x:f>
        <x:v>1</x:v>
      </x:c>
      <x:c r="N9" s="10" t="str">
        <x:f>Sample_Ships!N9</x:f>
        <x:v>CP</x:v>
      </x:c>
      <x:c r="O9" s="11">
        <x:f>Sample_Ships!O9</x:f>
        <x:v>6406</x:v>
      </x:c>
      <x:c r="P9" s="11">
        <x:f>Sample_Ships!P9</x:f>
        <x:v>7645</x:v>
      </x:c>
      <x:c r="Q9" s="12">
        <x:f>I9/F9</x:f>
        <x:v>0.3</x:v>
      </x:c>
      <x:c r="R9" s="12">
        <x:f>J9/F9</x:f>
        <x:v>0.4666666666666667</x:v>
      </x:c>
      <x:c r="S9" s="12">
        <x:f>L9/H9</x:f>
        <x:v>0.5555555555555556</x:v>
      </x:c>
      <x:c r="T9" s="12">
        <x:f>K9/(F9*G9)</x:f>
        <x:v>0.15151515151515152</x:v>
      </x:c>
      <x:c r="U9" s="13" t="str">
        <x:f>IF(AND(C9&gt;=Range_Validity!C4,C9&lt;=Range_Validity!D4,D9&gt;=Range_Validity!C5,D9&lt;=Range_Validity!D5,E9&gt;=Range_Validity!C6,E9&lt;=Range_Validity!D6,F9&gt;=Range_Validity!C7,F9&lt;=Range_Validity!D7,G9&gt;=Range_Validity!C8,G9&lt;=Range_Validity!D8,H9&gt;=Range_Validity!C9,H9&lt;=Range_Validity!D9,Q9&gt;=Range_Validity!C10,Q9&lt;=Range_Validity!D10,R9&gt;=Range_Validity!C11,R9&lt;=Range_Validity!D11,S9&gt;=Range_Validity!C12,S9&lt;=Range_Validity!D12,T9&gt;=Range_Validity!C13,T9&lt;=Range_Validity!D13),"Yes","Check")</x:f>
        <x:v>Yes</x:v>
      </x:c>
      <x:c r="V9" s="12">
        <x:f>IF(M9=1,IF(N9="CP",2.03,2.26),IF(M9=2,IF(N9="CP",1.44,1.60),IF(M9=3,IF(N9="CP",1.18,1.31),NA())))</x:f>
        <x:v>2.03</x:v>
      </x:c>
      <x:c r="W9" s="12">
        <x:f>IF(B9="IAS",1.0,IF(B9="IA",1.0,IF(B9="IB",0.8,IF(B9="IC",0.6,""))))</x:f>
        <x:v>1</x:v>
      </x:c>
      <x:c r="X9" s="12">
        <x:f>0.26+SQRT(W9*G9)</x:f>
        <x:v>4.9504157598234295</x:v>
      </x:c>
      <x:c r="Y9" s="12">
        <x:f>DEGREES(ATAN(TAN(RADIANS(E9))/SIN(RADIANS(C9))))</x:f>
        <x:v>54.835743591579636</x:v>
      </x:c>
      <x:c r="Z9" s="12">
        <x:f>0.15*COS(RADIANS(E9)) + SIN(RADIANS(Y9))*SIN(RADIANS(C9))</x:f>
        <x:v>0.46241278264827956</x:v>
      </x:c>
      <x:c r="AA9" s="12">
        <x:f>MAX(0.45,Z9)</x:f>
        <x:v>0.46241278264827956</x:v>
      </x:c>
      <x:c r="AB9" s="12">
        <x:f>IF(Y9&lt;=45,0,0.047*Y9-2.115)</x:f>
        <x:v>0.46227994880424284</x:v>
      </x:c>
      <x:c r="AC9" s="12">
        <x:f>(F9*H9/(G9^2))^3</x:f>
        <x:v>21.700274150875984</x:v>
      </x:c>
      <x:c r="AD9" s="12">
        <x:f>MEDIAN(5,AC9,20)</x:f>
        <x:v>20</x:v>
      </x:c>
      <x:c r="AE9" s="14">
        <x:f>IF(B9="IAS",23*(G9*J9)/(2*H9/G9+1) + (1+0.021*D9)*(45.8*G9+14.7*I9+29*G9*I9),0)</x:f>
        <x:v>107276.599</x:v>
      </x:c>
      <x:c r="AF9" s="14">
        <x:f>IF(B9="IAS",(1+0.063*D9)*(1530+170*G9) + 400*(1+1.2*H9/G9)*(G9^2/SQRT(F9)),0)</x:f>
        <x:v>58718.25731189788</x:v>
      </x:c>
      <x:c r="AG9" s="14">
        <x:f>AE9+AF9+845*AA9*(X9+W9)^2*(G9+AB9*X9)+42*J9*(X9^2)+825*AD9*(K9/F9)</x:f>
        <x:v>629076.9469346056</x:v>
      </x:c>
      <x:c r="AH9" s="14">
        <x:f>V9*((AG9/1000)^(3/2))/L9</x:f>
        <x:v>6405.922632209918</x:v>
      </x:c>
      <x:c r="AI9" s="15">
        <x:f>AH9-O9</x:f>
        <x:v>-0.07736779008155281</x:v>
      </x:c>
    </x:row>
    <x:row r="10">
      <x:c r="A10" s="10">
        <x:f>Sample_Ships!A10</x:f>
        <x:v>7</x:v>
      </x:c>
      <x:c r="B10" s="10" t="str">
        <x:f>Sample_Ships!B10</x:f>
        <x:v>IA</x:v>
      </x:c>
      <x:c r="C10" s="10">
        <x:f>Sample_Ships!C10</x:f>
        <x:v>36</x:v>
      </x:c>
      <x:c r="D10" s="10">
        <x:f>Sample_Ships!D10</x:f>
        <x:v>30</x:v>
      </x:c>
      <x:c r="E10" s="10">
        <x:f>Sample_Ships!E10</x:f>
        <x:v>30</x:v>
      </x:c>
      <x:c r="F10" s="10">
        <x:f>Sample_Ships!F10</x:f>
        <x:v>150</x:v>
      </x:c>
      <x:c r="G10" s="10">
        <x:f>Sample_Ships!G10</x:f>
        <x:v>25</x:v>
      </x:c>
      <x:c r="H10" s="10">
        <x:f>Sample_Ships!H10</x:f>
        <x:v>9</x:v>
      </x:c>
      <x:c r="I10" s="10">
        <x:f>Sample_Ships!I10</x:f>
        <x:v>45</x:v>
      </x:c>
      <x:c r="J10" s="10">
        <x:f>Sample_Ships!J10</x:f>
        <x:v>70</x:v>
      </x:c>
      <x:c r="K10" s="10">
        <x:f>Sample_Ships!K10</x:f>
        <x:v>500</x:v>
      </x:c>
      <x:c r="L10" s="10">
        <x:f>Sample_Ships!L10</x:f>
        <x:v>5</x:v>
      </x:c>
      <x:c r="M10" s="10">
        <x:f>Sample_Ships!M10</x:f>
        <x:v>1</x:v>
      </x:c>
      <x:c r="N10" s="10" t="str">
        <x:f>Sample_Ships!N10</x:f>
        <x:v>CP</x:v>
      </x:c>
      <x:c r="O10" s="11">
        <x:f>Sample_Ships!O10</x:f>
        <x:v>5343</x:v>
      </x:c>
      <x:c r="P10" s="11">
        <x:f>Sample_Ships!P10</x:f>
        <x:v>6614</x:v>
      </x:c>
      <x:c r="Q10" s="12">
        <x:f>I10/F10</x:f>
        <x:v>0.3</x:v>
      </x:c>
      <x:c r="R10" s="12">
        <x:f>J10/F10</x:f>
        <x:v>0.4666666666666667</x:v>
      </x:c>
      <x:c r="S10" s="12">
        <x:f>L10/H10</x:f>
        <x:v>0.5555555555555556</x:v>
      </x:c>
      <x:c r="T10" s="12">
        <x:f>K10/(F10*G10)</x:f>
        <x:v>0.13333333333333333</x:v>
      </x:c>
      <x:c r="U10" s="13" t="str">
        <x:f>IF(AND(C10&gt;=Range_Validity!C4,C10&lt;=Range_Validity!D4,D10&gt;=Range_Validity!C5,D10&lt;=Range_Validity!D5,E10&gt;=Range_Validity!C6,E10&lt;=Range_Validity!D6,F10&gt;=Range_Validity!C7,F10&lt;=Range_Validity!D7,G10&gt;=Range_Validity!C8,G10&lt;=Range_Validity!D8,H10&gt;=Range_Validity!C9,H10&lt;=Range_Validity!D9,Q10&gt;=Range_Validity!C10,Q10&lt;=Range_Validity!D10,R10&gt;=Range_Validity!C11,R10&lt;=Range_Validity!D11,S10&gt;=Range_Validity!C12,S10&lt;=Range_Validity!D12,T10&gt;=Range_Validity!C13,T10&lt;=Range_Validity!D13),"Yes","Check")</x:f>
        <x:v>Yes</x:v>
      </x:c>
      <x:c r="V10" s="12">
        <x:f>IF(M10=1,IF(N10="CP",2.03,2.26),IF(M10=2,IF(N10="CP",1.44,1.60),IF(M10=3,IF(N10="CP",1.18,1.31),NA())))</x:f>
        <x:v>2.03</x:v>
      </x:c>
      <x:c r="W10" s="12">
        <x:f>IF(B10="IAS",1.0,IF(B10="IA",1.0,IF(B10="IB",0.8,IF(B10="IC",0.6,""))))</x:f>
        <x:v>1</x:v>
      </x:c>
      <x:c r="X10" s="12">
        <x:f>0.26+SQRT(W10*G10)</x:f>
        <x:v>5.26</x:v>
      </x:c>
      <x:c r="Y10" s="12">
        <x:f>DEGREES(ATAN(TAN(RADIANS(E10))/SIN(RADIANS(C10))))</x:f>
        <x:v>44.486871273408944</x:v>
      </x:c>
      <x:c r="Z10" s="12">
        <x:f>0.15*COS(RADIANS(E10)) + SIN(RADIANS(Y10))*SIN(RADIANS(C10))</x:f>
        <x:v>0.5417918644936636</x:v>
      </x:c>
      <x:c r="AA10" s="12">
        <x:f>MAX(0.45,Z10)</x:f>
        <x:v>0.5417918644936636</x:v>
      </x:c>
      <x:c r="AB10" s="12">
        <x:f>IF(Y10&lt;=45,0,0.047*Y10-2.115)</x:f>
        <x:v>0</x:v>
      </x:c>
      <x:c r="AC10" s="12">
        <x:f>(F10*H10/(G10^2))^3</x:f>
        <x:v>10.077696000000001</x:v>
      </x:c>
      <x:c r="AD10" s="12">
        <x:f>MEDIAN(5,AC10,20)</x:f>
        <x:v>10.077696000000001</x:v>
      </x:c>
      <x:c r="AE10" s="14">
        <x:f>IF(B10="IAS",23*(G10*J10)/(2*H10/G10+1) + (1+0.021*D10)*(45.8*G10+14.7*I10+29*G10*I10),0)</x:f>
        <x:v>0</x:v>
      </x:c>
      <x:c r="AF10" s="14">
        <x:f>IF(B10="IAS",(1+0.063*D10)*(1530+170*G10) + 400*(1+1.2*H10/G10)*(G10^2/SQRT(F10)),0)</x:f>
        <x:v>0</x:v>
      </x:c>
      <x:c r="AG10" s="14">
        <x:f>AE10+AF10+845*AA10*(X10+W10)^2*(G10+AB10*X10)+42*J10*(X10^2)+825*AD10*(K10/F10)</x:f>
        <x:v>557572.3286082986</x:v>
      </x:c>
      <x:c r="AH10" s="14">
        <x:f>V10*((AG10/1000)^(3/2))/L10</x:f>
        <x:v>5345.370986127288</x:v>
      </x:c>
      <x:c r="AI10" s="15">
        <x:f>AH10-O10</x:f>
        <x:v>2.3709861272882335</x:v>
      </x:c>
    </x:row>
    <x:row r="11">
      <x:c r="A11" s="10">
        <x:f>Sample_Ships!A11</x:f>
        <x:v>8</x:v>
      </x:c>
      <x:c r="B11" s="10" t="str">
        <x:f>Sample_Ships!B11</x:f>
        <x:v>IA</x:v>
      </x:c>
      <x:c r="C11" s="10">
        <x:f>Sample_Ships!C11</x:f>
        <x:v>20</x:v>
      </x:c>
      <x:c r="D11" s="10">
        <x:f>Sample_Ships!D11</x:f>
        <x:v>30</x:v>
      </x:c>
      <x:c r="E11" s="10">
        <x:f>Sample_Ships!E11</x:f>
        <x:v>30</x:v>
      </x:c>
      <x:c r="F11" s="10">
        <x:f>Sample_Ships!F11</x:f>
        <x:v>150</x:v>
      </x:c>
      <x:c r="G11" s="10">
        <x:f>Sample_Ships!G11</x:f>
        <x:v>25</x:v>
      </x:c>
      <x:c r="H11" s="10">
        <x:f>Sample_Ships!H11</x:f>
        <x:v>9</x:v>
      </x:c>
      <x:c r="I11" s="10">
        <x:f>Sample_Ships!I11</x:f>
        <x:v>45</x:v>
      </x:c>
      <x:c r="J11" s="10">
        <x:f>Sample_Ships!J11</x:f>
        <x:v>70</x:v>
      </x:c>
      <x:c r="K11" s="10">
        <x:f>Sample_Ships!K11</x:f>
        <x:v>500</x:v>
      </x:c>
      <x:c r="L11" s="10">
        <x:f>Sample_Ships!L11</x:f>
        <x:v>5</x:v>
      </x:c>
      <x:c r="M11" s="10">
        <x:f>Sample_Ships!M11</x:f>
        <x:v>1</x:v>
      </x:c>
      <x:c r="N11" s="10" t="str">
        <x:f>Sample_Ships!N11</x:f>
        <x:v>CP</x:v>
      </x:c>
      <x:c r="O11" s="11">
        <x:f>Sample_Ships!O11</x:f>
        <x:v>5017</x:v>
      </x:c>
      <x:c r="P11" s="11">
        <x:f>Sample_Ships!P11</x:f>
        <x:v>6614</x:v>
      </x:c>
      <x:c r="Q11" s="12">
        <x:f>I11/F11</x:f>
        <x:v>0.3</x:v>
      </x:c>
      <x:c r="R11" s="12">
        <x:f>J11/F11</x:f>
        <x:v>0.4666666666666667</x:v>
      </x:c>
      <x:c r="S11" s="12">
        <x:f>L11/H11</x:f>
        <x:v>0.5555555555555556</x:v>
      </x:c>
      <x:c r="T11" s="12">
        <x:f>K11/(F11*G11)</x:f>
        <x:v>0.13333333333333333</x:v>
      </x:c>
      <x:c r="U11" s="13" t="str">
        <x:f>IF(AND(C11&gt;=Range_Validity!C4,C11&lt;=Range_Validity!D4,D11&gt;=Range_Validity!C5,D11&lt;=Range_Validity!D5,E11&gt;=Range_Validity!C6,E11&lt;=Range_Validity!D6,F11&gt;=Range_Validity!C7,F11&lt;=Range_Validity!D7,G11&gt;=Range_Validity!C8,G11&lt;=Range_Validity!D8,H11&gt;=Range_Validity!C9,H11&lt;=Range_Validity!D9,Q11&gt;=Range_Validity!C10,Q11&lt;=Range_Validity!D10,R11&gt;=Range_Validity!C11,R11&lt;=Range_Validity!D11,S11&gt;=Range_Validity!C12,S11&lt;=Range_Validity!D12,T11&gt;=Range_Validity!C13,T11&lt;=Range_Validity!D13),"Yes","Check")</x:f>
        <x:v>Yes</x:v>
      </x:c>
      <x:c r="V11" s="12">
        <x:f>IF(M11=1,IF(N11="CP",2.03,2.26),IF(M11=2,IF(N11="CP",1.44,1.60),IF(M11=3,IF(N11="CP",1.18,1.31),NA())))</x:f>
        <x:v>2.03</x:v>
      </x:c>
      <x:c r="W11" s="12">
        <x:f>IF(B11="IAS",1.0,IF(B11="IA",1.0,IF(B11="IB",0.8,IF(B11="IC",0.6,""))))</x:f>
        <x:v>1</x:v>
      </x:c>
      <x:c r="X11" s="12">
        <x:f>0.26+SQRT(W11*G11)</x:f>
        <x:v>5.26</x:v>
      </x:c>
      <x:c r="Y11" s="12">
        <x:f>DEGREES(ATAN(TAN(RADIANS(E11))/SIN(RADIANS(C11))))</x:f>
        <x:v>59.35765795204403</x:v>
      </x:c>
      <x:c r="Z11" s="12">
        <x:f>0.15*COS(RADIANS(E11)) + SIN(RADIANS(Y11))*SIN(RADIANS(C11))</x:f>
        <x:v>0.4241661785277188</x:v>
      </x:c>
      <x:c r="AA11" s="12">
        <x:f>MAX(0.45,Z11)</x:f>
        <x:v>0.45</x:v>
      </x:c>
      <x:c r="AB11" s="12">
        <x:f>IF(Y11&lt;=45,0,0.047*Y11-2.115)</x:f>
        <x:v>0.6748099237460692</x:v>
      </x:c>
      <x:c r="AC11" s="12">
        <x:f>(F11*H11/(G11^2))^3</x:f>
        <x:v>10.077696000000001</x:v>
      </x:c>
      <x:c r="AD11" s="12">
        <x:f>MEDIAN(5,AC11,20)</x:f>
        <x:v>10.077696000000001</x:v>
      </x:c>
      <x:c r="AE11" s="14">
        <x:f>IF(B11="IAS",23*(G11*J11)/(2*H11/G11+1) + (1+0.021*D11)*(45.8*G11+14.7*I11+29*G11*I11),0)</x:f>
        <x:v>0</x:v>
      </x:c>
      <x:c r="AF11" s="14">
        <x:f>IF(B11="IAS",(1+0.063*D11)*(1530+170*G11) + 400*(1+1.2*H11/G11)*(G11^2/SQRT(F11)),0)</x:f>
        <x:v>0</x:v>
      </x:c>
      <x:c r="AG11" s="14">
        <x:f>AE11+AF11+845*AA11*(X11+W11)^2*(G11+AB11*X11)+42*J11*(X11^2)+825*AD11*(K11/F11)</x:f>
        <x:v>534474.9343164401</x:v>
      </x:c>
      <x:c r="AH11" s="14">
        <x:f>V11*((AG11/1000)^(3/2))/L11</x:f>
        <x:v>5016.68748487305</x:v>
      </x:c>
      <x:c r="AI11" s="15">
        <x:f>AH11-O11</x:f>
        <x:v>-0.31251512694962</x:v>
      </x:c>
    </x:row>
    <x:row r="12">
      <x:c r="A12" s="10">
        <x:f>Sample_Ships!A12</x:f>
        <x:v>9</x:v>
      </x:c>
      <x:c r="B12" s="10" t="str">
        <x:f>Sample_Ships!B12</x:f>
        <x:v>IB</x:v>
      </x:c>
      <x:c r="C12" s="10">
        <x:f>Sample_Ships!C12</x:f>
        <x:v>24</x:v>
      </x:c>
      <x:c r="D12" s="10">
        <x:f>Sample_Ships!D12</x:f>
        <x:v>90</x:v>
      </x:c>
      <x:c r="E12" s="10">
        <x:f>Sample_Ships!E12</x:f>
        <x:v>30</x:v>
      </x:c>
      <x:c r="F12" s="10">
        <x:f>Sample_Ships!F12</x:f>
        <x:v>150</x:v>
      </x:c>
      <x:c r="G12" s="10">
        <x:f>Sample_Ships!G12</x:f>
        <x:v>25</x:v>
      </x:c>
      <x:c r="H12" s="10">
        <x:f>Sample_Ships!H12</x:f>
        <x:v>9</x:v>
      </x:c>
      <x:c r="I12" s="10">
        <x:f>Sample_Ships!I12</x:f>
        <x:v>45</x:v>
      </x:c>
      <x:c r="J12" s="10">
        <x:f>Sample_Ships!J12</x:f>
        <x:v>70</x:v>
      </x:c>
      <x:c r="K12" s="10">
        <x:f>Sample_Ships!K12</x:f>
        <x:v>500</x:v>
      </x:c>
      <x:c r="L12" s="10">
        <x:f>Sample_Ships!L12</x:f>
        <x:v>5</x:v>
      </x:c>
      <x:c r="M12" s="10">
        <x:f>Sample_Ships!M12</x:f>
        <x:v>1</x:v>
      </x:c>
      <x:c r="N12" s="10" t="str">
        <x:f>Sample_Ships!N12</x:f>
        <x:v>FP</x:v>
      </x:c>
      <x:c r="O12" s="11">
        <x:f>Sample_Ships!O12</x:f>
        <x:v>3872</x:v>
      </x:c>
      <x:c r="P12" s="11">
        <x:f>Sample_Ships!P12</x:f>
        <x:v>0</x:v>
      </x:c>
      <x:c r="Q12" s="12">
        <x:f>I12/F12</x:f>
        <x:v>0.3</x:v>
      </x:c>
      <x:c r="R12" s="12">
        <x:f>J12/F12</x:f>
        <x:v>0.4666666666666667</x:v>
      </x:c>
      <x:c r="S12" s="12">
        <x:f>L12/H12</x:f>
        <x:v>0.5555555555555556</x:v>
      </x:c>
      <x:c r="T12" s="12">
        <x:f>K12/(F12*G12)</x:f>
        <x:v>0.13333333333333333</x:v>
      </x:c>
      <x:c r="U12" s="13" t="str">
        <x:f>IF(AND(C12&gt;=Range_Validity!C4,C12&lt;=Range_Validity!D4,D12&gt;=Range_Validity!C5,D12&lt;=Range_Validity!D5,E12&gt;=Range_Validity!C6,E12&lt;=Range_Validity!D6,F12&gt;=Range_Validity!C7,F12&lt;=Range_Validity!D7,G12&gt;=Range_Validity!C8,G12&lt;=Range_Validity!D8,H12&gt;=Range_Validity!C9,H12&lt;=Range_Validity!D9,Q12&gt;=Range_Validity!C10,Q12&lt;=Range_Validity!D10,R12&gt;=Range_Validity!C11,R12&lt;=Range_Validity!D11,S12&gt;=Range_Validity!C12,S12&lt;=Range_Validity!D12,T12&gt;=Range_Validity!C13,T12&lt;=Range_Validity!D13),"Yes","Check")</x:f>
        <x:v>Yes</x:v>
      </x:c>
      <x:c r="V12" s="12">
        <x:f>IF(M12=1,IF(N12="CP",2.03,2.26),IF(M12=2,IF(N12="CP",1.44,1.60),IF(M12=3,IF(N12="CP",1.18,1.31),NA())))</x:f>
        <x:v>2.26</x:v>
      </x:c>
      <x:c r="W12" s="12">
        <x:f>IF(B12="IAS",1.0,IF(B12="IA",1.0,IF(B12="IB",0.8,IF(B12="IC",0.6,""))))</x:f>
        <x:v>0.8</x:v>
      </x:c>
      <x:c r="X12" s="12">
        <x:f>0.26+SQRT(W12*G12)</x:f>
        <x:v>4.732135954999579</x:v>
      </x:c>
      <x:c r="Y12" s="12">
        <x:f>DEGREES(ATAN(TAN(RADIANS(E12))/SIN(RADIANS(C12))))</x:f>
        <x:v>54.835743591579636</x:v>
      </x:c>
      <x:c r="Z12" s="12">
        <x:f>0.15*COS(RADIANS(E12)) + SIN(RADIANS(Y12))*SIN(RADIANS(C12))</x:f>
        <x:v>0.46241278264827956</x:v>
      </x:c>
      <x:c r="AA12" s="12">
        <x:f>MAX(0.45,Z12)</x:f>
        <x:v>0.46241278264827956</x:v>
      </x:c>
      <x:c r="AB12" s="12">
        <x:f>IF(Y12&lt;=45,0,0.047*Y12-2.115)</x:f>
        <x:v>0.46227994880424284</x:v>
      </x:c>
      <x:c r="AC12" s="12">
        <x:f>(F12*H12/(G12^2))^3</x:f>
        <x:v>10.077696000000001</x:v>
      </x:c>
      <x:c r="AD12" s="12">
        <x:f>MEDIAN(5,AC12,20)</x:f>
        <x:v>10.077696000000001</x:v>
      </x:c>
      <x:c r="AE12" s="14">
        <x:f>IF(B12="IAS",23*(G12*J12)/(2*H12/G12+1) + (1+0.021*D12)*(45.8*G12+14.7*I12+29*G12*I12),0)</x:f>
        <x:v>0</x:v>
      </x:c>
      <x:c r="AF12" s="14">
        <x:f>IF(B12="IAS",(1+0.063*D12)*(1530+170*G12) + 400*(1+1.2*H12/G12)*(G12^2/SQRT(F12)),0)</x:f>
        <x:v>0</x:v>
      </x:c>
      <x:c r="AG12" s="14">
        <x:f>AE12+AF12+845*AA12*(X12+W12)^2*(G12+AB12*X12)+42*J12*(X12^2)+825*AD12*(K12/F12)</x:f>
        <x:v>418668.63109735464</x:v>
      </x:c>
      <x:c r="AH12" s="14">
        <x:f>V12*((AG12/1000)^(3/2))/L12</x:f>
        <x:v>3872.077743355739</x:v>
      </x:c>
      <x:c r="AI12" s="15">
        <x:f>AH12-O12</x:f>
        <x:v>0.07774335573913049</x:v>
      </x:c>
    </x:row>
  </x:sheetData>
  <x:pageMargins left="0.7" right="0.7" top="0.75" bottom="0.75" header="0.3" footer="0.3"/>
  <x:legacyDrawing xmlns:r="http://schemas.openxmlformats.org/officeDocument/2006/relationships" r:id="R365b8f7a6769479a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Calculated Power - Existing IA / IA Super Ships (Formula 3.1 + 3.3)</x:t>
        </x:is>
      </x:c>
    </x:row>
    <x:row r="3">
      <x:c r="A3" s="5" t="inlineStr">
        <x:is>
          <x:t xml:space="preserve">Ship No</x:t>
        </x:is>
      </x:c>
      <x:c r="B3" s="5" t="inlineStr">
        <x:is>
          <x:t xml:space="preserve">Ice class</x:t>
        </x:is>
      </x:c>
      <x:c r="C3" s="5" t="inlineStr">
        <x:is>
          <x:t xml:space="preserve">alpha_deg</x:t>
        </x:is>
      </x:c>
      <x:c r="D3" s="5" t="inlineStr">
        <x:is>
          <x:t xml:space="preserve">phi1_deg</x:t>
        </x:is>
      </x:c>
      <x:c r="E3" s="5" t="inlineStr">
        <x:is>
          <x:t xml:space="preserve">phi2_deg</x:t>
        </x:is>
      </x:c>
      <x:c r="F3" s="5" t="inlineStr">
        <x:is>
          <x:t xml:space="preserve">L_m</x:t>
        </x:is>
      </x:c>
      <x:c r="G3" s="5" t="inlineStr">
        <x:is>
          <x:t xml:space="preserve">B_m</x:t>
        </x:is>
      </x:c>
      <x:c r="H3" s="5" t="inlineStr">
        <x:is>
          <x:t xml:space="preserve">T_m</x:t>
        </x:is>
      </x:c>
      <x:c r="I3" s="5" t="inlineStr">
        <x:is>
          <x:t xml:space="preserve">LBOW_m</x:t>
        </x:is>
      </x:c>
      <x:c r="J3" s="5" t="inlineStr">
        <x:is>
          <x:t xml:space="preserve">LPAR_m</x:t>
        </x:is>
      </x:c>
      <x:c r="K3" s="5" t="inlineStr">
        <x:is>
          <x:t xml:space="preserve">Awf_m2</x:t>
        </x:is>
      </x:c>
      <x:c r="L3" s="5" t="inlineStr">
        <x:is>
          <x:t xml:space="preserve">Dp_m</x:t>
        </x:is>
      </x:c>
      <x:c r="M3" s="5" t="inlineStr">
        <x:is>
          <x:t xml:space="preserve">Propeller Count</x:t>
        </x:is>
      </x:c>
      <x:c r="N3" s="5" t="inlineStr">
        <x:is>
          <x:t xml:space="preserve">Propeller Type</x:t>
        </x:is>
      </x:c>
      <x:c r="O3" s="5" t="inlineStr">
        <x:is>
          <x:t xml:space="preserve">Expected New kW</x:t>
        </x:is>
      </x:c>
      <x:c r="P3" s="5" t="inlineStr">
        <x:is>
          <x:t xml:space="preserve">Expected Existing kW</x:t>
        </x:is>
      </x:c>
      <x:c r="Q3" s="5" t="inlineStr">
        <x:is>
          <x:t xml:space="preserve">Applicable?</x:t>
        </x:is>
      </x:c>
      <x:c r="R3" s="5" t="inlineStr">
        <x:is>
          <x:t xml:space="preserve">Ke</x:t>
        </x:is>
      </x:c>
      <x:c r="S3" s="5" t="inlineStr">
        <x:is>
          <x:t xml:space="preserve">HM_m</x:t>
        </x:is>
      </x:c>
      <x:c r="T3" s="5" t="inlineStr">
        <x:is>
          <x:t xml:space="preserve">HF_m</x:t>
        </x:is>
      </x:c>
      <x:c r="U3" s="5" t="inlineStr">
        <x:is>
          <x:t xml:space="preserve">LTB2_raw</x:t>
        </x:is>
      </x:c>
      <x:c r="V3" s="5" t="inlineStr">
        <x:is>
          <x:t xml:space="preserve">LTB2_clamped</x:t>
        </x:is>
      </x:c>
      <x:c r="W3" s="5" t="inlineStr">
        <x:is>
          <x:t xml:space="preserve">Bulb?</x:t>
        </x:is>
      </x:c>
      <x:c r="X3" s="5" t="inlineStr">
        <x:is>
          <x:t xml:space="preserve">C1_old</x:t>
        </x:is>
      </x:c>
      <x:c r="Y3" s="5" t="inlineStr">
        <x:is>
          <x:t xml:space="preserve">C2_old</x:t>
        </x:is>
      </x:c>
      <x:c r="Z3" s="5" t="inlineStr">
        <x:is>
          <x:t xml:space="preserve">RCH_old_N</x:t>
        </x:is>
      </x:c>
      <x:c r="AA3" s="5" t="inlineStr">
        <x:is>
          <x:t xml:space="preserve">Calc Existing kW</x:t>
        </x:is>
      </x:c>
      <x:c r="AB3" s="5" t="inlineStr">
        <x:is>
          <x:t xml:space="preserve">Delta vs expected</x:t>
        </x:is>
      </x:c>
    </x:row>
    <x:row r="4">
      <x:c r="A4" s="10">
        <x:f>Sample_Ships!A4</x:f>
        <x:v>1</x:v>
      </x:c>
      <x:c r="B4" s="10" t="str">
        <x:f>Sample_Ships!B4</x:f>
        <x:v>IAS</x:v>
      </x:c>
      <x:c r="C4" s="10">
        <x:f>Sample_Ships!C4</x:f>
        <x:v>24</x:v>
      </x:c>
      <x:c r="D4" s="10">
        <x:f>Sample_Ships!D4</x:f>
        <x:v>90</x:v>
      </x:c>
      <x:c r="E4" s="10">
        <x:f>Sample_Ships!E4</x:f>
        <x:v>30</x:v>
      </x:c>
      <x:c r="F4" s="10">
        <x:f>Sample_Ships!F4</x:f>
        <x:v>150</x:v>
      </x:c>
      <x:c r="G4" s="10">
        <x:f>Sample_Ships!G4</x:f>
        <x:v>25</x:v>
      </x:c>
      <x:c r="H4" s="10">
        <x:f>Sample_Ships!H4</x:f>
        <x:v>9</x:v>
      </x:c>
      <x:c r="I4" s="10">
        <x:f>Sample_Ships!I4</x:f>
        <x:v>45</x:v>
      </x:c>
      <x:c r="J4" s="10">
        <x:f>Sample_Ships!J4</x:f>
        <x:v>70</x:v>
      </x:c>
      <x:c r="K4" s="10">
        <x:f>Sample_Ships!K4</x:f>
        <x:v>500</x:v>
      </x:c>
      <x:c r="L4" s="10">
        <x:f>Sample_Ships!L4</x:f>
        <x:v>5</x:v>
      </x:c>
      <x:c r="M4" s="10">
        <x:f>Sample_Ships!M4</x:f>
        <x:v>1</x:v>
      </x:c>
      <x:c r="N4" s="10" t="str">
        <x:f>Sample_Ships!N4</x:f>
        <x:v>CP</x:v>
      </x:c>
      <x:c r="O4" s="9">
        <x:f>Sample_Ships!O4</x:f>
        <x:v>7840</x:v>
      </x:c>
      <x:c r="P4" s="9">
        <x:f>Sample_Ships!P4</x:f>
        <x:v>9192</x:v>
      </x:c>
      <x:c r="Q4" s="16" t="str">
        <x:f>IF(OR(B4="IAS",B4="IA"),"Yes","No")</x:f>
        <x:v>Yes</x:v>
      </x:c>
      <x:c r="R4" s="14">
        <x:f>IF(M4=1,IF(N4="CP",2.03,2.26),IF(M4=2,IF(N4="CP",1.44,1.60),IF(M4=3,IF(N4="CP",1.18,1.31),NA())))</x:f>
        <x:v>2.03</x:v>
      </x:c>
      <x:c r="S4" s="14">
        <x:f>IF(B4="IAS",1.0,IF(B4="IA",1.0,""))</x:f>
        <x:v>1</x:v>
      </x:c>
      <x:c r="T4" s="14">
        <x:f>IF(Q4="Yes",0.26+SQRT(S4*G4),"")</x:f>
        <x:v>5.26</x:v>
      </x:c>
      <x:c r="U4" s="12">
        <x:f>IF(Q4="Yes",(F4*H4/(G4^2))^3,"")</x:f>
        <x:v>10.077696000000001</x:v>
      </x:c>
      <x:c r="V4" s="12">
        <x:f>IF(Q4="Yes",MEDIAN(5,U4,20),"")</x:f>
        <x:v>10.077696000000001</x:v>
      </x:c>
      <x:c r="W4" s="16" t="str">
        <x:f>IF(D4=90,"Bulb","No bulb")</x:f>
        <x:v>Bulb</x:v>
      </x:c>
      <x:c r="X4" s="14">
        <x:f>IF(Q4="No","",IF(B4="IA",0,IF(D4=90,10.3*(G4*F4)/(2*H4/G4+1)+2.89*(45.8*G4+2.94*F4+5.8*G4*F4),10.3*(G4*F4)/(2*H4/G4+1)+1.84*(45.8*G4+2.94*F4+5.8*G4*F4))))</x:f>
        <x:v>89897.43534883721</x:v>
      </x:c>
      <x:c r="Y4" s="14">
        <x:f>IF(Q4="No","",IF(B4="IA",0,IF(D4=90,6.67*(1530+170*G4)+400*(1+1.2*H4/G4)*(G4^2/SQRT(F4)),3.52*(1530+170*G4)+400*(1+1.2*H4/G4)*(G4^2/SQRT(F4)))))</x:f>
        <x:v>67783.17759721259</x:v>
      </x:c>
      <x:c r="Z4" s="14">
        <x:f>IF(Q4="No","",X4+Y4+460*(T4+S4)^2*(G4+0.658*T4)+18.7*F4*(T4^2)+825*V4*G4/4)</x:f>
        <x:v>800299.2035057298</x:v>
      </x:c>
      <x:c r="AA4" s="14">
        <x:f>IF(Q4="No","",R4*((Z4/1000)^(3/2))/L4)</x:f>
        <x:v>9191.885599679674</x:v>
      </x:c>
      <x:c r="AB4" s="14">
        <x:f>IF(P4="","",AA4-P4)</x:f>
        <x:v>-0.11440032032624003</x:v>
      </x:c>
    </x:row>
    <x:row r="5">
      <x:c r="A5" s="10">
        <x:f>Sample_Ships!A5</x:f>
        <x:v>2</x:v>
      </x:c>
      <x:c r="B5" s="10" t="str">
        <x:f>Sample_Ships!B5</x:f>
        <x:v>IA</x:v>
      </x:c>
      <x:c r="C5" s="10">
        <x:f>Sample_Ships!C5</x:f>
        <x:v>24</x:v>
      </x:c>
      <x:c r="D5" s="10">
        <x:f>Sample_Ships!D5</x:f>
        <x:v>90</x:v>
      </x:c>
      <x:c r="E5" s="10">
        <x:f>Sample_Ships!E5</x:f>
        <x:v>30</x:v>
      </x:c>
      <x:c r="F5" s="10">
        <x:f>Sample_Ships!F5</x:f>
        <x:v>150</x:v>
      </x:c>
      <x:c r="G5" s="10">
        <x:f>Sample_Ships!G5</x:f>
        <x:v>25</x:v>
      </x:c>
      <x:c r="H5" s="10">
        <x:f>Sample_Ships!H5</x:f>
        <x:v>9</x:v>
      </x:c>
      <x:c r="I5" s="10">
        <x:f>Sample_Ships!I5</x:f>
        <x:v>45</x:v>
      </x:c>
      <x:c r="J5" s="10">
        <x:f>Sample_Ships!J5</x:f>
        <x:v>70</x:v>
      </x:c>
      <x:c r="K5" s="10">
        <x:f>Sample_Ships!K5</x:f>
        <x:v>500</x:v>
      </x:c>
      <x:c r="L5" s="10">
        <x:f>Sample_Ships!L5</x:f>
        <x:v>5</x:v>
      </x:c>
      <x:c r="M5" s="10">
        <x:f>Sample_Ships!M5</x:f>
        <x:v>1</x:v>
      </x:c>
      <x:c r="N5" s="10" t="str">
        <x:f>Sample_Ships!N5</x:f>
        <x:v>CP</x:v>
      </x:c>
      <x:c r="O5" s="9">
        <x:f>Sample_Ships!O5</x:f>
        <x:v>4941</x:v>
      </x:c>
      <x:c r="P5" s="9">
        <x:f>Sample_Ships!P5</x:f>
        <x:v>6614</x:v>
      </x:c>
      <x:c r="Q5" s="16" t="str">
        <x:f>IF(OR(B5="IAS",B5="IA"),"Yes","No")</x:f>
        <x:v>Yes</x:v>
      </x:c>
      <x:c r="R5" s="14">
        <x:f>IF(M5=1,IF(N5="CP",2.03,2.26),IF(M5=2,IF(N5="CP",1.44,1.60),IF(M5=3,IF(N5="CP",1.18,1.31),NA())))</x:f>
        <x:v>2.03</x:v>
      </x:c>
      <x:c r="S5" s="14">
        <x:f>IF(B5="IAS",1.0,IF(B5="IA",1.0,""))</x:f>
        <x:v>1</x:v>
      </x:c>
      <x:c r="T5" s="14">
        <x:f>IF(Q5="Yes",0.26+SQRT(S5*G5),"")</x:f>
        <x:v>5.26</x:v>
      </x:c>
      <x:c r="U5" s="12">
        <x:f>IF(Q5="Yes",(F5*H5/(G5^2))^3,"")</x:f>
        <x:v>10.077696000000001</x:v>
      </x:c>
      <x:c r="V5" s="12">
        <x:f>IF(Q5="Yes",MEDIAN(5,U5,20),"")</x:f>
        <x:v>10.077696000000001</x:v>
      </x:c>
      <x:c r="W5" s="16" t="str">
        <x:f>IF(D5=90,"Bulb","No bulb")</x:f>
        <x:v>Bulb</x:v>
      </x:c>
      <x:c r="X5" s="14">
        <x:f>IF(Q5="No","",IF(B5="IA",0,IF(D5=90,10.3*(G5*F5)/(2*H5/G5+1)+2.89*(45.8*G5+2.94*F5+5.8*G5*F5),10.3*(G5*F5)/(2*H5/G5+1)+1.84*(45.8*G5+2.94*F5+5.8*G5*F5))))</x:f>
        <x:v>0</x:v>
      </x:c>
      <x:c r="Y5" s="14">
        <x:f>IF(Q5="No","",IF(B5="IA",0,IF(D5=90,6.67*(1530+170*G5)+400*(1+1.2*H5/G5)*(G5^2/SQRT(F5)),3.52*(1530+170*G5)+400*(1+1.2*H5/G5)*(G5^2/SQRT(F5)))))</x:f>
        <x:v>0</x:v>
      </x:c>
      <x:c r="Z5" s="14">
        <x:f>IF(Q5="No","",X5+Y5+460*(T5+S5)^2*(G5+0.658*T5)+18.7*F5*(T5^2)+825*V5*G5/4)</x:f>
        <x:v>642618.5905596799</x:v>
      </x:c>
      <x:c r="AA5" s="14">
        <x:f>IF(Q5="No","",R5*((Z5/1000)^(3/2))/L5)</x:f>
        <x:v>6613.874677815715</x:v>
      </x:c>
      <x:c r="AB5" s="14">
        <x:f>IF(P5="","",AA5-P5)</x:f>
        <x:v>-0.1253221842853236</x:v>
      </x:c>
    </x:row>
    <x:row r="6">
      <x:c r="A6" s="10">
        <x:f>Sample_Ships!A6</x:f>
        <x:v>3</x:v>
      </x:c>
      <x:c r="B6" s="10" t="str">
        <x:f>Sample_Ships!B6</x:f>
        <x:v>IB</x:v>
      </x:c>
      <x:c r="C6" s="10">
        <x:f>Sample_Ships!C6</x:f>
        <x:v>24</x:v>
      </x:c>
      <x:c r="D6" s="10">
        <x:f>Sample_Ships!D6</x:f>
        <x:v>90</x:v>
      </x:c>
      <x:c r="E6" s="10">
        <x:f>Sample_Ships!E6</x:f>
        <x:v>30</x:v>
      </x:c>
      <x:c r="F6" s="10">
        <x:f>Sample_Ships!F6</x:f>
        <x:v>150</x:v>
      </x:c>
      <x:c r="G6" s="10">
        <x:f>Sample_Ships!G6</x:f>
        <x:v>25</x:v>
      </x:c>
      <x:c r="H6" s="10">
        <x:f>Sample_Ships!H6</x:f>
        <x:v>9</x:v>
      </x:c>
      <x:c r="I6" s="10">
        <x:f>Sample_Ships!I6</x:f>
        <x:v>45</x:v>
      </x:c>
      <x:c r="J6" s="10">
        <x:f>Sample_Ships!J6</x:f>
        <x:v>70</x:v>
      </x:c>
      <x:c r="K6" s="10">
        <x:f>Sample_Ships!K6</x:f>
        <x:v>500</x:v>
      </x:c>
      <x:c r="L6" s="10">
        <x:f>Sample_Ships!L6</x:f>
        <x:v>5</x:v>
      </x:c>
      <x:c r="M6" s="10">
        <x:f>Sample_Ships!M6</x:f>
        <x:v>1</x:v>
      </x:c>
      <x:c r="N6" s="10" t="str">
        <x:f>Sample_Ships!N6</x:f>
        <x:v>CP</x:v>
      </x:c>
      <x:c r="O6" s="9">
        <x:f>Sample_Ships!O6</x:f>
        <x:v>3478</x:v>
      </x:c>
      <x:c r="P6" s="9">
        <x:f>Sample_Ships!P6</x:f>
        <x:v>0</x:v>
      </x:c>
      <x:c r="Q6" s="16" t="str">
        <x:f>IF(OR(B6="IAS",B6="IA"),"Yes","No")</x:f>
        <x:v>No</x:v>
      </x:c>
      <x:c r="R6" s="14">
        <x:f>IF(M6=1,IF(N6="CP",2.03,2.26),IF(M6=2,IF(N6="CP",1.44,1.60),IF(M6=3,IF(N6="CP",1.18,1.31),NA())))</x:f>
        <x:v>2.03</x:v>
      </x:c>
      <x:c r="S6" s="14">
        <x:f>IF(B6="IAS",1.0,IF(B6="IA",1.0,""))</x:f>
      </x:c>
      <x:c r="T6" s="14">
        <x:f>IF(Q6="Yes",0.26+SQRT(S6*G6),"")</x:f>
      </x:c>
      <x:c r="U6" s="12">
        <x:f>IF(Q6="Yes",(F6*H6/(G6^2))^3,"")</x:f>
      </x:c>
      <x:c r="V6" s="12">
        <x:f>IF(Q6="Yes",MEDIAN(5,U6,20),"")</x:f>
      </x:c>
      <x:c r="W6" s="16" t="str">
        <x:f>IF(D6=90,"Bulb","No bulb")</x:f>
        <x:v>Bulb</x:v>
      </x:c>
      <x:c r="X6" s="14">
        <x:f>IF(Q6="No","",IF(B6="IA",0,IF(D6=90,10.3*(G6*F6)/(2*H6/G6+1)+2.89*(45.8*G6+2.94*F6+5.8*G6*F6),10.3*(G6*F6)/(2*H6/G6+1)+1.84*(45.8*G6+2.94*F6+5.8*G6*F6))))</x:f>
      </x:c>
      <x:c r="Y6" s="14">
        <x:f>IF(Q6="No","",IF(B6="IA",0,IF(D6=90,6.67*(1530+170*G6)+400*(1+1.2*H6/G6)*(G6^2/SQRT(F6)),3.52*(1530+170*G6)+400*(1+1.2*H6/G6)*(G6^2/SQRT(F6)))))</x:f>
      </x:c>
      <x:c r="Z6" s="14">
        <x:f>IF(Q6="No","",X6+Y6+460*(T6+S6)^2*(G6+0.658*T6)+18.7*F6*(T6^2)+825*V6*G6/4)</x:f>
      </x:c>
      <x:c r="AA6" s="14">
        <x:f>IF(Q6="No","",R6*((Z6/1000)^(3/2))/L6)</x:f>
      </x:c>
      <x:c r="AB6" s="14">
        <x:f>IF(P6="","",AA6-P6)</x:f>
      </x:c>
    </x:row>
    <x:row r="7">
      <x:c r="A7" s="10">
        <x:f>Sample_Ships!A7</x:f>
        <x:v>4</x:v>
      </x:c>
      <x:c r="B7" s="10" t="str">
        <x:f>Sample_Ships!B7</x:f>
        <x:v>IC</x:v>
      </x:c>
      <x:c r="C7" s="10">
        <x:f>Sample_Ships!C7</x:f>
        <x:v>24</x:v>
      </x:c>
      <x:c r="D7" s="10">
        <x:f>Sample_Ships!D7</x:f>
        <x:v>90</x:v>
      </x:c>
      <x:c r="E7" s="10">
        <x:f>Sample_Ships!E7</x:f>
        <x:v>30</x:v>
      </x:c>
      <x:c r="F7" s="10">
        <x:f>Sample_Ships!F7</x:f>
        <x:v>150</x:v>
      </x:c>
      <x:c r="G7" s="10">
        <x:f>Sample_Ships!G7</x:f>
        <x:v>25</x:v>
      </x:c>
      <x:c r="H7" s="10">
        <x:f>Sample_Ships!H7</x:f>
        <x:v>9</x:v>
      </x:c>
      <x:c r="I7" s="10">
        <x:f>Sample_Ships!I7</x:f>
        <x:v>45</x:v>
      </x:c>
      <x:c r="J7" s="10">
        <x:f>Sample_Ships!J7</x:f>
        <x:v>70</x:v>
      </x:c>
      <x:c r="K7" s="10">
        <x:f>Sample_Ships!K7</x:f>
        <x:v>500</x:v>
      </x:c>
      <x:c r="L7" s="10">
        <x:f>Sample_Ships!L7</x:f>
        <x:v>5</x:v>
      </x:c>
      <x:c r="M7" s="10">
        <x:f>Sample_Ships!M7</x:f>
        <x:v>1</x:v>
      </x:c>
      <x:c r="N7" s="10" t="str">
        <x:f>Sample_Ships!N7</x:f>
        <x:v>CP</x:v>
      </x:c>
      <x:c r="O7" s="9">
        <x:f>Sample_Ships!O7</x:f>
        <x:v>2253</x:v>
      </x:c>
      <x:c r="P7" s="9">
        <x:f>Sample_Ships!P7</x:f>
        <x:v>0</x:v>
      </x:c>
      <x:c r="Q7" s="16" t="str">
        <x:f>IF(OR(B7="IAS",B7="IA"),"Yes","No")</x:f>
        <x:v>No</x:v>
      </x:c>
      <x:c r="R7" s="14">
        <x:f>IF(M7=1,IF(N7="CP",2.03,2.26),IF(M7=2,IF(N7="CP",1.44,1.60),IF(M7=3,IF(N7="CP",1.18,1.31),NA())))</x:f>
        <x:v>2.03</x:v>
      </x:c>
      <x:c r="S7" s="14">
        <x:f>IF(B7="IAS",1.0,IF(B7="IA",1.0,""))</x:f>
      </x:c>
      <x:c r="T7" s="14">
        <x:f>IF(Q7="Yes",0.26+SQRT(S7*G7),"")</x:f>
      </x:c>
      <x:c r="U7" s="12">
        <x:f>IF(Q7="Yes",(F7*H7/(G7^2))^3,"")</x:f>
      </x:c>
      <x:c r="V7" s="12">
        <x:f>IF(Q7="Yes",MEDIAN(5,U7,20),"")</x:f>
      </x:c>
      <x:c r="W7" s="16" t="str">
        <x:f>IF(D7=90,"Bulb","No bulb")</x:f>
        <x:v>Bulb</x:v>
      </x:c>
      <x:c r="X7" s="14">
        <x:f>IF(Q7="No","",IF(B7="IA",0,IF(D7=90,10.3*(G7*F7)/(2*H7/G7+1)+2.89*(45.8*G7+2.94*F7+5.8*G7*F7),10.3*(G7*F7)/(2*H7/G7+1)+1.84*(45.8*G7+2.94*F7+5.8*G7*F7))))</x:f>
      </x:c>
      <x:c r="Y7" s="14">
        <x:f>IF(Q7="No","",IF(B7="IA",0,IF(D7=90,6.67*(1530+170*G7)+400*(1+1.2*H7/G7)*(G7^2/SQRT(F7)),3.52*(1530+170*G7)+400*(1+1.2*H7/G7)*(G7^2/SQRT(F7)))))</x:f>
      </x:c>
      <x:c r="Z7" s="14">
        <x:f>IF(Q7="No","",X7+Y7+460*(T7+S7)^2*(G7+0.658*T7)+18.7*F7*(T7^2)+825*V7*G7/4)</x:f>
      </x:c>
      <x:c r="AA7" s="14">
        <x:f>IF(Q7="No","",R7*((Z7/1000)^(3/2))/L7)</x:f>
      </x:c>
      <x:c r="AB7" s="14">
        <x:f>IF(P7="","",AA7-P7)</x:f>
      </x:c>
    </x:row>
    <x:row r="8">
      <x:c r="A8" s="10">
        <x:f>Sample_Ships!A8</x:f>
        <x:v>5</x:v>
      </x:c>
      <x:c r="B8" s="10" t="str">
        <x:f>Sample_Ships!B8</x:f>
        <x:v>IAS</x:v>
      </x:c>
      <x:c r="C8" s="10">
        <x:f>Sample_Ships!C8</x:f>
        <x:v>24</x:v>
      </x:c>
      <x:c r="D8" s="10">
        <x:f>Sample_Ships!D8</x:f>
        <x:v>30</x:v>
      </x:c>
      <x:c r="E8" s="10">
        <x:f>Sample_Ships!E8</x:f>
        <x:v>30</x:v>
      </x:c>
      <x:c r="F8" s="10">
        <x:f>Sample_Ships!F8</x:f>
        <x:v>150</x:v>
      </x:c>
      <x:c r="G8" s="10">
        <x:f>Sample_Ships!G8</x:f>
        <x:v>25</x:v>
      </x:c>
      <x:c r="H8" s="10">
        <x:f>Sample_Ships!H8</x:f>
        <x:v>9</x:v>
      </x:c>
      <x:c r="I8" s="10">
        <x:f>Sample_Ships!I8</x:f>
        <x:v>45</x:v>
      </x:c>
      <x:c r="J8" s="10">
        <x:f>Sample_Ships!J8</x:f>
        <x:v>70</x:v>
      </x:c>
      <x:c r="K8" s="10">
        <x:f>Sample_Ships!K8</x:f>
        <x:v>500</x:v>
      </x:c>
      <x:c r="L8" s="10">
        <x:f>Sample_Ships!L8</x:f>
        <x:v>5</x:v>
      </x:c>
      <x:c r="M8" s="10">
        <x:f>Sample_Ships!M8</x:f>
        <x:v>1</x:v>
      </x:c>
      <x:c r="N8" s="10" t="str">
        <x:f>Sample_Ships!N8</x:f>
        <x:v>CP</x:v>
      </x:c>
      <x:c r="O8" s="9">
        <x:f>Sample_Ships!O8</x:f>
        <x:v>6799</x:v>
      </x:c>
      <x:c r="P8" s="9">
        <x:f>Sample_Ships!P8</x:f>
        <x:v>8466</x:v>
      </x:c>
      <x:c r="Q8" s="16" t="str">
        <x:f>IF(OR(B8="IAS",B8="IA"),"Yes","No")</x:f>
        <x:v>Yes</x:v>
      </x:c>
      <x:c r="R8" s="14">
        <x:f>IF(M8=1,IF(N8="CP",2.03,2.26),IF(M8=2,IF(N8="CP",1.44,1.60),IF(M8=3,IF(N8="CP",1.18,1.31),NA())))</x:f>
        <x:v>2.03</x:v>
      </x:c>
      <x:c r="S8" s="14">
        <x:f>IF(B8="IAS",1.0,IF(B8="IA",1.0,""))</x:f>
        <x:v>1</x:v>
      </x:c>
      <x:c r="T8" s="14">
        <x:f>IF(Q8="Yes",0.26+SQRT(S8*G8),"")</x:f>
        <x:v>5.26</x:v>
      </x:c>
      <x:c r="U8" s="12">
        <x:f>IF(Q8="Yes",(F8*H8/(G8^2))^3,"")</x:f>
        <x:v>10.077696000000001</x:v>
      </x:c>
      <x:c r="V8" s="12">
        <x:f>IF(Q8="Yes",MEDIAN(5,U8,20),"")</x:f>
        <x:v>10.077696000000001</x:v>
      </x:c>
      <x:c r="W8" s="16" t="str">
        <x:f>IF(D8=90,"Bulb","No bulb")</x:f>
        <x:v>No bulb</x:v>
      </x:c>
      <x:c r="X8" s="14">
        <x:f>IF(Q8="No","",IF(B8="IA",0,IF(D8=90,10.3*(G8*F8)/(2*H8/G8+1)+2.89*(45.8*G8+2.94*F8+5.8*G8*F8),10.3*(G8*F8)/(2*H8/G8+1)+1.84*(45.8*G8+2.94*F8+5.8*G8*F8))))</x:f>
        <x:v>65394.63534883721</x:v>
      </x:c>
      <x:c r="Y8" s="14">
        <x:f>IF(Q8="No","",IF(B8="IA",0,IF(D8=90,6.67*(1530+170*G8)+400*(1+1.2*H8/G8)*(G8^2/SQRT(F8)),3.52*(1530+170*G8)+400*(1+1.2*H8/G8)*(G8^2/SQRT(F8)))))</x:f>
        <x:v>49576.17759721259</x:v>
      </x:c>
      <x:c r="Z8" s="14">
        <x:f>IF(Q8="No","",X8+Y8+460*(T8+S8)^2*(G8+0.658*T8)+18.7*F8*(T8^2)+825*V8*G8/4)</x:f>
        <x:v>757589.4035057297</x:v>
      </x:c>
      <x:c r="AA8" s="14">
        <x:f>IF(Q8="No","",R8*((Z8/1000)^(3/2))/L8)</x:f>
        <x:v>8465.972839528356</x:v>
      </x:c>
      <x:c r="AB8" s="14">
        <x:f>IF(P8="","",AA8-P8)</x:f>
        <x:v>-0.02716047164358315</x:v>
      </x:c>
    </x:row>
    <x:row r="9">
      <x:c r="A9" s="10">
        <x:f>Sample_Ships!A9</x:f>
        <x:v>6</x:v>
      </x:c>
      <x:c r="B9" s="10" t="str">
        <x:f>Sample_Ships!B9</x:f>
        <x:v>IAS</x:v>
      </x:c>
      <x:c r="C9" s="10">
        <x:f>Sample_Ships!C9</x:f>
        <x:v>24</x:v>
      </x:c>
      <x:c r="D9" s="10">
        <x:f>Sample_Ships!D9</x:f>
        <x:v>90</x:v>
      </x:c>
      <x:c r="E9" s="10">
        <x:f>Sample_Ships!E9</x:f>
        <x:v>30</x:v>
      </x:c>
      <x:c r="F9" s="10">
        <x:f>Sample_Ships!F9</x:f>
        <x:v>150</x:v>
      </x:c>
      <x:c r="G9" s="10">
        <x:f>Sample_Ships!G9</x:f>
        <x:v>22</x:v>
      </x:c>
      <x:c r="H9" s="10">
        <x:f>Sample_Ships!H9</x:f>
        <x:v>9</x:v>
      </x:c>
      <x:c r="I9" s="10">
        <x:f>Sample_Ships!I9</x:f>
        <x:v>45</x:v>
      </x:c>
      <x:c r="J9" s="10">
        <x:f>Sample_Ships!J9</x:f>
        <x:v>70</x:v>
      </x:c>
      <x:c r="K9" s="10">
        <x:f>Sample_Ships!K9</x:f>
        <x:v>500</x:v>
      </x:c>
      <x:c r="L9" s="10">
        <x:f>Sample_Ships!L9</x:f>
        <x:v>5</x:v>
      </x:c>
      <x:c r="M9" s="10">
        <x:f>Sample_Ships!M9</x:f>
        <x:v>1</x:v>
      </x:c>
      <x:c r="N9" s="10" t="str">
        <x:f>Sample_Ships!N9</x:f>
        <x:v>CP</x:v>
      </x:c>
      <x:c r="O9" s="9">
        <x:f>Sample_Ships!O9</x:f>
        <x:v>6406</x:v>
      </x:c>
      <x:c r="P9" s="9">
        <x:f>Sample_Ships!P9</x:f>
        <x:v>7645</x:v>
      </x:c>
      <x:c r="Q9" s="16" t="str">
        <x:f>IF(OR(B9="IAS",B9="IA"),"Yes","No")</x:f>
        <x:v>Yes</x:v>
      </x:c>
      <x:c r="R9" s="14">
        <x:f>IF(M9=1,IF(N9="CP",2.03,2.26),IF(M9=2,IF(N9="CP",1.44,1.60),IF(M9=3,IF(N9="CP",1.18,1.31),NA())))</x:f>
        <x:v>2.03</x:v>
      </x:c>
      <x:c r="S9" s="14">
        <x:f>IF(B9="IAS",1.0,IF(B9="IA",1.0,""))</x:f>
        <x:v>1</x:v>
      </x:c>
      <x:c r="T9" s="14">
        <x:f>IF(Q9="Yes",0.26+SQRT(S9*G9),"")</x:f>
        <x:v>4.9504157598234295</x:v>
      </x:c>
      <x:c r="U9" s="12">
        <x:f>IF(Q9="Yes",(F9*H9/(G9^2))^3,"")</x:f>
        <x:v>21.700274150875984</x:v>
      </x:c>
      <x:c r="V9" s="12">
        <x:f>IF(Q9="Yes",MEDIAN(5,U9,20),"")</x:f>
        <x:v>20</x:v>
      </x:c>
      <x:c r="W9" s="16" t="str">
        <x:f>IF(D9=90,"Bulb","No bulb")</x:f>
        <x:v>Bulb</x:v>
      </x:c>
      <x:c r="X9" s="14">
        <x:f>IF(Q9="No","",IF(B9="IA",0,IF(D9=90,10.3*(G9*F9)/(2*H9/G9+1)+2.89*(45.8*G9+2.94*F9+5.8*G9*F9),10.3*(G9*F9)/(2*H9/G9+1)+1.84*(45.8*G9+2.94*F9+5.8*G9*F9))))</x:f>
        <x:v>78195.554</x:v>
      </x:c>
      <x:c r="Y9" s="14">
        <x:f>IF(Q9="No","",IF(B9="IA",0,IF(D9=90,6.67*(1530+170*G9)+400*(1+1.2*H9/G9)*(G9^2/SQRT(F9)),3.52*(1530+170*G9)+400*(1+1.2*H9/G9)*(G9^2/SQRT(F9)))))</x:f>
        <x:v>58718.25731189788</x:v>
      </x:c>
      <x:c r="Z9" s="14">
        <x:f>IF(Q9="No","",X9+Y9+460*(T9+S9)^2*(G9+0.658*T9)+18.7*F9*(T9^2)+825*V9*G9/4)</x:f>
        <x:v>707782.4714208201</x:v>
      </x:c>
      <x:c r="AA9" s="14">
        <x:f>IF(Q9="No","",R9*((Z9/1000)^(3/2))/L9)</x:f>
        <x:v>7644.969162804943</x:v>
      </x:c>
      <x:c r="AB9" s="14">
        <x:f>IF(P9="","",AA9-P9)</x:f>
        <x:v>-0.030837195056847122</x:v>
      </x:c>
    </x:row>
    <x:row r="10">
      <x:c r="A10" s="10">
        <x:f>Sample_Ships!A10</x:f>
        <x:v>7</x:v>
      </x:c>
      <x:c r="B10" s="10" t="str">
        <x:f>Sample_Ships!B10</x:f>
        <x:v>IA</x:v>
      </x:c>
      <x:c r="C10" s="10">
        <x:f>Sample_Ships!C10</x:f>
        <x:v>36</x:v>
      </x:c>
      <x:c r="D10" s="10">
        <x:f>Sample_Ships!D10</x:f>
        <x:v>30</x:v>
      </x:c>
      <x:c r="E10" s="10">
        <x:f>Sample_Ships!E10</x:f>
        <x:v>30</x:v>
      </x:c>
      <x:c r="F10" s="10">
        <x:f>Sample_Ships!F10</x:f>
        <x:v>150</x:v>
      </x:c>
      <x:c r="G10" s="10">
        <x:f>Sample_Ships!G10</x:f>
        <x:v>25</x:v>
      </x:c>
      <x:c r="H10" s="10">
        <x:f>Sample_Ships!H10</x:f>
        <x:v>9</x:v>
      </x:c>
      <x:c r="I10" s="10">
        <x:f>Sample_Ships!I10</x:f>
        <x:v>45</x:v>
      </x:c>
      <x:c r="J10" s="10">
        <x:f>Sample_Ships!J10</x:f>
        <x:v>70</x:v>
      </x:c>
      <x:c r="K10" s="10">
        <x:f>Sample_Ships!K10</x:f>
        <x:v>500</x:v>
      </x:c>
      <x:c r="L10" s="10">
        <x:f>Sample_Ships!L10</x:f>
        <x:v>5</x:v>
      </x:c>
      <x:c r="M10" s="10">
        <x:f>Sample_Ships!M10</x:f>
        <x:v>1</x:v>
      </x:c>
      <x:c r="N10" s="10" t="str">
        <x:f>Sample_Ships!N10</x:f>
        <x:v>CP</x:v>
      </x:c>
      <x:c r="O10" s="9">
        <x:f>Sample_Ships!O10</x:f>
        <x:v>5343</x:v>
      </x:c>
      <x:c r="P10" s="9">
        <x:f>Sample_Ships!P10</x:f>
        <x:v>6614</x:v>
      </x:c>
      <x:c r="Q10" s="16" t="str">
        <x:f>IF(OR(B10="IAS",B10="IA"),"Yes","No")</x:f>
        <x:v>Yes</x:v>
      </x:c>
      <x:c r="R10" s="14">
        <x:f>IF(M10=1,IF(N10="CP",2.03,2.26),IF(M10=2,IF(N10="CP",1.44,1.60),IF(M10=3,IF(N10="CP",1.18,1.31),NA())))</x:f>
        <x:v>2.03</x:v>
      </x:c>
      <x:c r="S10" s="14">
        <x:f>IF(B10="IAS",1.0,IF(B10="IA",1.0,""))</x:f>
        <x:v>1</x:v>
      </x:c>
      <x:c r="T10" s="14">
        <x:f>IF(Q10="Yes",0.26+SQRT(S10*G10),"")</x:f>
        <x:v>5.26</x:v>
      </x:c>
      <x:c r="U10" s="12">
        <x:f>IF(Q10="Yes",(F10*H10/(G10^2))^3,"")</x:f>
        <x:v>10.077696000000001</x:v>
      </x:c>
      <x:c r="V10" s="12">
        <x:f>IF(Q10="Yes",MEDIAN(5,U10,20),"")</x:f>
        <x:v>10.077696000000001</x:v>
      </x:c>
      <x:c r="W10" s="16" t="str">
        <x:f>IF(D10=90,"Bulb","No bulb")</x:f>
        <x:v>No bulb</x:v>
      </x:c>
      <x:c r="X10" s="14">
        <x:f>IF(Q10="No","",IF(B10="IA",0,IF(D10=90,10.3*(G10*F10)/(2*H10/G10+1)+2.89*(45.8*G10+2.94*F10+5.8*G10*F10),10.3*(G10*F10)/(2*H10/G10+1)+1.84*(45.8*G10+2.94*F10+5.8*G10*F10))))</x:f>
        <x:v>0</x:v>
      </x:c>
      <x:c r="Y10" s="14">
        <x:f>IF(Q10="No","",IF(B10="IA",0,IF(D10=90,6.67*(1530+170*G10)+400*(1+1.2*H10/G10)*(G10^2/SQRT(F10)),3.52*(1530+170*G10)+400*(1+1.2*H10/G10)*(G10^2/SQRT(F10)))))</x:f>
        <x:v>0</x:v>
      </x:c>
      <x:c r="Z10" s="14">
        <x:f>IF(Q10="No","",X10+Y10+460*(T10+S10)^2*(G10+0.658*T10)+18.7*F10*(T10^2)+825*V10*G10/4)</x:f>
        <x:v>642618.5905596799</x:v>
      </x:c>
      <x:c r="AA10" s="14">
        <x:f>IF(Q10="No","",R10*((Z10/1000)^(3/2))/L10)</x:f>
        <x:v>6613.874677815715</x:v>
      </x:c>
      <x:c r="AB10" s="14">
        <x:f>IF(P10="","",AA10-P10)</x:f>
        <x:v>-0.1253221842853236</x:v>
      </x:c>
    </x:row>
    <x:row r="11">
      <x:c r="A11" s="10">
        <x:f>Sample_Ships!A11</x:f>
        <x:v>8</x:v>
      </x:c>
      <x:c r="B11" s="10" t="str">
        <x:f>Sample_Ships!B11</x:f>
        <x:v>IA</x:v>
      </x:c>
      <x:c r="C11" s="10">
        <x:f>Sample_Ships!C11</x:f>
        <x:v>20</x:v>
      </x:c>
      <x:c r="D11" s="10">
        <x:f>Sample_Ships!D11</x:f>
        <x:v>30</x:v>
      </x:c>
      <x:c r="E11" s="10">
        <x:f>Sample_Ships!E11</x:f>
        <x:v>30</x:v>
      </x:c>
      <x:c r="F11" s="10">
        <x:f>Sample_Ships!F11</x:f>
        <x:v>150</x:v>
      </x:c>
      <x:c r="G11" s="10">
        <x:f>Sample_Ships!G11</x:f>
        <x:v>25</x:v>
      </x:c>
      <x:c r="H11" s="10">
        <x:f>Sample_Ships!H11</x:f>
        <x:v>9</x:v>
      </x:c>
      <x:c r="I11" s="10">
        <x:f>Sample_Ships!I11</x:f>
        <x:v>45</x:v>
      </x:c>
      <x:c r="J11" s="10">
        <x:f>Sample_Ships!J11</x:f>
        <x:v>70</x:v>
      </x:c>
      <x:c r="K11" s="10">
        <x:f>Sample_Ships!K11</x:f>
        <x:v>500</x:v>
      </x:c>
      <x:c r="L11" s="10">
        <x:f>Sample_Ships!L11</x:f>
        <x:v>5</x:v>
      </x:c>
      <x:c r="M11" s="10">
        <x:f>Sample_Ships!M11</x:f>
        <x:v>1</x:v>
      </x:c>
      <x:c r="N11" s="10" t="str">
        <x:f>Sample_Ships!N11</x:f>
        <x:v>CP</x:v>
      </x:c>
      <x:c r="O11" s="9">
        <x:f>Sample_Ships!O11</x:f>
        <x:v>5017</x:v>
      </x:c>
      <x:c r="P11" s="9">
        <x:f>Sample_Ships!P11</x:f>
        <x:v>6614</x:v>
      </x:c>
      <x:c r="Q11" s="16" t="str">
        <x:f>IF(OR(B11="IAS",B11="IA"),"Yes","No")</x:f>
        <x:v>Yes</x:v>
      </x:c>
      <x:c r="R11" s="14">
        <x:f>IF(M11=1,IF(N11="CP",2.03,2.26),IF(M11=2,IF(N11="CP",1.44,1.60),IF(M11=3,IF(N11="CP",1.18,1.31),NA())))</x:f>
        <x:v>2.03</x:v>
      </x:c>
      <x:c r="S11" s="14">
        <x:f>IF(B11="IAS",1.0,IF(B11="IA",1.0,""))</x:f>
        <x:v>1</x:v>
      </x:c>
      <x:c r="T11" s="14">
        <x:f>IF(Q11="Yes",0.26+SQRT(S11*G11),"")</x:f>
        <x:v>5.26</x:v>
      </x:c>
      <x:c r="U11" s="12">
        <x:f>IF(Q11="Yes",(F11*H11/(G11^2))^3,"")</x:f>
        <x:v>10.077696000000001</x:v>
      </x:c>
      <x:c r="V11" s="12">
        <x:f>IF(Q11="Yes",MEDIAN(5,U11,20),"")</x:f>
        <x:v>10.077696000000001</x:v>
      </x:c>
      <x:c r="W11" s="16" t="str">
        <x:f>IF(D11=90,"Bulb","No bulb")</x:f>
        <x:v>No bulb</x:v>
      </x:c>
      <x:c r="X11" s="14">
        <x:f>IF(Q11="No","",IF(B11="IA",0,IF(D11=90,10.3*(G11*F11)/(2*H11/G11+1)+2.89*(45.8*G11+2.94*F11+5.8*G11*F11),10.3*(G11*F11)/(2*H11/G11+1)+1.84*(45.8*G11+2.94*F11+5.8*G11*F11))))</x:f>
        <x:v>0</x:v>
      </x:c>
      <x:c r="Y11" s="14">
        <x:f>IF(Q11="No","",IF(B11="IA",0,IF(D11=90,6.67*(1530+170*G11)+400*(1+1.2*H11/G11)*(G11^2/SQRT(F11)),3.52*(1530+170*G11)+400*(1+1.2*H11/G11)*(G11^2/SQRT(F11)))))</x:f>
        <x:v>0</x:v>
      </x:c>
      <x:c r="Z11" s="14">
        <x:f>IF(Q11="No","",X11+Y11+460*(T11+S11)^2*(G11+0.658*T11)+18.7*F11*(T11^2)+825*V11*G11/4)</x:f>
        <x:v>642618.5905596799</x:v>
      </x:c>
      <x:c r="AA11" s="14">
        <x:f>IF(Q11="No","",R11*((Z11/1000)^(3/2))/L11)</x:f>
        <x:v>6613.874677815715</x:v>
      </x:c>
      <x:c r="AB11" s="14">
        <x:f>IF(P11="","",AA11-P11)</x:f>
        <x:v>-0.1253221842853236</x:v>
      </x:c>
    </x:row>
    <x:row r="12">
      <x:c r="A12" s="10">
        <x:f>Sample_Ships!A12</x:f>
        <x:v>9</x:v>
      </x:c>
      <x:c r="B12" s="10" t="str">
        <x:f>Sample_Ships!B12</x:f>
        <x:v>IB</x:v>
      </x:c>
      <x:c r="C12" s="10">
        <x:f>Sample_Ships!C12</x:f>
        <x:v>24</x:v>
      </x:c>
      <x:c r="D12" s="10">
        <x:f>Sample_Ships!D12</x:f>
        <x:v>90</x:v>
      </x:c>
      <x:c r="E12" s="10">
        <x:f>Sample_Ships!E12</x:f>
        <x:v>30</x:v>
      </x:c>
      <x:c r="F12" s="10">
        <x:f>Sample_Ships!F12</x:f>
        <x:v>150</x:v>
      </x:c>
      <x:c r="G12" s="10">
        <x:f>Sample_Ships!G12</x:f>
        <x:v>25</x:v>
      </x:c>
      <x:c r="H12" s="10">
        <x:f>Sample_Ships!H12</x:f>
        <x:v>9</x:v>
      </x:c>
      <x:c r="I12" s="10">
        <x:f>Sample_Ships!I12</x:f>
        <x:v>45</x:v>
      </x:c>
      <x:c r="J12" s="10">
        <x:f>Sample_Ships!J12</x:f>
        <x:v>70</x:v>
      </x:c>
      <x:c r="K12" s="10">
        <x:f>Sample_Ships!K12</x:f>
        <x:v>500</x:v>
      </x:c>
      <x:c r="L12" s="10">
        <x:f>Sample_Ships!L12</x:f>
        <x:v>5</x:v>
      </x:c>
      <x:c r="M12" s="10">
        <x:f>Sample_Ships!M12</x:f>
        <x:v>1</x:v>
      </x:c>
      <x:c r="N12" s="10" t="str">
        <x:f>Sample_Ships!N12</x:f>
        <x:v>FP</x:v>
      </x:c>
      <x:c r="O12" s="9">
        <x:f>Sample_Ships!O12</x:f>
        <x:v>3872</x:v>
      </x:c>
      <x:c r="P12" s="9">
        <x:f>Sample_Ships!P12</x:f>
        <x:v>0</x:v>
      </x:c>
      <x:c r="Q12" s="16" t="str">
        <x:f>IF(OR(B12="IAS",B12="IA"),"Yes","No")</x:f>
        <x:v>No</x:v>
      </x:c>
      <x:c r="R12" s="14">
        <x:f>IF(M12=1,IF(N12="CP",2.03,2.26),IF(M12=2,IF(N12="CP",1.44,1.60),IF(M12=3,IF(N12="CP",1.18,1.31),NA())))</x:f>
        <x:v>2.26</x:v>
      </x:c>
      <x:c r="S12" s="14">
        <x:f>IF(B12="IAS",1.0,IF(B12="IA",1.0,""))</x:f>
      </x:c>
      <x:c r="T12" s="14">
        <x:f>IF(Q12="Yes",0.26+SQRT(S12*G12),"")</x:f>
      </x:c>
      <x:c r="U12" s="12">
        <x:f>IF(Q12="Yes",(F12*H12/(G12^2))^3,"")</x:f>
      </x:c>
      <x:c r="V12" s="12">
        <x:f>IF(Q12="Yes",MEDIAN(5,U12,20),"")</x:f>
      </x:c>
      <x:c r="W12" s="16" t="str">
        <x:f>IF(D12=90,"Bulb","No bulb")</x:f>
        <x:v>Bulb</x:v>
      </x:c>
      <x:c r="X12" s="14">
        <x:f>IF(Q12="No","",IF(B12="IA",0,IF(D12=90,10.3*(G12*F12)/(2*H12/G12+1)+2.89*(45.8*G12+2.94*F12+5.8*G12*F12),10.3*(G12*F12)/(2*H12/G12+1)+1.84*(45.8*G12+2.94*F12+5.8*G12*F12))))</x:f>
      </x:c>
      <x:c r="Y12" s="14">
        <x:f>IF(Q12="No","",IF(B12="IA",0,IF(D12=90,6.67*(1530+170*G12)+400*(1+1.2*H12/G12)*(G12^2/SQRT(F12)),3.52*(1530+170*G12)+400*(1+1.2*H12/G12)*(G12^2/SQRT(F12)))))</x:f>
      </x:c>
      <x:c r="Z12" s="14">
        <x:f>IF(Q12="No","",X12+Y12+460*(T12+S12)^2*(G12+0.658*T12)+18.7*F12*(T12^2)+825*V12*G12/4)</x:f>
      </x:c>
      <x:c r="AA12" s="14">
        <x:f>IF(Q12="No","",R12*((Z12/1000)^(3/2))/L12)</x:f>
      </x:c>
      <x:c r="AB12" s="14">
        <x:f>IF(P12="","",AA12-P12)</x:f>
      </x:c>
    </x:row>
  </x:sheetData>
  <x:pageMargins left="0.7" right="0.7" top="0.75" bottom="0.75" header="0.3" footer="0.3"/>
  <x:legacyDrawing xmlns:r="http://schemas.openxmlformats.org/officeDocument/2006/relationships" r:id="R94395fedee04486b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2" customWidth="1"/>
    <x:col min="3" max="3" width="16" customWidth="1"/>
    <x:col min="4" max="4" width="15" customWidth="1"/>
    <x:col min="5" max="5" width="46" customWidth="1"/>
  </x:cols>
  <x:sheetData>
    <x:row r="1">
      <x:c r="A1" s="1" t="inlineStr">
        <x:is>
          <x:t xml:space="preserve">Master Ship Template for RDF / SHACL Modelling</x:t>
        </x:is>
      </x:c>
    </x:row>
    <x:row r="3">
      <x:c r="A3" s="4" t="inlineStr">
        <x:is>
          <x:t xml:space="preserve">Pick a base sample ship</x:t>
        </x:is>
      </x:c>
    </x:row>
    <x:row r="4">
      <x:c r="A4" s="17" t="inlineStr">
        <x:is>
          <x:t xml:space="preserve">Selected sample ship no.</x:t>
        </x:is>
      </x:c>
      <x:c r="B4" s="18" t="n">
        <x:v>1</x:v>
      </x:c>
    </x:row>
    <x:row r="5">
      <x:c r="A5" s="17" t="inlineStr">
        <x:is>
          <x:t xml:space="preserve">Recommended default</x:t>
        </x:is>
      </x:c>
      <x:c r="B5" s="19" t="inlineStr">
        <x:is>
          <x:t xml:space="preserve">Sample Ship #1 (IA Super) covers the strictest powering case and uses a bulbous bow.</x:t>
        </x:is>
      </x:c>
    </x:row>
    <x:row r="7">
      <x:c r="A7" s="4" t="inlineStr">
        <x:is>
          <x:t xml:space="preserve">Core powering geometry (pulled from Sample_Ships)</x:t>
        </x:is>
      </x:c>
    </x:row>
    <x:row r="8">
      <x:c r="A8" s="5" t="inlineStr">
        <x:is>
          <x:t xml:space="preserve">Field</x:t>
        </x:is>
      </x:c>
      <x:c r="B8" s="5" t="inlineStr">
        <x:is>
          <x:t xml:space="preserve">Example value</x:t>
        </x:is>
      </x:c>
      <x:c r="C8" s="5" t="inlineStr">
        <x:is>
          <x:t xml:space="preserve">Source</x:t>
        </x:is>
      </x:c>
      <x:c r="D8" s="5" t="inlineStr">
        <x:is>
          <x:t xml:space="preserve">Needed in TTL/JSON-LD?</x:t>
        </x:is>
      </x:c>
      <x:c r="E8" s="5" t="inlineStr">
        <x:is>
          <x:t xml:space="preserve">Why</x:t>
        </x:is>
      </x:c>
    </x:row>
    <x:row r="9">
      <x:c r="A9" t="inlineStr">
        <x:is>
          <x:t xml:space="preserve">Ice class</x:t>
        </x:is>
      </x:c>
      <x:c r="B9" s="20" t="str">
        <x:f>INDEX(Sample_Ships!B:B,$B$4+3)</x:f>
        <x:v>IB</x:v>
      </x:c>
      <x:c r="C9" t="inlineStr">
        <x:is>
          <x:t xml:space="preserve">Annex I</x:t>
        </x:is>
      </x:c>
      <x:c r="D9" t="inlineStr">
        <x:is>
          <x:t xml:space="preserve">Yes</x:t>
        </x:is>
      </x:c>
      <x:c r="E9" t="inlineStr">
        <x:is>
          <x:t xml:space="preserve">Direct input for powering formula</x:t>
        </x:is>
      </x:c>
    </x:row>
    <x:row r="10">
      <x:c r="A10" t="inlineStr">
        <x:is>
          <x:t xml:space="preserve">alpha [deg]</x:t>
        </x:is>
      </x:c>
      <x:c r="B10" s="21">
        <x:f>INDEX(Sample_Ships!C:C,$B$4+3)</x:f>
        <x:v>24</x:v>
      </x:c>
      <x:c r="C10" t="inlineStr">
        <x:is>
          <x:t xml:space="preserve">Annex I</x:t>
        </x:is>
      </x:c>
      <x:c r="D10" t="inlineStr">
        <x:is>
          <x:t xml:space="preserve">Yes</x:t>
        </x:is>
      </x:c>
      <x:c r="E10" t="inlineStr">
        <x:is>
          <x:t xml:space="preserve">Direct input for powering formula</x:t>
        </x:is>
      </x:c>
    </x:row>
    <x:row r="11">
      <x:c r="A11" t="inlineStr">
        <x:is>
          <x:t xml:space="preserve">phi1 [deg]</x:t>
        </x:is>
      </x:c>
      <x:c r="B11" s="21">
        <x:f>INDEX(Sample_Ships!D:D,$B$4+3)</x:f>
        <x:v>90</x:v>
      </x:c>
      <x:c r="C11" t="inlineStr">
        <x:is>
          <x:t xml:space="preserve">Annex I</x:t>
        </x:is>
      </x:c>
      <x:c r="D11" t="inlineStr">
        <x:is>
          <x:t xml:space="preserve">Yes</x:t>
        </x:is>
      </x:c>
      <x:c r="E11" t="inlineStr">
        <x:is>
          <x:t xml:space="preserve">Direct input for powering formula</x:t>
        </x:is>
      </x:c>
    </x:row>
    <x:row r="12">
      <x:c r="A12" t="inlineStr">
        <x:is>
          <x:t xml:space="preserve">phi2 [deg]</x:t>
        </x:is>
      </x:c>
      <x:c r="B12" s="21">
        <x:f>INDEX(Sample_Ships!E:E,$B$4+3)</x:f>
        <x:v>30</x:v>
      </x:c>
      <x:c r="C12" t="inlineStr">
        <x:is>
          <x:t xml:space="preserve">Annex I</x:t>
        </x:is>
      </x:c>
      <x:c r="D12" t="inlineStr">
        <x:is>
          <x:t xml:space="preserve">Yes</x:t>
        </x:is>
      </x:c>
      <x:c r="E12" t="inlineStr">
        <x:is>
          <x:t xml:space="preserve">Direct input for powering formula</x:t>
        </x:is>
      </x:c>
    </x:row>
    <x:row r="13">
      <x:c r="A13" t="inlineStr">
        <x:is>
          <x:t xml:space="preserve">L [m]</x:t>
        </x:is>
      </x:c>
      <x:c r="B13" s="21">
        <x:f>INDEX(Sample_Ships!F:F,$B$4+3)</x:f>
        <x:v>150</x:v>
      </x:c>
      <x:c r="C13" t="inlineStr">
        <x:is>
          <x:t xml:space="preserve">Annex I</x:t>
        </x:is>
      </x:c>
      <x:c r="D13" t="inlineStr">
        <x:is>
          <x:t xml:space="preserve">Yes</x:t>
        </x:is>
      </x:c>
      <x:c r="E13" t="inlineStr">
        <x:is>
          <x:t xml:space="preserve">Direct input for powering formula</x:t>
        </x:is>
      </x:c>
    </x:row>
    <x:row r="14">
      <x:c r="A14" t="inlineStr">
        <x:is>
          <x:t xml:space="preserve">B [m]</x:t>
        </x:is>
      </x:c>
      <x:c r="B14" s="21">
        <x:f>INDEX(Sample_Ships!G:G,$B$4+3)</x:f>
        <x:v>25</x:v>
      </x:c>
      <x:c r="C14" t="inlineStr">
        <x:is>
          <x:t xml:space="preserve">Annex I</x:t>
        </x:is>
      </x:c>
      <x:c r="D14" t="inlineStr">
        <x:is>
          <x:t xml:space="preserve">Yes</x:t>
        </x:is>
      </x:c>
      <x:c r="E14" t="inlineStr">
        <x:is>
          <x:t xml:space="preserve">Direct input for powering formula</x:t>
        </x:is>
      </x:c>
    </x:row>
    <x:row r="15">
      <x:c r="A15" t="inlineStr">
        <x:is>
          <x:t xml:space="preserve">T [m]</x:t>
        </x:is>
      </x:c>
      <x:c r="B15" s="21">
        <x:f>INDEX(Sample_Ships!H:H,$B$4+3)</x:f>
        <x:v>9</x:v>
      </x:c>
      <x:c r="C15" t="inlineStr">
        <x:is>
          <x:t xml:space="preserve">Annex I</x:t>
        </x:is>
      </x:c>
      <x:c r="D15" t="inlineStr">
        <x:is>
          <x:t xml:space="preserve">Yes</x:t>
        </x:is>
      </x:c>
      <x:c r="E15" t="inlineStr">
        <x:is>
          <x:t xml:space="preserve">Direct input for powering formula</x:t>
        </x:is>
      </x:c>
    </x:row>
    <x:row r="16">
      <x:c r="A16" t="inlineStr">
        <x:is>
          <x:t xml:space="preserve">LBOW [m]</x:t>
        </x:is>
      </x:c>
      <x:c r="B16" s="21">
        <x:f>INDEX(Sample_Ships!I:I,$B$4+3)</x:f>
        <x:v>45</x:v>
      </x:c>
      <x:c r="C16" t="inlineStr">
        <x:is>
          <x:t xml:space="preserve">Annex I</x:t>
        </x:is>
      </x:c>
      <x:c r="D16" t="inlineStr">
        <x:is>
          <x:t xml:space="preserve">Yes</x:t>
        </x:is>
      </x:c>
      <x:c r="E16" t="inlineStr">
        <x:is>
          <x:t xml:space="preserve">Direct input for powering formula</x:t>
        </x:is>
      </x:c>
    </x:row>
    <x:row r="17">
      <x:c r="A17" t="inlineStr">
        <x:is>
          <x:t xml:space="preserve">LPAR [m]</x:t>
        </x:is>
      </x:c>
      <x:c r="B17" s="21">
        <x:f>INDEX(Sample_Ships!J:J,$B$4+3)</x:f>
        <x:v>70</x:v>
      </x:c>
      <x:c r="C17" t="inlineStr">
        <x:is>
          <x:t xml:space="preserve">Annex I</x:t>
        </x:is>
      </x:c>
      <x:c r="D17" t="inlineStr">
        <x:is>
          <x:t xml:space="preserve">Yes</x:t>
        </x:is>
      </x:c>
      <x:c r="E17" t="inlineStr">
        <x:is>
          <x:t xml:space="preserve">Direct input for powering formula</x:t>
        </x:is>
      </x:c>
    </x:row>
    <x:row r="18">
      <x:c r="A18" t="inlineStr">
        <x:is>
          <x:t xml:space="preserve">Awf [m^2]</x:t>
        </x:is>
      </x:c>
      <x:c r="B18" s="21">
        <x:f>INDEX(Sample_Ships!K:K,$B$4+3)</x:f>
        <x:v>500</x:v>
      </x:c>
      <x:c r="C18" t="inlineStr">
        <x:is>
          <x:t xml:space="preserve">Annex I</x:t>
        </x:is>
      </x:c>
      <x:c r="D18" t="inlineStr">
        <x:is>
          <x:t xml:space="preserve">Yes</x:t>
        </x:is>
      </x:c>
      <x:c r="E18" t="inlineStr">
        <x:is>
          <x:t xml:space="preserve">Direct input for powering formula</x:t>
        </x:is>
      </x:c>
    </x:row>
    <x:row r="19">
      <x:c r="A19" t="inlineStr">
        <x:is>
          <x:t xml:space="preserve">Dp [m]</x:t>
        </x:is>
      </x:c>
      <x:c r="B19" s="21">
        <x:f>INDEX(Sample_Ships!L:L,$B$4+3)</x:f>
        <x:v>5</x:v>
      </x:c>
      <x:c r="C19" t="inlineStr">
        <x:is>
          <x:t xml:space="preserve">Annex I</x:t>
        </x:is>
      </x:c>
      <x:c r="D19" t="inlineStr">
        <x:is>
          <x:t xml:space="preserve">Yes</x:t>
        </x:is>
      </x:c>
      <x:c r="E19" t="inlineStr">
        <x:is>
          <x:t xml:space="preserve">Direct input for powering formula</x:t>
        </x:is>
      </x:c>
    </x:row>
    <x:row r="20">
      <x:c r="A20" t="inlineStr">
        <x:is>
          <x:t xml:space="preserve">Propeller count</x:t>
        </x:is>
      </x:c>
      <x:c r="B20" s="21">
        <x:f>INDEX(Sample_Ships!M:M,$B$4+3)</x:f>
        <x:v>1</x:v>
      </x:c>
      <x:c r="C20" t="inlineStr">
        <x:is>
          <x:t xml:space="preserve">Annex I</x:t>
        </x:is>
      </x:c>
      <x:c r="D20" t="inlineStr">
        <x:is>
          <x:t xml:space="preserve">Yes</x:t>
        </x:is>
      </x:c>
      <x:c r="E20" t="inlineStr">
        <x:is>
          <x:t xml:space="preserve">Direct input for powering formula</x:t>
        </x:is>
      </x:c>
    </x:row>
    <x:row r="21">
      <x:c r="A21" t="inlineStr">
        <x:is>
          <x:t xml:space="preserve">Propeller type</x:t>
        </x:is>
      </x:c>
      <x:c r="B21" s="21" t="str">
        <x:f>INDEX(Sample_Ships!N:N,$B$4+3)</x:f>
        <x:v>CP</x:v>
      </x:c>
      <x:c r="C21" t="inlineStr">
        <x:is>
          <x:t xml:space="preserve">Annex I</x:t>
        </x:is>
      </x:c>
      <x:c r="D21" t="inlineStr">
        <x:is>
          <x:t xml:space="preserve">Yes</x:t>
        </x:is>
      </x:c>
      <x:c r="E21" t="inlineStr">
        <x:is>
          <x:t xml:space="preserve">Direct input for powering formula</x:t>
        </x:is>
      </x:c>
    </x:row>
    <x:row r="24">
      <x:c r="A24" s="4" t="inlineStr">
        <x:is>
          <x:t xml:space="preserve">Additional master-ship fields to add in code</x:t>
        </x:is>
      </x:c>
    </x:row>
    <x:row r="25">
      <x:c r="A25" s="5" t="inlineStr">
        <x:is>
          <x:t xml:space="preserve">Ontology / variable</x:t>
        </x:is>
      </x:c>
      <x:c r="B25" s="5" t="inlineStr">
        <x:is>
          <x:t xml:space="preserve">Suggested example</x:t>
        </x:is>
      </x:c>
      <x:c r="C25" s="5" t="inlineStr">
        <x:is>
          <x:t xml:space="preserve">From Annex I?</x:t>
        </x:is>
      </x:c>
      <x:c r="D25" s="5" t="inlineStr">
        <x:is>
          <x:t xml:space="preserve">Priority</x:t>
        </x:is>
      </x:c>
      <x:c r="E25" s="5" t="inlineStr">
        <x:is>
          <x:t xml:space="preserve">Why it is needed</x:t>
        </x:is>
      </x:c>
    </x:row>
    <x:row r="26">
      <x:c r="A26" s="7" t="inlineStr">
        <x:is>
          <x:t xml:space="preserve">ssp:iceShip / ssp:System</x:t>
        </x:is>
      </x:c>
      <x:c r="B26" s="7" t="inlineStr">
        <x:is>
          <x:t xml:space="preserve">Ship001</x:t>
        </x:is>
      </x:c>
      <x:c r="C26" s="7" t="inlineStr">
        <x:is>
          <x:t xml:space="preserve">No</x:t>
        </x:is>
      </x:c>
      <x:c r="D26" s="7" t="inlineStr">
        <x:is>
          <x:t xml:space="preserve">High</x:t>
        </x:is>
      </x:c>
      <x:c r="E26" s="7" t="inlineStr">
        <x:is>
          <x:t xml:space="preserve">Main target node used by many shapes</x:t>
        </x:is>
      </x:c>
    </x:row>
    <x:row r="27">
      <x:c r="A27" s="3" t="inlineStr">
        <x:is>
          <x:t xml:space="preserve">ssp:Hull001</x:t>
        </x:is>
      </x:c>
      <x:c r="B27" s="3" t="inlineStr">
        <x:is>
          <x:t xml:space="preserve">Hull001</x:t>
        </x:is>
      </x:c>
      <x:c r="C27" s="3" t="inlineStr">
        <x:is>
          <x:t xml:space="preserve">No</x:t>
        </x:is>
      </x:c>
      <x:c r="D27" s="3" t="inlineStr">
        <x:is>
          <x:t xml:space="preserve">High</x:t>
        </x:is>
      </x:c>
      <x:c r="E27" s="3" t="inlineStr">
        <x:is>
          <x:t xml:space="preserve">Hull-targeted structural and readiness rules</x:t>
        </x:is>
      </x:c>
    </x:row>
    <x:row r="28">
      <x:c r="A28" s="7" t="inlineStr">
        <x:is>
          <x:t xml:space="preserve">ssp:Engine001</x:t>
        </x:is>
      </x:c>
      <x:c r="B28" s="7" t="inlineStr">
        <x:is>
          <x:t xml:space="preserve">Engine001</x:t>
        </x:is>
      </x:c>
      <x:c r="C28" s="7" t="inlineStr">
        <x:is>
          <x:t xml:space="preserve">No</x:t>
        </x:is>
      </x:c>
      <x:c r="D28" s="7" t="inlineStr">
        <x:is>
          <x:t xml:space="preserve">High</x:t>
        </x:is>
      </x:c>
      <x:c r="E28" s="7" t="inlineStr">
        <x:is>
          <x:t xml:space="preserve">Engine-targeted power and machinery rules</x:t>
        </x:is>
      </x:c>
    </x:row>
    <x:row r="29">
      <x:c r="A29" s="3" t="inlineStr">
        <x:is>
          <x:t xml:space="preserve">ssp:MainPropeller</x:t>
        </x:is>
      </x:c>
      <x:c r="B29" s="3" t="inlineStr">
        <x:is>
          <x:t xml:space="preserve">MainPropeller</x:t>
        </x:is>
      </x:c>
      <x:c r="C29" s="3" t="inlineStr">
        <x:is>
          <x:t xml:space="preserve">No</x:t>
        </x:is>
      </x:c>
      <x:c r="D29" s="3" t="inlineStr">
        <x:is>
          <x:t xml:space="preserve">High</x:t>
        </x:is>
      </x:c>
      <x:c r="E29" s="3" t="inlineStr">
        <x:is>
          <x:t xml:space="preserve">Propeller-targeted thrust / torque / dynamic rules</x:t>
        </x:is>
      </x:c>
    </x:row>
    <x:row r="30">
      <x:c r="A30" s="7" t="inlineStr">
        <x:is>
          <x:t xml:space="preserve">ssp:Rudder001</x:t>
        </x:is>
      </x:c>
      <x:c r="B30" s="7" t="inlineStr">
        <x:is>
          <x:t xml:space="preserve">Rudder001</x:t>
        </x:is>
      </x:c>
      <x:c r="C30" s="7" t="inlineStr">
        <x:is>
          <x:t xml:space="preserve">No</x:t>
        </x:is>
      </x:c>
      <x:c r="D30" s="7" t="inlineStr">
        <x:is>
          <x:t xml:space="preserve">Medium</x:t>
        </x:is>
      </x:c>
      <x:c r="E30" s="7" t="inlineStr">
        <x:is>
          <x:t xml:space="preserve">Rudder and steering rules</x:t>
        </x:is>
      </x:c>
    </x:row>
    <x:row r="31">
      <x:c r="A31" s="3" t="inlineStr">
        <x:is>
          <x:t xml:space="preserve">ssp:UIWL</x:t>
        </x:is>
      </x:c>
      <x:c r="B31" s="3" t="inlineStr">
        <x:is>
          <x:t xml:space="preserve">set actual upper ice waterline</x:t>
        </x:is>
      </x:c>
      <x:c r="C31" s="3" t="inlineStr">
        <x:is>
          <x:t xml:space="preserve">No</x:t>
        </x:is>
      </x:c>
      <x:c r="D31" s="3" t="inlineStr">
        <x:is>
          <x:t xml:space="preserve">High</x:t>
        </x:is>
      </x:c>
      <x:c r="E31" s="3" t="inlineStr">
        <x:is>
          <x:t xml:space="preserve">Required because regulation 3.2.2 must be checked at UIWL</x:t>
        </x:is>
      </x:c>
    </x:row>
    <x:row r="32">
      <x:c r="A32" s="7" t="inlineStr">
        <x:is>
          <x:t xml:space="preserve">ssp:LIWL</x:t>
        </x:is>
      </x:c>
      <x:c r="B32" s="7" t="inlineStr">
        <x:is>
          <x:t xml:space="preserve">set actual lower ice waterline</x:t>
        </x:is>
      </x:c>
      <x:c r="C32" s="7" t="inlineStr">
        <x:is>
          <x:t xml:space="preserve">No</x:t>
        </x:is>
      </x:c>
      <x:c r="D32" s="7" t="inlineStr">
        <x:is>
          <x:t xml:space="preserve">High</x:t>
        </x:is>
      </x:c>
      <x:c r="E32" s="7" t="inlineStr">
        <x:is>
          <x:t xml:space="preserve">Required because regulation 3.2.2 must be checked at LIWL</x:t>
        </x:is>
      </x:c>
    </x:row>
    <x:row r="33">
      <x:c r="A33" s="3" t="inlineStr">
        <x:is>
          <x:t xml:space="preserve">ssp:forwardDraught / aftDraught / midshipsDraught</x:t>
        </x:is>
      </x:c>
      <x:c r="B33" s="3" t="inlineStr">
        <x:is>
          <x:t xml:space="preserve">add actual draught values</x:t>
        </x:is>
      </x:c>
      <x:c r="C33" s="3" t="inlineStr">
        <x:is>
          <x:t xml:space="preserve">No</x:t>
        </x:is>
      </x:c>
      <x:c r="D33" s="3" t="inlineStr">
        <x:is>
          <x:t xml:space="preserve">High</x:t>
        </x:is>
      </x:c>
      <x:c r="E33" s="3" t="inlineStr">
        <x:is>
          <x:t xml:space="preserve">Needed for draught-limit and waterline rules</x:t>
        </x:is>
      </x:c>
    </x:row>
    <x:row r="34">
      <x:c r="A34" s="7" t="inlineStr">
        <x:is>
          <x:t xml:space="preserve">ssp:EngineMinPower</x:t>
        </x:is>
      </x:c>
      <x:c r="B34" s="7" t="inlineStr">
        <x:is>
          <x:t xml:space="preserve">store installed engine output</x:t>
        </x:is>
      </x:c>
      <x:c r="C34" s="7" t="inlineStr">
        <x:is>
          <x:t xml:space="preserve">No</x:t>
        </x:is>
      </x:c>
      <x:c r="D34" s="7" t="inlineStr">
        <x:is>
          <x:t xml:space="preserve">High</x:t>
        </x:is>
      </x:c>
      <x:c r="E34" s="7" t="inlineStr">
        <x:is>
          <x:t xml:space="preserve">Needed to compare installed power vs Pmin</x:t>
        </x:is>
      </x:c>
    </x:row>
    <x:row r="35">
      <x:c r="A35" s="3" t="inlineStr">
        <x:is>
          <x:t xml:space="preserve">ssp:contractionDate</x:t>
        </x:is>
      </x:c>
      <x:c r="B35" s="3" t="inlineStr">
        <x:is>
          <x:t xml:space="preserve">e.g. 2022-01-01</x:t>
        </x:is>
      </x:c>
      <x:c r="C35" s="3" t="inlineStr">
        <x:is>
          <x:t xml:space="preserve">No</x:t>
        </x:is>
      </x:c>
      <x:c r="D35" s="3" t="inlineStr">
        <x:is>
          <x:t xml:space="preserve">High</x:t>
        </x:is>
      </x:c>
      <x:c r="E35" s="3" t="inlineStr">
        <x:is>
          <x:t xml:space="preserve">Needed for regulatory applicability/version shapes</x:t>
        </x:is>
      </x:c>
    </x:row>
    <x:row r="36">
      <x:c r="A36" s="7" t="inlineStr">
        <x:is>
          <x:t xml:space="preserve">ssp:regulatoryVersion</x:t>
        </x:is>
      </x:c>
      <x:c r="B36" s="7" t="inlineStr">
        <x:is>
          <x:t xml:space="preserve">e.g. 2021</x:t>
        </x:is>
      </x:c>
      <x:c r="C36" s="7" t="inlineStr">
        <x:is>
          <x:t xml:space="preserve">No</x:t>
        </x:is>
      </x:c>
      <x:c r="D36" s="7" t="inlineStr">
        <x:is>
          <x:t xml:space="preserve">Medium</x:t>
        </x:is>
      </x:c>
      <x:c r="E36" s="7" t="inlineStr">
        <x:is>
          <x:t xml:space="preserve">Consistency / applicability checks</x:t>
        </x:is>
      </x:c>
    </x:row>
    <x:row r="37">
      <x:c r="A37" s="3" t="inlineStr">
        <x:is>
          <x:t xml:space="preserve">ssp:iceLoadMaxHeight</x:t>
        </x:is>
      </x:c>
      <x:c r="B37" s="3" t="inlineStr">
        <x:is>
          <x:t xml:space="preserve">derive from ice class</x:t>
        </x:is>
      </x:c>
      <x:c r="C37" s="3" t="inlineStr">
        <x:is>
          <x:t xml:space="preserve">No</x:t>
        </x:is>
      </x:c>
      <x:c r="D37" s="3" t="inlineStr">
        <x:is>
          <x:t xml:space="preserve">Medium</x:t>
        </x:is>
      </x:c>
      <x:c r="E37" s="3" t="inlineStr">
        <x:is>
          <x:t xml:space="preserve">Used by several section 4 hull rules</x:t>
        </x:is>
      </x:c>
    </x:row>
    <x:row r="38">
      <x:c r="A38" s="7" t="inlineStr">
        <x:is>
          <x:t xml:space="preserve">ssp:loadArea / ssp:frameSpacing</x:t>
        </x:is>
      </x:c>
      <x:c r="B38" s="7" t="inlineStr">
        <x:is>
          <x:t xml:space="preserve">project values</x:t>
        </x:is>
      </x:c>
      <x:c r="C38" s="7" t="inlineStr">
        <x:is>
          <x:t xml:space="preserve">No</x:t>
        </x:is>
      </x:c>
      <x:c r="D38" s="7" t="inlineStr">
        <x:is>
          <x:t xml:space="preserve">Medium</x:t>
        </x:is>
      </x:c>
      <x:c r="E38" s="7" t="inlineStr">
        <x:is>
          <x:t xml:space="preserve">Needed for LoadDistributionFactorShape</x:t>
        </x:is>
      </x:c>
    </x:row>
    <x:row r="39">
      <x:c r="A39" s="3" t="inlineStr">
        <x:is>
          <x:t xml:space="preserve">ssp:BackwardIceThrust / ForwardIceThrust / PropellerTorque</x:t>
        </x:is>
      </x:c>
      <x:c r="B39" s="3" t="inlineStr">
        <x:is>
          <x:t xml:space="preserve">simulation placeholders or calculated values</x:t>
        </x:is>
      </x:c>
      <x:c r="C39" s="3" t="inlineStr">
        <x:is>
          <x:t xml:space="preserve">No</x:t>
        </x:is>
      </x:c>
      <x:c r="D39" s="3" t="inlineStr">
        <x:is>
          <x:t xml:space="preserve">Medium</x:t>
        </x:is>
      </x:c>
      <x:c r="E39" s="3" t="inlineStr">
        <x:is>
          <x:t xml:space="preserve">Needed for propulsion readiness / dynamic cases</x:t>
        </x:is>
      </x:c>
    </x:row>
    <x:row r="42">
      <x:c r="A42" s="4" t="inlineStr">
        <x:is>
          <x:t xml:space="preserve">Quick formula outputs for selected base ship</x:t>
        </x:is>
      </x:c>
    </x:row>
    <x:row r="43">
      <x:c r="A43" s="5" t="inlineStr">
        <x:is>
          <x:t xml:space="preserve">Metric</x:t>
        </x:is>
      </x:c>
      <x:c r="B43" s="5" t="inlineStr">
        <x:is>
          <x:t xml:space="preserve">Value</x:t>
        </x:is>
      </x:c>
    </x:row>
    <x:row r="44">
      <x:c r="A44" t="inlineStr">
        <x:is>
          <x:t xml:space="preserve">Expected new-ship output [kW]</x:t>
        </x:is>
      </x:c>
      <x:c r="B44" s="22">
        <x:f>INDEX(Sample_Ships!O:O,$B$4+3)</x:f>
        <x:v>3478</x:v>
      </x:c>
    </x:row>
    <x:row r="45">
      <x:c r="A45" t="inlineStr">
        <x:is>
          <x:t xml:space="preserve">Calculated new-ship output [kW]</x:t>
        </x:is>
      </x:c>
      <x:c r="B45" s="23">
        <x:f>INDEX(Calc_NewShips!AH:AH,$B$4+3)</x:f>
        <x:v>3478.0167340761727</x:v>
      </x:c>
    </x:row>
    <x:row r="46">
      <x:c r="A46" t="inlineStr">
        <x:is>
          <x:t xml:space="preserve">Expected existing output [kW]</x:t>
        </x:is>
      </x:c>
      <x:c r="B46" s="22">
        <x:f>INDEX(Sample_Ships!P:P,$B$4+3)</x:f>
      </x:c>
    </x:row>
    <x:row r="47">
      <x:c r="A47" t="inlineStr">
        <x:is>
          <x:t xml:space="preserve">Calculated existing output [kW]</x:t>
        </x:is>
      </x:c>
      <x:c r="B47" s="23">
        <x:f>INDEX(Calc_Existing!AA:AA,$B$4+3)</x:f>
      </x:c>
    </x:row>
  </x:sheetData>
  <x:mergeCells>
    <x:mergeCell ref="A3:F3"/>
    <x:mergeCell ref="A24:F24"/>
    <x:mergeCell ref="A7:F7"/>
    <x:mergeCell ref="A42:F42"/>
  </x:mergeCells>
  <x:pageMargins left="0.7" right="0.7" top="0.75" bottom="0.75" header="0.3" footer="0.3"/>
  <x:legacyDrawing xmlns:r="http://schemas.openxmlformats.org/officeDocument/2006/relationships" r:id="Ra920d81794c449be"/>
</x:worksheet>
</file>