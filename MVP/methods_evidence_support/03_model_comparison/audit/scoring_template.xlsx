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c086c66ba4e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ing" sheetId="1" r:id="R1c36892985664156"/>
    <x:sheet xmlns:r="http://schemas.openxmlformats.org/officeDocument/2006/relationships" name="Rubric" sheetId="2" r:id="Rce5301822eb244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 wrapText="1"/>
    </x:xf>
    <x:xf numFmtId="201" fontId="0" fillId="4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/>
    </x:xf>
    <x:xf numFmtId="201" fontId="0" fillId="4" borderId="5" xfId="0" applyNumberFormat="1" applyFont="1" applyFill="1" applyBorder="1" applyAlignment="1">
      <x:alignment vertical="top"/>
    </x:xf>
    <x:xf numFmtId="0" fontId="0" fillId="3" borderId="6" xfId="0" applyNumberFormat="1" applyFont="1" applyFill="1" applyBorder="1" applyAlignment="1">
      <x:alignment vertical="top"/>
    </x:xf>
    <x:xf numFmtId="0" fontId="0" fillId="3" borderId="7" xfId="0" applyNumberFormat="1" applyFont="1" applyFill="1" applyBorder="1" applyAlignment="1">
      <x:alignment vertical="top"/>
    </x:xf>
    <x:xf numFmtId="0" fontId="0" fillId="4" borderId="7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/>
    </x:xf>
    <x:xf numFmtId="200" fontId="0" fillId="0" borderId="7" xfId="0" applyNumberFormat="1" applyFont="1" applyFill="1" applyBorder="1" applyAlignment="1">
      <x:alignment vertical="top"/>
    </x:xf>
    <x:xf numFmtId="0" fontId="0" fillId="4" borderId="7" xfId="0" applyNumberFormat="1" applyFont="1" applyFill="1" applyBorder="1" applyAlignment="1">
      <x:alignment vertical="top" wrapText="1"/>
    </x:xf>
    <x:xf numFmtId="201" fontId="0" fillId="4" borderId="8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ef8b8f556547f8" /><Relationship Type="http://schemas.openxmlformats.org/officeDocument/2006/relationships/theme" Target="/xl/theme/theme1.xml" Id="R095cf65a3cc64099" /><Relationship Type="http://schemas.openxmlformats.org/officeDocument/2006/relationships/sharedStrings" Target="/xl/sharedStrings.xml" Id="Rccdfc5eeb1c74155" /><Relationship Type="http://schemas.openxmlformats.org/officeDocument/2006/relationships/worksheet" Target="/xl/worksheets/sheet1.xml" Id="R1c36892985664156" /><Relationship Type="http://schemas.openxmlformats.org/officeDocument/2006/relationships/worksheet" Target="/xl/worksheets/sheet2.xml" Id="Rce5301822eb244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4" ySplit="1" topLeftCell="E2" activePane="bottomRight" state="frozen"/>
    </x:sheetView>
  </x:sheetViews>
  <x:sheetFormatPr defaultRowHeight="15"/>
  <x:cols>
    <x:col min="5" max="5" width="11" hidden="0" customWidth="1"/>
    <x:col min="7" max="7" width="11" hidden="0" customWidth="1"/>
    <x:col min="9" max="9" width="11" hidden="0" customWidth="1"/>
    <x:col min="11" max="11" width="11" hidden="0" customWidth="1"/>
    <x:col min="13" max="13" width="11" hidden="0" customWidth="1"/>
    <x:col min="15" max="15" width="11" hidden="0" customWidth="1"/>
    <x:col min="17" max="17" width="11" hidden="0" customWidth="1"/>
    <x:col min="19" max="19" width="11" hidden="0" customWidth="1"/>
    <x:col min="21" max="21" width="11" hidden="0" customWidth="1"/>
    <x:col min="23" max="23" width="11" hidden="0" customWidth="1"/>
    <x:col min="6" max="6" width="25" hidden="0" customWidth="1"/>
    <x:col min="8" max="8" width="25" hidden="0" customWidth="1"/>
    <x:col min="10" max="10" width="25" hidden="0" customWidth="1"/>
    <x:col min="12" max="12" width="25" hidden="0" customWidth="1"/>
    <x:col min="14" max="14" width="25" hidden="0" customWidth="1"/>
    <x:col min="16" max="16" width="25" hidden="0" customWidth="1"/>
    <x:col min="18" max="18" width="25" hidden="0" customWidth="1"/>
    <x:col min="20" max="20" width="25" hidden="0" customWidth="1"/>
    <x:col min="22" max="22" width="25" hidden="0" customWidth="1"/>
    <x:col min="24" max="24" width="25" hidden="0" customWidth="1"/>
    <x:col min="31" max="31" width="18" hidden="0" customWidth="1"/>
    <x:col min="1" max="1" width="15" hidden="0" customWidth="1"/>
    <x:col min="2" max="2" width="12" hidden="0" customWidth="1"/>
    <x:col min="3" max="3" width="22" hidden="0" customWidth="1"/>
    <x:col min="4" max="4" width="11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</x:cols>
  <x:sheetData>
    <x:row r="1" ht="26.399999618530273" hidden="0" customHeight="1">
      <x:c r="A1" s="14" t="str">
        <x:v>Requirement ID</x:v>
      </x:c>
      <x:c r="B1" s="15" t="str">
        <x:v>Family</x:v>
      </x:c>
      <x:c r="C1" s="15" t="str">
        <x:v>Complexity Category</x:v>
      </x:c>
      <x:c r="D1" s="15" t="str">
        <x:v>Artifact ID</x:v>
      </x:c>
      <x:c r="E1" s="15" t="str">
        <x:v>Q1 Score</x:v>
      </x:c>
      <x:c r="F1" s="15" t="str">
        <x:v>Q1 Evidence</x:v>
      </x:c>
      <x:c r="G1" s="15" t="str">
        <x:v>Q2 Score</x:v>
      </x:c>
      <x:c r="H1" s="15" t="str">
        <x:v>Q2 Evidence</x:v>
      </x:c>
      <x:c r="I1" s="15" t="str">
        <x:v>Q3 Score</x:v>
      </x:c>
      <x:c r="J1" s="15" t="str">
        <x:v>Q3 Evidence</x:v>
      </x:c>
      <x:c r="K1" s="15" t="str">
        <x:v>Q4 Score</x:v>
      </x:c>
      <x:c r="L1" s="15" t="str">
        <x:v>Q4 Evidence</x:v>
      </x:c>
      <x:c r="M1" s="15" t="str">
        <x:v>Q5 Score</x:v>
      </x:c>
      <x:c r="N1" s="15" t="str">
        <x:v>Q5 Evidence</x:v>
      </x:c>
      <x:c r="O1" s="15" t="str">
        <x:v>Q6 Score</x:v>
      </x:c>
      <x:c r="P1" s="15" t="str">
        <x:v>Q6 Evidence</x:v>
      </x:c>
      <x:c r="Q1" s="15" t="str">
        <x:v>Q7 Score</x:v>
      </x:c>
      <x:c r="R1" s="15" t="str">
        <x:v>Q7 Evidence</x:v>
      </x:c>
      <x:c r="S1" s="15" t="str">
        <x:v>CQ1 Score</x:v>
      </x:c>
      <x:c r="T1" s="15" t="str">
        <x:v>CQ1 Evidence</x:v>
      </x:c>
      <x:c r="U1" s="15" t="str">
        <x:v>CQ2 Score</x:v>
      </x:c>
      <x:c r="V1" s="15" t="str">
        <x:v>CQ2 Evidence</x:v>
      </x:c>
      <x:c r="W1" s="15" t="str">
        <x:v>CQ3 Score</x:v>
      </x:c>
      <x:c r="X1" s="15" t="str">
        <x:v>CQ3 Evidence</x:v>
      </x:c>
      <x:c r="Y1" s="15" t="str">
        <x:v>Semantic Total / 14</x:v>
      </x:c>
      <x:c r="Z1" s="15" t="str">
        <x:v>Semantic-fidelity normalized score</x:v>
      </x:c>
      <x:c r="AA1" s="15" t="str">
        <x:v>Implementation Total / 6</x:v>
      </x:c>
      <x:c r="AB1" s="15" t="str">
        <x:v>Implementation-quality normalized score</x:v>
      </x:c>
      <x:c r="AC1" s="15" t="str">
        <x:v>Critical defect</x:v>
      </x:c>
      <x:c r="AD1" s="15" t="str">
        <x:v>Primary semantic verdict</x:v>
      </x:c>
      <x:c r="AE1" s="15" t="str">
        <x:v>Reviewer evidence/justification</x:v>
      </x:c>
      <x:c r="AF1" s="15" t="str">
        <x:v>Suspected benchmark/RDF fault</x:v>
      </x:c>
      <x:c r="AG1" s="15" t="str">
        <x:v>Adjudication required</x:v>
      </x:c>
      <x:c r="AH1" s="15" t="str">
        <x:v>Reviewer</x:v>
      </x:c>
      <x:c r="AI1" s="16" t="str">
        <x:v>Review date</x:v>
      </x:c>
    </x:row>
    <x:row r="2" ht="15" hidden="0" customHeight="1">
      <x:c r="A2" s="17" t="str">
        <x:v>I2-031</x:v>
      </x:c>
      <x:c r="B2" s="7" t="str">
        <x:v>I2</x:v>
      </x:c>
      <x:c r="C2" s="7" t="str">
        <x:v>DIRECT_STATIC</x:v>
      </x:c>
      <x:c r="D2" s="7" t="str">
        <x:v>A01</x:v>
      </x:c>
      <x:c r="E2" s="8" t="str"/>
      <x:c r="F2" s="9" t="str"/>
      <x:c r="G2" s="8" t="str"/>
      <x:c r="H2" s="9" t="str"/>
      <x:c r="I2" s="8" t="str"/>
      <x:c r="J2" s="9" t="str"/>
      <x:c r="K2" s="8" t="str"/>
      <x:c r="L2" s="9" t="str"/>
      <x:c r="M2" s="8" t="str"/>
      <x:c r="N2" s="9" t="str"/>
      <x:c r="O2" s="8" t="str"/>
      <x:c r="P2" s="9" t="str"/>
      <x:c r="Q2" s="8" t="str"/>
      <x:c r="R2" s="9" t="str"/>
      <x:c r="S2" s="8" t="str"/>
      <x:c r="T2" s="9" t="str"/>
      <x:c r="U2" s="8" t="str"/>
      <x:c r="V2" s="9" t="str"/>
      <x:c r="W2" s="8" t="str"/>
      <x:c r="X2" s="9" t="str"/>
      <x:c r="Y2" s="6" t="str">
        <x:f>IF(COUNT(E2,G2,I2,K2,M2,O2,Q2)=7,SUM(E2,G2,I2,K2,M2,O2,Q2),"")</x:f>
      </x:c>
      <x:c r="Z2" s="10" t="str">
        <x:f>IF(Y2="","",Y2/14)</x:f>
      </x:c>
      <x:c r="AA2" s="6" t="str">
        <x:f>IF(COUNT(S2,U2,W2)=3,SUM(S2,U2,W2),"")</x:f>
      </x:c>
      <x:c r="AB2" s="10" t="str">
        <x:f>IF(AA2="","",AA2/6)</x:f>
      </x:c>
      <x:c r="AC2" s="8" t="str"/>
      <x:c r="AD2" s="8" t="str"/>
      <x:c r="AE2" s="12" t="str"/>
      <x:c r="AF2" s="8" t="str"/>
      <x:c r="AG2" s="8" t="str"/>
      <x:c r="AH2" s="8" t="str"/>
      <x:c r="AI2" s="18" t="str"/>
    </x:row>
    <x:row r="3" ht="15" hidden="0" customHeight="1">
      <x:c r="A3" s="17" t="str">
        <x:v>I2-031</x:v>
      </x:c>
      <x:c r="B3" s="7" t="str">
        <x:v>I2</x:v>
      </x:c>
      <x:c r="C3" s="7" t="str">
        <x:v>DIRECT_STATIC</x:v>
      </x:c>
      <x:c r="D3" s="7" t="str">
        <x:v>A02</x:v>
      </x:c>
      <x:c r="E3" s="8" t="str"/>
      <x:c r="F3" s="9" t="str"/>
      <x:c r="G3" s="8" t="str"/>
      <x:c r="H3" s="9" t="str"/>
      <x:c r="I3" s="8" t="str"/>
      <x:c r="J3" s="9" t="str"/>
      <x:c r="K3" s="8" t="str"/>
      <x:c r="L3" s="9" t="str"/>
      <x:c r="M3" s="8" t="str"/>
      <x:c r="N3" s="9" t="str"/>
      <x:c r="O3" s="8" t="str"/>
      <x:c r="P3" s="9" t="str"/>
      <x:c r="Q3" s="8" t="str"/>
      <x:c r="R3" s="9" t="str"/>
      <x:c r="S3" s="8" t="str"/>
      <x:c r="T3" s="9" t="str"/>
      <x:c r="U3" s="8" t="str"/>
      <x:c r="V3" s="9" t="str"/>
      <x:c r="W3" s="8" t="str"/>
      <x:c r="X3" s="9" t="str"/>
      <x:c r="Y3" s="6" t="str">
        <x:f>IF(COUNT(E3,G3,I3,K3,M3,O3,Q3)=7,SUM(E3,G3,I3,K3,M3,O3,Q3),"")</x:f>
      </x:c>
      <x:c r="Z3" s="10" t="str">
        <x:f>IF(Y3="","",Y3/14)</x:f>
      </x:c>
      <x:c r="AA3" s="6" t="str">
        <x:f>IF(COUNT(S3,U3,W3)=3,SUM(S3,U3,W3),"")</x:f>
      </x:c>
      <x:c r="AB3" s="10" t="str">
        <x:f>IF(AA3="","",AA3/6)</x:f>
      </x:c>
      <x:c r="AC3" s="8" t="str"/>
      <x:c r="AD3" s="8" t="str"/>
      <x:c r="AE3" s="12" t="str"/>
      <x:c r="AF3" s="8" t="str"/>
      <x:c r="AG3" s="8" t="str"/>
      <x:c r="AH3" s="8" t="str"/>
      <x:c r="AI3" s="18" t="str"/>
    </x:row>
    <x:row r="4" ht="15" hidden="0" customHeight="1">
      <x:c r="A4" s="17" t="str">
        <x:v>I2-031</x:v>
      </x:c>
      <x:c r="B4" s="7" t="str">
        <x:v>I2</x:v>
      </x:c>
      <x:c r="C4" s="7" t="str">
        <x:v>DIRECT_STATIC</x:v>
      </x:c>
      <x:c r="D4" s="7" t="str">
        <x:v>A03</x:v>
      </x:c>
      <x:c r="E4" s="8" t="str"/>
      <x:c r="F4" s="9" t="str"/>
      <x:c r="G4" s="8" t="str"/>
      <x:c r="H4" s="9" t="str"/>
      <x:c r="I4" s="8" t="str"/>
      <x:c r="J4" s="9" t="str"/>
      <x:c r="K4" s="8" t="str"/>
      <x:c r="L4" s="9" t="str"/>
      <x:c r="M4" s="8" t="str"/>
      <x:c r="N4" s="9" t="str"/>
      <x:c r="O4" s="8" t="str"/>
      <x:c r="P4" s="9" t="str"/>
      <x:c r="Q4" s="8" t="str"/>
      <x:c r="R4" s="9" t="str"/>
      <x:c r="S4" s="8" t="str"/>
      <x:c r="T4" s="9" t="str"/>
      <x:c r="U4" s="8" t="str"/>
      <x:c r="V4" s="9" t="str"/>
      <x:c r="W4" s="8" t="str"/>
      <x:c r="X4" s="9" t="str"/>
      <x:c r="Y4" s="6" t="str">
        <x:f>IF(COUNT(E4,G4,I4,K4,M4,O4,Q4)=7,SUM(E4,G4,I4,K4,M4,O4,Q4),"")</x:f>
      </x:c>
      <x:c r="Z4" s="10" t="str">
        <x:f>IF(Y4="","",Y4/14)</x:f>
      </x:c>
      <x:c r="AA4" s="6" t="str">
        <x:f>IF(COUNT(S4,U4,W4)=3,SUM(S4,U4,W4),"")</x:f>
      </x:c>
      <x:c r="AB4" s="10" t="str">
        <x:f>IF(AA4="","",AA4/6)</x:f>
      </x:c>
      <x:c r="AC4" s="8" t="str"/>
      <x:c r="AD4" s="8" t="str"/>
      <x:c r="AE4" s="12" t="str"/>
      <x:c r="AF4" s="8" t="str"/>
      <x:c r="AG4" s="8" t="str"/>
      <x:c r="AH4" s="8" t="str"/>
      <x:c r="AI4" s="18" t="str"/>
    </x:row>
    <x:row r="5" ht="15" hidden="0" customHeight="1">
      <x:c r="A5" s="17" t="str">
        <x:v>I2-031</x:v>
      </x:c>
      <x:c r="B5" s="7" t="str">
        <x:v>I2</x:v>
      </x:c>
      <x:c r="C5" s="7" t="str">
        <x:v>DIRECT_STATIC</x:v>
      </x:c>
      <x:c r="D5" s="7" t="str">
        <x:v>A04</x:v>
      </x:c>
      <x:c r="E5" s="8" t="str"/>
      <x:c r="F5" s="9" t="str"/>
      <x:c r="G5" s="8" t="str"/>
      <x:c r="H5" s="9" t="str"/>
      <x:c r="I5" s="8" t="str"/>
      <x:c r="J5" s="9" t="str"/>
      <x:c r="K5" s="8" t="str"/>
      <x:c r="L5" s="9" t="str"/>
      <x:c r="M5" s="8" t="str"/>
      <x:c r="N5" s="9" t="str"/>
      <x:c r="O5" s="8" t="str"/>
      <x:c r="P5" s="9" t="str"/>
      <x:c r="Q5" s="8" t="str"/>
      <x:c r="R5" s="9" t="str"/>
      <x:c r="S5" s="8" t="str"/>
      <x:c r="T5" s="9" t="str"/>
      <x:c r="U5" s="8" t="str"/>
      <x:c r="V5" s="9" t="str"/>
      <x:c r="W5" s="8" t="str"/>
      <x:c r="X5" s="9" t="str"/>
      <x:c r="Y5" s="6" t="str">
        <x:f>IF(COUNT(E5,G5,I5,K5,M5,O5,Q5)=7,SUM(E5,G5,I5,K5,M5,O5,Q5),"")</x:f>
      </x:c>
      <x:c r="Z5" s="10" t="str">
        <x:f>IF(Y5="","",Y5/14)</x:f>
      </x:c>
      <x:c r="AA5" s="6" t="str">
        <x:f>IF(COUNT(S5,U5,W5)=3,SUM(S5,U5,W5),"")</x:f>
      </x:c>
      <x:c r="AB5" s="10" t="str">
        <x:f>IF(AA5="","",AA5/6)</x:f>
      </x:c>
      <x:c r="AC5" s="8" t="str"/>
      <x:c r="AD5" s="8" t="str"/>
      <x:c r="AE5" s="12" t="str"/>
      <x:c r="AF5" s="8" t="str"/>
      <x:c r="AG5" s="8" t="str"/>
      <x:c r="AH5" s="8" t="str"/>
      <x:c r="AI5" s="18" t="str"/>
    </x:row>
    <x:row r="6" ht="15" hidden="0" customHeight="1">
      <x:c r="A6" s="17" t="str">
        <x:v>I2-031</x:v>
      </x:c>
      <x:c r="B6" s="7" t="str">
        <x:v>I2</x:v>
      </x:c>
      <x:c r="C6" s="7" t="str">
        <x:v>DIRECT_STATIC</x:v>
      </x:c>
      <x:c r="D6" s="7" t="str">
        <x:v>A05</x:v>
      </x:c>
      <x:c r="E6" s="8" t="str"/>
      <x:c r="F6" s="9" t="str"/>
      <x:c r="G6" s="8" t="str"/>
      <x:c r="H6" s="9" t="str"/>
      <x:c r="I6" s="8" t="str"/>
      <x:c r="J6" s="9" t="str"/>
      <x:c r="K6" s="8" t="str"/>
      <x:c r="L6" s="9" t="str"/>
      <x:c r="M6" s="8" t="str"/>
      <x:c r="N6" s="9" t="str"/>
      <x:c r="O6" s="8" t="str"/>
      <x:c r="P6" s="9" t="str"/>
      <x:c r="Q6" s="8" t="str"/>
      <x:c r="R6" s="9" t="str"/>
      <x:c r="S6" s="8" t="str"/>
      <x:c r="T6" s="9" t="str"/>
      <x:c r="U6" s="8" t="str"/>
      <x:c r="V6" s="9" t="str"/>
      <x:c r="W6" s="8" t="str"/>
      <x:c r="X6" s="9" t="str"/>
      <x:c r="Y6" s="6" t="str">
        <x:f>IF(COUNT(E6,G6,I6,K6,M6,O6,Q6)=7,SUM(E6,G6,I6,K6,M6,O6,Q6),"")</x:f>
      </x:c>
      <x:c r="Z6" s="10" t="str">
        <x:f>IF(Y6="","",Y6/14)</x:f>
      </x:c>
      <x:c r="AA6" s="6" t="str">
        <x:f>IF(COUNT(S6,U6,W6)=3,SUM(S6,U6,W6),"")</x:f>
      </x:c>
      <x:c r="AB6" s="10" t="str">
        <x:f>IF(AA6="","",AA6/6)</x:f>
      </x:c>
      <x:c r="AC6" s="8" t="str"/>
      <x:c r="AD6" s="8" t="str"/>
      <x:c r="AE6" s="12" t="str"/>
      <x:c r="AF6" s="8" t="str"/>
      <x:c r="AG6" s="8" t="str"/>
      <x:c r="AH6" s="8" t="str"/>
      <x:c r="AI6" s="18" t="str"/>
    </x:row>
    <x:row r="7" ht="15" hidden="0" customHeight="1">
      <x:c r="A7" s="17" t="str">
        <x:v>I2-031</x:v>
      </x:c>
      <x:c r="B7" s="7" t="str">
        <x:v>I2</x:v>
      </x:c>
      <x:c r="C7" s="7" t="str">
        <x:v>DIRECT_STATIC</x:v>
      </x:c>
      <x:c r="D7" s="7" t="str">
        <x:v>A06</x:v>
      </x:c>
      <x:c r="E7" s="8" t="str"/>
      <x:c r="F7" s="9" t="str"/>
      <x:c r="G7" s="8" t="str"/>
      <x:c r="H7" s="9" t="str"/>
      <x:c r="I7" s="8" t="str"/>
      <x:c r="J7" s="9" t="str"/>
      <x:c r="K7" s="8" t="str"/>
      <x:c r="L7" s="9" t="str"/>
      <x:c r="M7" s="8" t="str"/>
      <x:c r="N7" s="9" t="str"/>
      <x:c r="O7" s="8" t="str"/>
      <x:c r="P7" s="9" t="str"/>
      <x:c r="Q7" s="8" t="str"/>
      <x:c r="R7" s="9" t="str"/>
      <x:c r="S7" s="8" t="str"/>
      <x:c r="T7" s="9" t="str"/>
      <x:c r="U7" s="8" t="str"/>
      <x:c r="V7" s="9" t="str"/>
      <x:c r="W7" s="8" t="str"/>
      <x:c r="X7" s="9" t="str"/>
      <x:c r="Y7" s="6" t="str">
        <x:f>IF(COUNT(E7,G7,I7,K7,M7,O7,Q7)=7,SUM(E7,G7,I7,K7,M7,O7,Q7),"")</x:f>
      </x:c>
      <x:c r="Z7" s="10" t="str">
        <x:f>IF(Y7="","",Y7/14)</x:f>
      </x:c>
      <x:c r="AA7" s="6" t="str">
        <x:f>IF(COUNT(S7,U7,W7)=3,SUM(S7,U7,W7),"")</x:f>
      </x:c>
      <x:c r="AB7" s="10" t="str">
        <x:f>IF(AA7="","",AA7/6)</x:f>
      </x:c>
      <x:c r="AC7" s="8" t="str"/>
      <x:c r="AD7" s="8" t="str"/>
      <x:c r="AE7" s="12" t="str"/>
      <x:c r="AF7" s="8" t="str"/>
      <x:c r="AG7" s="8" t="str"/>
      <x:c r="AH7" s="8" t="str"/>
      <x:c r="AI7" s="18" t="str"/>
    </x:row>
    <x:row r="8" ht="15" hidden="0" customHeight="1">
      <x:c r="A8" s="17" t="str">
        <x:v>I2-031</x:v>
      </x:c>
      <x:c r="B8" s="7" t="str">
        <x:v>I2</x:v>
      </x:c>
      <x:c r="C8" s="7" t="str">
        <x:v>DIRECT_STATIC</x:v>
      </x:c>
      <x:c r="D8" s="7" t="str">
        <x:v>A07</x:v>
      </x:c>
      <x:c r="E8" s="8" t="str"/>
      <x:c r="F8" s="9" t="str"/>
      <x:c r="G8" s="8" t="str"/>
      <x:c r="H8" s="9" t="str"/>
      <x:c r="I8" s="8" t="str"/>
      <x:c r="J8" s="9" t="str"/>
      <x:c r="K8" s="8" t="str"/>
      <x:c r="L8" s="9" t="str"/>
      <x:c r="M8" s="8" t="str"/>
      <x:c r="N8" s="9" t="str"/>
      <x:c r="O8" s="8" t="str"/>
      <x:c r="P8" s="9" t="str"/>
      <x:c r="Q8" s="8" t="str"/>
      <x:c r="R8" s="9" t="str"/>
      <x:c r="S8" s="8" t="str"/>
      <x:c r="T8" s="9" t="str"/>
      <x:c r="U8" s="8" t="str"/>
      <x:c r="V8" s="9" t="str"/>
      <x:c r="W8" s="8" t="str"/>
      <x:c r="X8" s="9" t="str"/>
      <x:c r="Y8" s="6" t="str">
        <x:f>IF(COUNT(E8,G8,I8,K8,M8,O8,Q8)=7,SUM(E8,G8,I8,K8,M8,O8,Q8),"")</x:f>
      </x:c>
      <x:c r="Z8" s="10" t="str">
        <x:f>IF(Y8="","",Y8/14)</x:f>
      </x:c>
      <x:c r="AA8" s="6" t="str">
        <x:f>IF(COUNT(S8,U8,W8)=3,SUM(S8,U8,W8),"")</x:f>
      </x:c>
      <x:c r="AB8" s="10" t="str">
        <x:f>IF(AA8="","",AA8/6)</x:f>
      </x:c>
      <x:c r="AC8" s="8" t="str"/>
      <x:c r="AD8" s="8" t="str"/>
      <x:c r="AE8" s="12" t="str"/>
      <x:c r="AF8" s="8" t="str"/>
      <x:c r="AG8" s="8" t="str"/>
      <x:c r="AH8" s="8" t="str"/>
      <x:c r="AI8" s="18" t="str"/>
    </x:row>
    <x:row r="9" ht="15" hidden="0" customHeight="1">
      <x:c r="A9" s="17" t="str">
        <x:v>I2-031</x:v>
      </x:c>
      <x:c r="B9" s="7" t="str">
        <x:v>I2</x:v>
      </x:c>
      <x:c r="C9" s="7" t="str">
        <x:v>DIRECT_STATIC</x:v>
      </x:c>
      <x:c r="D9" s="7" t="str">
        <x:v>A08</x:v>
      </x:c>
      <x:c r="E9" s="8" t="str"/>
      <x:c r="F9" s="9" t="str"/>
      <x:c r="G9" s="8" t="str"/>
      <x:c r="H9" s="9" t="str"/>
      <x:c r="I9" s="8" t="str"/>
      <x:c r="J9" s="9" t="str"/>
      <x:c r="K9" s="8" t="str"/>
      <x:c r="L9" s="9" t="str"/>
      <x:c r="M9" s="8" t="str"/>
      <x:c r="N9" s="9" t="str"/>
      <x:c r="O9" s="8" t="str"/>
      <x:c r="P9" s="9" t="str"/>
      <x:c r="Q9" s="8" t="str"/>
      <x:c r="R9" s="9" t="str"/>
      <x:c r="S9" s="8" t="str"/>
      <x:c r="T9" s="9" t="str"/>
      <x:c r="U9" s="8" t="str"/>
      <x:c r="V9" s="9" t="str"/>
      <x:c r="W9" s="8" t="str"/>
      <x:c r="X9" s="9" t="str"/>
      <x:c r="Y9" s="6" t="str">
        <x:f>IF(COUNT(E9,G9,I9,K9,M9,O9,Q9)=7,SUM(E9,G9,I9,K9,M9,O9,Q9),"")</x:f>
      </x:c>
      <x:c r="Z9" s="10" t="str">
        <x:f>IF(Y9="","",Y9/14)</x:f>
      </x:c>
      <x:c r="AA9" s="6" t="str">
        <x:f>IF(COUNT(S9,U9,W9)=3,SUM(S9,U9,W9),"")</x:f>
      </x:c>
      <x:c r="AB9" s="10" t="str">
        <x:f>IF(AA9="","",AA9/6)</x:f>
      </x:c>
      <x:c r="AC9" s="8" t="str"/>
      <x:c r="AD9" s="8" t="str"/>
      <x:c r="AE9" s="12" t="str"/>
      <x:c r="AF9" s="8" t="str"/>
      <x:c r="AG9" s="8" t="str"/>
      <x:c r="AH9" s="8" t="str"/>
      <x:c r="AI9" s="18" t="str"/>
    </x:row>
    <x:row r="10" ht="15" hidden="0" customHeight="1">
      <x:c r="A10" s="17" t="str">
        <x:v>TRF-006</x:v>
      </x:c>
      <x:c r="B10" s="7" t="str">
        <x:v>TRAFICOM</x:v>
      </x:c>
      <x:c r="C10" s="7" t="str">
        <x:v>DIRECT_STATIC</x:v>
      </x:c>
      <x:c r="D10" s="7" t="str">
        <x:v>A01</x:v>
      </x:c>
      <x:c r="E10" s="8" t="str"/>
      <x:c r="F10" s="9" t="str"/>
      <x:c r="G10" s="8" t="str"/>
      <x:c r="H10" s="9" t="str"/>
      <x:c r="I10" s="8" t="str"/>
      <x:c r="J10" s="9" t="str"/>
      <x:c r="K10" s="8" t="str"/>
      <x:c r="L10" s="9" t="str"/>
      <x:c r="M10" s="8" t="str"/>
      <x:c r="N10" s="9" t="str"/>
      <x:c r="O10" s="8" t="str"/>
      <x:c r="P10" s="9" t="str"/>
      <x:c r="Q10" s="8" t="str"/>
      <x:c r="R10" s="9" t="str"/>
      <x:c r="S10" s="8" t="str"/>
      <x:c r="T10" s="9" t="str"/>
      <x:c r="U10" s="8" t="str"/>
      <x:c r="V10" s="9" t="str"/>
      <x:c r="W10" s="8" t="str"/>
      <x:c r="X10" s="9" t="str"/>
      <x:c r="Y10" s="6" t="str">
        <x:f>IF(COUNT(E10,G10,I10,K10,M10,O10,Q10)=7,SUM(E10,G10,I10,K10,M10,O10,Q10),"")</x:f>
      </x:c>
      <x:c r="Z10" s="10" t="str">
        <x:f>IF(Y10="","",Y10/14)</x:f>
      </x:c>
      <x:c r="AA10" s="6" t="str">
        <x:f>IF(COUNT(S10,U10,W10)=3,SUM(S10,U10,W10),"")</x:f>
      </x:c>
      <x:c r="AB10" s="10" t="str">
        <x:f>IF(AA10="","",AA10/6)</x:f>
      </x:c>
      <x:c r="AC10" s="8" t="str"/>
      <x:c r="AD10" s="8" t="str"/>
      <x:c r="AE10" s="12" t="str"/>
      <x:c r="AF10" s="8" t="str"/>
      <x:c r="AG10" s="8" t="str"/>
      <x:c r="AH10" s="8" t="str"/>
      <x:c r="AI10" s="18" t="str"/>
    </x:row>
    <x:row r="11" ht="15" hidden="0" customHeight="1">
      <x:c r="A11" s="17" t="str">
        <x:v>TRF-006</x:v>
      </x:c>
      <x:c r="B11" s="7" t="str">
        <x:v>TRAFICOM</x:v>
      </x:c>
      <x:c r="C11" s="7" t="str">
        <x:v>DIRECT_STATIC</x:v>
      </x:c>
      <x:c r="D11" s="7" t="str">
        <x:v>A02</x:v>
      </x:c>
      <x:c r="E11" s="8" t="str"/>
      <x:c r="F11" s="9" t="str"/>
      <x:c r="G11" s="8" t="str"/>
      <x:c r="H11" s="9" t="str"/>
      <x:c r="I11" s="8" t="str"/>
      <x:c r="J11" s="9" t="str"/>
      <x:c r="K11" s="8" t="str"/>
      <x:c r="L11" s="9" t="str"/>
      <x:c r="M11" s="8" t="str"/>
      <x:c r="N11" s="9" t="str"/>
      <x:c r="O11" s="8" t="str"/>
      <x:c r="P11" s="9" t="str"/>
      <x:c r="Q11" s="8" t="str"/>
      <x:c r="R11" s="9" t="str"/>
      <x:c r="S11" s="8" t="str"/>
      <x:c r="T11" s="9" t="str"/>
      <x:c r="U11" s="8" t="str"/>
      <x:c r="V11" s="9" t="str"/>
      <x:c r="W11" s="8" t="str"/>
      <x:c r="X11" s="9" t="str"/>
      <x:c r="Y11" s="6" t="str">
        <x:f>IF(COUNT(E11,G11,I11,K11,M11,O11,Q11)=7,SUM(E11,G11,I11,K11,M11,O11,Q11),"")</x:f>
      </x:c>
      <x:c r="Z11" s="10" t="str">
        <x:f>IF(Y11="","",Y11/14)</x:f>
      </x:c>
      <x:c r="AA11" s="6" t="str">
        <x:f>IF(COUNT(S11,U11,W11)=3,SUM(S11,U11,W11),"")</x:f>
      </x:c>
      <x:c r="AB11" s="10" t="str">
        <x:f>IF(AA11="","",AA11/6)</x:f>
      </x:c>
      <x:c r="AC11" s="8" t="str"/>
      <x:c r="AD11" s="8" t="str"/>
      <x:c r="AE11" s="12" t="str"/>
      <x:c r="AF11" s="8" t="str"/>
      <x:c r="AG11" s="8" t="str"/>
      <x:c r="AH11" s="8" t="str"/>
      <x:c r="AI11" s="18" t="str"/>
    </x:row>
    <x:row r="12" ht="15" hidden="0" customHeight="1">
      <x:c r="A12" s="17" t="str">
        <x:v>TRF-006</x:v>
      </x:c>
      <x:c r="B12" s="7" t="str">
        <x:v>TRAFICOM</x:v>
      </x:c>
      <x:c r="C12" s="7" t="str">
        <x:v>DIRECT_STATIC</x:v>
      </x:c>
      <x:c r="D12" s="7" t="str">
        <x:v>A03</x:v>
      </x:c>
      <x:c r="E12" s="8" t="str"/>
      <x:c r="F12" s="9" t="str"/>
      <x:c r="G12" s="8" t="str"/>
      <x:c r="H12" s="9" t="str"/>
      <x:c r="I12" s="8" t="str"/>
      <x:c r="J12" s="9" t="str"/>
      <x:c r="K12" s="8" t="str"/>
      <x:c r="L12" s="9" t="str"/>
      <x:c r="M12" s="8" t="str"/>
      <x:c r="N12" s="9" t="str"/>
      <x:c r="O12" s="8" t="str"/>
      <x:c r="P12" s="9" t="str"/>
      <x:c r="Q12" s="8" t="str"/>
      <x:c r="R12" s="9" t="str"/>
      <x:c r="S12" s="8" t="str"/>
      <x:c r="T12" s="9" t="str"/>
      <x:c r="U12" s="8" t="str"/>
      <x:c r="V12" s="9" t="str"/>
      <x:c r="W12" s="8" t="str"/>
      <x:c r="X12" s="9" t="str"/>
      <x:c r="Y12" s="6" t="str">
        <x:f>IF(COUNT(E12,G12,I12,K12,M12,O12,Q12)=7,SUM(E12,G12,I12,K12,M12,O12,Q12),"")</x:f>
      </x:c>
      <x:c r="Z12" s="10" t="str">
        <x:f>IF(Y12="","",Y12/14)</x:f>
      </x:c>
      <x:c r="AA12" s="6" t="str">
        <x:f>IF(COUNT(S12,U12,W12)=3,SUM(S12,U12,W12),"")</x:f>
      </x:c>
      <x:c r="AB12" s="10" t="str">
        <x:f>IF(AA12="","",AA12/6)</x:f>
      </x:c>
      <x:c r="AC12" s="8" t="str"/>
      <x:c r="AD12" s="8" t="str"/>
      <x:c r="AE12" s="12" t="str"/>
      <x:c r="AF12" s="8" t="str"/>
      <x:c r="AG12" s="8" t="str"/>
      <x:c r="AH12" s="8" t="str"/>
      <x:c r="AI12" s="18" t="str"/>
    </x:row>
    <x:row r="13" ht="15" hidden="0" customHeight="1">
      <x:c r="A13" s="17" t="str">
        <x:v>TRF-006</x:v>
      </x:c>
      <x:c r="B13" s="7" t="str">
        <x:v>TRAFICOM</x:v>
      </x:c>
      <x:c r="C13" s="7" t="str">
        <x:v>DIRECT_STATIC</x:v>
      </x:c>
      <x:c r="D13" s="7" t="str">
        <x:v>A04</x:v>
      </x:c>
      <x:c r="E13" s="8" t="str"/>
      <x:c r="F13" s="9" t="str"/>
      <x:c r="G13" s="8" t="str"/>
      <x:c r="H13" s="9" t="str"/>
      <x:c r="I13" s="8" t="str"/>
      <x:c r="J13" s="9" t="str"/>
      <x:c r="K13" s="8" t="str"/>
      <x:c r="L13" s="9" t="str"/>
      <x:c r="M13" s="8" t="str"/>
      <x:c r="N13" s="9" t="str"/>
      <x:c r="O13" s="8" t="str"/>
      <x:c r="P13" s="9" t="str"/>
      <x:c r="Q13" s="8" t="str"/>
      <x:c r="R13" s="9" t="str"/>
      <x:c r="S13" s="8" t="str"/>
      <x:c r="T13" s="9" t="str"/>
      <x:c r="U13" s="8" t="str"/>
      <x:c r="V13" s="9" t="str"/>
      <x:c r="W13" s="8" t="str"/>
      <x:c r="X13" s="9" t="str"/>
      <x:c r="Y13" s="6" t="str">
        <x:f>IF(COUNT(E13,G13,I13,K13,M13,O13,Q13)=7,SUM(E13,G13,I13,K13,M13,O13,Q13),"")</x:f>
      </x:c>
      <x:c r="Z13" s="10" t="str">
        <x:f>IF(Y13="","",Y13/14)</x:f>
      </x:c>
      <x:c r="AA13" s="6" t="str">
        <x:f>IF(COUNT(S13,U13,W13)=3,SUM(S13,U13,W13),"")</x:f>
      </x:c>
      <x:c r="AB13" s="10" t="str">
        <x:f>IF(AA13="","",AA13/6)</x:f>
      </x:c>
      <x:c r="AC13" s="8" t="str"/>
      <x:c r="AD13" s="8" t="str"/>
      <x:c r="AE13" s="12" t="str"/>
      <x:c r="AF13" s="8" t="str"/>
      <x:c r="AG13" s="8" t="str"/>
      <x:c r="AH13" s="8" t="str"/>
      <x:c r="AI13" s="18" t="str"/>
    </x:row>
    <x:row r="14" ht="15" hidden="0" customHeight="1">
      <x:c r="A14" s="17" t="str">
        <x:v>TRF-006</x:v>
      </x:c>
      <x:c r="B14" s="7" t="str">
        <x:v>TRAFICOM</x:v>
      </x:c>
      <x:c r="C14" s="7" t="str">
        <x:v>DIRECT_STATIC</x:v>
      </x:c>
      <x:c r="D14" s="7" t="str">
        <x:v>A05</x:v>
      </x:c>
      <x:c r="E14" s="8" t="str"/>
      <x:c r="F14" s="9" t="str"/>
      <x:c r="G14" s="8" t="str"/>
      <x:c r="H14" s="9" t="str"/>
      <x:c r="I14" s="8" t="str"/>
      <x:c r="J14" s="9" t="str"/>
      <x:c r="K14" s="8" t="str"/>
      <x:c r="L14" s="9" t="str"/>
      <x:c r="M14" s="8" t="str"/>
      <x:c r="N14" s="9" t="str"/>
      <x:c r="O14" s="8" t="str"/>
      <x:c r="P14" s="9" t="str"/>
      <x:c r="Q14" s="8" t="str"/>
      <x:c r="R14" s="9" t="str"/>
      <x:c r="S14" s="8" t="str"/>
      <x:c r="T14" s="9" t="str"/>
      <x:c r="U14" s="8" t="str"/>
      <x:c r="V14" s="9" t="str"/>
      <x:c r="W14" s="8" t="str"/>
      <x:c r="X14" s="9" t="str"/>
      <x:c r="Y14" s="6" t="str">
        <x:f>IF(COUNT(E14,G14,I14,K14,M14,O14,Q14)=7,SUM(E14,G14,I14,K14,M14,O14,Q14),"")</x:f>
      </x:c>
      <x:c r="Z14" s="10" t="str">
        <x:f>IF(Y14="","",Y14/14)</x:f>
      </x:c>
      <x:c r="AA14" s="6" t="str">
        <x:f>IF(COUNT(S14,U14,W14)=3,SUM(S14,U14,W14),"")</x:f>
      </x:c>
      <x:c r="AB14" s="10" t="str">
        <x:f>IF(AA14="","",AA14/6)</x:f>
      </x:c>
      <x:c r="AC14" s="8" t="str"/>
      <x:c r="AD14" s="8" t="str"/>
      <x:c r="AE14" s="12" t="str"/>
      <x:c r="AF14" s="8" t="str"/>
      <x:c r="AG14" s="8" t="str"/>
      <x:c r="AH14" s="8" t="str"/>
      <x:c r="AI14" s="18" t="str"/>
    </x:row>
    <x:row r="15" ht="15" hidden="0" customHeight="1">
      <x:c r="A15" s="17" t="str">
        <x:v>TRF-006</x:v>
      </x:c>
      <x:c r="B15" s="7" t="str">
        <x:v>TRAFICOM</x:v>
      </x:c>
      <x:c r="C15" s="7" t="str">
        <x:v>DIRECT_STATIC</x:v>
      </x:c>
      <x:c r="D15" s="7" t="str">
        <x:v>A06</x:v>
      </x:c>
      <x:c r="E15" s="8" t="str"/>
      <x:c r="F15" s="9" t="str"/>
      <x:c r="G15" s="8" t="str"/>
      <x:c r="H15" s="9" t="str"/>
      <x:c r="I15" s="8" t="str"/>
      <x:c r="J15" s="9" t="str"/>
      <x:c r="K15" s="8" t="str"/>
      <x:c r="L15" s="9" t="str"/>
      <x:c r="M15" s="8" t="str"/>
      <x:c r="N15" s="9" t="str"/>
      <x:c r="O15" s="8" t="str"/>
      <x:c r="P15" s="9" t="str"/>
      <x:c r="Q15" s="8" t="str"/>
      <x:c r="R15" s="9" t="str"/>
      <x:c r="S15" s="8" t="str"/>
      <x:c r="T15" s="9" t="str"/>
      <x:c r="U15" s="8" t="str"/>
      <x:c r="V15" s="9" t="str"/>
      <x:c r="W15" s="8" t="str"/>
      <x:c r="X15" s="9" t="str"/>
      <x:c r="Y15" s="6" t="str">
        <x:f>IF(COUNT(E15,G15,I15,K15,M15,O15,Q15)=7,SUM(E15,G15,I15,K15,M15,O15,Q15),"")</x:f>
      </x:c>
      <x:c r="Z15" s="10" t="str">
        <x:f>IF(Y15="","",Y15/14)</x:f>
      </x:c>
      <x:c r="AA15" s="6" t="str">
        <x:f>IF(COUNT(S15,U15,W15)=3,SUM(S15,U15,W15),"")</x:f>
      </x:c>
      <x:c r="AB15" s="10" t="str">
        <x:f>IF(AA15="","",AA15/6)</x:f>
      </x:c>
      <x:c r="AC15" s="8" t="str"/>
      <x:c r="AD15" s="8" t="str"/>
      <x:c r="AE15" s="12" t="str"/>
      <x:c r="AF15" s="8" t="str"/>
      <x:c r="AG15" s="8" t="str"/>
      <x:c r="AH15" s="8" t="str"/>
      <x:c r="AI15" s="18" t="str"/>
    </x:row>
    <x:row r="16" ht="15" hidden="0" customHeight="1">
      <x:c r="A16" s="17" t="str">
        <x:v>TRF-006</x:v>
      </x:c>
      <x:c r="B16" s="7" t="str">
        <x:v>TRAFICOM</x:v>
      </x:c>
      <x:c r="C16" s="7" t="str">
        <x:v>DIRECT_STATIC</x:v>
      </x:c>
      <x:c r="D16" s="7" t="str">
        <x:v>A07</x:v>
      </x:c>
      <x:c r="E16" s="8" t="str"/>
      <x:c r="F16" s="9" t="str"/>
      <x:c r="G16" s="8" t="str"/>
      <x:c r="H16" s="9" t="str"/>
      <x:c r="I16" s="8" t="str"/>
      <x:c r="J16" s="9" t="str"/>
      <x:c r="K16" s="8" t="str"/>
      <x:c r="L16" s="9" t="str"/>
      <x:c r="M16" s="8" t="str"/>
      <x:c r="N16" s="9" t="str"/>
      <x:c r="O16" s="8" t="str"/>
      <x:c r="P16" s="9" t="str"/>
      <x:c r="Q16" s="8" t="str"/>
      <x:c r="R16" s="9" t="str"/>
      <x:c r="S16" s="8" t="str"/>
      <x:c r="T16" s="9" t="str"/>
      <x:c r="U16" s="8" t="str"/>
      <x:c r="V16" s="9" t="str"/>
      <x:c r="W16" s="8" t="str"/>
      <x:c r="X16" s="9" t="str"/>
      <x:c r="Y16" s="6" t="str">
        <x:f>IF(COUNT(E16,G16,I16,K16,M16,O16,Q16)=7,SUM(E16,G16,I16,K16,M16,O16,Q16),"")</x:f>
      </x:c>
      <x:c r="Z16" s="10" t="str">
        <x:f>IF(Y16="","",Y16/14)</x:f>
      </x:c>
      <x:c r="AA16" s="6" t="str">
        <x:f>IF(COUNT(S16,U16,W16)=3,SUM(S16,U16,W16),"")</x:f>
      </x:c>
      <x:c r="AB16" s="10" t="str">
        <x:f>IF(AA16="","",AA16/6)</x:f>
      </x:c>
      <x:c r="AC16" s="8" t="str"/>
      <x:c r="AD16" s="8" t="str"/>
      <x:c r="AE16" s="12" t="str"/>
      <x:c r="AF16" s="8" t="str"/>
      <x:c r="AG16" s="8" t="str"/>
      <x:c r="AH16" s="8" t="str"/>
      <x:c r="AI16" s="18" t="str"/>
    </x:row>
    <x:row r="17" ht="15" hidden="0" customHeight="1">
      <x:c r="A17" s="17" t="str">
        <x:v>TRF-006</x:v>
      </x:c>
      <x:c r="B17" s="7" t="str">
        <x:v>TRAFICOM</x:v>
      </x:c>
      <x:c r="C17" s="7" t="str">
        <x:v>DIRECT_STATIC</x:v>
      </x:c>
      <x:c r="D17" s="7" t="str">
        <x:v>A08</x:v>
      </x:c>
      <x:c r="E17" s="8" t="str"/>
      <x:c r="F17" s="9" t="str"/>
      <x:c r="G17" s="8" t="str"/>
      <x:c r="H17" s="9" t="str"/>
      <x:c r="I17" s="8" t="str"/>
      <x:c r="J17" s="9" t="str"/>
      <x:c r="K17" s="8" t="str"/>
      <x:c r="L17" s="9" t="str"/>
      <x:c r="M17" s="8" t="str"/>
      <x:c r="N17" s="9" t="str"/>
      <x:c r="O17" s="8" t="str"/>
      <x:c r="P17" s="9" t="str"/>
      <x:c r="Q17" s="8" t="str"/>
      <x:c r="R17" s="9" t="str"/>
      <x:c r="S17" s="8" t="str"/>
      <x:c r="T17" s="9" t="str"/>
      <x:c r="U17" s="8" t="str"/>
      <x:c r="V17" s="9" t="str"/>
      <x:c r="W17" s="8" t="str"/>
      <x:c r="X17" s="9" t="str"/>
      <x:c r="Y17" s="6" t="str">
        <x:f>IF(COUNT(E17,G17,I17,K17,M17,O17,Q17)=7,SUM(E17,G17,I17,K17,M17,O17,Q17),"")</x:f>
      </x:c>
      <x:c r="Z17" s="10" t="str">
        <x:f>IF(Y17="","",Y17/14)</x:f>
      </x:c>
      <x:c r="AA17" s="6" t="str">
        <x:f>IF(COUNT(S17,U17,W17)=3,SUM(S17,U17,W17),"")</x:f>
      </x:c>
      <x:c r="AB17" s="10" t="str">
        <x:f>IF(AA17="","",AA17/6)</x:f>
      </x:c>
      <x:c r="AC17" s="8" t="str"/>
      <x:c r="AD17" s="8" t="str"/>
      <x:c r="AE17" s="12" t="str"/>
      <x:c r="AF17" s="8" t="str"/>
      <x:c r="AG17" s="8" t="str"/>
      <x:c r="AH17" s="8" t="str"/>
      <x:c r="AI17" s="18" t="str"/>
    </x:row>
    <x:row r="18" ht="15" hidden="0" customHeight="1">
      <x:c r="A18" s="17" t="str">
        <x:v>IMO-112</x:v>
      </x:c>
      <x:c r="B18" s="7" t="str">
        <x:v>IMO</x:v>
      </x:c>
      <x:c r="C18" s="7" t="str">
        <x:v>DIRECT_STATIC</x:v>
      </x:c>
      <x:c r="D18" s="7" t="str">
        <x:v>A01</x:v>
      </x:c>
      <x:c r="E18" s="8" t="str"/>
      <x:c r="F18" s="9" t="str"/>
      <x:c r="G18" s="8" t="str"/>
      <x:c r="H18" s="9" t="str"/>
      <x:c r="I18" s="8" t="str"/>
      <x:c r="J18" s="9" t="str"/>
      <x:c r="K18" s="8" t="str"/>
      <x:c r="L18" s="9" t="str"/>
      <x:c r="M18" s="8" t="str"/>
      <x:c r="N18" s="9" t="str"/>
      <x:c r="O18" s="8" t="str"/>
      <x:c r="P18" s="9" t="str"/>
      <x:c r="Q18" s="8" t="str"/>
      <x:c r="R18" s="9" t="str"/>
      <x:c r="S18" s="8" t="str"/>
      <x:c r="T18" s="9" t="str"/>
      <x:c r="U18" s="8" t="str"/>
      <x:c r="V18" s="9" t="str"/>
      <x:c r="W18" s="8" t="str"/>
      <x:c r="X18" s="9" t="str"/>
      <x:c r="Y18" s="6" t="str">
        <x:f>IF(COUNT(E18,G18,I18,K18,M18,O18,Q18)=7,SUM(E18,G18,I18,K18,M18,O18,Q18),"")</x:f>
      </x:c>
      <x:c r="Z18" s="10" t="str">
        <x:f>IF(Y18="","",Y18/14)</x:f>
      </x:c>
      <x:c r="AA18" s="6" t="str">
        <x:f>IF(COUNT(S18,U18,W18)=3,SUM(S18,U18,W18),"")</x:f>
      </x:c>
      <x:c r="AB18" s="10" t="str">
        <x:f>IF(AA18="","",AA18/6)</x:f>
      </x:c>
      <x:c r="AC18" s="8" t="str"/>
      <x:c r="AD18" s="8" t="str"/>
      <x:c r="AE18" s="12" t="str"/>
      <x:c r="AF18" s="8" t="str"/>
      <x:c r="AG18" s="8" t="str"/>
      <x:c r="AH18" s="8" t="str"/>
      <x:c r="AI18" s="18" t="str"/>
    </x:row>
    <x:row r="19" ht="15" hidden="0" customHeight="1">
      <x:c r="A19" s="17" t="str">
        <x:v>IMO-112</x:v>
      </x:c>
      <x:c r="B19" s="7" t="str">
        <x:v>IMO</x:v>
      </x:c>
      <x:c r="C19" s="7" t="str">
        <x:v>DIRECT_STATIC</x:v>
      </x:c>
      <x:c r="D19" s="7" t="str">
        <x:v>A02</x:v>
      </x:c>
      <x:c r="E19" s="8" t="str"/>
      <x:c r="F19" s="9" t="str"/>
      <x:c r="G19" s="8" t="str"/>
      <x:c r="H19" s="9" t="str"/>
      <x:c r="I19" s="8" t="str"/>
      <x:c r="J19" s="9" t="str"/>
      <x:c r="K19" s="8" t="str"/>
      <x:c r="L19" s="9" t="str"/>
      <x:c r="M19" s="8" t="str"/>
      <x:c r="N19" s="9" t="str"/>
      <x:c r="O19" s="8" t="str"/>
      <x:c r="P19" s="9" t="str"/>
      <x:c r="Q19" s="8" t="str"/>
      <x:c r="R19" s="9" t="str"/>
      <x:c r="S19" s="8" t="str"/>
      <x:c r="T19" s="9" t="str"/>
      <x:c r="U19" s="8" t="str"/>
      <x:c r="V19" s="9" t="str"/>
      <x:c r="W19" s="8" t="str"/>
      <x:c r="X19" s="9" t="str"/>
      <x:c r="Y19" s="6" t="str">
        <x:f>IF(COUNT(E19,G19,I19,K19,M19,O19,Q19)=7,SUM(E19,G19,I19,K19,M19,O19,Q19),"")</x:f>
      </x:c>
      <x:c r="Z19" s="10" t="str">
        <x:f>IF(Y19="","",Y19/14)</x:f>
      </x:c>
      <x:c r="AA19" s="6" t="str">
        <x:f>IF(COUNT(S19,U19,W19)=3,SUM(S19,U19,W19),"")</x:f>
      </x:c>
      <x:c r="AB19" s="10" t="str">
        <x:f>IF(AA19="","",AA19/6)</x:f>
      </x:c>
      <x:c r="AC19" s="8" t="str"/>
      <x:c r="AD19" s="8" t="str"/>
      <x:c r="AE19" s="12" t="str"/>
      <x:c r="AF19" s="8" t="str"/>
      <x:c r="AG19" s="8" t="str"/>
      <x:c r="AH19" s="8" t="str"/>
      <x:c r="AI19" s="18" t="str"/>
    </x:row>
    <x:row r="20" ht="15" hidden="0" customHeight="1">
      <x:c r="A20" s="17" t="str">
        <x:v>IMO-112</x:v>
      </x:c>
      <x:c r="B20" s="7" t="str">
        <x:v>IMO</x:v>
      </x:c>
      <x:c r="C20" s="7" t="str">
        <x:v>DIRECT_STATIC</x:v>
      </x:c>
      <x:c r="D20" s="7" t="str">
        <x:v>A03</x:v>
      </x:c>
      <x:c r="E20" s="8" t="str"/>
      <x:c r="F20" s="9" t="str"/>
      <x:c r="G20" s="8" t="str"/>
      <x:c r="H20" s="9" t="str"/>
      <x:c r="I20" s="8" t="str"/>
      <x:c r="J20" s="9" t="str"/>
      <x:c r="K20" s="8" t="str"/>
      <x:c r="L20" s="9" t="str"/>
      <x:c r="M20" s="8" t="str"/>
      <x:c r="N20" s="9" t="str"/>
      <x:c r="O20" s="8" t="str"/>
      <x:c r="P20" s="9" t="str"/>
      <x:c r="Q20" s="8" t="str"/>
      <x:c r="R20" s="9" t="str"/>
      <x:c r="S20" s="8" t="str"/>
      <x:c r="T20" s="9" t="str"/>
      <x:c r="U20" s="8" t="str"/>
      <x:c r="V20" s="9" t="str"/>
      <x:c r="W20" s="8" t="str"/>
      <x:c r="X20" s="9" t="str"/>
      <x:c r="Y20" s="6" t="str">
        <x:f>IF(COUNT(E20,G20,I20,K20,M20,O20,Q20)=7,SUM(E20,G20,I20,K20,M20,O20,Q20),"")</x:f>
      </x:c>
      <x:c r="Z20" s="10" t="str">
        <x:f>IF(Y20="","",Y20/14)</x:f>
      </x:c>
      <x:c r="AA20" s="6" t="str">
        <x:f>IF(COUNT(S20,U20,W20)=3,SUM(S20,U20,W20),"")</x:f>
      </x:c>
      <x:c r="AB20" s="10" t="str">
        <x:f>IF(AA20="","",AA20/6)</x:f>
      </x:c>
      <x:c r="AC20" s="8" t="str"/>
      <x:c r="AD20" s="8" t="str"/>
      <x:c r="AE20" s="12" t="str"/>
      <x:c r="AF20" s="8" t="str"/>
      <x:c r="AG20" s="8" t="str"/>
      <x:c r="AH20" s="8" t="str"/>
      <x:c r="AI20" s="18" t="str"/>
    </x:row>
    <x:row r="21" ht="15" hidden="0" customHeight="1">
      <x:c r="A21" s="17" t="str">
        <x:v>IMO-112</x:v>
      </x:c>
      <x:c r="B21" s="7" t="str">
        <x:v>IMO</x:v>
      </x:c>
      <x:c r="C21" s="7" t="str">
        <x:v>DIRECT_STATIC</x:v>
      </x:c>
      <x:c r="D21" s="7" t="str">
        <x:v>A04</x:v>
      </x:c>
      <x:c r="E21" s="8" t="str"/>
      <x:c r="F21" s="9" t="str"/>
      <x:c r="G21" s="8" t="str"/>
      <x:c r="H21" s="9" t="str"/>
      <x:c r="I21" s="8" t="str"/>
      <x:c r="J21" s="9" t="str"/>
      <x:c r="K21" s="8" t="str"/>
      <x:c r="L21" s="9" t="str"/>
      <x:c r="M21" s="8" t="str"/>
      <x:c r="N21" s="9" t="str"/>
      <x:c r="O21" s="8" t="str"/>
      <x:c r="P21" s="9" t="str"/>
      <x:c r="Q21" s="8" t="str"/>
      <x:c r="R21" s="9" t="str"/>
      <x:c r="S21" s="8" t="str"/>
      <x:c r="T21" s="9" t="str"/>
      <x:c r="U21" s="8" t="str"/>
      <x:c r="V21" s="9" t="str"/>
      <x:c r="W21" s="8" t="str"/>
      <x:c r="X21" s="9" t="str"/>
      <x:c r="Y21" s="6" t="str">
        <x:f>IF(COUNT(E21,G21,I21,K21,M21,O21,Q21)=7,SUM(E21,G21,I21,K21,M21,O21,Q21),"")</x:f>
      </x:c>
      <x:c r="Z21" s="10" t="str">
        <x:f>IF(Y21="","",Y21/14)</x:f>
      </x:c>
      <x:c r="AA21" s="6" t="str">
        <x:f>IF(COUNT(S21,U21,W21)=3,SUM(S21,U21,W21),"")</x:f>
      </x:c>
      <x:c r="AB21" s="10" t="str">
        <x:f>IF(AA21="","",AA21/6)</x:f>
      </x:c>
      <x:c r="AC21" s="8" t="str"/>
      <x:c r="AD21" s="8" t="str"/>
      <x:c r="AE21" s="12" t="str"/>
      <x:c r="AF21" s="8" t="str"/>
      <x:c r="AG21" s="8" t="str"/>
      <x:c r="AH21" s="8" t="str"/>
      <x:c r="AI21" s="18" t="str"/>
    </x:row>
    <x:row r="22" ht="15" hidden="0" customHeight="1">
      <x:c r="A22" s="17" t="str">
        <x:v>IMO-112</x:v>
      </x:c>
      <x:c r="B22" s="7" t="str">
        <x:v>IMO</x:v>
      </x:c>
      <x:c r="C22" s="7" t="str">
        <x:v>DIRECT_STATIC</x:v>
      </x:c>
      <x:c r="D22" s="7" t="str">
        <x:v>A05</x:v>
      </x:c>
      <x:c r="E22" s="8" t="str"/>
      <x:c r="F22" s="9" t="str"/>
      <x:c r="G22" s="8" t="str"/>
      <x:c r="H22" s="9" t="str"/>
      <x:c r="I22" s="8" t="str"/>
      <x:c r="J22" s="9" t="str"/>
      <x:c r="K22" s="8" t="str"/>
      <x:c r="L22" s="9" t="str"/>
      <x:c r="M22" s="8" t="str"/>
      <x:c r="N22" s="9" t="str"/>
      <x:c r="O22" s="8" t="str"/>
      <x:c r="P22" s="9" t="str"/>
      <x:c r="Q22" s="8" t="str"/>
      <x:c r="R22" s="9" t="str"/>
      <x:c r="S22" s="8" t="str"/>
      <x:c r="T22" s="9" t="str"/>
      <x:c r="U22" s="8" t="str"/>
      <x:c r="V22" s="9" t="str"/>
      <x:c r="W22" s="8" t="str"/>
      <x:c r="X22" s="9" t="str"/>
      <x:c r="Y22" s="6" t="str">
        <x:f>IF(COUNT(E22,G22,I22,K22,M22,O22,Q22)=7,SUM(E22,G22,I22,K22,M22,O22,Q22),"")</x:f>
      </x:c>
      <x:c r="Z22" s="10" t="str">
        <x:f>IF(Y22="","",Y22/14)</x:f>
      </x:c>
      <x:c r="AA22" s="6" t="str">
        <x:f>IF(COUNT(S22,U22,W22)=3,SUM(S22,U22,W22),"")</x:f>
      </x:c>
      <x:c r="AB22" s="10" t="str">
        <x:f>IF(AA22="","",AA22/6)</x:f>
      </x:c>
      <x:c r="AC22" s="8" t="str"/>
      <x:c r="AD22" s="8" t="str"/>
      <x:c r="AE22" s="12" t="str"/>
      <x:c r="AF22" s="8" t="str"/>
      <x:c r="AG22" s="8" t="str"/>
      <x:c r="AH22" s="8" t="str"/>
      <x:c r="AI22" s="18" t="str"/>
    </x:row>
    <x:row r="23" ht="15" hidden="0" customHeight="1">
      <x:c r="A23" s="17" t="str">
        <x:v>IMO-112</x:v>
      </x:c>
      <x:c r="B23" s="7" t="str">
        <x:v>IMO</x:v>
      </x:c>
      <x:c r="C23" s="7" t="str">
        <x:v>DIRECT_STATIC</x:v>
      </x:c>
      <x:c r="D23" s="7" t="str">
        <x:v>A06</x:v>
      </x:c>
      <x:c r="E23" s="8" t="str"/>
      <x:c r="F23" s="9" t="str"/>
      <x:c r="G23" s="8" t="str"/>
      <x:c r="H23" s="9" t="str"/>
      <x:c r="I23" s="8" t="str"/>
      <x:c r="J23" s="9" t="str"/>
      <x:c r="K23" s="8" t="str"/>
      <x:c r="L23" s="9" t="str"/>
      <x:c r="M23" s="8" t="str"/>
      <x:c r="N23" s="9" t="str"/>
      <x:c r="O23" s="8" t="str"/>
      <x:c r="P23" s="9" t="str"/>
      <x:c r="Q23" s="8" t="str"/>
      <x:c r="R23" s="9" t="str"/>
      <x:c r="S23" s="8" t="str"/>
      <x:c r="T23" s="9" t="str"/>
      <x:c r="U23" s="8" t="str"/>
      <x:c r="V23" s="9" t="str"/>
      <x:c r="W23" s="8" t="str"/>
      <x:c r="X23" s="9" t="str"/>
      <x:c r="Y23" s="6" t="str">
        <x:f>IF(COUNT(E23,G23,I23,K23,M23,O23,Q23)=7,SUM(E23,G23,I23,K23,M23,O23,Q23),"")</x:f>
      </x:c>
      <x:c r="Z23" s="10" t="str">
        <x:f>IF(Y23="","",Y23/14)</x:f>
      </x:c>
      <x:c r="AA23" s="6" t="str">
        <x:f>IF(COUNT(S23,U23,W23)=3,SUM(S23,U23,W23),"")</x:f>
      </x:c>
      <x:c r="AB23" s="10" t="str">
        <x:f>IF(AA23="","",AA23/6)</x:f>
      </x:c>
      <x:c r="AC23" s="8" t="str"/>
      <x:c r="AD23" s="8" t="str"/>
      <x:c r="AE23" s="12" t="str"/>
      <x:c r="AF23" s="8" t="str"/>
      <x:c r="AG23" s="8" t="str"/>
      <x:c r="AH23" s="8" t="str"/>
      <x:c r="AI23" s="18" t="str"/>
    </x:row>
    <x:row r="24" ht="15" hidden="0" customHeight="1">
      <x:c r="A24" s="17" t="str">
        <x:v>IMO-112</x:v>
      </x:c>
      <x:c r="B24" s="7" t="str">
        <x:v>IMO</x:v>
      </x:c>
      <x:c r="C24" s="7" t="str">
        <x:v>DIRECT_STATIC</x:v>
      </x:c>
      <x:c r="D24" s="7" t="str">
        <x:v>A07</x:v>
      </x:c>
      <x:c r="E24" s="8" t="str"/>
      <x:c r="F24" s="9" t="str"/>
      <x:c r="G24" s="8" t="str"/>
      <x:c r="H24" s="9" t="str"/>
      <x:c r="I24" s="8" t="str"/>
      <x:c r="J24" s="9" t="str"/>
      <x:c r="K24" s="8" t="str"/>
      <x:c r="L24" s="9" t="str"/>
      <x:c r="M24" s="8" t="str"/>
      <x:c r="N24" s="9" t="str"/>
      <x:c r="O24" s="8" t="str"/>
      <x:c r="P24" s="9" t="str"/>
      <x:c r="Q24" s="8" t="str"/>
      <x:c r="R24" s="9" t="str"/>
      <x:c r="S24" s="8" t="str"/>
      <x:c r="T24" s="9" t="str"/>
      <x:c r="U24" s="8" t="str"/>
      <x:c r="V24" s="9" t="str"/>
      <x:c r="W24" s="8" t="str"/>
      <x:c r="X24" s="9" t="str"/>
      <x:c r="Y24" s="6" t="str">
        <x:f>IF(COUNT(E24,G24,I24,K24,M24,O24,Q24)=7,SUM(E24,G24,I24,K24,M24,O24,Q24),"")</x:f>
      </x:c>
      <x:c r="Z24" s="10" t="str">
        <x:f>IF(Y24="","",Y24/14)</x:f>
      </x:c>
      <x:c r="AA24" s="6" t="str">
        <x:f>IF(COUNT(S24,U24,W24)=3,SUM(S24,U24,W24),"")</x:f>
      </x:c>
      <x:c r="AB24" s="10" t="str">
        <x:f>IF(AA24="","",AA24/6)</x:f>
      </x:c>
      <x:c r="AC24" s="8" t="str"/>
      <x:c r="AD24" s="8" t="str"/>
      <x:c r="AE24" s="12" t="str"/>
      <x:c r="AF24" s="8" t="str"/>
      <x:c r="AG24" s="8" t="str"/>
      <x:c r="AH24" s="8" t="str"/>
      <x:c r="AI24" s="18" t="str"/>
    </x:row>
    <x:row r="25" ht="15" hidden="0" customHeight="1">
      <x:c r="A25" s="17" t="str">
        <x:v>IMO-112</x:v>
      </x:c>
      <x:c r="B25" s="7" t="str">
        <x:v>IMO</x:v>
      </x:c>
      <x:c r="C25" s="7" t="str">
        <x:v>DIRECT_STATIC</x:v>
      </x:c>
      <x:c r="D25" s="7" t="str">
        <x:v>A08</x:v>
      </x:c>
      <x:c r="E25" s="8" t="str"/>
      <x:c r="F25" s="9" t="str"/>
      <x:c r="G25" s="8" t="str"/>
      <x:c r="H25" s="9" t="str"/>
      <x:c r="I25" s="8" t="str"/>
      <x:c r="J25" s="9" t="str"/>
      <x:c r="K25" s="8" t="str"/>
      <x:c r="L25" s="9" t="str"/>
      <x:c r="M25" s="8" t="str"/>
      <x:c r="N25" s="9" t="str"/>
      <x:c r="O25" s="8" t="str"/>
      <x:c r="P25" s="9" t="str"/>
      <x:c r="Q25" s="8" t="str"/>
      <x:c r="R25" s="9" t="str"/>
      <x:c r="S25" s="8" t="str"/>
      <x:c r="T25" s="9" t="str"/>
      <x:c r="U25" s="8" t="str"/>
      <x:c r="V25" s="9" t="str"/>
      <x:c r="W25" s="8" t="str"/>
      <x:c r="X25" s="9" t="str"/>
      <x:c r="Y25" s="6" t="str">
        <x:f>IF(COUNT(E25,G25,I25,K25,M25,O25,Q25)=7,SUM(E25,G25,I25,K25,M25,O25,Q25),"")</x:f>
      </x:c>
      <x:c r="Z25" s="10" t="str">
        <x:f>IF(Y25="","",Y25/14)</x:f>
      </x:c>
      <x:c r="AA25" s="6" t="str">
        <x:f>IF(COUNT(S25,U25,W25)=3,SUM(S25,U25,W25),"")</x:f>
      </x:c>
      <x:c r="AB25" s="10" t="str">
        <x:f>IF(AA25="","",AA25/6)</x:f>
      </x:c>
      <x:c r="AC25" s="8" t="str"/>
      <x:c r="AD25" s="8" t="str"/>
      <x:c r="AE25" s="12" t="str"/>
      <x:c r="AF25" s="8" t="str"/>
      <x:c r="AG25" s="8" t="str"/>
      <x:c r="AH25" s="8" t="str"/>
      <x:c r="AI25" s="18" t="str"/>
    </x:row>
    <x:row r="26" ht="15" hidden="0" customHeight="1">
      <x:c r="A26" s="17" t="str">
        <x:v>IMO26-014</x:v>
      </x:c>
      <x:c r="B26" s="7" t="str">
        <x:v>IMO26</x:v>
      </x:c>
      <x:c r="C26" s="7" t="str">
        <x:v>DIRECT_STATIC</x:v>
      </x:c>
      <x:c r="D26" s="7" t="str">
        <x:v>A01</x:v>
      </x:c>
      <x:c r="E26" s="8" t="str"/>
      <x:c r="F26" s="9" t="str"/>
      <x:c r="G26" s="8" t="str"/>
      <x:c r="H26" s="9" t="str"/>
      <x:c r="I26" s="8" t="str"/>
      <x:c r="J26" s="9" t="str"/>
      <x:c r="K26" s="8" t="str"/>
      <x:c r="L26" s="9" t="str"/>
      <x:c r="M26" s="8" t="str"/>
      <x:c r="N26" s="9" t="str"/>
      <x:c r="O26" s="8" t="str"/>
      <x:c r="P26" s="9" t="str"/>
      <x:c r="Q26" s="8" t="str"/>
      <x:c r="R26" s="9" t="str"/>
      <x:c r="S26" s="8" t="str"/>
      <x:c r="T26" s="9" t="str"/>
      <x:c r="U26" s="8" t="str"/>
      <x:c r="V26" s="9" t="str"/>
      <x:c r="W26" s="8" t="str"/>
      <x:c r="X26" s="9" t="str"/>
      <x:c r="Y26" s="6" t="str">
        <x:f>IF(COUNT(E26,G26,I26,K26,M26,O26,Q26)=7,SUM(E26,G26,I26,K26,M26,O26,Q26),"")</x:f>
      </x:c>
      <x:c r="Z26" s="10" t="str">
        <x:f>IF(Y26="","",Y26/14)</x:f>
      </x:c>
      <x:c r="AA26" s="6" t="str">
        <x:f>IF(COUNT(S26,U26,W26)=3,SUM(S26,U26,W26),"")</x:f>
      </x:c>
      <x:c r="AB26" s="10" t="str">
        <x:f>IF(AA26="","",AA26/6)</x:f>
      </x:c>
      <x:c r="AC26" s="8" t="str"/>
      <x:c r="AD26" s="8" t="str"/>
      <x:c r="AE26" s="12" t="str"/>
      <x:c r="AF26" s="8" t="str"/>
      <x:c r="AG26" s="8" t="str"/>
      <x:c r="AH26" s="8" t="str"/>
      <x:c r="AI26" s="18" t="str"/>
    </x:row>
    <x:row r="27" ht="15" hidden="0" customHeight="1">
      <x:c r="A27" s="17" t="str">
        <x:v>IMO26-014</x:v>
      </x:c>
      <x:c r="B27" s="7" t="str">
        <x:v>IMO26</x:v>
      </x:c>
      <x:c r="C27" s="7" t="str">
        <x:v>DIRECT_STATIC</x:v>
      </x:c>
      <x:c r="D27" s="7" t="str">
        <x:v>A02</x:v>
      </x:c>
      <x:c r="E27" s="8" t="str"/>
      <x:c r="F27" s="9" t="str"/>
      <x:c r="G27" s="8" t="str"/>
      <x:c r="H27" s="9" t="str"/>
      <x:c r="I27" s="8" t="str"/>
      <x:c r="J27" s="9" t="str"/>
      <x:c r="K27" s="8" t="str"/>
      <x:c r="L27" s="9" t="str"/>
      <x:c r="M27" s="8" t="str"/>
      <x:c r="N27" s="9" t="str"/>
      <x:c r="O27" s="8" t="str"/>
      <x:c r="P27" s="9" t="str"/>
      <x:c r="Q27" s="8" t="str"/>
      <x:c r="R27" s="9" t="str"/>
      <x:c r="S27" s="8" t="str"/>
      <x:c r="T27" s="9" t="str"/>
      <x:c r="U27" s="8" t="str"/>
      <x:c r="V27" s="9" t="str"/>
      <x:c r="W27" s="8" t="str"/>
      <x:c r="X27" s="9" t="str"/>
      <x:c r="Y27" s="6" t="str">
        <x:f>IF(COUNT(E27,G27,I27,K27,M27,O27,Q27)=7,SUM(E27,G27,I27,K27,M27,O27,Q27),"")</x:f>
      </x:c>
      <x:c r="Z27" s="10" t="str">
        <x:f>IF(Y27="","",Y27/14)</x:f>
      </x:c>
      <x:c r="AA27" s="6" t="str">
        <x:f>IF(COUNT(S27,U27,W27)=3,SUM(S27,U27,W27),"")</x:f>
      </x:c>
      <x:c r="AB27" s="10" t="str">
        <x:f>IF(AA27="","",AA27/6)</x:f>
      </x:c>
      <x:c r="AC27" s="8" t="str"/>
      <x:c r="AD27" s="8" t="str"/>
      <x:c r="AE27" s="12" t="str"/>
      <x:c r="AF27" s="8" t="str"/>
      <x:c r="AG27" s="8" t="str"/>
      <x:c r="AH27" s="8" t="str"/>
      <x:c r="AI27" s="18" t="str"/>
    </x:row>
    <x:row r="28" ht="15" hidden="0" customHeight="1">
      <x:c r="A28" s="17" t="str">
        <x:v>IMO26-014</x:v>
      </x:c>
      <x:c r="B28" s="7" t="str">
        <x:v>IMO26</x:v>
      </x:c>
      <x:c r="C28" s="7" t="str">
        <x:v>DIRECT_STATIC</x:v>
      </x:c>
      <x:c r="D28" s="7" t="str">
        <x:v>A03</x:v>
      </x:c>
      <x:c r="E28" s="8" t="str"/>
      <x:c r="F28" s="9" t="str"/>
      <x:c r="G28" s="8" t="str"/>
      <x:c r="H28" s="9" t="str"/>
      <x:c r="I28" s="8" t="str"/>
      <x:c r="J28" s="9" t="str"/>
      <x:c r="K28" s="8" t="str"/>
      <x:c r="L28" s="9" t="str"/>
      <x:c r="M28" s="8" t="str"/>
      <x:c r="N28" s="9" t="str"/>
      <x:c r="O28" s="8" t="str"/>
      <x:c r="P28" s="9" t="str"/>
      <x:c r="Q28" s="8" t="str"/>
      <x:c r="R28" s="9" t="str"/>
      <x:c r="S28" s="8" t="str"/>
      <x:c r="T28" s="9" t="str"/>
      <x:c r="U28" s="8" t="str"/>
      <x:c r="V28" s="9" t="str"/>
      <x:c r="W28" s="8" t="str"/>
      <x:c r="X28" s="9" t="str"/>
      <x:c r="Y28" s="6" t="str">
        <x:f>IF(COUNT(E28,G28,I28,K28,M28,O28,Q28)=7,SUM(E28,G28,I28,K28,M28,O28,Q28),"")</x:f>
      </x:c>
      <x:c r="Z28" s="10" t="str">
        <x:f>IF(Y28="","",Y28/14)</x:f>
      </x:c>
      <x:c r="AA28" s="6" t="str">
        <x:f>IF(COUNT(S28,U28,W28)=3,SUM(S28,U28,W28),"")</x:f>
      </x:c>
      <x:c r="AB28" s="10" t="str">
        <x:f>IF(AA28="","",AA28/6)</x:f>
      </x:c>
      <x:c r="AC28" s="8" t="str"/>
      <x:c r="AD28" s="8" t="str"/>
      <x:c r="AE28" s="12" t="str"/>
      <x:c r="AF28" s="8" t="str"/>
      <x:c r="AG28" s="8" t="str"/>
      <x:c r="AH28" s="8" t="str"/>
      <x:c r="AI28" s="18" t="str"/>
    </x:row>
    <x:row r="29" ht="15" hidden="0" customHeight="1">
      <x:c r="A29" s="17" t="str">
        <x:v>IMO26-014</x:v>
      </x:c>
      <x:c r="B29" s="7" t="str">
        <x:v>IMO26</x:v>
      </x:c>
      <x:c r="C29" s="7" t="str">
        <x:v>DIRECT_STATIC</x:v>
      </x:c>
      <x:c r="D29" s="7" t="str">
        <x:v>A04</x:v>
      </x:c>
      <x:c r="E29" s="8" t="str"/>
      <x:c r="F29" s="9" t="str"/>
      <x:c r="G29" s="8" t="str"/>
      <x:c r="H29" s="9" t="str"/>
      <x:c r="I29" s="8" t="str"/>
      <x:c r="J29" s="9" t="str"/>
      <x:c r="K29" s="8" t="str"/>
      <x:c r="L29" s="9" t="str"/>
      <x:c r="M29" s="8" t="str"/>
      <x:c r="N29" s="9" t="str"/>
      <x:c r="O29" s="8" t="str"/>
      <x:c r="P29" s="9" t="str"/>
      <x:c r="Q29" s="8" t="str"/>
      <x:c r="R29" s="9" t="str"/>
      <x:c r="S29" s="8" t="str"/>
      <x:c r="T29" s="9" t="str"/>
      <x:c r="U29" s="8" t="str"/>
      <x:c r="V29" s="9" t="str"/>
      <x:c r="W29" s="8" t="str"/>
      <x:c r="X29" s="9" t="str"/>
      <x:c r="Y29" s="6" t="str">
        <x:f>IF(COUNT(E29,G29,I29,K29,M29,O29,Q29)=7,SUM(E29,G29,I29,K29,M29,O29,Q29),"")</x:f>
      </x:c>
      <x:c r="Z29" s="10" t="str">
        <x:f>IF(Y29="","",Y29/14)</x:f>
      </x:c>
      <x:c r="AA29" s="6" t="str">
        <x:f>IF(COUNT(S29,U29,W29)=3,SUM(S29,U29,W29),"")</x:f>
      </x:c>
      <x:c r="AB29" s="10" t="str">
        <x:f>IF(AA29="","",AA29/6)</x:f>
      </x:c>
      <x:c r="AC29" s="8" t="str"/>
      <x:c r="AD29" s="8" t="str"/>
      <x:c r="AE29" s="12" t="str"/>
      <x:c r="AF29" s="8" t="str"/>
      <x:c r="AG29" s="8" t="str"/>
      <x:c r="AH29" s="8" t="str"/>
      <x:c r="AI29" s="18" t="str"/>
    </x:row>
    <x:row r="30" ht="15" hidden="0" customHeight="1">
      <x:c r="A30" s="17" t="str">
        <x:v>IMO26-014</x:v>
      </x:c>
      <x:c r="B30" s="7" t="str">
        <x:v>IMO26</x:v>
      </x:c>
      <x:c r="C30" s="7" t="str">
        <x:v>DIRECT_STATIC</x:v>
      </x:c>
      <x:c r="D30" s="7" t="str">
        <x:v>A05</x:v>
      </x:c>
      <x:c r="E30" s="8" t="str"/>
      <x:c r="F30" s="9" t="str"/>
      <x:c r="G30" s="8" t="str"/>
      <x:c r="H30" s="9" t="str"/>
      <x:c r="I30" s="8" t="str"/>
      <x:c r="J30" s="9" t="str"/>
      <x:c r="K30" s="8" t="str"/>
      <x:c r="L30" s="9" t="str"/>
      <x:c r="M30" s="8" t="str"/>
      <x:c r="N30" s="9" t="str"/>
      <x:c r="O30" s="8" t="str"/>
      <x:c r="P30" s="9" t="str"/>
      <x:c r="Q30" s="8" t="str"/>
      <x:c r="R30" s="9" t="str"/>
      <x:c r="S30" s="8" t="str"/>
      <x:c r="T30" s="9" t="str"/>
      <x:c r="U30" s="8" t="str"/>
      <x:c r="V30" s="9" t="str"/>
      <x:c r="W30" s="8" t="str"/>
      <x:c r="X30" s="9" t="str"/>
      <x:c r="Y30" s="6" t="str">
        <x:f>IF(COUNT(E30,G30,I30,K30,M30,O30,Q30)=7,SUM(E30,G30,I30,K30,M30,O30,Q30),"")</x:f>
      </x:c>
      <x:c r="Z30" s="10" t="str">
        <x:f>IF(Y30="","",Y30/14)</x:f>
      </x:c>
      <x:c r="AA30" s="6" t="str">
        <x:f>IF(COUNT(S30,U30,W30)=3,SUM(S30,U30,W30),"")</x:f>
      </x:c>
      <x:c r="AB30" s="10" t="str">
        <x:f>IF(AA30="","",AA30/6)</x:f>
      </x:c>
      <x:c r="AC30" s="8" t="str"/>
      <x:c r="AD30" s="8" t="str"/>
      <x:c r="AE30" s="12" t="str"/>
      <x:c r="AF30" s="8" t="str"/>
      <x:c r="AG30" s="8" t="str"/>
      <x:c r="AH30" s="8" t="str"/>
      <x:c r="AI30" s="18" t="str"/>
    </x:row>
    <x:row r="31" ht="15" hidden="0" customHeight="1">
      <x:c r="A31" s="17" t="str">
        <x:v>IMO26-014</x:v>
      </x:c>
      <x:c r="B31" s="7" t="str">
        <x:v>IMO26</x:v>
      </x:c>
      <x:c r="C31" s="7" t="str">
        <x:v>DIRECT_STATIC</x:v>
      </x:c>
      <x:c r="D31" s="7" t="str">
        <x:v>A06</x:v>
      </x:c>
      <x:c r="E31" s="8" t="str"/>
      <x:c r="F31" s="9" t="str"/>
      <x:c r="G31" s="8" t="str"/>
      <x:c r="H31" s="9" t="str"/>
      <x:c r="I31" s="8" t="str"/>
      <x:c r="J31" s="9" t="str"/>
      <x:c r="K31" s="8" t="str"/>
      <x:c r="L31" s="9" t="str"/>
      <x:c r="M31" s="8" t="str"/>
      <x:c r="N31" s="9" t="str"/>
      <x:c r="O31" s="8" t="str"/>
      <x:c r="P31" s="9" t="str"/>
      <x:c r="Q31" s="8" t="str"/>
      <x:c r="R31" s="9" t="str"/>
      <x:c r="S31" s="8" t="str"/>
      <x:c r="T31" s="9" t="str"/>
      <x:c r="U31" s="8" t="str"/>
      <x:c r="V31" s="9" t="str"/>
      <x:c r="W31" s="8" t="str"/>
      <x:c r="X31" s="9" t="str"/>
      <x:c r="Y31" s="6" t="str">
        <x:f>IF(COUNT(E31,G31,I31,K31,M31,O31,Q31)=7,SUM(E31,G31,I31,K31,M31,O31,Q31),"")</x:f>
      </x:c>
      <x:c r="Z31" s="10" t="str">
        <x:f>IF(Y31="","",Y31/14)</x:f>
      </x:c>
      <x:c r="AA31" s="6" t="str">
        <x:f>IF(COUNT(S31,U31,W31)=3,SUM(S31,U31,W31),"")</x:f>
      </x:c>
      <x:c r="AB31" s="10" t="str">
        <x:f>IF(AA31="","",AA31/6)</x:f>
      </x:c>
      <x:c r="AC31" s="8" t="str"/>
      <x:c r="AD31" s="8" t="str"/>
      <x:c r="AE31" s="12" t="str"/>
      <x:c r="AF31" s="8" t="str"/>
      <x:c r="AG31" s="8" t="str"/>
      <x:c r="AH31" s="8" t="str"/>
      <x:c r="AI31" s="18" t="str"/>
    </x:row>
    <x:row r="32" ht="15" hidden="0" customHeight="1">
      <x:c r="A32" s="17" t="str">
        <x:v>IMO26-014</x:v>
      </x:c>
      <x:c r="B32" s="7" t="str">
        <x:v>IMO26</x:v>
      </x:c>
      <x:c r="C32" s="7" t="str">
        <x:v>DIRECT_STATIC</x:v>
      </x:c>
      <x:c r="D32" s="7" t="str">
        <x:v>A07</x:v>
      </x:c>
      <x:c r="E32" s="8" t="str"/>
      <x:c r="F32" s="9" t="str"/>
      <x:c r="G32" s="8" t="str"/>
      <x:c r="H32" s="9" t="str"/>
      <x:c r="I32" s="8" t="str"/>
      <x:c r="J32" s="9" t="str"/>
      <x:c r="K32" s="8" t="str"/>
      <x:c r="L32" s="9" t="str"/>
      <x:c r="M32" s="8" t="str"/>
      <x:c r="N32" s="9" t="str"/>
      <x:c r="O32" s="8" t="str"/>
      <x:c r="P32" s="9" t="str"/>
      <x:c r="Q32" s="8" t="str"/>
      <x:c r="R32" s="9" t="str"/>
      <x:c r="S32" s="8" t="str"/>
      <x:c r="T32" s="9" t="str"/>
      <x:c r="U32" s="8" t="str"/>
      <x:c r="V32" s="9" t="str"/>
      <x:c r="W32" s="8" t="str"/>
      <x:c r="X32" s="9" t="str"/>
      <x:c r="Y32" s="6" t="str">
        <x:f>IF(COUNT(E32,G32,I32,K32,M32,O32,Q32)=7,SUM(E32,G32,I32,K32,M32,O32,Q32),"")</x:f>
      </x:c>
      <x:c r="Z32" s="10" t="str">
        <x:f>IF(Y32="","",Y32/14)</x:f>
      </x:c>
      <x:c r="AA32" s="6" t="str">
        <x:f>IF(COUNT(S32,U32,W32)=3,SUM(S32,U32,W32),"")</x:f>
      </x:c>
      <x:c r="AB32" s="10" t="str">
        <x:f>IF(AA32="","",AA32/6)</x:f>
      </x:c>
      <x:c r="AC32" s="8" t="str"/>
      <x:c r="AD32" s="8" t="str"/>
      <x:c r="AE32" s="12" t="str"/>
      <x:c r="AF32" s="8" t="str"/>
      <x:c r="AG32" s="8" t="str"/>
      <x:c r="AH32" s="8" t="str"/>
      <x:c r="AI32" s="18" t="str"/>
    </x:row>
    <x:row r="33" ht="15" hidden="0" customHeight="1">
      <x:c r="A33" s="17" t="str">
        <x:v>IMO26-014</x:v>
      </x:c>
      <x:c r="B33" s="7" t="str">
        <x:v>IMO26</x:v>
      </x:c>
      <x:c r="C33" s="7" t="str">
        <x:v>DIRECT_STATIC</x:v>
      </x:c>
      <x:c r="D33" s="7" t="str">
        <x:v>A08</x:v>
      </x:c>
      <x:c r="E33" s="8" t="str"/>
      <x:c r="F33" s="9" t="str"/>
      <x:c r="G33" s="8" t="str"/>
      <x:c r="H33" s="9" t="str"/>
      <x:c r="I33" s="8" t="str"/>
      <x:c r="J33" s="9" t="str"/>
      <x:c r="K33" s="8" t="str"/>
      <x:c r="L33" s="9" t="str"/>
      <x:c r="M33" s="8" t="str"/>
      <x:c r="N33" s="9" t="str"/>
      <x:c r="O33" s="8" t="str"/>
      <x:c r="P33" s="9" t="str"/>
      <x:c r="Q33" s="8" t="str"/>
      <x:c r="R33" s="9" t="str"/>
      <x:c r="S33" s="8" t="str"/>
      <x:c r="T33" s="9" t="str"/>
      <x:c r="U33" s="8" t="str"/>
      <x:c r="V33" s="9" t="str"/>
      <x:c r="W33" s="8" t="str"/>
      <x:c r="X33" s="9" t="str"/>
      <x:c r="Y33" s="6" t="str">
        <x:f>IF(COUNT(E33,G33,I33,K33,M33,O33,Q33)=7,SUM(E33,G33,I33,K33,M33,O33,Q33),"")</x:f>
      </x:c>
      <x:c r="Z33" s="10" t="str">
        <x:f>IF(Y33="","",Y33/14)</x:f>
      </x:c>
      <x:c r="AA33" s="6" t="str">
        <x:f>IF(COUNT(S33,U33,W33)=3,SUM(S33,U33,W33),"")</x:f>
      </x:c>
      <x:c r="AB33" s="10" t="str">
        <x:f>IF(AA33="","",AA33/6)</x:f>
      </x:c>
      <x:c r="AC33" s="8" t="str"/>
      <x:c r="AD33" s="8" t="str"/>
      <x:c r="AE33" s="12" t="str"/>
      <x:c r="AF33" s="8" t="str"/>
      <x:c r="AG33" s="8" t="str"/>
      <x:c r="AH33" s="8" t="str"/>
      <x:c r="AI33" s="18" t="str"/>
    </x:row>
    <x:row r="34" ht="15" hidden="0" customHeight="1">
      <x:c r="A34" s="17" t="str">
        <x:v>I2-051</x:v>
      </x:c>
      <x:c r="B34" s="7" t="str">
        <x:v>I2</x:v>
      </x:c>
      <x:c r="C34" s="7" t="str">
        <x:v>DIRECT_CALCULATION</x:v>
      </x:c>
      <x:c r="D34" s="7" t="str">
        <x:v>A01</x:v>
      </x:c>
      <x:c r="E34" s="8" t="str"/>
      <x:c r="F34" s="9" t="str"/>
      <x:c r="G34" s="8" t="str"/>
      <x:c r="H34" s="9" t="str"/>
      <x:c r="I34" s="8" t="str"/>
      <x:c r="J34" s="9" t="str"/>
      <x:c r="K34" s="8" t="str"/>
      <x:c r="L34" s="9" t="str"/>
      <x:c r="M34" s="8" t="str"/>
      <x:c r="N34" s="9" t="str"/>
      <x:c r="O34" s="8" t="str"/>
      <x:c r="P34" s="9" t="str"/>
      <x:c r="Q34" s="8" t="str"/>
      <x:c r="R34" s="9" t="str"/>
      <x:c r="S34" s="8" t="str"/>
      <x:c r="T34" s="9" t="str"/>
      <x:c r="U34" s="8" t="str"/>
      <x:c r="V34" s="9" t="str"/>
      <x:c r="W34" s="8" t="str"/>
      <x:c r="X34" s="9" t="str"/>
      <x:c r="Y34" s="6" t="str">
        <x:f>IF(COUNT(E34,G34,I34,K34,M34,O34,Q34)=7,SUM(E34,G34,I34,K34,M34,O34,Q34),"")</x:f>
      </x:c>
      <x:c r="Z34" s="10" t="str">
        <x:f>IF(Y34="","",Y34/14)</x:f>
      </x:c>
      <x:c r="AA34" s="6" t="str">
        <x:f>IF(COUNT(S34,U34,W34)=3,SUM(S34,U34,W34),"")</x:f>
      </x:c>
      <x:c r="AB34" s="10" t="str">
        <x:f>IF(AA34="","",AA34/6)</x:f>
      </x:c>
      <x:c r="AC34" s="8" t="str"/>
      <x:c r="AD34" s="8" t="str"/>
      <x:c r="AE34" s="12" t="str"/>
      <x:c r="AF34" s="8" t="str"/>
      <x:c r="AG34" s="8" t="str"/>
      <x:c r="AH34" s="8" t="str"/>
      <x:c r="AI34" s="18" t="str"/>
    </x:row>
    <x:row r="35" ht="15" hidden="0" customHeight="1">
      <x:c r="A35" s="17" t="str">
        <x:v>I2-051</x:v>
      </x:c>
      <x:c r="B35" s="7" t="str">
        <x:v>I2</x:v>
      </x:c>
      <x:c r="C35" s="7" t="str">
        <x:v>DIRECT_CALCULATION</x:v>
      </x:c>
      <x:c r="D35" s="7" t="str">
        <x:v>A02</x:v>
      </x:c>
      <x:c r="E35" s="8" t="str"/>
      <x:c r="F35" s="9" t="str"/>
      <x:c r="G35" s="8" t="str"/>
      <x:c r="H35" s="9" t="str"/>
      <x:c r="I35" s="8" t="str"/>
      <x:c r="J35" s="9" t="str"/>
      <x:c r="K35" s="8" t="str"/>
      <x:c r="L35" s="9" t="str"/>
      <x:c r="M35" s="8" t="str"/>
      <x:c r="N35" s="9" t="str"/>
      <x:c r="O35" s="8" t="str"/>
      <x:c r="P35" s="9" t="str"/>
      <x:c r="Q35" s="8" t="str"/>
      <x:c r="R35" s="9" t="str"/>
      <x:c r="S35" s="8" t="str"/>
      <x:c r="T35" s="9" t="str"/>
      <x:c r="U35" s="8" t="str"/>
      <x:c r="V35" s="9" t="str"/>
      <x:c r="W35" s="8" t="str"/>
      <x:c r="X35" s="9" t="str"/>
      <x:c r="Y35" s="6" t="str">
        <x:f>IF(COUNT(E35,G35,I35,K35,M35,O35,Q35)=7,SUM(E35,G35,I35,K35,M35,O35,Q35),"")</x:f>
      </x:c>
      <x:c r="Z35" s="10" t="str">
        <x:f>IF(Y35="","",Y35/14)</x:f>
      </x:c>
      <x:c r="AA35" s="6" t="str">
        <x:f>IF(COUNT(S35,U35,W35)=3,SUM(S35,U35,W35),"")</x:f>
      </x:c>
      <x:c r="AB35" s="10" t="str">
        <x:f>IF(AA35="","",AA35/6)</x:f>
      </x:c>
      <x:c r="AC35" s="8" t="str"/>
      <x:c r="AD35" s="8" t="str"/>
      <x:c r="AE35" s="12" t="str"/>
      <x:c r="AF35" s="8" t="str"/>
      <x:c r="AG35" s="8" t="str"/>
      <x:c r="AH35" s="8" t="str"/>
      <x:c r="AI35" s="18" t="str"/>
    </x:row>
    <x:row r="36" ht="15" hidden="0" customHeight="1">
      <x:c r="A36" s="17" t="str">
        <x:v>I2-051</x:v>
      </x:c>
      <x:c r="B36" s="7" t="str">
        <x:v>I2</x:v>
      </x:c>
      <x:c r="C36" s="7" t="str">
        <x:v>DIRECT_CALCULATION</x:v>
      </x:c>
      <x:c r="D36" s="7" t="str">
        <x:v>A03</x:v>
      </x:c>
      <x:c r="E36" s="8" t="str"/>
      <x:c r="F36" s="9" t="str"/>
      <x:c r="G36" s="8" t="str"/>
      <x:c r="H36" s="9" t="str"/>
      <x:c r="I36" s="8" t="str"/>
      <x:c r="J36" s="9" t="str"/>
      <x:c r="K36" s="8" t="str"/>
      <x:c r="L36" s="9" t="str"/>
      <x:c r="M36" s="8" t="str"/>
      <x:c r="N36" s="9" t="str"/>
      <x:c r="O36" s="8" t="str"/>
      <x:c r="P36" s="9" t="str"/>
      <x:c r="Q36" s="8" t="str"/>
      <x:c r="R36" s="9" t="str"/>
      <x:c r="S36" s="8" t="str"/>
      <x:c r="T36" s="9" t="str"/>
      <x:c r="U36" s="8" t="str"/>
      <x:c r="V36" s="9" t="str"/>
      <x:c r="W36" s="8" t="str"/>
      <x:c r="X36" s="9" t="str"/>
      <x:c r="Y36" s="6" t="str">
        <x:f>IF(COUNT(E36,G36,I36,K36,M36,O36,Q36)=7,SUM(E36,G36,I36,K36,M36,O36,Q36),"")</x:f>
      </x:c>
      <x:c r="Z36" s="10" t="str">
        <x:f>IF(Y36="","",Y36/14)</x:f>
      </x:c>
      <x:c r="AA36" s="6" t="str">
        <x:f>IF(COUNT(S36,U36,W36)=3,SUM(S36,U36,W36),"")</x:f>
      </x:c>
      <x:c r="AB36" s="10" t="str">
        <x:f>IF(AA36="","",AA36/6)</x:f>
      </x:c>
      <x:c r="AC36" s="8" t="str"/>
      <x:c r="AD36" s="8" t="str"/>
      <x:c r="AE36" s="12" t="str"/>
      <x:c r="AF36" s="8" t="str"/>
      <x:c r="AG36" s="8" t="str"/>
      <x:c r="AH36" s="8" t="str"/>
      <x:c r="AI36" s="18" t="str"/>
    </x:row>
    <x:row r="37" ht="15" hidden="0" customHeight="1">
      <x:c r="A37" s="17" t="str">
        <x:v>I2-051</x:v>
      </x:c>
      <x:c r="B37" s="7" t="str">
        <x:v>I2</x:v>
      </x:c>
      <x:c r="C37" s="7" t="str">
        <x:v>DIRECT_CALCULATION</x:v>
      </x:c>
      <x:c r="D37" s="7" t="str">
        <x:v>A04</x:v>
      </x:c>
      <x:c r="E37" s="8" t="str"/>
      <x:c r="F37" s="9" t="str"/>
      <x:c r="G37" s="8" t="str"/>
      <x:c r="H37" s="9" t="str"/>
      <x:c r="I37" s="8" t="str"/>
      <x:c r="J37" s="9" t="str"/>
      <x:c r="K37" s="8" t="str"/>
      <x:c r="L37" s="9" t="str"/>
      <x:c r="M37" s="8" t="str"/>
      <x:c r="N37" s="9" t="str"/>
      <x:c r="O37" s="8" t="str"/>
      <x:c r="P37" s="9" t="str"/>
      <x:c r="Q37" s="8" t="str"/>
      <x:c r="R37" s="9" t="str"/>
      <x:c r="S37" s="8" t="str"/>
      <x:c r="T37" s="9" t="str"/>
      <x:c r="U37" s="8" t="str"/>
      <x:c r="V37" s="9" t="str"/>
      <x:c r="W37" s="8" t="str"/>
      <x:c r="X37" s="9" t="str"/>
      <x:c r="Y37" s="6" t="str">
        <x:f>IF(COUNT(E37,G37,I37,K37,M37,O37,Q37)=7,SUM(E37,G37,I37,K37,M37,O37,Q37),"")</x:f>
      </x:c>
      <x:c r="Z37" s="10" t="str">
        <x:f>IF(Y37="","",Y37/14)</x:f>
      </x:c>
      <x:c r="AA37" s="6" t="str">
        <x:f>IF(COUNT(S37,U37,W37)=3,SUM(S37,U37,W37),"")</x:f>
      </x:c>
      <x:c r="AB37" s="10" t="str">
        <x:f>IF(AA37="","",AA37/6)</x:f>
      </x:c>
      <x:c r="AC37" s="8" t="str"/>
      <x:c r="AD37" s="8" t="str"/>
      <x:c r="AE37" s="12" t="str"/>
      <x:c r="AF37" s="8" t="str"/>
      <x:c r="AG37" s="8" t="str"/>
      <x:c r="AH37" s="8" t="str"/>
      <x:c r="AI37" s="18" t="str"/>
    </x:row>
    <x:row r="38" ht="15" hidden="0" customHeight="1">
      <x:c r="A38" s="17" t="str">
        <x:v>I2-051</x:v>
      </x:c>
      <x:c r="B38" s="7" t="str">
        <x:v>I2</x:v>
      </x:c>
      <x:c r="C38" s="7" t="str">
        <x:v>DIRECT_CALCULATION</x:v>
      </x:c>
      <x:c r="D38" s="7" t="str">
        <x:v>A05</x:v>
      </x:c>
      <x:c r="E38" s="8" t="str"/>
      <x:c r="F38" s="9" t="str"/>
      <x:c r="G38" s="8" t="str"/>
      <x:c r="H38" s="9" t="str"/>
      <x:c r="I38" s="8" t="str"/>
      <x:c r="J38" s="9" t="str"/>
      <x:c r="K38" s="8" t="str"/>
      <x:c r="L38" s="9" t="str"/>
      <x:c r="M38" s="8" t="str"/>
      <x:c r="N38" s="9" t="str"/>
      <x:c r="O38" s="8" t="str"/>
      <x:c r="P38" s="9" t="str"/>
      <x:c r="Q38" s="8" t="str"/>
      <x:c r="R38" s="9" t="str"/>
      <x:c r="S38" s="8" t="str"/>
      <x:c r="T38" s="9" t="str"/>
      <x:c r="U38" s="8" t="str"/>
      <x:c r="V38" s="9" t="str"/>
      <x:c r="W38" s="8" t="str"/>
      <x:c r="X38" s="9" t="str"/>
      <x:c r="Y38" s="6" t="str">
        <x:f>IF(COUNT(E38,G38,I38,K38,M38,O38,Q38)=7,SUM(E38,G38,I38,K38,M38,O38,Q38),"")</x:f>
      </x:c>
      <x:c r="Z38" s="10" t="str">
        <x:f>IF(Y38="","",Y38/14)</x:f>
      </x:c>
      <x:c r="AA38" s="6" t="str">
        <x:f>IF(COUNT(S38,U38,W38)=3,SUM(S38,U38,W38),"")</x:f>
      </x:c>
      <x:c r="AB38" s="10" t="str">
        <x:f>IF(AA38="","",AA38/6)</x:f>
      </x:c>
      <x:c r="AC38" s="8" t="str"/>
      <x:c r="AD38" s="8" t="str"/>
      <x:c r="AE38" s="12" t="str"/>
      <x:c r="AF38" s="8" t="str"/>
      <x:c r="AG38" s="8" t="str"/>
      <x:c r="AH38" s="8" t="str"/>
      <x:c r="AI38" s="18" t="str"/>
    </x:row>
    <x:row r="39" ht="15" hidden="0" customHeight="1">
      <x:c r="A39" s="17" t="str">
        <x:v>I2-051</x:v>
      </x:c>
      <x:c r="B39" s="7" t="str">
        <x:v>I2</x:v>
      </x:c>
      <x:c r="C39" s="7" t="str">
        <x:v>DIRECT_CALCULATION</x:v>
      </x:c>
      <x:c r="D39" s="7" t="str">
        <x:v>A06</x:v>
      </x:c>
      <x:c r="E39" s="8" t="str"/>
      <x:c r="F39" s="9" t="str"/>
      <x:c r="G39" s="8" t="str"/>
      <x:c r="H39" s="9" t="str"/>
      <x:c r="I39" s="8" t="str"/>
      <x:c r="J39" s="9" t="str"/>
      <x:c r="K39" s="8" t="str"/>
      <x:c r="L39" s="9" t="str"/>
      <x:c r="M39" s="8" t="str"/>
      <x:c r="N39" s="9" t="str"/>
      <x:c r="O39" s="8" t="str"/>
      <x:c r="P39" s="9" t="str"/>
      <x:c r="Q39" s="8" t="str"/>
      <x:c r="R39" s="9" t="str"/>
      <x:c r="S39" s="8" t="str"/>
      <x:c r="T39" s="9" t="str"/>
      <x:c r="U39" s="8" t="str"/>
      <x:c r="V39" s="9" t="str"/>
      <x:c r="W39" s="8" t="str"/>
      <x:c r="X39" s="9" t="str"/>
      <x:c r="Y39" s="6" t="str">
        <x:f>IF(COUNT(E39,G39,I39,K39,M39,O39,Q39)=7,SUM(E39,G39,I39,K39,M39,O39,Q39),"")</x:f>
      </x:c>
      <x:c r="Z39" s="10" t="str">
        <x:f>IF(Y39="","",Y39/14)</x:f>
      </x:c>
      <x:c r="AA39" s="6" t="str">
        <x:f>IF(COUNT(S39,U39,W39)=3,SUM(S39,U39,W39),"")</x:f>
      </x:c>
      <x:c r="AB39" s="10" t="str">
        <x:f>IF(AA39="","",AA39/6)</x:f>
      </x:c>
      <x:c r="AC39" s="8" t="str"/>
      <x:c r="AD39" s="8" t="str"/>
      <x:c r="AE39" s="12" t="str"/>
      <x:c r="AF39" s="8" t="str"/>
      <x:c r="AG39" s="8" t="str"/>
      <x:c r="AH39" s="8" t="str"/>
      <x:c r="AI39" s="18" t="str"/>
    </x:row>
    <x:row r="40" ht="15" hidden="0" customHeight="1">
      <x:c r="A40" s="17" t="str">
        <x:v>I2-051</x:v>
      </x:c>
      <x:c r="B40" s="7" t="str">
        <x:v>I2</x:v>
      </x:c>
      <x:c r="C40" s="7" t="str">
        <x:v>DIRECT_CALCULATION</x:v>
      </x:c>
      <x:c r="D40" s="7" t="str">
        <x:v>A07</x:v>
      </x:c>
      <x:c r="E40" s="8" t="str"/>
      <x:c r="F40" s="9" t="str"/>
      <x:c r="G40" s="8" t="str"/>
      <x:c r="H40" s="9" t="str"/>
      <x:c r="I40" s="8" t="str"/>
      <x:c r="J40" s="9" t="str"/>
      <x:c r="K40" s="8" t="str"/>
      <x:c r="L40" s="9" t="str"/>
      <x:c r="M40" s="8" t="str"/>
      <x:c r="N40" s="9" t="str"/>
      <x:c r="O40" s="8" t="str"/>
      <x:c r="P40" s="9" t="str"/>
      <x:c r="Q40" s="8" t="str"/>
      <x:c r="R40" s="9" t="str"/>
      <x:c r="S40" s="8" t="str"/>
      <x:c r="T40" s="9" t="str"/>
      <x:c r="U40" s="8" t="str"/>
      <x:c r="V40" s="9" t="str"/>
      <x:c r="W40" s="8" t="str"/>
      <x:c r="X40" s="9" t="str"/>
      <x:c r="Y40" s="6" t="str">
        <x:f>IF(COUNT(E40,G40,I40,K40,M40,O40,Q40)=7,SUM(E40,G40,I40,K40,M40,O40,Q40),"")</x:f>
      </x:c>
      <x:c r="Z40" s="10" t="str">
        <x:f>IF(Y40="","",Y40/14)</x:f>
      </x:c>
      <x:c r="AA40" s="6" t="str">
        <x:f>IF(COUNT(S40,U40,W40)=3,SUM(S40,U40,W40),"")</x:f>
      </x:c>
      <x:c r="AB40" s="10" t="str">
        <x:f>IF(AA40="","",AA40/6)</x:f>
      </x:c>
      <x:c r="AC40" s="8" t="str"/>
      <x:c r="AD40" s="8" t="str"/>
      <x:c r="AE40" s="12" t="str"/>
      <x:c r="AF40" s="8" t="str"/>
      <x:c r="AG40" s="8" t="str"/>
      <x:c r="AH40" s="8" t="str"/>
      <x:c r="AI40" s="18" t="str"/>
    </x:row>
    <x:row r="41" ht="15" hidden="0" customHeight="1">
      <x:c r="A41" s="17" t="str">
        <x:v>I2-051</x:v>
      </x:c>
      <x:c r="B41" s="7" t="str">
        <x:v>I2</x:v>
      </x:c>
      <x:c r="C41" s="7" t="str">
        <x:v>DIRECT_CALCULATION</x:v>
      </x:c>
      <x:c r="D41" s="7" t="str">
        <x:v>A08</x:v>
      </x:c>
      <x:c r="E41" s="8" t="str"/>
      <x:c r="F41" s="9" t="str"/>
      <x:c r="G41" s="8" t="str"/>
      <x:c r="H41" s="9" t="str"/>
      <x:c r="I41" s="8" t="str"/>
      <x:c r="J41" s="9" t="str"/>
      <x:c r="K41" s="8" t="str"/>
      <x:c r="L41" s="9" t="str"/>
      <x:c r="M41" s="8" t="str"/>
      <x:c r="N41" s="9" t="str"/>
      <x:c r="O41" s="8" t="str"/>
      <x:c r="P41" s="9" t="str"/>
      <x:c r="Q41" s="8" t="str"/>
      <x:c r="R41" s="9" t="str"/>
      <x:c r="S41" s="8" t="str"/>
      <x:c r="T41" s="9" t="str"/>
      <x:c r="U41" s="8" t="str"/>
      <x:c r="V41" s="9" t="str"/>
      <x:c r="W41" s="8" t="str"/>
      <x:c r="X41" s="9" t="str"/>
      <x:c r="Y41" s="6" t="str">
        <x:f>IF(COUNT(E41,G41,I41,K41,M41,O41,Q41)=7,SUM(E41,G41,I41,K41,M41,O41,Q41),"")</x:f>
      </x:c>
      <x:c r="Z41" s="10" t="str">
        <x:f>IF(Y41="","",Y41/14)</x:f>
      </x:c>
      <x:c r="AA41" s="6" t="str">
        <x:f>IF(COUNT(S41,U41,W41)=3,SUM(S41,U41,W41),"")</x:f>
      </x:c>
      <x:c r="AB41" s="10" t="str">
        <x:f>IF(AA41="","",AA41/6)</x:f>
      </x:c>
      <x:c r="AC41" s="8" t="str"/>
      <x:c r="AD41" s="8" t="str"/>
      <x:c r="AE41" s="12" t="str"/>
      <x:c r="AF41" s="8" t="str"/>
      <x:c r="AG41" s="8" t="str"/>
      <x:c r="AH41" s="8" t="str"/>
      <x:c r="AI41" s="18" t="str"/>
    </x:row>
    <x:row r="42" ht="15" hidden="0" customHeight="1">
      <x:c r="A42" s="17" t="str">
        <x:v>TRF-059</x:v>
      </x:c>
      <x:c r="B42" s="7" t="str">
        <x:v>TRAFICOM</x:v>
      </x:c>
      <x:c r="C42" s="7" t="str">
        <x:v>DIRECT_CALCULATION</x:v>
      </x:c>
      <x:c r="D42" s="7" t="str">
        <x:v>A01</x:v>
      </x:c>
      <x:c r="E42" s="8" t="str"/>
      <x:c r="F42" s="9" t="str"/>
      <x:c r="G42" s="8" t="str"/>
      <x:c r="H42" s="9" t="str"/>
      <x:c r="I42" s="8" t="str"/>
      <x:c r="J42" s="9" t="str"/>
      <x:c r="K42" s="8" t="str"/>
      <x:c r="L42" s="9" t="str"/>
      <x:c r="M42" s="8" t="str"/>
      <x:c r="N42" s="9" t="str"/>
      <x:c r="O42" s="8" t="str"/>
      <x:c r="P42" s="9" t="str"/>
      <x:c r="Q42" s="8" t="str"/>
      <x:c r="R42" s="9" t="str"/>
      <x:c r="S42" s="8" t="str"/>
      <x:c r="T42" s="9" t="str"/>
      <x:c r="U42" s="8" t="str"/>
      <x:c r="V42" s="9" t="str"/>
      <x:c r="W42" s="8" t="str"/>
      <x:c r="X42" s="9" t="str"/>
      <x:c r="Y42" s="6" t="str">
        <x:f>IF(COUNT(E42,G42,I42,K42,M42,O42,Q42)=7,SUM(E42,G42,I42,K42,M42,O42,Q42),"")</x:f>
      </x:c>
      <x:c r="Z42" s="10" t="str">
        <x:f>IF(Y42="","",Y42/14)</x:f>
      </x:c>
      <x:c r="AA42" s="6" t="str">
        <x:f>IF(COUNT(S42,U42,W42)=3,SUM(S42,U42,W42),"")</x:f>
      </x:c>
      <x:c r="AB42" s="10" t="str">
        <x:f>IF(AA42="","",AA42/6)</x:f>
      </x:c>
      <x:c r="AC42" s="8" t="str"/>
      <x:c r="AD42" s="8" t="str"/>
      <x:c r="AE42" s="12" t="str"/>
      <x:c r="AF42" s="8" t="str"/>
      <x:c r="AG42" s="8" t="str"/>
      <x:c r="AH42" s="8" t="str"/>
      <x:c r="AI42" s="18" t="str"/>
    </x:row>
    <x:row r="43" ht="15" hidden="0" customHeight="1">
      <x:c r="A43" s="17" t="str">
        <x:v>TRF-059</x:v>
      </x:c>
      <x:c r="B43" s="7" t="str">
        <x:v>TRAFICOM</x:v>
      </x:c>
      <x:c r="C43" s="7" t="str">
        <x:v>DIRECT_CALCULATION</x:v>
      </x:c>
      <x:c r="D43" s="7" t="str">
        <x:v>A02</x:v>
      </x:c>
      <x:c r="E43" s="8" t="str"/>
      <x:c r="F43" s="9" t="str"/>
      <x:c r="G43" s="8" t="str"/>
      <x:c r="H43" s="9" t="str"/>
      <x:c r="I43" s="8" t="str"/>
      <x:c r="J43" s="9" t="str"/>
      <x:c r="K43" s="8" t="str"/>
      <x:c r="L43" s="9" t="str"/>
      <x:c r="M43" s="8" t="str"/>
      <x:c r="N43" s="9" t="str"/>
      <x:c r="O43" s="8" t="str"/>
      <x:c r="P43" s="9" t="str"/>
      <x:c r="Q43" s="8" t="str"/>
      <x:c r="R43" s="9" t="str"/>
      <x:c r="S43" s="8" t="str"/>
      <x:c r="T43" s="9" t="str"/>
      <x:c r="U43" s="8" t="str"/>
      <x:c r="V43" s="9" t="str"/>
      <x:c r="W43" s="8" t="str"/>
      <x:c r="X43" s="9" t="str"/>
      <x:c r="Y43" s="6" t="str">
        <x:f>IF(COUNT(E43,G43,I43,K43,M43,O43,Q43)=7,SUM(E43,G43,I43,K43,M43,O43,Q43),"")</x:f>
      </x:c>
      <x:c r="Z43" s="10" t="str">
        <x:f>IF(Y43="","",Y43/14)</x:f>
      </x:c>
      <x:c r="AA43" s="6" t="str">
        <x:f>IF(COUNT(S43,U43,W43)=3,SUM(S43,U43,W43),"")</x:f>
      </x:c>
      <x:c r="AB43" s="10" t="str">
        <x:f>IF(AA43="","",AA43/6)</x:f>
      </x:c>
      <x:c r="AC43" s="8" t="str"/>
      <x:c r="AD43" s="8" t="str"/>
      <x:c r="AE43" s="12" t="str"/>
      <x:c r="AF43" s="8" t="str"/>
      <x:c r="AG43" s="8" t="str"/>
      <x:c r="AH43" s="8" t="str"/>
      <x:c r="AI43" s="18" t="str"/>
    </x:row>
    <x:row r="44" ht="15" hidden="0" customHeight="1">
      <x:c r="A44" s="17" t="str">
        <x:v>TRF-059</x:v>
      </x:c>
      <x:c r="B44" s="7" t="str">
        <x:v>TRAFICOM</x:v>
      </x:c>
      <x:c r="C44" s="7" t="str">
        <x:v>DIRECT_CALCULATION</x:v>
      </x:c>
      <x:c r="D44" s="7" t="str">
        <x:v>A03</x:v>
      </x:c>
      <x:c r="E44" s="8" t="str"/>
      <x:c r="F44" s="9" t="str"/>
      <x:c r="G44" s="8" t="str"/>
      <x:c r="H44" s="9" t="str"/>
      <x:c r="I44" s="8" t="str"/>
      <x:c r="J44" s="9" t="str"/>
      <x:c r="K44" s="8" t="str"/>
      <x:c r="L44" s="9" t="str"/>
      <x:c r="M44" s="8" t="str"/>
      <x:c r="N44" s="9" t="str"/>
      <x:c r="O44" s="8" t="str"/>
      <x:c r="P44" s="9" t="str"/>
      <x:c r="Q44" s="8" t="str"/>
      <x:c r="R44" s="9" t="str"/>
      <x:c r="S44" s="8" t="str"/>
      <x:c r="T44" s="9" t="str"/>
      <x:c r="U44" s="8" t="str"/>
      <x:c r="V44" s="9" t="str"/>
      <x:c r="W44" s="8" t="str"/>
      <x:c r="X44" s="9" t="str"/>
      <x:c r="Y44" s="6" t="str">
        <x:f>IF(COUNT(E44,G44,I44,K44,M44,O44,Q44)=7,SUM(E44,G44,I44,K44,M44,O44,Q44),"")</x:f>
      </x:c>
      <x:c r="Z44" s="10" t="str">
        <x:f>IF(Y44="","",Y44/14)</x:f>
      </x:c>
      <x:c r="AA44" s="6" t="str">
        <x:f>IF(COUNT(S44,U44,W44)=3,SUM(S44,U44,W44),"")</x:f>
      </x:c>
      <x:c r="AB44" s="10" t="str">
        <x:f>IF(AA44="","",AA44/6)</x:f>
      </x:c>
      <x:c r="AC44" s="8" t="str"/>
      <x:c r="AD44" s="8" t="str"/>
      <x:c r="AE44" s="12" t="str"/>
      <x:c r="AF44" s="8" t="str"/>
      <x:c r="AG44" s="8" t="str"/>
      <x:c r="AH44" s="8" t="str"/>
      <x:c r="AI44" s="18" t="str"/>
    </x:row>
    <x:row r="45" ht="15" hidden="0" customHeight="1">
      <x:c r="A45" s="17" t="str">
        <x:v>TRF-059</x:v>
      </x:c>
      <x:c r="B45" s="7" t="str">
        <x:v>TRAFICOM</x:v>
      </x:c>
      <x:c r="C45" s="7" t="str">
        <x:v>DIRECT_CALCULATION</x:v>
      </x:c>
      <x:c r="D45" s="7" t="str">
        <x:v>A04</x:v>
      </x:c>
      <x:c r="E45" s="8" t="str"/>
      <x:c r="F45" s="9" t="str"/>
      <x:c r="G45" s="8" t="str"/>
      <x:c r="H45" s="9" t="str"/>
      <x:c r="I45" s="8" t="str"/>
      <x:c r="J45" s="9" t="str"/>
      <x:c r="K45" s="8" t="str"/>
      <x:c r="L45" s="9" t="str"/>
      <x:c r="M45" s="8" t="str"/>
      <x:c r="N45" s="9" t="str"/>
      <x:c r="O45" s="8" t="str"/>
      <x:c r="P45" s="9" t="str"/>
      <x:c r="Q45" s="8" t="str"/>
      <x:c r="R45" s="9" t="str"/>
      <x:c r="S45" s="8" t="str"/>
      <x:c r="T45" s="9" t="str"/>
      <x:c r="U45" s="8" t="str"/>
      <x:c r="V45" s="9" t="str"/>
      <x:c r="W45" s="8" t="str"/>
      <x:c r="X45" s="9" t="str"/>
      <x:c r="Y45" s="6" t="str">
        <x:f>IF(COUNT(E45,G45,I45,K45,M45,O45,Q45)=7,SUM(E45,G45,I45,K45,M45,O45,Q45),"")</x:f>
      </x:c>
      <x:c r="Z45" s="10" t="str">
        <x:f>IF(Y45="","",Y45/14)</x:f>
      </x:c>
      <x:c r="AA45" s="6" t="str">
        <x:f>IF(COUNT(S45,U45,W45)=3,SUM(S45,U45,W45),"")</x:f>
      </x:c>
      <x:c r="AB45" s="10" t="str">
        <x:f>IF(AA45="","",AA45/6)</x:f>
      </x:c>
      <x:c r="AC45" s="8" t="str"/>
      <x:c r="AD45" s="8" t="str"/>
      <x:c r="AE45" s="12" t="str"/>
      <x:c r="AF45" s="8" t="str"/>
      <x:c r="AG45" s="8" t="str"/>
      <x:c r="AH45" s="8" t="str"/>
      <x:c r="AI45" s="18" t="str"/>
    </x:row>
    <x:row r="46" ht="15" hidden="0" customHeight="1">
      <x:c r="A46" s="17" t="str">
        <x:v>TRF-059</x:v>
      </x:c>
      <x:c r="B46" s="7" t="str">
        <x:v>TRAFICOM</x:v>
      </x:c>
      <x:c r="C46" s="7" t="str">
        <x:v>DIRECT_CALCULATION</x:v>
      </x:c>
      <x:c r="D46" s="7" t="str">
        <x:v>A05</x:v>
      </x:c>
      <x:c r="E46" s="8" t="str"/>
      <x:c r="F46" s="9" t="str"/>
      <x:c r="G46" s="8" t="str"/>
      <x:c r="H46" s="9" t="str"/>
      <x:c r="I46" s="8" t="str"/>
      <x:c r="J46" s="9" t="str"/>
      <x:c r="K46" s="8" t="str"/>
      <x:c r="L46" s="9" t="str"/>
      <x:c r="M46" s="8" t="str"/>
      <x:c r="N46" s="9" t="str"/>
      <x:c r="O46" s="8" t="str"/>
      <x:c r="P46" s="9" t="str"/>
      <x:c r="Q46" s="8" t="str"/>
      <x:c r="R46" s="9" t="str"/>
      <x:c r="S46" s="8" t="str"/>
      <x:c r="T46" s="9" t="str"/>
      <x:c r="U46" s="8" t="str"/>
      <x:c r="V46" s="9" t="str"/>
      <x:c r="W46" s="8" t="str"/>
      <x:c r="X46" s="9" t="str"/>
      <x:c r="Y46" s="6" t="str">
        <x:f>IF(COUNT(E46,G46,I46,K46,M46,O46,Q46)=7,SUM(E46,G46,I46,K46,M46,O46,Q46),"")</x:f>
      </x:c>
      <x:c r="Z46" s="10" t="str">
        <x:f>IF(Y46="","",Y46/14)</x:f>
      </x:c>
      <x:c r="AA46" s="6" t="str">
        <x:f>IF(COUNT(S46,U46,W46)=3,SUM(S46,U46,W46),"")</x:f>
      </x:c>
      <x:c r="AB46" s="10" t="str">
        <x:f>IF(AA46="","",AA46/6)</x:f>
      </x:c>
      <x:c r="AC46" s="8" t="str"/>
      <x:c r="AD46" s="8" t="str"/>
      <x:c r="AE46" s="12" t="str"/>
      <x:c r="AF46" s="8" t="str"/>
      <x:c r="AG46" s="8" t="str"/>
      <x:c r="AH46" s="8" t="str"/>
      <x:c r="AI46" s="18" t="str"/>
    </x:row>
    <x:row r="47" ht="15" hidden="0" customHeight="1">
      <x:c r="A47" s="17" t="str">
        <x:v>TRF-059</x:v>
      </x:c>
      <x:c r="B47" s="7" t="str">
        <x:v>TRAFICOM</x:v>
      </x:c>
      <x:c r="C47" s="7" t="str">
        <x:v>DIRECT_CALCULATION</x:v>
      </x:c>
      <x:c r="D47" s="7" t="str">
        <x:v>A06</x:v>
      </x:c>
      <x:c r="E47" s="8" t="str"/>
      <x:c r="F47" s="9" t="str"/>
      <x:c r="G47" s="8" t="str"/>
      <x:c r="H47" s="9" t="str"/>
      <x:c r="I47" s="8" t="str"/>
      <x:c r="J47" s="9" t="str"/>
      <x:c r="K47" s="8" t="str"/>
      <x:c r="L47" s="9" t="str"/>
      <x:c r="M47" s="8" t="str"/>
      <x:c r="N47" s="9" t="str"/>
      <x:c r="O47" s="8" t="str"/>
      <x:c r="P47" s="9" t="str"/>
      <x:c r="Q47" s="8" t="str"/>
      <x:c r="R47" s="9" t="str"/>
      <x:c r="S47" s="8" t="str"/>
      <x:c r="T47" s="9" t="str"/>
      <x:c r="U47" s="8" t="str"/>
      <x:c r="V47" s="9" t="str"/>
      <x:c r="W47" s="8" t="str"/>
      <x:c r="X47" s="9" t="str"/>
      <x:c r="Y47" s="6" t="str">
        <x:f>IF(COUNT(E47,G47,I47,K47,M47,O47,Q47)=7,SUM(E47,G47,I47,K47,M47,O47,Q47),"")</x:f>
      </x:c>
      <x:c r="Z47" s="10" t="str">
        <x:f>IF(Y47="","",Y47/14)</x:f>
      </x:c>
      <x:c r="AA47" s="6" t="str">
        <x:f>IF(COUNT(S47,U47,W47)=3,SUM(S47,U47,W47),"")</x:f>
      </x:c>
      <x:c r="AB47" s="10" t="str">
        <x:f>IF(AA47="","",AA47/6)</x:f>
      </x:c>
      <x:c r="AC47" s="8" t="str"/>
      <x:c r="AD47" s="8" t="str"/>
      <x:c r="AE47" s="12" t="str"/>
      <x:c r="AF47" s="8" t="str"/>
      <x:c r="AG47" s="8" t="str"/>
      <x:c r="AH47" s="8" t="str"/>
      <x:c r="AI47" s="18" t="str"/>
    </x:row>
    <x:row r="48" ht="15" hidden="0" customHeight="1">
      <x:c r="A48" s="17" t="str">
        <x:v>TRF-059</x:v>
      </x:c>
      <x:c r="B48" s="7" t="str">
        <x:v>TRAFICOM</x:v>
      </x:c>
      <x:c r="C48" s="7" t="str">
        <x:v>DIRECT_CALCULATION</x:v>
      </x:c>
      <x:c r="D48" s="7" t="str">
        <x:v>A07</x:v>
      </x:c>
      <x:c r="E48" s="8" t="str"/>
      <x:c r="F48" s="9" t="str"/>
      <x:c r="G48" s="8" t="str"/>
      <x:c r="H48" s="9" t="str"/>
      <x:c r="I48" s="8" t="str"/>
      <x:c r="J48" s="9" t="str"/>
      <x:c r="K48" s="8" t="str"/>
      <x:c r="L48" s="9" t="str"/>
      <x:c r="M48" s="8" t="str"/>
      <x:c r="N48" s="9" t="str"/>
      <x:c r="O48" s="8" t="str"/>
      <x:c r="P48" s="9" t="str"/>
      <x:c r="Q48" s="8" t="str"/>
      <x:c r="R48" s="9" t="str"/>
      <x:c r="S48" s="8" t="str"/>
      <x:c r="T48" s="9" t="str"/>
      <x:c r="U48" s="8" t="str"/>
      <x:c r="V48" s="9" t="str"/>
      <x:c r="W48" s="8" t="str"/>
      <x:c r="X48" s="9" t="str"/>
      <x:c r="Y48" s="6" t="str">
        <x:f>IF(COUNT(E48,G48,I48,K48,M48,O48,Q48)=7,SUM(E48,G48,I48,K48,M48,O48,Q48),"")</x:f>
      </x:c>
      <x:c r="Z48" s="10" t="str">
        <x:f>IF(Y48="","",Y48/14)</x:f>
      </x:c>
      <x:c r="AA48" s="6" t="str">
        <x:f>IF(COUNT(S48,U48,W48)=3,SUM(S48,U48,W48),"")</x:f>
      </x:c>
      <x:c r="AB48" s="10" t="str">
        <x:f>IF(AA48="","",AA48/6)</x:f>
      </x:c>
      <x:c r="AC48" s="8" t="str"/>
      <x:c r="AD48" s="8" t="str"/>
      <x:c r="AE48" s="12" t="str"/>
      <x:c r="AF48" s="8" t="str"/>
      <x:c r="AG48" s="8" t="str"/>
      <x:c r="AH48" s="8" t="str"/>
      <x:c r="AI48" s="18" t="str"/>
    </x:row>
    <x:row r="49" ht="15" hidden="0" customHeight="1">
      <x:c r="A49" s="17" t="str">
        <x:v>TRF-059</x:v>
      </x:c>
      <x:c r="B49" s="7" t="str">
        <x:v>TRAFICOM</x:v>
      </x:c>
      <x:c r="C49" s="7" t="str">
        <x:v>DIRECT_CALCULATION</x:v>
      </x:c>
      <x:c r="D49" s="7" t="str">
        <x:v>A08</x:v>
      </x:c>
      <x:c r="E49" s="8" t="str"/>
      <x:c r="F49" s="9" t="str"/>
      <x:c r="G49" s="8" t="str"/>
      <x:c r="H49" s="9" t="str"/>
      <x:c r="I49" s="8" t="str"/>
      <x:c r="J49" s="9" t="str"/>
      <x:c r="K49" s="8" t="str"/>
      <x:c r="L49" s="9" t="str"/>
      <x:c r="M49" s="8" t="str"/>
      <x:c r="N49" s="9" t="str"/>
      <x:c r="O49" s="8" t="str"/>
      <x:c r="P49" s="9" t="str"/>
      <x:c r="Q49" s="8" t="str"/>
      <x:c r="R49" s="9" t="str"/>
      <x:c r="S49" s="8" t="str"/>
      <x:c r="T49" s="9" t="str"/>
      <x:c r="U49" s="8" t="str"/>
      <x:c r="V49" s="9" t="str"/>
      <x:c r="W49" s="8" t="str"/>
      <x:c r="X49" s="9" t="str"/>
      <x:c r="Y49" s="6" t="str">
        <x:f>IF(COUNT(E49,G49,I49,K49,M49,O49,Q49)=7,SUM(E49,G49,I49,K49,M49,O49,Q49),"")</x:f>
      </x:c>
      <x:c r="Z49" s="10" t="str">
        <x:f>IF(Y49="","",Y49/14)</x:f>
      </x:c>
      <x:c r="AA49" s="6" t="str">
        <x:f>IF(COUNT(S49,U49,W49)=3,SUM(S49,U49,W49),"")</x:f>
      </x:c>
      <x:c r="AB49" s="10" t="str">
        <x:f>IF(AA49="","",AA49/6)</x:f>
      </x:c>
      <x:c r="AC49" s="8" t="str"/>
      <x:c r="AD49" s="8" t="str"/>
      <x:c r="AE49" s="12" t="str"/>
      <x:c r="AF49" s="8" t="str"/>
      <x:c r="AG49" s="8" t="str"/>
      <x:c r="AH49" s="8" t="str"/>
      <x:c r="AI49" s="18" t="str"/>
    </x:row>
    <x:row r="50" ht="15" hidden="0" customHeight="1">
      <x:c r="A50" s="17" t="str">
        <x:v>IMO-079</x:v>
      </x:c>
      <x:c r="B50" s="7" t="str">
        <x:v>IMO</x:v>
      </x:c>
      <x:c r="C50" s="7" t="str">
        <x:v>DIRECT_CALCULATION</x:v>
      </x:c>
      <x:c r="D50" s="7" t="str">
        <x:v>A01</x:v>
      </x:c>
      <x:c r="E50" s="8" t="str"/>
      <x:c r="F50" s="9" t="str"/>
      <x:c r="G50" s="8" t="str"/>
      <x:c r="H50" s="9" t="str"/>
      <x:c r="I50" s="8" t="str"/>
      <x:c r="J50" s="9" t="str"/>
      <x:c r="K50" s="8" t="str"/>
      <x:c r="L50" s="9" t="str"/>
      <x:c r="M50" s="8" t="str"/>
      <x:c r="N50" s="9" t="str"/>
      <x:c r="O50" s="8" t="str"/>
      <x:c r="P50" s="9" t="str"/>
      <x:c r="Q50" s="8" t="str"/>
      <x:c r="R50" s="9" t="str"/>
      <x:c r="S50" s="8" t="str"/>
      <x:c r="T50" s="9" t="str"/>
      <x:c r="U50" s="8" t="str"/>
      <x:c r="V50" s="9" t="str"/>
      <x:c r="W50" s="8" t="str"/>
      <x:c r="X50" s="9" t="str"/>
      <x:c r="Y50" s="6" t="str">
        <x:f>IF(COUNT(E50,G50,I50,K50,M50,O50,Q50)=7,SUM(E50,G50,I50,K50,M50,O50,Q50),"")</x:f>
      </x:c>
      <x:c r="Z50" s="10" t="str">
        <x:f>IF(Y50="","",Y50/14)</x:f>
      </x:c>
      <x:c r="AA50" s="6" t="str">
        <x:f>IF(COUNT(S50,U50,W50)=3,SUM(S50,U50,W50),"")</x:f>
      </x:c>
      <x:c r="AB50" s="10" t="str">
        <x:f>IF(AA50="","",AA50/6)</x:f>
      </x:c>
      <x:c r="AC50" s="8" t="str"/>
      <x:c r="AD50" s="8" t="str"/>
      <x:c r="AE50" s="12" t="str"/>
      <x:c r="AF50" s="8" t="str"/>
      <x:c r="AG50" s="8" t="str"/>
      <x:c r="AH50" s="8" t="str"/>
      <x:c r="AI50" s="18" t="str"/>
    </x:row>
    <x:row r="51" ht="15" hidden="0" customHeight="1">
      <x:c r="A51" s="17" t="str">
        <x:v>IMO-079</x:v>
      </x:c>
      <x:c r="B51" s="7" t="str">
        <x:v>IMO</x:v>
      </x:c>
      <x:c r="C51" s="7" t="str">
        <x:v>DIRECT_CALCULATION</x:v>
      </x:c>
      <x:c r="D51" s="7" t="str">
        <x:v>A02</x:v>
      </x:c>
      <x:c r="E51" s="8" t="str"/>
      <x:c r="F51" s="9" t="str"/>
      <x:c r="G51" s="8" t="str"/>
      <x:c r="H51" s="9" t="str"/>
      <x:c r="I51" s="8" t="str"/>
      <x:c r="J51" s="9" t="str"/>
      <x:c r="K51" s="8" t="str"/>
      <x:c r="L51" s="9" t="str"/>
      <x:c r="M51" s="8" t="str"/>
      <x:c r="N51" s="9" t="str"/>
      <x:c r="O51" s="8" t="str"/>
      <x:c r="P51" s="9" t="str"/>
      <x:c r="Q51" s="8" t="str"/>
      <x:c r="R51" s="9" t="str"/>
      <x:c r="S51" s="8" t="str"/>
      <x:c r="T51" s="9" t="str"/>
      <x:c r="U51" s="8" t="str"/>
      <x:c r="V51" s="9" t="str"/>
      <x:c r="W51" s="8" t="str"/>
      <x:c r="X51" s="9" t="str"/>
      <x:c r="Y51" s="6" t="str">
        <x:f>IF(COUNT(E51,G51,I51,K51,M51,O51,Q51)=7,SUM(E51,G51,I51,K51,M51,O51,Q51),"")</x:f>
      </x:c>
      <x:c r="Z51" s="10" t="str">
        <x:f>IF(Y51="","",Y51/14)</x:f>
      </x:c>
      <x:c r="AA51" s="6" t="str">
        <x:f>IF(COUNT(S51,U51,W51)=3,SUM(S51,U51,W51),"")</x:f>
      </x:c>
      <x:c r="AB51" s="10" t="str">
        <x:f>IF(AA51="","",AA51/6)</x:f>
      </x:c>
      <x:c r="AC51" s="8" t="str"/>
      <x:c r="AD51" s="8" t="str"/>
      <x:c r="AE51" s="12" t="str"/>
      <x:c r="AF51" s="8" t="str"/>
      <x:c r="AG51" s="8" t="str"/>
      <x:c r="AH51" s="8" t="str"/>
      <x:c r="AI51" s="18" t="str"/>
    </x:row>
    <x:row r="52" ht="15" hidden="0" customHeight="1">
      <x:c r="A52" s="17" t="str">
        <x:v>IMO-079</x:v>
      </x:c>
      <x:c r="B52" s="7" t="str">
        <x:v>IMO</x:v>
      </x:c>
      <x:c r="C52" s="7" t="str">
        <x:v>DIRECT_CALCULATION</x:v>
      </x:c>
      <x:c r="D52" s="7" t="str">
        <x:v>A03</x:v>
      </x:c>
      <x:c r="E52" s="8" t="str"/>
      <x:c r="F52" s="9" t="str"/>
      <x:c r="G52" s="8" t="str"/>
      <x:c r="H52" s="9" t="str"/>
      <x:c r="I52" s="8" t="str"/>
      <x:c r="J52" s="9" t="str"/>
      <x:c r="K52" s="8" t="str"/>
      <x:c r="L52" s="9" t="str"/>
      <x:c r="M52" s="8" t="str"/>
      <x:c r="N52" s="9" t="str"/>
      <x:c r="O52" s="8" t="str"/>
      <x:c r="P52" s="9" t="str"/>
      <x:c r="Q52" s="8" t="str"/>
      <x:c r="R52" s="9" t="str"/>
      <x:c r="S52" s="8" t="str"/>
      <x:c r="T52" s="9" t="str"/>
      <x:c r="U52" s="8" t="str"/>
      <x:c r="V52" s="9" t="str"/>
      <x:c r="W52" s="8" t="str"/>
      <x:c r="X52" s="9" t="str"/>
      <x:c r="Y52" s="6" t="str">
        <x:f>IF(COUNT(E52,G52,I52,K52,M52,O52,Q52)=7,SUM(E52,G52,I52,K52,M52,O52,Q52),"")</x:f>
      </x:c>
      <x:c r="Z52" s="10" t="str">
        <x:f>IF(Y52="","",Y52/14)</x:f>
      </x:c>
      <x:c r="AA52" s="6" t="str">
        <x:f>IF(COUNT(S52,U52,W52)=3,SUM(S52,U52,W52),"")</x:f>
      </x:c>
      <x:c r="AB52" s="10" t="str">
        <x:f>IF(AA52="","",AA52/6)</x:f>
      </x:c>
      <x:c r="AC52" s="8" t="str"/>
      <x:c r="AD52" s="8" t="str"/>
      <x:c r="AE52" s="12" t="str"/>
      <x:c r="AF52" s="8" t="str"/>
      <x:c r="AG52" s="8" t="str"/>
      <x:c r="AH52" s="8" t="str"/>
      <x:c r="AI52" s="18" t="str"/>
    </x:row>
    <x:row r="53" ht="15" hidden="0" customHeight="1">
      <x:c r="A53" s="17" t="str">
        <x:v>IMO-079</x:v>
      </x:c>
      <x:c r="B53" s="7" t="str">
        <x:v>IMO</x:v>
      </x:c>
      <x:c r="C53" s="7" t="str">
        <x:v>DIRECT_CALCULATION</x:v>
      </x:c>
      <x:c r="D53" s="7" t="str">
        <x:v>A04</x:v>
      </x:c>
      <x:c r="E53" s="8" t="str"/>
      <x:c r="F53" s="9" t="str"/>
      <x:c r="G53" s="8" t="str"/>
      <x:c r="H53" s="9" t="str"/>
      <x:c r="I53" s="8" t="str"/>
      <x:c r="J53" s="9" t="str"/>
      <x:c r="K53" s="8" t="str"/>
      <x:c r="L53" s="9" t="str"/>
      <x:c r="M53" s="8" t="str"/>
      <x:c r="N53" s="9" t="str"/>
      <x:c r="O53" s="8" t="str"/>
      <x:c r="P53" s="9" t="str"/>
      <x:c r="Q53" s="8" t="str"/>
      <x:c r="R53" s="9" t="str"/>
      <x:c r="S53" s="8" t="str"/>
      <x:c r="T53" s="9" t="str"/>
      <x:c r="U53" s="8" t="str"/>
      <x:c r="V53" s="9" t="str"/>
      <x:c r="W53" s="8" t="str"/>
      <x:c r="X53" s="9" t="str"/>
      <x:c r="Y53" s="6" t="str">
        <x:f>IF(COUNT(E53,G53,I53,K53,M53,O53,Q53)=7,SUM(E53,G53,I53,K53,M53,O53,Q53),"")</x:f>
      </x:c>
      <x:c r="Z53" s="10" t="str">
        <x:f>IF(Y53="","",Y53/14)</x:f>
      </x:c>
      <x:c r="AA53" s="6" t="str">
        <x:f>IF(COUNT(S53,U53,W53)=3,SUM(S53,U53,W53),"")</x:f>
      </x:c>
      <x:c r="AB53" s="10" t="str">
        <x:f>IF(AA53="","",AA53/6)</x:f>
      </x:c>
      <x:c r="AC53" s="8" t="str"/>
      <x:c r="AD53" s="8" t="str"/>
      <x:c r="AE53" s="12" t="str"/>
      <x:c r="AF53" s="8" t="str"/>
      <x:c r="AG53" s="8" t="str"/>
      <x:c r="AH53" s="8" t="str"/>
      <x:c r="AI53" s="18" t="str"/>
    </x:row>
    <x:row r="54" ht="15" hidden="0" customHeight="1">
      <x:c r="A54" s="17" t="str">
        <x:v>IMO-079</x:v>
      </x:c>
      <x:c r="B54" s="7" t="str">
        <x:v>IMO</x:v>
      </x:c>
      <x:c r="C54" s="7" t="str">
        <x:v>DIRECT_CALCULATION</x:v>
      </x:c>
      <x:c r="D54" s="7" t="str">
        <x:v>A05</x:v>
      </x:c>
      <x:c r="E54" s="8" t="str"/>
      <x:c r="F54" s="9" t="str"/>
      <x:c r="G54" s="8" t="str"/>
      <x:c r="H54" s="9" t="str"/>
      <x:c r="I54" s="8" t="str"/>
      <x:c r="J54" s="9" t="str"/>
      <x:c r="K54" s="8" t="str"/>
      <x:c r="L54" s="9" t="str"/>
      <x:c r="M54" s="8" t="str"/>
      <x:c r="N54" s="9" t="str"/>
      <x:c r="O54" s="8" t="str"/>
      <x:c r="P54" s="9" t="str"/>
      <x:c r="Q54" s="8" t="str"/>
      <x:c r="R54" s="9" t="str"/>
      <x:c r="S54" s="8" t="str"/>
      <x:c r="T54" s="9" t="str"/>
      <x:c r="U54" s="8" t="str"/>
      <x:c r="V54" s="9" t="str"/>
      <x:c r="W54" s="8" t="str"/>
      <x:c r="X54" s="9" t="str"/>
      <x:c r="Y54" s="6" t="str">
        <x:f>IF(COUNT(E54,G54,I54,K54,M54,O54,Q54)=7,SUM(E54,G54,I54,K54,M54,O54,Q54),"")</x:f>
      </x:c>
      <x:c r="Z54" s="10" t="str">
        <x:f>IF(Y54="","",Y54/14)</x:f>
      </x:c>
      <x:c r="AA54" s="6" t="str">
        <x:f>IF(COUNT(S54,U54,W54)=3,SUM(S54,U54,W54),"")</x:f>
      </x:c>
      <x:c r="AB54" s="10" t="str">
        <x:f>IF(AA54="","",AA54/6)</x:f>
      </x:c>
      <x:c r="AC54" s="8" t="str"/>
      <x:c r="AD54" s="8" t="str"/>
      <x:c r="AE54" s="12" t="str"/>
      <x:c r="AF54" s="8" t="str"/>
      <x:c r="AG54" s="8" t="str"/>
      <x:c r="AH54" s="8" t="str"/>
      <x:c r="AI54" s="18" t="str"/>
    </x:row>
    <x:row r="55" ht="15" hidden="0" customHeight="1">
      <x:c r="A55" s="17" t="str">
        <x:v>IMO-079</x:v>
      </x:c>
      <x:c r="B55" s="7" t="str">
        <x:v>IMO</x:v>
      </x:c>
      <x:c r="C55" s="7" t="str">
        <x:v>DIRECT_CALCULATION</x:v>
      </x:c>
      <x:c r="D55" s="7" t="str">
        <x:v>A06</x:v>
      </x:c>
      <x:c r="E55" s="8" t="str"/>
      <x:c r="F55" s="9" t="str"/>
      <x:c r="G55" s="8" t="str"/>
      <x:c r="H55" s="9" t="str"/>
      <x:c r="I55" s="8" t="str"/>
      <x:c r="J55" s="9" t="str"/>
      <x:c r="K55" s="8" t="str"/>
      <x:c r="L55" s="9" t="str"/>
      <x:c r="M55" s="8" t="str"/>
      <x:c r="N55" s="9" t="str"/>
      <x:c r="O55" s="8" t="str"/>
      <x:c r="P55" s="9" t="str"/>
      <x:c r="Q55" s="8" t="str"/>
      <x:c r="R55" s="9" t="str"/>
      <x:c r="S55" s="8" t="str"/>
      <x:c r="T55" s="9" t="str"/>
      <x:c r="U55" s="8" t="str"/>
      <x:c r="V55" s="9" t="str"/>
      <x:c r="W55" s="8" t="str"/>
      <x:c r="X55" s="9" t="str"/>
      <x:c r="Y55" s="6" t="str">
        <x:f>IF(COUNT(E55,G55,I55,K55,M55,O55,Q55)=7,SUM(E55,G55,I55,K55,M55,O55,Q55),"")</x:f>
      </x:c>
      <x:c r="Z55" s="10" t="str">
        <x:f>IF(Y55="","",Y55/14)</x:f>
      </x:c>
      <x:c r="AA55" s="6" t="str">
        <x:f>IF(COUNT(S55,U55,W55)=3,SUM(S55,U55,W55),"")</x:f>
      </x:c>
      <x:c r="AB55" s="10" t="str">
        <x:f>IF(AA55="","",AA55/6)</x:f>
      </x:c>
      <x:c r="AC55" s="8" t="str"/>
      <x:c r="AD55" s="8" t="str"/>
      <x:c r="AE55" s="12" t="str"/>
      <x:c r="AF55" s="8" t="str"/>
      <x:c r="AG55" s="8" t="str"/>
      <x:c r="AH55" s="8" t="str"/>
      <x:c r="AI55" s="18" t="str"/>
    </x:row>
    <x:row r="56" ht="15" hidden="0" customHeight="1">
      <x:c r="A56" s="17" t="str">
        <x:v>IMO-079</x:v>
      </x:c>
      <x:c r="B56" s="7" t="str">
        <x:v>IMO</x:v>
      </x:c>
      <x:c r="C56" s="7" t="str">
        <x:v>DIRECT_CALCULATION</x:v>
      </x:c>
      <x:c r="D56" s="7" t="str">
        <x:v>A07</x:v>
      </x:c>
      <x:c r="E56" s="8" t="str"/>
      <x:c r="F56" s="9" t="str"/>
      <x:c r="G56" s="8" t="str"/>
      <x:c r="H56" s="9" t="str"/>
      <x:c r="I56" s="8" t="str"/>
      <x:c r="J56" s="9" t="str"/>
      <x:c r="K56" s="8" t="str"/>
      <x:c r="L56" s="9" t="str"/>
      <x:c r="M56" s="8" t="str"/>
      <x:c r="N56" s="9" t="str"/>
      <x:c r="O56" s="8" t="str"/>
      <x:c r="P56" s="9" t="str"/>
      <x:c r="Q56" s="8" t="str"/>
      <x:c r="R56" s="9" t="str"/>
      <x:c r="S56" s="8" t="str"/>
      <x:c r="T56" s="9" t="str"/>
      <x:c r="U56" s="8" t="str"/>
      <x:c r="V56" s="9" t="str"/>
      <x:c r="W56" s="8" t="str"/>
      <x:c r="X56" s="9" t="str"/>
      <x:c r="Y56" s="6" t="str">
        <x:f>IF(COUNT(E56,G56,I56,K56,M56,O56,Q56)=7,SUM(E56,G56,I56,K56,M56,O56,Q56),"")</x:f>
      </x:c>
      <x:c r="Z56" s="10" t="str">
        <x:f>IF(Y56="","",Y56/14)</x:f>
      </x:c>
      <x:c r="AA56" s="6" t="str">
        <x:f>IF(COUNT(S56,U56,W56)=3,SUM(S56,U56,W56),"")</x:f>
      </x:c>
      <x:c r="AB56" s="10" t="str">
        <x:f>IF(AA56="","",AA56/6)</x:f>
      </x:c>
      <x:c r="AC56" s="8" t="str"/>
      <x:c r="AD56" s="8" t="str"/>
      <x:c r="AE56" s="12" t="str"/>
      <x:c r="AF56" s="8" t="str"/>
      <x:c r="AG56" s="8" t="str"/>
      <x:c r="AH56" s="8" t="str"/>
      <x:c r="AI56" s="18" t="str"/>
    </x:row>
    <x:row r="57" ht="15" hidden="0" customHeight="1">
      <x:c r="A57" s="17" t="str">
        <x:v>IMO-079</x:v>
      </x:c>
      <x:c r="B57" s="7" t="str">
        <x:v>IMO</x:v>
      </x:c>
      <x:c r="C57" s="7" t="str">
        <x:v>DIRECT_CALCULATION</x:v>
      </x:c>
      <x:c r="D57" s="7" t="str">
        <x:v>A08</x:v>
      </x:c>
      <x:c r="E57" s="8" t="str"/>
      <x:c r="F57" s="9" t="str"/>
      <x:c r="G57" s="8" t="str"/>
      <x:c r="H57" s="9" t="str"/>
      <x:c r="I57" s="8" t="str"/>
      <x:c r="J57" s="9" t="str"/>
      <x:c r="K57" s="8" t="str"/>
      <x:c r="L57" s="9" t="str"/>
      <x:c r="M57" s="8" t="str"/>
      <x:c r="N57" s="9" t="str"/>
      <x:c r="O57" s="8" t="str"/>
      <x:c r="P57" s="9" t="str"/>
      <x:c r="Q57" s="8" t="str"/>
      <x:c r="R57" s="9" t="str"/>
      <x:c r="S57" s="8" t="str"/>
      <x:c r="T57" s="9" t="str"/>
      <x:c r="U57" s="8" t="str"/>
      <x:c r="V57" s="9" t="str"/>
      <x:c r="W57" s="8" t="str"/>
      <x:c r="X57" s="9" t="str"/>
      <x:c r="Y57" s="6" t="str">
        <x:f>IF(COUNT(E57,G57,I57,K57,M57,O57,Q57)=7,SUM(E57,G57,I57,K57,M57,O57,Q57),"")</x:f>
      </x:c>
      <x:c r="Z57" s="10" t="str">
        <x:f>IF(Y57="","",Y57/14)</x:f>
      </x:c>
      <x:c r="AA57" s="6" t="str">
        <x:f>IF(COUNT(S57,U57,W57)=3,SUM(S57,U57,W57),"")</x:f>
      </x:c>
      <x:c r="AB57" s="10" t="str">
        <x:f>IF(AA57="","",AA57/6)</x:f>
      </x:c>
      <x:c r="AC57" s="8" t="str"/>
      <x:c r="AD57" s="8" t="str"/>
      <x:c r="AE57" s="12" t="str"/>
      <x:c r="AF57" s="8" t="str"/>
      <x:c r="AG57" s="8" t="str"/>
      <x:c r="AH57" s="8" t="str"/>
      <x:c r="AI57" s="18" t="str"/>
    </x:row>
    <x:row r="58" ht="15" hidden="0" customHeight="1">
      <x:c r="A58" s="17" t="str">
        <x:v>I2-043</x:v>
      </x:c>
      <x:c r="B58" s="7" t="str">
        <x:v>I2</x:v>
      </x:c>
      <x:c r="C58" s="7" t="str">
        <x:v>COMPLEX_READINESS</x:v>
      </x:c>
      <x:c r="D58" s="7" t="str">
        <x:v>A01</x:v>
      </x:c>
      <x:c r="E58" s="8" t="str"/>
      <x:c r="F58" s="9" t="str"/>
      <x:c r="G58" s="8" t="str"/>
      <x:c r="H58" s="9" t="str"/>
      <x:c r="I58" s="8" t="str"/>
      <x:c r="J58" s="9" t="str"/>
      <x:c r="K58" s="8" t="str"/>
      <x:c r="L58" s="9" t="str"/>
      <x:c r="M58" s="8" t="str"/>
      <x:c r="N58" s="9" t="str"/>
      <x:c r="O58" s="8" t="str"/>
      <x:c r="P58" s="9" t="str"/>
      <x:c r="Q58" s="8" t="str"/>
      <x:c r="R58" s="9" t="str"/>
      <x:c r="S58" s="8" t="str"/>
      <x:c r="T58" s="9" t="str"/>
      <x:c r="U58" s="8" t="str"/>
      <x:c r="V58" s="9" t="str"/>
      <x:c r="W58" s="8" t="str"/>
      <x:c r="X58" s="9" t="str"/>
      <x:c r="Y58" s="6" t="str">
        <x:f>IF(COUNT(E58,G58,I58,K58,M58,O58,Q58)=7,SUM(E58,G58,I58,K58,M58,O58,Q58),"")</x:f>
      </x:c>
      <x:c r="Z58" s="10" t="str">
        <x:f>IF(Y58="","",Y58/14)</x:f>
      </x:c>
      <x:c r="AA58" s="6" t="str">
        <x:f>IF(COUNT(S58,U58,W58)=3,SUM(S58,U58,W58),"")</x:f>
      </x:c>
      <x:c r="AB58" s="10" t="str">
        <x:f>IF(AA58="","",AA58/6)</x:f>
      </x:c>
      <x:c r="AC58" s="8" t="str"/>
      <x:c r="AD58" s="8" t="str"/>
      <x:c r="AE58" s="12" t="str"/>
      <x:c r="AF58" s="8" t="str"/>
      <x:c r="AG58" s="8" t="str"/>
      <x:c r="AH58" s="8" t="str"/>
      <x:c r="AI58" s="18" t="str"/>
    </x:row>
    <x:row r="59" ht="15" hidden="0" customHeight="1">
      <x:c r="A59" s="17" t="str">
        <x:v>I2-043</x:v>
      </x:c>
      <x:c r="B59" s="7" t="str">
        <x:v>I2</x:v>
      </x:c>
      <x:c r="C59" s="7" t="str">
        <x:v>COMPLEX_READINESS</x:v>
      </x:c>
      <x:c r="D59" s="7" t="str">
        <x:v>A02</x:v>
      </x:c>
      <x:c r="E59" s="8" t="str"/>
      <x:c r="F59" s="9" t="str"/>
      <x:c r="G59" s="8" t="str"/>
      <x:c r="H59" s="9" t="str"/>
      <x:c r="I59" s="8" t="str"/>
      <x:c r="J59" s="9" t="str"/>
      <x:c r="K59" s="8" t="str"/>
      <x:c r="L59" s="9" t="str"/>
      <x:c r="M59" s="8" t="str"/>
      <x:c r="N59" s="9" t="str"/>
      <x:c r="O59" s="8" t="str"/>
      <x:c r="P59" s="9" t="str"/>
      <x:c r="Q59" s="8" t="str"/>
      <x:c r="R59" s="9" t="str"/>
      <x:c r="S59" s="8" t="str"/>
      <x:c r="T59" s="9" t="str"/>
      <x:c r="U59" s="8" t="str"/>
      <x:c r="V59" s="9" t="str"/>
      <x:c r="W59" s="8" t="str"/>
      <x:c r="X59" s="9" t="str"/>
      <x:c r="Y59" s="6" t="str">
        <x:f>IF(COUNT(E59,G59,I59,K59,M59,O59,Q59)=7,SUM(E59,G59,I59,K59,M59,O59,Q59),"")</x:f>
      </x:c>
      <x:c r="Z59" s="10" t="str">
        <x:f>IF(Y59="","",Y59/14)</x:f>
      </x:c>
      <x:c r="AA59" s="6" t="str">
        <x:f>IF(COUNT(S59,U59,W59)=3,SUM(S59,U59,W59),"")</x:f>
      </x:c>
      <x:c r="AB59" s="10" t="str">
        <x:f>IF(AA59="","",AA59/6)</x:f>
      </x:c>
      <x:c r="AC59" s="8" t="str"/>
      <x:c r="AD59" s="8" t="str"/>
      <x:c r="AE59" s="12" t="str"/>
      <x:c r="AF59" s="8" t="str"/>
      <x:c r="AG59" s="8" t="str"/>
      <x:c r="AH59" s="8" t="str"/>
      <x:c r="AI59" s="18" t="str"/>
    </x:row>
    <x:row r="60" ht="15" hidden="0" customHeight="1">
      <x:c r="A60" s="17" t="str">
        <x:v>I2-043</x:v>
      </x:c>
      <x:c r="B60" s="7" t="str">
        <x:v>I2</x:v>
      </x:c>
      <x:c r="C60" s="7" t="str">
        <x:v>COMPLEX_READINESS</x:v>
      </x:c>
      <x:c r="D60" s="7" t="str">
        <x:v>A03</x:v>
      </x:c>
      <x:c r="E60" s="8" t="str"/>
      <x:c r="F60" s="9" t="str"/>
      <x:c r="G60" s="8" t="str"/>
      <x:c r="H60" s="9" t="str"/>
      <x:c r="I60" s="8" t="str"/>
      <x:c r="J60" s="9" t="str"/>
      <x:c r="K60" s="8" t="str"/>
      <x:c r="L60" s="9" t="str"/>
      <x:c r="M60" s="8" t="str"/>
      <x:c r="N60" s="9" t="str"/>
      <x:c r="O60" s="8" t="str"/>
      <x:c r="P60" s="9" t="str"/>
      <x:c r="Q60" s="8" t="str"/>
      <x:c r="R60" s="9" t="str"/>
      <x:c r="S60" s="8" t="str"/>
      <x:c r="T60" s="9" t="str"/>
      <x:c r="U60" s="8" t="str"/>
      <x:c r="V60" s="9" t="str"/>
      <x:c r="W60" s="8" t="str"/>
      <x:c r="X60" s="9" t="str"/>
      <x:c r="Y60" s="6" t="str">
        <x:f>IF(COUNT(E60,G60,I60,K60,M60,O60,Q60)=7,SUM(E60,G60,I60,K60,M60,O60,Q60),"")</x:f>
      </x:c>
      <x:c r="Z60" s="10" t="str">
        <x:f>IF(Y60="","",Y60/14)</x:f>
      </x:c>
      <x:c r="AA60" s="6" t="str">
        <x:f>IF(COUNT(S60,U60,W60)=3,SUM(S60,U60,W60),"")</x:f>
      </x:c>
      <x:c r="AB60" s="10" t="str">
        <x:f>IF(AA60="","",AA60/6)</x:f>
      </x:c>
      <x:c r="AC60" s="8" t="str"/>
      <x:c r="AD60" s="8" t="str"/>
      <x:c r="AE60" s="12" t="str"/>
      <x:c r="AF60" s="8" t="str"/>
      <x:c r="AG60" s="8" t="str"/>
      <x:c r="AH60" s="8" t="str"/>
      <x:c r="AI60" s="18" t="str"/>
    </x:row>
    <x:row r="61" ht="15" hidden="0" customHeight="1">
      <x:c r="A61" s="17" t="str">
        <x:v>I2-043</x:v>
      </x:c>
      <x:c r="B61" s="7" t="str">
        <x:v>I2</x:v>
      </x:c>
      <x:c r="C61" s="7" t="str">
        <x:v>COMPLEX_READINESS</x:v>
      </x:c>
      <x:c r="D61" s="7" t="str">
        <x:v>A04</x:v>
      </x:c>
      <x:c r="E61" s="8" t="str"/>
      <x:c r="F61" s="9" t="str"/>
      <x:c r="G61" s="8" t="str"/>
      <x:c r="H61" s="9" t="str"/>
      <x:c r="I61" s="8" t="str"/>
      <x:c r="J61" s="9" t="str"/>
      <x:c r="K61" s="8" t="str"/>
      <x:c r="L61" s="9" t="str"/>
      <x:c r="M61" s="8" t="str"/>
      <x:c r="N61" s="9" t="str"/>
      <x:c r="O61" s="8" t="str"/>
      <x:c r="P61" s="9" t="str"/>
      <x:c r="Q61" s="8" t="str"/>
      <x:c r="R61" s="9" t="str"/>
      <x:c r="S61" s="8" t="str"/>
      <x:c r="T61" s="9" t="str"/>
      <x:c r="U61" s="8" t="str"/>
      <x:c r="V61" s="9" t="str"/>
      <x:c r="W61" s="8" t="str"/>
      <x:c r="X61" s="9" t="str"/>
      <x:c r="Y61" s="6" t="str">
        <x:f>IF(COUNT(E61,G61,I61,K61,M61,O61,Q61)=7,SUM(E61,G61,I61,K61,M61,O61,Q61),"")</x:f>
      </x:c>
      <x:c r="Z61" s="10" t="str">
        <x:f>IF(Y61="","",Y61/14)</x:f>
      </x:c>
      <x:c r="AA61" s="6" t="str">
        <x:f>IF(COUNT(S61,U61,W61)=3,SUM(S61,U61,W61),"")</x:f>
      </x:c>
      <x:c r="AB61" s="10" t="str">
        <x:f>IF(AA61="","",AA61/6)</x:f>
      </x:c>
      <x:c r="AC61" s="8" t="str"/>
      <x:c r="AD61" s="8" t="str"/>
      <x:c r="AE61" s="12" t="str"/>
      <x:c r="AF61" s="8" t="str"/>
      <x:c r="AG61" s="8" t="str"/>
      <x:c r="AH61" s="8" t="str"/>
      <x:c r="AI61" s="18" t="str"/>
    </x:row>
    <x:row r="62" ht="15" hidden="0" customHeight="1">
      <x:c r="A62" s="17" t="str">
        <x:v>I2-043</x:v>
      </x:c>
      <x:c r="B62" s="7" t="str">
        <x:v>I2</x:v>
      </x:c>
      <x:c r="C62" s="7" t="str">
        <x:v>COMPLEX_READINESS</x:v>
      </x:c>
      <x:c r="D62" s="7" t="str">
        <x:v>A05</x:v>
      </x:c>
      <x:c r="E62" s="8" t="str"/>
      <x:c r="F62" s="9" t="str"/>
      <x:c r="G62" s="8" t="str"/>
      <x:c r="H62" s="9" t="str"/>
      <x:c r="I62" s="8" t="str"/>
      <x:c r="J62" s="9" t="str"/>
      <x:c r="K62" s="8" t="str"/>
      <x:c r="L62" s="9" t="str"/>
      <x:c r="M62" s="8" t="str"/>
      <x:c r="N62" s="9" t="str"/>
      <x:c r="O62" s="8" t="str"/>
      <x:c r="P62" s="9" t="str"/>
      <x:c r="Q62" s="8" t="str"/>
      <x:c r="R62" s="9" t="str"/>
      <x:c r="S62" s="8" t="str"/>
      <x:c r="T62" s="9" t="str"/>
      <x:c r="U62" s="8" t="str"/>
      <x:c r="V62" s="9" t="str"/>
      <x:c r="W62" s="8" t="str"/>
      <x:c r="X62" s="9" t="str"/>
      <x:c r="Y62" s="6" t="str">
        <x:f>IF(COUNT(E62,G62,I62,K62,M62,O62,Q62)=7,SUM(E62,G62,I62,K62,M62,O62,Q62),"")</x:f>
      </x:c>
      <x:c r="Z62" s="10" t="str">
        <x:f>IF(Y62="","",Y62/14)</x:f>
      </x:c>
      <x:c r="AA62" s="6" t="str">
        <x:f>IF(COUNT(S62,U62,W62)=3,SUM(S62,U62,W62),"")</x:f>
      </x:c>
      <x:c r="AB62" s="10" t="str">
        <x:f>IF(AA62="","",AA62/6)</x:f>
      </x:c>
      <x:c r="AC62" s="8" t="str"/>
      <x:c r="AD62" s="8" t="str"/>
      <x:c r="AE62" s="12" t="str"/>
      <x:c r="AF62" s="8" t="str"/>
      <x:c r="AG62" s="8" t="str"/>
      <x:c r="AH62" s="8" t="str"/>
      <x:c r="AI62" s="18" t="str"/>
    </x:row>
    <x:row r="63" ht="15" hidden="0" customHeight="1">
      <x:c r="A63" s="17" t="str">
        <x:v>I2-043</x:v>
      </x:c>
      <x:c r="B63" s="7" t="str">
        <x:v>I2</x:v>
      </x:c>
      <x:c r="C63" s="7" t="str">
        <x:v>COMPLEX_READINESS</x:v>
      </x:c>
      <x:c r="D63" s="7" t="str">
        <x:v>A06</x:v>
      </x:c>
      <x:c r="E63" s="8" t="str"/>
      <x:c r="F63" s="9" t="str"/>
      <x:c r="G63" s="8" t="str"/>
      <x:c r="H63" s="9" t="str"/>
      <x:c r="I63" s="8" t="str"/>
      <x:c r="J63" s="9" t="str"/>
      <x:c r="K63" s="8" t="str"/>
      <x:c r="L63" s="9" t="str"/>
      <x:c r="M63" s="8" t="str"/>
      <x:c r="N63" s="9" t="str"/>
      <x:c r="O63" s="8" t="str"/>
      <x:c r="P63" s="9" t="str"/>
      <x:c r="Q63" s="8" t="str"/>
      <x:c r="R63" s="9" t="str"/>
      <x:c r="S63" s="8" t="str"/>
      <x:c r="T63" s="9" t="str"/>
      <x:c r="U63" s="8" t="str"/>
      <x:c r="V63" s="9" t="str"/>
      <x:c r="W63" s="8" t="str"/>
      <x:c r="X63" s="9" t="str"/>
      <x:c r="Y63" s="6" t="str">
        <x:f>IF(COUNT(E63,G63,I63,K63,M63,O63,Q63)=7,SUM(E63,G63,I63,K63,M63,O63,Q63),"")</x:f>
      </x:c>
      <x:c r="Z63" s="10" t="str">
        <x:f>IF(Y63="","",Y63/14)</x:f>
      </x:c>
      <x:c r="AA63" s="6" t="str">
        <x:f>IF(COUNT(S63,U63,W63)=3,SUM(S63,U63,W63),"")</x:f>
      </x:c>
      <x:c r="AB63" s="10" t="str">
        <x:f>IF(AA63="","",AA63/6)</x:f>
      </x:c>
      <x:c r="AC63" s="8" t="str"/>
      <x:c r="AD63" s="8" t="str"/>
      <x:c r="AE63" s="12" t="str"/>
      <x:c r="AF63" s="8" t="str"/>
      <x:c r="AG63" s="8" t="str"/>
      <x:c r="AH63" s="8" t="str"/>
      <x:c r="AI63" s="18" t="str"/>
    </x:row>
    <x:row r="64" ht="15" hidden="0" customHeight="1">
      <x:c r="A64" s="17" t="str">
        <x:v>I2-043</x:v>
      </x:c>
      <x:c r="B64" s="7" t="str">
        <x:v>I2</x:v>
      </x:c>
      <x:c r="C64" s="7" t="str">
        <x:v>COMPLEX_READINESS</x:v>
      </x:c>
      <x:c r="D64" s="7" t="str">
        <x:v>A07</x:v>
      </x:c>
      <x:c r="E64" s="8" t="str"/>
      <x:c r="F64" s="9" t="str"/>
      <x:c r="G64" s="8" t="str"/>
      <x:c r="H64" s="9" t="str"/>
      <x:c r="I64" s="8" t="str"/>
      <x:c r="J64" s="9" t="str"/>
      <x:c r="K64" s="8" t="str"/>
      <x:c r="L64" s="9" t="str"/>
      <x:c r="M64" s="8" t="str"/>
      <x:c r="N64" s="9" t="str"/>
      <x:c r="O64" s="8" t="str"/>
      <x:c r="P64" s="9" t="str"/>
      <x:c r="Q64" s="8" t="str"/>
      <x:c r="R64" s="9" t="str"/>
      <x:c r="S64" s="8" t="str"/>
      <x:c r="T64" s="9" t="str"/>
      <x:c r="U64" s="8" t="str"/>
      <x:c r="V64" s="9" t="str"/>
      <x:c r="W64" s="8" t="str"/>
      <x:c r="X64" s="9" t="str"/>
      <x:c r="Y64" s="6" t="str">
        <x:f>IF(COUNT(E64,G64,I64,K64,M64,O64,Q64)=7,SUM(E64,G64,I64,K64,M64,O64,Q64),"")</x:f>
      </x:c>
      <x:c r="Z64" s="10" t="str">
        <x:f>IF(Y64="","",Y64/14)</x:f>
      </x:c>
      <x:c r="AA64" s="6" t="str">
        <x:f>IF(COUNT(S64,U64,W64)=3,SUM(S64,U64,W64),"")</x:f>
      </x:c>
      <x:c r="AB64" s="10" t="str">
        <x:f>IF(AA64="","",AA64/6)</x:f>
      </x:c>
      <x:c r="AC64" s="8" t="str"/>
      <x:c r="AD64" s="8" t="str"/>
      <x:c r="AE64" s="12" t="str"/>
      <x:c r="AF64" s="8" t="str"/>
      <x:c r="AG64" s="8" t="str"/>
      <x:c r="AH64" s="8" t="str"/>
      <x:c r="AI64" s="18" t="str"/>
    </x:row>
    <x:row r="65" ht="15" hidden="0" customHeight="1">
      <x:c r="A65" s="17" t="str">
        <x:v>I2-043</x:v>
      </x:c>
      <x:c r="B65" s="7" t="str">
        <x:v>I2</x:v>
      </x:c>
      <x:c r="C65" s="7" t="str">
        <x:v>COMPLEX_READINESS</x:v>
      </x:c>
      <x:c r="D65" s="7" t="str">
        <x:v>A08</x:v>
      </x:c>
      <x:c r="E65" s="8" t="str"/>
      <x:c r="F65" s="9" t="str"/>
      <x:c r="G65" s="8" t="str"/>
      <x:c r="H65" s="9" t="str"/>
      <x:c r="I65" s="8" t="str"/>
      <x:c r="J65" s="9" t="str"/>
      <x:c r="K65" s="8" t="str"/>
      <x:c r="L65" s="9" t="str"/>
      <x:c r="M65" s="8" t="str"/>
      <x:c r="N65" s="9" t="str"/>
      <x:c r="O65" s="8" t="str"/>
      <x:c r="P65" s="9" t="str"/>
      <x:c r="Q65" s="8" t="str"/>
      <x:c r="R65" s="9" t="str"/>
      <x:c r="S65" s="8" t="str"/>
      <x:c r="T65" s="9" t="str"/>
      <x:c r="U65" s="8" t="str"/>
      <x:c r="V65" s="9" t="str"/>
      <x:c r="W65" s="8" t="str"/>
      <x:c r="X65" s="9" t="str"/>
      <x:c r="Y65" s="6" t="str">
        <x:f>IF(COUNT(E65,G65,I65,K65,M65,O65,Q65)=7,SUM(E65,G65,I65,K65,M65,O65,Q65),"")</x:f>
      </x:c>
      <x:c r="Z65" s="10" t="str">
        <x:f>IF(Y65="","",Y65/14)</x:f>
      </x:c>
      <x:c r="AA65" s="6" t="str">
        <x:f>IF(COUNT(S65,U65,W65)=3,SUM(S65,U65,W65),"")</x:f>
      </x:c>
      <x:c r="AB65" s="10" t="str">
        <x:f>IF(AA65="","",AA65/6)</x:f>
      </x:c>
      <x:c r="AC65" s="8" t="str"/>
      <x:c r="AD65" s="8" t="str"/>
      <x:c r="AE65" s="12" t="str"/>
      <x:c r="AF65" s="8" t="str"/>
      <x:c r="AG65" s="8" t="str"/>
      <x:c r="AH65" s="8" t="str"/>
      <x:c r="AI65" s="18" t="str"/>
    </x:row>
    <x:row r="66" ht="15" hidden="0" customHeight="1">
      <x:c r="A66" s="17" t="str">
        <x:v>TRF-123</x:v>
      </x:c>
      <x:c r="B66" s="7" t="str">
        <x:v>TRAFICOM</x:v>
      </x:c>
      <x:c r="C66" s="7" t="str">
        <x:v>COMPLEX_READINESS</x:v>
      </x:c>
      <x:c r="D66" s="7" t="str">
        <x:v>A01</x:v>
      </x:c>
      <x:c r="E66" s="8" t="str"/>
      <x:c r="F66" s="9" t="str"/>
      <x:c r="G66" s="8" t="str"/>
      <x:c r="H66" s="9" t="str"/>
      <x:c r="I66" s="8" t="str"/>
      <x:c r="J66" s="9" t="str"/>
      <x:c r="K66" s="8" t="str"/>
      <x:c r="L66" s="9" t="str"/>
      <x:c r="M66" s="8" t="str"/>
      <x:c r="N66" s="9" t="str"/>
      <x:c r="O66" s="8" t="str"/>
      <x:c r="P66" s="9" t="str"/>
      <x:c r="Q66" s="8" t="str"/>
      <x:c r="R66" s="9" t="str"/>
      <x:c r="S66" s="8" t="str"/>
      <x:c r="T66" s="9" t="str"/>
      <x:c r="U66" s="8" t="str"/>
      <x:c r="V66" s="9" t="str"/>
      <x:c r="W66" s="8" t="str"/>
      <x:c r="X66" s="9" t="str"/>
      <x:c r="Y66" s="6" t="str">
        <x:f>IF(COUNT(E66,G66,I66,K66,M66,O66,Q66)=7,SUM(E66,G66,I66,K66,M66,O66,Q66),"")</x:f>
      </x:c>
      <x:c r="Z66" s="10" t="str">
        <x:f>IF(Y66="","",Y66/14)</x:f>
      </x:c>
      <x:c r="AA66" s="6" t="str">
        <x:f>IF(COUNT(S66,U66,W66)=3,SUM(S66,U66,W66),"")</x:f>
      </x:c>
      <x:c r="AB66" s="10" t="str">
        <x:f>IF(AA66="","",AA66/6)</x:f>
      </x:c>
      <x:c r="AC66" s="8" t="str"/>
      <x:c r="AD66" s="8" t="str"/>
      <x:c r="AE66" s="12" t="str"/>
      <x:c r="AF66" s="8" t="str"/>
      <x:c r="AG66" s="8" t="str"/>
      <x:c r="AH66" s="8" t="str"/>
      <x:c r="AI66" s="18" t="str"/>
    </x:row>
    <x:row r="67" ht="15" hidden="0" customHeight="1">
      <x:c r="A67" s="17" t="str">
        <x:v>TRF-123</x:v>
      </x:c>
      <x:c r="B67" s="7" t="str">
        <x:v>TRAFICOM</x:v>
      </x:c>
      <x:c r="C67" s="7" t="str">
        <x:v>COMPLEX_READINESS</x:v>
      </x:c>
      <x:c r="D67" s="7" t="str">
        <x:v>A02</x:v>
      </x:c>
      <x:c r="E67" s="8" t="str"/>
      <x:c r="F67" s="9" t="str"/>
      <x:c r="G67" s="8" t="str"/>
      <x:c r="H67" s="9" t="str"/>
      <x:c r="I67" s="8" t="str"/>
      <x:c r="J67" s="9" t="str"/>
      <x:c r="K67" s="8" t="str"/>
      <x:c r="L67" s="9" t="str"/>
      <x:c r="M67" s="8" t="str"/>
      <x:c r="N67" s="9" t="str"/>
      <x:c r="O67" s="8" t="str"/>
      <x:c r="P67" s="9" t="str"/>
      <x:c r="Q67" s="8" t="str"/>
      <x:c r="R67" s="9" t="str"/>
      <x:c r="S67" s="8" t="str"/>
      <x:c r="T67" s="9" t="str"/>
      <x:c r="U67" s="8" t="str"/>
      <x:c r="V67" s="9" t="str"/>
      <x:c r="W67" s="8" t="str"/>
      <x:c r="X67" s="9" t="str"/>
      <x:c r="Y67" s="6" t="str">
        <x:f>IF(COUNT(E67,G67,I67,K67,M67,O67,Q67)=7,SUM(E67,G67,I67,K67,M67,O67,Q67),"")</x:f>
      </x:c>
      <x:c r="Z67" s="10" t="str">
        <x:f>IF(Y67="","",Y67/14)</x:f>
      </x:c>
      <x:c r="AA67" s="6" t="str">
        <x:f>IF(COUNT(S67,U67,W67)=3,SUM(S67,U67,W67),"")</x:f>
      </x:c>
      <x:c r="AB67" s="10" t="str">
        <x:f>IF(AA67="","",AA67/6)</x:f>
      </x:c>
      <x:c r="AC67" s="8" t="str"/>
      <x:c r="AD67" s="8" t="str"/>
      <x:c r="AE67" s="12" t="str"/>
      <x:c r="AF67" s="8" t="str"/>
      <x:c r="AG67" s="8" t="str"/>
      <x:c r="AH67" s="8" t="str"/>
      <x:c r="AI67" s="18" t="str"/>
    </x:row>
    <x:row r="68" ht="15" hidden="0" customHeight="1">
      <x:c r="A68" s="17" t="str">
        <x:v>TRF-123</x:v>
      </x:c>
      <x:c r="B68" s="7" t="str">
        <x:v>TRAFICOM</x:v>
      </x:c>
      <x:c r="C68" s="7" t="str">
        <x:v>COMPLEX_READINESS</x:v>
      </x:c>
      <x:c r="D68" s="7" t="str">
        <x:v>A03</x:v>
      </x:c>
      <x:c r="E68" s="8" t="str"/>
      <x:c r="F68" s="9" t="str"/>
      <x:c r="G68" s="8" t="str"/>
      <x:c r="H68" s="9" t="str"/>
      <x:c r="I68" s="8" t="str"/>
      <x:c r="J68" s="9" t="str"/>
      <x:c r="K68" s="8" t="str"/>
      <x:c r="L68" s="9" t="str"/>
      <x:c r="M68" s="8" t="str"/>
      <x:c r="N68" s="9" t="str"/>
      <x:c r="O68" s="8" t="str"/>
      <x:c r="P68" s="9" t="str"/>
      <x:c r="Q68" s="8" t="str"/>
      <x:c r="R68" s="9" t="str"/>
      <x:c r="S68" s="8" t="str"/>
      <x:c r="T68" s="9" t="str"/>
      <x:c r="U68" s="8" t="str"/>
      <x:c r="V68" s="9" t="str"/>
      <x:c r="W68" s="8" t="str"/>
      <x:c r="X68" s="9" t="str"/>
      <x:c r="Y68" s="6" t="str">
        <x:f>IF(COUNT(E68,G68,I68,K68,M68,O68,Q68)=7,SUM(E68,G68,I68,K68,M68,O68,Q68),"")</x:f>
      </x:c>
      <x:c r="Z68" s="10" t="str">
        <x:f>IF(Y68="","",Y68/14)</x:f>
      </x:c>
      <x:c r="AA68" s="6" t="str">
        <x:f>IF(COUNT(S68,U68,W68)=3,SUM(S68,U68,W68),"")</x:f>
      </x:c>
      <x:c r="AB68" s="10" t="str">
        <x:f>IF(AA68="","",AA68/6)</x:f>
      </x:c>
      <x:c r="AC68" s="8" t="str"/>
      <x:c r="AD68" s="8" t="str"/>
      <x:c r="AE68" s="12" t="str"/>
      <x:c r="AF68" s="8" t="str"/>
      <x:c r="AG68" s="8" t="str"/>
      <x:c r="AH68" s="8" t="str"/>
      <x:c r="AI68" s="18" t="str"/>
    </x:row>
    <x:row r="69" ht="15" hidden="0" customHeight="1">
      <x:c r="A69" s="17" t="str">
        <x:v>TRF-123</x:v>
      </x:c>
      <x:c r="B69" s="7" t="str">
        <x:v>TRAFICOM</x:v>
      </x:c>
      <x:c r="C69" s="7" t="str">
        <x:v>COMPLEX_READINESS</x:v>
      </x:c>
      <x:c r="D69" s="7" t="str">
        <x:v>A04</x:v>
      </x:c>
      <x:c r="E69" s="8" t="str"/>
      <x:c r="F69" s="9" t="str"/>
      <x:c r="G69" s="8" t="str"/>
      <x:c r="H69" s="9" t="str"/>
      <x:c r="I69" s="8" t="str"/>
      <x:c r="J69" s="9" t="str"/>
      <x:c r="K69" s="8" t="str"/>
      <x:c r="L69" s="9" t="str"/>
      <x:c r="M69" s="8" t="str"/>
      <x:c r="N69" s="9" t="str"/>
      <x:c r="O69" s="8" t="str"/>
      <x:c r="P69" s="9" t="str"/>
      <x:c r="Q69" s="8" t="str"/>
      <x:c r="R69" s="9" t="str"/>
      <x:c r="S69" s="8" t="str"/>
      <x:c r="T69" s="9" t="str"/>
      <x:c r="U69" s="8" t="str"/>
      <x:c r="V69" s="9" t="str"/>
      <x:c r="W69" s="8" t="str"/>
      <x:c r="X69" s="9" t="str"/>
      <x:c r="Y69" s="6" t="str">
        <x:f>IF(COUNT(E69,G69,I69,K69,M69,O69,Q69)=7,SUM(E69,G69,I69,K69,M69,O69,Q69),"")</x:f>
      </x:c>
      <x:c r="Z69" s="10" t="str">
        <x:f>IF(Y69="","",Y69/14)</x:f>
      </x:c>
      <x:c r="AA69" s="6" t="str">
        <x:f>IF(COUNT(S69,U69,W69)=3,SUM(S69,U69,W69),"")</x:f>
      </x:c>
      <x:c r="AB69" s="10" t="str">
        <x:f>IF(AA69="","",AA69/6)</x:f>
      </x:c>
      <x:c r="AC69" s="8" t="str"/>
      <x:c r="AD69" s="8" t="str"/>
      <x:c r="AE69" s="12" t="str"/>
      <x:c r="AF69" s="8" t="str"/>
      <x:c r="AG69" s="8" t="str"/>
      <x:c r="AH69" s="8" t="str"/>
      <x:c r="AI69" s="18" t="str"/>
    </x:row>
    <x:row r="70" ht="15" hidden="0" customHeight="1">
      <x:c r="A70" s="17" t="str">
        <x:v>TRF-123</x:v>
      </x:c>
      <x:c r="B70" s="7" t="str">
        <x:v>TRAFICOM</x:v>
      </x:c>
      <x:c r="C70" s="7" t="str">
        <x:v>COMPLEX_READINESS</x:v>
      </x:c>
      <x:c r="D70" s="7" t="str">
        <x:v>A05</x:v>
      </x:c>
      <x:c r="E70" s="8" t="str"/>
      <x:c r="F70" s="9" t="str"/>
      <x:c r="G70" s="8" t="str"/>
      <x:c r="H70" s="9" t="str"/>
      <x:c r="I70" s="8" t="str"/>
      <x:c r="J70" s="9" t="str"/>
      <x:c r="K70" s="8" t="str"/>
      <x:c r="L70" s="9" t="str"/>
      <x:c r="M70" s="8" t="str"/>
      <x:c r="N70" s="9" t="str"/>
      <x:c r="O70" s="8" t="str"/>
      <x:c r="P70" s="9" t="str"/>
      <x:c r="Q70" s="8" t="str"/>
      <x:c r="R70" s="9" t="str"/>
      <x:c r="S70" s="8" t="str"/>
      <x:c r="T70" s="9" t="str"/>
      <x:c r="U70" s="8" t="str"/>
      <x:c r="V70" s="9" t="str"/>
      <x:c r="W70" s="8" t="str"/>
      <x:c r="X70" s="9" t="str"/>
      <x:c r="Y70" s="6" t="str">
        <x:f>IF(COUNT(E70,G70,I70,K70,M70,O70,Q70)=7,SUM(E70,G70,I70,K70,M70,O70,Q70),"")</x:f>
      </x:c>
      <x:c r="Z70" s="10" t="str">
        <x:f>IF(Y70="","",Y70/14)</x:f>
      </x:c>
      <x:c r="AA70" s="6" t="str">
        <x:f>IF(COUNT(S70,U70,W70)=3,SUM(S70,U70,W70),"")</x:f>
      </x:c>
      <x:c r="AB70" s="10" t="str">
        <x:f>IF(AA70="","",AA70/6)</x:f>
      </x:c>
      <x:c r="AC70" s="8" t="str"/>
      <x:c r="AD70" s="8" t="str"/>
      <x:c r="AE70" s="12" t="str"/>
      <x:c r="AF70" s="8" t="str"/>
      <x:c r="AG70" s="8" t="str"/>
      <x:c r="AH70" s="8" t="str"/>
      <x:c r="AI70" s="18" t="str"/>
    </x:row>
    <x:row r="71" ht="15" hidden="0" customHeight="1">
      <x:c r="A71" s="17" t="str">
        <x:v>TRF-123</x:v>
      </x:c>
      <x:c r="B71" s="7" t="str">
        <x:v>TRAFICOM</x:v>
      </x:c>
      <x:c r="C71" s="7" t="str">
        <x:v>COMPLEX_READINESS</x:v>
      </x:c>
      <x:c r="D71" s="7" t="str">
        <x:v>A06</x:v>
      </x:c>
      <x:c r="E71" s="8" t="str"/>
      <x:c r="F71" s="9" t="str"/>
      <x:c r="G71" s="8" t="str"/>
      <x:c r="H71" s="9" t="str"/>
      <x:c r="I71" s="8" t="str"/>
      <x:c r="J71" s="9" t="str"/>
      <x:c r="K71" s="8" t="str"/>
      <x:c r="L71" s="9" t="str"/>
      <x:c r="M71" s="8" t="str"/>
      <x:c r="N71" s="9" t="str"/>
      <x:c r="O71" s="8" t="str"/>
      <x:c r="P71" s="9" t="str"/>
      <x:c r="Q71" s="8" t="str"/>
      <x:c r="R71" s="9" t="str"/>
      <x:c r="S71" s="8" t="str"/>
      <x:c r="T71" s="9" t="str"/>
      <x:c r="U71" s="8" t="str"/>
      <x:c r="V71" s="9" t="str"/>
      <x:c r="W71" s="8" t="str"/>
      <x:c r="X71" s="9" t="str"/>
      <x:c r="Y71" s="6" t="str">
        <x:f>IF(COUNT(E71,G71,I71,K71,M71,O71,Q71)=7,SUM(E71,G71,I71,K71,M71,O71,Q71),"")</x:f>
      </x:c>
      <x:c r="Z71" s="10" t="str">
        <x:f>IF(Y71="","",Y71/14)</x:f>
      </x:c>
      <x:c r="AA71" s="6" t="str">
        <x:f>IF(COUNT(S71,U71,W71)=3,SUM(S71,U71,W71),"")</x:f>
      </x:c>
      <x:c r="AB71" s="10" t="str">
        <x:f>IF(AA71="","",AA71/6)</x:f>
      </x:c>
      <x:c r="AC71" s="8" t="str"/>
      <x:c r="AD71" s="8" t="str"/>
      <x:c r="AE71" s="12" t="str"/>
      <x:c r="AF71" s="8" t="str"/>
      <x:c r="AG71" s="8" t="str"/>
      <x:c r="AH71" s="8" t="str"/>
      <x:c r="AI71" s="18" t="str"/>
    </x:row>
    <x:row r="72" ht="15" hidden="0" customHeight="1">
      <x:c r="A72" s="17" t="str">
        <x:v>TRF-123</x:v>
      </x:c>
      <x:c r="B72" s="7" t="str">
        <x:v>TRAFICOM</x:v>
      </x:c>
      <x:c r="C72" s="7" t="str">
        <x:v>COMPLEX_READINESS</x:v>
      </x:c>
      <x:c r="D72" s="7" t="str">
        <x:v>A07</x:v>
      </x:c>
      <x:c r="E72" s="8" t="str"/>
      <x:c r="F72" s="9" t="str"/>
      <x:c r="G72" s="8" t="str"/>
      <x:c r="H72" s="9" t="str"/>
      <x:c r="I72" s="8" t="str"/>
      <x:c r="J72" s="9" t="str"/>
      <x:c r="K72" s="8" t="str"/>
      <x:c r="L72" s="9" t="str"/>
      <x:c r="M72" s="8" t="str"/>
      <x:c r="N72" s="9" t="str"/>
      <x:c r="O72" s="8" t="str"/>
      <x:c r="P72" s="9" t="str"/>
      <x:c r="Q72" s="8" t="str"/>
      <x:c r="R72" s="9" t="str"/>
      <x:c r="S72" s="8" t="str"/>
      <x:c r="T72" s="9" t="str"/>
      <x:c r="U72" s="8" t="str"/>
      <x:c r="V72" s="9" t="str"/>
      <x:c r="W72" s="8" t="str"/>
      <x:c r="X72" s="9" t="str"/>
      <x:c r="Y72" s="6" t="str">
        <x:f>IF(COUNT(E72,G72,I72,K72,M72,O72,Q72)=7,SUM(E72,G72,I72,K72,M72,O72,Q72),"")</x:f>
      </x:c>
      <x:c r="Z72" s="10" t="str">
        <x:f>IF(Y72="","",Y72/14)</x:f>
      </x:c>
      <x:c r="AA72" s="6" t="str">
        <x:f>IF(COUNT(S72,U72,W72)=3,SUM(S72,U72,W72),"")</x:f>
      </x:c>
      <x:c r="AB72" s="10" t="str">
        <x:f>IF(AA72="","",AA72/6)</x:f>
      </x:c>
      <x:c r="AC72" s="8" t="str"/>
      <x:c r="AD72" s="8" t="str"/>
      <x:c r="AE72" s="12" t="str"/>
      <x:c r="AF72" s="8" t="str"/>
      <x:c r="AG72" s="8" t="str"/>
      <x:c r="AH72" s="8" t="str"/>
      <x:c r="AI72" s="18" t="str"/>
    </x:row>
    <x:row r="73" ht="15" hidden="0" customHeight="1">
      <x:c r="A73" s="17" t="str">
        <x:v>TRF-123</x:v>
      </x:c>
      <x:c r="B73" s="7" t="str">
        <x:v>TRAFICOM</x:v>
      </x:c>
      <x:c r="C73" s="7" t="str">
        <x:v>COMPLEX_READINESS</x:v>
      </x:c>
      <x:c r="D73" s="7" t="str">
        <x:v>A08</x:v>
      </x:c>
      <x:c r="E73" s="8" t="str"/>
      <x:c r="F73" s="9" t="str"/>
      <x:c r="G73" s="8" t="str"/>
      <x:c r="H73" s="9" t="str"/>
      <x:c r="I73" s="8" t="str"/>
      <x:c r="J73" s="9" t="str"/>
      <x:c r="K73" s="8" t="str"/>
      <x:c r="L73" s="9" t="str"/>
      <x:c r="M73" s="8" t="str"/>
      <x:c r="N73" s="9" t="str"/>
      <x:c r="O73" s="8" t="str"/>
      <x:c r="P73" s="9" t="str"/>
      <x:c r="Q73" s="8" t="str"/>
      <x:c r="R73" s="9" t="str"/>
      <x:c r="S73" s="8" t="str"/>
      <x:c r="T73" s="9" t="str"/>
      <x:c r="U73" s="8" t="str"/>
      <x:c r="V73" s="9" t="str"/>
      <x:c r="W73" s="8" t="str"/>
      <x:c r="X73" s="9" t="str"/>
      <x:c r="Y73" s="6" t="str">
        <x:f>IF(COUNT(E73,G73,I73,K73,M73,O73,Q73)=7,SUM(E73,G73,I73,K73,M73,O73,Q73),"")</x:f>
      </x:c>
      <x:c r="Z73" s="10" t="str">
        <x:f>IF(Y73="","",Y73/14)</x:f>
      </x:c>
      <x:c r="AA73" s="6" t="str">
        <x:f>IF(COUNT(S73,U73,W73)=3,SUM(S73,U73,W73),"")</x:f>
      </x:c>
      <x:c r="AB73" s="10" t="str">
        <x:f>IF(AA73="","",AA73/6)</x:f>
      </x:c>
      <x:c r="AC73" s="8" t="str"/>
      <x:c r="AD73" s="8" t="str"/>
      <x:c r="AE73" s="12" t="str"/>
      <x:c r="AF73" s="8" t="str"/>
      <x:c r="AG73" s="8" t="str"/>
      <x:c r="AH73" s="8" t="str"/>
      <x:c r="AI73" s="18" t="str"/>
    </x:row>
    <x:row r="74" ht="15" hidden="0" customHeight="1">
      <x:c r="A74" s="17" t="str">
        <x:v>TRF-025</x:v>
      </x:c>
      <x:c r="B74" s="7" t="str">
        <x:v>TRAFICOM</x:v>
      </x:c>
      <x:c r="C74" s="7" t="str">
        <x:v>COMPLEX_READINESS</x:v>
      </x:c>
      <x:c r="D74" s="7" t="str">
        <x:v>A01</x:v>
      </x:c>
      <x:c r="E74" s="8" t="str"/>
      <x:c r="F74" s="9" t="str"/>
      <x:c r="G74" s="8" t="str"/>
      <x:c r="H74" s="9" t="str"/>
      <x:c r="I74" s="8" t="str"/>
      <x:c r="J74" s="9" t="str"/>
      <x:c r="K74" s="8" t="str"/>
      <x:c r="L74" s="9" t="str"/>
      <x:c r="M74" s="8" t="str"/>
      <x:c r="N74" s="9" t="str"/>
      <x:c r="O74" s="8" t="str"/>
      <x:c r="P74" s="9" t="str"/>
      <x:c r="Q74" s="8" t="str"/>
      <x:c r="R74" s="9" t="str"/>
      <x:c r="S74" s="8" t="str"/>
      <x:c r="T74" s="9" t="str"/>
      <x:c r="U74" s="8" t="str"/>
      <x:c r="V74" s="9" t="str"/>
      <x:c r="W74" s="8" t="str"/>
      <x:c r="X74" s="9" t="str"/>
      <x:c r="Y74" s="6" t="str">
        <x:f>IF(COUNT(E74,G74,I74,K74,M74,O74,Q74)=7,SUM(E74,G74,I74,K74,M74,O74,Q74),"")</x:f>
      </x:c>
      <x:c r="Z74" s="10" t="str">
        <x:f>IF(Y74="","",Y74/14)</x:f>
      </x:c>
      <x:c r="AA74" s="6" t="str">
        <x:f>IF(COUNT(S74,U74,W74)=3,SUM(S74,U74,W74),"")</x:f>
      </x:c>
      <x:c r="AB74" s="10" t="str">
        <x:f>IF(AA74="","",AA74/6)</x:f>
      </x:c>
      <x:c r="AC74" s="8" t="str"/>
      <x:c r="AD74" s="8" t="str"/>
      <x:c r="AE74" s="12" t="str"/>
      <x:c r="AF74" s="8" t="str"/>
      <x:c r="AG74" s="8" t="str"/>
      <x:c r="AH74" s="8" t="str"/>
      <x:c r="AI74" s="18" t="str"/>
    </x:row>
    <x:row r="75" ht="15" hidden="0" customHeight="1">
      <x:c r="A75" s="17" t="str">
        <x:v>TRF-025</x:v>
      </x:c>
      <x:c r="B75" s="7" t="str">
        <x:v>TRAFICOM</x:v>
      </x:c>
      <x:c r="C75" s="7" t="str">
        <x:v>COMPLEX_READINESS</x:v>
      </x:c>
      <x:c r="D75" s="7" t="str">
        <x:v>A02</x:v>
      </x:c>
      <x:c r="E75" s="8" t="str"/>
      <x:c r="F75" s="9" t="str"/>
      <x:c r="G75" s="8" t="str"/>
      <x:c r="H75" s="9" t="str"/>
      <x:c r="I75" s="8" t="str"/>
      <x:c r="J75" s="9" t="str"/>
      <x:c r="K75" s="8" t="str"/>
      <x:c r="L75" s="9" t="str"/>
      <x:c r="M75" s="8" t="str"/>
      <x:c r="N75" s="9" t="str"/>
      <x:c r="O75" s="8" t="str"/>
      <x:c r="P75" s="9" t="str"/>
      <x:c r="Q75" s="8" t="str"/>
      <x:c r="R75" s="9" t="str"/>
      <x:c r="S75" s="8" t="str"/>
      <x:c r="T75" s="9" t="str"/>
      <x:c r="U75" s="8" t="str"/>
      <x:c r="V75" s="9" t="str"/>
      <x:c r="W75" s="8" t="str"/>
      <x:c r="X75" s="9" t="str"/>
      <x:c r="Y75" s="6" t="str">
        <x:f>IF(COUNT(E75,G75,I75,K75,M75,O75,Q75)=7,SUM(E75,G75,I75,K75,M75,O75,Q75),"")</x:f>
      </x:c>
      <x:c r="Z75" s="10" t="str">
        <x:f>IF(Y75="","",Y75/14)</x:f>
      </x:c>
      <x:c r="AA75" s="6" t="str">
        <x:f>IF(COUNT(S75,U75,W75)=3,SUM(S75,U75,W75),"")</x:f>
      </x:c>
      <x:c r="AB75" s="10" t="str">
        <x:f>IF(AA75="","",AA75/6)</x:f>
      </x:c>
      <x:c r="AC75" s="8" t="str"/>
      <x:c r="AD75" s="8" t="str"/>
      <x:c r="AE75" s="12" t="str"/>
      <x:c r="AF75" s="8" t="str"/>
      <x:c r="AG75" s="8" t="str"/>
      <x:c r="AH75" s="8" t="str"/>
      <x:c r="AI75" s="18" t="str"/>
    </x:row>
    <x:row r="76" ht="15" hidden="0" customHeight="1">
      <x:c r="A76" s="17" t="str">
        <x:v>TRF-025</x:v>
      </x:c>
      <x:c r="B76" s="7" t="str">
        <x:v>TRAFICOM</x:v>
      </x:c>
      <x:c r="C76" s="7" t="str">
        <x:v>COMPLEX_READINESS</x:v>
      </x:c>
      <x:c r="D76" s="7" t="str">
        <x:v>A03</x:v>
      </x:c>
      <x:c r="E76" s="8" t="str"/>
      <x:c r="F76" s="9" t="str"/>
      <x:c r="G76" s="8" t="str"/>
      <x:c r="H76" s="9" t="str"/>
      <x:c r="I76" s="8" t="str"/>
      <x:c r="J76" s="9" t="str"/>
      <x:c r="K76" s="8" t="str"/>
      <x:c r="L76" s="9" t="str"/>
      <x:c r="M76" s="8" t="str"/>
      <x:c r="N76" s="9" t="str"/>
      <x:c r="O76" s="8" t="str"/>
      <x:c r="P76" s="9" t="str"/>
      <x:c r="Q76" s="8" t="str"/>
      <x:c r="R76" s="9" t="str"/>
      <x:c r="S76" s="8" t="str"/>
      <x:c r="T76" s="9" t="str"/>
      <x:c r="U76" s="8" t="str"/>
      <x:c r="V76" s="9" t="str"/>
      <x:c r="W76" s="8" t="str"/>
      <x:c r="X76" s="9" t="str"/>
      <x:c r="Y76" s="6" t="str">
        <x:f>IF(COUNT(E76,G76,I76,K76,M76,O76,Q76)=7,SUM(E76,G76,I76,K76,M76,O76,Q76),"")</x:f>
      </x:c>
      <x:c r="Z76" s="10" t="str">
        <x:f>IF(Y76="","",Y76/14)</x:f>
      </x:c>
      <x:c r="AA76" s="6" t="str">
        <x:f>IF(COUNT(S76,U76,W76)=3,SUM(S76,U76,W76),"")</x:f>
      </x:c>
      <x:c r="AB76" s="10" t="str">
        <x:f>IF(AA76="","",AA76/6)</x:f>
      </x:c>
      <x:c r="AC76" s="8" t="str"/>
      <x:c r="AD76" s="8" t="str"/>
      <x:c r="AE76" s="12" t="str"/>
      <x:c r="AF76" s="8" t="str"/>
      <x:c r="AG76" s="8" t="str"/>
      <x:c r="AH76" s="8" t="str"/>
      <x:c r="AI76" s="18" t="str"/>
    </x:row>
    <x:row r="77" ht="15" hidden="0" customHeight="1">
      <x:c r="A77" s="17" t="str">
        <x:v>TRF-025</x:v>
      </x:c>
      <x:c r="B77" s="7" t="str">
        <x:v>TRAFICOM</x:v>
      </x:c>
      <x:c r="C77" s="7" t="str">
        <x:v>COMPLEX_READINESS</x:v>
      </x:c>
      <x:c r="D77" s="7" t="str">
        <x:v>A04</x:v>
      </x:c>
      <x:c r="E77" s="8" t="str"/>
      <x:c r="F77" s="9" t="str"/>
      <x:c r="G77" s="8" t="str"/>
      <x:c r="H77" s="9" t="str"/>
      <x:c r="I77" s="8" t="str"/>
      <x:c r="J77" s="9" t="str"/>
      <x:c r="K77" s="8" t="str"/>
      <x:c r="L77" s="9" t="str"/>
      <x:c r="M77" s="8" t="str"/>
      <x:c r="N77" s="9" t="str"/>
      <x:c r="O77" s="8" t="str"/>
      <x:c r="P77" s="9" t="str"/>
      <x:c r="Q77" s="8" t="str"/>
      <x:c r="R77" s="9" t="str"/>
      <x:c r="S77" s="8" t="str"/>
      <x:c r="T77" s="9" t="str"/>
      <x:c r="U77" s="8" t="str"/>
      <x:c r="V77" s="9" t="str"/>
      <x:c r="W77" s="8" t="str"/>
      <x:c r="X77" s="9" t="str"/>
      <x:c r="Y77" s="6" t="str">
        <x:f>IF(COUNT(E77,G77,I77,K77,M77,O77,Q77)=7,SUM(E77,G77,I77,K77,M77,O77,Q77),"")</x:f>
      </x:c>
      <x:c r="Z77" s="10" t="str">
        <x:f>IF(Y77="","",Y77/14)</x:f>
      </x:c>
      <x:c r="AA77" s="6" t="str">
        <x:f>IF(COUNT(S77,U77,W77)=3,SUM(S77,U77,W77),"")</x:f>
      </x:c>
      <x:c r="AB77" s="10" t="str">
        <x:f>IF(AA77="","",AA77/6)</x:f>
      </x:c>
      <x:c r="AC77" s="8" t="str"/>
      <x:c r="AD77" s="8" t="str"/>
      <x:c r="AE77" s="12" t="str"/>
      <x:c r="AF77" s="8" t="str"/>
      <x:c r="AG77" s="8" t="str"/>
      <x:c r="AH77" s="8" t="str"/>
      <x:c r="AI77" s="18" t="str"/>
    </x:row>
    <x:row r="78" ht="15" hidden="0" customHeight="1">
      <x:c r="A78" s="17" t="str">
        <x:v>TRF-025</x:v>
      </x:c>
      <x:c r="B78" s="7" t="str">
        <x:v>TRAFICOM</x:v>
      </x:c>
      <x:c r="C78" s="7" t="str">
        <x:v>COMPLEX_READINESS</x:v>
      </x:c>
      <x:c r="D78" s="7" t="str">
        <x:v>A05</x:v>
      </x:c>
      <x:c r="E78" s="8" t="str"/>
      <x:c r="F78" s="9" t="str"/>
      <x:c r="G78" s="8" t="str"/>
      <x:c r="H78" s="9" t="str"/>
      <x:c r="I78" s="8" t="str"/>
      <x:c r="J78" s="9" t="str"/>
      <x:c r="K78" s="8" t="str"/>
      <x:c r="L78" s="9" t="str"/>
      <x:c r="M78" s="8" t="str"/>
      <x:c r="N78" s="9" t="str"/>
      <x:c r="O78" s="8" t="str"/>
      <x:c r="P78" s="9" t="str"/>
      <x:c r="Q78" s="8" t="str"/>
      <x:c r="R78" s="9" t="str"/>
      <x:c r="S78" s="8" t="str"/>
      <x:c r="T78" s="9" t="str"/>
      <x:c r="U78" s="8" t="str"/>
      <x:c r="V78" s="9" t="str"/>
      <x:c r="W78" s="8" t="str"/>
      <x:c r="X78" s="9" t="str"/>
      <x:c r="Y78" s="6" t="str">
        <x:f>IF(COUNT(E78,G78,I78,K78,M78,O78,Q78)=7,SUM(E78,G78,I78,K78,M78,O78,Q78),"")</x:f>
      </x:c>
      <x:c r="Z78" s="10" t="str">
        <x:f>IF(Y78="","",Y78/14)</x:f>
      </x:c>
      <x:c r="AA78" s="6" t="str">
        <x:f>IF(COUNT(S78,U78,W78)=3,SUM(S78,U78,W78),"")</x:f>
      </x:c>
      <x:c r="AB78" s="10" t="str">
        <x:f>IF(AA78="","",AA78/6)</x:f>
      </x:c>
      <x:c r="AC78" s="8" t="str"/>
      <x:c r="AD78" s="8" t="str"/>
      <x:c r="AE78" s="12" t="str"/>
      <x:c r="AF78" s="8" t="str"/>
      <x:c r="AG78" s="8" t="str"/>
      <x:c r="AH78" s="8" t="str"/>
      <x:c r="AI78" s="18" t="str"/>
    </x:row>
    <x:row r="79" ht="15" hidden="0" customHeight="1">
      <x:c r="A79" s="17" t="str">
        <x:v>TRF-025</x:v>
      </x:c>
      <x:c r="B79" s="7" t="str">
        <x:v>TRAFICOM</x:v>
      </x:c>
      <x:c r="C79" s="7" t="str">
        <x:v>COMPLEX_READINESS</x:v>
      </x:c>
      <x:c r="D79" s="7" t="str">
        <x:v>A06</x:v>
      </x:c>
      <x:c r="E79" s="8" t="str"/>
      <x:c r="F79" s="9" t="str"/>
      <x:c r="G79" s="8" t="str"/>
      <x:c r="H79" s="9" t="str"/>
      <x:c r="I79" s="8" t="str"/>
      <x:c r="J79" s="9" t="str"/>
      <x:c r="K79" s="8" t="str"/>
      <x:c r="L79" s="9" t="str"/>
      <x:c r="M79" s="8" t="str"/>
      <x:c r="N79" s="9" t="str"/>
      <x:c r="O79" s="8" t="str"/>
      <x:c r="P79" s="9" t="str"/>
      <x:c r="Q79" s="8" t="str"/>
      <x:c r="R79" s="9" t="str"/>
      <x:c r="S79" s="8" t="str"/>
      <x:c r="T79" s="9" t="str"/>
      <x:c r="U79" s="8" t="str"/>
      <x:c r="V79" s="9" t="str"/>
      <x:c r="W79" s="8" t="str"/>
      <x:c r="X79" s="9" t="str"/>
      <x:c r="Y79" s="6" t="str">
        <x:f>IF(COUNT(E79,G79,I79,K79,M79,O79,Q79)=7,SUM(E79,G79,I79,K79,M79,O79,Q79),"")</x:f>
      </x:c>
      <x:c r="Z79" s="10" t="str">
        <x:f>IF(Y79="","",Y79/14)</x:f>
      </x:c>
      <x:c r="AA79" s="6" t="str">
        <x:f>IF(COUNT(S79,U79,W79)=3,SUM(S79,U79,W79),"")</x:f>
      </x:c>
      <x:c r="AB79" s="10" t="str">
        <x:f>IF(AA79="","",AA79/6)</x:f>
      </x:c>
      <x:c r="AC79" s="8" t="str"/>
      <x:c r="AD79" s="8" t="str"/>
      <x:c r="AE79" s="12" t="str"/>
      <x:c r="AF79" s="8" t="str"/>
      <x:c r="AG79" s="8" t="str"/>
      <x:c r="AH79" s="8" t="str"/>
      <x:c r="AI79" s="18" t="str"/>
    </x:row>
    <x:row r="80" ht="15" hidden="0" customHeight="1">
      <x:c r="A80" s="17" t="str">
        <x:v>TRF-025</x:v>
      </x:c>
      <x:c r="B80" s="7" t="str">
        <x:v>TRAFICOM</x:v>
      </x:c>
      <x:c r="C80" s="7" t="str">
        <x:v>COMPLEX_READINESS</x:v>
      </x:c>
      <x:c r="D80" s="7" t="str">
        <x:v>A07</x:v>
      </x:c>
      <x:c r="E80" s="8" t="str"/>
      <x:c r="F80" s="9" t="str"/>
      <x:c r="G80" s="8" t="str"/>
      <x:c r="H80" s="9" t="str"/>
      <x:c r="I80" s="8" t="str"/>
      <x:c r="J80" s="9" t="str"/>
      <x:c r="K80" s="8" t="str"/>
      <x:c r="L80" s="9" t="str"/>
      <x:c r="M80" s="8" t="str"/>
      <x:c r="N80" s="9" t="str"/>
      <x:c r="O80" s="8" t="str"/>
      <x:c r="P80" s="9" t="str"/>
      <x:c r="Q80" s="8" t="str"/>
      <x:c r="R80" s="9" t="str"/>
      <x:c r="S80" s="8" t="str"/>
      <x:c r="T80" s="9" t="str"/>
      <x:c r="U80" s="8" t="str"/>
      <x:c r="V80" s="9" t="str"/>
      <x:c r="W80" s="8" t="str"/>
      <x:c r="X80" s="9" t="str"/>
      <x:c r="Y80" s="6" t="str">
        <x:f>IF(COUNT(E80,G80,I80,K80,M80,O80,Q80)=7,SUM(E80,G80,I80,K80,M80,O80,Q80),"")</x:f>
      </x:c>
      <x:c r="Z80" s="10" t="str">
        <x:f>IF(Y80="","",Y80/14)</x:f>
      </x:c>
      <x:c r="AA80" s="6" t="str">
        <x:f>IF(COUNT(S80,U80,W80)=3,SUM(S80,U80,W80),"")</x:f>
      </x:c>
      <x:c r="AB80" s="10" t="str">
        <x:f>IF(AA80="","",AA80/6)</x:f>
      </x:c>
      <x:c r="AC80" s="8" t="str"/>
      <x:c r="AD80" s="8" t="str"/>
      <x:c r="AE80" s="12" t="str"/>
      <x:c r="AF80" s="8" t="str"/>
      <x:c r="AG80" s="8" t="str"/>
      <x:c r="AH80" s="8" t="str"/>
      <x:c r="AI80" s="18" t="str"/>
    </x:row>
    <x:row r="81" ht="15" hidden="0" customHeight="1">
      <x:c r="A81" s="19" t="str">
        <x:v>TRF-025</x:v>
      </x:c>
      <x:c r="B81" s="20" t="str">
        <x:v>TRAFICOM</x:v>
      </x:c>
      <x:c r="C81" s="20" t="str">
        <x:v>COMPLEX_READINESS</x:v>
      </x:c>
      <x:c r="D81" s="20" t="str">
        <x:v>A08</x:v>
      </x:c>
      <x:c r="E81" s="21" t="str"/>
      <x:c r="F81" s="22" t="str"/>
      <x:c r="G81" s="21" t="str"/>
      <x:c r="H81" s="22" t="str"/>
      <x:c r="I81" s="21" t="str"/>
      <x:c r="J81" s="22" t="str"/>
      <x:c r="K81" s="21" t="str"/>
      <x:c r="L81" s="22" t="str"/>
      <x:c r="M81" s="21" t="str"/>
      <x:c r="N81" s="22" t="str"/>
      <x:c r="O81" s="21" t="str"/>
      <x:c r="P81" s="22" t="str"/>
      <x:c r="Q81" s="21" t="str"/>
      <x:c r="R81" s="22" t="str"/>
      <x:c r="S81" s="21" t="str"/>
      <x:c r="T81" s="22" t="str"/>
      <x:c r="U81" s="21" t="str"/>
      <x:c r="V81" s="22" t="str"/>
      <x:c r="W81" s="21" t="str"/>
      <x:c r="X81" s="22" t="str"/>
      <x:c r="Y81" s="23" t="str">
        <x:f>IF(COUNT(E81,G81,I81,K81,M81,O81,Q81)=7,SUM(E81,G81,I81,K81,M81,O81,Q81),"")</x:f>
      </x:c>
      <x:c r="Z81" s="24" t="str">
        <x:f>IF(Y81="","",Y81/14)</x:f>
      </x:c>
      <x:c r="AA81" s="23" t="str">
        <x:f>IF(COUNT(S81,U81,W81)=3,SUM(S81,U81,W81),"")</x:f>
      </x:c>
      <x:c r="AB81" s="24" t="str">
        <x:f>IF(AA81="","",AA81/6)</x:f>
      </x:c>
      <x:c r="AC81" s="21" t="str"/>
      <x:c r="AD81" s="21" t="str"/>
      <x:c r="AE81" s="25" t="str"/>
      <x:c r="AF81" s="21" t="str"/>
      <x:c r="AG81" s="21" t="str"/>
      <x:c r="AH81" s="21" t="str"/>
      <x:c r="AI81" s="26" t="str"/>
    </x:row>
  </x:sheetData>
  <x:dataValidations count="13">
    <x:dataValidation operator="between" sqref="E2:E81">
      <x:formula1>0</x:formula1>
      <x:formula2>2</x:formula2>
    </x:dataValidation>
    <x:dataValidation operator="between" sqref="G2:G81">
      <x:formula1>0</x:formula1>
      <x:formula2>2</x:formula2>
    </x:dataValidation>
    <x:dataValidation operator="between" sqref="I2:I81">
      <x:formula1>0</x:formula1>
      <x:formula2>2</x:formula2>
    </x:dataValidation>
    <x:dataValidation operator="between" sqref="K2:K81">
      <x:formula1>0</x:formula1>
      <x:formula2>2</x:formula2>
    </x:dataValidation>
    <x:dataValidation operator="between" sqref="M2:M81">
      <x:formula1>0</x:formula1>
      <x:formula2>2</x:formula2>
    </x:dataValidation>
    <x:dataValidation operator="between" sqref="O2:O81">
      <x:formula1>0</x:formula1>
      <x:formula2>2</x:formula2>
    </x:dataValidation>
    <x:dataValidation operator="between" sqref="Q2:Q81">
      <x:formula1>0</x:formula1>
      <x:formula2>2</x:formula2>
    </x:dataValidation>
    <x:dataValidation operator="between" sqref="S2:S81">
      <x:formula1>0</x:formula1>
      <x:formula2>2</x:formula2>
    </x:dataValidation>
    <x:dataValidation operator="between" sqref="U2:U81">
      <x:formula1>0</x:formula1>
      <x:formula2>2</x:formula2>
    </x:dataValidation>
    <x:dataValidation operator="between" sqref="W2:W81">
      <x:formula1>0</x:formula1>
      <x:formula2>2</x:formula2>
    </x:dataValidation>
    <x:dataValidation type="list" sqref="AC2:AC81">
      <x:formula1>"YES,NO"</x:formula1>
    </x:dataValidation>
    <x:dataValidation type="list" sqref="AD2:AD81">
      <x:formula1>"CORRECT,MINOR_DEFECT,MAJOR_DEFECT,NOT_ASSESSABLE,UNCLEAR"</x:formula1>
    </x:dataValidation>
    <x:dataValidation type="list" sqref="AG2:AG81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2" hidden="0" customWidth="1"/>
    <x:col min="3" max="3" width="24" hidden="0" customWidth="1"/>
    <x:col min="4" max="4" width="55" hidden="0" customWidth="1"/>
  </x:cols>
  <x:sheetData>
    <x:row r="1" ht="15" hidden="0" customHeight="1">
      <x:c r="A1" s="3" t="str">
        <x:v>Code</x:v>
      </x:c>
      <x:c r="B1" s="3" t="str">
        <x:v>Criterion</x:v>
      </x:c>
      <x:c r="C1" s="3" t="str">
        <x:v>Dimension</x:v>
      </x:c>
      <x:c r="D1" s="3" t="str">
        <x:v>Score guidance</x:v>
      </x:c>
    </x:row>
    <x:row r="2" ht="15" hidden="0" customHeight="1">
      <x:c r="A2" s="27" t="str">
        <x:v>Q1</x:v>
      </x:c>
      <x:c r="B2" s="27" t="str">
        <x:v>Applicability and target</x:v>
      </x:c>
      <x:c r="C2" s="27" t="str">
        <x:v>Semantic fidelity</x:v>
      </x:c>
      <x:c r="D2" s="27" t="str">
        <x:v>0 = absent/incorrect; 1 = partial/minor defect; 2 = complete/correct</x:v>
      </x:c>
    </x:row>
    <x:row r="3" ht="15" hidden="0" customHeight="1">
      <x:c r="A3" s="27" t="str">
        <x:v>Q2</x:v>
      </x:c>
      <x:c r="B3" s="27" t="str">
        <x:v>Ontology terms, ownership and paths</x:v>
      </x:c>
      <x:c r="C3" s="27" t="str">
        <x:v>Semantic fidelity</x:v>
      </x:c>
      <x:c r="D3" s="27" t="str">
        <x:v>0 = absent/incorrect; 1 = partial/minor defect; 2 = complete/correct</x:v>
      </x:c>
    </x:row>
    <x:row r="4" ht="15" hidden="0" customHeight="1">
      <x:c r="A4" s="27" t="str">
        <x:v>Q3</x:v>
      </x:c>
      <x:c r="B4" s="27" t="str">
        <x:v>Required obligations complete</x:v>
      </x:c>
      <x:c r="C4" s="27" t="str">
        <x:v>Semantic fidelity</x:v>
      </x:c>
      <x:c r="D4" s="27" t="str">
        <x:v>0 = absent/incorrect; 1 = partial/minor defect; 2 = complete/correct</x:v>
      </x:c>
    </x:row>
    <x:row r="5" ht="15" hidden="0" customHeight="1">
      <x:c r="A5" s="27" t="str">
        <x:v>Q4</x:v>
      </x:c>
      <x:c r="B5" s="27" t="str">
        <x:v>Constraint parameters, units and calculations</x:v>
      </x:c>
      <x:c r="C5" s="27" t="str">
        <x:v>Semantic fidelity</x:v>
      </x:c>
      <x:c r="D5" s="27" t="str">
        <x:v>0 = absent/incorrect; 1 = partial/minor defect; 2 = complete/correct</x:v>
      </x:c>
    </x:row>
    <x:row r="6" ht="15" hidden="0" customHeight="1">
      <x:c r="A6" s="27" t="str">
        <x:v>Q5</x:v>
      </x:c>
      <x:c r="B6" s="27" t="str">
        <x:v>Logic, branches, exceptions and boundaries</x:v>
      </x:c>
      <x:c r="C6" s="27" t="str">
        <x:v>Semantic fidelity</x:v>
      </x:c>
      <x:c r="D6" s="27" t="str">
        <x:v>0 = absent/incorrect; 1 = partial/minor defect; 2 = complete/correct</x:v>
      </x:c>
    </x:row>
    <x:row r="7" ht="15" hidden="0" customHeight="1">
      <x:c r="A7" s="27" t="str">
        <x:v>Q6</x:v>
      </x:c>
      <x:c r="B7" s="27" t="str">
        <x:v>No unsupported restrictions</x:v>
      </x:c>
      <x:c r="C7" s="27" t="str">
        <x:v>Semantic fidelity</x:v>
      </x:c>
      <x:c r="D7" s="27" t="str">
        <x:v>0 = absent/incorrect; 1 = partial/minor defect; 2 = complete/correct</x:v>
      </x:c>
    </x:row>
    <x:row r="8" ht="15" hidden="0" customHeight="1">
      <x:c r="A8" s="27" t="str">
        <x:v>Q7</x:v>
      </x:c>
      <x:c r="B8" s="27" t="str">
        <x:v>Source traceability</x:v>
      </x:c>
      <x:c r="C8" s="27" t="str">
        <x:v>Semantic fidelity</x:v>
      </x:c>
      <x:c r="D8" s="27" t="str">
        <x:v>0 = absent/incorrect; 1 = partial/minor defect; 2 = complete/correct</x:v>
      </x:c>
    </x:row>
    <x:row r="9" ht="15" hidden="0" customHeight="1">
      <x:c r="A9" s="27" t="str">
        <x:v>CQ1</x:v>
      </x:c>
      <x:c r="B9" s="27" t="str">
        <x:v>Analyzability and maintainability</x:v>
      </x:c>
      <x:c r="C9" s="27" t="str">
        <x:v>Implementation quality</x:v>
      </x:c>
      <x:c r="D9" s="27" t="str">
        <x:v>0 = absent/incorrect; 1 = partial/minor defect; 2 = complete/correct</x:v>
      </x:c>
    </x:row>
    <x:row r="10" ht="15" hidden="0" customHeight="1">
      <x:c r="A10" s="27" t="str">
        <x:v>CQ2</x:v>
      </x:c>
      <x:c r="B10" s="27" t="str">
        <x:v>Internal consistency and non-redundancy</x:v>
      </x:c>
      <x:c r="C10" s="27" t="str">
        <x:v>Implementation quality</x:v>
      </x:c>
      <x:c r="D10" s="27" t="str">
        <x:v>0 = absent/incorrect; 1 = partial/minor defect; 2 = complete/correct</x:v>
      </x:c>
    </x:row>
    <x:row r="11" ht="15" hidden="0" customHeight="1">
      <x:c r="A11" s="27" t="str">
        <x:v>CQ3</x:v>
      </x:c>
      <x:c r="B11" s="27" t="str">
        <x:v>Diagnostic usefulness</x:v>
      </x:c>
      <x:c r="C11" s="27" t="str">
        <x:v>Implementation quality</x:v>
      </x:c>
      <x:c r="D11" s="27" t="str">
        <x:v>0 = absent/incorrect; 1 = partial/minor defect; 2 = complete/correct</x:v>
      </x:c>
    </x:row>
    <x:row r="12" ht="15" hidden="0" customHeight="1">
      <x:c r="A12" s="27"/>
      <x:c r="B12" s="27"/>
      <x:c r="C12" s="27"/>
      <x:c r="D12" s="27"/>
    </x:row>
    <x:row r="13" ht="15" hidden="0" customHeight="1">
      <x:c r="A13" s="3" t="str">
        <x:v>Additional field</x:v>
      </x:c>
      <x:c r="B13" s="3" t="str">
        <x:v>Allowed value / use</x:v>
      </x:c>
      <x:c r="C13" s="27"/>
      <x:c r="D13" s="27"/>
    </x:row>
    <x:row r="14" ht="15" hidden="0" customHeight="1">
      <x:c r="A14" s="27" t="str">
        <x:v>Critical defect</x:v>
      </x:c>
      <x:c r="B14" s="27" t="str">
        <x:v>YES / NO</x:v>
      </x:c>
      <x:c r="C14" s="27"/>
      <x:c r="D14" s="27"/>
    </x:row>
    <x:row r="15" ht="26.399999618530273" hidden="0" customHeight="1">
      <x:c r="A15" s="27" t="str">
        <x:v>Primary semantic verdict</x:v>
      </x:c>
      <x:c r="B15" s="27" t="str">
        <x:v>CORRECT / MINOR_DEFECT / MAJOR_DEFECT / NOT_ASSESSABLE / UNCLEAR</x:v>
      </x:c>
      <x:c r="C15" s="27"/>
      <x:c r="D15" s="27"/>
    </x:row>
    <x:row r="16" ht="26.399999618530273" hidden="0" customHeight="1">
      <x:c r="A16" s="27" t="str">
        <x:v>Semantic-fidelity normalized score</x:v>
      </x:c>
      <x:c r="B16" s="27" t="str">
        <x:v>Calculated as Q1–Q7 total divided by 14</x:v>
      </x:c>
      <x:c r="C16" s="27"/>
      <x:c r="D16" s="27"/>
    </x:row>
    <x:row r="17" ht="26.399999618530273" hidden="0" customHeight="1">
      <x:c r="A17" s="27" t="str">
        <x:v>Implementation-quality normalized score</x:v>
      </x:c>
      <x:c r="B17" s="27" t="str">
        <x:v>Calculated as CQ1–CQ3 total divided by 6</x:v>
      </x:c>
      <x:c r="C17" s="27"/>
      <x:c r="D17" s="27"/>
    </x:row>
    <x:row r="18" ht="26.399999618530273" hidden="0" customHeight="1">
      <x:c r="A18" s="27" t="str">
        <x:v>Suspected benchmark/RDF fault</x:v>
      </x:c>
      <x:c r="B18" s="27" t="str">
        <x:v>Record the suspected fault and evidence, or leave blank</x:v>
      </x:c>
      <x:c r="C18" s="27"/>
      <x:c r="D18" s="27"/>
    </x:row>
    <x:row r="19" ht="15" hidden="0" customHeight="1">
      <x:c r="A19" s="27" t="str">
        <x:v>Adjudication required</x:v>
      </x:c>
      <x:c r="B19" s="27" t="str">
        <x:v>YES / NO</x:v>
      </x:c>
      <x:c r="C19" s="27"/>
      <x:c r="D19" s="27"/>
    </x:row>
  </x:sheetData>
  <x:pageMargins left="0.7" right="0.7" top="0.75" bottom="0.75" header="0.3" footer="0.3"/>
</x:worksheet>
</file>